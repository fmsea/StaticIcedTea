
<file path=[Content_Types].xml><?xml version="1.0" encoding="utf-8"?>
<Types xmlns="http://schemas.openxmlformats.org/package/2006/content-types">
  <Default Extension="xml" ContentType="application/xml"/>
  <Default Extension="png" ContentType="image/png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5725"/>
  <workbookPr showInkAnnotation="0" autoCompressPictures="0"/>
  <bookViews>
    <workbookView xWindow="-100" yWindow="0" windowWidth="37440" windowHeight="21160" tabRatio="888"/>
  </bookViews>
  <sheets>
    <sheet name="RQ Reg vs Block" sheetId="15" r:id="rId1"/>
    <sheet name="time 1" sheetId="4" r:id="rId2"/>
    <sheet name="accuracy dom5dom4" sheetId="1" r:id="rId3"/>
    <sheet name="accuracy dom7dom6" sheetId="2" r:id="rId4"/>
    <sheet name="accuracy dom9dom8" sheetId="3" r:id="rId5"/>
    <sheet name="time 2" sheetId="5" r:id="rId6"/>
    <sheet name="accuracy dom51dom41" sheetId="6" r:id="rId7"/>
    <sheet name="accuracy dom71dom61" sheetId="7" r:id="rId8"/>
    <sheet name="accuracy dom91dom81" sheetId="8" r:id="rId9"/>
    <sheet name="time 3" sheetId="9" r:id="rId10"/>
    <sheet name="accuracy dom52dom42" sheetId="10" r:id="rId11"/>
    <sheet name="accuracy dom72dom62" sheetId="11" r:id="rId12"/>
    <sheet name="accuracy dom92dom82" sheetId="12" r:id="rId13"/>
    <sheet name="Method data" sheetId="13" r:id="rId14"/>
    <sheet name="Domains" sheetId="14" r:id="rId15"/>
  </sheets>
  <calcPr calcId="140000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P114" i="15" l="1"/>
  <c r="Q114" i="15"/>
  <c r="R114" i="15"/>
  <c r="S114" i="15"/>
  <c r="T114" i="15"/>
  <c r="U114" i="15"/>
  <c r="V114" i="15"/>
  <c r="W114" i="15"/>
  <c r="X114" i="15"/>
  <c r="Y114" i="15"/>
  <c r="Z114" i="15"/>
  <c r="K114" i="15"/>
  <c r="L114" i="15"/>
  <c r="M114" i="15"/>
  <c r="N114" i="15"/>
  <c r="O114" i="15"/>
  <c r="AM109" i="15"/>
  <c r="AN109" i="15"/>
  <c r="AO109" i="15"/>
  <c r="AP109" i="15"/>
  <c r="AQ109" i="15"/>
  <c r="AR109" i="15"/>
  <c r="AS109" i="15"/>
  <c r="AT109" i="15"/>
  <c r="AU109" i="15"/>
  <c r="AV109" i="15"/>
  <c r="AW109" i="15"/>
  <c r="AX109" i="15"/>
  <c r="AY109" i="15"/>
  <c r="AZ109" i="15"/>
  <c r="BA109" i="15"/>
  <c r="AL109" i="15"/>
  <c r="BD108" i="15"/>
  <c r="BE108" i="15"/>
  <c r="BF108" i="15"/>
  <c r="BG108" i="15"/>
  <c r="BH108" i="15"/>
  <c r="BI108" i="15"/>
  <c r="BJ108" i="15"/>
  <c r="BK108" i="15"/>
  <c r="BL108" i="15"/>
  <c r="BM108" i="15"/>
  <c r="BN108" i="15"/>
  <c r="BO108" i="15"/>
  <c r="BP108" i="15"/>
  <c r="BQ108" i="15"/>
  <c r="BR108" i="15"/>
  <c r="BC108" i="15"/>
  <c r="BC4" i="15"/>
  <c r="BD4" i="15"/>
  <c r="BE4" i="15"/>
  <c r="BF4" i="15"/>
  <c r="BG4" i="15"/>
  <c r="BH4" i="15"/>
  <c r="BI4" i="15"/>
  <c r="BJ4" i="15"/>
  <c r="BK4" i="15"/>
  <c r="BL4" i="15"/>
  <c r="BM4" i="15"/>
  <c r="BN4" i="15"/>
  <c r="BO4" i="15"/>
  <c r="BP4" i="15"/>
  <c r="BQ4" i="15"/>
  <c r="BR4" i="15"/>
  <c r="BC5" i="15"/>
  <c r="BD5" i="15"/>
  <c r="BE5" i="15"/>
  <c r="BF5" i="15"/>
  <c r="BG5" i="15"/>
  <c r="BH5" i="15"/>
  <c r="BI5" i="15"/>
  <c r="BJ5" i="15"/>
  <c r="BK5" i="15"/>
  <c r="BL5" i="15"/>
  <c r="BM5" i="15"/>
  <c r="BN5" i="15"/>
  <c r="BO5" i="15"/>
  <c r="BP5" i="15"/>
  <c r="BQ5" i="15"/>
  <c r="BR5" i="15"/>
  <c r="BC6" i="15"/>
  <c r="BD6" i="15"/>
  <c r="BE6" i="15"/>
  <c r="BF6" i="15"/>
  <c r="BG6" i="15"/>
  <c r="BH6" i="15"/>
  <c r="BI6" i="15"/>
  <c r="BJ6" i="15"/>
  <c r="BK6" i="15"/>
  <c r="BL6" i="15"/>
  <c r="BM6" i="15"/>
  <c r="BN6" i="15"/>
  <c r="BO6" i="15"/>
  <c r="BP6" i="15"/>
  <c r="BQ6" i="15"/>
  <c r="BR6" i="15"/>
  <c r="BC7" i="15"/>
  <c r="BD7" i="15"/>
  <c r="BE7" i="15"/>
  <c r="BF7" i="15"/>
  <c r="BG7" i="15"/>
  <c r="BH7" i="15"/>
  <c r="BI7" i="15"/>
  <c r="BJ7" i="15"/>
  <c r="BK7" i="15"/>
  <c r="BL7" i="15"/>
  <c r="BM7" i="15"/>
  <c r="BN7" i="15"/>
  <c r="BO7" i="15"/>
  <c r="BP7" i="15"/>
  <c r="BQ7" i="15"/>
  <c r="BR7" i="15"/>
  <c r="BC8" i="15"/>
  <c r="BD8" i="15"/>
  <c r="BE8" i="15"/>
  <c r="BF8" i="15"/>
  <c r="BG8" i="15"/>
  <c r="BH8" i="15"/>
  <c r="BI8" i="15"/>
  <c r="BJ8" i="15"/>
  <c r="BK8" i="15"/>
  <c r="BL8" i="15"/>
  <c r="BM8" i="15"/>
  <c r="BN8" i="15"/>
  <c r="BO8" i="15"/>
  <c r="BP8" i="15"/>
  <c r="BQ8" i="15"/>
  <c r="BR8" i="15"/>
  <c r="BC9" i="15"/>
  <c r="BD9" i="15"/>
  <c r="BE9" i="15"/>
  <c r="BF9" i="15"/>
  <c r="BG9" i="15"/>
  <c r="BH9" i="15"/>
  <c r="BI9" i="15"/>
  <c r="BJ9" i="15"/>
  <c r="BK9" i="15"/>
  <c r="BL9" i="15"/>
  <c r="BM9" i="15"/>
  <c r="BN9" i="15"/>
  <c r="BO9" i="15"/>
  <c r="BP9" i="15"/>
  <c r="BQ9" i="15"/>
  <c r="BR9" i="15"/>
  <c r="BC10" i="15"/>
  <c r="BD10" i="15"/>
  <c r="BE10" i="15"/>
  <c r="BF10" i="15"/>
  <c r="BG10" i="15"/>
  <c r="BH10" i="15"/>
  <c r="BI10" i="15"/>
  <c r="BJ10" i="15"/>
  <c r="BK10" i="15"/>
  <c r="BL10" i="15"/>
  <c r="BM10" i="15"/>
  <c r="BN10" i="15"/>
  <c r="BO10" i="15"/>
  <c r="BP10" i="15"/>
  <c r="BQ10" i="15"/>
  <c r="BR10" i="15"/>
  <c r="BC11" i="15"/>
  <c r="BD11" i="15"/>
  <c r="BE11" i="15"/>
  <c r="BF11" i="15"/>
  <c r="BG11" i="15"/>
  <c r="BH11" i="15"/>
  <c r="BI11" i="15"/>
  <c r="BJ11" i="15"/>
  <c r="BK11" i="15"/>
  <c r="BL11" i="15"/>
  <c r="BM11" i="15"/>
  <c r="BN11" i="15"/>
  <c r="BO11" i="15"/>
  <c r="BP11" i="15"/>
  <c r="BQ11" i="15"/>
  <c r="BR11" i="15"/>
  <c r="BC12" i="15"/>
  <c r="BD12" i="15"/>
  <c r="BE12" i="15"/>
  <c r="BF12" i="15"/>
  <c r="BG12" i="15"/>
  <c r="BH12" i="15"/>
  <c r="BI12" i="15"/>
  <c r="BJ12" i="15"/>
  <c r="BK12" i="15"/>
  <c r="BL12" i="15"/>
  <c r="BM12" i="15"/>
  <c r="BN12" i="15"/>
  <c r="BO12" i="15"/>
  <c r="BP12" i="15"/>
  <c r="BQ12" i="15"/>
  <c r="BR12" i="15"/>
  <c r="BC13" i="15"/>
  <c r="BD13" i="15"/>
  <c r="BE13" i="15"/>
  <c r="BF13" i="15"/>
  <c r="BG13" i="15"/>
  <c r="BH13" i="15"/>
  <c r="BI13" i="15"/>
  <c r="BJ13" i="15"/>
  <c r="BK13" i="15"/>
  <c r="BL13" i="15"/>
  <c r="BM13" i="15"/>
  <c r="BN13" i="15"/>
  <c r="BO13" i="15"/>
  <c r="BP13" i="15"/>
  <c r="BQ13" i="15"/>
  <c r="BR13" i="15"/>
  <c r="BC14" i="15"/>
  <c r="BD14" i="15"/>
  <c r="BE14" i="15"/>
  <c r="BF14" i="15"/>
  <c r="BG14" i="15"/>
  <c r="BH14" i="15"/>
  <c r="BI14" i="15"/>
  <c r="BJ14" i="15"/>
  <c r="BK14" i="15"/>
  <c r="BL14" i="15"/>
  <c r="BM14" i="15"/>
  <c r="BN14" i="15"/>
  <c r="BO14" i="15"/>
  <c r="BP14" i="15"/>
  <c r="BQ14" i="15"/>
  <c r="BR14" i="15"/>
  <c r="BC15" i="15"/>
  <c r="BD15" i="15"/>
  <c r="BE15" i="15"/>
  <c r="BF15" i="15"/>
  <c r="BG15" i="15"/>
  <c r="BH15" i="15"/>
  <c r="BI15" i="15"/>
  <c r="BJ15" i="15"/>
  <c r="BK15" i="15"/>
  <c r="BL15" i="15"/>
  <c r="BM15" i="15"/>
  <c r="BN15" i="15"/>
  <c r="BO15" i="15"/>
  <c r="BP15" i="15"/>
  <c r="BQ15" i="15"/>
  <c r="BR15" i="15"/>
  <c r="BC16" i="15"/>
  <c r="BD16" i="15"/>
  <c r="BE16" i="15"/>
  <c r="BF16" i="15"/>
  <c r="BG16" i="15"/>
  <c r="BH16" i="15"/>
  <c r="BI16" i="15"/>
  <c r="BJ16" i="15"/>
  <c r="BK16" i="15"/>
  <c r="BL16" i="15"/>
  <c r="BM16" i="15"/>
  <c r="BN16" i="15"/>
  <c r="BO16" i="15"/>
  <c r="BP16" i="15"/>
  <c r="BQ16" i="15"/>
  <c r="BR16" i="15"/>
  <c r="BC17" i="15"/>
  <c r="BD17" i="15"/>
  <c r="BE17" i="15"/>
  <c r="BF17" i="15"/>
  <c r="BG17" i="15"/>
  <c r="BH17" i="15"/>
  <c r="BI17" i="15"/>
  <c r="BJ17" i="15"/>
  <c r="BK17" i="15"/>
  <c r="BL17" i="15"/>
  <c r="BM17" i="15"/>
  <c r="BN17" i="15"/>
  <c r="BO17" i="15"/>
  <c r="BP17" i="15"/>
  <c r="BQ17" i="15"/>
  <c r="BR17" i="15"/>
  <c r="BC18" i="15"/>
  <c r="BD18" i="15"/>
  <c r="BE18" i="15"/>
  <c r="BF18" i="15"/>
  <c r="BG18" i="15"/>
  <c r="BH18" i="15"/>
  <c r="BI18" i="15"/>
  <c r="BJ18" i="15"/>
  <c r="BK18" i="15"/>
  <c r="BL18" i="15"/>
  <c r="BM18" i="15"/>
  <c r="BN18" i="15"/>
  <c r="BO18" i="15"/>
  <c r="BP18" i="15"/>
  <c r="BQ18" i="15"/>
  <c r="BR18" i="15"/>
  <c r="BC19" i="15"/>
  <c r="BD19" i="15"/>
  <c r="BE19" i="15"/>
  <c r="BF19" i="15"/>
  <c r="BG19" i="15"/>
  <c r="BH19" i="15"/>
  <c r="BI19" i="15"/>
  <c r="BJ19" i="15"/>
  <c r="BK19" i="15"/>
  <c r="BL19" i="15"/>
  <c r="BM19" i="15"/>
  <c r="BN19" i="15"/>
  <c r="BO19" i="15"/>
  <c r="BP19" i="15"/>
  <c r="BQ19" i="15"/>
  <c r="BR19" i="15"/>
  <c r="BC20" i="15"/>
  <c r="BD20" i="15"/>
  <c r="BE20" i="15"/>
  <c r="BF20" i="15"/>
  <c r="BG20" i="15"/>
  <c r="BH20" i="15"/>
  <c r="BI20" i="15"/>
  <c r="BJ20" i="15"/>
  <c r="BK20" i="15"/>
  <c r="BL20" i="15"/>
  <c r="BM20" i="15"/>
  <c r="BN20" i="15"/>
  <c r="BO20" i="15"/>
  <c r="BP20" i="15"/>
  <c r="BQ20" i="15"/>
  <c r="BR20" i="15"/>
  <c r="BC21" i="15"/>
  <c r="BD21" i="15"/>
  <c r="BE21" i="15"/>
  <c r="BF21" i="15"/>
  <c r="BG21" i="15"/>
  <c r="BH21" i="15"/>
  <c r="BI21" i="15"/>
  <c r="BJ21" i="15"/>
  <c r="BK21" i="15"/>
  <c r="BL21" i="15"/>
  <c r="BM21" i="15"/>
  <c r="BN21" i="15"/>
  <c r="BO21" i="15"/>
  <c r="BP21" i="15"/>
  <c r="BQ21" i="15"/>
  <c r="BR21" i="15"/>
  <c r="BC22" i="15"/>
  <c r="BD22" i="15"/>
  <c r="BE22" i="15"/>
  <c r="BF22" i="15"/>
  <c r="BG22" i="15"/>
  <c r="BH22" i="15"/>
  <c r="BI22" i="15"/>
  <c r="BJ22" i="15"/>
  <c r="BK22" i="15"/>
  <c r="BL22" i="15"/>
  <c r="BM22" i="15"/>
  <c r="BN22" i="15"/>
  <c r="BO22" i="15"/>
  <c r="BP22" i="15"/>
  <c r="BQ22" i="15"/>
  <c r="BR22" i="15"/>
  <c r="BC23" i="15"/>
  <c r="BD23" i="15"/>
  <c r="BE23" i="15"/>
  <c r="BF23" i="15"/>
  <c r="BG23" i="15"/>
  <c r="BH23" i="15"/>
  <c r="BI23" i="15"/>
  <c r="BJ23" i="15"/>
  <c r="BK23" i="15"/>
  <c r="BL23" i="15"/>
  <c r="BM23" i="15"/>
  <c r="BN23" i="15"/>
  <c r="BO23" i="15"/>
  <c r="BP23" i="15"/>
  <c r="BQ23" i="15"/>
  <c r="BR23" i="15"/>
  <c r="BC24" i="15"/>
  <c r="BD24" i="15"/>
  <c r="BE24" i="15"/>
  <c r="BF24" i="15"/>
  <c r="BG24" i="15"/>
  <c r="BH24" i="15"/>
  <c r="BI24" i="15"/>
  <c r="BJ24" i="15"/>
  <c r="BK24" i="15"/>
  <c r="BL24" i="15"/>
  <c r="BM24" i="15"/>
  <c r="BN24" i="15"/>
  <c r="BO24" i="15"/>
  <c r="BP24" i="15"/>
  <c r="BQ24" i="15"/>
  <c r="BR24" i="15"/>
  <c r="BC25" i="15"/>
  <c r="BD25" i="15"/>
  <c r="BE25" i="15"/>
  <c r="BF25" i="15"/>
  <c r="BG25" i="15"/>
  <c r="BH25" i="15"/>
  <c r="BI25" i="15"/>
  <c r="BJ25" i="15"/>
  <c r="BK25" i="15"/>
  <c r="BL25" i="15"/>
  <c r="BM25" i="15"/>
  <c r="BN25" i="15"/>
  <c r="BO25" i="15"/>
  <c r="BP25" i="15"/>
  <c r="BQ25" i="15"/>
  <c r="BR25" i="15"/>
  <c r="BC26" i="15"/>
  <c r="BD26" i="15"/>
  <c r="BE26" i="15"/>
  <c r="BF26" i="15"/>
  <c r="BG26" i="15"/>
  <c r="BH26" i="15"/>
  <c r="BI26" i="15"/>
  <c r="BJ26" i="15"/>
  <c r="BK26" i="15"/>
  <c r="BL26" i="15"/>
  <c r="BM26" i="15"/>
  <c r="BN26" i="15"/>
  <c r="BO26" i="15"/>
  <c r="BP26" i="15"/>
  <c r="BQ26" i="15"/>
  <c r="BR26" i="15"/>
  <c r="BC27" i="15"/>
  <c r="BD27" i="15"/>
  <c r="BE27" i="15"/>
  <c r="BF27" i="15"/>
  <c r="BG27" i="15"/>
  <c r="BH27" i="15"/>
  <c r="BI27" i="15"/>
  <c r="BJ27" i="15"/>
  <c r="BK27" i="15"/>
  <c r="BL27" i="15"/>
  <c r="BM27" i="15"/>
  <c r="BN27" i="15"/>
  <c r="BO27" i="15"/>
  <c r="BP27" i="15"/>
  <c r="BQ27" i="15"/>
  <c r="BR27" i="15"/>
  <c r="BC28" i="15"/>
  <c r="BD28" i="15"/>
  <c r="BE28" i="15"/>
  <c r="BF28" i="15"/>
  <c r="BG28" i="15"/>
  <c r="BH28" i="15"/>
  <c r="BI28" i="15"/>
  <c r="BJ28" i="15"/>
  <c r="BK28" i="15"/>
  <c r="BL28" i="15"/>
  <c r="BM28" i="15"/>
  <c r="BN28" i="15"/>
  <c r="BO28" i="15"/>
  <c r="BP28" i="15"/>
  <c r="BQ28" i="15"/>
  <c r="BR28" i="15"/>
  <c r="BC29" i="15"/>
  <c r="BD29" i="15"/>
  <c r="BE29" i="15"/>
  <c r="BF29" i="15"/>
  <c r="BG29" i="15"/>
  <c r="BH29" i="15"/>
  <c r="BI29" i="15"/>
  <c r="BJ29" i="15"/>
  <c r="BK29" i="15"/>
  <c r="BL29" i="15"/>
  <c r="BM29" i="15"/>
  <c r="BN29" i="15"/>
  <c r="BO29" i="15"/>
  <c r="BP29" i="15"/>
  <c r="BQ29" i="15"/>
  <c r="BR29" i="15"/>
  <c r="BC30" i="15"/>
  <c r="BD30" i="15"/>
  <c r="BE30" i="15"/>
  <c r="BF30" i="15"/>
  <c r="BG30" i="15"/>
  <c r="BH30" i="15"/>
  <c r="BI30" i="15"/>
  <c r="BJ30" i="15"/>
  <c r="BK30" i="15"/>
  <c r="BL30" i="15"/>
  <c r="BM30" i="15"/>
  <c r="BN30" i="15"/>
  <c r="BO30" i="15"/>
  <c r="BP30" i="15"/>
  <c r="BQ30" i="15"/>
  <c r="BR30" i="15"/>
  <c r="BC31" i="15"/>
  <c r="BD31" i="15"/>
  <c r="BE31" i="15"/>
  <c r="BF31" i="15"/>
  <c r="BG31" i="15"/>
  <c r="BH31" i="15"/>
  <c r="BI31" i="15"/>
  <c r="BJ31" i="15"/>
  <c r="BK31" i="15"/>
  <c r="BL31" i="15"/>
  <c r="BM31" i="15"/>
  <c r="BN31" i="15"/>
  <c r="BO31" i="15"/>
  <c r="BP31" i="15"/>
  <c r="BQ31" i="15"/>
  <c r="BR31" i="15"/>
  <c r="BC32" i="15"/>
  <c r="BD32" i="15"/>
  <c r="BE32" i="15"/>
  <c r="BF32" i="15"/>
  <c r="BG32" i="15"/>
  <c r="BH32" i="15"/>
  <c r="BI32" i="15"/>
  <c r="BJ32" i="15"/>
  <c r="BK32" i="15"/>
  <c r="BL32" i="15"/>
  <c r="BM32" i="15"/>
  <c r="BN32" i="15"/>
  <c r="BO32" i="15"/>
  <c r="BP32" i="15"/>
  <c r="BQ32" i="15"/>
  <c r="BR32" i="15"/>
  <c r="BC33" i="15"/>
  <c r="BD33" i="15"/>
  <c r="BE33" i="15"/>
  <c r="BF33" i="15"/>
  <c r="BG33" i="15"/>
  <c r="BH33" i="15"/>
  <c r="BI33" i="15"/>
  <c r="BJ33" i="15"/>
  <c r="BK33" i="15"/>
  <c r="BL33" i="15"/>
  <c r="BM33" i="15"/>
  <c r="BN33" i="15"/>
  <c r="BO33" i="15"/>
  <c r="BP33" i="15"/>
  <c r="BQ33" i="15"/>
  <c r="BR33" i="15"/>
  <c r="BC34" i="15"/>
  <c r="BD34" i="15"/>
  <c r="BE34" i="15"/>
  <c r="BF34" i="15"/>
  <c r="BG34" i="15"/>
  <c r="BH34" i="15"/>
  <c r="BI34" i="15"/>
  <c r="BJ34" i="15"/>
  <c r="BK34" i="15"/>
  <c r="BL34" i="15"/>
  <c r="BM34" i="15"/>
  <c r="BN34" i="15"/>
  <c r="BO34" i="15"/>
  <c r="BP34" i="15"/>
  <c r="BQ34" i="15"/>
  <c r="BR34" i="15"/>
  <c r="BC35" i="15"/>
  <c r="BD35" i="15"/>
  <c r="BE35" i="15"/>
  <c r="BF35" i="15"/>
  <c r="BG35" i="15"/>
  <c r="BH35" i="15"/>
  <c r="BI35" i="15"/>
  <c r="BJ35" i="15"/>
  <c r="BK35" i="15"/>
  <c r="BL35" i="15"/>
  <c r="BM35" i="15"/>
  <c r="BN35" i="15"/>
  <c r="BO35" i="15"/>
  <c r="BP35" i="15"/>
  <c r="BQ35" i="15"/>
  <c r="BR35" i="15"/>
  <c r="BC36" i="15"/>
  <c r="BD36" i="15"/>
  <c r="BE36" i="15"/>
  <c r="BF36" i="15"/>
  <c r="BG36" i="15"/>
  <c r="BH36" i="15"/>
  <c r="BI36" i="15"/>
  <c r="BJ36" i="15"/>
  <c r="BK36" i="15"/>
  <c r="BL36" i="15"/>
  <c r="BM36" i="15"/>
  <c r="BN36" i="15"/>
  <c r="BO36" i="15"/>
  <c r="BP36" i="15"/>
  <c r="BQ36" i="15"/>
  <c r="BR36" i="15"/>
  <c r="BC37" i="15"/>
  <c r="BD37" i="15"/>
  <c r="BE37" i="15"/>
  <c r="BF37" i="15"/>
  <c r="BG37" i="15"/>
  <c r="BH37" i="15"/>
  <c r="BI37" i="15"/>
  <c r="BJ37" i="15"/>
  <c r="BK37" i="15"/>
  <c r="BL37" i="15"/>
  <c r="BM37" i="15"/>
  <c r="BN37" i="15"/>
  <c r="BO37" i="15"/>
  <c r="BP37" i="15"/>
  <c r="BQ37" i="15"/>
  <c r="BR37" i="15"/>
  <c r="BC38" i="15"/>
  <c r="BD38" i="15"/>
  <c r="BE38" i="15"/>
  <c r="BF38" i="15"/>
  <c r="BG38" i="15"/>
  <c r="BH38" i="15"/>
  <c r="BI38" i="15"/>
  <c r="BJ38" i="15"/>
  <c r="BK38" i="15"/>
  <c r="BL38" i="15"/>
  <c r="BM38" i="15"/>
  <c r="BN38" i="15"/>
  <c r="BO38" i="15"/>
  <c r="BP38" i="15"/>
  <c r="BQ38" i="15"/>
  <c r="BR38" i="15"/>
  <c r="BC39" i="15"/>
  <c r="BD39" i="15"/>
  <c r="BE39" i="15"/>
  <c r="BF39" i="15"/>
  <c r="BG39" i="15"/>
  <c r="BH39" i="15"/>
  <c r="BI39" i="15"/>
  <c r="BJ39" i="15"/>
  <c r="BK39" i="15"/>
  <c r="BL39" i="15"/>
  <c r="BM39" i="15"/>
  <c r="BN39" i="15"/>
  <c r="BO39" i="15"/>
  <c r="BP39" i="15"/>
  <c r="BQ39" i="15"/>
  <c r="BR39" i="15"/>
  <c r="BC40" i="15"/>
  <c r="BD40" i="15"/>
  <c r="BE40" i="15"/>
  <c r="BF40" i="15"/>
  <c r="BG40" i="15"/>
  <c r="BH40" i="15"/>
  <c r="BI40" i="15"/>
  <c r="BJ40" i="15"/>
  <c r="BK40" i="15"/>
  <c r="BL40" i="15"/>
  <c r="BM40" i="15"/>
  <c r="BN40" i="15"/>
  <c r="BO40" i="15"/>
  <c r="BP40" i="15"/>
  <c r="BQ40" i="15"/>
  <c r="BR40" i="15"/>
  <c r="BC41" i="15"/>
  <c r="BD41" i="15"/>
  <c r="BE41" i="15"/>
  <c r="BF41" i="15"/>
  <c r="BG41" i="15"/>
  <c r="BH41" i="15"/>
  <c r="BI41" i="15"/>
  <c r="BJ41" i="15"/>
  <c r="BK41" i="15"/>
  <c r="BL41" i="15"/>
  <c r="BM41" i="15"/>
  <c r="BN41" i="15"/>
  <c r="BO41" i="15"/>
  <c r="BP41" i="15"/>
  <c r="BQ41" i="15"/>
  <c r="BR41" i="15"/>
  <c r="BC42" i="15"/>
  <c r="BD42" i="15"/>
  <c r="BE42" i="15"/>
  <c r="BF42" i="15"/>
  <c r="BG42" i="15"/>
  <c r="BH42" i="15"/>
  <c r="BI42" i="15"/>
  <c r="BJ42" i="15"/>
  <c r="BK42" i="15"/>
  <c r="BL42" i="15"/>
  <c r="BM42" i="15"/>
  <c r="BN42" i="15"/>
  <c r="BO42" i="15"/>
  <c r="BP42" i="15"/>
  <c r="BQ42" i="15"/>
  <c r="BR42" i="15"/>
  <c r="BC43" i="15"/>
  <c r="BD43" i="15"/>
  <c r="BE43" i="15"/>
  <c r="BF43" i="15"/>
  <c r="BG43" i="15"/>
  <c r="BH43" i="15"/>
  <c r="BI43" i="15"/>
  <c r="BJ43" i="15"/>
  <c r="BK43" i="15"/>
  <c r="BL43" i="15"/>
  <c r="BM43" i="15"/>
  <c r="BN43" i="15"/>
  <c r="BO43" i="15"/>
  <c r="BP43" i="15"/>
  <c r="BQ43" i="15"/>
  <c r="BR43" i="15"/>
  <c r="BC44" i="15"/>
  <c r="BD44" i="15"/>
  <c r="BE44" i="15"/>
  <c r="BF44" i="15"/>
  <c r="BG44" i="15"/>
  <c r="BH44" i="15"/>
  <c r="BI44" i="15"/>
  <c r="BJ44" i="15"/>
  <c r="BK44" i="15"/>
  <c r="BL44" i="15"/>
  <c r="BM44" i="15"/>
  <c r="BN44" i="15"/>
  <c r="BO44" i="15"/>
  <c r="BP44" i="15"/>
  <c r="BQ44" i="15"/>
  <c r="BR44" i="15"/>
  <c r="BC45" i="15"/>
  <c r="BD45" i="15"/>
  <c r="BE45" i="15"/>
  <c r="BF45" i="15"/>
  <c r="BG45" i="15"/>
  <c r="BH45" i="15"/>
  <c r="BI45" i="15"/>
  <c r="BJ45" i="15"/>
  <c r="BK45" i="15"/>
  <c r="BL45" i="15"/>
  <c r="BM45" i="15"/>
  <c r="BN45" i="15"/>
  <c r="BO45" i="15"/>
  <c r="BP45" i="15"/>
  <c r="BQ45" i="15"/>
  <c r="BR45" i="15"/>
  <c r="BC46" i="15"/>
  <c r="BD46" i="15"/>
  <c r="BE46" i="15"/>
  <c r="BF46" i="15"/>
  <c r="BG46" i="15"/>
  <c r="BH46" i="15"/>
  <c r="BI46" i="15"/>
  <c r="BJ46" i="15"/>
  <c r="BK46" i="15"/>
  <c r="BL46" i="15"/>
  <c r="BM46" i="15"/>
  <c r="BN46" i="15"/>
  <c r="BO46" i="15"/>
  <c r="BP46" i="15"/>
  <c r="BQ46" i="15"/>
  <c r="BR46" i="15"/>
  <c r="BC47" i="15"/>
  <c r="BD47" i="15"/>
  <c r="BE47" i="15"/>
  <c r="BF47" i="15"/>
  <c r="BG47" i="15"/>
  <c r="BH47" i="15"/>
  <c r="BI47" i="15"/>
  <c r="BJ47" i="15"/>
  <c r="BK47" i="15"/>
  <c r="BL47" i="15"/>
  <c r="BM47" i="15"/>
  <c r="BN47" i="15"/>
  <c r="BO47" i="15"/>
  <c r="BP47" i="15"/>
  <c r="BQ47" i="15"/>
  <c r="BR47" i="15"/>
  <c r="BC48" i="15"/>
  <c r="BD48" i="15"/>
  <c r="BE48" i="15"/>
  <c r="BF48" i="15"/>
  <c r="BG48" i="15"/>
  <c r="BH48" i="15"/>
  <c r="BI48" i="15"/>
  <c r="BJ48" i="15"/>
  <c r="BK48" i="15"/>
  <c r="BL48" i="15"/>
  <c r="BM48" i="15"/>
  <c r="BN48" i="15"/>
  <c r="BO48" i="15"/>
  <c r="BP48" i="15"/>
  <c r="BQ48" i="15"/>
  <c r="BR48" i="15"/>
  <c r="BC49" i="15"/>
  <c r="BD49" i="15"/>
  <c r="BE49" i="15"/>
  <c r="BF49" i="15"/>
  <c r="BG49" i="15"/>
  <c r="BH49" i="15"/>
  <c r="BI49" i="15"/>
  <c r="BJ49" i="15"/>
  <c r="BK49" i="15"/>
  <c r="BL49" i="15"/>
  <c r="BM49" i="15"/>
  <c r="BN49" i="15"/>
  <c r="BO49" i="15"/>
  <c r="BP49" i="15"/>
  <c r="BQ49" i="15"/>
  <c r="BR49" i="15"/>
  <c r="BC50" i="15"/>
  <c r="BD50" i="15"/>
  <c r="BE50" i="15"/>
  <c r="BF50" i="15"/>
  <c r="BG50" i="15"/>
  <c r="BH50" i="15"/>
  <c r="BI50" i="15"/>
  <c r="BJ50" i="15"/>
  <c r="BK50" i="15"/>
  <c r="BL50" i="15"/>
  <c r="BM50" i="15"/>
  <c r="BN50" i="15"/>
  <c r="BO50" i="15"/>
  <c r="BP50" i="15"/>
  <c r="BQ50" i="15"/>
  <c r="BR50" i="15"/>
  <c r="BC51" i="15"/>
  <c r="BD51" i="15"/>
  <c r="BE51" i="15"/>
  <c r="BF51" i="15"/>
  <c r="BG51" i="15"/>
  <c r="BH51" i="15"/>
  <c r="BI51" i="15"/>
  <c r="BJ51" i="15"/>
  <c r="BK51" i="15"/>
  <c r="BL51" i="15"/>
  <c r="BM51" i="15"/>
  <c r="BN51" i="15"/>
  <c r="BO51" i="15"/>
  <c r="BP51" i="15"/>
  <c r="BQ51" i="15"/>
  <c r="BR51" i="15"/>
  <c r="BC52" i="15"/>
  <c r="BD52" i="15"/>
  <c r="BE52" i="15"/>
  <c r="BF52" i="15"/>
  <c r="BG52" i="15"/>
  <c r="BH52" i="15"/>
  <c r="BI52" i="15"/>
  <c r="BJ52" i="15"/>
  <c r="BK52" i="15"/>
  <c r="BL52" i="15"/>
  <c r="BM52" i="15"/>
  <c r="BN52" i="15"/>
  <c r="BO52" i="15"/>
  <c r="BP52" i="15"/>
  <c r="BQ52" i="15"/>
  <c r="BR52" i="15"/>
  <c r="BC53" i="15"/>
  <c r="BD53" i="15"/>
  <c r="BE53" i="15"/>
  <c r="BF53" i="15"/>
  <c r="BG53" i="15"/>
  <c r="BH53" i="15"/>
  <c r="BI53" i="15"/>
  <c r="BJ53" i="15"/>
  <c r="BK53" i="15"/>
  <c r="BL53" i="15"/>
  <c r="BM53" i="15"/>
  <c r="BN53" i="15"/>
  <c r="BO53" i="15"/>
  <c r="BP53" i="15"/>
  <c r="BQ53" i="15"/>
  <c r="BR53" i="15"/>
  <c r="BC54" i="15"/>
  <c r="BD54" i="15"/>
  <c r="BE54" i="15"/>
  <c r="BF54" i="15"/>
  <c r="BG54" i="15"/>
  <c r="BH54" i="15"/>
  <c r="BI54" i="15"/>
  <c r="BJ54" i="15"/>
  <c r="BK54" i="15"/>
  <c r="BL54" i="15"/>
  <c r="BM54" i="15"/>
  <c r="BN54" i="15"/>
  <c r="BO54" i="15"/>
  <c r="BP54" i="15"/>
  <c r="BQ54" i="15"/>
  <c r="BR54" i="15"/>
  <c r="BC55" i="15"/>
  <c r="BD55" i="15"/>
  <c r="BE55" i="15"/>
  <c r="BF55" i="15"/>
  <c r="BG55" i="15"/>
  <c r="BH55" i="15"/>
  <c r="BI55" i="15"/>
  <c r="BJ55" i="15"/>
  <c r="BK55" i="15"/>
  <c r="BL55" i="15"/>
  <c r="BM55" i="15"/>
  <c r="BN55" i="15"/>
  <c r="BO55" i="15"/>
  <c r="BP55" i="15"/>
  <c r="BQ55" i="15"/>
  <c r="BR55" i="15"/>
  <c r="BC56" i="15"/>
  <c r="BD56" i="15"/>
  <c r="BE56" i="15"/>
  <c r="BF56" i="15"/>
  <c r="BG56" i="15"/>
  <c r="BH56" i="15"/>
  <c r="BI56" i="15"/>
  <c r="BJ56" i="15"/>
  <c r="BK56" i="15"/>
  <c r="BL56" i="15"/>
  <c r="BM56" i="15"/>
  <c r="BN56" i="15"/>
  <c r="BO56" i="15"/>
  <c r="BP56" i="15"/>
  <c r="BQ56" i="15"/>
  <c r="BR56" i="15"/>
  <c r="BC57" i="15"/>
  <c r="BD57" i="15"/>
  <c r="BE57" i="15"/>
  <c r="BF57" i="15"/>
  <c r="BG57" i="15"/>
  <c r="BH57" i="15"/>
  <c r="BI57" i="15"/>
  <c r="BJ57" i="15"/>
  <c r="BK57" i="15"/>
  <c r="BL57" i="15"/>
  <c r="BM57" i="15"/>
  <c r="BN57" i="15"/>
  <c r="BO57" i="15"/>
  <c r="BP57" i="15"/>
  <c r="BQ57" i="15"/>
  <c r="BR57" i="15"/>
  <c r="BC58" i="15"/>
  <c r="BD58" i="15"/>
  <c r="BE58" i="15"/>
  <c r="BF58" i="15"/>
  <c r="BG58" i="15"/>
  <c r="BH58" i="15"/>
  <c r="BI58" i="15"/>
  <c r="BJ58" i="15"/>
  <c r="BK58" i="15"/>
  <c r="BL58" i="15"/>
  <c r="BM58" i="15"/>
  <c r="BN58" i="15"/>
  <c r="BO58" i="15"/>
  <c r="BP58" i="15"/>
  <c r="BQ58" i="15"/>
  <c r="BR58" i="15"/>
  <c r="BC59" i="15"/>
  <c r="BD59" i="15"/>
  <c r="BE59" i="15"/>
  <c r="BF59" i="15"/>
  <c r="BG59" i="15"/>
  <c r="BH59" i="15"/>
  <c r="BI59" i="15"/>
  <c r="BJ59" i="15"/>
  <c r="BK59" i="15"/>
  <c r="BL59" i="15"/>
  <c r="BM59" i="15"/>
  <c r="BN59" i="15"/>
  <c r="BO59" i="15"/>
  <c r="BP59" i="15"/>
  <c r="BQ59" i="15"/>
  <c r="BR59" i="15"/>
  <c r="BC60" i="15"/>
  <c r="BD60" i="15"/>
  <c r="BE60" i="15"/>
  <c r="BF60" i="15"/>
  <c r="BG60" i="15"/>
  <c r="BH60" i="15"/>
  <c r="BI60" i="15"/>
  <c r="BJ60" i="15"/>
  <c r="BK60" i="15"/>
  <c r="BL60" i="15"/>
  <c r="BM60" i="15"/>
  <c r="BN60" i="15"/>
  <c r="BO60" i="15"/>
  <c r="BP60" i="15"/>
  <c r="BQ60" i="15"/>
  <c r="BR60" i="15"/>
  <c r="BC61" i="15"/>
  <c r="BD61" i="15"/>
  <c r="BE61" i="15"/>
  <c r="BF61" i="15"/>
  <c r="BG61" i="15"/>
  <c r="BH61" i="15"/>
  <c r="BI61" i="15"/>
  <c r="BJ61" i="15"/>
  <c r="BK61" i="15"/>
  <c r="BL61" i="15"/>
  <c r="BM61" i="15"/>
  <c r="BN61" i="15"/>
  <c r="BO61" i="15"/>
  <c r="BP61" i="15"/>
  <c r="BQ61" i="15"/>
  <c r="BR61" i="15"/>
  <c r="BC62" i="15"/>
  <c r="BD62" i="15"/>
  <c r="BE62" i="15"/>
  <c r="BF62" i="15"/>
  <c r="BG62" i="15"/>
  <c r="BH62" i="15"/>
  <c r="BI62" i="15"/>
  <c r="BJ62" i="15"/>
  <c r="BK62" i="15"/>
  <c r="BL62" i="15"/>
  <c r="BM62" i="15"/>
  <c r="BN62" i="15"/>
  <c r="BO62" i="15"/>
  <c r="BP62" i="15"/>
  <c r="BQ62" i="15"/>
  <c r="BR62" i="15"/>
  <c r="BC63" i="15"/>
  <c r="BD63" i="15"/>
  <c r="BE63" i="15"/>
  <c r="BF63" i="15"/>
  <c r="BG63" i="15"/>
  <c r="BH63" i="15"/>
  <c r="BI63" i="15"/>
  <c r="BJ63" i="15"/>
  <c r="BK63" i="15"/>
  <c r="BL63" i="15"/>
  <c r="BM63" i="15"/>
  <c r="BN63" i="15"/>
  <c r="BO63" i="15"/>
  <c r="BP63" i="15"/>
  <c r="BQ63" i="15"/>
  <c r="BR63" i="15"/>
  <c r="BC64" i="15"/>
  <c r="BD64" i="15"/>
  <c r="BE64" i="15"/>
  <c r="BF64" i="15"/>
  <c r="BG64" i="15"/>
  <c r="BH64" i="15"/>
  <c r="BI64" i="15"/>
  <c r="BJ64" i="15"/>
  <c r="BK64" i="15"/>
  <c r="BL64" i="15"/>
  <c r="BM64" i="15"/>
  <c r="BN64" i="15"/>
  <c r="BO64" i="15"/>
  <c r="BP64" i="15"/>
  <c r="BQ64" i="15"/>
  <c r="BR64" i="15"/>
  <c r="BC65" i="15"/>
  <c r="BD65" i="15"/>
  <c r="BE65" i="15"/>
  <c r="BF65" i="15"/>
  <c r="BG65" i="15"/>
  <c r="BH65" i="15"/>
  <c r="BI65" i="15"/>
  <c r="BJ65" i="15"/>
  <c r="BK65" i="15"/>
  <c r="BL65" i="15"/>
  <c r="BM65" i="15"/>
  <c r="BN65" i="15"/>
  <c r="BO65" i="15"/>
  <c r="BP65" i="15"/>
  <c r="BQ65" i="15"/>
  <c r="BR65" i="15"/>
  <c r="BC66" i="15"/>
  <c r="BD66" i="15"/>
  <c r="BE66" i="15"/>
  <c r="BF66" i="15"/>
  <c r="BG66" i="15"/>
  <c r="BH66" i="15"/>
  <c r="BI66" i="15"/>
  <c r="BJ66" i="15"/>
  <c r="BK66" i="15"/>
  <c r="BL66" i="15"/>
  <c r="BM66" i="15"/>
  <c r="BN66" i="15"/>
  <c r="BO66" i="15"/>
  <c r="BP66" i="15"/>
  <c r="BQ66" i="15"/>
  <c r="BR66" i="15"/>
  <c r="BC67" i="15"/>
  <c r="BD67" i="15"/>
  <c r="BE67" i="15"/>
  <c r="BF67" i="15"/>
  <c r="BG67" i="15"/>
  <c r="BH67" i="15"/>
  <c r="BI67" i="15"/>
  <c r="BJ67" i="15"/>
  <c r="BK67" i="15"/>
  <c r="BL67" i="15"/>
  <c r="BM67" i="15"/>
  <c r="BN67" i="15"/>
  <c r="BO67" i="15"/>
  <c r="BP67" i="15"/>
  <c r="BQ67" i="15"/>
  <c r="BR67" i="15"/>
  <c r="BC68" i="15"/>
  <c r="BD68" i="15"/>
  <c r="BE68" i="15"/>
  <c r="BF68" i="15"/>
  <c r="BG68" i="15"/>
  <c r="BH68" i="15"/>
  <c r="BI68" i="15"/>
  <c r="BJ68" i="15"/>
  <c r="BK68" i="15"/>
  <c r="BL68" i="15"/>
  <c r="BM68" i="15"/>
  <c r="BN68" i="15"/>
  <c r="BO68" i="15"/>
  <c r="BP68" i="15"/>
  <c r="BQ68" i="15"/>
  <c r="BR68" i="15"/>
  <c r="BC69" i="15"/>
  <c r="BD69" i="15"/>
  <c r="BE69" i="15"/>
  <c r="BF69" i="15"/>
  <c r="BG69" i="15"/>
  <c r="BH69" i="15"/>
  <c r="BI69" i="15"/>
  <c r="BJ69" i="15"/>
  <c r="BK69" i="15"/>
  <c r="BL69" i="15"/>
  <c r="BM69" i="15"/>
  <c r="BN69" i="15"/>
  <c r="BO69" i="15"/>
  <c r="BP69" i="15"/>
  <c r="BQ69" i="15"/>
  <c r="BR69" i="15"/>
  <c r="BC70" i="15"/>
  <c r="BD70" i="15"/>
  <c r="BE70" i="15"/>
  <c r="BF70" i="15"/>
  <c r="BG70" i="15"/>
  <c r="BH70" i="15"/>
  <c r="BI70" i="15"/>
  <c r="BJ70" i="15"/>
  <c r="BK70" i="15"/>
  <c r="BL70" i="15"/>
  <c r="BM70" i="15"/>
  <c r="BN70" i="15"/>
  <c r="BO70" i="15"/>
  <c r="BP70" i="15"/>
  <c r="BQ70" i="15"/>
  <c r="BR70" i="15"/>
  <c r="BC71" i="15"/>
  <c r="BD71" i="15"/>
  <c r="BE71" i="15"/>
  <c r="BF71" i="15"/>
  <c r="BG71" i="15"/>
  <c r="BH71" i="15"/>
  <c r="BI71" i="15"/>
  <c r="BJ71" i="15"/>
  <c r="BK71" i="15"/>
  <c r="BL71" i="15"/>
  <c r="BM71" i="15"/>
  <c r="BN71" i="15"/>
  <c r="BO71" i="15"/>
  <c r="BP71" i="15"/>
  <c r="BQ71" i="15"/>
  <c r="BR71" i="15"/>
  <c r="BC72" i="15"/>
  <c r="BD72" i="15"/>
  <c r="BE72" i="15"/>
  <c r="BF72" i="15"/>
  <c r="BG72" i="15"/>
  <c r="BH72" i="15"/>
  <c r="BI72" i="15"/>
  <c r="BJ72" i="15"/>
  <c r="BK72" i="15"/>
  <c r="BL72" i="15"/>
  <c r="BM72" i="15"/>
  <c r="BN72" i="15"/>
  <c r="BO72" i="15"/>
  <c r="BP72" i="15"/>
  <c r="BQ72" i="15"/>
  <c r="BR72" i="15"/>
  <c r="BC73" i="15"/>
  <c r="BD73" i="15"/>
  <c r="BE73" i="15"/>
  <c r="BF73" i="15"/>
  <c r="BG73" i="15"/>
  <c r="BH73" i="15"/>
  <c r="BI73" i="15"/>
  <c r="BJ73" i="15"/>
  <c r="BK73" i="15"/>
  <c r="BL73" i="15"/>
  <c r="BM73" i="15"/>
  <c r="BN73" i="15"/>
  <c r="BO73" i="15"/>
  <c r="BP73" i="15"/>
  <c r="BQ73" i="15"/>
  <c r="BR73" i="15"/>
  <c r="BC74" i="15"/>
  <c r="BD74" i="15"/>
  <c r="BE74" i="15"/>
  <c r="BF74" i="15"/>
  <c r="BG74" i="15"/>
  <c r="BH74" i="15"/>
  <c r="BI74" i="15"/>
  <c r="BJ74" i="15"/>
  <c r="BK74" i="15"/>
  <c r="BL74" i="15"/>
  <c r="BM74" i="15"/>
  <c r="BN74" i="15"/>
  <c r="BO74" i="15"/>
  <c r="BP74" i="15"/>
  <c r="BQ74" i="15"/>
  <c r="BR74" i="15"/>
  <c r="BC75" i="15"/>
  <c r="BD75" i="15"/>
  <c r="BE75" i="15"/>
  <c r="BF75" i="15"/>
  <c r="BG75" i="15"/>
  <c r="BH75" i="15"/>
  <c r="BI75" i="15"/>
  <c r="BJ75" i="15"/>
  <c r="BK75" i="15"/>
  <c r="BL75" i="15"/>
  <c r="BM75" i="15"/>
  <c r="BN75" i="15"/>
  <c r="BO75" i="15"/>
  <c r="BP75" i="15"/>
  <c r="BQ75" i="15"/>
  <c r="BR75" i="15"/>
  <c r="BC76" i="15"/>
  <c r="BD76" i="15"/>
  <c r="BE76" i="15"/>
  <c r="BF76" i="15"/>
  <c r="BG76" i="15"/>
  <c r="BH76" i="15"/>
  <c r="BI76" i="15"/>
  <c r="BJ76" i="15"/>
  <c r="BK76" i="15"/>
  <c r="BL76" i="15"/>
  <c r="BM76" i="15"/>
  <c r="BN76" i="15"/>
  <c r="BO76" i="15"/>
  <c r="BP76" i="15"/>
  <c r="BQ76" i="15"/>
  <c r="BR76" i="15"/>
  <c r="BC77" i="15"/>
  <c r="BD77" i="15"/>
  <c r="BE77" i="15"/>
  <c r="BF77" i="15"/>
  <c r="BG77" i="15"/>
  <c r="BH77" i="15"/>
  <c r="BI77" i="15"/>
  <c r="BJ77" i="15"/>
  <c r="BK77" i="15"/>
  <c r="BL77" i="15"/>
  <c r="BM77" i="15"/>
  <c r="BN77" i="15"/>
  <c r="BO77" i="15"/>
  <c r="BP77" i="15"/>
  <c r="BQ77" i="15"/>
  <c r="BR77" i="15"/>
  <c r="BC78" i="15"/>
  <c r="BD78" i="15"/>
  <c r="BE78" i="15"/>
  <c r="BF78" i="15"/>
  <c r="BG78" i="15"/>
  <c r="BH78" i="15"/>
  <c r="BI78" i="15"/>
  <c r="BJ78" i="15"/>
  <c r="BK78" i="15"/>
  <c r="BL78" i="15"/>
  <c r="BM78" i="15"/>
  <c r="BN78" i="15"/>
  <c r="BO78" i="15"/>
  <c r="BP78" i="15"/>
  <c r="BQ78" i="15"/>
  <c r="BR78" i="15"/>
  <c r="BC79" i="15"/>
  <c r="BD79" i="15"/>
  <c r="BE79" i="15"/>
  <c r="BF79" i="15"/>
  <c r="BG79" i="15"/>
  <c r="BH79" i="15"/>
  <c r="BI79" i="15"/>
  <c r="BJ79" i="15"/>
  <c r="BK79" i="15"/>
  <c r="BL79" i="15"/>
  <c r="BM79" i="15"/>
  <c r="BN79" i="15"/>
  <c r="BO79" i="15"/>
  <c r="BP79" i="15"/>
  <c r="BQ79" i="15"/>
  <c r="BR79" i="15"/>
  <c r="BC80" i="15"/>
  <c r="BD80" i="15"/>
  <c r="BE80" i="15"/>
  <c r="BF80" i="15"/>
  <c r="BG80" i="15"/>
  <c r="BH80" i="15"/>
  <c r="BI80" i="15"/>
  <c r="BJ80" i="15"/>
  <c r="BK80" i="15"/>
  <c r="BL80" i="15"/>
  <c r="BM80" i="15"/>
  <c r="BN80" i="15"/>
  <c r="BO80" i="15"/>
  <c r="BP80" i="15"/>
  <c r="BQ80" i="15"/>
  <c r="BR80" i="15"/>
  <c r="BC81" i="15"/>
  <c r="BD81" i="15"/>
  <c r="BE81" i="15"/>
  <c r="BF81" i="15"/>
  <c r="BG81" i="15"/>
  <c r="BH81" i="15"/>
  <c r="BI81" i="15"/>
  <c r="BJ81" i="15"/>
  <c r="BK81" i="15"/>
  <c r="BL81" i="15"/>
  <c r="BM81" i="15"/>
  <c r="BN81" i="15"/>
  <c r="BO81" i="15"/>
  <c r="BP81" i="15"/>
  <c r="BQ81" i="15"/>
  <c r="BR81" i="15"/>
  <c r="BC82" i="15"/>
  <c r="BD82" i="15"/>
  <c r="BE82" i="15"/>
  <c r="BF82" i="15"/>
  <c r="BG82" i="15"/>
  <c r="BH82" i="15"/>
  <c r="BI82" i="15"/>
  <c r="BJ82" i="15"/>
  <c r="BK82" i="15"/>
  <c r="BL82" i="15"/>
  <c r="BM82" i="15"/>
  <c r="BN82" i="15"/>
  <c r="BO82" i="15"/>
  <c r="BP82" i="15"/>
  <c r="BQ82" i="15"/>
  <c r="BR82" i="15"/>
  <c r="BC83" i="15"/>
  <c r="BD83" i="15"/>
  <c r="BE83" i="15"/>
  <c r="BF83" i="15"/>
  <c r="BG83" i="15"/>
  <c r="BH83" i="15"/>
  <c r="BI83" i="15"/>
  <c r="BJ83" i="15"/>
  <c r="BK83" i="15"/>
  <c r="BL83" i="15"/>
  <c r="BM83" i="15"/>
  <c r="BN83" i="15"/>
  <c r="BO83" i="15"/>
  <c r="BP83" i="15"/>
  <c r="BQ83" i="15"/>
  <c r="BR83" i="15"/>
  <c r="BC84" i="15"/>
  <c r="BD84" i="15"/>
  <c r="BE84" i="15"/>
  <c r="BF84" i="15"/>
  <c r="BG84" i="15"/>
  <c r="BH84" i="15"/>
  <c r="BI84" i="15"/>
  <c r="BJ84" i="15"/>
  <c r="BK84" i="15"/>
  <c r="BL84" i="15"/>
  <c r="BM84" i="15"/>
  <c r="BN84" i="15"/>
  <c r="BO84" i="15"/>
  <c r="BP84" i="15"/>
  <c r="BQ84" i="15"/>
  <c r="BR84" i="15"/>
  <c r="BC85" i="15"/>
  <c r="BD85" i="15"/>
  <c r="BE85" i="15"/>
  <c r="BF85" i="15"/>
  <c r="BG85" i="15"/>
  <c r="BH85" i="15"/>
  <c r="BI85" i="15"/>
  <c r="BJ85" i="15"/>
  <c r="BK85" i="15"/>
  <c r="BL85" i="15"/>
  <c r="BM85" i="15"/>
  <c r="BN85" i="15"/>
  <c r="BO85" i="15"/>
  <c r="BP85" i="15"/>
  <c r="BQ85" i="15"/>
  <c r="BR85" i="15"/>
  <c r="BC86" i="15"/>
  <c r="BD86" i="15"/>
  <c r="BE86" i="15"/>
  <c r="BF86" i="15"/>
  <c r="BG86" i="15"/>
  <c r="BH86" i="15"/>
  <c r="BI86" i="15"/>
  <c r="BJ86" i="15"/>
  <c r="BK86" i="15"/>
  <c r="BL86" i="15"/>
  <c r="BM86" i="15"/>
  <c r="BN86" i="15"/>
  <c r="BO86" i="15"/>
  <c r="BP86" i="15"/>
  <c r="BQ86" i="15"/>
  <c r="BR86" i="15"/>
  <c r="BC87" i="15"/>
  <c r="BD87" i="15"/>
  <c r="BE87" i="15"/>
  <c r="BF87" i="15"/>
  <c r="BG87" i="15"/>
  <c r="BH87" i="15"/>
  <c r="BI87" i="15"/>
  <c r="BJ87" i="15"/>
  <c r="BK87" i="15"/>
  <c r="BL87" i="15"/>
  <c r="BM87" i="15"/>
  <c r="BN87" i="15"/>
  <c r="BO87" i="15"/>
  <c r="BP87" i="15"/>
  <c r="BQ87" i="15"/>
  <c r="BR87" i="15"/>
  <c r="BC88" i="15"/>
  <c r="BD88" i="15"/>
  <c r="BE88" i="15"/>
  <c r="BF88" i="15"/>
  <c r="BG88" i="15"/>
  <c r="BH88" i="15"/>
  <c r="BI88" i="15"/>
  <c r="BJ88" i="15"/>
  <c r="BK88" i="15"/>
  <c r="BL88" i="15"/>
  <c r="BM88" i="15"/>
  <c r="BN88" i="15"/>
  <c r="BO88" i="15"/>
  <c r="BP88" i="15"/>
  <c r="BQ88" i="15"/>
  <c r="BR88" i="15"/>
  <c r="BC89" i="15"/>
  <c r="BD89" i="15"/>
  <c r="BE89" i="15"/>
  <c r="BF89" i="15"/>
  <c r="BG89" i="15"/>
  <c r="BH89" i="15"/>
  <c r="BI89" i="15"/>
  <c r="BJ89" i="15"/>
  <c r="BK89" i="15"/>
  <c r="BL89" i="15"/>
  <c r="BM89" i="15"/>
  <c r="BN89" i="15"/>
  <c r="BO89" i="15"/>
  <c r="BP89" i="15"/>
  <c r="BQ89" i="15"/>
  <c r="BR89" i="15"/>
  <c r="BC90" i="15"/>
  <c r="BD90" i="15"/>
  <c r="BE90" i="15"/>
  <c r="BF90" i="15"/>
  <c r="BG90" i="15"/>
  <c r="BH90" i="15"/>
  <c r="BI90" i="15"/>
  <c r="BJ90" i="15"/>
  <c r="BK90" i="15"/>
  <c r="BL90" i="15"/>
  <c r="BM90" i="15"/>
  <c r="BN90" i="15"/>
  <c r="BO90" i="15"/>
  <c r="BP90" i="15"/>
  <c r="BQ90" i="15"/>
  <c r="BR90" i="15"/>
  <c r="BC91" i="15"/>
  <c r="BD91" i="15"/>
  <c r="BE91" i="15"/>
  <c r="BF91" i="15"/>
  <c r="BG91" i="15"/>
  <c r="BH91" i="15"/>
  <c r="BI91" i="15"/>
  <c r="BJ91" i="15"/>
  <c r="BK91" i="15"/>
  <c r="BL91" i="15"/>
  <c r="BM91" i="15"/>
  <c r="BN91" i="15"/>
  <c r="BO91" i="15"/>
  <c r="BP91" i="15"/>
  <c r="BQ91" i="15"/>
  <c r="BR91" i="15"/>
  <c r="BC92" i="15"/>
  <c r="BD92" i="15"/>
  <c r="BE92" i="15"/>
  <c r="BF92" i="15"/>
  <c r="BG92" i="15"/>
  <c r="BH92" i="15"/>
  <c r="BI92" i="15"/>
  <c r="BJ92" i="15"/>
  <c r="BK92" i="15"/>
  <c r="BL92" i="15"/>
  <c r="BM92" i="15"/>
  <c r="BN92" i="15"/>
  <c r="BO92" i="15"/>
  <c r="BP92" i="15"/>
  <c r="BQ92" i="15"/>
  <c r="BR92" i="15"/>
  <c r="BC93" i="15"/>
  <c r="BD93" i="15"/>
  <c r="BE93" i="15"/>
  <c r="BF93" i="15"/>
  <c r="BG93" i="15"/>
  <c r="BH93" i="15"/>
  <c r="BI93" i="15"/>
  <c r="BJ93" i="15"/>
  <c r="BK93" i="15"/>
  <c r="BL93" i="15"/>
  <c r="BM93" i="15"/>
  <c r="BN93" i="15"/>
  <c r="BO93" i="15"/>
  <c r="BP93" i="15"/>
  <c r="BQ93" i="15"/>
  <c r="BR93" i="15"/>
  <c r="BC94" i="15"/>
  <c r="BD94" i="15"/>
  <c r="BE94" i="15"/>
  <c r="BF94" i="15"/>
  <c r="BG94" i="15"/>
  <c r="BH94" i="15"/>
  <c r="BI94" i="15"/>
  <c r="BJ94" i="15"/>
  <c r="BK94" i="15"/>
  <c r="BL94" i="15"/>
  <c r="BM94" i="15"/>
  <c r="BN94" i="15"/>
  <c r="BO94" i="15"/>
  <c r="BP94" i="15"/>
  <c r="BQ94" i="15"/>
  <c r="BR94" i="15"/>
  <c r="BC95" i="15"/>
  <c r="BD95" i="15"/>
  <c r="BE95" i="15"/>
  <c r="BF95" i="15"/>
  <c r="BG95" i="15"/>
  <c r="BH95" i="15"/>
  <c r="BI95" i="15"/>
  <c r="BJ95" i="15"/>
  <c r="BK95" i="15"/>
  <c r="BL95" i="15"/>
  <c r="BM95" i="15"/>
  <c r="BN95" i="15"/>
  <c r="BO95" i="15"/>
  <c r="BP95" i="15"/>
  <c r="BQ95" i="15"/>
  <c r="BR95" i="15"/>
  <c r="BC96" i="15"/>
  <c r="BD96" i="15"/>
  <c r="BE96" i="15"/>
  <c r="BF96" i="15"/>
  <c r="BG96" i="15"/>
  <c r="BH96" i="15"/>
  <c r="BI96" i="15"/>
  <c r="BJ96" i="15"/>
  <c r="BK96" i="15"/>
  <c r="BL96" i="15"/>
  <c r="BM96" i="15"/>
  <c r="BN96" i="15"/>
  <c r="BO96" i="15"/>
  <c r="BP96" i="15"/>
  <c r="BQ96" i="15"/>
  <c r="BR96" i="15"/>
  <c r="BC97" i="15"/>
  <c r="BD97" i="15"/>
  <c r="BE97" i="15"/>
  <c r="BF97" i="15"/>
  <c r="BG97" i="15"/>
  <c r="BH97" i="15"/>
  <c r="BI97" i="15"/>
  <c r="BJ97" i="15"/>
  <c r="BK97" i="15"/>
  <c r="BL97" i="15"/>
  <c r="BM97" i="15"/>
  <c r="BN97" i="15"/>
  <c r="BO97" i="15"/>
  <c r="BP97" i="15"/>
  <c r="BQ97" i="15"/>
  <c r="BR97" i="15"/>
  <c r="BC98" i="15"/>
  <c r="BD98" i="15"/>
  <c r="BE98" i="15"/>
  <c r="BF98" i="15"/>
  <c r="BG98" i="15"/>
  <c r="BH98" i="15"/>
  <c r="BI98" i="15"/>
  <c r="BJ98" i="15"/>
  <c r="BK98" i="15"/>
  <c r="BL98" i="15"/>
  <c r="BM98" i="15"/>
  <c r="BN98" i="15"/>
  <c r="BO98" i="15"/>
  <c r="BP98" i="15"/>
  <c r="BQ98" i="15"/>
  <c r="BR98" i="15"/>
  <c r="BC99" i="15"/>
  <c r="BD99" i="15"/>
  <c r="BE99" i="15"/>
  <c r="BF99" i="15"/>
  <c r="BG99" i="15"/>
  <c r="BH99" i="15"/>
  <c r="BI99" i="15"/>
  <c r="BJ99" i="15"/>
  <c r="BK99" i="15"/>
  <c r="BL99" i="15"/>
  <c r="BM99" i="15"/>
  <c r="BN99" i="15"/>
  <c r="BO99" i="15"/>
  <c r="BP99" i="15"/>
  <c r="BQ99" i="15"/>
  <c r="BR99" i="15"/>
  <c r="BC100" i="15"/>
  <c r="BD100" i="15"/>
  <c r="BE100" i="15"/>
  <c r="BF100" i="15"/>
  <c r="BG100" i="15"/>
  <c r="BH100" i="15"/>
  <c r="BI100" i="15"/>
  <c r="BJ100" i="15"/>
  <c r="BK100" i="15"/>
  <c r="BL100" i="15"/>
  <c r="BM100" i="15"/>
  <c r="BN100" i="15"/>
  <c r="BO100" i="15"/>
  <c r="BP100" i="15"/>
  <c r="BQ100" i="15"/>
  <c r="BR100" i="15"/>
  <c r="BC101" i="15"/>
  <c r="BD101" i="15"/>
  <c r="BE101" i="15"/>
  <c r="BF101" i="15"/>
  <c r="BG101" i="15"/>
  <c r="BH101" i="15"/>
  <c r="BI101" i="15"/>
  <c r="BJ101" i="15"/>
  <c r="BK101" i="15"/>
  <c r="BL101" i="15"/>
  <c r="BM101" i="15"/>
  <c r="BN101" i="15"/>
  <c r="BO101" i="15"/>
  <c r="BP101" i="15"/>
  <c r="BQ101" i="15"/>
  <c r="BR101" i="15"/>
  <c r="BC102" i="15"/>
  <c r="BD102" i="15"/>
  <c r="BE102" i="15"/>
  <c r="BF102" i="15"/>
  <c r="BG102" i="15"/>
  <c r="BH102" i="15"/>
  <c r="BI102" i="15"/>
  <c r="BJ102" i="15"/>
  <c r="BK102" i="15"/>
  <c r="BL102" i="15"/>
  <c r="BM102" i="15"/>
  <c r="BN102" i="15"/>
  <c r="BO102" i="15"/>
  <c r="BP102" i="15"/>
  <c r="BQ102" i="15"/>
  <c r="BR102" i="15"/>
  <c r="BC103" i="15"/>
  <c r="BD103" i="15"/>
  <c r="BE103" i="15"/>
  <c r="BF103" i="15"/>
  <c r="BG103" i="15"/>
  <c r="BH103" i="15"/>
  <c r="BI103" i="15"/>
  <c r="BJ103" i="15"/>
  <c r="BK103" i="15"/>
  <c r="BL103" i="15"/>
  <c r="BM103" i="15"/>
  <c r="BN103" i="15"/>
  <c r="BO103" i="15"/>
  <c r="BP103" i="15"/>
  <c r="BQ103" i="15"/>
  <c r="BR103" i="15"/>
  <c r="BC104" i="15"/>
  <c r="BD104" i="15"/>
  <c r="BE104" i="15"/>
  <c r="BF104" i="15"/>
  <c r="BG104" i="15"/>
  <c r="BH104" i="15"/>
  <c r="BI104" i="15"/>
  <c r="BJ104" i="15"/>
  <c r="BK104" i="15"/>
  <c r="BL104" i="15"/>
  <c r="BM104" i="15"/>
  <c r="BN104" i="15"/>
  <c r="BO104" i="15"/>
  <c r="BP104" i="15"/>
  <c r="BQ104" i="15"/>
  <c r="BR104" i="15"/>
  <c r="BC105" i="15"/>
  <c r="BD105" i="15"/>
  <c r="BE105" i="15"/>
  <c r="BF105" i="15"/>
  <c r="BG105" i="15"/>
  <c r="BH105" i="15"/>
  <c r="BI105" i="15"/>
  <c r="BJ105" i="15"/>
  <c r="BK105" i="15"/>
  <c r="BL105" i="15"/>
  <c r="BM105" i="15"/>
  <c r="BN105" i="15"/>
  <c r="BO105" i="15"/>
  <c r="BP105" i="15"/>
  <c r="BQ105" i="15"/>
  <c r="BR105" i="15"/>
  <c r="BC106" i="15"/>
  <c r="BD106" i="15"/>
  <c r="BE106" i="15"/>
  <c r="BF106" i="15"/>
  <c r="BG106" i="15"/>
  <c r="BH106" i="15"/>
  <c r="BI106" i="15"/>
  <c r="BJ106" i="15"/>
  <c r="BK106" i="15"/>
  <c r="BL106" i="15"/>
  <c r="BM106" i="15"/>
  <c r="BN106" i="15"/>
  <c r="BO106" i="15"/>
  <c r="BP106" i="15"/>
  <c r="BQ106" i="15"/>
  <c r="BR106" i="15"/>
  <c r="BC107" i="15"/>
  <c r="BD107" i="15"/>
  <c r="BE107" i="15"/>
  <c r="BF107" i="15"/>
  <c r="BG107" i="15"/>
  <c r="BH107" i="15"/>
  <c r="BI107" i="15"/>
  <c r="BJ107" i="15"/>
  <c r="BK107" i="15"/>
  <c r="BL107" i="15"/>
  <c r="BM107" i="15"/>
  <c r="BN107" i="15"/>
  <c r="BO107" i="15"/>
  <c r="BP107" i="15"/>
  <c r="BQ107" i="15"/>
  <c r="BR107" i="15"/>
  <c r="BD3" i="15"/>
  <c r="BE3" i="15"/>
  <c r="BF3" i="15"/>
  <c r="BG3" i="15"/>
  <c r="BH3" i="15"/>
  <c r="BI3" i="15"/>
  <c r="BJ3" i="15"/>
  <c r="BK3" i="15"/>
  <c r="BL3" i="15"/>
  <c r="BM3" i="15"/>
  <c r="BN3" i="15"/>
  <c r="BO3" i="15"/>
  <c r="BP3" i="15"/>
  <c r="BQ3" i="15"/>
  <c r="BR3" i="15"/>
  <c r="BC3" i="15"/>
  <c r="AK107" i="15"/>
  <c r="AP105" i="15"/>
  <c r="AL105" i="15"/>
  <c r="O108" i="15"/>
  <c r="AK4" i="15"/>
  <c r="AK5" i="15"/>
  <c r="AK6" i="15"/>
  <c r="AK7" i="15"/>
  <c r="AK8" i="15"/>
  <c r="AK9" i="15"/>
  <c r="AK10" i="15"/>
  <c r="AK11" i="15"/>
  <c r="AK12" i="15"/>
  <c r="AK13" i="15"/>
  <c r="AK14" i="15"/>
  <c r="AK15" i="15"/>
  <c r="AK16" i="15"/>
  <c r="AK17" i="15"/>
  <c r="AK18" i="15"/>
  <c r="AK19" i="15"/>
  <c r="AK20" i="15"/>
  <c r="AK21" i="15"/>
  <c r="AK22" i="15"/>
  <c r="AK23" i="15"/>
  <c r="AK24" i="15"/>
  <c r="AK25" i="15"/>
  <c r="AK26" i="15"/>
  <c r="AK27" i="15"/>
  <c r="AK28" i="15"/>
  <c r="AK29" i="15"/>
  <c r="AK30" i="15"/>
  <c r="AK31" i="15"/>
  <c r="AK32" i="15"/>
  <c r="AK33" i="15"/>
  <c r="AK34" i="15"/>
  <c r="AK35" i="15"/>
  <c r="AK36" i="15"/>
  <c r="AK37" i="15"/>
  <c r="AK38" i="15"/>
  <c r="AK39" i="15"/>
  <c r="AK40" i="15"/>
  <c r="AK41" i="15"/>
  <c r="AK42" i="15"/>
  <c r="AK43" i="15"/>
  <c r="AK44" i="15"/>
  <c r="AK45" i="15"/>
  <c r="AK46" i="15"/>
  <c r="AK47" i="15"/>
  <c r="AK48" i="15"/>
  <c r="AK49" i="15"/>
  <c r="AK50" i="15"/>
  <c r="AK51" i="15"/>
  <c r="AK52" i="15"/>
  <c r="AK53" i="15"/>
  <c r="AK54" i="15"/>
  <c r="AK55" i="15"/>
  <c r="AK56" i="15"/>
  <c r="AK57" i="15"/>
  <c r="AK58" i="15"/>
  <c r="AK59" i="15"/>
  <c r="AK60" i="15"/>
  <c r="AK61" i="15"/>
  <c r="AK62" i="15"/>
  <c r="AK63" i="15"/>
  <c r="AK64" i="15"/>
  <c r="AK65" i="15"/>
  <c r="AK66" i="15"/>
  <c r="AK67" i="15"/>
  <c r="AK68" i="15"/>
  <c r="AK69" i="15"/>
  <c r="AK70" i="15"/>
  <c r="AK71" i="15"/>
  <c r="AK72" i="15"/>
  <c r="AK73" i="15"/>
  <c r="AK74" i="15"/>
  <c r="AK75" i="15"/>
  <c r="AK76" i="15"/>
  <c r="AK77" i="15"/>
  <c r="AK78" i="15"/>
  <c r="AK79" i="15"/>
  <c r="AK80" i="15"/>
  <c r="AK81" i="15"/>
  <c r="AK82" i="15"/>
  <c r="AK83" i="15"/>
  <c r="AK84" i="15"/>
  <c r="AK85" i="15"/>
  <c r="AK86" i="15"/>
  <c r="AK87" i="15"/>
  <c r="AK88" i="15"/>
  <c r="AK89" i="15"/>
  <c r="AK90" i="15"/>
  <c r="AK91" i="15"/>
  <c r="AK92" i="15"/>
  <c r="AK93" i="15"/>
  <c r="AK94" i="15"/>
  <c r="AK95" i="15"/>
  <c r="AK96" i="15"/>
  <c r="AK97" i="15"/>
  <c r="AK98" i="15"/>
  <c r="AK99" i="15"/>
  <c r="AK100" i="15"/>
  <c r="AK101" i="15"/>
  <c r="AK102" i="15"/>
  <c r="AK103" i="15"/>
  <c r="AK104" i="15"/>
  <c r="AK105" i="15"/>
  <c r="AK106" i="15"/>
  <c r="AK3" i="15"/>
  <c r="AP16" i="15"/>
  <c r="AL38" i="15"/>
  <c r="AC109" i="15"/>
  <c r="AD109" i="15"/>
  <c r="AE109" i="15"/>
  <c r="AF109" i="15"/>
  <c r="AG109" i="15"/>
  <c r="AH109" i="15"/>
  <c r="AI109" i="15"/>
  <c r="AJ109" i="15"/>
  <c r="AB109" i="15"/>
  <c r="AP108" i="15"/>
  <c r="AQ108" i="15"/>
  <c r="AR108" i="15"/>
  <c r="AS108" i="15"/>
  <c r="AT108" i="15"/>
  <c r="AU108" i="15"/>
  <c r="AV108" i="15"/>
  <c r="AW108" i="15"/>
  <c r="AX108" i="15"/>
  <c r="AY108" i="15"/>
  <c r="AZ108" i="15"/>
  <c r="BA108" i="15"/>
  <c r="AP4" i="15"/>
  <c r="AQ4" i="15"/>
  <c r="AR4" i="15"/>
  <c r="AS4" i="15"/>
  <c r="AT4" i="15"/>
  <c r="AU4" i="15"/>
  <c r="AV4" i="15"/>
  <c r="AW4" i="15"/>
  <c r="AX4" i="15"/>
  <c r="AY4" i="15"/>
  <c r="AZ4" i="15"/>
  <c r="BA4" i="15"/>
  <c r="AP5" i="15"/>
  <c r="AQ5" i="15"/>
  <c r="AR5" i="15"/>
  <c r="AS5" i="15"/>
  <c r="AT5" i="15"/>
  <c r="AU5" i="15"/>
  <c r="AV5" i="15"/>
  <c r="AW5" i="15"/>
  <c r="AX5" i="15"/>
  <c r="AY5" i="15"/>
  <c r="AZ5" i="15"/>
  <c r="BA5" i="15"/>
  <c r="AP6" i="15"/>
  <c r="AQ6" i="15"/>
  <c r="AR6" i="15"/>
  <c r="AS6" i="15"/>
  <c r="AT6" i="15"/>
  <c r="AU6" i="15"/>
  <c r="AV6" i="15"/>
  <c r="AW6" i="15"/>
  <c r="AX6" i="15"/>
  <c r="AY6" i="15"/>
  <c r="AZ6" i="15"/>
  <c r="BA6" i="15"/>
  <c r="AP7" i="15"/>
  <c r="AQ7" i="15"/>
  <c r="AR7" i="15"/>
  <c r="AS7" i="15"/>
  <c r="AT7" i="15"/>
  <c r="AU7" i="15"/>
  <c r="AV7" i="15"/>
  <c r="AW7" i="15"/>
  <c r="AX7" i="15"/>
  <c r="AY7" i="15"/>
  <c r="AZ7" i="15"/>
  <c r="BA7" i="15"/>
  <c r="AP8" i="15"/>
  <c r="AQ8" i="15"/>
  <c r="AR8" i="15"/>
  <c r="AS8" i="15"/>
  <c r="AT8" i="15"/>
  <c r="AU8" i="15"/>
  <c r="AV8" i="15"/>
  <c r="AW8" i="15"/>
  <c r="AX8" i="15"/>
  <c r="AY8" i="15"/>
  <c r="AZ8" i="15"/>
  <c r="BA8" i="15"/>
  <c r="AP9" i="15"/>
  <c r="AQ9" i="15"/>
  <c r="AR9" i="15"/>
  <c r="AS9" i="15"/>
  <c r="AT9" i="15"/>
  <c r="AU9" i="15"/>
  <c r="AV9" i="15"/>
  <c r="AW9" i="15"/>
  <c r="AX9" i="15"/>
  <c r="AY9" i="15"/>
  <c r="AZ9" i="15"/>
  <c r="BA9" i="15"/>
  <c r="AP10" i="15"/>
  <c r="AQ10" i="15"/>
  <c r="AR10" i="15"/>
  <c r="AS10" i="15"/>
  <c r="AT10" i="15"/>
  <c r="AU10" i="15"/>
  <c r="AV10" i="15"/>
  <c r="AW10" i="15"/>
  <c r="AX10" i="15"/>
  <c r="AY10" i="15"/>
  <c r="AZ10" i="15"/>
  <c r="BA10" i="15"/>
  <c r="AP11" i="15"/>
  <c r="AQ11" i="15"/>
  <c r="AR11" i="15"/>
  <c r="AS11" i="15"/>
  <c r="AT11" i="15"/>
  <c r="AU11" i="15"/>
  <c r="AV11" i="15"/>
  <c r="AW11" i="15"/>
  <c r="AX11" i="15"/>
  <c r="AY11" i="15"/>
  <c r="AZ11" i="15"/>
  <c r="BA11" i="15"/>
  <c r="AP12" i="15"/>
  <c r="AQ12" i="15"/>
  <c r="AR12" i="15"/>
  <c r="AS12" i="15"/>
  <c r="AT12" i="15"/>
  <c r="AU12" i="15"/>
  <c r="AV12" i="15"/>
  <c r="AW12" i="15"/>
  <c r="AX12" i="15"/>
  <c r="AY12" i="15"/>
  <c r="AZ12" i="15"/>
  <c r="BA12" i="15"/>
  <c r="AP13" i="15"/>
  <c r="AQ13" i="15"/>
  <c r="AR13" i="15"/>
  <c r="AS13" i="15"/>
  <c r="AT13" i="15"/>
  <c r="AU13" i="15"/>
  <c r="AV13" i="15"/>
  <c r="AW13" i="15"/>
  <c r="AX13" i="15"/>
  <c r="AY13" i="15"/>
  <c r="AZ13" i="15"/>
  <c r="BA13" i="15"/>
  <c r="AP14" i="15"/>
  <c r="AQ14" i="15"/>
  <c r="AR14" i="15"/>
  <c r="AS14" i="15"/>
  <c r="AT14" i="15"/>
  <c r="AU14" i="15"/>
  <c r="AV14" i="15"/>
  <c r="AW14" i="15"/>
  <c r="AX14" i="15"/>
  <c r="AY14" i="15"/>
  <c r="AZ14" i="15"/>
  <c r="BA14" i="15"/>
  <c r="AP15" i="15"/>
  <c r="AQ15" i="15"/>
  <c r="AR15" i="15"/>
  <c r="AS15" i="15"/>
  <c r="AT15" i="15"/>
  <c r="AU15" i="15"/>
  <c r="AV15" i="15"/>
  <c r="AW15" i="15"/>
  <c r="AX15" i="15"/>
  <c r="AY15" i="15"/>
  <c r="AZ15" i="15"/>
  <c r="BA15" i="15"/>
  <c r="AQ16" i="15"/>
  <c r="AR16" i="15"/>
  <c r="AS16" i="15"/>
  <c r="AT16" i="15"/>
  <c r="AU16" i="15"/>
  <c r="AV16" i="15"/>
  <c r="AW16" i="15"/>
  <c r="AX16" i="15"/>
  <c r="AY16" i="15"/>
  <c r="AZ16" i="15"/>
  <c r="BA16" i="15"/>
  <c r="AP17" i="15"/>
  <c r="AQ17" i="15"/>
  <c r="AR17" i="15"/>
  <c r="AS17" i="15"/>
  <c r="AT17" i="15"/>
  <c r="AU17" i="15"/>
  <c r="AV17" i="15"/>
  <c r="AW17" i="15"/>
  <c r="AX17" i="15"/>
  <c r="AY17" i="15"/>
  <c r="AZ17" i="15"/>
  <c r="BA17" i="15"/>
  <c r="AP18" i="15"/>
  <c r="AQ18" i="15"/>
  <c r="AR18" i="15"/>
  <c r="AS18" i="15"/>
  <c r="AT18" i="15"/>
  <c r="AU18" i="15"/>
  <c r="AV18" i="15"/>
  <c r="AW18" i="15"/>
  <c r="AX18" i="15"/>
  <c r="AY18" i="15"/>
  <c r="AZ18" i="15"/>
  <c r="BA18" i="15"/>
  <c r="AP19" i="15"/>
  <c r="AQ19" i="15"/>
  <c r="AR19" i="15"/>
  <c r="AS19" i="15"/>
  <c r="AT19" i="15"/>
  <c r="AU19" i="15"/>
  <c r="AV19" i="15"/>
  <c r="AW19" i="15"/>
  <c r="AX19" i="15"/>
  <c r="AY19" i="15"/>
  <c r="AZ19" i="15"/>
  <c r="BA19" i="15"/>
  <c r="AP20" i="15"/>
  <c r="AQ20" i="15"/>
  <c r="AR20" i="15"/>
  <c r="AS20" i="15"/>
  <c r="AT20" i="15"/>
  <c r="AU20" i="15"/>
  <c r="AV20" i="15"/>
  <c r="AW20" i="15"/>
  <c r="AX20" i="15"/>
  <c r="AY20" i="15"/>
  <c r="AZ20" i="15"/>
  <c r="BA20" i="15"/>
  <c r="AP21" i="15"/>
  <c r="AQ21" i="15"/>
  <c r="AR21" i="15"/>
  <c r="AS21" i="15"/>
  <c r="AT21" i="15"/>
  <c r="AU21" i="15"/>
  <c r="AV21" i="15"/>
  <c r="AW21" i="15"/>
  <c r="AX21" i="15"/>
  <c r="AY21" i="15"/>
  <c r="AZ21" i="15"/>
  <c r="BA21" i="15"/>
  <c r="AP22" i="15"/>
  <c r="AQ22" i="15"/>
  <c r="AR22" i="15"/>
  <c r="AS22" i="15"/>
  <c r="AT22" i="15"/>
  <c r="AU22" i="15"/>
  <c r="AV22" i="15"/>
  <c r="AW22" i="15"/>
  <c r="AX22" i="15"/>
  <c r="AY22" i="15"/>
  <c r="AZ22" i="15"/>
  <c r="BA22" i="15"/>
  <c r="AP23" i="15"/>
  <c r="AQ23" i="15"/>
  <c r="AR23" i="15"/>
  <c r="AS23" i="15"/>
  <c r="AT23" i="15"/>
  <c r="AU23" i="15"/>
  <c r="AV23" i="15"/>
  <c r="AW23" i="15"/>
  <c r="AX23" i="15"/>
  <c r="AY23" i="15"/>
  <c r="AZ23" i="15"/>
  <c r="BA23" i="15"/>
  <c r="AP24" i="15"/>
  <c r="AQ24" i="15"/>
  <c r="AR24" i="15"/>
  <c r="AS24" i="15"/>
  <c r="AT24" i="15"/>
  <c r="AU24" i="15"/>
  <c r="AV24" i="15"/>
  <c r="AW24" i="15"/>
  <c r="AX24" i="15"/>
  <c r="AY24" i="15"/>
  <c r="AZ24" i="15"/>
  <c r="BA24" i="15"/>
  <c r="AP25" i="15"/>
  <c r="AQ25" i="15"/>
  <c r="AR25" i="15"/>
  <c r="AS25" i="15"/>
  <c r="AT25" i="15"/>
  <c r="AU25" i="15"/>
  <c r="AV25" i="15"/>
  <c r="AW25" i="15"/>
  <c r="AX25" i="15"/>
  <c r="AY25" i="15"/>
  <c r="AZ25" i="15"/>
  <c r="BA25" i="15"/>
  <c r="AP26" i="15"/>
  <c r="AQ26" i="15"/>
  <c r="AR26" i="15"/>
  <c r="AS26" i="15"/>
  <c r="AT26" i="15"/>
  <c r="AU26" i="15"/>
  <c r="AV26" i="15"/>
  <c r="AW26" i="15"/>
  <c r="AX26" i="15"/>
  <c r="AY26" i="15"/>
  <c r="AZ26" i="15"/>
  <c r="BA26" i="15"/>
  <c r="AP27" i="15"/>
  <c r="AQ27" i="15"/>
  <c r="AR27" i="15"/>
  <c r="AS27" i="15"/>
  <c r="AT27" i="15"/>
  <c r="AU27" i="15"/>
  <c r="AV27" i="15"/>
  <c r="AW27" i="15"/>
  <c r="AX27" i="15"/>
  <c r="AY27" i="15"/>
  <c r="AZ27" i="15"/>
  <c r="BA27" i="15"/>
  <c r="AP28" i="15"/>
  <c r="AQ28" i="15"/>
  <c r="AR28" i="15"/>
  <c r="AS28" i="15"/>
  <c r="AT28" i="15"/>
  <c r="AU28" i="15"/>
  <c r="AV28" i="15"/>
  <c r="AW28" i="15"/>
  <c r="AX28" i="15"/>
  <c r="AY28" i="15"/>
  <c r="AZ28" i="15"/>
  <c r="BA28" i="15"/>
  <c r="AP29" i="15"/>
  <c r="AQ29" i="15"/>
  <c r="AR29" i="15"/>
  <c r="AS29" i="15"/>
  <c r="AT29" i="15"/>
  <c r="AU29" i="15"/>
  <c r="AV29" i="15"/>
  <c r="AW29" i="15"/>
  <c r="AX29" i="15"/>
  <c r="AY29" i="15"/>
  <c r="AZ29" i="15"/>
  <c r="BA29" i="15"/>
  <c r="AP30" i="15"/>
  <c r="AQ30" i="15"/>
  <c r="AR30" i="15"/>
  <c r="AS30" i="15"/>
  <c r="AT30" i="15"/>
  <c r="AU30" i="15"/>
  <c r="AV30" i="15"/>
  <c r="AW30" i="15"/>
  <c r="AX30" i="15"/>
  <c r="AY30" i="15"/>
  <c r="AZ30" i="15"/>
  <c r="BA30" i="15"/>
  <c r="AP31" i="15"/>
  <c r="AQ31" i="15"/>
  <c r="AR31" i="15"/>
  <c r="AS31" i="15"/>
  <c r="AT31" i="15"/>
  <c r="AU31" i="15"/>
  <c r="AV31" i="15"/>
  <c r="AW31" i="15"/>
  <c r="AX31" i="15"/>
  <c r="AY31" i="15"/>
  <c r="AZ31" i="15"/>
  <c r="BA31" i="15"/>
  <c r="AP32" i="15"/>
  <c r="AQ32" i="15"/>
  <c r="AR32" i="15"/>
  <c r="AS32" i="15"/>
  <c r="AT32" i="15"/>
  <c r="AU32" i="15"/>
  <c r="AV32" i="15"/>
  <c r="AW32" i="15"/>
  <c r="AX32" i="15"/>
  <c r="AY32" i="15"/>
  <c r="AZ32" i="15"/>
  <c r="BA32" i="15"/>
  <c r="AP33" i="15"/>
  <c r="AQ33" i="15"/>
  <c r="AR33" i="15"/>
  <c r="AS33" i="15"/>
  <c r="AT33" i="15"/>
  <c r="AU33" i="15"/>
  <c r="AV33" i="15"/>
  <c r="AW33" i="15"/>
  <c r="AX33" i="15"/>
  <c r="AY33" i="15"/>
  <c r="AZ33" i="15"/>
  <c r="BA33" i="15"/>
  <c r="AP34" i="15"/>
  <c r="AQ34" i="15"/>
  <c r="AR34" i="15"/>
  <c r="AS34" i="15"/>
  <c r="AT34" i="15"/>
  <c r="AU34" i="15"/>
  <c r="AV34" i="15"/>
  <c r="AW34" i="15"/>
  <c r="AX34" i="15"/>
  <c r="AY34" i="15"/>
  <c r="AZ34" i="15"/>
  <c r="BA34" i="15"/>
  <c r="AP35" i="15"/>
  <c r="AQ35" i="15"/>
  <c r="AR35" i="15"/>
  <c r="AS35" i="15"/>
  <c r="AT35" i="15"/>
  <c r="AU35" i="15"/>
  <c r="AV35" i="15"/>
  <c r="AW35" i="15"/>
  <c r="AX35" i="15"/>
  <c r="AY35" i="15"/>
  <c r="AZ35" i="15"/>
  <c r="BA35" i="15"/>
  <c r="AP36" i="15"/>
  <c r="AQ36" i="15"/>
  <c r="AR36" i="15"/>
  <c r="AS36" i="15"/>
  <c r="AT36" i="15"/>
  <c r="AU36" i="15"/>
  <c r="AV36" i="15"/>
  <c r="AW36" i="15"/>
  <c r="AX36" i="15"/>
  <c r="AY36" i="15"/>
  <c r="AZ36" i="15"/>
  <c r="BA36" i="15"/>
  <c r="AP37" i="15"/>
  <c r="AQ37" i="15"/>
  <c r="AR37" i="15"/>
  <c r="AS37" i="15"/>
  <c r="AT37" i="15"/>
  <c r="AU37" i="15"/>
  <c r="AV37" i="15"/>
  <c r="AW37" i="15"/>
  <c r="AX37" i="15"/>
  <c r="AY37" i="15"/>
  <c r="AZ37" i="15"/>
  <c r="BA37" i="15"/>
  <c r="AP38" i="15"/>
  <c r="AQ38" i="15"/>
  <c r="AR38" i="15"/>
  <c r="AS38" i="15"/>
  <c r="AT38" i="15"/>
  <c r="AU38" i="15"/>
  <c r="AV38" i="15"/>
  <c r="AW38" i="15"/>
  <c r="AX38" i="15"/>
  <c r="AY38" i="15"/>
  <c r="AZ38" i="15"/>
  <c r="BA38" i="15"/>
  <c r="AP39" i="15"/>
  <c r="AQ39" i="15"/>
  <c r="AR39" i="15"/>
  <c r="AS39" i="15"/>
  <c r="AT39" i="15"/>
  <c r="AU39" i="15"/>
  <c r="AV39" i="15"/>
  <c r="AW39" i="15"/>
  <c r="AX39" i="15"/>
  <c r="AY39" i="15"/>
  <c r="AZ39" i="15"/>
  <c r="BA39" i="15"/>
  <c r="AP40" i="15"/>
  <c r="AQ40" i="15"/>
  <c r="AR40" i="15"/>
  <c r="AS40" i="15"/>
  <c r="AT40" i="15"/>
  <c r="AU40" i="15"/>
  <c r="AV40" i="15"/>
  <c r="AW40" i="15"/>
  <c r="AX40" i="15"/>
  <c r="AY40" i="15"/>
  <c r="AZ40" i="15"/>
  <c r="BA40" i="15"/>
  <c r="AP41" i="15"/>
  <c r="AQ41" i="15"/>
  <c r="AR41" i="15"/>
  <c r="AS41" i="15"/>
  <c r="AT41" i="15"/>
  <c r="AU41" i="15"/>
  <c r="AV41" i="15"/>
  <c r="AW41" i="15"/>
  <c r="AX41" i="15"/>
  <c r="AY41" i="15"/>
  <c r="AZ41" i="15"/>
  <c r="BA41" i="15"/>
  <c r="AP42" i="15"/>
  <c r="AQ42" i="15"/>
  <c r="AR42" i="15"/>
  <c r="AS42" i="15"/>
  <c r="AT42" i="15"/>
  <c r="AU42" i="15"/>
  <c r="AV42" i="15"/>
  <c r="AW42" i="15"/>
  <c r="AX42" i="15"/>
  <c r="AY42" i="15"/>
  <c r="AZ42" i="15"/>
  <c r="BA42" i="15"/>
  <c r="AP43" i="15"/>
  <c r="AQ43" i="15"/>
  <c r="AR43" i="15"/>
  <c r="AS43" i="15"/>
  <c r="AT43" i="15"/>
  <c r="AU43" i="15"/>
  <c r="AV43" i="15"/>
  <c r="AW43" i="15"/>
  <c r="AX43" i="15"/>
  <c r="AY43" i="15"/>
  <c r="AZ43" i="15"/>
  <c r="BA43" i="15"/>
  <c r="AP44" i="15"/>
  <c r="AQ44" i="15"/>
  <c r="AR44" i="15"/>
  <c r="AS44" i="15"/>
  <c r="AT44" i="15"/>
  <c r="AU44" i="15"/>
  <c r="AV44" i="15"/>
  <c r="AW44" i="15"/>
  <c r="AX44" i="15"/>
  <c r="AY44" i="15"/>
  <c r="AZ44" i="15"/>
  <c r="BA44" i="15"/>
  <c r="AP45" i="15"/>
  <c r="AQ45" i="15"/>
  <c r="AR45" i="15"/>
  <c r="AS45" i="15"/>
  <c r="AT45" i="15"/>
  <c r="AU45" i="15"/>
  <c r="AV45" i="15"/>
  <c r="AW45" i="15"/>
  <c r="AX45" i="15"/>
  <c r="AY45" i="15"/>
  <c r="AZ45" i="15"/>
  <c r="BA45" i="15"/>
  <c r="AP46" i="15"/>
  <c r="AQ46" i="15"/>
  <c r="AR46" i="15"/>
  <c r="AS46" i="15"/>
  <c r="AT46" i="15"/>
  <c r="AU46" i="15"/>
  <c r="AV46" i="15"/>
  <c r="AW46" i="15"/>
  <c r="AX46" i="15"/>
  <c r="AY46" i="15"/>
  <c r="AZ46" i="15"/>
  <c r="BA46" i="15"/>
  <c r="AP47" i="15"/>
  <c r="AQ47" i="15"/>
  <c r="AR47" i="15"/>
  <c r="AS47" i="15"/>
  <c r="AT47" i="15"/>
  <c r="AU47" i="15"/>
  <c r="AV47" i="15"/>
  <c r="AW47" i="15"/>
  <c r="AX47" i="15"/>
  <c r="AY47" i="15"/>
  <c r="AZ47" i="15"/>
  <c r="BA47" i="15"/>
  <c r="AP48" i="15"/>
  <c r="AQ48" i="15"/>
  <c r="AR48" i="15"/>
  <c r="AS48" i="15"/>
  <c r="AT48" i="15"/>
  <c r="AU48" i="15"/>
  <c r="AV48" i="15"/>
  <c r="AW48" i="15"/>
  <c r="AX48" i="15"/>
  <c r="AY48" i="15"/>
  <c r="AZ48" i="15"/>
  <c r="BA48" i="15"/>
  <c r="AP49" i="15"/>
  <c r="AQ49" i="15"/>
  <c r="AR49" i="15"/>
  <c r="AS49" i="15"/>
  <c r="AT49" i="15"/>
  <c r="AU49" i="15"/>
  <c r="AV49" i="15"/>
  <c r="AW49" i="15"/>
  <c r="AX49" i="15"/>
  <c r="AY49" i="15"/>
  <c r="AZ49" i="15"/>
  <c r="BA49" i="15"/>
  <c r="AP50" i="15"/>
  <c r="AQ50" i="15"/>
  <c r="AR50" i="15"/>
  <c r="AS50" i="15"/>
  <c r="AT50" i="15"/>
  <c r="AU50" i="15"/>
  <c r="AV50" i="15"/>
  <c r="AW50" i="15"/>
  <c r="AX50" i="15"/>
  <c r="AY50" i="15"/>
  <c r="AZ50" i="15"/>
  <c r="BA50" i="15"/>
  <c r="AP51" i="15"/>
  <c r="AQ51" i="15"/>
  <c r="AR51" i="15"/>
  <c r="AS51" i="15"/>
  <c r="AT51" i="15"/>
  <c r="AU51" i="15"/>
  <c r="AV51" i="15"/>
  <c r="AW51" i="15"/>
  <c r="AX51" i="15"/>
  <c r="AY51" i="15"/>
  <c r="AZ51" i="15"/>
  <c r="BA51" i="15"/>
  <c r="AP52" i="15"/>
  <c r="AQ52" i="15"/>
  <c r="AR52" i="15"/>
  <c r="AS52" i="15"/>
  <c r="AT52" i="15"/>
  <c r="AU52" i="15"/>
  <c r="AV52" i="15"/>
  <c r="AW52" i="15"/>
  <c r="AX52" i="15"/>
  <c r="AY52" i="15"/>
  <c r="AZ52" i="15"/>
  <c r="BA52" i="15"/>
  <c r="AP53" i="15"/>
  <c r="AQ53" i="15"/>
  <c r="AR53" i="15"/>
  <c r="AS53" i="15"/>
  <c r="AT53" i="15"/>
  <c r="AU53" i="15"/>
  <c r="AV53" i="15"/>
  <c r="AW53" i="15"/>
  <c r="AX53" i="15"/>
  <c r="AY53" i="15"/>
  <c r="AZ53" i="15"/>
  <c r="BA53" i="15"/>
  <c r="AP54" i="15"/>
  <c r="AQ54" i="15"/>
  <c r="AR54" i="15"/>
  <c r="AS54" i="15"/>
  <c r="AT54" i="15"/>
  <c r="AU54" i="15"/>
  <c r="AV54" i="15"/>
  <c r="AW54" i="15"/>
  <c r="AX54" i="15"/>
  <c r="AY54" i="15"/>
  <c r="AZ54" i="15"/>
  <c r="BA54" i="15"/>
  <c r="AP55" i="15"/>
  <c r="AQ55" i="15"/>
  <c r="AR55" i="15"/>
  <c r="AS55" i="15"/>
  <c r="AT55" i="15"/>
  <c r="AU55" i="15"/>
  <c r="AV55" i="15"/>
  <c r="AW55" i="15"/>
  <c r="AX55" i="15"/>
  <c r="AY55" i="15"/>
  <c r="AZ55" i="15"/>
  <c r="BA55" i="15"/>
  <c r="AP56" i="15"/>
  <c r="AQ56" i="15"/>
  <c r="AR56" i="15"/>
  <c r="AS56" i="15"/>
  <c r="AT56" i="15"/>
  <c r="AU56" i="15"/>
  <c r="AV56" i="15"/>
  <c r="AW56" i="15"/>
  <c r="AX56" i="15"/>
  <c r="AY56" i="15"/>
  <c r="AZ56" i="15"/>
  <c r="BA56" i="15"/>
  <c r="AP57" i="15"/>
  <c r="AQ57" i="15"/>
  <c r="AR57" i="15"/>
  <c r="AS57" i="15"/>
  <c r="AT57" i="15"/>
  <c r="AU57" i="15"/>
  <c r="AV57" i="15"/>
  <c r="AW57" i="15"/>
  <c r="AX57" i="15"/>
  <c r="AY57" i="15"/>
  <c r="AZ57" i="15"/>
  <c r="BA57" i="15"/>
  <c r="AP58" i="15"/>
  <c r="AQ58" i="15"/>
  <c r="AR58" i="15"/>
  <c r="AS58" i="15"/>
  <c r="AT58" i="15"/>
  <c r="AU58" i="15"/>
  <c r="AV58" i="15"/>
  <c r="AW58" i="15"/>
  <c r="AX58" i="15"/>
  <c r="AY58" i="15"/>
  <c r="AZ58" i="15"/>
  <c r="BA58" i="15"/>
  <c r="AP59" i="15"/>
  <c r="AQ59" i="15"/>
  <c r="AR59" i="15"/>
  <c r="AS59" i="15"/>
  <c r="AT59" i="15"/>
  <c r="AU59" i="15"/>
  <c r="AV59" i="15"/>
  <c r="AW59" i="15"/>
  <c r="AX59" i="15"/>
  <c r="AY59" i="15"/>
  <c r="AZ59" i="15"/>
  <c r="BA59" i="15"/>
  <c r="AP60" i="15"/>
  <c r="AQ60" i="15"/>
  <c r="AR60" i="15"/>
  <c r="AS60" i="15"/>
  <c r="AT60" i="15"/>
  <c r="AU60" i="15"/>
  <c r="AV60" i="15"/>
  <c r="AW60" i="15"/>
  <c r="AX60" i="15"/>
  <c r="AY60" i="15"/>
  <c r="AZ60" i="15"/>
  <c r="BA60" i="15"/>
  <c r="AP61" i="15"/>
  <c r="AQ61" i="15"/>
  <c r="AR61" i="15"/>
  <c r="AS61" i="15"/>
  <c r="AT61" i="15"/>
  <c r="AU61" i="15"/>
  <c r="AV61" i="15"/>
  <c r="AW61" i="15"/>
  <c r="AX61" i="15"/>
  <c r="AY61" i="15"/>
  <c r="AZ61" i="15"/>
  <c r="BA61" i="15"/>
  <c r="AP62" i="15"/>
  <c r="AQ62" i="15"/>
  <c r="AR62" i="15"/>
  <c r="AS62" i="15"/>
  <c r="AT62" i="15"/>
  <c r="AU62" i="15"/>
  <c r="AV62" i="15"/>
  <c r="AW62" i="15"/>
  <c r="AX62" i="15"/>
  <c r="AY62" i="15"/>
  <c r="AZ62" i="15"/>
  <c r="BA62" i="15"/>
  <c r="AP63" i="15"/>
  <c r="AQ63" i="15"/>
  <c r="AR63" i="15"/>
  <c r="AS63" i="15"/>
  <c r="AT63" i="15"/>
  <c r="AU63" i="15"/>
  <c r="AV63" i="15"/>
  <c r="AW63" i="15"/>
  <c r="AX63" i="15"/>
  <c r="AY63" i="15"/>
  <c r="AZ63" i="15"/>
  <c r="BA63" i="15"/>
  <c r="AP64" i="15"/>
  <c r="AQ64" i="15"/>
  <c r="AR64" i="15"/>
  <c r="AS64" i="15"/>
  <c r="AT64" i="15"/>
  <c r="AU64" i="15"/>
  <c r="AV64" i="15"/>
  <c r="AW64" i="15"/>
  <c r="AX64" i="15"/>
  <c r="AY64" i="15"/>
  <c r="AZ64" i="15"/>
  <c r="BA64" i="15"/>
  <c r="AP65" i="15"/>
  <c r="AQ65" i="15"/>
  <c r="AR65" i="15"/>
  <c r="AS65" i="15"/>
  <c r="AT65" i="15"/>
  <c r="AU65" i="15"/>
  <c r="AV65" i="15"/>
  <c r="AW65" i="15"/>
  <c r="AX65" i="15"/>
  <c r="AY65" i="15"/>
  <c r="AZ65" i="15"/>
  <c r="BA65" i="15"/>
  <c r="AP66" i="15"/>
  <c r="AQ66" i="15"/>
  <c r="AR66" i="15"/>
  <c r="AS66" i="15"/>
  <c r="AT66" i="15"/>
  <c r="AU66" i="15"/>
  <c r="AV66" i="15"/>
  <c r="AW66" i="15"/>
  <c r="AX66" i="15"/>
  <c r="AY66" i="15"/>
  <c r="AZ66" i="15"/>
  <c r="BA66" i="15"/>
  <c r="AP67" i="15"/>
  <c r="AQ67" i="15"/>
  <c r="AR67" i="15"/>
  <c r="AS67" i="15"/>
  <c r="AT67" i="15"/>
  <c r="AU67" i="15"/>
  <c r="AV67" i="15"/>
  <c r="AW67" i="15"/>
  <c r="AX67" i="15"/>
  <c r="AY67" i="15"/>
  <c r="AZ67" i="15"/>
  <c r="BA67" i="15"/>
  <c r="AP68" i="15"/>
  <c r="AQ68" i="15"/>
  <c r="AR68" i="15"/>
  <c r="AS68" i="15"/>
  <c r="AT68" i="15"/>
  <c r="AU68" i="15"/>
  <c r="AV68" i="15"/>
  <c r="AW68" i="15"/>
  <c r="AX68" i="15"/>
  <c r="AY68" i="15"/>
  <c r="AZ68" i="15"/>
  <c r="BA68" i="15"/>
  <c r="AP69" i="15"/>
  <c r="AQ69" i="15"/>
  <c r="AR69" i="15"/>
  <c r="AS69" i="15"/>
  <c r="AT69" i="15"/>
  <c r="AU69" i="15"/>
  <c r="AV69" i="15"/>
  <c r="AW69" i="15"/>
  <c r="AX69" i="15"/>
  <c r="AY69" i="15"/>
  <c r="AZ69" i="15"/>
  <c r="BA69" i="15"/>
  <c r="AP70" i="15"/>
  <c r="AQ70" i="15"/>
  <c r="AR70" i="15"/>
  <c r="AS70" i="15"/>
  <c r="AT70" i="15"/>
  <c r="AU70" i="15"/>
  <c r="AV70" i="15"/>
  <c r="AW70" i="15"/>
  <c r="AX70" i="15"/>
  <c r="AY70" i="15"/>
  <c r="AZ70" i="15"/>
  <c r="BA70" i="15"/>
  <c r="AP71" i="15"/>
  <c r="AQ71" i="15"/>
  <c r="AR71" i="15"/>
  <c r="AS71" i="15"/>
  <c r="AT71" i="15"/>
  <c r="AU71" i="15"/>
  <c r="AV71" i="15"/>
  <c r="AW71" i="15"/>
  <c r="AX71" i="15"/>
  <c r="AY71" i="15"/>
  <c r="AZ71" i="15"/>
  <c r="BA71" i="15"/>
  <c r="AP72" i="15"/>
  <c r="AQ72" i="15"/>
  <c r="AR72" i="15"/>
  <c r="AS72" i="15"/>
  <c r="AT72" i="15"/>
  <c r="AU72" i="15"/>
  <c r="AV72" i="15"/>
  <c r="AW72" i="15"/>
  <c r="AX72" i="15"/>
  <c r="AY72" i="15"/>
  <c r="AZ72" i="15"/>
  <c r="BA72" i="15"/>
  <c r="AP73" i="15"/>
  <c r="AQ73" i="15"/>
  <c r="AR73" i="15"/>
  <c r="AS73" i="15"/>
  <c r="AT73" i="15"/>
  <c r="AU73" i="15"/>
  <c r="AV73" i="15"/>
  <c r="AW73" i="15"/>
  <c r="AX73" i="15"/>
  <c r="AY73" i="15"/>
  <c r="AZ73" i="15"/>
  <c r="BA73" i="15"/>
  <c r="AP74" i="15"/>
  <c r="AQ74" i="15"/>
  <c r="AR74" i="15"/>
  <c r="AS74" i="15"/>
  <c r="AT74" i="15"/>
  <c r="AU74" i="15"/>
  <c r="AV74" i="15"/>
  <c r="AW74" i="15"/>
  <c r="AX74" i="15"/>
  <c r="AY74" i="15"/>
  <c r="AZ74" i="15"/>
  <c r="BA74" i="15"/>
  <c r="AP75" i="15"/>
  <c r="AQ75" i="15"/>
  <c r="AR75" i="15"/>
  <c r="AS75" i="15"/>
  <c r="AT75" i="15"/>
  <c r="AU75" i="15"/>
  <c r="AV75" i="15"/>
  <c r="AW75" i="15"/>
  <c r="AX75" i="15"/>
  <c r="AY75" i="15"/>
  <c r="AZ75" i="15"/>
  <c r="BA75" i="15"/>
  <c r="AP76" i="15"/>
  <c r="AQ76" i="15"/>
  <c r="AR76" i="15"/>
  <c r="AS76" i="15"/>
  <c r="AT76" i="15"/>
  <c r="AU76" i="15"/>
  <c r="AV76" i="15"/>
  <c r="AW76" i="15"/>
  <c r="AX76" i="15"/>
  <c r="AY76" i="15"/>
  <c r="AZ76" i="15"/>
  <c r="BA76" i="15"/>
  <c r="AP77" i="15"/>
  <c r="AQ77" i="15"/>
  <c r="AR77" i="15"/>
  <c r="AS77" i="15"/>
  <c r="AT77" i="15"/>
  <c r="AU77" i="15"/>
  <c r="AV77" i="15"/>
  <c r="AW77" i="15"/>
  <c r="AX77" i="15"/>
  <c r="AY77" i="15"/>
  <c r="AZ77" i="15"/>
  <c r="BA77" i="15"/>
  <c r="AP78" i="15"/>
  <c r="AQ78" i="15"/>
  <c r="AR78" i="15"/>
  <c r="AS78" i="15"/>
  <c r="AT78" i="15"/>
  <c r="AU78" i="15"/>
  <c r="AV78" i="15"/>
  <c r="AW78" i="15"/>
  <c r="AX78" i="15"/>
  <c r="AY78" i="15"/>
  <c r="AZ78" i="15"/>
  <c r="BA78" i="15"/>
  <c r="AP79" i="15"/>
  <c r="AQ79" i="15"/>
  <c r="AR79" i="15"/>
  <c r="AS79" i="15"/>
  <c r="AT79" i="15"/>
  <c r="AU79" i="15"/>
  <c r="AV79" i="15"/>
  <c r="AW79" i="15"/>
  <c r="AX79" i="15"/>
  <c r="AY79" i="15"/>
  <c r="AZ79" i="15"/>
  <c r="BA79" i="15"/>
  <c r="AP80" i="15"/>
  <c r="AQ80" i="15"/>
  <c r="AR80" i="15"/>
  <c r="AS80" i="15"/>
  <c r="AT80" i="15"/>
  <c r="AU80" i="15"/>
  <c r="AV80" i="15"/>
  <c r="AW80" i="15"/>
  <c r="AX80" i="15"/>
  <c r="AY80" i="15"/>
  <c r="AZ80" i="15"/>
  <c r="BA80" i="15"/>
  <c r="AP81" i="15"/>
  <c r="AQ81" i="15"/>
  <c r="AR81" i="15"/>
  <c r="AS81" i="15"/>
  <c r="AT81" i="15"/>
  <c r="AU81" i="15"/>
  <c r="AV81" i="15"/>
  <c r="AW81" i="15"/>
  <c r="AX81" i="15"/>
  <c r="AY81" i="15"/>
  <c r="AZ81" i="15"/>
  <c r="BA81" i="15"/>
  <c r="AP82" i="15"/>
  <c r="AQ82" i="15"/>
  <c r="AR82" i="15"/>
  <c r="AS82" i="15"/>
  <c r="AT82" i="15"/>
  <c r="AU82" i="15"/>
  <c r="AV82" i="15"/>
  <c r="AW82" i="15"/>
  <c r="AX82" i="15"/>
  <c r="AY82" i="15"/>
  <c r="AZ82" i="15"/>
  <c r="BA82" i="15"/>
  <c r="AP83" i="15"/>
  <c r="AQ83" i="15"/>
  <c r="AR83" i="15"/>
  <c r="AS83" i="15"/>
  <c r="AT83" i="15"/>
  <c r="AU83" i="15"/>
  <c r="AV83" i="15"/>
  <c r="AW83" i="15"/>
  <c r="AX83" i="15"/>
  <c r="AY83" i="15"/>
  <c r="AZ83" i="15"/>
  <c r="BA83" i="15"/>
  <c r="AP84" i="15"/>
  <c r="AQ84" i="15"/>
  <c r="AR84" i="15"/>
  <c r="AS84" i="15"/>
  <c r="AT84" i="15"/>
  <c r="AU84" i="15"/>
  <c r="AV84" i="15"/>
  <c r="AW84" i="15"/>
  <c r="AX84" i="15"/>
  <c r="AY84" i="15"/>
  <c r="AZ84" i="15"/>
  <c r="BA84" i="15"/>
  <c r="AP85" i="15"/>
  <c r="AQ85" i="15"/>
  <c r="AR85" i="15"/>
  <c r="AS85" i="15"/>
  <c r="AT85" i="15"/>
  <c r="AU85" i="15"/>
  <c r="AV85" i="15"/>
  <c r="AW85" i="15"/>
  <c r="AX85" i="15"/>
  <c r="AY85" i="15"/>
  <c r="AZ85" i="15"/>
  <c r="BA85" i="15"/>
  <c r="AP86" i="15"/>
  <c r="AQ86" i="15"/>
  <c r="AR86" i="15"/>
  <c r="AS86" i="15"/>
  <c r="AT86" i="15"/>
  <c r="AU86" i="15"/>
  <c r="AV86" i="15"/>
  <c r="AW86" i="15"/>
  <c r="AX86" i="15"/>
  <c r="AY86" i="15"/>
  <c r="AZ86" i="15"/>
  <c r="BA86" i="15"/>
  <c r="AP87" i="15"/>
  <c r="AQ87" i="15"/>
  <c r="AR87" i="15"/>
  <c r="AS87" i="15"/>
  <c r="AT87" i="15"/>
  <c r="AU87" i="15"/>
  <c r="AV87" i="15"/>
  <c r="AW87" i="15"/>
  <c r="AX87" i="15"/>
  <c r="AY87" i="15"/>
  <c r="AZ87" i="15"/>
  <c r="BA87" i="15"/>
  <c r="AP88" i="15"/>
  <c r="AQ88" i="15"/>
  <c r="AR88" i="15"/>
  <c r="AS88" i="15"/>
  <c r="AT88" i="15"/>
  <c r="AU88" i="15"/>
  <c r="AV88" i="15"/>
  <c r="AW88" i="15"/>
  <c r="AX88" i="15"/>
  <c r="AY88" i="15"/>
  <c r="AZ88" i="15"/>
  <c r="BA88" i="15"/>
  <c r="AP89" i="15"/>
  <c r="AQ89" i="15"/>
  <c r="AR89" i="15"/>
  <c r="AS89" i="15"/>
  <c r="AT89" i="15"/>
  <c r="AU89" i="15"/>
  <c r="AV89" i="15"/>
  <c r="AW89" i="15"/>
  <c r="AX89" i="15"/>
  <c r="AY89" i="15"/>
  <c r="AZ89" i="15"/>
  <c r="BA89" i="15"/>
  <c r="AP90" i="15"/>
  <c r="AQ90" i="15"/>
  <c r="AR90" i="15"/>
  <c r="AS90" i="15"/>
  <c r="AT90" i="15"/>
  <c r="AU90" i="15"/>
  <c r="AV90" i="15"/>
  <c r="AW90" i="15"/>
  <c r="AX90" i="15"/>
  <c r="AY90" i="15"/>
  <c r="AZ90" i="15"/>
  <c r="BA90" i="15"/>
  <c r="AP91" i="15"/>
  <c r="AQ91" i="15"/>
  <c r="AR91" i="15"/>
  <c r="AS91" i="15"/>
  <c r="AT91" i="15"/>
  <c r="AU91" i="15"/>
  <c r="AV91" i="15"/>
  <c r="AW91" i="15"/>
  <c r="AX91" i="15"/>
  <c r="AY91" i="15"/>
  <c r="AZ91" i="15"/>
  <c r="BA91" i="15"/>
  <c r="AP92" i="15"/>
  <c r="AQ92" i="15"/>
  <c r="AR92" i="15"/>
  <c r="AS92" i="15"/>
  <c r="AT92" i="15"/>
  <c r="AU92" i="15"/>
  <c r="AV92" i="15"/>
  <c r="AW92" i="15"/>
  <c r="AX92" i="15"/>
  <c r="AY92" i="15"/>
  <c r="AZ92" i="15"/>
  <c r="BA92" i="15"/>
  <c r="AP93" i="15"/>
  <c r="AQ93" i="15"/>
  <c r="AR93" i="15"/>
  <c r="AS93" i="15"/>
  <c r="AT93" i="15"/>
  <c r="AU93" i="15"/>
  <c r="AV93" i="15"/>
  <c r="AW93" i="15"/>
  <c r="AX93" i="15"/>
  <c r="AY93" i="15"/>
  <c r="AZ93" i="15"/>
  <c r="BA93" i="15"/>
  <c r="AP94" i="15"/>
  <c r="AQ94" i="15"/>
  <c r="AR94" i="15"/>
  <c r="AS94" i="15"/>
  <c r="AT94" i="15"/>
  <c r="AU94" i="15"/>
  <c r="AV94" i="15"/>
  <c r="AW94" i="15"/>
  <c r="AX94" i="15"/>
  <c r="AY94" i="15"/>
  <c r="AZ94" i="15"/>
  <c r="BA94" i="15"/>
  <c r="AP95" i="15"/>
  <c r="AQ95" i="15"/>
  <c r="AR95" i="15"/>
  <c r="AS95" i="15"/>
  <c r="AT95" i="15"/>
  <c r="AU95" i="15"/>
  <c r="AV95" i="15"/>
  <c r="AW95" i="15"/>
  <c r="AX95" i="15"/>
  <c r="AY95" i="15"/>
  <c r="AZ95" i="15"/>
  <c r="BA95" i="15"/>
  <c r="AP96" i="15"/>
  <c r="AQ96" i="15"/>
  <c r="AR96" i="15"/>
  <c r="AS96" i="15"/>
  <c r="AT96" i="15"/>
  <c r="AU96" i="15"/>
  <c r="AV96" i="15"/>
  <c r="AW96" i="15"/>
  <c r="AX96" i="15"/>
  <c r="AY96" i="15"/>
  <c r="AZ96" i="15"/>
  <c r="BA96" i="15"/>
  <c r="AP97" i="15"/>
  <c r="AQ97" i="15"/>
  <c r="AR97" i="15"/>
  <c r="AS97" i="15"/>
  <c r="AT97" i="15"/>
  <c r="AU97" i="15"/>
  <c r="AV97" i="15"/>
  <c r="AW97" i="15"/>
  <c r="AX97" i="15"/>
  <c r="AY97" i="15"/>
  <c r="AZ97" i="15"/>
  <c r="BA97" i="15"/>
  <c r="AP98" i="15"/>
  <c r="AQ98" i="15"/>
  <c r="AR98" i="15"/>
  <c r="AS98" i="15"/>
  <c r="AT98" i="15"/>
  <c r="AU98" i="15"/>
  <c r="AV98" i="15"/>
  <c r="AW98" i="15"/>
  <c r="AX98" i="15"/>
  <c r="AY98" i="15"/>
  <c r="AZ98" i="15"/>
  <c r="BA98" i="15"/>
  <c r="AP99" i="15"/>
  <c r="AQ99" i="15"/>
  <c r="AR99" i="15"/>
  <c r="AS99" i="15"/>
  <c r="AT99" i="15"/>
  <c r="AU99" i="15"/>
  <c r="AV99" i="15"/>
  <c r="AW99" i="15"/>
  <c r="AX99" i="15"/>
  <c r="AY99" i="15"/>
  <c r="AZ99" i="15"/>
  <c r="BA99" i="15"/>
  <c r="AP100" i="15"/>
  <c r="AQ100" i="15"/>
  <c r="AR100" i="15"/>
  <c r="AS100" i="15"/>
  <c r="AT100" i="15"/>
  <c r="AU100" i="15"/>
  <c r="AV100" i="15"/>
  <c r="AW100" i="15"/>
  <c r="AX100" i="15"/>
  <c r="AY100" i="15"/>
  <c r="AZ100" i="15"/>
  <c r="BA100" i="15"/>
  <c r="AP101" i="15"/>
  <c r="AQ101" i="15"/>
  <c r="AR101" i="15"/>
  <c r="AS101" i="15"/>
  <c r="AT101" i="15"/>
  <c r="AU101" i="15"/>
  <c r="AV101" i="15"/>
  <c r="AW101" i="15"/>
  <c r="AX101" i="15"/>
  <c r="AY101" i="15"/>
  <c r="AZ101" i="15"/>
  <c r="BA101" i="15"/>
  <c r="AP102" i="15"/>
  <c r="AQ102" i="15"/>
  <c r="AR102" i="15"/>
  <c r="AS102" i="15"/>
  <c r="AT102" i="15"/>
  <c r="AU102" i="15"/>
  <c r="AV102" i="15"/>
  <c r="AW102" i="15"/>
  <c r="AX102" i="15"/>
  <c r="AY102" i="15"/>
  <c r="AZ102" i="15"/>
  <c r="BA102" i="15"/>
  <c r="AP103" i="15"/>
  <c r="AQ103" i="15"/>
  <c r="AR103" i="15"/>
  <c r="AS103" i="15"/>
  <c r="AT103" i="15"/>
  <c r="AU103" i="15"/>
  <c r="AV103" i="15"/>
  <c r="AW103" i="15"/>
  <c r="AX103" i="15"/>
  <c r="AY103" i="15"/>
  <c r="AZ103" i="15"/>
  <c r="BA103" i="15"/>
  <c r="AP104" i="15"/>
  <c r="AQ104" i="15"/>
  <c r="AR104" i="15"/>
  <c r="AS104" i="15"/>
  <c r="AT104" i="15"/>
  <c r="AU104" i="15"/>
  <c r="AV104" i="15"/>
  <c r="AW104" i="15"/>
  <c r="AX104" i="15"/>
  <c r="AY104" i="15"/>
  <c r="AZ104" i="15"/>
  <c r="BA104" i="15"/>
  <c r="AQ105" i="15"/>
  <c r="AR105" i="15"/>
  <c r="AS105" i="15"/>
  <c r="AT105" i="15"/>
  <c r="AU105" i="15"/>
  <c r="AV105" i="15"/>
  <c r="AW105" i="15"/>
  <c r="AX105" i="15"/>
  <c r="AY105" i="15"/>
  <c r="AZ105" i="15"/>
  <c r="BA105" i="15"/>
  <c r="AP106" i="15"/>
  <c r="AQ106" i="15"/>
  <c r="AR106" i="15"/>
  <c r="AS106" i="15"/>
  <c r="AT106" i="15"/>
  <c r="AU106" i="15"/>
  <c r="AV106" i="15"/>
  <c r="AW106" i="15"/>
  <c r="AX106" i="15"/>
  <c r="AY106" i="15"/>
  <c r="AZ106" i="15"/>
  <c r="BA106" i="15"/>
  <c r="AP107" i="15"/>
  <c r="AQ107" i="15"/>
  <c r="AR107" i="15"/>
  <c r="AS107" i="15"/>
  <c r="AT107" i="15"/>
  <c r="AU107" i="15"/>
  <c r="AV107" i="15"/>
  <c r="AW107" i="15"/>
  <c r="AX107" i="15"/>
  <c r="AY107" i="15"/>
  <c r="AZ107" i="15"/>
  <c r="BA107" i="15"/>
  <c r="BA3" i="15"/>
  <c r="AZ3" i="15"/>
  <c r="AY3" i="15"/>
  <c r="AX3" i="15"/>
  <c r="AW3" i="15"/>
  <c r="AV3" i="15"/>
  <c r="AU3" i="15"/>
  <c r="AT3" i="15"/>
  <c r="AS3" i="15"/>
  <c r="AR3" i="15"/>
  <c r="AQ3" i="15"/>
  <c r="AP3" i="15"/>
  <c r="AO4" i="15"/>
  <c r="AO5" i="15"/>
  <c r="AO6" i="15"/>
  <c r="AO7" i="15"/>
  <c r="AO8" i="15"/>
  <c r="AO9" i="15"/>
  <c r="AO10" i="15"/>
  <c r="AO11" i="15"/>
  <c r="AO12" i="15"/>
  <c r="AO13" i="15"/>
  <c r="AO14" i="15"/>
  <c r="AO15" i="15"/>
  <c r="AO16" i="15"/>
  <c r="AO17" i="15"/>
  <c r="AO18" i="15"/>
  <c r="AO19" i="15"/>
  <c r="AO20" i="15"/>
  <c r="AO21" i="15"/>
  <c r="AO22" i="15"/>
  <c r="AO23" i="15"/>
  <c r="AO24" i="15"/>
  <c r="AO25" i="15"/>
  <c r="AO26" i="15"/>
  <c r="AO27" i="15"/>
  <c r="AO28" i="15"/>
  <c r="AO29" i="15"/>
  <c r="AO30" i="15"/>
  <c r="AO31" i="15"/>
  <c r="AO32" i="15"/>
  <c r="AO33" i="15"/>
  <c r="AO34" i="15"/>
  <c r="AO35" i="15"/>
  <c r="AO36" i="15"/>
  <c r="AO37" i="15"/>
  <c r="AO38" i="15"/>
  <c r="AO39" i="15"/>
  <c r="AO40" i="15"/>
  <c r="AO41" i="15"/>
  <c r="AO42" i="15"/>
  <c r="AO43" i="15"/>
  <c r="AO44" i="15"/>
  <c r="AO45" i="15"/>
  <c r="AO46" i="15"/>
  <c r="AO47" i="15"/>
  <c r="AO48" i="15"/>
  <c r="AO49" i="15"/>
  <c r="AO50" i="15"/>
  <c r="AO51" i="15"/>
  <c r="AO52" i="15"/>
  <c r="AO53" i="15"/>
  <c r="AO54" i="15"/>
  <c r="AO55" i="15"/>
  <c r="AO56" i="15"/>
  <c r="AO57" i="15"/>
  <c r="AO58" i="15"/>
  <c r="AO59" i="15"/>
  <c r="AO60" i="15"/>
  <c r="AO61" i="15"/>
  <c r="AO62" i="15"/>
  <c r="AO63" i="15"/>
  <c r="AO64" i="15"/>
  <c r="AO65" i="15"/>
  <c r="AO66" i="15"/>
  <c r="AO67" i="15"/>
  <c r="AO68" i="15"/>
  <c r="AO69" i="15"/>
  <c r="AO70" i="15"/>
  <c r="AO71" i="15"/>
  <c r="AO72" i="15"/>
  <c r="AO73" i="15"/>
  <c r="AO74" i="15"/>
  <c r="AO75" i="15"/>
  <c r="AO76" i="15"/>
  <c r="AO77" i="15"/>
  <c r="AO78" i="15"/>
  <c r="AO79" i="15"/>
  <c r="AO80" i="15"/>
  <c r="AO81" i="15"/>
  <c r="AO82" i="15"/>
  <c r="AO83" i="15"/>
  <c r="AO84" i="15"/>
  <c r="AO85" i="15"/>
  <c r="AO86" i="15"/>
  <c r="AO87" i="15"/>
  <c r="AO88" i="15"/>
  <c r="AO89" i="15"/>
  <c r="AO90" i="15"/>
  <c r="AO91" i="15"/>
  <c r="AO92" i="15"/>
  <c r="AO93" i="15"/>
  <c r="AO94" i="15"/>
  <c r="AO95" i="15"/>
  <c r="AO96" i="15"/>
  <c r="AO97" i="15"/>
  <c r="AO98" i="15"/>
  <c r="AO99" i="15"/>
  <c r="AO100" i="15"/>
  <c r="AO101" i="15"/>
  <c r="AO102" i="15"/>
  <c r="AO103" i="15"/>
  <c r="AO104" i="15"/>
  <c r="AO105" i="15"/>
  <c r="AO106" i="15"/>
  <c r="AO107" i="15"/>
  <c r="AO3" i="15"/>
  <c r="B3" i="15"/>
  <c r="E3" i="15"/>
  <c r="H3" i="15"/>
  <c r="AB3" i="15"/>
  <c r="AE3" i="15"/>
  <c r="AH3" i="15"/>
  <c r="D3" i="15"/>
  <c r="G3" i="15"/>
  <c r="J3" i="15"/>
  <c r="C3" i="15"/>
  <c r="F3" i="15"/>
  <c r="I3" i="15"/>
  <c r="AC3" i="15"/>
  <c r="AD3" i="15"/>
  <c r="AF3" i="15"/>
  <c r="AG3" i="15"/>
  <c r="AI3" i="15"/>
  <c r="AJ3" i="15"/>
  <c r="AL3" i="15"/>
  <c r="AM3" i="15"/>
  <c r="B4" i="15"/>
  <c r="AB4" i="15"/>
  <c r="C4" i="15"/>
  <c r="AC4" i="15"/>
  <c r="D4" i="15"/>
  <c r="AD4" i="15"/>
  <c r="E4" i="15"/>
  <c r="AE4" i="15"/>
  <c r="F4" i="15"/>
  <c r="AF4" i="15"/>
  <c r="G4" i="15"/>
  <c r="AG4" i="15"/>
  <c r="H4" i="15"/>
  <c r="AH4" i="15"/>
  <c r="I4" i="15"/>
  <c r="AI4" i="15"/>
  <c r="J4" i="15"/>
  <c r="AJ4" i="15"/>
  <c r="AL4" i="15"/>
  <c r="AM4" i="15"/>
  <c r="B5" i="15"/>
  <c r="AB5" i="15"/>
  <c r="C5" i="15"/>
  <c r="AC5" i="15"/>
  <c r="D5" i="15"/>
  <c r="AD5" i="15"/>
  <c r="E5" i="15"/>
  <c r="AE5" i="15"/>
  <c r="F5" i="15"/>
  <c r="AF5" i="15"/>
  <c r="G5" i="15"/>
  <c r="AG5" i="15"/>
  <c r="H5" i="15"/>
  <c r="AH5" i="15"/>
  <c r="I5" i="15"/>
  <c r="AI5" i="15"/>
  <c r="J5" i="15"/>
  <c r="AJ5" i="15"/>
  <c r="AL5" i="15"/>
  <c r="AM5" i="15"/>
  <c r="B6" i="15"/>
  <c r="AB6" i="15"/>
  <c r="C6" i="15"/>
  <c r="AC6" i="15"/>
  <c r="D6" i="15"/>
  <c r="AD6" i="15"/>
  <c r="E6" i="15"/>
  <c r="AE6" i="15"/>
  <c r="F6" i="15"/>
  <c r="AF6" i="15"/>
  <c r="G6" i="15"/>
  <c r="AG6" i="15"/>
  <c r="H6" i="15"/>
  <c r="AH6" i="15"/>
  <c r="I6" i="15"/>
  <c r="AI6" i="15"/>
  <c r="J6" i="15"/>
  <c r="AJ6" i="15"/>
  <c r="AL6" i="15"/>
  <c r="AM6" i="15"/>
  <c r="B7" i="15"/>
  <c r="AB7" i="15"/>
  <c r="C7" i="15"/>
  <c r="AC7" i="15"/>
  <c r="D7" i="15"/>
  <c r="AD7" i="15"/>
  <c r="E7" i="15"/>
  <c r="AE7" i="15"/>
  <c r="F7" i="15"/>
  <c r="AF7" i="15"/>
  <c r="G7" i="15"/>
  <c r="AG7" i="15"/>
  <c r="H7" i="15"/>
  <c r="AH7" i="15"/>
  <c r="I7" i="15"/>
  <c r="AI7" i="15"/>
  <c r="J7" i="15"/>
  <c r="AJ7" i="15"/>
  <c r="AL7" i="15"/>
  <c r="AM7" i="15"/>
  <c r="B8" i="15"/>
  <c r="AB8" i="15"/>
  <c r="C8" i="15"/>
  <c r="AC8" i="15"/>
  <c r="D8" i="15"/>
  <c r="AD8" i="15"/>
  <c r="E8" i="15"/>
  <c r="AE8" i="15"/>
  <c r="F8" i="15"/>
  <c r="AF8" i="15"/>
  <c r="G8" i="15"/>
  <c r="AG8" i="15"/>
  <c r="H8" i="15"/>
  <c r="AH8" i="15"/>
  <c r="I8" i="15"/>
  <c r="AI8" i="15"/>
  <c r="J8" i="15"/>
  <c r="AJ8" i="15"/>
  <c r="AL8" i="15"/>
  <c r="AM8" i="15"/>
  <c r="B9" i="15"/>
  <c r="C9" i="15"/>
  <c r="AC9" i="15"/>
  <c r="D9" i="15"/>
  <c r="E9" i="15"/>
  <c r="F9" i="15"/>
  <c r="AF9" i="15"/>
  <c r="G9" i="15"/>
  <c r="AG9" i="15"/>
  <c r="H9" i="15"/>
  <c r="I9" i="15"/>
  <c r="AI9" i="15"/>
  <c r="J9" i="15"/>
  <c r="AL9" i="15"/>
  <c r="AM9" i="15"/>
  <c r="B10" i="15"/>
  <c r="AB10" i="15"/>
  <c r="C10" i="15"/>
  <c r="AC10" i="15"/>
  <c r="D10" i="15"/>
  <c r="AD10" i="15"/>
  <c r="E10" i="15"/>
  <c r="AE10" i="15"/>
  <c r="F10" i="15"/>
  <c r="AF10" i="15"/>
  <c r="G10" i="15"/>
  <c r="AG10" i="15"/>
  <c r="H10" i="15"/>
  <c r="AH10" i="15"/>
  <c r="I10" i="15"/>
  <c r="AI10" i="15"/>
  <c r="J10" i="15"/>
  <c r="AJ10" i="15"/>
  <c r="AL10" i="15"/>
  <c r="AM10" i="15"/>
  <c r="B11" i="15"/>
  <c r="AB11" i="15"/>
  <c r="C11" i="15"/>
  <c r="AC11" i="15"/>
  <c r="D11" i="15"/>
  <c r="AD11" i="15"/>
  <c r="E11" i="15"/>
  <c r="AE11" i="15"/>
  <c r="F11" i="15"/>
  <c r="AF11" i="15"/>
  <c r="G11" i="15"/>
  <c r="AG11" i="15"/>
  <c r="H11" i="15"/>
  <c r="AH11" i="15"/>
  <c r="I11" i="15"/>
  <c r="AI11" i="15"/>
  <c r="J11" i="15"/>
  <c r="AJ11" i="15"/>
  <c r="AL11" i="15"/>
  <c r="AM11" i="15"/>
  <c r="B12" i="15"/>
  <c r="AB12" i="15"/>
  <c r="C12" i="15"/>
  <c r="AC12" i="15"/>
  <c r="D12" i="15"/>
  <c r="AD12" i="15"/>
  <c r="E12" i="15"/>
  <c r="AE12" i="15"/>
  <c r="F12" i="15"/>
  <c r="AF12" i="15"/>
  <c r="G12" i="15"/>
  <c r="AG12" i="15"/>
  <c r="H12" i="15"/>
  <c r="AH12" i="15"/>
  <c r="I12" i="15"/>
  <c r="AI12" i="15"/>
  <c r="J12" i="15"/>
  <c r="AJ12" i="15"/>
  <c r="AL12" i="15"/>
  <c r="AM12" i="15"/>
  <c r="B13" i="15"/>
  <c r="AB13" i="15"/>
  <c r="C13" i="15"/>
  <c r="AC13" i="15"/>
  <c r="D13" i="15"/>
  <c r="AD13" i="15"/>
  <c r="E13" i="15"/>
  <c r="AE13" i="15"/>
  <c r="F13" i="15"/>
  <c r="AF13" i="15"/>
  <c r="G13" i="15"/>
  <c r="AG13" i="15"/>
  <c r="H13" i="15"/>
  <c r="AH13" i="15"/>
  <c r="I13" i="15"/>
  <c r="AI13" i="15"/>
  <c r="J13" i="15"/>
  <c r="AJ13" i="15"/>
  <c r="AL13" i="15"/>
  <c r="AM13" i="15"/>
  <c r="B14" i="15"/>
  <c r="AB14" i="15"/>
  <c r="C14" i="15"/>
  <c r="AC14" i="15"/>
  <c r="D14" i="15"/>
  <c r="AD14" i="15"/>
  <c r="E14" i="15"/>
  <c r="AE14" i="15"/>
  <c r="F14" i="15"/>
  <c r="AF14" i="15"/>
  <c r="G14" i="15"/>
  <c r="AG14" i="15"/>
  <c r="H14" i="15"/>
  <c r="AH14" i="15"/>
  <c r="I14" i="15"/>
  <c r="AI14" i="15"/>
  <c r="J14" i="15"/>
  <c r="AJ14" i="15"/>
  <c r="AL14" i="15"/>
  <c r="AM14" i="15"/>
  <c r="B15" i="15"/>
  <c r="AB15" i="15"/>
  <c r="C15" i="15"/>
  <c r="AC15" i="15"/>
  <c r="D15" i="15"/>
  <c r="AD15" i="15"/>
  <c r="E15" i="15"/>
  <c r="AE15" i="15"/>
  <c r="F15" i="15"/>
  <c r="AF15" i="15"/>
  <c r="G15" i="15"/>
  <c r="AG15" i="15"/>
  <c r="H15" i="15"/>
  <c r="AH15" i="15"/>
  <c r="I15" i="15"/>
  <c r="AI15" i="15"/>
  <c r="J15" i="15"/>
  <c r="AJ15" i="15"/>
  <c r="AL15" i="15"/>
  <c r="AM15" i="15"/>
  <c r="B16" i="15"/>
  <c r="AB16" i="15"/>
  <c r="C16" i="15"/>
  <c r="AC16" i="15"/>
  <c r="D16" i="15"/>
  <c r="AD16" i="15"/>
  <c r="E16" i="15"/>
  <c r="AE16" i="15"/>
  <c r="F16" i="15"/>
  <c r="AF16" i="15"/>
  <c r="G16" i="15"/>
  <c r="AG16" i="15"/>
  <c r="H16" i="15"/>
  <c r="AH16" i="15"/>
  <c r="I16" i="15"/>
  <c r="AI16" i="15"/>
  <c r="J16" i="15"/>
  <c r="AJ16" i="15"/>
  <c r="AL16" i="15"/>
  <c r="AM16" i="15"/>
  <c r="B17" i="15"/>
  <c r="AB17" i="15"/>
  <c r="C17" i="15"/>
  <c r="AC17" i="15"/>
  <c r="D17" i="15"/>
  <c r="AD17" i="15"/>
  <c r="E17" i="15"/>
  <c r="AE17" i="15"/>
  <c r="F17" i="15"/>
  <c r="AF17" i="15"/>
  <c r="G17" i="15"/>
  <c r="AG17" i="15"/>
  <c r="H17" i="15"/>
  <c r="AH17" i="15"/>
  <c r="I17" i="15"/>
  <c r="AI17" i="15"/>
  <c r="J17" i="15"/>
  <c r="AJ17" i="15"/>
  <c r="AL17" i="15"/>
  <c r="AM17" i="15"/>
  <c r="B18" i="15"/>
  <c r="AB18" i="15"/>
  <c r="C18" i="15"/>
  <c r="AC18" i="15"/>
  <c r="D18" i="15"/>
  <c r="AD18" i="15"/>
  <c r="E18" i="15"/>
  <c r="AE18" i="15"/>
  <c r="F18" i="15"/>
  <c r="AF18" i="15"/>
  <c r="G18" i="15"/>
  <c r="AG18" i="15"/>
  <c r="H18" i="15"/>
  <c r="AH18" i="15"/>
  <c r="I18" i="15"/>
  <c r="AI18" i="15"/>
  <c r="J18" i="15"/>
  <c r="AJ18" i="15"/>
  <c r="AL18" i="15"/>
  <c r="AM18" i="15"/>
  <c r="B19" i="15"/>
  <c r="AB19" i="15"/>
  <c r="C19" i="15"/>
  <c r="AC19" i="15"/>
  <c r="D19" i="15"/>
  <c r="AD19" i="15"/>
  <c r="E19" i="15"/>
  <c r="AE19" i="15"/>
  <c r="F19" i="15"/>
  <c r="AF19" i="15"/>
  <c r="G19" i="15"/>
  <c r="AG19" i="15"/>
  <c r="H19" i="15"/>
  <c r="AH19" i="15"/>
  <c r="I19" i="15"/>
  <c r="AI19" i="15"/>
  <c r="J19" i="15"/>
  <c r="AJ19" i="15"/>
  <c r="AL19" i="15"/>
  <c r="AM19" i="15"/>
  <c r="B20" i="15"/>
  <c r="AB20" i="15"/>
  <c r="C20" i="15"/>
  <c r="AC20" i="15"/>
  <c r="D20" i="15"/>
  <c r="AD20" i="15"/>
  <c r="E20" i="15"/>
  <c r="AE20" i="15"/>
  <c r="F20" i="15"/>
  <c r="AF20" i="15"/>
  <c r="G20" i="15"/>
  <c r="AG20" i="15"/>
  <c r="H20" i="15"/>
  <c r="AH20" i="15"/>
  <c r="I20" i="15"/>
  <c r="AI20" i="15"/>
  <c r="J20" i="15"/>
  <c r="AJ20" i="15"/>
  <c r="AL20" i="15"/>
  <c r="AM20" i="15"/>
  <c r="B21" i="15"/>
  <c r="AB21" i="15"/>
  <c r="C21" i="15"/>
  <c r="AC21" i="15"/>
  <c r="D21" i="15"/>
  <c r="AD21" i="15"/>
  <c r="E21" i="15"/>
  <c r="AE21" i="15"/>
  <c r="F21" i="15"/>
  <c r="AF21" i="15"/>
  <c r="G21" i="15"/>
  <c r="AG21" i="15"/>
  <c r="H21" i="15"/>
  <c r="AH21" i="15"/>
  <c r="I21" i="15"/>
  <c r="AI21" i="15"/>
  <c r="J21" i="15"/>
  <c r="AJ21" i="15"/>
  <c r="AL21" i="15"/>
  <c r="AM21" i="15"/>
  <c r="B22" i="15"/>
  <c r="AB22" i="15"/>
  <c r="C22" i="15"/>
  <c r="AC22" i="15"/>
  <c r="D22" i="15"/>
  <c r="AD22" i="15"/>
  <c r="E22" i="15"/>
  <c r="AE22" i="15"/>
  <c r="F22" i="15"/>
  <c r="AF22" i="15"/>
  <c r="G22" i="15"/>
  <c r="AG22" i="15"/>
  <c r="H22" i="15"/>
  <c r="AH22" i="15"/>
  <c r="I22" i="15"/>
  <c r="AI22" i="15"/>
  <c r="J22" i="15"/>
  <c r="AJ22" i="15"/>
  <c r="AL22" i="15"/>
  <c r="AM22" i="15"/>
  <c r="B23" i="15"/>
  <c r="AB23" i="15"/>
  <c r="C23" i="15"/>
  <c r="AC23" i="15"/>
  <c r="D23" i="15"/>
  <c r="AD23" i="15"/>
  <c r="E23" i="15"/>
  <c r="AE23" i="15"/>
  <c r="F23" i="15"/>
  <c r="AF23" i="15"/>
  <c r="G23" i="15"/>
  <c r="AG23" i="15"/>
  <c r="H23" i="15"/>
  <c r="AH23" i="15"/>
  <c r="I23" i="15"/>
  <c r="AI23" i="15"/>
  <c r="J23" i="15"/>
  <c r="AJ23" i="15"/>
  <c r="AL23" i="15"/>
  <c r="AM23" i="15"/>
  <c r="B24" i="15"/>
  <c r="AB24" i="15"/>
  <c r="C24" i="15"/>
  <c r="AC24" i="15"/>
  <c r="D24" i="15"/>
  <c r="AD24" i="15"/>
  <c r="E24" i="15"/>
  <c r="AE24" i="15"/>
  <c r="F24" i="15"/>
  <c r="AF24" i="15"/>
  <c r="G24" i="15"/>
  <c r="AG24" i="15"/>
  <c r="H24" i="15"/>
  <c r="AH24" i="15"/>
  <c r="I24" i="15"/>
  <c r="AI24" i="15"/>
  <c r="J24" i="15"/>
  <c r="AJ24" i="15"/>
  <c r="AL24" i="15"/>
  <c r="AM24" i="15"/>
  <c r="B25" i="15"/>
  <c r="AB25" i="15"/>
  <c r="C25" i="15"/>
  <c r="AC25" i="15"/>
  <c r="D25" i="15"/>
  <c r="AD25" i="15"/>
  <c r="E25" i="15"/>
  <c r="AE25" i="15"/>
  <c r="F25" i="15"/>
  <c r="AF25" i="15"/>
  <c r="G25" i="15"/>
  <c r="AG25" i="15"/>
  <c r="H25" i="15"/>
  <c r="AH25" i="15"/>
  <c r="I25" i="15"/>
  <c r="AI25" i="15"/>
  <c r="J25" i="15"/>
  <c r="AJ25" i="15"/>
  <c r="AL25" i="15"/>
  <c r="AM25" i="15"/>
  <c r="B26" i="15"/>
  <c r="AB26" i="15"/>
  <c r="C26" i="15"/>
  <c r="AC26" i="15"/>
  <c r="D26" i="15"/>
  <c r="AD26" i="15"/>
  <c r="E26" i="15"/>
  <c r="AE26" i="15"/>
  <c r="F26" i="15"/>
  <c r="AF26" i="15"/>
  <c r="G26" i="15"/>
  <c r="AG26" i="15"/>
  <c r="H26" i="15"/>
  <c r="AH26" i="15"/>
  <c r="I26" i="15"/>
  <c r="AI26" i="15"/>
  <c r="J26" i="15"/>
  <c r="AJ26" i="15"/>
  <c r="AL26" i="15"/>
  <c r="AM26" i="15"/>
  <c r="B27" i="15"/>
  <c r="AB27" i="15"/>
  <c r="C27" i="15"/>
  <c r="AC27" i="15"/>
  <c r="D27" i="15"/>
  <c r="AD27" i="15"/>
  <c r="E27" i="15"/>
  <c r="AE27" i="15"/>
  <c r="F27" i="15"/>
  <c r="AF27" i="15"/>
  <c r="G27" i="15"/>
  <c r="AG27" i="15"/>
  <c r="H27" i="15"/>
  <c r="AH27" i="15"/>
  <c r="I27" i="15"/>
  <c r="AI27" i="15"/>
  <c r="J27" i="15"/>
  <c r="AJ27" i="15"/>
  <c r="AL27" i="15"/>
  <c r="AM27" i="15"/>
  <c r="B28" i="15"/>
  <c r="AB28" i="15"/>
  <c r="C28" i="15"/>
  <c r="AC28" i="15"/>
  <c r="D28" i="15"/>
  <c r="AD28" i="15"/>
  <c r="E28" i="15"/>
  <c r="AE28" i="15"/>
  <c r="F28" i="15"/>
  <c r="AF28" i="15"/>
  <c r="G28" i="15"/>
  <c r="AG28" i="15"/>
  <c r="H28" i="15"/>
  <c r="AH28" i="15"/>
  <c r="I28" i="15"/>
  <c r="AI28" i="15"/>
  <c r="J28" i="15"/>
  <c r="AJ28" i="15"/>
  <c r="AL28" i="15"/>
  <c r="AM28" i="15"/>
  <c r="B29" i="15"/>
  <c r="C29" i="15"/>
  <c r="AC29" i="15"/>
  <c r="D29" i="15"/>
  <c r="E29" i="15"/>
  <c r="F29" i="15"/>
  <c r="AF29" i="15"/>
  <c r="G29" i="15"/>
  <c r="H29" i="15"/>
  <c r="I29" i="15"/>
  <c r="AI29" i="15"/>
  <c r="J29" i="15"/>
  <c r="AL29" i="15"/>
  <c r="AM29" i="15"/>
  <c r="B30" i="15"/>
  <c r="AB30" i="15"/>
  <c r="C30" i="15"/>
  <c r="AC30" i="15"/>
  <c r="D30" i="15"/>
  <c r="AD30" i="15"/>
  <c r="E30" i="15"/>
  <c r="AE30" i="15"/>
  <c r="F30" i="15"/>
  <c r="AF30" i="15"/>
  <c r="G30" i="15"/>
  <c r="AG30" i="15"/>
  <c r="H30" i="15"/>
  <c r="AH30" i="15"/>
  <c r="I30" i="15"/>
  <c r="AI30" i="15"/>
  <c r="J30" i="15"/>
  <c r="AJ30" i="15"/>
  <c r="AL30" i="15"/>
  <c r="AM30" i="15"/>
  <c r="B31" i="15"/>
  <c r="AB31" i="15"/>
  <c r="C31" i="15"/>
  <c r="AC31" i="15"/>
  <c r="D31" i="15"/>
  <c r="AD31" i="15"/>
  <c r="E31" i="15"/>
  <c r="AE31" i="15"/>
  <c r="F31" i="15"/>
  <c r="AF31" i="15"/>
  <c r="G31" i="15"/>
  <c r="AG31" i="15"/>
  <c r="H31" i="15"/>
  <c r="AH31" i="15"/>
  <c r="I31" i="15"/>
  <c r="AI31" i="15"/>
  <c r="J31" i="15"/>
  <c r="AJ31" i="15"/>
  <c r="AL31" i="15"/>
  <c r="AM31" i="15"/>
  <c r="B32" i="15"/>
  <c r="AB32" i="15"/>
  <c r="C32" i="15"/>
  <c r="AC32" i="15"/>
  <c r="D32" i="15"/>
  <c r="AD32" i="15"/>
  <c r="E32" i="15"/>
  <c r="AE32" i="15"/>
  <c r="F32" i="15"/>
  <c r="AF32" i="15"/>
  <c r="G32" i="15"/>
  <c r="AG32" i="15"/>
  <c r="H32" i="15"/>
  <c r="AH32" i="15"/>
  <c r="I32" i="15"/>
  <c r="AI32" i="15"/>
  <c r="J32" i="15"/>
  <c r="AJ32" i="15"/>
  <c r="AL32" i="15"/>
  <c r="AM32" i="15"/>
  <c r="B33" i="15"/>
  <c r="AB33" i="15"/>
  <c r="C33" i="15"/>
  <c r="AC33" i="15"/>
  <c r="D33" i="15"/>
  <c r="AD33" i="15"/>
  <c r="E33" i="15"/>
  <c r="AE33" i="15"/>
  <c r="F33" i="15"/>
  <c r="AF33" i="15"/>
  <c r="G33" i="15"/>
  <c r="AG33" i="15"/>
  <c r="H33" i="15"/>
  <c r="AH33" i="15"/>
  <c r="I33" i="15"/>
  <c r="AI33" i="15"/>
  <c r="J33" i="15"/>
  <c r="AJ33" i="15"/>
  <c r="AL33" i="15"/>
  <c r="AM33" i="15"/>
  <c r="B34" i="15"/>
  <c r="AB34" i="15"/>
  <c r="C34" i="15"/>
  <c r="AC34" i="15"/>
  <c r="D34" i="15"/>
  <c r="AD34" i="15"/>
  <c r="E34" i="15"/>
  <c r="AE34" i="15"/>
  <c r="F34" i="15"/>
  <c r="AF34" i="15"/>
  <c r="G34" i="15"/>
  <c r="AG34" i="15"/>
  <c r="H34" i="15"/>
  <c r="AH34" i="15"/>
  <c r="I34" i="15"/>
  <c r="AI34" i="15"/>
  <c r="J34" i="15"/>
  <c r="AJ34" i="15"/>
  <c r="AL34" i="15"/>
  <c r="AM34" i="15"/>
  <c r="B35" i="15"/>
  <c r="AB35" i="15"/>
  <c r="C35" i="15"/>
  <c r="AC35" i="15"/>
  <c r="D35" i="15"/>
  <c r="AD35" i="15"/>
  <c r="E35" i="15"/>
  <c r="AE35" i="15"/>
  <c r="F35" i="15"/>
  <c r="AF35" i="15"/>
  <c r="G35" i="15"/>
  <c r="AG35" i="15"/>
  <c r="H35" i="15"/>
  <c r="AH35" i="15"/>
  <c r="I35" i="15"/>
  <c r="AI35" i="15"/>
  <c r="J35" i="15"/>
  <c r="AJ35" i="15"/>
  <c r="AL35" i="15"/>
  <c r="AM35" i="15"/>
  <c r="B36" i="15"/>
  <c r="AB36" i="15"/>
  <c r="C36" i="15"/>
  <c r="AC36" i="15"/>
  <c r="D36" i="15"/>
  <c r="AD36" i="15"/>
  <c r="E36" i="15"/>
  <c r="AE36" i="15"/>
  <c r="F36" i="15"/>
  <c r="AF36" i="15"/>
  <c r="G36" i="15"/>
  <c r="AG36" i="15"/>
  <c r="H36" i="15"/>
  <c r="AH36" i="15"/>
  <c r="I36" i="15"/>
  <c r="AI36" i="15"/>
  <c r="J36" i="15"/>
  <c r="AJ36" i="15"/>
  <c r="AL36" i="15"/>
  <c r="AM36" i="15"/>
  <c r="B37" i="15"/>
  <c r="AB37" i="15"/>
  <c r="C37" i="15"/>
  <c r="AC37" i="15"/>
  <c r="D37" i="15"/>
  <c r="AD37" i="15"/>
  <c r="E37" i="15"/>
  <c r="AE37" i="15"/>
  <c r="F37" i="15"/>
  <c r="AF37" i="15"/>
  <c r="G37" i="15"/>
  <c r="AG37" i="15"/>
  <c r="H37" i="15"/>
  <c r="AH37" i="15"/>
  <c r="I37" i="15"/>
  <c r="AI37" i="15"/>
  <c r="J37" i="15"/>
  <c r="AJ37" i="15"/>
  <c r="AL37" i="15"/>
  <c r="AM37" i="15"/>
  <c r="B38" i="15"/>
  <c r="AB38" i="15"/>
  <c r="C38" i="15"/>
  <c r="AC38" i="15"/>
  <c r="D38" i="15"/>
  <c r="AD38" i="15"/>
  <c r="E38" i="15"/>
  <c r="AE38" i="15"/>
  <c r="F38" i="15"/>
  <c r="AF38" i="15"/>
  <c r="G38" i="15"/>
  <c r="AG38" i="15"/>
  <c r="H38" i="15"/>
  <c r="AH38" i="15"/>
  <c r="I38" i="15"/>
  <c r="AI38" i="15"/>
  <c r="J38" i="15"/>
  <c r="AJ38" i="15"/>
  <c r="AM38" i="15"/>
  <c r="B39" i="15"/>
  <c r="AB39" i="15"/>
  <c r="C39" i="15"/>
  <c r="AC39" i="15"/>
  <c r="D39" i="15"/>
  <c r="AD39" i="15"/>
  <c r="E39" i="15"/>
  <c r="AE39" i="15"/>
  <c r="F39" i="15"/>
  <c r="AF39" i="15"/>
  <c r="G39" i="15"/>
  <c r="AG39" i="15"/>
  <c r="H39" i="15"/>
  <c r="AH39" i="15"/>
  <c r="I39" i="15"/>
  <c r="AI39" i="15"/>
  <c r="J39" i="15"/>
  <c r="AJ39" i="15"/>
  <c r="AL39" i="15"/>
  <c r="AM39" i="15"/>
  <c r="B40" i="15"/>
  <c r="AB40" i="15"/>
  <c r="C40" i="15"/>
  <c r="AC40" i="15"/>
  <c r="D40" i="15"/>
  <c r="AD40" i="15"/>
  <c r="E40" i="15"/>
  <c r="AE40" i="15"/>
  <c r="F40" i="15"/>
  <c r="AF40" i="15"/>
  <c r="G40" i="15"/>
  <c r="AG40" i="15"/>
  <c r="H40" i="15"/>
  <c r="AH40" i="15"/>
  <c r="I40" i="15"/>
  <c r="AI40" i="15"/>
  <c r="J40" i="15"/>
  <c r="AJ40" i="15"/>
  <c r="AL40" i="15"/>
  <c r="AM40" i="15"/>
  <c r="B41" i="15"/>
  <c r="AB41" i="15"/>
  <c r="C41" i="15"/>
  <c r="AC41" i="15"/>
  <c r="D41" i="15"/>
  <c r="AD41" i="15"/>
  <c r="E41" i="15"/>
  <c r="AE41" i="15"/>
  <c r="F41" i="15"/>
  <c r="AF41" i="15"/>
  <c r="G41" i="15"/>
  <c r="AG41" i="15"/>
  <c r="H41" i="15"/>
  <c r="AH41" i="15"/>
  <c r="I41" i="15"/>
  <c r="AI41" i="15"/>
  <c r="J41" i="15"/>
  <c r="AJ41" i="15"/>
  <c r="AL41" i="15"/>
  <c r="AM41" i="15"/>
  <c r="B42" i="15"/>
  <c r="AB42" i="15"/>
  <c r="C42" i="15"/>
  <c r="AC42" i="15"/>
  <c r="D42" i="15"/>
  <c r="AD42" i="15"/>
  <c r="E42" i="15"/>
  <c r="AE42" i="15"/>
  <c r="F42" i="15"/>
  <c r="AF42" i="15"/>
  <c r="G42" i="15"/>
  <c r="AG42" i="15"/>
  <c r="H42" i="15"/>
  <c r="AH42" i="15"/>
  <c r="I42" i="15"/>
  <c r="AI42" i="15"/>
  <c r="J42" i="15"/>
  <c r="AJ42" i="15"/>
  <c r="AL42" i="15"/>
  <c r="AM42" i="15"/>
  <c r="B43" i="15"/>
  <c r="AB43" i="15"/>
  <c r="C43" i="15"/>
  <c r="AC43" i="15"/>
  <c r="D43" i="15"/>
  <c r="AD43" i="15"/>
  <c r="E43" i="15"/>
  <c r="AE43" i="15"/>
  <c r="F43" i="15"/>
  <c r="AF43" i="15"/>
  <c r="G43" i="15"/>
  <c r="AG43" i="15"/>
  <c r="H43" i="15"/>
  <c r="AH43" i="15"/>
  <c r="I43" i="15"/>
  <c r="AI43" i="15"/>
  <c r="J43" i="15"/>
  <c r="AJ43" i="15"/>
  <c r="AL43" i="15"/>
  <c r="AM43" i="15"/>
  <c r="B44" i="15"/>
  <c r="AB44" i="15"/>
  <c r="C44" i="15"/>
  <c r="AC44" i="15"/>
  <c r="D44" i="15"/>
  <c r="AD44" i="15"/>
  <c r="E44" i="15"/>
  <c r="AE44" i="15"/>
  <c r="F44" i="15"/>
  <c r="AF44" i="15"/>
  <c r="G44" i="15"/>
  <c r="AG44" i="15"/>
  <c r="H44" i="15"/>
  <c r="AH44" i="15"/>
  <c r="I44" i="15"/>
  <c r="AI44" i="15"/>
  <c r="J44" i="15"/>
  <c r="AJ44" i="15"/>
  <c r="AL44" i="15"/>
  <c r="AM44" i="15"/>
  <c r="B45" i="15"/>
  <c r="AB45" i="15"/>
  <c r="C45" i="15"/>
  <c r="AC45" i="15"/>
  <c r="D45" i="15"/>
  <c r="AD45" i="15"/>
  <c r="E45" i="15"/>
  <c r="AE45" i="15"/>
  <c r="F45" i="15"/>
  <c r="AF45" i="15"/>
  <c r="G45" i="15"/>
  <c r="AG45" i="15"/>
  <c r="H45" i="15"/>
  <c r="AH45" i="15"/>
  <c r="I45" i="15"/>
  <c r="AI45" i="15"/>
  <c r="J45" i="15"/>
  <c r="AJ45" i="15"/>
  <c r="AL45" i="15"/>
  <c r="AM45" i="15"/>
  <c r="B46" i="15"/>
  <c r="AB46" i="15"/>
  <c r="C46" i="15"/>
  <c r="AC46" i="15"/>
  <c r="D46" i="15"/>
  <c r="AD46" i="15"/>
  <c r="E46" i="15"/>
  <c r="AE46" i="15"/>
  <c r="F46" i="15"/>
  <c r="AF46" i="15"/>
  <c r="G46" i="15"/>
  <c r="AG46" i="15"/>
  <c r="H46" i="15"/>
  <c r="AH46" i="15"/>
  <c r="I46" i="15"/>
  <c r="AI46" i="15"/>
  <c r="J46" i="15"/>
  <c r="AJ46" i="15"/>
  <c r="AL46" i="15"/>
  <c r="AM46" i="15"/>
  <c r="B47" i="15"/>
  <c r="C47" i="15"/>
  <c r="D47" i="15"/>
  <c r="E47" i="15"/>
  <c r="F47" i="15"/>
  <c r="G47" i="15"/>
  <c r="H47" i="15"/>
  <c r="I47" i="15"/>
  <c r="AI47" i="15"/>
  <c r="J47" i="15"/>
  <c r="AL47" i="15"/>
  <c r="AM47" i="15"/>
  <c r="B48" i="15"/>
  <c r="C48" i="15"/>
  <c r="D48" i="15"/>
  <c r="E48" i="15"/>
  <c r="F48" i="15"/>
  <c r="G48" i="15"/>
  <c r="H48" i="15"/>
  <c r="I48" i="15"/>
  <c r="AI48" i="15"/>
  <c r="J48" i="15"/>
  <c r="AL48" i="15"/>
  <c r="AM48" i="15"/>
  <c r="B49" i="15"/>
  <c r="AB49" i="15"/>
  <c r="C49" i="15"/>
  <c r="AC49" i="15"/>
  <c r="D49" i="15"/>
  <c r="AD49" i="15"/>
  <c r="E49" i="15"/>
  <c r="AE49" i="15"/>
  <c r="F49" i="15"/>
  <c r="AF49" i="15"/>
  <c r="G49" i="15"/>
  <c r="AG49" i="15"/>
  <c r="H49" i="15"/>
  <c r="AH49" i="15"/>
  <c r="I49" i="15"/>
  <c r="AI49" i="15"/>
  <c r="J49" i="15"/>
  <c r="AJ49" i="15"/>
  <c r="AL49" i="15"/>
  <c r="AM49" i="15"/>
  <c r="B50" i="15"/>
  <c r="AB50" i="15"/>
  <c r="C50" i="15"/>
  <c r="AC50" i="15"/>
  <c r="D50" i="15"/>
  <c r="AD50" i="15"/>
  <c r="E50" i="15"/>
  <c r="AE50" i="15"/>
  <c r="F50" i="15"/>
  <c r="AF50" i="15"/>
  <c r="G50" i="15"/>
  <c r="AG50" i="15"/>
  <c r="H50" i="15"/>
  <c r="AH50" i="15"/>
  <c r="I50" i="15"/>
  <c r="AI50" i="15"/>
  <c r="J50" i="15"/>
  <c r="AJ50" i="15"/>
  <c r="AL50" i="15"/>
  <c r="AM50" i="15"/>
  <c r="B51" i="15"/>
  <c r="C51" i="15"/>
  <c r="D51" i="15"/>
  <c r="E51" i="15"/>
  <c r="F51" i="15"/>
  <c r="G51" i="15"/>
  <c r="H51" i="15"/>
  <c r="I51" i="15"/>
  <c r="J51" i="15"/>
  <c r="AL51" i="15"/>
  <c r="AM51" i="15"/>
  <c r="B52" i="15"/>
  <c r="AB52" i="15"/>
  <c r="C52" i="15"/>
  <c r="AC52" i="15"/>
  <c r="D52" i="15"/>
  <c r="AD52" i="15"/>
  <c r="E52" i="15"/>
  <c r="AE52" i="15"/>
  <c r="F52" i="15"/>
  <c r="AF52" i="15"/>
  <c r="G52" i="15"/>
  <c r="AG52" i="15"/>
  <c r="H52" i="15"/>
  <c r="AH52" i="15"/>
  <c r="I52" i="15"/>
  <c r="AI52" i="15"/>
  <c r="J52" i="15"/>
  <c r="AJ52" i="15"/>
  <c r="AL52" i="15"/>
  <c r="AM52" i="15"/>
  <c r="B53" i="15"/>
  <c r="C53" i="15"/>
  <c r="D53" i="15"/>
  <c r="E53" i="15"/>
  <c r="F53" i="15"/>
  <c r="AF53" i="15"/>
  <c r="G53" i="15"/>
  <c r="H53" i="15"/>
  <c r="I53" i="15"/>
  <c r="AI53" i="15"/>
  <c r="J53" i="15"/>
  <c r="AL53" i="15"/>
  <c r="AM53" i="15"/>
  <c r="B54" i="15"/>
  <c r="AB54" i="15"/>
  <c r="C54" i="15"/>
  <c r="AC54" i="15"/>
  <c r="D54" i="15"/>
  <c r="AD54" i="15"/>
  <c r="E54" i="15"/>
  <c r="AE54" i="15"/>
  <c r="F54" i="15"/>
  <c r="AF54" i="15"/>
  <c r="G54" i="15"/>
  <c r="AG54" i="15"/>
  <c r="H54" i="15"/>
  <c r="AH54" i="15"/>
  <c r="I54" i="15"/>
  <c r="AI54" i="15"/>
  <c r="J54" i="15"/>
  <c r="AJ54" i="15"/>
  <c r="AL54" i="15"/>
  <c r="AM54" i="15"/>
  <c r="B55" i="15"/>
  <c r="C55" i="15"/>
  <c r="D55" i="15"/>
  <c r="E55" i="15"/>
  <c r="F55" i="15"/>
  <c r="G55" i="15"/>
  <c r="H55" i="15"/>
  <c r="I55" i="15"/>
  <c r="J55" i="15"/>
  <c r="AL55" i="15"/>
  <c r="AM55" i="15"/>
  <c r="B56" i="15"/>
  <c r="AB56" i="15"/>
  <c r="C56" i="15"/>
  <c r="AC56" i="15"/>
  <c r="D56" i="15"/>
  <c r="AD56" i="15"/>
  <c r="E56" i="15"/>
  <c r="AE56" i="15"/>
  <c r="F56" i="15"/>
  <c r="AF56" i="15"/>
  <c r="G56" i="15"/>
  <c r="AG56" i="15"/>
  <c r="H56" i="15"/>
  <c r="AH56" i="15"/>
  <c r="I56" i="15"/>
  <c r="AI56" i="15"/>
  <c r="J56" i="15"/>
  <c r="AJ56" i="15"/>
  <c r="AL56" i="15"/>
  <c r="AM56" i="15"/>
  <c r="B57" i="15"/>
  <c r="AB57" i="15"/>
  <c r="C57" i="15"/>
  <c r="AC57" i="15"/>
  <c r="D57" i="15"/>
  <c r="AD57" i="15"/>
  <c r="E57" i="15"/>
  <c r="AE57" i="15"/>
  <c r="F57" i="15"/>
  <c r="AF57" i="15"/>
  <c r="G57" i="15"/>
  <c r="H57" i="15"/>
  <c r="AH57" i="15"/>
  <c r="I57" i="15"/>
  <c r="AI57" i="15"/>
  <c r="J57" i="15"/>
  <c r="AJ57" i="15"/>
  <c r="AL57" i="15"/>
  <c r="AM57" i="15"/>
  <c r="B58" i="15"/>
  <c r="AB58" i="15"/>
  <c r="C58" i="15"/>
  <c r="AC58" i="15"/>
  <c r="D58" i="15"/>
  <c r="AD58" i="15"/>
  <c r="E58" i="15"/>
  <c r="AE58" i="15"/>
  <c r="F58" i="15"/>
  <c r="AF58" i="15"/>
  <c r="G58" i="15"/>
  <c r="AG58" i="15"/>
  <c r="H58" i="15"/>
  <c r="AH58" i="15"/>
  <c r="I58" i="15"/>
  <c r="AI58" i="15"/>
  <c r="J58" i="15"/>
  <c r="AJ58" i="15"/>
  <c r="AL58" i="15"/>
  <c r="AM58" i="15"/>
  <c r="B59" i="15"/>
  <c r="AB59" i="15"/>
  <c r="C59" i="15"/>
  <c r="AC59" i="15"/>
  <c r="D59" i="15"/>
  <c r="AD59" i="15"/>
  <c r="E59" i="15"/>
  <c r="AE59" i="15"/>
  <c r="F59" i="15"/>
  <c r="AF59" i="15"/>
  <c r="G59" i="15"/>
  <c r="AG59" i="15"/>
  <c r="H59" i="15"/>
  <c r="AH59" i="15"/>
  <c r="I59" i="15"/>
  <c r="AI59" i="15"/>
  <c r="J59" i="15"/>
  <c r="AJ59" i="15"/>
  <c r="AL59" i="15"/>
  <c r="AM59" i="15"/>
  <c r="B60" i="15"/>
  <c r="C60" i="15"/>
  <c r="D60" i="15"/>
  <c r="E60" i="15"/>
  <c r="F60" i="15"/>
  <c r="G60" i="15"/>
  <c r="H60" i="15"/>
  <c r="I60" i="15"/>
  <c r="J60" i="15"/>
  <c r="AL60" i="15"/>
  <c r="AM60" i="15"/>
  <c r="B61" i="15"/>
  <c r="C61" i="15"/>
  <c r="D61" i="15"/>
  <c r="E61" i="15"/>
  <c r="F61" i="15"/>
  <c r="G61" i="15"/>
  <c r="H61" i="15"/>
  <c r="I61" i="15"/>
  <c r="AI61" i="15"/>
  <c r="J61" i="15"/>
  <c r="AL61" i="15"/>
  <c r="AM61" i="15"/>
  <c r="B62" i="15"/>
  <c r="C62" i="15"/>
  <c r="D62" i="15"/>
  <c r="E62" i="15"/>
  <c r="F62" i="15"/>
  <c r="G62" i="15"/>
  <c r="H62" i="15"/>
  <c r="I62" i="15"/>
  <c r="J62" i="15"/>
  <c r="AL62" i="15"/>
  <c r="AM62" i="15"/>
  <c r="B63" i="15"/>
  <c r="C63" i="15"/>
  <c r="AC63" i="15"/>
  <c r="D63" i="15"/>
  <c r="E63" i="15"/>
  <c r="F63" i="15"/>
  <c r="AF63" i="15"/>
  <c r="G63" i="15"/>
  <c r="H63" i="15"/>
  <c r="I63" i="15"/>
  <c r="AI63" i="15"/>
  <c r="J63" i="15"/>
  <c r="AL63" i="15"/>
  <c r="AM63" i="15"/>
  <c r="B64" i="15"/>
  <c r="AB64" i="15"/>
  <c r="C64" i="15"/>
  <c r="AC64" i="15"/>
  <c r="D64" i="15"/>
  <c r="AD64" i="15"/>
  <c r="E64" i="15"/>
  <c r="AE64" i="15"/>
  <c r="F64" i="15"/>
  <c r="AF64" i="15"/>
  <c r="G64" i="15"/>
  <c r="AG64" i="15"/>
  <c r="H64" i="15"/>
  <c r="I64" i="15"/>
  <c r="AI64" i="15"/>
  <c r="J64" i="15"/>
  <c r="AJ64" i="15"/>
  <c r="AL64" i="15"/>
  <c r="AM64" i="15"/>
  <c r="B65" i="15"/>
  <c r="AB65" i="15"/>
  <c r="C65" i="15"/>
  <c r="AC65" i="15"/>
  <c r="D65" i="15"/>
  <c r="AD65" i="15"/>
  <c r="E65" i="15"/>
  <c r="F65" i="15"/>
  <c r="AF65" i="15"/>
  <c r="G65" i="15"/>
  <c r="AG65" i="15"/>
  <c r="H65" i="15"/>
  <c r="I65" i="15"/>
  <c r="AI65" i="15"/>
  <c r="J65" i="15"/>
  <c r="AJ65" i="15"/>
  <c r="AL65" i="15"/>
  <c r="AM65" i="15"/>
  <c r="B66" i="15"/>
  <c r="AB66" i="15"/>
  <c r="C66" i="15"/>
  <c r="AC66" i="15"/>
  <c r="D66" i="15"/>
  <c r="AD66" i="15"/>
  <c r="E66" i="15"/>
  <c r="AE66" i="15"/>
  <c r="F66" i="15"/>
  <c r="AF66" i="15"/>
  <c r="G66" i="15"/>
  <c r="AG66" i="15"/>
  <c r="H66" i="15"/>
  <c r="AH66" i="15"/>
  <c r="I66" i="15"/>
  <c r="AI66" i="15"/>
  <c r="J66" i="15"/>
  <c r="AJ66" i="15"/>
  <c r="AL66" i="15"/>
  <c r="AM66" i="15"/>
  <c r="B67" i="15"/>
  <c r="AB67" i="15"/>
  <c r="C67" i="15"/>
  <c r="AC67" i="15"/>
  <c r="D67" i="15"/>
  <c r="AD67" i="15"/>
  <c r="E67" i="15"/>
  <c r="AE67" i="15"/>
  <c r="F67" i="15"/>
  <c r="AF67" i="15"/>
  <c r="G67" i="15"/>
  <c r="AG67" i="15"/>
  <c r="H67" i="15"/>
  <c r="AH67" i="15"/>
  <c r="I67" i="15"/>
  <c r="AI67" i="15"/>
  <c r="J67" i="15"/>
  <c r="AJ67" i="15"/>
  <c r="AL67" i="15"/>
  <c r="AM67" i="15"/>
  <c r="B68" i="15"/>
  <c r="AB68" i="15"/>
  <c r="C68" i="15"/>
  <c r="AC68" i="15"/>
  <c r="D68" i="15"/>
  <c r="AD68" i="15"/>
  <c r="E68" i="15"/>
  <c r="AE68" i="15"/>
  <c r="F68" i="15"/>
  <c r="AF68" i="15"/>
  <c r="G68" i="15"/>
  <c r="AG68" i="15"/>
  <c r="H68" i="15"/>
  <c r="AH68" i="15"/>
  <c r="I68" i="15"/>
  <c r="AI68" i="15"/>
  <c r="J68" i="15"/>
  <c r="AJ68" i="15"/>
  <c r="AL68" i="15"/>
  <c r="AM68" i="15"/>
  <c r="B69" i="15"/>
  <c r="AB69" i="15"/>
  <c r="C69" i="15"/>
  <c r="AC69" i="15"/>
  <c r="D69" i="15"/>
  <c r="AD69" i="15"/>
  <c r="E69" i="15"/>
  <c r="AE69" i="15"/>
  <c r="F69" i="15"/>
  <c r="AF69" i="15"/>
  <c r="G69" i="15"/>
  <c r="AG69" i="15"/>
  <c r="H69" i="15"/>
  <c r="AH69" i="15"/>
  <c r="I69" i="15"/>
  <c r="AI69" i="15"/>
  <c r="J69" i="15"/>
  <c r="AJ69" i="15"/>
  <c r="AL69" i="15"/>
  <c r="AM69" i="15"/>
  <c r="B70" i="15"/>
  <c r="AB70" i="15"/>
  <c r="C70" i="15"/>
  <c r="AC70" i="15"/>
  <c r="D70" i="15"/>
  <c r="AD70" i="15"/>
  <c r="E70" i="15"/>
  <c r="AE70" i="15"/>
  <c r="F70" i="15"/>
  <c r="AF70" i="15"/>
  <c r="G70" i="15"/>
  <c r="AG70" i="15"/>
  <c r="H70" i="15"/>
  <c r="AH70" i="15"/>
  <c r="I70" i="15"/>
  <c r="AI70" i="15"/>
  <c r="J70" i="15"/>
  <c r="AJ70" i="15"/>
  <c r="AL70" i="15"/>
  <c r="AM70" i="15"/>
  <c r="B71" i="15"/>
  <c r="AB71" i="15"/>
  <c r="C71" i="15"/>
  <c r="AC71" i="15"/>
  <c r="D71" i="15"/>
  <c r="AD71" i="15"/>
  <c r="E71" i="15"/>
  <c r="AE71" i="15"/>
  <c r="F71" i="15"/>
  <c r="AF71" i="15"/>
  <c r="G71" i="15"/>
  <c r="AG71" i="15"/>
  <c r="H71" i="15"/>
  <c r="AH71" i="15"/>
  <c r="I71" i="15"/>
  <c r="AI71" i="15"/>
  <c r="J71" i="15"/>
  <c r="AJ71" i="15"/>
  <c r="AL71" i="15"/>
  <c r="AM71" i="15"/>
  <c r="B72" i="15"/>
  <c r="AB72" i="15"/>
  <c r="C72" i="15"/>
  <c r="AC72" i="15"/>
  <c r="D72" i="15"/>
  <c r="AD72" i="15"/>
  <c r="E72" i="15"/>
  <c r="AE72" i="15"/>
  <c r="F72" i="15"/>
  <c r="AF72" i="15"/>
  <c r="G72" i="15"/>
  <c r="AG72" i="15"/>
  <c r="H72" i="15"/>
  <c r="AH72" i="15"/>
  <c r="I72" i="15"/>
  <c r="AI72" i="15"/>
  <c r="J72" i="15"/>
  <c r="AJ72" i="15"/>
  <c r="AL72" i="15"/>
  <c r="AM72" i="15"/>
  <c r="B73" i="15"/>
  <c r="AB73" i="15"/>
  <c r="C73" i="15"/>
  <c r="AC73" i="15"/>
  <c r="D73" i="15"/>
  <c r="AD73" i="15"/>
  <c r="E73" i="15"/>
  <c r="AE73" i="15"/>
  <c r="F73" i="15"/>
  <c r="AF73" i="15"/>
  <c r="G73" i="15"/>
  <c r="AG73" i="15"/>
  <c r="H73" i="15"/>
  <c r="AH73" i="15"/>
  <c r="I73" i="15"/>
  <c r="AI73" i="15"/>
  <c r="J73" i="15"/>
  <c r="AJ73" i="15"/>
  <c r="AL73" i="15"/>
  <c r="AM73" i="15"/>
  <c r="B74" i="15"/>
  <c r="AB74" i="15"/>
  <c r="C74" i="15"/>
  <c r="AC74" i="15"/>
  <c r="D74" i="15"/>
  <c r="AD74" i="15"/>
  <c r="E74" i="15"/>
  <c r="AE74" i="15"/>
  <c r="F74" i="15"/>
  <c r="AF74" i="15"/>
  <c r="G74" i="15"/>
  <c r="AG74" i="15"/>
  <c r="H74" i="15"/>
  <c r="AH74" i="15"/>
  <c r="I74" i="15"/>
  <c r="AI74" i="15"/>
  <c r="J74" i="15"/>
  <c r="AL74" i="15"/>
  <c r="AM74" i="15"/>
  <c r="B75" i="15"/>
  <c r="AB75" i="15"/>
  <c r="C75" i="15"/>
  <c r="AC75" i="15"/>
  <c r="D75" i="15"/>
  <c r="AD75" i="15"/>
  <c r="E75" i="15"/>
  <c r="AE75" i="15"/>
  <c r="F75" i="15"/>
  <c r="AF75" i="15"/>
  <c r="G75" i="15"/>
  <c r="AG75" i="15"/>
  <c r="H75" i="15"/>
  <c r="AH75" i="15"/>
  <c r="I75" i="15"/>
  <c r="AI75" i="15"/>
  <c r="J75" i="15"/>
  <c r="AJ75" i="15"/>
  <c r="AL75" i="15"/>
  <c r="AM75" i="15"/>
  <c r="B76" i="15"/>
  <c r="AB76" i="15"/>
  <c r="C76" i="15"/>
  <c r="AC76" i="15"/>
  <c r="D76" i="15"/>
  <c r="AD76" i="15"/>
  <c r="E76" i="15"/>
  <c r="AE76" i="15"/>
  <c r="F76" i="15"/>
  <c r="AF76" i="15"/>
  <c r="G76" i="15"/>
  <c r="AG76" i="15"/>
  <c r="H76" i="15"/>
  <c r="AH76" i="15"/>
  <c r="I76" i="15"/>
  <c r="AI76" i="15"/>
  <c r="J76" i="15"/>
  <c r="AJ76" i="15"/>
  <c r="AL76" i="15"/>
  <c r="AM76" i="15"/>
  <c r="B77" i="15"/>
  <c r="AB77" i="15"/>
  <c r="C77" i="15"/>
  <c r="AC77" i="15"/>
  <c r="D77" i="15"/>
  <c r="AD77" i="15"/>
  <c r="E77" i="15"/>
  <c r="AE77" i="15"/>
  <c r="F77" i="15"/>
  <c r="AF77" i="15"/>
  <c r="G77" i="15"/>
  <c r="AG77" i="15"/>
  <c r="H77" i="15"/>
  <c r="AH77" i="15"/>
  <c r="I77" i="15"/>
  <c r="AI77" i="15"/>
  <c r="J77" i="15"/>
  <c r="AJ77" i="15"/>
  <c r="AL77" i="15"/>
  <c r="AM77" i="15"/>
  <c r="B78" i="15"/>
  <c r="AB78" i="15"/>
  <c r="C78" i="15"/>
  <c r="AC78" i="15"/>
  <c r="D78" i="15"/>
  <c r="AD78" i="15"/>
  <c r="E78" i="15"/>
  <c r="AE78" i="15"/>
  <c r="F78" i="15"/>
  <c r="AF78" i="15"/>
  <c r="G78" i="15"/>
  <c r="AG78" i="15"/>
  <c r="H78" i="15"/>
  <c r="AH78" i="15"/>
  <c r="I78" i="15"/>
  <c r="AI78" i="15"/>
  <c r="J78" i="15"/>
  <c r="AJ78" i="15"/>
  <c r="AL78" i="15"/>
  <c r="AM78" i="15"/>
  <c r="B79" i="15"/>
  <c r="AB79" i="15"/>
  <c r="C79" i="15"/>
  <c r="AC79" i="15"/>
  <c r="D79" i="15"/>
  <c r="AD79" i="15"/>
  <c r="E79" i="15"/>
  <c r="AE79" i="15"/>
  <c r="F79" i="15"/>
  <c r="AF79" i="15"/>
  <c r="G79" i="15"/>
  <c r="AG79" i="15"/>
  <c r="H79" i="15"/>
  <c r="AH79" i="15"/>
  <c r="I79" i="15"/>
  <c r="AI79" i="15"/>
  <c r="J79" i="15"/>
  <c r="AJ79" i="15"/>
  <c r="AL79" i="15"/>
  <c r="AM79" i="15"/>
  <c r="B80" i="15"/>
  <c r="AB80" i="15"/>
  <c r="C80" i="15"/>
  <c r="AC80" i="15"/>
  <c r="D80" i="15"/>
  <c r="AD80" i="15"/>
  <c r="E80" i="15"/>
  <c r="AE80" i="15"/>
  <c r="F80" i="15"/>
  <c r="AF80" i="15"/>
  <c r="G80" i="15"/>
  <c r="AG80" i="15"/>
  <c r="H80" i="15"/>
  <c r="AH80" i="15"/>
  <c r="I80" i="15"/>
  <c r="AI80" i="15"/>
  <c r="J80" i="15"/>
  <c r="AJ80" i="15"/>
  <c r="AL80" i="15"/>
  <c r="AM80" i="15"/>
  <c r="B81" i="15"/>
  <c r="AB81" i="15"/>
  <c r="C81" i="15"/>
  <c r="AC81" i="15"/>
  <c r="D81" i="15"/>
  <c r="AD81" i="15"/>
  <c r="E81" i="15"/>
  <c r="AE81" i="15"/>
  <c r="F81" i="15"/>
  <c r="AF81" i="15"/>
  <c r="G81" i="15"/>
  <c r="AG81" i="15"/>
  <c r="H81" i="15"/>
  <c r="AH81" i="15"/>
  <c r="I81" i="15"/>
  <c r="AI81" i="15"/>
  <c r="J81" i="15"/>
  <c r="AJ81" i="15"/>
  <c r="AL81" i="15"/>
  <c r="AM81" i="15"/>
  <c r="B82" i="15"/>
  <c r="AB82" i="15"/>
  <c r="C82" i="15"/>
  <c r="AC82" i="15"/>
  <c r="D82" i="15"/>
  <c r="AD82" i="15"/>
  <c r="E82" i="15"/>
  <c r="AE82" i="15"/>
  <c r="F82" i="15"/>
  <c r="AF82" i="15"/>
  <c r="G82" i="15"/>
  <c r="AG82" i="15"/>
  <c r="H82" i="15"/>
  <c r="AH82" i="15"/>
  <c r="I82" i="15"/>
  <c r="AI82" i="15"/>
  <c r="J82" i="15"/>
  <c r="AJ82" i="15"/>
  <c r="AL82" i="15"/>
  <c r="AM82" i="15"/>
  <c r="B83" i="15"/>
  <c r="AB83" i="15"/>
  <c r="C83" i="15"/>
  <c r="AC83" i="15"/>
  <c r="D83" i="15"/>
  <c r="AD83" i="15"/>
  <c r="E83" i="15"/>
  <c r="AE83" i="15"/>
  <c r="F83" i="15"/>
  <c r="AF83" i="15"/>
  <c r="G83" i="15"/>
  <c r="AG83" i="15"/>
  <c r="H83" i="15"/>
  <c r="AH83" i="15"/>
  <c r="I83" i="15"/>
  <c r="AI83" i="15"/>
  <c r="J83" i="15"/>
  <c r="AJ83" i="15"/>
  <c r="AL83" i="15"/>
  <c r="AM83" i="15"/>
  <c r="B84" i="15"/>
  <c r="AB84" i="15"/>
  <c r="C84" i="15"/>
  <c r="AC84" i="15"/>
  <c r="D84" i="15"/>
  <c r="AD84" i="15"/>
  <c r="E84" i="15"/>
  <c r="AE84" i="15"/>
  <c r="F84" i="15"/>
  <c r="AF84" i="15"/>
  <c r="G84" i="15"/>
  <c r="AG84" i="15"/>
  <c r="H84" i="15"/>
  <c r="AH84" i="15"/>
  <c r="I84" i="15"/>
  <c r="AI84" i="15"/>
  <c r="J84" i="15"/>
  <c r="AJ84" i="15"/>
  <c r="AL84" i="15"/>
  <c r="AM84" i="15"/>
  <c r="B85" i="15"/>
  <c r="AB85" i="15"/>
  <c r="C85" i="15"/>
  <c r="AC85" i="15"/>
  <c r="D85" i="15"/>
  <c r="AD85" i="15"/>
  <c r="E85" i="15"/>
  <c r="AE85" i="15"/>
  <c r="F85" i="15"/>
  <c r="AF85" i="15"/>
  <c r="G85" i="15"/>
  <c r="AG85" i="15"/>
  <c r="H85" i="15"/>
  <c r="AH85" i="15"/>
  <c r="I85" i="15"/>
  <c r="AI85" i="15"/>
  <c r="J85" i="15"/>
  <c r="AJ85" i="15"/>
  <c r="AL85" i="15"/>
  <c r="AM85" i="15"/>
  <c r="B86" i="15"/>
  <c r="AB86" i="15"/>
  <c r="C86" i="15"/>
  <c r="AC86" i="15"/>
  <c r="D86" i="15"/>
  <c r="AD86" i="15"/>
  <c r="E86" i="15"/>
  <c r="AE86" i="15"/>
  <c r="F86" i="15"/>
  <c r="AF86" i="15"/>
  <c r="G86" i="15"/>
  <c r="AG86" i="15"/>
  <c r="H86" i="15"/>
  <c r="AH86" i="15"/>
  <c r="I86" i="15"/>
  <c r="AI86" i="15"/>
  <c r="J86" i="15"/>
  <c r="AJ86" i="15"/>
  <c r="AL86" i="15"/>
  <c r="AM86" i="15"/>
  <c r="B87" i="15"/>
  <c r="AB87" i="15"/>
  <c r="C87" i="15"/>
  <c r="AC87" i="15"/>
  <c r="D87" i="15"/>
  <c r="AD87" i="15"/>
  <c r="E87" i="15"/>
  <c r="AE87" i="15"/>
  <c r="F87" i="15"/>
  <c r="AF87" i="15"/>
  <c r="G87" i="15"/>
  <c r="AG87" i="15"/>
  <c r="H87" i="15"/>
  <c r="AH87" i="15"/>
  <c r="I87" i="15"/>
  <c r="AI87" i="15"/>
  <c r="J87" i="15"/>
  <c r="AJ87" i="15"/>
  <c r="AL87" i="15"/>
  <c r="AM87" i="15"/>
  <c r="B88" i="15"/>
  <c r="AB88" i="15"/>
  <c r="C88" i="15"/>
  <c r="AC88" i="15"/>
  <c r="D88" i="15"/>
  <c r="AD88" i="15"/>
  <c r="E88" i="15"/>
  <c r="AE88" i="15"/>
  <c r="F88" i="15"/>
  <c r="AF88" i="15"/>
  <c r="G88" i="15"/>
  <c r="AG88" i="15"/>
  <c r="H88" i="15"/>
  <c r="AH88" i="15"/>
  <c r="I88" i="15"/>
  <c r="AI88" i="15"/>
  <c r="J88" i="15"/>
  <c r="AJ88" i="15"/>
  <c r="AL88" i="15"/>
  <c r="AM88" i="15"/>
  <c r="B89" i="15"/>
  <c r="AB89" i="15"/>
  <c r="C89" i="15"/>
  <c r="AC89" i="15"/>
  <c r="D89" i="15"/>
  <c r="AD89" i="15"/>
  <c r="E89" i="15"/>
  <c r="AE89" i="15"/>
  <c r="F89" i="15"/>
  <c r="AF89" i="15"/>
  <c r="G89" i="15"/>
  <c r="AG89" i="15"/>
  <c r="H89" i="15"/>
  <c r="AH89" i="15"/>
  <c r="I89" i="15"/>
  <c r="AI89" i="15"/>
  <c r="J89" i="15"/>
  <c r="AJ89" i="15"/>
  <c r="AL89" i="15"/>
  <c r="AM89" i="15"/>
  <c r="B90" i="15"/>
  <c r="AB90" i="15"/>
  <c r="C90" i="15"/>
  <c r="AC90" i="15"/>
  <c r="D90" i="15"/>
  <c r="AD90" i="15"/>
  <c r="E90" i="15"/>
  <c r="AE90" i="15"/>
  <c r="F90" i="15"/>
  <c r="AF90" i="15"/>
  <c r="G90" i="15"/>
  <c r="AG90" i="15"/>
  <c r="H90" i="15"/>
  <c r="AH90" i="15"/>
  <c r="I90" i="15"/>
  <c r="AI90" i="15"/>
  <c r="J90" i="15"/>
  <c r="AJ90" i="15"/>
  <c r="AL90" i="15"/>
  <c r="AM90" i="15"/>
  <c r="B91" i="15"/>
  <c r="AB91" i="15"/>
  <c r="C91" i="15"/>
  <c r="AC91" i="15"/>
  <c r="D91" i="15"/>
  <c r="AD91" i="15"/>
  <c r="E91" i="15"/>
  <c r="AE91" i="15"/>
  <c r="F91" i="15"/>
  <c r="AF91" i="15"/>
  <c r="G91" i="15"/>
  <c r="AG91" i="15"/>
  <c r="H91" i="15"/>
  <c r="AH91" i="15"/>
  <c r="I91" i="15"/>
  <c r="AI91" i="15"/>
  <c r="J91" i="15"/>
  <c r="AJ91" i="15"/>
  <c r="AL91" i="15"/>
  <c r="AM91" i="15"/>
  <c r="B92" i="15"/>
  <c r="AB92" i="15"/>
  <c r="C92" i="15"/>
  <c r="AC92" i="15"/>
  <c r="D92" i="15"/>
  <c r="AD92" i="15"/>
  <c r="E92" i="15"/>
  <c r="AE92" i="15"/>
  <c r="F92" i="15"/>
  <c r="AF92" i="15"/>
  <c r="G92" i="15"/>
  <c r="AG92" i="15"/>
  <c r="H92" i="15"/>
  <c r="AH92" i="15"/>
  <c r="I92" i="15"/>
  <c r="AI92" i="15"/>
  <c r="J92" i="15"/>
  <c r="AJ92" i="15"/>
  <c r="AL92" i="15"/>
  <c r="AM92" i="15"/>
  <c r="B93" i="15"/>
  <c r="AB93" i="15"/>
  <c r="C93" i="15"/>
  <c r="AC93" i="15"/>
  <c r="D93" i="15"/>
  <c r="AD93" i="15"/>
  <c r="E93" i="15"/>
  <c r="AE93" i="15"/>
  <c r="F93" i="15"/>
  <c r="AF93" i="15"/>
  <c r="G93" i="15"/>
  <c r="AG93" i="15"/>
  <c r="H93" i="15"/>
  <c r="AH93" i="15"/>
  <c r="I93" i="15"/>
  <c r="AI93" i="15"/>
  <c r="J93" i="15"/>
  <c r="AJ93" i="15"/>
  <c r="AL93" i="15"/>
  <c r="AM93" i="15"/>
  <c r="B94" i="15"/>
  <c r="AB94" i="15"/>
  <c r="C94" i="15"/>
  <c r="AC94" i="15"/>
  <c r="D94" i="15"/>
  <c r="AD94" i="15"/>
  <c r="E94" i="15"/>
  <c r="AE94" i="15"/>
  <c r="F94" i="15"/>
  <c r="AF94" i="15"/>
  <c r="G94" i="15"/>
  <c r="AG94" i="15"/>
  <c r="H94" i="15"/>
  <c r="AH94" i="15"/>
  <c r="I94" i="15"/>
  <c r="AI94" i="15"/>
  <c r="J94" i="15"/>
  <c r="AJ94" i="15"/>
  <c r="AL94" i="15"/>
  <c r="AM94" i="15"/>
  <c r="B95" i="15"/>
  <c r="AB95" i="15"/>
  <c r="C95" i="15"/>
  <c r="AC95" i="15"/>
  <c r="D95" i="15"/>
  <c r="AD95" i="15"/>
  <c r="E95" i="15"/>
  <c r="AE95" i="15"/>
  <c r="F95" i="15"/>
  <c r="AF95" i="15"/>
  <c r="G95" i="15"/>
  <c r="AG95" i="15"/>
  <c r="H95" i="15"/>
  <c r="AH95" i="15"/>
  <c r="I95" i="15"/>
  <c r="AI95" i="15"/>
  <c r="J95" i="15"/>
  <c r="AJ95" i="15"/>
  <c r="AL95" i="15"/>
  <c r="AM95" i="15"/>
  <c r="B96" i="15"/>
  <c r="AB96" i="15"/>
  <c r="C96" i="15"/>
  <c r="AC96" i="15"/>
  <c r="D96" i="15"/>
  <c r="AD96" i="15"/>
  <c r="E96" i="15"/>
  <c r="AE96" i="15"/>
  <c r="F96" i="15"/>
  <c r="AF96" i="15"/>
  <c r="G96" i="15"/>
  <c r="AG96" i="15"/>
  <c r="H96" i="15"/>
  <c r="AH96" i="15"/>
  <c r="I96" i="15"/>
  <c r="AI96" i="15"/>
  <c r="J96" i="15"/>
  <c r="AJ96" i="15"/>
  <c r="AL96" i="15"/>
  <c r="AM96" i="15"/>
  <c r="B97" i="15"/>
  <c r="AB97" i="15"/>
  <c r="C97" i="15"/>
  <c r="AC97" i="15"/>
  <c r="D97" i="15"/>
  <c r="AD97" i="15"/>
  <c r="E97" i="15"/>
  <c r="AE97" i="15"/>
  <c r="F97" i="15"/>
  <c r="AF97" i="15"/>
  <c r="G97" i="15"/>
  <c r="AG97" i="15"/>
  <c r="H97" i="15"/>
  <c r="AH97" i="15"/>
  <c r="I97" i="15"/>
  <c r="AI97" i="15"/>
  <c r="J97" i="15"/>
  <c r="AJ97" i="15"/>
  <c r="AL97" i="15"/>
  <c r="AM97" i="15"/>
  <c r="B98" i="15"/>
  <c r="AB98" i="15"/>
  <c r="C98" i="15"/>
  <c r="AC98" i="15"/>
  <c r="D98" i="15"/>
  <c r="AD98" i="15"/>
  <c r="E98" i="15"/>
  <c r="AE98" i="15"/>
  <c r="F98" i="15"/>
  <c r="AF98" i="15"/>
  <c r="G98" i="15"/>
  <c r="AG98" i="15"/>
  <c r="H98" i="15"/>
  <c r="AH98" i="15"/>
  <c r="I98" i="15"/>
  <c r="AI98" i="15"/>
  <c r="J98" i="15"/>
  <c r="AJ98" i="15"/>
  <c r="AL98" i="15"/>
  <c r="AM98" i="15"/>
  <c r="B99" i="15"/>
  <c r="AB99" i="15"/>
  <c r="C99" i="15"/>
  <c r="AC99" i="15"/>
  <c r="D99" i="15"/>
  <c r="AD99" i="15"/>
  <c r="E99" i="15"/>
  <c r="AE99" i="15"/>
  <c r="F99" i="15"/>
  <c r="AF99" i="15"/>
  <c r="G99" i="15"/>
  <c r="AG99" i="15"/>
  <c r="H99" i="15"/>
  <c r="AH99" i="15"/>
  <c r="I99" i="15"/>
  <c r="AI99" i="15"/>
  <c r="J99" i="15"/>
  <c r="AJ99" i="15"/>
  <c r="AL99" i="15"/>
  <c r="AM99" i="15"/>
  <c r="B100" i="15"/>
  <c r="AB100" i="15"/>
  <c r="C100" i="15"/>
  <c r="AC100" i="15"/>
  <c r="D100" i="15"/>
  <c r="AD100" i="15"/>
  <c r="E100" i="15"/>
  <c r="AE100" i="15"/>
  <c r="F100" i="15"/>
  <c r="AF100" i="15"/>
  <c r="G100" i="15"/>
  <c r="AG100" i="15"/>
  <c r="H100" i="15"/>
  <c r="AH100" i="15"/>
  <c r="I100" i="15"/>
  <c r="AI100" i="15"/>
  <c r="J100" i="15"/>
  <c r="AJ100" i="15"/>
  <c r="AL100" i="15"/>
  <c r="AM100" i="15"/>
  <c r="B101" i="15"/>
  <c r="AB101" i="15"/>
  <c r="C101" i="15"/>
  <c r="AC101" i="15"/>
  <c r="D101" i="15"/>
  <c r="AD101" i="15"/>
  <c r="E101" i="15"/>
  <c r="AE101" i="15"/>
  <c r="F101" i="15"/>
  <c r="AF101" i="15"/>
  <c r="G101" i="15"/>
  <c r="AG101" i="15"/>
  <c r="H101" i="15"/>
  <c r="AH101" i="15"/>
  <c r="I101" i="15"/>
  <c r="AI101" i="15"/>
  <c r="J101" i="15"/>
  <c r="AJ101" i="15"/>
  <c r="AL101" i="15"/>
  <c r="AM101" i="15"/>
  <c r="B102" i="15"/>
  <c r="AB102" i="15"/>
  <c r="C102" i="15"/>
  <c r="AC102" i="15"/>
  <c r="D102" i="15"/>
  <c r="AD102" i="15"/>
  <c r="E102" i="15"/>
  <c r="AE102" i="15"/>
  <c r="F102" i="15"/>
  <c r="AF102" i="15"/>
  <c r="G102" i="15"/>
  <c r="AG102" i="15"/>
  <c r="H102" i="15"/>
  <c r="AH102" i="15"/>
  <c r="I102" i="15"/>
  <c r="AI102" i="15"/>
  <c r="J102" i="15"/>
  <c r="AJ102" i="15"/>
  <c r="AL102" i="15"/>
  <c r="AM102" i="15"/>
  <c r="B103" i="15"/>
  <c r="AB103" i="15"/>
  <c r="C103" i="15"/>
  <c r="AC103" i="15"/>
  <c r="D103" i="15"/>
  <c r="AD103" i="15"/>
  <c r="E103" i="15"/>
  <c r="AE103" i="15"/>
  <c r="F103" i="15"/>
  <c r="AF103" i="15"/>
  <c r="G103" i="15"/>
  <c r="AG103" i="15"/>
  <c r="H103" i="15"/>
  <c r="AH103" i="15"/>
  <c r="I103" i="15"/>
  <c r="AI103" i="15"/>
  <c r="J103" i="15"/>
  <c r="AJ103" i="15"/>
  <c r="AL103" i="15"/>
  <c r="AM103" i="15"/>
  <c r="B104" i="15"/>
  <c r="AB104" i="15"/>
  <c r="C104" i="15"/>
  <c r="AC104" i="15"/>
  <c r="D104" i="15"/>
  <c r="AD104" i="15"/>
  <c r="E104" i="15"/>
  <c r="AE104" i="15"/>
  <c r="F104" i="15"/>
  <c r="AF104" i="15"/>
  <c r="G104" i="15"/>
  <c r="AG104" i="15"/>
  <c r="H104" i="15"/>
  <c r="AH104" i="15"/>
  <c r="I104" i="15"/>
  <c r="AI104" i="15"/>
  <c r="J104" i="15"/>
  <c r="AJ104" i="15"/>
  <c r="AL104" i="15"/>
  <c r="AM104" i="15"/>
  <c r="B105" i="15"/>
  <c r="AB105" i="15"/>
  <c r="C105" i="15"/>
  <c r="AC105" i="15"/>
  <c r="D105" i="15"/>
  <c r="AD105" i="15"/>
  <c r="E105" i="15"/>
  <c r="AE105" i="15"/>
  <c r="F105" i="15"/>
  <c r="AF105" i="15"/>
  <c r="G105" i="15"/>
  <c r="AG105" i="15"/>
  <c r="H105" i="15"/>
  <c r="AH105" i="15"/>
  <c r="I105" i="15"/>
  <c r="AI105" i="15"/>
  <c r="J105" i="15"/>
  <c r="AJ105" i="15"/>
  <c r="AM105" i="15"/>
  <c r="B106" i="15"/>
  <c r="AB106" i="15"/>
  <c r="C106" i="15"/>
  <c r="AC106" i="15"/>
  <c r="D106" i="15"/>
  <c r="AD106" i="15"/>
  <c r="E106" i="15"/>
  <c r="AE106" i="15"/>
  <c r="F106" i="15"/>
  <c r="AF106" i="15"/>
  <c r="G106" i="15"/>
  <c r="AG106" i="15"/>
  <c r="H106" i="15"/>
  <c r="AH106" i="15"/>
  <c r="I106" i="15"/>
  <c r="AI106" i="15"/>
  <c r="J106" i="15"/>
  <c r="AJ106" i="15"/>
  <c r="AL106" i="15"/>
  <c r="AM106" i="15"/>
  <c r="B107" i="15"/>
  <c r="AB107" i="15"/>
  <c r="C107" i="15"/>
  <c r="AC107" i="15"/>
  <c r="D107" i="15"/>
  <c r="AD107" i="15"/>
  <c r="E107" i="15"/>
  <c r="AE107" i="15"/>
  <c r="F107" i="15"/>
  <c r="AF107" i="15"/>
  <c r="G107" i="15"/>
  <c r="AG107" i="15"/>
  <c r="H107" i="15"/>
  <c r="AH107" i="15"/>
  <c r="I107" i="15"/>
  <c r="AI107" i="15"/>
  <c r="J107" i="15"/>
  <c r="AJ107" i="15"/>
  <c r="AL107" i="15"/>
  <c r="AM107" i="15"/>
  <c r="AM108" i="15"/>
  <c r="K3" i="15"/>
  <c r="L3" i="15"/>
  <c r="K4" i="15"/>
  <c r="L4" i="15"/>
  <c r="K5" i="15"/>
  <c r="L5" i="15"/>
  <c r="K6" i="15"/>
  <c r="L6" i="15"/>
  <c r="K7" i="15"/>
  <c r="L7" i="15"/>
  <c r="K8" i="15"/>
  <c r="L8" i="15"/>
  <c r="K9" i="15"/>
  <c r="L9" i="15"/>
  <c r="K10" i="15"/>
  <c r="L10" i="15"/>
  <c r="K11" i="15"/>
  <c r="L11" i="15"/>
  <c r="K12" i="15"/>
  <c r="L12" i="15"/>
  <c r="K13" i="15"/>
  <c r="L13" i="15"/>
  <c r="K14" i="15"/>
  <c r="L14" i="15"/>
  <c r="K15" i="15"/>
  <c r="L15" i="15"/>
  <c r="K16" i="15"/>
  <c r="L16" i="15"/>
  <c r="K17" i="15"/>
  <c r="L17" i="15"/>
  <c r="K18" i="15"/>
  <c r="L18" i="15"/>
  <c r="K19" i="15"/>
  <c r="L19" i="15"/>
  <c r="K20" i="15"/>
  <c r="L20" i="15"/>
  <c r="K21" i="15"/>
  <c r="L21" i="15"/>
  <c r="K22" i="15"/>
  <c r="L22" i="15"/>
  <c r="K23" i="15"/>
  <c r="L23" i="15"/>
  <c r="K24" i="15"/>
  <c r="L24" i="15"/>
  <c r="K25" i="15"/>
  <c r="L25" i="15"/>
  <c r="K26" i="15"/>
  <c r="L26" i="15"/>
  <c r="K27" i="15"/>
  <c r="L27" i="15"/>
  <c r="K28" i="15"/>
  <c r="L28" i="15"/>
  <c r="K29" i="15"/>
  <c r="L29" i="15"/>
  <c r="K30" i="15"/>
  <c r="L30" i="15"/>
  <c r="K31" i="15"/>
  <c r="L31" i="15"/>
  <c r="K32" i="15"/>
  <c r="L32" i="15"/>
  <c r="K33" i="15"/>
  <c r="L33" i="15"/>
  <c r="K34" i="15"/>
  <c r="L34" i="15"/>
  <c r="K35" i="15"/>
  <c r="L35" i="15"/>
  <c r="K36" i="15"/>
  <c r="L36" i="15"/>
  <c r="K37" i="15"/>
  <c r="L37" i="15"/>
  <c r="K38" i="15"/>
  <c r="L38" i="15"/>
  <c r="K39" i="15"/>
  <c r="L39" i="15"/>
  <c r="K40" i="15"/>
  <c r="L40" i="15"/>
  <c r="K41" i="15"/>
  <c r="L41" i="15"/>
  <c r="K42" i="15"/>
  <c r="L42" i="15"/>
  <c r="K43" i="15"/>
  <c r="L43" i="15"/>
  <c r="K44" i="15"/>
  <c r="L44" i="15"/>
  <c r="K45" i="15"/>
  <c r="L45" i="15"/>
  <c r="K46" i="15"/>
  <c r="L46" i="15"/>
  <c r="K47" i="15"/>
  <c r="L47" i="15"/>
  <c r="K48" i="15"/>
  <c r="L48" i="15"/>
  <c r="K49" i="15"/>
  <c r="L49" i="15"/>
  <c r="K50" i="15"/>
  <c r="L50" i="15"/>
  <c r="K51" i="15"/>
  <c r="L51" i="15"/>
  <c r="K52" i="15"/>
  <c r="L52" i="15"/>
  <c r="K53" i="15"/>
  <c r="L53" i="15"/>
  <c r="K54" i="15"/>
  <c r="L54" i="15"/>
  <c r="K55" i="15"/>
  <c r="L55" i="15"/>
  <c r="K56" i="15"/>
  <c r="L56" i="15"/>
  <c r="K57" i="15"/>
  <c r="L57" i="15"/>
  <c r="K58" i="15"/>
  <c r="L58" i="15"/>
  <c r="K59" i="15"/>
  <c r="L59" i="15"/>
  <c r="K60" i="15"/>
  <c r="L60" i="15"/>
  <c r="K61" i="15"/>
  <c r="L61" i="15"/>
  <c r="K62" i="15"/>
  <c r="L62" i="15"/>
  <c r="K63" i="15"/>
  <c r="L63" i="15"/>
  <c r="K64" i="15"/>
  <c r="L64" i="15"/>
  <c r="K65" i="15"/>
  <c r="L65" i="15"/>
  <c r="K66" i="15"/>
  <c r="L66" i="15"/>
  <c r="K67" i="15"/>
  <c r="L67" i="15"/>
  <c r="K68" i="15"/>
  <c r="L68" i="15"/>
  <c r="K69" i="15"/>
  <c r="L69" i="15"/>
  <c r="K70" i="15"/>
  <c r="L70" i="15"/>
  <c r="K71" i="15"/>
  <c r="L71" i="15"/>
  <c r="K72" i="15"/>
  <c r="L72" i="15"/>
  <c r="K73" i="15"/>
  <c r="L73" i="15"/>
  <c r="K74" i="15"/>
  <c r="L74" i="15"/>
  <c r="K75" i="15"/>
  <c r="L75" i="15"/>
  <c r="K76" i="15"/>
  <c r="L76" i="15"/>
  <c r="K77" i="15"/>
  <c r="L77" i="15"/>
  <c r="K78" i="15"/>
  <c r="L78" i="15"/>
  <c r="K79" i="15"/>
  <c r="L79" i="15"/>
  <c r="K80" i="15"/>
  <c r="L80" i="15"/>
  <c r="K81" i="15"/>
  <c r="L81" i="15"/>
  <c r="K82" i="15"/>
  <c r="L82" i="15"/>
  <c r="K83" i="15"/>
  <c r="L83" i="15"/>
  <c r="K84" i="15"/>
  <c r="L84" i="15"/>
  <c r="K85" i="15"/>
  <c r="L85" i="15"/>
  <c r="K86" i="15"/>
  <c r="L86" i="15"/>
  <c r="K87" i="15"/>
  <c r="L87" i="15"/>
  <c r="K88" i="15"/>
  <c r="L88" i="15"/>
  <c r="K89" i="15"/>
  <c r="L89" i="15"/>
  <c r="K90" i="15"/>
  <c r="L90" i="15"/>
  <c r="K91" i="15"/>
  <c r="L91" i="15"/>
  <c r="K92" i="15"/>
  <c r="L92" i="15"/>
  <c r="K93" i="15"/>
  <c r="L93" i="15"/>
  <c r="K94" i="15"/>
  <c r="L94" i="15"/>
  <c r="K95" i="15"/>
  <c r="L95" i="15"/>
  <c r="K96" i="15"/>
  <c r="L96" i="15"/>
  <c r="K97" i="15"/>
  <c r="L97" i="15"/>
  <c r="K98" i="15"/>
  <c r="L98" i="15"/>
  <c r="K99" i="15"/>
  <c r="L99" i="15"/>
  <c r="K100" i="15"/>
  <c r="L100" i="15"/>
  <c r="K101" i="15"/>
  <c r="L101" i="15"/>
  <c r="K102" i="15"/>
  <c r="L102" i="15"/>
  <c r="K103" i="15"/>
  <c r="L103" i="15"/>
  <c r="K104" i="15"/>
  <c r="L104" i="15"/>
  <c r="K105" i="15"/>
  <c r="L105" i="15"/>
  <c r="K106" i="15"/>
  <c r="L106" i="15"/>
  <c r="K107" i="15"/>
  <c r="L107" i="15"/>
  <c r="L108" i="15"/>
  <c r="AN3" i="15"/>
  <c r="AN4" i="15"/>
  <c r="AN5" i="15"/>
  <c r="AN6" i="15"/>
  <c r="AN7" i="15"/>
  <c r="AN8" i="15"/>
  <c r="AB9" i="15"/>
  <c r="AD9" i="15"/>
  <c r="AE9" i="15"/>
  <c r="AH9" i="15"/>
  <c r="AJ9" i="15"/>
  <c r="AN9" i="15"/>
  <c r="AN10" i="15"/>
  <c r="AN11" i="15"/>
  <c r="AN12" i="15"/>
  <c r="AN13" i="15"/>
  <c r="AN14" i="15"/>
  <c r="AN15" i="15"/>
  <c r="AN16" i="15"/>
  <c r="AN17" i="15"/>
  <c r="AN18" i="15"/>
  <c r="AN19" i="15"/>
  <c r="AN20" i="15"/>
  <c r="AN21" i="15"/>
  <c r="AN22" i="15"/>
  <c r="AN23" i="15"/>
  <c r="AN24" i="15"/>
  <c r="AN25" i="15"/>
  <c r="AN26" i="15"/>
  <c r="AN27" i="15"/>
  <c r="AN28" i="15"/>
  <c r="AB29" i="15"/>
  <c r="AD29" i="15"/>
  <c r="AE29" i="15"/>
  <c r="AG29" i="15"/>
  <c r="AH29" i="15"/>
  <c r="AJ29" i="15"/>
  <c r="AN29" i="15"/>
  <c r="AN30" i="15"/>
  <c r="AN31" i="15"/>
  <c r="AN32" i="15"/>
  <c r="AN33" i="15"/>
  <c r="AN34" i="15"/>
  <c r="AN35" i="15"/>
  <c r="AN36" i="15"/>
  <c r="AN37" i="15"/>
  <c r="AN38" i="15"/>
  <c r="AN39" i="15"/>
  <c r="AN40" i="15"/>
  <c r="AN41" i="15"/>
  <c r="AN42" i="15"/>
  <c r="AN43" i="15"/>
  <c r="AN44" i="15"/>
  <c r="AN45" i="15"/>
  <c r="AN46" i="15"/>
  <c r="AC47" i="15"/>
  <c r="AD47" i="15"/>
  <c r="AE47" i="15"/>
  <c r="AF47" i="15"/>
  <c r="AG47" i="15"/>
  <c r="AH47" i="15"/>
  <c r="AJ47" i="15"/>
  <c r="AN47" i="15"/>
  <c r="AC48" i="15"/>
  <c r="AD48" i="15"/>
  <c r="AE48" i="15"/>
  <c r="AF48" i="15"/>
  <c r="AH48" i="15"/>
  <c r="AN48" i="15"/>
  <c r="AN49" i="15"/>
  <c r="AN50" i="15"/>
  <c r="AF51" i="15"/>
  <c r="AI51" i="15"/>
  <c r="AN51" i="15"/>
  <c r="AN52" i="15"/>
  <c r="AB53" i="15"/>
  <c r="AC53" i="15"/>
  <c r="AD53" i="15"/>
  <c r="AE53" i="15"/>
  <c r="AG53" i="15"/>
  <c r="AH53" i="15"/>
  <c r="AJ53" i="15"/>
  <c r="AN53" i="15"/>
  <c r="AN54" i="15"/>
  <c r="AN55" i="15"/>
  <c r="AN56" i="15"/>
  <c r="AG57" i="15"/>
  <c r="AN57" i="15"/>
  <c r="AN58" i="15"/>
  <c r="AN59" i="15"/>
  <c r="AF60" i="15"/>
  <c r="AI60" i="15"/>
  <c r="AN60" i="15"/>
  <c r="AB61" i="15"/>
  <c r="AC61" i="15"/>
  <c r="AD61" i="15"/>
  <c r="AE61" i="15"/>
  <c r="AF61" i="15"/>
  <c r="AG61" i="15"/>
  <c r="AH61" i="15"/>
  <c r="AJ61" i="15"/>
  <c r="AN61" i="15"/>
  <c r="AI62" i="15"/>
  <c r="AN62" i="15"/>
  <c r="AB63" i="15"/>
  <c r="AD63" i="15"/>
  <c r="AE63" i="15"/>
  <c r="AG63" i="15"/>
  <c r="AH63" i="15"/>
  <c r="AJ63" i="15"/>
  <c r="AN63" i="15"/>
  <c r="AH64" i="15"/>
  <c r="AN64" i="15"/>
  <c r="AE65" i="15"/>
  <c r="AN65" i="15"/>
  <c r="AN66" i="15"/>
  <c r="AN67" i="15"/>
  <c r="AN68" i="15"/>
  <c r="AN69" i="15"/>
  <c r="AN70" i="15"/>
  <c r="AN71" i="15"/>
  <c r="AN72" i="15"/>
  <c r="AN73" i="15"/>
  <c r="AJ74" i="15"/>
  <c r="AN74" i="15"/>
  <c r="AN75" i="15"/>
  <c r="AN76" i="15"/>
  <c r="AN77" i="15"/>
  <c r="AN78" i="15"/>
  <c r="AN79" i="15"/>
  <c r="AN80" i="15"/>
  <c r="AN81" i="15"/>
  <c r="AN82" i="15"/>
  <c r="AN83" i="15"/>
  <c r="AN84" i="15"/>
  <c r="AN85" i="15"/>
  <c r="AN86" i="15"/>
  <c r="AN87" i="15"/>
  <c r="AN88" i="15"/>
  <c r="AN89" i="15"/>
  <c r="AN90" i="15"/>
  <c r="AN91" i="15"/>
  <c r="AN92" i="15"/>
  <c r="AN93" i="15"/>
  <c r="AN94" i="15"/>
  <c r="AN95" i="15"/>
  <c r="AN96" i="15"/>
  <c r="AN97" i="15"/>
  <c r="AN98" i="15"/>
  <c r="AN99" i="15"/>
  <c r="AN100" i="15"/>
  <c r="AN101" i="15"/>
  <c r="AN102" i="15"/>
  <c r="AN103" i="15"/>
  <c r="AN104" i="15"/>
  <c r="AN105" i="15"/>
  <c r="AN106" i="15"/>
  <c r="AN107" i="15"/>
  <c r="AN108" i="15"/>
  <c r="M3" i="15"/>
  <c r="M4" i="15"/>
  <c r="M5" i="15"/>
  <c r="M6" i="15"/>
  <c r="M7" i="15"/>
  <c r="M8" i="15"/>
  <c r="M9" i="15"/>
  <c r="M10" i="15"/>
  <c r="M11" i="15"/>
  <c r="M12" i="15"/>
  <c r="M13" i="15"/>
  <c r="M14" i="15"/>
  <c r="M15" i="15"/>
  <c r="M16" i="15"/>
  <c r="M17" i="15"/>
  <c r="M18" i="15"/>
  <c r="M19" i="15"/>
  <c r="M20" i="15"/>
  <c r="M21" i="15"/>
  <c r="M22" i="15"/>
  <c r="M23" i="15"/>
  <c r="M24" i="15"/>
  <c r="M25" i="15"/>
  <c r="M26" i="15"/>
  <c r="M27" i="15"/>
  <c r="M28" i="15"/>
  <c r="M29" i="15"/>
  <c r="M30" i="15"/>
  <c r="M31" i="15"/>
  <c r="M32" i="15"/>
  <c r="M33" i="15"/>
  <c r="M34" i="15"/>
  <c r="M35" i="15"/>
  <c r="M36" i="15"/>
  <c r="M37" i="15"/>
  <c r="M38" i="15"/>
  <c r="M39" i="15"/>
  <c r="M40" i="15"/>
  <c r="M41" i="15"/>
  <c r="M42" i="15"/>
  <c r="M43" i="15"/>
  <c r="M44" i="15"/>
  <c r="M45" i="15"/>
  <c r="M46" i="15"/>
  <c r="M47" i="15"/>
  <c r="M48" i="15"/>
  <c r="M49" i="15"/>
  <c r="M50" i="15"/>
  <c r="M51" i="15"/>
  <c r="M52" i="15"/>
  <c r="M53" i="15"/>
  <c r="M54" i="15"/>
  <c r="M55" i="15"/>
  <c r="M56" i="15"/>
  <c r="M57" i="15"/>
  <c r="M58" i="15"/>
  <c r="M59" i="15"/>
  <c r="M60" i="15"/>
  <c r="M61" i="15"/>
  <c r="M62" i="15"/>
  <c r="M63" i="15"/>
  <c r="M64" i="15"/>
  <c r="M65" i="15"/>
  <c r="M66" i="15"/>
  <c r="M67" i="15"/>
  <c r="M68" i="15"/>
  <c r="M69" i="15"/>
  <c r="M70" i="15"/>
  <c r="M71" i="15"/>
  <c r="M72" i="15"/>
  <c r="M73" i="15"/>
  <c r="M74" i="15"/>
  <c r="M75" i="15"/>
  <c r="M76" i="15"/>
  <c r="M77" i="15"/>
  <c r="M78" i="15"/>
  <c r="M79" i="15"/>
  <c r="M80" i="15"/>
  <c r="M81" i="15"/>
  <c r="M82" i="15"/>
  <c r="M83" i="15"/>
  <c r="M84" i="15"/>
  <c r="M85" i="15"/>
  <c r="M86" i="15"/>
  <c r="M87" i="15"/>
  <c r="M88" i="15"/>
  <c r="M89" i="15"/>
  <c r="M90" i="15"/>
  <c r="M91" i="15"/>
  <c r="M92" i="15"/>
  <c r="M93" i="15"/>
  <c r="M94" i="15"/>
  <c r="M95" i="15"/>
  <c r="M96" i="15"/>
  <c r="M97" i="15"/>
  <c r="M98" i="15"/>
  <c r="M99" i="15"/>
  <c r="M100" i="15"/>
  <c r="M101" i="15"/>
  <c r="M102" i="15"/>
  <c r="M103" i="15"/>
  <c r="M104" i="15"/>
  <c r="M105" i="15"/>
  <c r="M106" i="15"/>
  <c r="M107" i="15"/>
  <c r="M108" i="15"/>
  <c r="AB47" i="15"/>
  <c r="AB48" i="15"/>
  <c r="AG48" i="15"/>
  <c r="AJ48" i="15"/>
  <c r="AB51" i="15"/>
  <c r="AC51" i="15"/>
  <c r="AD51" i="15"/>
  <c r="AE51" i="15"/>
  <c r="AG51" i="15"/>
  <c r="AH51" i="15"/>
  <c r="AJ51" i="15"/>
  <c r="AB55" i="15"/>
  <c r="AC55" i="15"/>
  <c r="AD55" i="15"/>
  <c r="AE55" i="15"/>
  <c r="AF55" i="15"/>
  <c r="AG55" i="15"/>
  <c r="AH55" i="15"/>
  <c r="AI55" i="15"/>
  <c r="AJ55" i="15"/>
  <c r="AB60" i="15"/>
  <c r="AC60" i="15"/>
  <c r="AD60" i="15"/>
  <c r="AE60" i="15"/>
  <c r="AG60" i="15"/>
  <c r="AH60" i="15"/>
  <c r="AJ60" i="15"/>
  <c r="AB62" i="15"/>
  <c r="AC62" i="15"/>
  <c r="AD62" i="15"/>
  <c r="AE62" i="15"/>
  <c r="AF62" i="15"/>
  <c r="AG62" i="15"/>
  <c r="AH62" i="15"/>
  <c r="AJ62" i="15"/>
  <c r="AH65" i="15"/>
  <c r="AO108" i="15"/>
  <c r="N3" i="15"/>
  <c r="N4" i="15"/>
  <c r="N5" i="15"/>
  <c r="N6" i="15"/>
  <c r="N7" i="15"/>
  <c r="N8" i="15"/>
  <c r="N9" i="15"/>
  <c r="N10" i="15"/>
  <c r="N11" i="15"/>
  <c r="N12" i="15"/>
  <c r="N13" i="15"/>
  <c r="N14" i="15"/>
  <c r="N15" i="15"/>
  <c r="N16" i="15"/>
  <c r="N17" i="15"/>
  <c r="N18" i="15"/>
  <c r="N19" i="15"/>
  <c r="N20" i="15"/>
  <c r="N21" i="15"/>
  <c r="N22" i="15"/>
  <c r="N23" i="15"/>
  <c r="N24" i="15"/>
  <c r="N25" i="15"/>
  <c r="N26" i="15"/>
  <c r="N27" i="15"/>
  <c r="N28" i="15"/>
  <c r="N29" i="15"/>
  <c r="N30" i="15"/>
  <c r="N31" i="15"/>
  <c r="N32" i="15"/>
  <c r="N33" i="15"/>
  <c r="N34" i="15"/>
  <c r="N35" i="15"/>
  <c r="N36" i="15"/>
  <c r="N37" i="15"/>
  <c r="N38" i="15"/>
  <c r="N39" i="15"/>
  <c r="N40" i="15"/>
  <c r="N41" i="15"/>
  <c r="N42" i="15"/>
  <c r="N43" i="15"/>
  <c r="N44" i="15"/>
  <c r="N45" i="15"/>
  <c r="N46" i="15"/>
  <c r="N47" i="15"/>
  <c r="N48" i="15"/>
  <c r="N49" i="15"/>
  <c r="N50" i="15"/>
  <c r="N51" i="15"/>
  <c r="N52" i="15"/>
  <c r="N53" i="15"/>
  <c r="N54" i="15"/>
  <c r="N55" i="15"/>
  <c r="N56" i="15"/>
  <c r="N57" i="15"/>
  <c r="N58" i="15"/>
  <c r="N59" i="15"/>
  <c r="N60" i="15"/>
  <c r="N61" i="15"/>
  <c r="N62" i="15"/>
  <c r="N63" i="15"/>
  <c r="N64" i="15"/>
  <c r="N65" i="15"/>
  <c r="N66" i="15"/>
  <c r="N67" i="15"/>
  <c r="N68" i="15"/>
  <c r="N69" i="15"/>
  <c r="N70" i="15"/>
  <c r="N71" i="15"/>
  <c r="N72" i="15"/>
  <c r="N73" i="15"/>
  <c r="N74" i="15"/>
  <c r="N75" i="15"/>
  <c r="N76" i="15"/>
  <c r="N77" i="15"/>
  <c r="N78" i="15"/>
  <c r="N79" i="15"/>
  <c r="N80" i="15"/>
  <c r="N81" i="15"/>
  <c r="N82" i="15"/>
  <c r="N83" i="15"/>
  <c r="N84" i="15"/>
  <c r="N85" i="15"/>
  <c r="N86" i="15"/>
  <c r="N87" i="15"/>
  <c r="N88" i="15"/>
  <c r="N89" i="15"/>
  <c r="N90" i="15"/>
  <c r="N91" i="15"/>
  <c r="N92" i="15"/>
  <c r="N93" i="15"/>
  <c r="N94" i="15"/>
  <c r="N95" i="15"/>
  <c r="N96" i="15"/>
  <c r="N97" i="15"/>
  <c r="N98" i="15"/>
  <c r="N99" i="15"/>
  <c r="N100" i="15"/>
  <c r="N101" i="15"/>
  <c r="N102" i="15"/>
  <c r="N103" i="15"/>
  <c r="N104" i="15"/>
  <c r="N105" i="15"/>
  <c r="N106" i="15"/>
  <c r="N107" i="15"/>
  <c r="N108" i="15"/>
  <c r="AL108" i="15"/>
  <c r="K108" i="15"/>
  <c r="W105" i="15"/>
  <c r="W3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6" i="15"/>
  <c r="W107" i="15"/>
  <c r="W108" i="15"/>
  <c r="X3" i="15"/>
  <c r="X4" i="15"/>
  <c r="X5" i="15"/>
  <c r="X6" i="15"/>
  <c r="X7" i="15"/>
  <c r="X8" i="15"/>
  <c r="X9" i="15"/>
  <c r="X10" i="15"/>
  <c r="X11" i="15"/>
  <c r="X12" i="15"/>
  <c r="X13" i="15"/>
  <c r="X14" i="15"/>
  <c r="X15" i="15"/>
  <c r="X16" i="15"/>
  <c r="X17" i="15"/>
  <c r="X18" i="15"/>
  <c r="X19" i="15"/>
  <c r="X20" i="15"/>
  <c r="X21" i="15"/>
  <c r="X22" i="15"/>
  <c r="X23" i="15"/>
  <c r="X24" i="15"/>
  <c r="X25" i="15"/>
  <c r="X26" i="15"/>
  <c r="X27" i="15"/>
  <c r="X28" i="15"/>
  <c r="X29" i="15"/>
  <c r="X30" i="15"/>
  <c r="X31" i="15"/>
  <c r="X32" i="15"/>
  <c r="X33" i="15"/>
  <c r="X34" i="15"/>
  <c r="X35" i="15"/>
  <c r="X36" i="15"/>
  <c r="X37" i="15"/>
  <c r="X38" i="15"/>
  <c r="X39" i="15"/>
  <c r="X40" i="15"/>
  <c r="X41" i="15"/>
  <c r="X42" i="15"/>
  <c r="X43" i="15"/>
  <c r="X44" i="15"/>
  <c r="X45" i="15"/>
  <c r="X46" i="15"/>
  <c r="X47" i="15"/>
  <c r="X48" i="15"/>
  <c r="X49" i="15"/>
  <c r="X50" i="15"/>
  <c r="X51" i="15"/>
  <c r="X52" i="15"/>
  <c r="X53" i="15"/>
  <c r="X54" i="15"/>
  <c r="X55" i="15"/>
  <c r="X56" i="15"/>
  <c r="X57" i="15"/>
  <c r="X58" i="15"/>
  <c r="X59" i="15"/>
  <c r="X60" i="15"/>
  <c r="X61" i="15"/>
  <c r="X62" i="15"/>
  <c r="X63" i="15"/>
  <c r="X64" i="15"/>
  <c r="X65" i="15"/>
  <c r="X66" i="15"/>
  <c r="X67" i="15"/>
  <c r="X68" i="15"/>
  <c r="X69" i="15"/>
  <c r="X70" i="15"/>
  <c r="X71" i="15"/>
  <c r="X72" i="15"/>
  <c r="X73" i="15"/>
  <c r="X74" i="15"/>
  <c r="X75" i="15"/>
  <c r="X76" i="15"/>
  <c r="X77" i="15"/>
  <c r="X78" i="15"/>
  <c r="X79" i="15"/>
  <c r="X80" i="15"/>
  <c r="X81" i="15"/>
  <c r="X82" i="15"/>
  <c r="X83" i="15"/>
  <c r="X84" i="15"/>
  <c r="X85" i="15"/>
  <c r="X86" i="15"/>
  <c r="X87" i="15"/>
  <c r="X88" i="15"/>
  <c r="X89" i="15"/>
  <c r="X90" i="15"/>
  <c r="X91" i="15"/>
  <c r="X92" i="15"/>
  <c r="X93" i="15"/>
  <c r="X94" i="15"/>
  <c r="X95" i="15"/>
  <c r="X96" i="15"/>
  <c r="X97" i="15"/>
  <c r="X98" i="15"/>
  <c r="X99" i="15"/>
  <c r="X100" i="15"/>
  <c r="X101" i="15"/>
  <c r="X102" i="15"/>
  <c r="X103" i="15"/>
  <c r="X104" i="15"/>
  <c r="X105" i="15"/>
  <c r="X106" i="15"/>
  <c r="X107" i="15"/>
  <c r="X108" i="15"/>
  <c r="Y3" i="15"/>
  <c r="Y4" i="15"/>
  <c r="Y5" i="15"/>
  <c r="Y6" i="15"/>
  <c r="Y7" i="15"/>
  <c r="Y8" i="15"/>
  <c r="Y9" i="15"/>
  <c r="Y10" i="15"/>
  <c r="Y11" i="15"/>
  <c r="Y12" i="15"/>
  <c r="Y13" i="15"/>
  <c r="Y14" i="15"/>
  <c r="Y15" i="15"/>
  <c r="Y16" i="15"/>
  <c r="Y17" i="15"/>
  <c r="Y18" i="15"/>
  <c r="Y19" i="15"/>
  <c r="Y20" i="15"/>
  <c r="Y21" i="15"/>
  <c r="Y22" i="15"/>
  <c r="Y23" i="15"/>
  <c r="Y24" i="15"/>
  <c r="Y25" i="15"/>
  <c r="Y26" i="15"/>
  <c r="Y27" i="15"/>
  <c r="Y28" i="15"/>
  <c r="Y29" i="15"/>
  <c r="Y30" i="15"/>
  <c r="Y31" i="15"/>
  <c r="Y32" i="15"/>
  <c r="Y33" i="15"/>
  <c r="Y34" i="15"/>
  <c r="Y35" i="15"/>
  <c r="Y36" i="15"/>
  <c r="Y37" i="15"/>
  <c r="Y38" i="15"/>
  <c r="Y39" i="15"/>
  <c r="Y40" i="15"/>
  <c r="Y41" i="15"/>
  <c r="Y42" i="15"/>
  <c r="Y43" i="15"/>
  <c r="Y44" i="15"/>
  <c r="Y45" i="15"/>
  <c r="Y46" i="15"/>
  <c r="Y47" i="15"/>
  <c r="Y48" i="15"/>
  <c r="Y49" i="15"/>
  <c r="Y50" i="15"/>
  <c r="Y51" i="15"/>
  <c r="Y52" i="15"/>
  <c r="Y53" i="15"/>
  <c r="Y54" i="15"/>
  <c r="Y55" i="15"/>
  <c r="Y56" i="15"/>
  <c r="Y57" i="15"/>
  <c r="Y58" i="15"/>
  <c r="Y59" i="15"/>
  <c r="Y60" i="15"/>
  <c r="Y61" i="15"/>
  <c r="Y62" i="15"/>
  <c r="Y63" i="15"/>
  <c r="Y64" i="15"/>
  <c r="Y65" i="15"/>
  <c r="Y66" i="15"/>
  <c r="Y67" i="15"/>
  <c r="Y68" i="15"/>
  <c r="Y69" i="15"/>
  <c r="Y70" i="15"/>
  <c r="Y71" i="15"/>
  <c r="Y72" i="15"/>
  <c r="Y73" i="15"/>
  <c r="Y74" i="15"/>
  <c r="Y75" i="15"/>
  <c r="Y76" i="15"/>
  <c r="Y77" i="15"/>
  <c r="Y78" i="15"/>
  <c r="Y79" i="15"/>
  <c r="Y80" i="15"/>
  <c r="Y81" i="15"/>
  <c r="Y82" i="15"/>
  <c r="Y83" i="15"/>
  <c r="Y84" i="15"/>
  <c r="Y85" i="15"/>
  <c r="Y86" i="15"/>
  <c r="Y87" i="15"/>
  <c r="Y88" i="15"/>
  <c r="Y89" i="15"/>
  <c r="Y90" i="15"/>
  <c r="Y91" i="15"/>
  <c r="Y92" i="15"/>
  <c r="Y93" i="15"/>
  <c r="Y94" i="15"/>
  <c r="Y95" i="15"/>
  <c r="Y96" i="15"/>
  <c r="Y97" i="15"/>
  <c r="Y98" i="15"/>
  <c r="Y99" i="15"/>
  <c r="Y100" i="15"/>
  <c r="Y101" i="15"/>
  <c r="Y102" i="15"/>
  <c r="Y103" i="15"/>
  <c r="Y104" i="15"/>
  <c r="Y105" i="15"/>
  <c r="Y106" i="15"/>
  <c r="Y107" i="15"/>
  <c r="Y108" i="15"/>
  <c r="Z3" i="15"/>
  <c r="Z4" i="15"/>
  <c r="Z5" i="15"/>
  <c r="Z6" i="15"/>
  <c r="Z7" i="15"/>
  <c r="Z8" i="15"/>
  <c r="Z9" i="15"/>
  <c r="Z10" i="15"/>
  <c r="Z11" i="15"/>
  <c r="Z12" i="15"/>
  <c r="Z13" i="15"/>
  <c r="Z14" i="15"/>
  <c r="Z15" i="15"/>
  <c r="Z16" i="15"/>
  <c r="Z17" i="15"/>
  <c r="Z18" i="15"/>
  <c r="Z19" i="15"/>
  <c r="Z20" i="15"/>
  <c r="Z21" i="15"/>
  <c r="Z22" i="15"/>
  <c r="Z23" i="15"/>
  <c r="Z24" i="15"/>
  <c r="Z25" i="15"/>
  <c r="Z26" i="15"/>
  <c r="Z27" i="15"/>
  <c r="Z28" i="15"/>
  <c r="Z29" i="15"/>
  <c r="Z30" i="15"/>
  <c r="Z31" i="15"/>
  <c r="Z32" i="15"/>
  <c r="Z33" i="15"/>
  <c r="Z34" i="15"/>
  <c r="Z35" i="15"/>
  <c r="Z36" i="15"/>
  <c r="Z37" i="15"/>
  <c r="Z38" i="15"/>
  <c r="Z39" i="15"/>
  <c r="Z40" i="15"/>
  <c r="Z41" i="15"/>
  <c r="Z42" i="15"/>
  <c r="Z43" i="15"/>
  <c r="Z44" i="15"/>
  <c r="Z45" i="15"/>
  <c r="Z46" i="15"/>
  <c r="Z47" i="15"/>
  <c r="Z48" i="15"/>
  <c r="Z49" i="15"/>
  <c r="Z50" i="15"/>
  <c r="Z51" i="15"/>
  <c r="Z52" i="15"/>
  <c r="Z53" i="15"/>
  <c r="Z54" i="15"/>
  <c r="Z55" i="15"/>
  <c r="Z56" i="15"/>
  <c r="Z57" i="15"/>
  <c r="Z58" i="15"/>
  <c r="Z59" i="15"/>
  <c r="Z60" i="15"/>
  <c r="Z61" i="15"/>
  <c r="Z62" i="15"/>
  <c r="Z63" i="15"/>
  <c r="Z64" i="15"/>
  <c r="Z65" i="15"/>
  <c r="Z66" i="15"/>
  <c r="Z67" i="15"/>
  <c r="Z68" i="15"/>
  <c r="Z69" i="15"/>
  <c r="Z70" i="15"/>
  <c r="Z71" i="15"/>
  <c r="Z72" i="15"/>
  <c r="Z73" i="15"/>
  <c r="Z74" i="15"/>
  <c r="Z75" i="15"/>
  <c r="Z76" i="15"/>
  <c r="Z77" i="15"/>
  <c r="Z78" i="15"/>
  <c r="Z79" i="15"/>
  <c r="Z80" i="15"/>
  <c r="Z81" i="15"/>
  <c r="Z82" i="15"/>
  <c r="Z83" i="15"/>
  <c r="Z84" i="15"/>
  <c r="Z85" i="15"/>
  <c r="Z86" i="15"/>
  <c r="Z87" i="15"/>
  <c r="Z88" i="15"/>
  <c r="Z89" i="15"/>
  <c r="Z90" i="15"/>
  <c r="Z91" i="15"/>
  <c r="Z92" i="15"/>
  <c r="Z93" i="15"/>
  <c r="Z94" i="15"/>
  <c r="Z95" i="15"/>
  <c r="Z96" i="15"/>
  <c r="Z97" i="15"/>
  <c r="Z98" i="15"/>
  <c r="Z99" i="15"/>
  <c r="Z100" i="15"/>
  <c r="Z101" i="15"/>
  <c r="Z102" i="15"/>
  <c r="Z103" i="15"/>
  <c r="Z104" i="15"/>
  <c r="Z105" i="15"/>
  <c r="Z106" i="15"/>
  <c r="Z107" i="15"/>
  <c r="Z108" i="15"/>
  <c r="X110" i="15"/>
  <c r="W109" i="15"/>
  <c r="S3" i="15"/>
  <c r="S4" i="15"/>
  <c r="S5" i="15"/>
  <c r="S6" i="15"/>
  <c r="S7" i="15"/>
  <c r="S8" i="15"/>
  <c r="S9" i="15"/>
  <c r="S10" i="15"/>
  <c r="S11" i="15"/>
  <c r="S12" i="15"/>
  <c r="S13" i="15"/>
  <c r="S14" i="15"/>
  <c r="S15" i="15"/>
  <c r="S16" i="15"/>
  <c r="S17" i="15"/>
  <c r="S18" i="15"/>
  <c r="S19" i="15"/>
  <c r="S20" i="15"/>
  <c r="S21" i="15"/>
  <c r="S22" i="15"/>
  <c r="S23" i="15"/>
  <c r="S24" i="15"/>
  <c r="S25" i="15"/>
  <c r="S26" i="15"/>
  <c r="S27" i="15"/>
  <c r="S28" i="15"/>
  <c r="S29" i="15"/>
  <c r="S30" i="15"/>
  <c r="S31" i="15"/>
  <c r="S32" i="15"/>
  <c r="S33" i="15"/>
  <c r="S34" i="15"/>
  <c r="S35" i="15"/>
  <c r="S36" i="15"/>
  <c r="S37" i="15"/>
  <c r="S38" i="15"/>
  <c r="S39" i="15"/>
  <c r="S40" i="15"/>
  <c r="S41" i="15"/>
  <c r="S42" i="15"/>
  <c r="S43" i="15"/>
  <c r="S44" i="15"/>
  <c r="S45" i="15"/>
  <c r="S46" i="15"/>
  <c r="S47" i="15"/>
  <c r="S48" i="15"/>
  <c r="S49" i="15"/>
  <c r="S50" i="15"/>
  <c r="S51" i="15"/>
  <c r="S52" i="15"/>
  <c r="S53" i="15"/>
  <c r="S54" i="15"/>
  <c r="S55" i="15"/>
  <c r="S56" i="15"/>
  <c r="S57" i="15"/>
  <c r="S58" i="15"/>
  <c r="S59" i="15"/>
  <c r="S60" i="15"/>
  <c r="S61" i="15"/>
  <c r="S62" i="15"/>
  <c r="S63" i="15"/>
  <c r="S64" i="15"/>
  <c r="S65" i="15"/>
  <c r="S66" i="15"/>
  <c r="S67" i="15"/>
  <c r="S68" i="15"/>
  <c r="S69" i="15"/>
  <c r="S70" i="15"/>
  <c r="S71" i="15"/>
  <c r="S72" i="15"/>
  <c r="S73" i="15"/>
  <c r="S74" i="15"/>
  <c r="S75" i="15"/>
  <c r="S76" i="15"/>
  <c r="S77" i="15"/>
  <c r="S78" i="15"/>
  <c r="S79" i="15"/>
  <c r="S80" i="15"/>
  <c r="S81" i="15"/>
  <c r="S82" i="15"/>
  <c r="S83" i="15"/>
  <c r="S84" i="15"/>
  <c r="S85" i="15"/>
  <c r="S86" i="15"/>
  <c r="S87" i="15"/>
  <c r="S88" i="15"/>
  <c r="S89" i="15"/>
  <c r="S90" i="15"/>
  <c r="S91" i="15"/>
  <c r="S92" i="15"/>
  <c r="S93" i="15"/>
  <c r="S94" i="15"/>
  <c r="S95" i="15"/>
  <c r="S96" i="15"/>
  <c r="S97" i="15"/>
  <c r="S98" i="15"/>
  <c r="S99" i="15"/>
  <c r="S100" i="15"/>
  <c r="S101" i="15"/>
  <c r="S102" i="15"/>
  <c r="S103" i="15"/>
  <c r="S104" i="15"/>
  <c r="S105" i="15"/>
  <c r="S106" i="15"/>
  <c r="S107" i="15"/>
  <c r="S108" i="15"/>
  <c r="T3" i="15"/>
  <c r="T4" i="15"/>
  <c r="T5" i="15"/>
  <c r="T6" i="15"/>
  <c r="T7" i="15"/>
  <c r="T8" i="15"/>
  <c r="T9" i="15"/>
  <c r="T10" i="15"/>
  <c r="T11" i="15"/>
  <c r="T12" i="15"/>
  <c r="T13" i="15"/>
  <c r="T14" i="15"/>
  <c r="T15" i="15"/>
  <c r="T16" i="15"/>
  <c r="T17" i="15"/>
  <c r="T18" i="15"/>
  <c r="T19" i="15"/>
  <c r="T20" i="15"/>
  <c r="T21" i="15"/>
  <c r="T22" i="15"/>
  <c r="T23" i="15"/>
  <c r="T24" i="15"/>
  <c r="T25" i="15"/>
  <c r="T26" i="15"/>
  <c r="T27" i="15"/>
  <c r="T28" i="15"/>
  <c r="T29" i="15"/>
  <c r="T30" i="15"/>
  <c r="T31" i="15"/>
  <c r="T32" i="15"/>
  <c r="T33" i="15"/>
  <c r="T34" i="15"/>
  <c r="T35" i="15"/>
  <c r="T36" i="15"/>
  <c r="T37" i="15"/>
  <c r="T38" i="15"/>
  <c r="T39" i="15"/>
  <c r="T40" i="15"/>
  <c r="T41" i="15"/>
  <c r="T42" i="15"/>
  <c r="T43" i="15"/>
  <c r="T44" i="15"/>
  <c r="T45" i="15"/>
  <c r="T46" i="15"/>
  <c r="T47" i="15"/>
  <c r="T48" i="15"/>
  <c r="T49" i="15"/>
  <c r="T50" i="15"/>
  <c r="T51" i="15"/>
  <c r="T52" i="15"/>
  <c r="T53" i="15"/>
  <c r="T54" i="15"/>
  <c r="T55" i="15"/>
  <c r="T56" i="15"/>
  <c r="T57" i="15"/>
  <c r="T58" i="15"/>
  <c r="T59" i="15"/>
  <c r="T60" i="15"/>
  <c r="T61" i="15"/>
  <c r="T62" i="15"/>
  <c r="T63" i="15"/>
  <c r="T64" i="15"/>
  <c r="T65" i="15"/>
  <c r="T66" i="15"/>
  <c r="T67" i="15"/>
  <c r="T68" i="15"/>
  <c r="T69" i="15"/>
  <c r="T70" i="15"/>
  <c r="T71" i="15"/>
  <c r="T72" i="15"/>
  <c r="T73" i="15"/>
  <c r="T74" i="15"/>
  <c r="T75" i="15"/>
  <c r="T76" i="15"/>
  <c r="T77" i="15"/>
  <c r="T78" i="15"/>
  <c r="T79" i="15"/>
  <c r="T80" i="15"/>
  <c r="T81" i="15"/>
  <c r="T82" i="15"/>
  <c r="T83" i="15"/>
  <c r="T84" i="15"/>
  <c r="T85" i="15"/>
  <c r="T86" i="15"/>
  <c r="T87" i="15"/>
  <c r="T88" i="15"/>
  <c r="T89" i="15"/>
  <c r="T90" i="15"/>
  <c r="T91" i="15"/>
  <c r="T92" i="15"/>
  <c r="T93" i="15"/>
  <c r="T94" i="15"/>
  <c r="T95" i="15"/>
  <c r="T96" i="15"/>
  <c r="T97" i="15"/>
  <c r="T98" i="15"/>
  <c r="T99" i="15"/>
  <c r="T100" i="15"/>
  <c r="T101" i="15"/>
  <c r="T102" i="15"/>
  <c r="T103" i="15"/>
  <c r="T104" i="15"/>
  <c r="T105" i="15"/>
  <c r="T106" i="15"/>
  <c r="T107" i="15"/>
  <c r="T108" i="15"/>
  <c r="U3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T110" i="15"/>
  <c r="S109" i="15"/>
  <c r="O3" i="15"/>
  <c r="O4" i="15"/>
  <c r="O5" i="15"/>
  <c r="O6" i="15"/>
  <c r="O7" i="15"/>
  <c r="O8" i="15"/>
  <c r="O9" i="15"/>
  <c r="O10" i="15"/>
  <c r="O11" i="15"/>
  <c r="O12" i="15"/>
  <c r="O13" i="15"/>
  <c r="O14" i="15"/>
  <c r="O15" i="15"/>
  <c r="O16" i="15"/>
  <c r="O17" i="15"/>
  <c r="O18" i="15"/>
  <c r="O19" i="15"/>
  <c r="O20" i="15"/>
  <c r="O21" i="15"/>
  <c r="O22" i="15"/>
  <c r="O23" i="15"/>
  <c r="O24" i="15"/>
  <c r="O25" i="15"/>
  <c r="O26" i="15"/>
  <c r="O27" i="15"/>
  <c r="O28" i="15"/>
  <c r="O29" i="15"/>
  <c r="O30" i="15"/>
  <c r="O31" i="15"/>
  <c r="O32" i="15"/>
  <c r="O33" i="15"/>
  <c r="O34" i="15"/>
  <c r="O35" i="15"/>
  <c r="O36" i="15"/>
  <c r="O37" i="15"/>
  <c r="O38" i="15"/>
  <c r="O39" i="15"/>
  <c r="O40" i="15"/>
  <c r="O41" i="15"/>
  <c r="O42" i="15"/>
  <c r="O43" i="15"/>
  <c r="O44" i="15"/>
  <c r="O45" i="15"/>
  <c r="O46" i="15"/>
  <c r="O47" i="15"/>
  <c r="O48" i="15"/>
  <c r="O49" i="15"/>
  <c r="O50" i="15"/>
  <c r="O51" i="15"/>
  <c r="O52" i="15"/>
  <c r="O53" i="15"/>
  <c r="O54" i="15"/>
  <c r="O55" i="15"/>
  <c r="O56" i="15"/>
  <c r="O57" i="15"/>
  <c r="O58" i="15"/>
  <c r="O59" i="15"/>
  <c r="O60" i="15"/>
  <c r="O61" i="15"/>
  <c r="O62" i="15"/>
  <c r="O63" i="15"/>
  <c r="O64" i="15"/>
  <c r="O65" i="15"/>
  <c r="O66" i="15"/>
  <c r="O67" i="15"/>
  <c r="O68" i="15"/>
  <c r="O69" i="15"/>
  <c r="O70" i="15"/>
  <c r="O71" i="15"/>
  <c r="O72" i="15"/>
  <c r="O73" i="15"/>
  <c r="O74" i="15"/>
  <c r="O75" i="15"/>
  <c r="O76" i="15"/>
  <c r="O77" i="15"/>
  <c r="O78" i="15"/>
  <c r="O79" i="15"/>
  <c r="O80" i="15"/>
  <c r="O81" i="15"/>
  <c r="O82" i="15"/>
  <c r="O83" i="15"/>
  <c r="O84" i="15"/>
  <c r="O85" i="15"/>
  <c r="O86" i="15"/>
  <c r="O87" i="15"/>
  <c r="O88" i="15"/>
  <c r="O89" i="15"/>
  <c r="O90" i="15"/>
  <c r="O91" i="15"/>
  <c r="O92" i="15"/>
  <c r="O93" i="15"/>
  <c r="O94" i="15"/>
  <c r="O95" i="15"/>
  <c r="O96" i="15"/>
  <c r="O97" i="15"/>
  <c r="O98" i="15"/>
  <c r="O99" i="15"/>
  <c r="O100" i="15"/>
  <c r="O101" i="15"/>
  <c r="O102" i="15"/>
  <c r="O103" i="15"/>
  <c r="O104" i="15"/>
  <c r="O105" i="15"/>
  <c r="O106" i="15"/>
  <c r="O107" i="15"/>
  <c r="P3" i="15"/>
  <c r="P4" i="15"/>
  <c r="P5" i="15"/>
  <c r="P6" i="15"/>
  <c r="P7" i="15"/>
  <c r="P8" i="15"/>
  <c r="P9" i="15"/>
  <c r="P10" i="15"/>
  <c r="P11" i="15"/>
  <c r="P12" i="15"/>
  <c r="P13" i="15"/>
  <c r="P14" i="15"/>
  <c r="P15" i="15"/>
  <c r="P16" i="15"/>
  <c r="P17" i="15"/>
  <c r="P18" i="15"/>
  <c r="P19" i="15"/>
  <c r="P20" i="15"/>
  <c r="P21" i="15"/>
  <c r="P22" i="15"/>
  <c r="P23" i="15"/>
  <c r="P24" i="15"/>
  <c r="P25" i="15"/>
  <c r="P26" i="15"/>
  <c r="P27" i="15"/>
  <c r="P28" i="15"/>
  <c r="P29" i="15"/>
  <c r="P30" i="15"/>
  <c r="P31" i="15"/>
  <c r="P32" i="15"/>
  <c r="P33" i="15"/>
  <c r="P34" i="15"/>
  <c r="P35" i="15"/>
  <c r="P36" i="15"/>
  <c r="P37" i="15"/>
  <c r="P38" i="15"/>
  <c r="P39" i="15"/>
  <c r="P40" i="15"/>
  <c r="P41" i="15"/>
  <c r="P42" i="15"/>
  <c r="P43" i="15"/>
  <c r="P44" i="15"/>
  <c r="P45" i="15"/>
  <c r="P46" i="15"/>
  <c r="P47" i="15"/>
  <c r="P48" i="15"/>
  <c r="P49" i="15"/>
  <c r="P50" i="15"/>
  <c r="P51" i="15"/>
  <c r="P52" i="15"/>
  <c r="P53" i="15"/>
  <c r="P54" i="15"/>
  <c r="P55" i="15"/>
  <c r="P56" i="15"/>
  <c r="P57" i="15"/>
  <c r="P58" i="15"/>
  <c r="P59" i="15"/>
  <c r="P60" i="15"/>
  <c r="P61" i="15"/>
  <c r="P62" i="15"/>
  <c r="P63" i="15"/>
  <c r="P64" i="15"/>
  <c r="P65" i="15"/>
  <c r="P66" i="15"/>
  <c r="P67" i="15"/>
  <c r="P68" i="15"/>
  <c r="P69" i="15"/>
  <c r="P70" i="15"/>
  <c r="P71" i="15"/>
  <c r="P72" i="15"/>
  <c r="P73" i="15"/>
  <c r="P74" i="15"/>
  <c r="P75" i="15"/>
  <c r="P76" i="15"/>
  <c r="P77" i="15"/>
  <c r="P78" i="15"/>
  <c r="P79" i="15"/>
  <c r="P80" i="15"/>
  <c r="P81" i="15"/>
  <c r="P82" i="15"/>
  <c r="P83" i="15"/>
  <c r="P84" i="15"/>
  <c r="P85" i="15"/>
  <c r="P86" i="15"/>
  <c r="P87" i="15"/>
  <c r="P88" i="15"/>
  <c r="P89" i="15"/>
  <c r="P90" i="15"/>
  <c r="P91" i="15"/>
  <c r="P92" i="15"/>
  <c r="P93" i="15"/>
  <c r="P94" i="15"/>
  <c r="P95" i="15"/>
  <c r="P96" i="15"/>
  <c r="P97" i="15"/>
  <c r="P98" i="15"/>
  <c r="P99" i="15"/>
  <c r="P100" i="15"/>
  <c r="P101" i="15"/>
  <c r="P102" i="15"/>
  <c r="P103" i="15"/>
  <c r="P104" i="15"/>
  <c r="P105" i="15"/>
  <c r="P106" i="15"/>
  <c r="P107" i="15"/>
  <c r="P108" i="15"/>
  <c r="Q3" i="15"/>
  <c r="Q4" i="15"/>
  <c r="Q5" i="15"/>
  <c r="Q6" i="15"/>
  <c r="Q7" i="15"/>
  <c r="Q8" i="15"/>
  <c r="Q9" i="15"/>
  <c r="Q10" i="15"/>
  <c r="Q11" i="15"/>
  <c r="Q12" i="15"/>
  <c r="Q13" i="15"/>
  <c r="Q14" i="15"/>
  <c r="Q15" i="15"/>
  <c r="Q16" i="15"/>
  <c r="Q17" i="15"/>
  <c r="Q18" i="15"/>
  <c r="Q19" i="15"/>
  <c r="Q20" i="15"/>
  <c r="Q21" i="15"/>
  <c r="Q22" i="15"/>
  <c r="Q23" i="15"/>
  <c r="Q24" i="15"/>
  <c r="Q25" i="15"/>
  <c r="Q26" i="15"/>
  <c r="Q27" i="15"/>
  <c r="Q28" i="15"/>
  <c r="Q29" i="15"/>
  <c r="Q30" i="15"/>
  <c r="Q31" i="15"/>
  <c r="Q32" i="15"/>
  <c r="Q33" i="15"/>
  <c r="Q34" i="15"/>
  <c r="Q35" i="15"/>
  <c r="Q36" i="15"/>
  <c r="Q37" i="15"/>
  <c r="Q38" i="15"/>
  <c r="Q39" i="15"/>
  <c r="Q40" i="15"/>
  <c r="Q41" i="15"/>
  <c r="Q42" i="15"/>
  <c r="Q43" i="15"/>
  <c r="Q44" i="15"/>
  <c r="Q45" i="15"/>
  <c r="Q46" i="15"/>
  <c r="Q47" i="15"/>
  <c r="Q48" i="15"/>
  <c r="Q49" i="15"/>
  <c r="Q50" i="15"/>
  <c r="Q51" i="15"/>
  <c r="Q52" i="15"/>
  <c r="Q53" i="15"/>
  <c r="Q54" i="15"/>
  <c r="Q55" i="15"/>
  <c r="Q56" i="15"/>
  <c r="Q57" i="15"/>
  <c r="Q58" i="15"/>
  <c r="Q59" i="15"/>
  <c r="Q60" i="15"/>
  <c r="Q61" i="15"/>
  <c r="Q62" i="15"/>
  <c r="Q63" i="15"/>
  <c r="Q64" i="15"/>
  <c r="Q65" i="15"/>
  <c r="Q66" i="15"/>
  <c r="Q67" i="15"/>
  <c r="Q68" i="15"/>
  <c r="Q69" i="15"/>
  <c r="Q70" i="15"/>
  <c r="Q71" i="15"/>
  <c r="Q72" i="15"/>
  <c r="Q73" i="15"/>
  <c r="Q74" i="15"/>
  <c r="Q75" i="15"/>
  <c r="Q76" i="15"/>
  <c r="Q77" i="15"/>
  <c r="Q78" i="15"/>
  <c r="Q79" i="15"/>
  <c r="Q80" i="15"/>
  <c r="Q81" i="15"/>
  <c r="Q82" i="15"/>
  <c r="Q83" i="15"/>
  <c r="Q84" i="15"/>
  <c r="Q85" i="15"/>
  <c r="Q86" i="15"/>
  <c r="Q87" i="15"/>
  <c r="Q88" i="15"/>
  <c r="Q89" i="15"/>
  <c r="Q90" i="15"/>
  <c r="Q91" i="15"/>
  <c r="Q92" i="15"/>
  <c r="Q93" i="15"/>
  <c r="Q94" i="15"/>
  <c r="Q95" i="15"/>
  <c r="Q96" i="15"/>
  <c r="Q97" i="15"/>
  <c r="Q98" i="15"/>
  <c r="Q99" i="15"/>
  <c r="Q100" i="15"/>
  <c r="Q101" i="15"/>
  <c r="Q102" i="15"/>
  <c r="Q103" i="15"/>
  <c r="Q104" i="15"/>
  <c r="Q105" i="15"/>
  <c r="Q106" i="15"/>
  <c r="Q107" i="15"/>
  <c r="Q108" i="15"/>
  <c r="R3" i="15"/>
  <c r="R4" i="15"/>
  <c r="R5" i="15"/>
  <c r="R6" i="15"/>
  <c r="R7" i="15"/>
  <c r="R8" i="15"/>
  <c r="R9" i="15"/>
  <c r="R10" i="15"/>
  <c r="R11" i="15"/>
  <c r="R12" i="15"/>
  <c r="R13" i="15"/>
  <c r="R14" i="15"/>
  <c r="R15" i="15"/>
  <c r="R16" i="15"/>
  <c r="R17" i="15"/>
  <c r="R18" i="15"/>
  <c r="R19" i="15"/>
  <c r="R20" i="15"/>
  <c r="R21" i="15"/>
  <c r="R22" i="15"/>
  <c r="R23" i="15"/>
  <c r="R24" i="15"/>
  <c r="R25" i="15"/>
  <c r="R26" i="15"/>
  <c r="R27" i="15"/>
  <c r="R28" i="15"/>
  <c r="R29" i="15"/>
  <c r="R30" i="15"/>
  <c r="R31" i="15"/>
  <c r="R32" i="15"/>
  <c r="R33" i="15"/>
  <c r="R34" i="15"/>
  <c r="R35" i="15"/>
  <c r="R36" i="15"/>
  <c r="R37" i="15"/>
  <c r="R38" i="15"/>
  <c r="R39" i="15"/>
  <c r="R40" i="15"/>
  <c r="R41" i="15"/>
  <c r="R42" i="15"/>
  <c r="R43" i="15"/>
  <c r="R44" i="15"/>
  <c r="R45" i="15"/>
  <c r="R46" i="15"/>
  <c r="R47" i="15"/>
  <c r="R48" i="15"/>
  <c r="R49" i="15"/>
  <c r="R50" i="15"/>
  <c r="R51" i="15"/>
  <c r="R52" i="15"/>
  <c r="R53" i="15"/>
  <c r="R54" i="15"/>
  <c r="R55" i="15"/>
  <c r="R56" i="15"/>
  <c r="R57" i="15"/>
  <c r="R58" i="15"/>
  <c r="R59" i="15"/>
  <c r="R60" i="15"/>
  <c r="R61" i="15"/>
  <c r="R62" i="15"/>
  <c r="R63" i="15"/>
  <c r="R64" i="15"/>
  <c r="R65" i="15"/>
  <c r="R66" i="15"/>
  <c r="R67" i="15"/>
  <c r="R68" i="15"/>
  <c r="R69" i="15"/>
  <c r="R70" i="15"/>
  <c r="R71" i="15"/>
  <c r="R72" i="15"/>
  <c r="R73" i="15"/>
  <c r="R74" i="15"/>
  <c r="R75" i="15"/>
  <c r="R76" i="15"/>
  <c r="R77" i="15"/>
  <c r="R78" i="15"/>
  <c r="R79" i="15"/>
  <c r="R80" i="15"/>
  <c r="R81" i="15"/>
  <c r="R82" i="15"/>
  <c r="R83" i="15"/>
  <c r="R84" i="15"/>
  <c r="R85" i="15"/>
  <c r="R86" i="15"/>
  <c r="R87" i="15"/>
  <c r="R88" i="15"/>
  <c r="R89" i="15"/>
  <c r="R90" i="15"/>
  <c r="R91" i="15"/>
  <c r="R92" i="15"/>
  <c r="R93" i="15"/>
  <c r="R94" i="15"/>
  <c r="R95" i="15"/>
  <c r="R96" i="15"/>
  <c r="R97" i="15"/>
  <c r="R98" i="15"/>
  <c r="R99" i="15"/>
  <c r="R100" i="15"/>
  <c r="R101" i="15"/>
  <c r="R102" i="15"/>
  <c r="R103" i="15"/>
  <c r="R104" i="15"/>
  <c r="R105" i="15"/>
  <c r="R106" i="15"/>
  <c r="R107" i="15"/>
  <c r="R108" i="15"/>
  <c r="P110" i="15"/>
  <c r="O109" i="15"/>
  <c r="L110" i="15"/>
  <c r="L109" i="15"/>
  <c r="M109" i="15"/>
  <c r="N109" i="15"/>
  <c r="K109" i="15"/>
  <c r="Q109" i="15"/>
  <c r="R109" i="15"/>
  <c r="P109" i="15"/>
  <c r="T109" i="15"/>
  <c r="U109" i="15"/>
  <c r="V109" i="15"/>
  <c r="AC108" i="15"/>
  <c r="AD108" i="15"/>
  <c r="AE108" i="15"/>
  <c r="AF108" i="15"/>
  <c r="AG108" i="15"/>
  <c r="AH108" i="15"/>
  <c r="AI108" i="15"/>
  <c r="AJ108" i="15"/>
  <c r="AB108" i="15"/>
  <c r="Y109" i="15"/>
  <c r="Z109" i="15"/>
  <c r="X109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4" i="15"/>
  <c r="A5" i="15"/>
  <c r="A6" i="15"/>
  <c r="A7" i="15"/>
  <c r="A8" i="15"/>
  <c r="A9" i="15"/>
  <c r="A10" i="15"/>
  <c r="A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3" i="15"/>
  <c r="V15" i="4"/>
  <c r="X2" i="4"/>
  <c r="X3" i="4"/>
  <c r="X4" i="4"/>
  <c r="X5" i="4"/>
  <c r="X6" i="4"/>
  <c r="X7" i="4"/>
  <c r="X8" i="4"/>
  <c r="X9" i="4"/>
  <c r="X10" i="4"/>
  <c r="X11" i="4"/>
  <c r="X12" i="4"/>
  <c r="X13" i="4"/>
  <c r="X14" i="4"/>
  <c r="X15" i="4"/>
  <c r="X16" i="4"/>
  <c r="X17" i="4"/>
  <c r="X18" i="4"/>
  <c r="X19" i="4"/>
  <c r="X20" i="4"/>
  <c r="X21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X35" i="4"/>
  <c r="X36" i="4"/>
  <c r="X37" i="4"/>
  <c r="X38" i="4"/>
  <c r="X39" i="4"/>
  <c r="X40" i="4"/>
  <c r="X41" i="4"/>
  <c r="X42" i="4"/>
  <c r="X43" i="4"/>
  <c r="X44" i="4"/>
  <c r="X45" i="4"/>
  <c r="X46" i="4"/>
  <c r="X47" i="4"/>
  <c r="X48" i="4"/>
  <c r="X49" i="4"/>
  <c r="X50" i="4"/>
  <c r="X51" i="4"/>
  <c r="X52" i="4"/>
  <c r="X53" i="4"/>
  <c r="X54" i="4"/>
  <c r="X55" i="4"/>
  <c r="X56" i="4"/>
  <c r="X57" i="4"/>
  <c r="X58" i="4"/>
  <c r="X59" i="4"/>
  <c r="X60" i="4"/>
  <c r="X61" i="4"/>
  <c r="X62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1" i="4"/>
  <c r="X82" i="4"/>
  <c r="X83" i="4"/>
  <c r="X84" i="4"/>
  <c r="X85" i="4"/>
  <c r="X86" i="4"/>
  <c r="X87" i="4"/>
  <c r="X88" i="4"/>
  <c r="X89" i="4"/>
  <c r="X90" i="4"/>
  <c r="X91" i="4"/>
  <c r="X92" i="4"/>
  <c r="X93" i="4"/>
  <c r="X94" i="4"/>
  <c r="X95" i="4"/>
  <c r="X96" i="4"/>
  <c r="X97" i="4"/>
  <c r="X98" i="4"/>
  <c r="X99" i="4"/>
  <c r="X100" i="4"/>
  <c r="X101" i="4"/>
  <c r="X102" i="4"/>
  <c r="X103" i="4"/>
  <c r="X104" i="4"/>
  <c r="X105" i="4"/>
  <c r="X106" i="4"/>
  <c r="X107" i="4"/>
  <c r="W2" i="4"/>
  <c r="W3" i="4"/>
  <c r="W4" i="4"/>
  <c r="W5" i="4"/>
  <c r="W6" i="4"/>
  <c r="W7" i="4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47" i="4"/>
  <c r="W48" i="4"/>
  <c r="W49" i="4"/>
  <c r="W50" i="4"/>
  <c r="W51" i="4"/>
  <c r="W52" i="4"/>
  <c r="W53" i="4"/>
  <c r="W54" i="4"/>
  <c r="W55" i="4"/>
  <c r="W56" i="4"/>
  <c r="W57" i="4"/>
  <c r="W58" i="4"/>
  <c r="W59" i="4"/>
  <c r="W60" i="4"/>
  <c r="W61" i="4"/>
  <c r="W62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1" i="4"/>
  <c r="W82" i="4"/>
  <c r="W83" i="4"/>
  <c r="W84" i="4"/>
  <c r="W85" i="4"/>
  <c r="W86" i="4"/>
  <c r="W87" i="4"/>
  <c r="W88" i="4"/>
  <c r="W89" i="4"/>
  <c r="W90" i="4"/>
  <c r="W91" i="4"/>
  <c r="W92" i="4"/>
  <c r="W93" i="4"/>
  <c r="W94" i="4"/>
  <c r="W95" i="4"/>
  <c r="W96" i="4"/>
  <c r="W97" i="4"/>
  <c r="W98" i="4"/>
  <c r="W99" i="4"/>
  <c r="W100" i="4"/>
  <c r="W101" i="4"/>
  <c r="W102" i="4"/>
  <c r="W103" i="4"/>
  <c r="W104" i="4"/>
  <c r="W105" i="4"/>
  <c r="W106" i="4"/>
  <c r="W107" i="4"/>
  <c r="V2" i="4"/>
  <c r="V3" i="4"/>
  <c r="V4" i="4"/>
  <c r="V5" i="4"/>
  <c r="V6" i="4"/>
  <c r="V7" i="4"/>
  <c r="V8" i="4"/>
  <c r="V9" i="4"/>
  <c r="V10" i="4"/>
  <c r="V11" i="4"/>
  <c r="V12" i="4"/>
  <c r="V13" i="4"/>
  <c r="V14" i="4"/>
  <c r="V16" i="4"/>
  <c r="V17" i="4"/>
  <c r="V18" i="4"/>
  <c r="V19" i="4"/>
  <c r="V20" i="4"/>
  <c r="V21" i="4"/>
  <c r="V22" i="4"/>
  <c r="V23" i="4"/>
  <c r="V24" i="4"/>
  <c r="V25" i="4"/>
  <c r="V26" i="4"/>
  <c r="V27" i="4"/>
  <c r="V28" i="4"/>
  <c r="V29" i="4"/>
  <c r="V30" i="4"/>
  <c r="V31" i="4"/>
  <c r="V32" i="4"/>
  <c r="V33" i="4"/>
  <c r="V34" i="4"/>
  <c r="V35" i="4"/>
  <c r="V36" i="4"/>
  <c r="V37" i="4"/>
  <c r="V38" i="4"/>
  <c r="V39" i="4"/>
  <c r="V40" i="4"/>
  <c r="V41" i="4"/>
  <c r="V42" i="4"/>
  <c r="V43" i="4"/>
  <c r="V44" i="4"/>
  <c r="V45" i="4"/>
  <c r="V46" i="4"/>
  <c r="V47" i="4"/>
  <c r="V48" i="4"/>
  <c r="V49" i="4"/>
  <c r="V50" i="4"/>
  <c r="V51" i="4"/>
  <c r="V52" i="4"/>
  <c r="V53" i="4"/>
  <c r="V54" i="4"/>
  <c r="V55" i="4"/>
  <c r="V56" i="4"/>
  <c r="V57" i="4"/>
  <c r="V58" i="4"/>
  <c r="V59" i="4"/>
  <c r="V60" i="4"/>
  <c r="V61" i="4"/>
  <c r="V62" i="4"/>
  <c r="V63" i="4"/>
  <c r="V64" i="4"/>
  <c r="V65" i="4"/>
  <c r="V66" i="4"/>
  <c r="V67" i="4"/>
  <c r="V68" i="4"/>
  <c r="V69" i="4"/>
  <c r="V70" i="4"/>
  <c r="V71" i="4"/>
  <c r="V72" i="4"/>
  <c r="V73" i="4"/>
  <c r="V74" i="4"/>
  <c r="V75" i="4"/>
  <c r="V76" i="4"/>
  <c r="V77" i="4"/>
  <c r="V78" i="4"/>
  <c r="V79" i="4"/>
  <c r="V80" i="4"/>
  <c r="V81" i="4"/>
  <c r="V82" i="4"/>
  <c r="V83" i="4"/>
  <c r="V84" i="4"/>
  <c r="V85" i="4"/>
  <c r="V86" i="4"/>
  <c r="V87" i="4"/>
  <c r="V88" i="4"/>
  <c r="V89" i="4"/>
  <c r="V90" i="4"/>
  <c r="V91" i="4"/>
  <c r="V92" i="4"/>
  <c r="V93" i="4"/>
  <c r="V94" i="4"/>
  <c r="V95" i="4"/>
  <c r="V96" i="4"/>
  <c r="V97" i="4"/>
  <c r="V98" i="4"/>
  <c r="V99" i="4"/>
  <c r="V100" i="4"/>
  <c r="V101" i="4"/>
  <c r="V102" i="4"/>
  <c r="V103" i="4"/>
  <c r="V104" i="4"/>
  <c r="V105" i="4"/>
  <c r="V106" i="4"/>
  <c r="V107" i="4"/>
  <c r="V2" i="5"/>
  <c r="X2" i="5"/>
  <c r="X3" i="5"/>
  <c r="X4" i="5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79" i="5"/>
  <c r="X80" i="5"/>
  <c r="X81" i="5"/>
  <c r="X82" i="5"/>
  <c r="X83" i="5"/>
  <c r="X84" i="5"/>
  <c r="X85" i="5"/>
  <c r="X86" i="5"/>
  <c r="X87" i="5"/>
  <c r="X88" i="5"/>
  <c r="X89" i="5"/>
  <c r="X90" i="5"/>
  <c r="X91" i="5"/>
  <c r="X92" i="5"/>
  <c r="X93" i="5"/>
  <c r="X94" i="5"/>
  <c r="X95" i="5"/>
  <c r="X96" i="5"/>
  <c r="X97" i="5"/>
  <c r="X98" i="5"/>
  <c r="X99" i="5"/>
  <c r="X100" i="5"/>
  <c r="X101" i="5"/>
  <c r="X102" i="5"/>
  <c r="X103" i="5"/>
  <c r="X104" i="5"/>
  <c r="X105" i="5"/>
  <c r="X106" i="5"/>
  <c r="X107" i="5"/>
  <c r="W2" i="5"/>
  <c r="W3" i="5"/>
  <c r="W4" i="5"/>
  <c r="W5" i="5"/>
  <c r="W6" i="5"/>
  <c r="W7" i="5"/>
  <c r="W8" i="5"/>
  <c r="W9" i="5"/>
  <c r="W10" i="5"/>
  <c r="W11" i="5"/>
  <c r="W12" i="5"/>
  <c r="W13" i="5"/>
  <c r="W14" i="5"/>
  <c r="W15" i="5"/>
  <c r="W16" i="5"/>
  <c r="W17" i="5"/>
  <c r="W18" i="5"/>
  <c r="W19" i="5"/>
  <c r="W20" i="5"/>
  <c r="W21" i="5"/>
  <c r="W22" i="5"/>
  <c r="W23" i="5"/>
  <c r="W24" i="5"/>
  <c r="W25" i="5"/>
  <c r="W26" i="5"/>
  <c r="W27" i="5"/>
  <c r="W28" i="5"/>
  <c r="W29" i="5"/>
  <c r="W30" i="5"/>
  <c r="W31" i="5"/>
  <c r="W32" i="5"/>
  <c r="W33" i="5"/>
  <c r="W34" i="5"/>
  <c r="W35" i="5"/>
  <c r="W36" i="5"/>
  <c r="W37" i="5"/>
  <c r="W38" i="5"/>
  <c r="W39" i="5"/>
  <c r="W40" i="5"/>
  <c r="W41" i="5"/>
  <c r="W42" i="5"/>
  <c r="W43" i="5"/>
  <c r="W44" i="5"/>
  <c r="W45" i="5"/>
  <c r="W46" i="5"/>
  <c r="W47" i="5"/>
  <c r="W48" i="5"/>
  <c r="W49" i="5"/>
  <c r="W50" i="5"/>
  <c r="W51" i="5"/>
  <c r="W52" i="5"/>
  <c r="W53" i="5"/>
  <c r="W54" i="5"/>
  <c r="W55" i="5"/>
  <c r="W56" i="5"/>
  <c r="W57" i="5"/>
  <c r="W58" i="5"/>
  <c r="W59" i="5"/>
  <c r="W60" i="5"/>
  <c r="W61" i="5"/>
  <c r="W62" i="5"/>
  <c r="W63" i="5"/>
  <c r="W64" i="5"/>
  <c r="W65" i="5"/>
  <c r="W66" i="5"/>
  <c r="W67" i="5"/>
  <c r="W68" i="5"/>
  <c r="W69" i="5"/>
  <c r="W70" i="5"/>
  <c r="W71" i="5"/>
  <c r="W72" i="5"/>
  <c r="W73" i="5"/>
  <c r="W74" i="5"/>
  <c r="W75" i="5"/>
  <c r="W76" i="5"/>
  <c r="W77" i="5"/>
  <c r="W78" i="5"/>
  <c r="W79" i="5"/>
  <c r="W80" i="5"/>
  <c r="W81" i="5"/>
  <c r="W82" i="5"/>
  <c r="W83" i="5"/>
  <c r="W84" i="5"/>
  <c r="W85" i="5"/>
  <c r="W86" i="5"/>
  <c r="W87" i="5"/>
  <c r="W88" i="5"/>
  <c r="W89" i="5"/>
  <c r="W90" i="5"/>
  <c r="W91" i="5"/>
  <c r="W92" i="5"/>
  <c r="W93" i="5"/>
  <c r="W94" i="5"/>
  <c r="W95" i="5"/>
  <c r="W96" i="5"/>
  <c r="W97" i="5"/>
  <c r="W98" i="5"/>
  <c r="W99" i="5"/>
  <c r="W100" i="5"/>
  <c r="W101" i="5"/>
  <c r="W102" i="5"/>
  <c r="W103" i="5"/>
  <c r="W104" i="5"/>
  <c r="W105" i="5"/>
  <c r="W106" i="5"/>
  <c r="W107" i="5"/>
  <c r="V3" i="5"/>
  <c r="V4" i="5"/>
  <c r="V5" i="5"/>
  <c r="V6" i="5"/>
  <c r="V7" i="5"/>
  <c r="V8" i="5"/>
  <c r="V9" i="5"/>
  <c r="V10" i="5"/>
  <c r="V11" i="5"/>
  <c r="V12" i="5"/>
  <c r="V13" i="5"/>
  <c r="V14" i="5"/>
  <c r="V15" i="5"/>
  <c r="V16" i="5"/>
  <c r="V17" i="5"/>
  <c r="V18" i="5"/>
  <c r="V19" i="5"/>
  <c r="V20" i="5"/>
  <c r="V21" i="5"/>
  <c r="V22" i="5"/>
  <c r="V23" i="5"/>
  <c r="V24" i="5"/>
  <c r="V25" i="5"/>
  <c r="V26" i="5"/>
  <c r="V27" i="5"/>
  <c r="V28" i="5"/>
  <c r="V29" i="5"/>
  <c r="V30" i="5"/>
  <c r="V31" i="5"/>
  <c r="V32" i="5"/>
  <c r="V33" i="5"/>
  <c r="V34" i="5"/>
  <c r="V35" i="5"/>
  <c r="V36" i="5"/>
  <c r="V37" i="5"/>
  <c r="V38" i="5"/>
  <c r="V39" i="5"/>
  <c r="V40" i="5"/>
  <c r="V41" i="5"/>
  <c r="V42" i="5"/>
  <c r="V43" i="5"/>
  <c r="V44" i="5"/>
  <c r="V45" i="5"/>
  <c r="V46" i="5"/>
  <c r="V47" i="5"/>
  <c r="V48" i="5"/>
  <c r="V49" i="5"/>
  <c r="V50" i="5"/>
  <c r="V51" i="5"/>
  <c r="V52" i="5"/>
  <c r="V53" i="5"/>
  <c r="V54" i="5"/>
  <c r="V55" i="5"/>
  <c r="V56" i="5"/>
  <c r="V57" i="5"/>
  <c r="V58" i="5"/>
  <c r="V59" i="5"/>
  <c r="V60" i="5"/>
  <c r="V61" i="5"/>
  <c r="V62" i="5"/>
  <c r="V63" i="5"/>
  <c r="V64" i="5"/>
  <c r="V65" i="5"/>
  <c r="V66" i="5"/>
  <c r="V67" i="5"/>
  <c r="V68" i="5"/>
  <c r="V69" i="5"/>
  <c r="V70" i="5"/>
  <c r="V71" i="5"/>
  <c r="V72" i="5"/>
  <c r="V73" i="5"/>
  <c r="V74" i="5"/>
  <c r="V75" i="5"/>
  <c r="V76" i="5"/>
  <c r="V77" i="5"/>
  <c r="V78" i="5"/>
  <c r="V79" i="5"/>
  <c r="V80" i="5"/>
  <c r="V81" i="5"/>
  <c r="V82" i="5"/>
  <c r="V83" i="5"/>
  <c r="V84" i="5"/>
  <c r="V85" i="5"/>
  <c r="V86" i="5"/>
  <c r="V87" i="5"/>
  <c r="V88" i="5"/>
  <c r="V89" i="5"/>
  <c r="V90" i="5"/>
  <c r="V91" i="5"/>
  <c r="V92" i="5"/>
  <c r="V93" i="5"/>
  <c r="V94" i="5"/>
  <c r="V95" i="5"/>
  <c r="V96" i="5"/>
  <c r="V97" i="5"/>
  <c r="V98" i="5"/>
  <c r="V99" i="5"/>
  <c r="V100" i="5"/>
  <c r="V101" i="5"/>
  <c r="V102" i="5"/>
  <c r="V103" i="5"/>
  <c r="V104" i="5"/>
  <c r="V105" i="5"/>
  <c r="V106" i="5"/>
  <c r="V107" i="5"/>
  <c r="W107" i="9"/>
  <c r="X107" i="9"/>
  <c r="V107" i="9"/>
  <c r="X3" i="9"/>
  <c r="X4" i="9"/>
  <c r="X5" i="9"/>
  <c r="X6" i="9"/>
  <c r="X7" i="9"/>
  <c r="X8" i="9"/>
  <c r="X9" i="9"/>
  <c r="X10" i="9"/>
  <c r="X11" i="9"/>
  <c r="X12" i="9"/>
  <c r="X13" i="9"/>
  <c r="X14" i="9"/>
  <c r="X15" i="9"/>
  <c r="X16" i="9"/>
  <c r="X17" i="9"/>
  <c r="X18" i="9"/>
  <c r="X19" i="9"/>
  <c r="X20" i="9"/>
  <c r="X21" i="9"/>
  <c r="X22" i="9"/>
  <c r="X23" i="9"/>
  <c r="X24" i="9"/>
  <c r="X25" i="9"/>
  <c r="X26" i="9"/>
  <c r="X27" i="9"/>
  <c r="X28" i="9"/>
  <c r="X29" i="9"/>
  <c r="X30" i="9"/>
  <c r="X31" i="9"/>
  <c r="X32" i="9"/>
  <c r="X33" i="9"/>
  <c r="X34" i="9"/>
  <c r="X35" i="9"/>
  <c r="X36" i="9"/>
  <c r="X37" i="9"/>
  <c r="X38" i="9"/>
  <c r="X39" i="9"/>
  <c r="X40" i="9"/>
  <c r="X41" i="9"/>
  <c r="X42" i="9"/>
  <c r="X43" i="9"/>
  <c r="X44" i="9"/>
  <c r="X45" i="9"/>
  <c r="X46" i="9"/>
  <c r="X47" i="9"/>
  <c r="X48" i="9"/>
  <c r="X49" i="9"/>
  <c r="X50" i="9"/>
  <c r="X51" i="9"/>
  <c r="X52" i="9"/>
  <c r="X53" i="9"/>
  <c r="X54" i="9"/>
  <c r="X55" i="9"/>
  <c r="X56" i="9"/>
  <c r="X57" i="9"/>
  <c r="X58" i="9"/>
  <c r="X59" i="9"/>
  <c r="X60" i="9"/>
  <c r="X61" i="9"/>
  <c r="X62" i="9"/>
  <c r="X63" i="9"/>
  <c r="X64" i="9"/>
  <c r="X65" i="9"/>
  <c r="X66" i="9"/>
  <c r="X67" i="9"/>
  <c r="X68" i="9"/>
  <c r="X69" i="9"/>
  <c r="X70" i="9"/>
  <c r="X71" i="9"/>
  <c r="X72" i="9"/>
  <c r="X73" i="9"/>
  <c r="X74" i="9"/>
  <c r="X75" i="9"/>
  <c r="X76" i="9"/>
  <c r="X77" i="9"/>
  <c r="X78" i="9"/>
  <c r="X79" i="9"/>
  <c r="X80" i="9"/>
  <c r="X81" i="9"/>
  <c r="X82" i="9"/>
  <c r="X83" i="9"/>
  <c r="X84" i="9"/>
  <c r="X85" i="9"/>
  <c r="X86" i="9"/>
  <c r="X87" i="9"/>
  <c r="X88" i="9"/>
  <c r="X89" i="9"/>
  <c r="X90" i="9"/>
  <c r="X91" i="9"/>
  <c r="X92" i="9"/>
  <c r="X93" i="9"/>
  <c r="X94" i="9"/>
  <c r="X95" i="9"/>
  <c r="X96" i="9"/>
  <c r="X97" i="9"/>
  <c r="X98" i="9"/>
  <c r="X99" i="9"/>
  <c r="X100" i="9"/>
  <c r="X101" i="9"/>
  <c r="X102" i="9"/>
  <c r="X103" i="9"/>
  <c r="X104" i="9"/>
  <c r="X105" i="9"/>
  <c r="X106" i="9"/>
  <c r="X2" i="9"/>
  <c r="W3" i="9"/>
  <c r="W4" i="9"/>
  <c r="W5" i="9"/>
  <c r="W6" i="9"/>
  <c r="W7" i="9"/>
  <c r="W8" i="9"/>
  <c r="W9" i="9"/>
  <c r="W10" i="9"/>
  <c r="W11" i="9"/>
  <c r="W12" i="9"/>
  <c r="W13" i="9"/>
  <c r="W14" i="9"/>
  <c r="W15" i="9"/>
  <c r="W16" i="9"/>
  <c r="W17" i="9"/>
  <c r="W18" i="9"/>
  <c r="W19" i="9"/>
  <c r="W20" i="9"/>
  <c r="W21" i="9"/>
  <c r="W22" i="9"/>
  <c r="W23" i="9"/>
  <c r="W24" i="9"/>
  <c r="W25" i="9"/>
  <c r="W26" i="9"/>
  <c r="W27" i="9"/>
  <c r="W28" i="9"/>
  <c r="W29" i="9"/>
  <c r="W30" i="9"/>
  <c r="W31" i="9"/>
  <c r="W32" i="9"/>
  <c r="W33" i="9"/>
  <c r="W34" i="9"/>
  <c r="W35" i="9"/>
  <c r="W36" i="9"/>
  <c r="W37" i="9"/>
  <c r="W38" i="9"/>
  <c r="W39" i="9"/>
  <c r="W40" i="9"/>
  <c r="W41" i="9"/>
  <c r="W42" i="9"/>
  <c r="W43" i="9"/>
  <c r="W44" i="9"/>
  <c r="W45" i="9"/>
  <c r="W46" i="9"/>
  <c r="W47" i="9"/>
  <c r="W48" i="9"/>
  <c r="W49" i="9"/>
  <c r="W50" i="9"/>
  <c r="W51" i="9"/>
  <c r="W52" i="9"/>
  <c r="W53" i="9"/>
  <c r="W54" i="9"/>
  <c r="W55" i="9"/>
  <c r="W56" i="9"/>
  <c r="W57" i="9"/>
  <c r="W58" i="9"/>
  <c r="W59" i="9"/>
  <c r="W60" i="9"/>
  <c r="W61" i="9"/>
  <c r="W62" i="9"/>
  <c r="W63" i="9"/>
  <c r="W64" i="9"/>
  <c r="W65" i="9"/>
  <c r="W66" i="9"/>
  <c r="W67" i="9"/>
  <c r="W68" i="9"/>
  <c r="W69" i="9"/>
  <c r="W70" i="9"/>
  <c r="W71" i="9"/>
  <c r="W72" i="9"/>
  <c r="W73" i="9"/>
  <c r="W74" i="9"/>
  <c r="W75" i="9"/>
  <c r="W76" i="9"/>
  <c r="W77" i="9"/>
  <c r="W78" i="9"/>
  <c r="W79" i="9"/>
  <c r="W80" i="9"/>
  <c r="W81" i="9"/>
  <c r="W82" i="9"/>
  <c r="W83" i="9"/>
  <c r="W84" i="9"/>
  <c r="W85" i="9"/>
  <c r="W86" i="9"/>
  <c r="W87" i="9"/>
  <c r="W88" i="9"/>
  <c r="W89" i="9"/>
  <c r="W90" i="9"/>
  <c r="W91" i="9"/>
  <c r="W92" i="9"/>
  <c r="W93" i="9"/>
  <c r="W94" i="9"/>
  <c r="W95" i="9"/>
  <c r="W96" i="9"/>
  <c r="W97" i="9"/>
  <c r="W98" i="9"/>
  <c r="W99" i="9"/>
  <c r="W100" i="9"/>
  <c r="W101" i="9"/>
  <c r="W102" i="9"/>
  <c r="W103" i="9"/>
  <c r="W104" i="9"/>
  <c r="W105" i="9"/>
  <c r="W106" i="9"/>
  <c r="W2" i="9"/>
  <c r="V3" i="9"/>
  <c r="V4" i="9"/>
  <c r="V5" i="9"/>
  <c r="V6" i="9"/>
  <c r="V7" i="9"/>
  <c r="V8" i="9"/>
  <c r="V9" i="9"/>
  <c r="V10" i="9"/>
  <c r="V11" i="9"/>
  <c r="V12" i="9"/>
  <c r="V13" i="9"/>
  <c r="V14" i="9"/>
  <c r="V15" i="9"/>
  <c r="V16" i="9"/>
  <c r="V17" i="9"/>
  <c r="V18" i="9"/>
  <c r="V19" i="9"/>
  <c r="V20" i="9"/>
  <c r="V21" i="9"/>
  <c r="V22" i="9"/>
  <c r="V23" i="9"/>
  <c r="V24" i="9"/>
  <c r="V25" i="9"/>
  <c r="V26" i="9"/>
  <c r="V27" i="9"/>
  <c r="V28" i="9"/>
  <c r="V29" i="9"/>
  <c r="V30" i="9"/>
  <c r="V31" i="9"/>
  <c r="V32" i="9"/>
  <c r="V33" i="9"/>
  <c r="V34" i="9"/>
  <c r="V35" i="9"/>
  <c r="V36" i="9"/>
  <c r="V37" i="9"/>
  <c r="V38" i="9"/>
  <c r="V39" i="9"/>
  <c r="V40" i="9"/>
  <c r="V41" i="9"/>
  <c r="V42" i="9"/>
  <c r="V43" i="9"/>
  <c r="V44" i="9"/>
  <c r="V45" i="9"/>
  <c r="V46" i="9"/>
  <c r="V47" i="9"/>
  <c r="V48" i="9"/>
  <c r="V49" i="9"/>
  <c r="V50" i="9"/>
  <c r="V51" i="9"/>
  <c r="V52" i="9"/>
  <c r="V53" i="9"/>
  <c r="V54" i="9"/>
  <c r="V55" i="9"/>
  <c r="V56" i="9"/>
  <c r="V57" i="9"/>
  <c r="V58" i="9"/>
  <c r="V59" i="9"/>
  <c r="V60" i="9"/>
  <c r="V61" i="9"/>
  <c r="V62" i="9"/>
  <c r="V63" i="9"/>
  <c r="V64" i="9"/>
  <c r="V65" i="9"/>
  <c r="V66" i="9"/>
  <c r="V67" i="9"/>
  <c r="V68" i="9"/>
  <c r="V69" i="9"/>
  <c r="V70" i="9"/>
  <c r="V71" i="9"/>
  <c r="V72" i="9"/>
  <c r="V73" i="9"/>
  <c r="V74" i="9"/>
  <c r="V75" i="9"/>
  <c r="V76" i="9"/>
  <c r="V77" i="9"/>
  <c r="V78" i="9"/>
  <c r="V79" i="9"/>
  <c r="V80" i="9"/>
  <c r="V81" i="9"/>
  <c r="V82" i="9"/>
  <c r="V83" i="9"/>
  <c r="V84" i="9"/>
  <c r="V85" i="9"/>
  <c r="V86" i="9"/>
  <c r="V87" i="9"/>
  <c r="V88" i="9"/>
  <c r="V89" i="9"/>
  <c r="V90" i="9"/>
  <c r="V91" i="9"/>
  <c r="V92" i="9"/>
  <c r="V93" i="9"/>
  <c r="V94" i="9"/>
  <c r="V95" i="9"/>
  <c r="V96" i="9"/>
  <c r="V97" i="9"/>
  <c r="V98" i="9"/>
  <c r="V99" i="9"/>
  <c r="V100" i="9"/>
  <c r="V101" i="9"/>
  <c r="V102" i="9"/>
  <c r="V103" i="9"/>
  <c r="V104" i="9"/>
  <c r="V105" i="9"/>
  <c r="V106" i="9"/>
  <c r="V2" i="9"/>
  <c r="C110" i="13"/>
  <c r="E107" i="13"/>
  <c r="F107" i="13"/>
  <c r="E108" i="13"/>
  <c r="F108" i="13"/>
  <c r="E109" i="13"/>
  <c r="F109" i="13"/>
  <c r="E110" i="13"/>
  <c r="F110" i="13"/>
  <c r="D110" i="13"/>
  <c r="D109" i="13"/>
  <c r="C109" i="13"/>
  <c r="D108" i="13"/>
  <c r="C108" i="13"/>
  <c r="D107" i="13"/>
  <c r="C107" i="13"/>
  <c r="BK108" i="12"/>
  <c r="BJ108" i="12"/>
  <c r="BI108" i="12"/>
  <c r="BH108" i="12"/>
  <c r="BG108" i="12"/>
  <c r="BF108" i="12"/>
  <c r="BE108" i="12"/>
  <c r="BD108" i="12"/>
  <c r="BC108" i="12"/>
  <c r="BB108" i="12"/>
  <c r="BA108" i="12"/>
  <c r="AZ108" i="12"/>
  <c r="AY108" i="12"/>
  <c r="AX108" i="12"/>
  <c r="AW108" i="12"/>
  <c r="AV108" i="12"/>
  <c r="AU108" i="12"/>
  <c r="AT108" i="12"/>
  <c r="AS108" i="12"/>
  <c r="AR108" i="12"/>
  <c r="AQ108" i="12"/>
  <c r="AP108" i="12"/>
  <c r="AO108" i="12"/>
  <c r="AN108" i="12"/>
  <c r="AM108" i="12"/>
  <c r="AL108" i="12"/>
  <c r="AK108" i="12"/>
  <c r="AJ108" i="12"/>
  <c r="AI108" i="12"/>
  <c r="AH108" i="12"/>
  <c r="AG108" i="12"/>
  <c r="AF108" i="12"/>
  <c r="AE108" i="12"/>
  <c r="AD108" i="12"/>
  <c r="AC108" i="12"/>
  <c r="AB108" i="12"/>
  <c r="AA108" i="12"/>
  <c r="Z108" i="12"/>
  <c r="Y108" i="12"/>
  <c r="X108" i="12"/>
  <c r="W108" i="12"/>
  <c r="V108" i="12"/>
  <c r="U108" i="12"/>
  <c r="T108" i="12"/>
  <c r="S108" i="12"/>
  <c r="R108" i="12"/>
  <c r="Q108" i="12"/>
  <c r="P108" i="12"/>
  <c r="O108" i="12"/>
  <c r="N108" i="12"/>
  <c r="M108" i="12"/>
  <c r="L108" i="12"/>
  <c r="K108" i="12"/>
  <c r="J108" i="12"/>
  <c r="I108" i="12"/>
  <c r="H108" i="12"/>
  <c r="G108" i="12"/>
  <c r="F108" i="12"/>
  <c r="E108" i="12"/>
  <c r="D108" i="12"/>
  <c r="C108" i="12"/>
  <c r="B108" i="12"/>
  <c r="BK108" i="11"/>
  <c r="BJ108" i="11"/>
  <c r="BI108" i="11"/>
  <c r="BH108" i="11"/>
  <c r="BG108" i="11"/>
  <c r="BF108" i="11"/>
  <c r="BE108" i="11"/>
  <c r="BD108" i="11"/>
  <c r="BC108" i="11"/>
  <c r="BB108" i="11"/>
  <c r="BA108" i="11"/>
  <c r="AZ108" i="11"/>
  <c r="AY108" i="11"/>
  <c r="AX108" i="11"/>
  <c r="AW108" i="11"/>
  <c r="AV108" i="11"/>
  <c r="AU108" i="11"/>
  <c r="AT108" i="11"/>
  <c r="AS108" i="11"/>
  <c r="AR108" i="11"/>
  <c r="AQ108" i="11"/>
  <c r="AP108" i="11"/>
  <c r="AO108" i="11"/>
  <c r="AN108" i="11"/>
  <c r="AM108" i="11"/>
  <c r="AL108" i="11"/>
  <c r="AK108" i="11"/>
  <c r="AJ108" i="11"/>
  <c r="AI108" i="11"/>
  <c r="AH108" i="11"/>
  <c r="AG108" i="11"/>
  <c r="AF108" i="11"/>
  <c r="AE108" i="11"/>
  <c r="AD108" i="11"/>
  <c r="AC108" i="11"/>
  <c r="AB108" i="11"/>
  <c r="AA108" i="11"/>
  <c r="Z108" i="11"/>
  <c r="Y108" i="11"/>
  <c r="X108" i="11"/>
  <c r="W108" i="11"/>
  <c r="V108" i="11"/>
  <c r="U108" i="11"/>
  <c r="T108" i="11"/>
  <c r="S108" i="11"/>
  <c r="R108" i="11"/>
  <c r="Q108" i="11"/>
  <c r="P108" i="11"/>
  <c r="O108" i="11"/>
  <c r="N108" i="11"/>
  <c r="M108" i="11"/>
  <c r="L108" i="11"/>
  <c r="K108" i="11"/>
  <c r="J108" i="11"/>
  <c r="I108" i="11"/>
  <c r="H108" i="11"/>
  <c r="G108" i="11"/>
  <c r="F108" i="11"/>
  <c r="E108" i="11"/>
  <c r="D108" i="11"/>
  <c r="C108" i="11"/>
  <c r="B108" i="11"/>
  <c r="B108" i="10"/>
  <c r="C108" i="10"/>
  <c r="D108" i="10"/>
  <c r="E108" i="10"/>
  <c r="F108" i="10"/>
  <c r="G108" i="10"/>
  <c r="H108" i="10"/>
  <c r="I108" i="10"/>
  <c r="J108" i="10"/>
  <c r="K108" i="10"/>
  <c r="L108" i="10"/>
  <c r="M108" i="10"/>
  <c r="N108" i="10"/>
  <c r="O108" i="10"/>
  <c r="P108" i="10"/>
  <c r="Q108" i="10"/>
  <c r="R108" i="10"/>
  <c r="S108" i="10"/>
  <c r="T108" i="10"/>
  <c r="U108" i="10"/>
  <c r="V108" i="10"/>
  <c r="W108" i="10"/>
  <c r="X108" i="10"/>
  <c r="Y108" i="10"/>
  <c r="Z108" i="10"/>
  <c r="AA108" i="10"/>
  <c r="AB108" i="10"/>
  <c r="AC108" i="10"/>
  <c r="AD108" i="10"/>
  <c r="AE108" i="10"/>
  <c r="AF108" i="10"/>
  <c r="AG108" i="10"/>
  <c r="AH108" i="10"/>
  <c r="AI108" i="10"/>
  <c r="AJ108" i="10"/>
  <c r="AK108" i="10"/>
  <c r="AL108" i="10"/>
  <c r="AM108" i="10"/>
  <c r="AN108" i="10"/>
  <c r="AO108" i="10"/>
  <c r="AP108" i="10"/>
  <c r="AQ108" i="10"/>
  <c r="AR108" i="10"/>
  <c r="AS108" i="10"/>
  <c r="AT108" i="10"/>
  <c r="AU108" i="10"/>
  <c r="AV108" i="10"/>
  <c r="AW108" i="10"/>
  <c r="AX108" i="10"/>
  <c r="AY108" i="10"/>
  <c r="AZ108" i="10"/>
  <c r="BA108" i="10"/>
  <c r="BB108" i="10"/>
  <c r="BC108" i="10"/>
  <c r="BD108" i="10"/>
  <c r="BE108" i="10"/>
  <c r="BF108" i="10"/>
  <c r="BG108" i="10"/>
  <c r="BH108" i="10"/>
  <c r="BI108" i="10"/>
  <c r="BJ108" i="10"/>
  <c r="BK108" i="10"/>
  <c r="BK108" i="8"/>
  <c r="BJ108" i="8"/>
  <c r="BI108" i="8"/>
  <c r="BH108" i="8"/>
  <c r="BG108" i="8"/>
  <c r="BF108" i="8"/>
  <c r="BE108" i="8"/>
  <c r="BD108" i="8"/>
  <c r="BC108" i="8"/>
  <c r="BB108" i="8"/>
  <c r="BA108" i="8"/>
  <c r="AZ108" i="8"/>
  <c r="AY108" i="8"/>
  <c r="AX108" i="8"/>
  <c r="AW108" i="8"/>
  <c r="AV108" i="8"/>
  <c r="AU108" i="8"/>
  <c r="AT108" i="8"/>
  <c r="AS108" i="8"/>
  <c r="AR108" i="8"/>
  <c r="AQ108" i="8"/>
  <c r="AP108" i="8"/>
  <c r="AO108" i="8"/>
  <c r="AN108" i="8"/>
  <c r="AM108" i="8"/>
  <c r="AL108" i="8"/>
  <c r="AK108" i="8"/>
  <c r="AJ108" i="8"/>
  <c r="AI108" i="8"/>
  <c r="AH108" i="8"/>
  <c r="AG108" i="8"/>
  <c r="AF108" i="8"/>
  <c r="AE108" i="8"/>
  <c r="AD108" i="8"/>
  <c r="AC108" i="8"/>
  <c r="AB108" i="8"/>
  <c r="AA108" i="8"/>
  <c r="Z108" i="8"/>
  <c r="Y108" i="8"/>
  <c r="X108" i="8"/>
  <c r="W108" i="8"/>
  <c r="V108" i="8"/>
  <c r="U108" i="8"/>
  <c r="T108" i="8"/>
  <c r="S108" i="8"/>
  <c r="R108" i="8"/>
  <c r="Q108" i="8"/>
  <c r="P108" i="8"/>
  <c r="O108" i="8"/>
  <c r="N108" i="8"/>
  <c r="M108" i="8"/>
  <c r="L108" i="8"/>
  <c r="K108" i="8"/>
  <c r="J108" i="8"/>
  <c r="I108" i="8"/>
  <c r="H108" i="8"/>
  <c r="G108" i="8"/>
  <c r="F108" i="8"/>
  <c r="E108" i="8"/>
  <c r="D108" i="8"/>
  <c r="C108" i="8"/>
  <c r="B108" i="8"/>
  <c r="BK108" i="7"/>
  <c r="BJ108" i="7"/>
  <c r="BI108" i="7"/>
  <c r="BH108" i="7"/>
  <c r="BG108" i="7"/>
  <c r="BF108" i="7"/>
  <c r="BE108" i="7"/>
  <c r="BD108" i="7"/>
  <c r="BC108" i="7"/>
  <c r="BB108" i="7"/>
  <c r="BA108" i="7"/>
  <c r="AZ108" i="7"/>
  <c r="AY108" i="7"/>
  <c r="AX108" i="7"/>
  <c r="AW108" i="7"/>
  <c r="AV108" i="7"/>
  <c r="AU108" i="7"/>
  <c r="AT108" i="7"/>
  <c r="AS108" i="7"/>
  <c r="AR108" i="7"/>
  <c r="AQ108" i="7"/>
  <c r="AP108" i="7"/>
  <c r="AO108" i="7"/>
  <c r="AN108" i="7"/>
  <c r="AM108" i="7"/>
  <c r="AL108" i="7"/>
  <c r="AK108" i="7"/>
  <c r="AJ108" i="7"/>
  <c r="AI108" i="7"/>
  <c r="AH108" i="7"/>
  <c r="AG108" i="7"/>
  <c r="AF108" i="7"/>
  <c r="AE108" i="7"/>
  <c r="AD108" i="7"/>
  <c r="AC108" i="7"/>
  <c r="AB108" i="7"/>
  <c r="AA108" i="7"/>
  <c r="Z108" i="7"/>
  <c r="Y108" i="7"/>
  <c r="X108" i="7"/>
  <c r="W108" i="7"/>
  <c r="V108" i="7"/>
  <c r="U108" i="7"/>
  <c r="T108" i="7"/>
  <c r="S108" i="7"/>
  <c r="R108" i="7"/>
  <c r="Q108" i="7"/>
  <c r="P108" i="7"/>
  <c r="O108" i="7"/>
  <c r="N108" i="7"/>
  <c r="M108" i="7"/>
  <c r="L108" i="7"/>
  <c r="K108" i="7"/>
  <c r="J108" i="7"/>
  <c r="I108" i="7"/>
  <c r="H108" i="7"/>
  <c r="G108" i="7"/>
  <c r="F108" i="7"/>
  <c r="E108" i="7"/>
  <c r="D108" i="7"/>
  <c r="C108" i="7"/>
  <c r="B108" i="7"/>
  <c r="V108" i="6"/>
  <c r="W108" i="6"/>
  <c r="X108" i="6"/>
  <c r="Y108" i="6"/>
  <c r="Z108" i="6"/>
  <c r="AA108" i="6"/>
  <c r="AB108" i="6"/>
  <c r="AC108" i="6"/>
  <c r="AD108" i="6"/>
  <c r="AE108" i="6"/>
  <c r="AF108" i="6"/>
  <c r="AG108" i="6"/>
  <c r="AH108" i="6"/>
  <c r="AI108" i="6"/>
  <c r="AJ108" i="6"/>
  <c r="AK108" i="6"/>
  <c r="AL108" i="6"/>
  <c r="AM108" i="6"/>
  <c r="AN108" i="6"/>
  <c r="AO108" i="6"/>
  <c r="AP108" i="6"/>
  <c r="AQ108" i="6"/>
  <c r="AR108" i="6"/>
  <c r="AS108" i="6"/>
  <c r="AT108" i="6"/>
  <c r="AU108" i="6"/>
  <c r="AV108" i="6"/>
  <c r="AW108" i="6"/>
  <c r="AX108" i="6"/>
  <c r="AY108" i="6"/>
  <c r="AZ108" i="6"/>
  <c r="BA108" i="6"/>
  <c r="BB108" i="6"/>
  <c r="BC108" i="6"/>
  <c r="BD108" i="6"/>
  <c r="BE108" i="6"/>
  <c r="BF108" i="6"/>
  <c r="BG108" i="6"/>
  <c r="BH108" i="6"/>
  <c r="BI108" i="6"/>
  <c r="BJ108" i="6"/>
  <c r="BK108" i="6"/>
  <c r="U108" i="6"/>
  <c r="T108" i="6"/>
  <c r="S108" i="6"/>
  <c r="R108" i="6"/>
  <c r="Q108" i="6"/>
  <c r="P108" i="6"/>
  <c r="O108" i="6"/>
  <c r="N108" i="6"/>
  <c r="M108" i="6"/>
  <c r="L108" i="6"/>
  <c r="K108" i="6"/>
  <c r="J108" i="6"/>
  <c r="I108" i="6"/>
  <c r="H108" i="6"/>
  <c r="G108" i="6"/>
  <c r="F108" i="6"/>
  <c r="E108" i="6"/>
  <c r="D108" i="6"/>
  <c r="C108" i="6"/>
  <c r="B108" i="6"/>
  <c r="C108" i="3"/>
  <c r="D108" i="3"/>
  <c r="E108" i="3"/>
  <c r="F108" i="3"/>
  <c r="G108" i="3"/>
  <c r="H108" i="3"/>
  <c r="I108" i="3"/>
  <c r="J108" i="3"/>
  <c r="K108" i="3"/>
  <c r="L108" i="3"/>
  <c r="M108" i="3"/>
  <c r="N108" i="3"/>
  <c r="O108" i="3"/>
  <c r="P108" i="3"/>
  <c r="Q108" i="3"/>
  <c r="R108" i="3"/>
  <c r="S108" i="3"/>
  <c r="T108" i="3"/>
  <c r="U108" i="3"/>
  <c r="V108" i="3"/>
  <c r="W108" i="3"/>
  <c r="X108" i="3"/>
  <c r="Y108" i="3"/>
  <c r="Z108" i="3"/>
  <c r="AA108" i="3"/>
  <c r="AB108" i="3"/>
  <c r="AC108" i="3"/>
  <c r="AD108" i="3"/>
  <c r="AE108" i="3"/>
  <c r="AF108" i="3"/>
  <c r="AG108" i="3"/>
  <c r="AH108" i="3"/>
  <c r="AI108" i="3"/>
  <c r="AJ108" i="3"/>
  <c r="AK108" i="3"/>
  <c r="AL108" i="3"/>
  <c r="AM108" i="3"/>
  <c r="AN108" i="3"/>
  <c r="AO108" i="3"/>
  <c r="AP108" i="3"/>
  <c r="AQ108" i="3"/>
  <c r="AR108" i="3"/>
  <c r="AS108" i="3"/>
  <c r="AT108" i="3"/>
  <c r="AU108" i="3"/>
  <c r="AV108" i="3"/>
  <c r="AW108" i="3"/>
  <c r="AX108" i="3"/>
  <c r="AY108" i="3"/>
  <c r="AZ108" i="3"/>
  <c r="BA108" i="3"/>
  <c r="BB108" i="3"/>
  <c r="BC108" i="3"/>
  <c r="BD108" i="3"/>
  <c r="BE108" i="3"/>
  <c r="BF108" i="3"/>
  <c r="BG108" i="3"/>
  <c r="BH108" i="3"/>
  <c r="BI108" i="3"/>
  <c r="BJ108" i="3"/>
  <c r="BK108" i="3"/>
  <c r="B108" i="3"/>
  <c r="C108" i="2"/>
  <c r="D108" i="2"/>
  <c r="E108" i="2"/>
  <c r="F108" i="2"/>
  <c r="G108" i="2"/>
  <c r="H108" i="2"/>
  <c r="I108" i="2"/>
  <c r="J108" i="2"/>
  <c r="K108" i="2"/>
  <c r="L108" i="2"/>
  <c r="M108" i="2"/>
  <c r="N108" i="2"/>
  <c r="O108" i="2"/>
  <c r="P108" i="2"/>
  <c r="Q108" i="2"/>
  <c r="R108" i="2"/>
  <c r="S108" i="2"/>
  <c r="T108" i="2"/>
  <c r="U108" i="2"/>
  <c r="V108" i="2"/>
  <c r="W108" i="2"/>
  <c r="X108" i="2"/>
  <c r="Y108" i="2"/>
  <c r="Z108" i="2"/>
  <c r="AA108" i="2"/>
  <c r="AB108" i="2"/>
  <c r="AC108" i="2"/>
  <c r="AD108" i="2"/>
  <c r="AE108" i="2"/>
  <c r="AF108" i="2"/>
  <c r="AG108" i="2"/>
  <c r="AH108" i="2"/>
  <c r="AI108" i="2"/>
  <c r="AJ108" i="2"/>
  <c r="AK108" i="2"/>
  <c r="AL108" i="2"/>
  <c r="AM108" i="2"/>
  <c r="AN108" i="2"/>
  <c r="AO108" i="2"/>
  <c r="AP108" i="2"/>
  <c r="AQ108" i="2"/>
  <c r="AR108" i="2"/>
  <c r="AS108" i="2"/>
  <c r="AT108" i="2"/>
  <c r="AU108" i="2"/>
  <c r="AV108" i="2"/>
  <c r="AW108" i="2"/>
  <c r="AX108" i="2"/>
  <c r="AY108" i="2"/>
  <c r="AZ108" i="2"/>
  <c r="BA108" i="2"/>
  <c r="BB108" i="2"/>
  <c r="BC108" i="2"/>
  <c r="BD108" i="2"/>
  <c r="BE108" i="2"/>
  <c r="BF108" i="2"/>
  <c r="BG108" i="2"/>
  <c r="BH108" i="2"/>
  <c r="BI108" i="2"/>
  <c r="BJ108" i="2"/>
  <c r="BK108" i="2"/>
  <c r="B108" i="2"/>
  <c r="AQ108" i="1"/>
  <c r="AR108" i="1"/>
  <c r="AS108" i="1"/>
  <c r="AT108" i="1"/>
  <c r="AU108" i="1"/>
  <c r="AV108" i="1"/>
  <c r="AW108" i="1"/>
  <c r="AX108" i="1"/>
  <c r="AY108" i="1"/>
  <c r="AZ108" i="1"/>
  <c r="BA108" i="1"/>
  <c r="BB108" i="1"/>
  <c r="BC108" i="1"/>
  <c r="BD108" i="1"/>
  <c r="BE108" i="1"/>
  <c r="BF108" i="1"/>
  <c r="BG108" i="1"/>
  <c r="BH108" i="1"/>
  <c r="BI108" i="1"/>
  <c r="BJ108" i="1"/>
  <c r="BK108" i="1"/>
  <c r="V108" i="1"/>
  <c r="W108" i="1"/>
  <c r="X108" i="1"/>
  <c r="Y108" i="1"/>
  <c r="Z108" i="1"/>
  <c r="AA108" i="1"/>
  <c r="AB108" i="1"/>
  <c r="AC108" i="1"/>
  <c r="AD108" i="1"/>
  <c r="AE108" i="1"/>
  <c r="AF108" i="1"/>
  <c r="AG108" i="1"/>
  <c r="AH108" i="1"/>
  <c r="AI108" i="1"/>
  <c r="AJ108" i="1"/>
  <c r="AK108" i="1"/>
  <c r="AL108" i="1"/>
  <c r="AM108" i="1"/>
  <c r="AN108" i="1"/>
  <c r="AO108" i="1"/>
  <c r="AP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S108" i="1"/>
  <c r="T108" i="1"/>
  <c r="U108" i="1"/>
  <c r="B108" i="1"/>
</calcChain>
</file>

<file path=xl/sharedStrings.xml><?xml version="1.0" encoding="utf-8"?>
<sst xmlns="http://schemas.openxmlformats.org/spreadsheetml/2006/main" count="53448" uniqueCount="334">
  <si>
    <t>&lt;test.StructurePanel: int calculateTranslateConstants(int,int)&gt;</t>
  </si>
  <si>
    <t>&lt;test.QRCodeDataBlockReader: void &lt;init&gt;(int[],int,int)&gt;</t>
  </si>
  <si>
    <t>&lt;test.Base64: boolean isData(byte)&gt;</t>
  </si>
  <si>
    <t>&lt;test.Base64: byte[] encode(java.math.BigInteger,int)&gt;</t>
  </si>
  <si>
    <t>&lt;test.TIFFFaxEncoder: int nextState(byte[],int,int,int)&gt;</t>
  </si>
  <si>
    <t>&lt;test.GeoEngine: boolean checkNSWE(short,int,int,int,int)&gt;</t>
  </si>
  <si>
    <t>&lt;test.GeoEngine: double nCanMoveNext(int,int,int,int,int,int,byte,short,java.lang.Object)&gt;</t>
  </si>
  <si>
    <t>&lt;test.ImageData: void buildDitheredGradientChannel(int,int,int,int,int,boolean,byte[],int,int,int)&gt;</t>
  </si>
  <si>
    <t>&lt;test.Base64: byte[] decode(org.w3c.dom.Element)&gt;</t>
  </si>
  <si>
    <t>&lt;test.ImageData: void blit(int,byte[],int,int,int,int,int,int,int,int,int,int,int,byte[],int,int,int,byte[],int,int,int,int,int,int,int,int,int,int,boolean,boolean)&gt;</t>
  </si>
  <si>
    <t>&lt;test.TIFFFaxDecoder: void getNextChangingElement(int,boolean,int[])&gt;</t>
  </si>
  <si>
    <t>&lt;test.GeoEngine: short getRegionOffset(int,int)&gt;</t>
  </si>
  <si>
    <t>&lt;test.client: void method142(int,int,int,int,int,int,int,int,boolean,int,byte[][][])&gt;</t>
  </si>
  <si>
    <t>&lt;test.ImageData: void setAlpha(int,int,int)&gt;</t>
  </si>
  <si>
    <t>&lt;test.BallonFactory: boolean isInsideBounds(java.awt.Rectangle,int,int)&gt;</t>
  </si>
  <si>
    <t>&lt;test.TIFFFaxDecoder: void updatePointer(int)&gt;</t>
  </si>
  <si>
    <t>&lt;test.Class13: void method226(byte,int,int,int,int[],int,byte[],int,int)&gt;</t>
  </si>
  <si>
    <t>&lt;test.TIFFFaxDecoder: int readEOL(boolean)&gt;</t>
  </si>
  <si>
    <t>&lt;test.Class11: boolean method220(int,int,int,int,int,int,int)&gt;</t>
  </si>
  <si>
    <t>&lt;test.TileRenderor: void drawRoute(java.awt.Graphics,int,int,java.awt.Color)&gt;</t>
  </si>
  <si>
    <t>&lt;test.Class11: void method215(int,int,boolean,boolean,int,int)&gt;</t>
  </si>
  <si>
    <t>&lt;test.FastBlurFilter: void blur(int[],int[],int,int,int)&gt;</t>
  </si>
  <si>
    <t>&lt;test.Class11: void method212(boolean,int,int,int,int,int,int)&gt;</t>
  </si>
  <si>
    <t>&lt;test.InfTree: int huft_build(int[],int,int,int,int[],int[],int[],int[],int[],int[],int[])&gt;</t>
  </si>
  <si>
    <t>&lt;test.Class11: void method216(int,int,int,int,byte,int,boolean)&gt;</t>
  </si>
  <si>
    <t>&lt;test.client: boolean processMenuClick(int,int,int,int,boolean,int,int,int,int,int,int,int,int)&gt;</t>
  </si>
  <si>
    <t>&lt;test.Class11: void method217(int,int,int,int)&gt;</t>
  </si>
  <si>
    <t>&lt;test.Class11: boolean method221(byte,int,int,int,int,int,int,int)&gt;</t>
  </si>
  <si>
    <t>&lt;test.Base64: void decode(java.io.InputStream,java.io.OutputStream)&gt;</t>
  </si>
  <si>
    <t>&lt;test.Base64: int removeWhiteSpace(byte[])&gt;</t>
  </si>
  <si>
    <t>&lt;test.BallonFactory: java.awt.Shape[] getArrow(int,int)&gt;</t>
  </si>
  <si>
    <t>&lt;test.ImageData: void setPixels(int,int,int,int[],int)&gt;</t>
  </si>
  <si>
    <t>&lt;test.BallonFactory: boolean correctHorizontally(java.awt.Rectangle,int,int)&gt;</t>
  </si>
  <si>
    <t>&lt;test.InfBlocks: int proc(int,int,int,int,int,int,int,int,int,int,int,int,int,int)&gt;</t>
  </si>
  <si>
    <t>&lt;test.TIFFFaxEncoder: int encodeT6(byte[],int,int,int,int,byte[])&gt;</t>
  </si>
  <si>
    <t>&lt;test.TIFFFaxDecoder: void decode1D(byte[],byte[],int,int)&gt;</t>
  </si>
  <si>
    <t>&lt;test.client: int method120(int,boolean,int,int,int,int,int,int,int,byte[][][])&gt;</t>
  </si>
  <si>
    <t>&lt;test.Base64: boolean isPad(byte)&gt;</t>
  </si>
  <si>
    <t>&lt;test.TileRenderor: void drawTile(java.awt.Graphics,int,int,int,int)&gt;</t>
  </si>
  <si>
    <t>&lt;test.BallonFactory: java.awt.geom.GeneralPath getNormalPath(java.awt.Rectangle)&gt;</t>
  </si>
  <si>
    <t>&lt;test.Base64: void fillElementWithBigInteger(org.w3c.dom.Element,java.math.BigInteger)&gt;</t>
  </si>
  <si>
    <t>&lt;test.ImageData: int getMSBOffset(int)&gt;</t>
  </si>
  <si>
    <t>&lt;test.WorldController: boolean method324(int,int,int,int)&gt;</t>
  </si>
  <si>
    <t>&lt;test.Base64: void decode(byte[],java.io.OutputStream)&gt;</t>
  </si>
  <si>
    <t>&lt;test.GeoData: float getZ(int,int,int,int)&gt;</t>
  </si>
  <si>
    <t>&lt;test.ImageData: void blit(int,byte[],int,int,int,int,int,int,int,byte[],byte[],byte[],int,byte[],int,int,int,byte[],int,int,int,int,int,int,int,byte[],byte[],byte[],boolean,boolean)&gt;</t>
  </si>
  <si>
    <t>&lt;test.ImageData: void buildPreciseGradientChannel(int,int,int,int,int,boolean,byte[],int,int)&gt;</t>
  </si>
  <si>
    <t>&lt;test.ImageData: int closestMatch(int,byte,byte,byte,int,int,int,byte[],byte[],byte[])&gt;</t>
  </si>
  <si>
    <t>&lt;test.ImageData: void setPixel(int,int,int)&gt;</t>
  </si>
  <si>
    <t>&lt;test.TIFFFaxEncoder: int add2DBits(byte[],int,int[][],int)&gt;</t>
  </si>
  <si>
    <t>&lt;test.ImageData: byte[] convertPad(byte[],int,int,int,int,int)&gt;</t>
  </si>
  <si>
    <t>&lt;test.BallonFactory: java.awt.Rectangle addPadding(java.awt.Rectangle)&gt;</t>
  </si>
  <si>
    <t>&lt;test.QRCodeDataBlockReader: int getNextBits(int,int,int)&gt;</t>
  </si>
  <si>
    <t>&lt;test.GeoEngine: java.lang.Object moveCheck(java.lang.Object,java.lang.Object,int,int,int,int,int,int)&gt;</t>
  </si>
  <si>
    <t>&lt;test.ImageData: void blit(int,byte[],int,int,int,int,int,int,int,byte[],byte[],byte[],int,byte[],int,int,int,byte[],int,int,int,int,int,int,int,int,int,int,boolean,boolean)&gt;</t>
  </si>
  <si>
    <t>&lt;test.BallonFactory: java.awt.Rectangle getTextBounds(int,int,int,int)&gt;</t>
  </si>
  <si>
    <t>&lt;test.Class11: boolean method219(int,int,int,int,int,int,int)&gt;</t>
  </si>
  <si>
    <t>&lt;test.ImageData: int getChannelShift(int)&gt;</t>
  </si>
  <si>
    <t>&lt;test.BallonFactory: boolean correctVertically(java.awt.Rectangle,int,int)&gt;</t>
  </si>
  <si>
    <t>&lt;test.TIFFFaxEncoder: int encodeRLE(byte[],int,int,int,byte[],boolean)&gt;</t>
  </si>
  <si>
    <t>&lt;test.client: void method108(int,int,int,int,int,int,int[],int,int,int,int,byte[][][],int[][][],int,int)&gt;</t>
  </si>
  <si>
    <t>&lt;test.TIFFFaxEncoder: int add1DBits(byte[],int,int,int)&gt;</t>
  </si>
  <si>
    <t>&lt;test.GeoEngine: boolean nLOS(int,int,int,int,int,int,boolean,short,byte,int)&gt;</t>
  </si>
  <si>
    <t>&lt;test.TIFFFaxEncoder: int encode1D(byte[],int,int,int,byte[],int)&gt;</t>
  </si>
  <si>
    <t>&lt;test.client: boolean method85(int,int,int,int,int,int,int,int,int,int,boolean,int,int[][],int[][],int[],int[],int[][],int,int)&gt;</t>
  </si>
  <si>
    <t>&lt;test.TIFFFaxDecoder: int decodeBlackCodeWord()&gt;</t>
  </si>
  <si>
    <t>&lt;test.client: void determineMenuSize(int,int,int,int,int)&gt;</t>
  </si>
  <si>
    <t>&lt;test.MapViewer: void paintRoutes(java.awt.Graphics,int,java.lang.Object[][])&gt;</t>
  </si>
  <si>
    <t>&lt;test.TIFFFaxEncoder: int encodeT4(boolean,boolean,byte[],int,int,int,int,byte[])&gt;</t>
  </si>
  <si>
    <t>&lt;test.Class11: void method210()&gt;</t>
  </si>
  <si>
    <t>&lt;test.TileRenderor: void &lt;init&gt;()&gt;</t>
  </si>
  <si>
    <t>&lt;test.Class11: void method211(int,int,int,int,byte,boolean)&gt;</t>
  </si>
  <si>
    <t>&lt;test.Base64: boolean isWhiteSpace(byte)&gt;</t>
  </si>
  <si>
    <t>&lt;test.TIFFFaxEncoder: int addEOL(boolean,boolean,boolean,byte[],int)&gt;</t>
  </si>
  <si>
    <t>&lt;test.QRCodeDataBlockReader: java.lang.String getKanjiString(int)&gt;</t>
  </si>
  <si>
    <t>&lt;test.InfCodes: int proc(test.InfBlocks,int,int)&gt;</t>
  </si>
  <si>
    <t>&lt;test.Base64: byte[] getBytes(java.math.BigInteger,int)&gt;</t>
  </si>
  <si>
    <t>&lt;test.TIFFFaxDecoder: int nextNBits(int)&gt;</t>
  </si>
  <si>
    <t>&lt;test.TIFFFaxEncoder: int addEOFB(byte[],int)&gt;</t>
  </si>
  <si>
    <t>&lt;test.ImageData: void blit(int,byte[],int,int,int,int,int,int,int,int,int,int,int,byte[],int,int,int,byte[],int,int,int,int,int,int,int,byte[],byte[],byte[],boolean,boolean)&gt;</t>
  </si>
  <si>
    <t>&lt;test.TIFFFaxDecoder: void decodeT6(byte[],byte[],int,int,long)&gt;</t>
  </si>
  <si>
    <t>&lt;test.ImageData: int getPixel(int,int)&gt;</t>
  </si>
  <si>
    <t>&lt;test.GeoEngine: int getBlock(int)&gt;</t>
  </si>
  <si>
    <t>&lt;test.TIFFFaxDecoder: void decode2D(byte[],byte[],int,int,long)&gt;</t>
  </si>
  <si>
    <t>&lt;test.GeoEngine: short nGetNSWE(int,int,int,byte,short)&gt;</t>
  </si>
  <si>
    <t>&lt;test.BallonFactory: java.awt.Shape getCirclePath(java.awt.Rectangle)&gt;</t>
  </si>
  <si>
    <t>&lt;test.TIFFFaxDecoder: int decodeWhiteCodeWord()&gt;</t>
  </si>
  <si>
    <t>&lt;test.TileRenderor: void createRotatedImage(java.awt.Graphics,java.lang.String,java.awt.Color,java.awt.Color,int)&gt;</t>
  </si>
  <si>
    <t>&lt;test.TIFFFaxDecoder: int nextLesserThan8Bits(int)&gt;</t>
  </si>
  <si>
    <t>&lt;test.BallonFactory: java.util.ArrayList getLines(java.awt.FontMetrics,java.lang.String,double,int)&gt;</t>
  </si>
  <si>
    <t>&lt;test.TIFFFaxDecoder: boolean advancePointer()&gt;</t>
  </si>
  <si>
    <t>&lt;test.Class13: void method232(int[],int[],int[],byte[],int,int,int)&gt;</t>
  </si>
  <si>
    <t>&lt;test.GeoEngine: int getCell(int)&gt;</t>
  </si>
  <si>
    <t>&lt;test.ImageData: void setAlphas(int,int,int,byte[],int)&gt;</t>
  </si>
  <si>
    <t>&lt;test.Class11: void method213(int,int,int)&gt;</t>
  </si>
  <si>
    <t>&lt;test.ImageData: int getChannelWidth(int,int)&gt;</t>
  </si>
  <si>
    <t>&lt;test.ImageData: void getPixels(int,int,int,int[],int)&gt;</t>
  </si>
  <si>
    <t>&lt;test.TIFFFaxDecoder: void setToBlack(byte[],int,int,int)&gt;</t>
  </si>
  <si>
    <t>&lt;test.Base64: java.lang.String encode(byte[],int)&gt;</t>
  </si>
  <si>
    <t>&lt;test.ImageData: void getPixels(int,int,int,byte[],int)&gt;</t>
  </si>
  <si>
    <t>&lt;test.client: void calcCameraPos(int,int,int,int,int,int,int,int,int,int,int,int,int,int,int,int)&gt;</t>
  </si>
  <si>
    <t>&lt;test.Base64: byte[] decodeInternal(byte[])&gt;</t>
  </si>
  <si>
    <t>&lt;test.MapViewer: void paint(java.awt.Graphics,java.lang.Object[][],int,int,int,int,int,int)&gt;</t>
  </si>
  <si>
    <t>&lt;test.ImageData: void setPixels(int,int,int,byte[],int)&gt;</t>
  </si>
  <si>
    <t>&lt;test.Class11: void method218(int,int,int)&gt;</t>
  </si>
  <si>
    <t>sat/sat</t>
  </si>
  <si>
    <t>unsat/sat</t>
  </si>
  <si>
    <t>sat/unsat</t>
  </si>
  <si>
    <t>unsat/unsat</t>
  </si>
  <si>
    <t>dom5N_vs_dom5Y</t>
  </si>
  <si>
    <t>dom4N_vs_dom4Y</t>
  </si>
  <si>
    <t>dom5N_vs_dom4N</t>
  </si>
  <si>
    <t>dom5Y_vs_dom4N</t>
  </si>
  <si>
    <t>dom5Y_vs_dom4Y</t>
  </si>
  <si>
    <t>Method</t>
  </si>
  <si>
    <t>dom5_4N_vs_dom5_4Y</t>
  </si>
  <si>
    <t>dom5N_vs_dom5_4N</t>
  </si>
  <si>
    <t>dom5Y_vs_dom5_4N</t>
  </si>
  <si>
    <t>dom5Y_vs_dom5_4Y</t>
  </si>
  <si>
    <t>dom4N_vs_dom5_4N</t>
  </si>
  <si>
    <t>dom4Y_vs_dom5_4N</t>
  </si>
  <si>
    <t>dom4Y_vs_dom5_4Y</t>
  </si>
  <si>
    <t>Total</t>
  </si>
  <si>
    <t>dom7N_vs_dom7Y</t>
  </si>
  <si>
    <t>dom6N_vs_dom6Y</t>
  </si>
  <si>
    <t>dom7N_vs_dom6N</t>
  </si>
  <si>
    <t>dom7Y_vs_dom6N</t>
  </si>
  <si>
    <t>dom7Y_vs_dom6Y</t>
  </si>
  <si>
    <t>dom7_6N_vs_dom7_6Y</t>
  </si>
  <si>
    <t>dom7N_vs_dom7_6N</t>
  </si>
  <si>
    <t>dom7Y_vs_dom7_6N</t>
  </si>
  <si>
    <t>dom7Y_vs_dom7_6Y</t>
  </si>
  <si>
    <t>dom6N_vs_dom7_6N</t>
  </si>
  <si>
    <t>dom6Y_vs_dom7_6N</t>
  </si>
  <si>
    <t>dom6Y_vs_dom7_6Y</t>
  </si>
  <si>
    <t>dom9N_vs_dom9Y</t>
  </si>
  <si>
    <t>dom8N_vs_dom8Y</t>
  </si>
  <si>
    <t>dom9N_vs_dom8N</t>
  </si>
  <si>
    <t>dom9Y_vs_dom8N</t>
  </si>
  <si>
    <t>dom9Y_vs_dom8Y</t>
  </si>
  <si>
    <t>dom9_8N_vs_dom9_8Y</t>
  </si>
  <si>
    <t>dom9N_vs_dom9_8N</t>
  </si>
  <si>
    <t>dom9Y_vs_dom9_8N</t>
  </si>
  <si>
    <t>dom9Y_vs_dom9_8Y</t>
  </si>
  <si>
    <t>dom8N_vs_dom9_8N</t>
  </si>
  <si>
    <t>dom8Y_vs_dom9_8N</t>
  </si>
  <si>
    <t>dom8Y_vs_dom9_8Y</t>
  </si>
  <si>
    <t>test.BallonFactory</t>
  </si>
  <si>
    <t>dom4_sN</t>
  </si>
  <si>
    <t>dom4_sY</t>
  </si>
  <si>
    <t>dom5_4_sN</t>
  </si>
  <si>
    <t>dom5_4_sY</t>
  </si>
  <si>
    <t>dom5_sN</t>
  </si>
  <si>
    <t>dom5_sY</t>
  </si>
  <si>
    <t>dom6_sN</t>
  </si>
  <si>
    <t>dom6_sY</t>
  </si>
  <si>
    <t>dom7_6_sN</t>
  </si>
  <si>
    <t>dom7_6_sY</t>
  </si>
  <si>
    <t>dom7_sN</t>
  </si>
  <si>
    <t>dom7_sY</t>
  </si>
  <si>
    <t>dom8_sN</t>
  </si>
  <si>
    <t>dom9_8_sN</t>
  </si>
  <si>
    <t>dom9_8_sY</t>
  </si>
  <si>
    <t>dom8_sY</t>
  </si>
  <si>
    <t>dom9_sN</t>
  </si>
  <si>
    <t>dom9_sY</t>
  </si>
  <si>
    <t>test.Base64</t>
  </si>
  <si>
    <t>test.Class11</t>
  </si>
  <si>
    <t>test.Class13</t>
  </si>
  <si>
    <t>test.client</t>
  </si>
  <si>
    <t>test.GeoEngine</t>
  </si>
  <si>
    <t>test.GeoData</t>
  </si>
  <si>
    <t>test.QRCodeDataBlockReader</t>
  </si>
  <si>
    <t>test.TileRenderor</t>
  </si>
  <si>
    <t>test.StructurePanel</t>
  </si>
  <si>
    <t>test.MapViewer</t>
  </si>
  <si>
    <t>test.InfTree</t>
  </si>
  <si>
    <t>test.InfBlocks</t>
  </si>
  <si>
    <t>test.InfCodes</t>
  </si>
  <si>
    <t>test.WorldController</t>
  </si>
  <si>
    <t>test.TIFFFaxDecoder</t>
  </si>
  <si>
    <t>test.TIFFFaxEncoder</t>
  </si>
  <si>
    <t>test.ImageData</t>
  </si>
  <si>
    <t>test.FastBlurFilter</t>
  </si>
  <si>
    <t>dom51_sN</t>
  </si>
  <si>
    <t>dom51_sY</t>
  </si>
  <si>
    <t>dom41_sN</t>
  </si>
  <si>
    <t>dom41_sY</t>
  </si>
  <si>
    <t>dom51_41_sN</t>
  </si>
  <si>
    <t>dom51_41_sY</t>
  </si>
  <si>
    <t>dom71_sN</t>
  </si>
  <si>
    <t>dom71_sY</t>
  </si>
  <si>
    <t>dom61_sN</t>
  </si>
  <si>
    <t>dom61_sY</t>
  </si>
  <si>
    <t>dom71_61_sN</t>
  </si>
  <si>
    <t>dom71_61_sY</t>
  </si>
  <si>
    <t>dom91_sN</t>
  </si>
  <si>
    <t>dom91_sY</t>
  </si>
  <si>
    <t>dom81_sN</t>
  </si>
  <si>
    <t>dom81_sY</t>
  </si>
  <si>
    <t>dom91_81_sN</t>
  </si>
  <si>
    <t>dom91_81_sY</t>
  </si>
  <si>
    <t>dom51N_vs_dom51Y</t>
  </si>
  <si>
    <t>dom41N_vs_dom41Y</t>
  </si>
  <si>
    <t>dom51Y_vs_dom41N</t>
  </si>
  <si>
    <t>dom51N_vs_dom51_41N</t>
  </si>
  <si>
    <t>dom51Y_vs_dom51_41Y</t>
  </si>
  <si>
    <t>dom41N_vs_dom51_41N</t>
  </si>
  <si>
    <t>dom41Y_vs_dom51_41N</t>
  </si>
  <si>
    <t>dom41Y_vs_dom51_41Y</t>
  </si>
  <si>
    <t>dom51Y_vs_dom41Y</t>
  </si>
  <si>
    <t>dom51N_vs_dom41N</t>
  </si>
  <si>
    <t>dom51_41N_vs_dom51_41Y</t>
  </si>
  <si>
    <t>dom51Y_vs_dom51_41N</t>
  </si>
  <si>
    <t>dom61N_vs_dom61Y</t>
  </si>
  <si>
    <t>dom71N_vs_dom71Y</t>
  </si>
  <si>
    <t>dom71N_vs_dom61N</t>
  </si>
  <si>
    <t>dom71Y_vs_dom61N</t>
  </si>
  <si>
    <t>dom71Y_vs_dom61Y</t>
  </si>
  <si>
    <t>dom71_61N_vs_dom71_61Y</t>
  </si>
  <si>
    <t>dom71N_vs_dom71_61N</t>
  </si>
  <si>
    <t>dom71Y_vs_dom71_61N</t>
  </si>
  <si>
    <t>dom71Y_vs_dom71_61Y</t>
  </si>
  <si>
    <t>dom61N_vs_dom71_61N</t>
  </si>
  <si>
    <t>dom61Y_vs_dom71_61N</t>
  </si>
  <si>
    <t>dom61Y_vs_dom71_61Y</t>
  </si>
  <si>
    <t>dom81N_vs_dom81Y</t>
  </si>
  <si>
    <t>dom91N_vs_dom91Y</t>
  </si>
  <si>
    <t>dom91N_vs_dom81N</t>
  </si>
  <si>
    <t>dom91Y_vs_dom81N</t>
  </si>
  <si>
    <t>dom91Y_vs_dom81Y</t>
  </si>
  <si>
    <t>dom91_81N_vs_dom91_81Y</t>
  </si>
  <si>
    <t>dom91N_vs_dom91_81N</t>
  </si>
  <si>
    <t>dom91Y_vs_dom91_81N</t>
  </si>
  <si>
    <t>dom91Y_vs_dom91_81Y</t>
  </si>
  <si>
    <t>dom81N_vs_dom91_81N</t>
  </si>
  <si>
    <t>dom81Y_vs_dom91_81N</t>
  </si>
  <si>
    <t>dom81Y_vs_dom91_81Y</t>
  </si>
  <si>
    <t>dom42_sN</t>
  </si>
  <si>
    <t>dom42_sY</t>
  </si>
  <si>
    <t>dom52_sN</t>
  </si>
  <si>
    <t>dom52_sY</t>
  </si>
  <si>
    <t>dom52_42_sN</t>
  </si>
  <si>
    <t>dom52_42_sY</t>
  </si>
  <si>
    <t>dom62_sN</t>
  </si>
  <si>
    <t>dom62_sY</t>
  </si>
  <si>
    <t>dom72_sN</t>
  </si>
  <si>
    <t>dom72_sY</t>
  </si>
  <si>
    <t>dom72_62_sN</t>
  </si>
  <si>
    <t>dom72_62_sY</t>
  </si>
  <si>
    <t>dom82_sN</t>
  </si>
  <si>
    <t>dom82_sY</t>
  </si>
  <si>
    <t>dom92_sN</t>
  </si>
  <si>
    <t>dom92_sY</t>
  </si>
  <si>
    <t>dom92_82_sN</t>
  </si>
  <si>
    <t>dom92_82_sY</t>
  </si>
  <si>
    <t>dom42N_vs_dom42Y</t>
  </si>
  <si>
    <t>dom52N_vs_dom52Y</t>
  </si>
  <si>
    <t>dom52N_vs_dom42N</t>
  </si>
  <si>
    <t>dom52Y_vs_dom42N</t>
  </si>
  <si>
    <t>dom52Y_vs_dom42Y</t>
  </si>
  <si>
    <t>dom52_42N_vs_dom52_42Y</t>
  </si>
  <si>
    <t>dom52N_vs_dom52_42N</t>
  </si>
  <si>
    <t>dom52Y_vs_dom52_42N</t>
  </si>
  <si>
    <t>dom52Y_vs_dom52_42Y</t>
  </si>
  <si>
    <t>dom42N_vs_dom52_42N</t>
  </si>
  <si>
    <t>dom42Y_vs_dom52_42N</t>
  </si>
  <si>
    <t>dom42Y_vs_dom52_42Y</t>
  </si>
  <si>
    <t>dom62N_vs_dom62Y</t>
  </si>
  <si>
    <t>dom72N_vs_dom72Y</t>
  </si>
  <si>
    <t>dom72N_vs_dom62N</t>
  </si>
  <si>
    <t>dom72Y_vs_dom62N</t>
  </si>
  <si>
    <t>dom72Y_vs_dom62Y</t>
  </si>
  <si>
    <t>dom72_62N_vs_dom72_62Y</t>
  </si>
  <si>
    <t>dom72N_vs_dom72_62N</t>
  </si>
  <si>
    <t>dom72Y_vs_dom72_62N</t>
  </si>
  <si>
    <t>dom72Y_vs_dom72_62Y</t>
  </si>
  <si>
    <t>dom62N_vs_dom72_62N</t>
  </si>
  <si>
    <t>dom62Y_vs_dom72_62N</t>
  </si>
  <si>
    <t>dom62Y_vs_dom72_62Y</t>
  </si>
  <si>
    <t>dom92N_vs_dom92Y</t>
  </si>
  <si>
    <t>dom82N_vs_dom82Y</t>
  </si>
  <si>
    <t>dom92N_vs_dom82N</t>
  </si>
  <si>
    <t>dom92Y_vs_dom82N</t>
  </si>
  <si>
    <t>dom92Y_vs_dom82Y</t>
  </si>
  <si>
    <t>dom92_82N_vs_dom92_82Y</t>
  </si>
  <si>
    <t>dom92N_vs_dom92_82N</t>
  </si>
  <si>
    <t>dom92Y_vs_dom92_82N</t>
  </si>
  <si>
    <t>dom92Y_vs_dom92_82Y</t>
  </si>
  <si>
    <t>dom82N_vs_dom92_82N</t>
  </si>
  <si>
    <t>dom82Y_vs_dom92_82N</t>
  </si>
  <si>
    <t>dom82Y_vs_dom92_82Y</t>
  </si>
  <si>
    <t>ratio large</t>
  </si>
  <si>
    <t>ratio small</t>
  </si>
  <si>
    <t>ratio med</t>
  </si>
  <si>
    <t>infoeng</t>
  </si>
  <si>
    <t>e-adventure</t>
  </si>
  <si>
    <t>tgxn317</t>
  </si>
  <si>
    <t>asubversiongui</t>
  </si>
  <si>
    <t>optimisation</t>
  </si>
  <si>
    <t>abbadon</t>
  </si>
  <si>
    <t>abbot</t>
  </si>
  <si>
    <t>huf</t>
  </si>
  <si>
    <t>web1856</t>
  </si>
  <si>
    <t>atevents</t>
  </si>
  <si>
    <t>acornkernel</t>
  </si>
  <si>
    <t>Method name</t>
  </si>
  <si>
    <t>Project</t>
  </si>
  <si>
    <t>Jimple lines</t>
  </si>
  <si>
    <t>Jimple cond</t>
  </si>
  <si>
    <t>Srouce lines</t>
  </si>
  <si>
    <t>Srouce cond</t>
  </si>
  <si>
    <t>Domain type</t>
  </si>
  <si>
    <t>two disjoint</t>
  </si>
  <si>
    <t>one usntructured</t>
  </si>
  <si>
    <t>one disjoint</t>
  </si>
  <si>
    <t>small</t>
  </si>
  <si>
    <t>small1</t>
  </si>
  <si>
    <t>small2</t>
  </si>
  <si>
    <t>med</t>
  </si>
  <si>
    <t>med1</t>
  </si>
  <si>
    <t>med2</t>
  </si>
  <si>
    <t>large</t>
  </si>
  <si>
    <t>large1</t>
  </si>
  <si>
    <t>large2</t>
  </si>
  <si>
    <t>2 disjoint</t>
  </si>
  <si>
    <t>1 unstrucured</t>
  </si>
  <si>
    <t>1 disjoint</t>
  </si>
  <si>
    <t>medium</t>
  </si>
  <si>
    <t>&lt;2</t>
  </si>
  <si>
    <t>&gt;10</t>
  </si>
  <si>
    <t>&lt;=10</t>
  </si>
  <si>
    <t>1 unstructured</t>
  </si>
  <si>
    <t>&lt;1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</si>
</sst>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Calibri"/>
      <family val="2"/>
      <scheme val="minor"/>
    </font>
    <font>
      <b/>
      <sz val="12"/>
      <color rgb="FF3F3F3F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8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48">
    <xf numFmtId="0" fontId="0" fillId="0" borderId="0"/>
    <xf numFmtId="0" fontId="1" fillId="2" borderId="1" applyNumberFormat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</cellStyleXfs>
  <cellXfs count="24">
    <xf numFmtId="0" fontId="0" fillId="0" borderId="0" xfId="0"/>
    <xf numFmtId="0" fontId="1" fillId="2" borderId="1" xfId="1"/>
    <xf numFmtId="0" fontId="4" fillId="0" borderId="0" xfId="0" applyFont="1"/>
    <xf numFmtId="0" fontId="0" fillId="0" borderId="0" xfId="0" applyFill="1"/>
    <xf numFmtId="0" fontId="4" fillId="0" borderId="0" xfId="0" applyFont="1"/>
    <xf numFmtId="0" fontId="4" fillId="0" borderId="0" xfId="0" applyFont="1"/>
    <xf numFmtId="0" fontId="4" fillId="0" borderId="0" xfId="0" applyFont="1" applyFill="1"/>
    <xf numFmtId="0" fontId="0" fillId="0" borderId="0" xfId="0" applyAlignment="1">
      <alignment horizontal="center"/>
    </xf>
    <xf numFmtId="1" fontId="4" fillId="0" borderId="0" xfId="0" applyNumberFormat="1" applyFont="1"/>
    <xf numFmtId="0" fontId="0" fillId="0" borderId="0" xfId="0" applyAlignment="1">
      <alignment horizontal="center"/>
    </xf>
    <xf numFmtId="2" fontId="5" fillId="0" borderId="2" xfId="0" applyNumberFormat="1" applyFont="1" applyBorder="1"/>
    <xf numFmtId="0" fontId="0" fillId="0" borderId="2" xfId="0" applyBorder="1"/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1" fontId="0" fillId="0" borderId="0" xfId="0" applyNumberFormat="1"/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0" xfId="0" applyBorder="1"/>
    <xf numFmtId="2" fontId="5" fillId="0" borderId="6" xfId="0" applyNumberFormat="1" applyFont="1" applyFill="1" applyBorder="1"/>
    <xf numFmtId="2" fontId="5" fillId="0" borderId="0" xfId="0" applyNumberFormat="1" applyFont="1" applyBorder="1"/>
    <xf numFmtId="0" fontId="5" fillId="0" borderId="0" xfId="0" applyFont="1"/>
    <xf numFmtId="2" fontId="5" fillId="0" borderId="7" xfId="0" applyNumberFormat="1" applyFont="1" applyBorder="1"/>
    <xf numFmtId="2" fontId="0" fillId="0" borderId="0" xfId="0" applyNumberFormat="1" applyBorder="1"/>
  </cellXfs>
  <cellStyles count="148">
    <cellStyle name="Followed Hyperlink" xfId="3" builtinId="9" hidden="1"/>
    <cellStyle name="Followed Hyperlink" xfId="5" builtinId="9" hidden="1"/>
    <cellStyle name="Followed Hyperlink" xfId="7" builtinId="9" hidden="1"/>
    <cellStyle name="Followed Hyperlink" xfId="9" builtinId="9" hidden="1"/>
    <cellStyle name="Followed Hyperlink" xfId="11" builtinId="9" hidden="1"/>
    <cellStyle name="Followed Hyperlink" xfId="13" builtinId="9" hidden="1"/>
    <cellStyle name="Followed Hyperlink" xfId="15" builtinId="9" hidden="1"/>
    <cellStyle name="Followed Hyperlink" xfId="17" builtinId="9" hidden="1"/>
    <cellStyle name="Followed Hyperlink" xfId="19" builtinId="9" hidden="1"/>
    <cellStyle name="Followed Hyperlink" xfId="21" builtinId="9" hidden="1"/>
    <cellStyle name="Followed Hyperlink" xfId="23" builtinId="9" hidden="1"/>
    <cellStyle name="Followed Hyperlink" xfId="25" builtinId="9" hidden="1"/>
    <cellStyle name="Followed Hyperlink" xfId="27" builtinId="9" hidden="1"/>
    <cellStyle name="Followed Hyperlink" xfId="29" builtinId="9" hidden="1"/>
    <cellStyle name="Followed Hyperlink" xfId="31" builtinId="9" hidden="1"/>
    <cellStyle name="Followed Hyperlink" xfId="33" builtinId="9" hidden="1"/>
    <cellStyle name="Followed Hyperlink" xfId="35" builtinId="9" hidden="1"/>
    <cellStyle name="Followed Hyperlink" xfId="37" builtinId="9" hidden="1"/>
    <cellStyle name="Followed Hyperlink" xfId="39" builtinId="9" hidden="1"/>
    <cellStyle name="Followed Hyperlink" xfId="41" builtinId="9" hidden="1"/>
    <cellStyle name="Followed Hyperlink" xfId="43" builtinId="9" hidden="1"/>
    <cellStyle name="Followed Hyperlink" xfId="45" builtinId="9" hidden="1"/>
    <cellStyle name="Followed Hyperlink" xfId="47" builtinId="9" hidden="1"/>
    <cellStyle name="Followed Hyperlink" xfId="49" builtinId="9" hidden="1"/>
    <cellStyle name="Followed Hyperlink" xfId="51" builtinId="9" hidden="1"/>
    <cellStyle name="Followed Hyperlink" xfId="53" builtinId="9" hidden="1"/>
    <cellStyle name="Followed Hyperlink" xfId="55" builtinId="9" hidden="1"/>
    <cellStyle name="Followed Hyperlink" xfId="57" builtinId="9" hidden="1"/>
    <cellStyle name="Followed Hyperlink" xfId="59" builtinId="9" hidden="1"/>
    <cellStyle name="Followed Hyperlink" xfId="61" builtinId="9" hidden="1"/>
    <cellStyle name="Followed Hyperlink" xfId="63" builtinId="9" hidden="1"/>
    <cellStyle name="Followed Hyperlink" xfId="65" builtinId="9" hidden="1"/>
    <cellStyle name="Followed Hyperlink" xfId="67" builtinId="9" hidden="1"/>
    <cellStyle name="Followed Hyperlink" xfId="69" builtinId="9" hidden="1"/>
    <cellStyle name="Followed Hyperlink" xfId="71" builtinId="9" hidden="1"/>
    <cellStyle name="Followed Hyperlink" xfId="73" builtinId="9" hidden="1"/>
    <cellStyle name="Followed Hyperlink" xfId="75" builtinId="9" hidden="1"/>
    <cellStyle name="Followed Hyperlink" xfId="77" builtinId="9" hidden="1"/>
    <cellStyle name="Followed Hyperlink" xfId="79" builtinId="9" hidden="1"/>
    <cellStyle name="Followed Hyperlink" xfId="81" builtinId="9" hidden="1"/>
    <cellStyle name="Followed Hyperlink" xfId="83" builtinId="9" hidden="1"/>
    <cellStyle name="Followed Hyperlink" xfId="85" builtinId="9" hidden="1"/>
    <cellStyle name="Followed Hyperlink" xfId="87" builtinId="9" hidden="1"/>
    <cellStyle name="Followed Hyperlink" xfId="89" builtinId="9" hidden="1"/>
    <cellStyle name="Followed Hyperlink" xfId="91" builtinId="9" hidden="1"/>
    <cellStyle name="Followed Hyperlink" xfId="93" builtinId="9" hidden="1"/>
    <cellStyle name="Followed Hyperlink" xfId="95" builtinId="9" hidden="1"/>
    <cellStyle name="Followed Hyperlink" xfId="97" builtinId="9" hidden="1"/>
    <cellStyle name="Followed Hyperlink" xfId="99" builtinId="9" hidden="1"/>
    <cellStyle name="Followed Hyperlink" xfId="101" builtinId="9" hidden="1"/>
    <cellStyle name="Followed Hyperlink" xfId="103" builtinId="9" hidden="1"/>
    <cellStyle name="Followed Hyperlink" xfId="105" builtinId="9" hidden="1"/>
    <cellStyle name="Followed Hyperlink" xfId="107" builtinId="9" hidden="1"/>
    <cellStyle name="Followed Hyperlink" xfId="109" builtinId="9" hidden="1"/>
    <cellStyle name="Followed Hyperlink" xfId="111" builtinId="9" hidden="1"/>
    <cellStyle name="Followed Hyperlink" xfId="113" builtinId="9" hidden="1"/>
    <cellStyle name="Followed Hyperlink" xfId="115" builtinId="9" hidden="1"/>
    <cellStyle name="Followed Hyperlink" xfId="117" builtinId="9" hidden="1"/>
    <cellStyle name="Followed Hyperlink" xfId="119" builtinId="9" hidden="1"/>
    <cellStyle name="Followed Hyperlink" xfId="121" builtinId="9" hidden="1"/>
    <cellStyle name="Followed Hyperlink" xfId="123" builtinId="9" hidden="1"/>
    <cellStyle name="Followed Hyperlink" xfId="125" builtinId="9" hidden="1"/>
    <cellStyle name="Followed Hyperlink" xfId="127" builtinId="9" hidden="1"/>
    <cellStyle name="Followed Hyperlink" xfId="129" builtinId="9" hidden="1"/>
    <cellStyle name="Followed Hyperlink" xfId="131" builtinId="9" hidden="1"/>
    <cellStyle name="Followed Hyperlink" xfId="133" builtinId="9" hidden="1"/>
    <cellStyle name="Followed Hyperlink" xfId="135" builtinId="9" hidden="1"/>
    <cellStyle name="Followed Hyperlink" xfId="137" builtinId="9" hidden="1"/>
    <cellStyle name="Followed Hyperlink" xfId="139" builtinId="9" hidden="1"/>
    <cellStyle name="Followed Hyperlink" xfId="141" builtinId="9" hidden="1"/>
    <cellStyle name="Followed Hyperlink" xfId="143" builtinId="9" hidden="1"/>
    <cellStyle name="Followed Hyperlink" xfId="145" builtinId="9" hidden="1"/>
    <cellStyle name="Followed Hyperlink" xfId="147" builtinId="9" hidden="1"/>
    <cellStyle name="Hyperlink" xfId="2" builtinId="8" hidden="1"/>
    <cellStyle name="Hyperlink" xfId="4" builtinId="8" hidden="1"/>
    <cellStyle name="Hyperlink" xfId="6" builtinId="8" hidden="1"/>
    <cellStyle name="Hyperlink" xfId="8" builtinId="8" hidden="1"/>
    <cellStyle name="Hyperlink" xfId="10" builtinId="8" hidden="1"/>
    <cellStyle name="Hyperlink" xfId="12" builtinId="8" hidden="1"/>
    <cellStyle name="Hyperlink" xfId="14" builtinId="8" hidden="1"/>
    <cellStyle name="Hyperlink" xfId="16" builtinId="8" hidden="1"/>
    <cellStyle name="Hyperlink" xfId="18" builtinId="8" hidden="1"/>
    <cellStyle name="Hyperlink" xfId="20" builtinId="8" hidden="1"/>
    <cellStyle name="Hyperlink" xfId="22" builtinId="8" hidden="1"/>
    <cellStyle name="Hyperlink" xfId="24" builtinId="8" hidden="1"/>
    <cellStyle name="Hyperlink" xfId="26" builtinId="8" hidden="1"/>
    <cellStyle name="Hyperlink" xfId="28" builtinId="8" hidden="1"/>
    <cellStyle name="Hyperlink" xfId="30" builtinId="8" hidden="1"/>
    <cellStyle name="Hyperlink" xfId="32" builtinId="8" hidden="1"/>
    <cellStyle name="Hyperlink" xfId="34" builtinId="8" hidden="1"/>
    <cellStyle name="Hyperlink" xfId="36" builtinId="8" hidden="1"/>
    <cellStyle name="Hyperlink" xfId="38" builtinId="8" hidden="1"/>
    <cellStyle name="Hyperlink" xfId="40" builtinId="8" hidden="1"/>
    <cellStyle name="Hyperlink" xfId="42" builtinId="8" hidden="1"/>
    <cellStyle name="Hyperlink" xfId="44" builtinId="8" hidden="1"/>
    <cellStyle name="Hyperlink" xfId="46" builtinId="8" hidden="1"/>
    <cellStyle name="Hyperlink" xfId="48" builtinId="8" hidden="1"/>
    <cellStyle name="Hyperlink" xfId="50" builtinId="8" hidden="1"/>
    <cellStyle name="Hyperlink" xfId="52" builtinId="8" hidden="1"/>
    <cellStyle name="Hyperlink" xfId="54" builtinId="8" hidden="1"/>
    <cellStyle name="Hyperlink" xfId="56" builtinId="8" hidden="1"/>
    <cellStyle name="Hyperlink" xfId="58" builtinId="8" hidden="1"/>
    <cellStyle name="Hyperlink" xfId="60" builtinId="8" hidden="1"/>
    <cellStyle name="Hyperlink" xfId="62" builtinId="8" hidden="1"/>
    <cellStyle name="Hyperlink" xfId="64" builtinId="8" hidden="1"/>
    <cellStyle name="Hyperlink" xfId="66" builtinId="8" hidden="1"/>
    <cellStyle name="Hyperlink" xfId="68" builtinId="8" hidden="1"/>
    <cellStyle name="Hyperlink" xfId="70" builtinId="8" hidden="1"/>
    <cellStyle name="Hyperlink" xfId="72" builtinId="8" hidden="1"/>
    <cellStyle name="Hyperlink" xfId="74" builtinId="8" hidden="1"/>
    <cellStyle name="Hyperlink" xfId="76" builtinId="8" hidden="1"/>
    <cellStyle name="Hyperlink" xfId="78" builtinId="8" hidden="1"/>
    <cellStyle name="Hyperlink" xfId="80" builtinId="8" hidden="1"/>
    <cellStyle name="Hyperlink" xfId="82" builtinId="8" hidden="1"/>
    <cellStyle name="Hyperlink" xfId="84" builtinId="8" hidden="1"/>
    <cellStyle name="Hyperlink" xfId="86" builtinId="8" hidden="1"/>
    <cellStyle name="Hyperlink" xfId="88" builtinId="8" hidden="1"/>
    <cellStyle name="Hyperlink" xfId="90" builtinId="8" hidden="1"/>
    <cellStyle name="Hyperlink" xfId="92" builtinId="8" hidden="1"/>
    <cellStyle name="Hyperlink" xfId="94" builtinId="8" hidden="1"/>
    <cellStyle name="Hyperlink" xfId="96" builtinId="8" hidden="1"/>
    <cellStyle name="Hyperlink" xfId="98" builtinId="8" hidden="1"/>
    <cellStyle name="Hyperlink" xfId="100" builtinId="8" hidden="1"/>
    <cellStyle name="Hyperlink" xfId="102" builtinId="8" hidden="1"/>
    <cellStyle name="Hyperlink" xfId="104" builtinId="8" hidden="1"/>
    <cellStyle name="Hyperlink" xfId="106" builtinId="8" hidden="1"/>
    <cellStyle name="Hyperlink" xfId="108" builtinId="8" hidden="1"/>
    <cellStyle name="Hyperlink" xfId="110" builtinId="8" hidden="1"/>
    <cellStyle name="Hyperlink" xfId="112" builtinId="8" hidden="1"/>
    <cellStyle name="Hyperlink" xfId="114" builtinId="8" hidden="1"/>
    <cellStyle name="Hyperlink" xfId="116" builtinId="8" hidden="1"/>
    <cellStyle name="Hyperlink" xfId="118" builtinId="8" hidden="1"/>
    <cellStyle name="Hyperlink" xfId="120" builtinId="8" hidden="1"/>
    <cellStyle name="Hyperlink" xfId="122" builtinId="8" hidden="1"/>
    <cellStyle name="Hyperlink" xfId="124" builtinId="8" hidden="1"/>
    <cellStyle name="Hyperlink" xfId="126" builtinId="8" hidden="1"/>
    <cellStyle name="Hyperlink" xfId="128" builtinId="8" hidden="1"/>
    <cellStyle name="Hyperlink" xfId="130" builtinId="8" hidden="1"/>
    <cellStyle name="Hyperlink" xfId="132" builtinId="8" hidden="1"/>
    <cellStyle name="Hyperlink" xfId="134" builtinId="8" hidden="1"/>
    <cellStyle name="Hyperlink" xfId="136" builtinId="8" hidden="1"/>
    <cellStyle name="Hyperlink" xfId="138" builtinId="8" hidden="1"/>
    <cellStyle name="Hyperlink" xfId="140" builtinId="8" hidden="1"/>
    <cellStyle name="Hyperlink" xfId="142" builtinId="8" hidden="1"/>
    <cellStyle name="Hyperlink" xfId="144" builtinId="8" hidden="1"/>
    <cellStyle name="Hyperlink" xfId="146" builtinId="8" hidden="1"/>
    <cellStyle name="Normal" xfId="0" builtinId="0"/>
    <cellStyle name="Output" xfId="1" builtinId="2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theme" Target="theme/theme1.xml"/><Relationship Id="rId17" Type="http://schemas.openxmlformats.org/officeDocument/2006/relationships/styles" Target="styles.xml"/><Relationship Id="rId18" Type="http://schemas.openxmlformats.org/officeDocument/2006/relationships/sharedStrings" Target="sharedStrings.xml"/><Relationship Id="rId19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'RQ Reg vs Block'!$B$2</c:f>
              <c:strCache>
                <c:ptCount val="1"/>
                <c:pt idx="0">
                  <c:v>2 disjoint</c:v>
                </c:pt>
              </c:strCache>
            </c:strRef>
          </c:tx>
          <c:val>
            <c:numRef>
              <c:f>'RQ Reg vs Block'!$B$3:$B$107</c:f>
              <c:numCache>
                <c:formatCode>General</c:formatCode>
                <c:ptCount val="105"/>
                <c:pt idx="0">
                  <c:v>1.03709315375982</c:v>
                </c:pt>
                <c:pt idx="1">
                  <c:v>0.988675213675214</c:v>
                </c:pt>
                <c:pt idx="2">
                  <c:v>1.068436427578774</c:v>
                </c:pt>
                <c:pt idx="3">
                  <c:v>0.957389430357628</c:v>
                </c:pt>
                <c:pt idx="4">
                  <c:v>0.847213130866382</c:v>
                </c:pt>
                <c:pt idx="5">
                  <c:v>0.993753672485923</c:v>
                </c:pt>
                <c:pt idx="6">
                  <c:v>2.107302925670227</c:v>
                </c:pt>
                <c:pt idx="7">
                  <c:v>1.06117549771047</c:v>
                </c:pt>
                <c:pt idx="8">
                  <c:v>1.286310974825526</c:v>
                </c:pt>
                <c:pt idx="9">
                  <c:v>0.96969696969697</c:v>
                </c:pt>
                <c:pt idx="10">
                  <c:v>1.209649122807018</c:v>
                </c:pt>
                <c:pt idx="11">
                  <c:v>1.135622368499081</c:v>
                </c:pt>
                <c:pt idx="12">
                  <c:v>0.844444444444444</c:v>
                </c:pt>
                <c:pt idx="13">
                  <c:v>1.245113674941797</c:v>
                </c:pt>
                <c:pt idx="14">
                  <c:v>1.1520126665414</c:v>
                </c:pt>
                <c:pt idx="15">
                  <c:v>1.1763618983536</c:v>
                </c:pt>
                <c:pt idx="16">
                  <c:v>0.996886011954014</c:v>
                </c:pt>
                <c:pt idx="17">
                  <c:v>1.314497558078254</c:v>
                </c:pt>
                <c:pt idx="18">
                  <c:v>1.213943199744911</c:v>
                </c:pt>
                <c:pt idx="19">
                  <c:v>1.102427843831754</c:v>
                </c:pt>
                <c:pt idx="20">
                  <c:v>1.051515151515152</c:v>
                </c:pt>
                <c:pt idx="21">
                  <c:v>1.083955163802756</c:v>
                </c:pt>
                <c:pt idx="22">
                  <c:v>1.028471891758641</c:v>
                </c:pt>
                <c:pt idx="23">
                  <c:v>1.055591235033233</c:v>
                </c:pt>
                <c:pt idx="24">
                  <c:v>1.026551017587219</c:v>
                </c:pt>
                <c:pt idx="25">
                  <c:v>1.04031916650831</c:v>
                </c:pt>
                <c:pt idx="26">
                  <c:v>2.12401624832555</c:v>
                </c:pt>
                <c:pt idx="27">
                  <c:v>0.90549728049728</c:v>
                </c:pt>
                <c:pt idx="28">
                  <c:v>1.185586804066663</c:v>
                </c:pt>
                <c:pt idx="29">
                  <c:v>1.978344147202911</c:v>
                </c:pt>
                <c:pt idx="30">
                  <c:v>1.09535762483131</c:v>
                </c:pt>
                <c:pt idx="31">
                  <c:v>0.979342685583719</c:v>
                </c:pt>
                <c:pt idx="32">
                  <c:v>1.585023706472846</c:v>
                </c:pt>
                <c:pt idx="33">
                  <c:v>1.159234172707606</c:v>
                </c:pt>
                <c:pt idx="34">
                  <c:v>1.291292653668253</c:v>
                </c:pt>
                <c:pt idx="35">
                  <c:v>1.104215761280061</c:v>
                </c:pt>
                <c:pt idx="36">
                  <c:v>1.824543025886027</c:v>
                </c:pt>
                <c:pt idx="37">
                  <c:v>1.197808842485146</c:v>
                </c:pt>
                <c:pt idx="38">
                  <c:v>1.16815849979768</c:v>
                </c:pt>
                <c:pt idx="39">
                  <c:v>1.308229405474344</c:v>
                </c:pt>
                <c:pt idx="40">
                  <c:v>1.201646479818478</c:v>
                </c:pt>
                <c:pt idx="41">
                  <c:v>1.349022251148759</c:v>
                </c:pt>
                <c:pt idx="42">
                  <c:v>1.027305558206038</c:v>
                </c:pt>
                <c:pt idx="43">
                  <c:v>1.222852723182158</c:v>
                </c:pt>
                <c:pt idx="44">
                  <c:v>12.12620617789326</c:v>
                </c:pt>
                <c:pt idx="45">
                  <c:v>41.65016598854274</c:v>
                </c:pt>
                <c:pt idx="46">
                  <c:v>1.142512077294686</c:v>
                </c:pt>
                <c:pt idx="47">
                  <c:v>0.950549450549451</c:v>
                </c:pt>
                <c:pt idx="48">
                  <c:v>36.80691136936137</c:v>
                </c:pt>
                <c:pt idx="49">
                  <c:v>1.079513888888889</c:v>
                </c:pt>
                <c:pt idx="50">
                  <c:v>4.846188558003831</c:v>
                </c:pt>
                <c:pt idx="51">
                  <c:v>1.227321797220567</c:v>
                </c:pt>
                <c:pt idx="52">
                  <c:v>472.267037162409</c:v>
                </c:pt>
                <c:pt idx="53">
                  <c:v>0.894147258102709</c:v>
                </c:pt>
                <c:pt idx="54">
                  <c:v>1.628265799073253</c:v>
                </c:pt>
                <c:pt idx="55">
                  <c:v>1.18876064664564</c:v>
                </c:pt>
                <c:pt idx="56">
                  <c:v>1.168384343852479</c:v>
                </c:pt>
                <c:pt idx="57">
                  <c:v>96.94695492716927</c:v>
                </c:pt>
                <c:pt idx="58">
                  <c:v>6.1122752987605</c:v>
                </c:pt>
                <c:pt idx="59">
                  <c:v>93.23514250851541</c:v>
                </c:pt>
                <c:pt idx="60">
                  <c:v>5.024968433337958</c:v>
                </c:pt>
                <c:pt idx="61">
                  <c:v>1.275290651444101</c:v>
                </c:pt>
                <c:pt idx="62">
                  <c:v>1.160953990632991</c:v>
                </c:pt>
                <c:pt idx="63">
                  <c:v>1.639791805174634</c:v>
                </c:pt>
                <c:pt idx="64">
                  <c:v>1.369003062423847</c:v>
                </c:pt>
                <c:pt idx="65">
                  <c:v>1.153152913099389</c:v>
                </c:pt>
                <c:pt idx="66">
                  <c:v>1.037161299715597</c:v>
                </c:pt>
                <c:pt idx="67">
                  <c:v>1.067660339587685</c:v>
                </c:pt>
                <c:pt idx="68">
                  <c:v>1.675865951864558</c:v>
                </c:pt>
                <c:pt idx="69">
                  <c:v>1.44492715467875</c:v>
                </c:pt>
                <c:pt idx="70">
                  <c:v>1.845814515132221</c:v>
                </c:pt>
                <c:pt idx="71">
                  <c:v>1.884678613800063</c:v>
                </c:pt>
                <c:pt idx="72">
                  <c:v>0.162905805154551</c:v>
                </c:pt>
                <c:pt idx="73">
                  <c:v>1.178973717777483</c:v>
                </c:pt>
                <c:pt idx="74">
                  <c:v>1.093997727111885</c:v>
                </c:pt>
                <c:pt idx="75">
                  <c:v>1.013267276438632</c:v>
                </c:pt>
                <c:pt idx="76">
                  <c:v>1.82271835850603</c:v>
                </c:pt>
                <c:pt idx="77">
                  <c:v>0.815117962078448</c:v>
                </c:pt>
                <c:pt idx="78">
                  <c:v>1.19132557517389</c:v>
                </c:pt>
                <c:pt idx="79">
                  <c:v>1.061827956989247</c:v>
                </c:pt>
                <c:pt idx="80">
                  <c:v>1.115952413145902</c:v>
                </c:pt>
                <c:pt idx="81">
                  <c:v>1.657237752168793</c:v>
                </c:pt>
                <c:pt idx="82">
                  <c:v>1.032466147755092</c:v>
                </c:pt>
                <c:pt idx="83">
                  <c:v>1.009077506377999</c:v>
                </c:pt>
                <c:pt idx="84">
                  <c:v>1.050501480348822</c:v>
                </c:pt>
                <c:pt idx="85">
                  <c:v>1.049660542280485</c:v>
                </c:pt>
                <c:pt idx="86">
                  <c:v>1.219150207132115</c:v>
                </c:pt>
                <c:pt idx="87">
                  <c:v>1.386647994500715</c:v>
                </c:pt>
                <c:pt idx="88">
                  <c:v>1.134031887474825</c:v>
                </c:pt>
                <c:pt idx="89">
                  <c:v>1.569495859167811</c:v>
                </c:pt>
                <c:pt idx="90">
                  <c:v>0.857731554160126</c:v>
                </c:pt>
                <c:pt idx="91">
                  <c:v>1.548346019125819</c:v>
                </c:pt>
                <c:pt idx="92">
                  <c:v>1.351876321353066</c:v>
                </c:pt>
                <c:pt idx="93">
                  <c:v>1.206635461202024</c:v>
                </c:pt>
                <c:pt idx="94">
                  <c:v>1.094744028073976</c:v>
                </c:pt>
                <c:pt idx="95">
                  <c:v>1.00663908119148</c:v>
                </c:pt>
                <c:pt idx="96">
                  <c:v>1.007609675656808</c:v>
                </c:pt>
                <c:pt idx="97">
                  <c:v>1.161193272032574</c:v>
                </c:pt>
                <c:pt idx="98">
                  <c:v>1.095936321076643</c:v>
                </c:pt>
                <c:pt idx="99">
                  <c:v>1.117378791798227</c:v>
                </c:pt>
                <c:pt idx="100">
                  <c:v>1.06815895155345</c:v>
                </c:pt>
                <c:pt idx="101">
                  <c:v>1.02367715924173</c:v>
                </c:pt>
                <c:pt idx="102">
                  <c:v>1.16355127848581</c:v>
                </c:pt>
                <c:pt idx="103">
                  <c:v>1.223536952633721</c:v>
                </c:pt>
                <c:pt idx="104">
                  <c:v>1.265216094668639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'RQ Reg vs Block'!$C$2</c:f>
              <c:strCache>
                <c:ptCount val="1"/>
                <c:pt idx="0">
                  <c:v>1 unstrucured</c:v>
                </c:pt>
              </c:strCache>
            </c:strRef>
          </c:tx>
          <c:val>
            <c:numRef>
              <c:f>'RQ Reg vs Block'!$C$3:$C$107</c:f>
              <c:numCache>
                <c:formatCode>General</c:formatCode>
                <c:ptCount val="105"/>
                <c:pt idx="0">
                  <c:v>1.037197286321039</c:v>
                </c:pt>
                <c:pt idx="1">
                  <c:v>1.082952681587975</c:v>
                </c:pt>
                <c:pt idx="2">
                  <c:v>0.940094747356347</c:v>
                </c:pt>
                <c:pt idx="3">
                  <c:v>1.049091946447333</c:v>
                </c:pt>
                <c:pt idx="4">
                  <c:v>0.929535009785894</c:v>
                </c:pt>
                <c:pt idx="5">
                  <c:v>1.162240940387344</c:v>
                </c:pt>
                <c:pt idx="6">
                  <c:v>1.65813659938941</c:v>
                </c:pt>
                <c:pt idx="7">
                  <c:v>1.101229475260931</c:v>
                </c:pt>
                <c:pt idx="8">
                  <c:v>1.149602445874825</c:v>
                </c:pt>
                <c:pt idx="9">
                  <c:v>1.013967045952222</c:v>
                </c:pt>
                <c:pt idx="10">
                  <c:v>1.218390804597701</c:v>
                </c:pt>
                <c:pt idx="11">
                  <c:v>0.952377932137438</c:v>
                </c:pt>
                <c:pt idx="12">
                  <c:v>1.096751223854028</c:v>
                </c:pt>
                <c:pt idx="13">
                  <c:v>1.162146450090399</c:v>
                </c:pt>
                <c:pt idx="14">
                  <c:v>1.108797225715686</c:v>
                </c:pt>
                <c:pt idx="15">
                  <c:v>1.035223419625451</c:v>
                </c:pt>
                <c:pt idx="16">
                  <c:v>0.995812945061065</c:v>
                </c:pt>
                <c:pt idx="17">
                  <c:v>1.23999199353442</c:v>
                </c:pt>
                <c:pt idx="18">
                  <c:v>1.130737054786172</c:v>
                </c:pt>
                <c:pt idx="19">
                  <c:v>1.055432824520168</c:v>
                </c:pt>
                <c:pt idx="20">
                  <c:v>0.993579874850778</c:v>
                </c:pt>
                <c:pt idx="21">
                  <c:v>1.015599551545662</c:v>
                </c:pt>
                <c:pt idx="22">
                  <c:v>1.01871313545268</c:v>
                </c:pt>
                <c:pt idx="23">
                  <c:v>1.010116544448341</c:v>
                </c:pt>
                <c:pt idx="24">
                  <c:v>0.981113305476684</c:v>
                </c:pt>
                <c:pt idx="25">
                  <c:v>1.075493382257062</c:v>
                </c:pt>
                <c:pt idx="26">
                  <c:v>1.282298940537345</c:v>
                </c:pt>
                <c:pt idx="27">
                  <c:v>0.989328493625608</c:v>
                </c:pt>
                <c:pt idx="28">
                  <c:v>1.117829565969223</c:v>
                </c:pt>
                <c:pt idx="29">
                  <c:v>1.272010340355984</c:v>
                </c:pt>
                <c:pt idx="30">
                  <c:v>0.915772602299059</c:v>
                </c:pt>
                <c:pt idx="31">
                  <c:v>0.884736338414685</c:v>
                </c:pt>
                <c:pt idx="32">
                  <c:v>1.523188390150446</c:v>
                </c:pt>
                <c:pt idx="33">
                  <c:v>1.219811998323509</c:v>
                </c:pt>
                <c:pt idx="34">
                  <c:v>1.353001955465034</c:v>
                </c:pt>
                <c:pt idx="35">
                  <c:v>1.028082655457643</c:v>
                </c:pt>
                <c:pt idx="36">
                  <c:v>1.267065211033069</c:v>
                </c:pt>
                <c:pt idx="37">
                  <c:v>0.945179228003245</c:v>
                </c:pt>
                <c:pt idx="38">
                  <c:v>0.999703721512521</c:v>
                </c:pt>
                <c:pt idx="39">
                  <c:v>1.110666186895193</c:v>
                </c:pt>
                <c:pt idx="40">
                  <c:v>1.039940558283286</c:v>
                </c:pt>
                <c:pt idx="41">
                  <c:v>1.089045240944115</c:v>
                </c:pt>
                <c:pt idx="42">
                  <c:v>0.864525437032107</c:v>
                </c:pt>
                <c:pt idx="43">
                  <c:v>0.927354310339454</c:v>
                </c:pt>
                <c:pt idx="44">
                  <c:v>4.250698769802068</c:v>
                </c:pt>
                <c:pt idx="45">
                  <c:v>8.26219659433593</c:v>
                </c:pt>
                <c:pt idx="46">
                  <c:v>1.01468649475294</c:v>
                </c:pt>
                <c:pt idx="47">
                  <c:v>1.155903665814152</c:v>
                </c:pt>
                <c:pt idx="48">
                  <c:v>13.75127671515436</c:v>
                </c:pt>
                <c:pt idx="49">
                  <c:v>1.001710082960013</c:v>
                </c:pt>
                <c:pt idx="50">
                  <c:v>2.869215340792847</c:v>
                </c:pt>
                <c:pt idx="51">
                  <c:v>1.122785303117845</c:v>
                </c:pt>
                <c:pt idx="52">
                  <c:v>295.7790795887482</c:v>
                </c:pt>
                <c:pt idx="53">
                  <c:v>0.921347751825012</c:v>
                </c:pt>
                <c:pt idx="54">
                  <c:v>1.410773190996022</c:v>
                </c:pt>
                <c:pt idx="55">
                  <c:v>1.084126984126984</c:v>
                </c:pt>
                <c:pt idx="56">
                  <c:v>0.931855067546584</c:v>
                </c:pt>
                <c:pt idx="57">
                  <c:v>21.46411222281104</c:v>
                </c:pt>
                <c:pt idx="58">
                  <c:v>2.511832289918916</c:v>
                </c:pt>
                <c:pt idx="59">
                  <c:v>21.12272007414466</c:v>
                </c:pt>
                <c:pt idx="60">
                  <c:v>1.989396284945639</c:v>
                </c:pt>
                <c:pt idx="61">
                  <c:v>1.219117483815603</c:v>
                </c:pt>
                <c:pt idx="62">
                  <c:v>1.203488490221427</c:v>
                </c:pt>
                <c:pt idx="63">
                  <c:v>1.409043706876888</c:v>
                </c:pt>
                <c:pt idx="64">
                  <c:v>1.276848809293354</c:v>
                </c:pt>
                <c:pt idx="65">
                  <c:v>1.026407567441002</c:v>
                </c:pt>
                <c:pt idx="66">
                  <c:v>1.006486722446675</c:v>
                </c:pt>
                <c:pt idx="67">
                  <c:v>1.143054858383635</c:v>
                </c:pt>
                <c:pt idx="68">
                  <c:v>1.498866082343732</c:v>
                </c:pt>
                <c:pt idx="69">
                  <c:v>1.347035348305551</c:v>
                </c:pt>
                <c:pt idx="70">
                  <c:v>1.105758068246185</c:v>
                </c:pt>
                <c:pt idx="71">
                  <c:v>0.933915617378218</c:v>
                </c:pt>
                <c:pt idx="72">
                  <c:v>0.0890151167740343</c:v>
                </c:pt>
                <c:pt idx="73">
                  <c:v>1.037442460085342</c:v>
                </c:pt>
                <c:pt idx="74">
                  <c:v>1.128021443630763</c:v>
                </c:pt>
                <c:pt idx="75">
                  <c:v>0.9066592028137</c:v>
                </c:pt>
                <c:pt idx="76">
                  <c:v>0.784346912057728</c:v>
                </c:pt>
                <c:pt idx="77">
                  <c:v>1.01062091503268</c:v>
                </c:pt>
                <c:pt idx="78">
                  <c:v>0.803078761631953</c:v>
                </c:pt>
                <c:pt idx="79">
                  <c:v>1.36095990087599</c:v>
                </c:pt>
                <c:pt idx="80">
                  <c:v>1.056547260003041</c:v>
                </c:pt>
                <c:pt idx="81">
                  <c:v>1.224408612797325</c:v>
                </c:pt>
                <c:pt idx="82">
                  <c:v>1.107014411794034</c:v>
                </c:pt>
                <c:pt idx="83">
                  <c:v>1.018427478384661</c:v>
                </c:pt>
                <c:pt idx="84">
                  <c:v>0.965804418839174</c:v>
                </c:pt>
                <c:pt idx="85">
                  <c:v>0.996598225237568</c:v>
                </c:pt>
                <c:pt idx="86">
                  <c:v>1.079766952541147</c:v>
                </c:pt>
                <c:pt idx="87">
                  <c:v>1.201320659742436</c:v>
                </c:pt>
                <c:pt idx="88">
                  <c:v>1.07363885596978</c:v>
                </c:pt>
                <c:pt idx="89">
                  <c:v>1.176630300819435</c:v>
                </c:pt>
                <c:pt idx="90">
                  <c:v>0.988908249796584</c:v>
                </c:pt>
                <c:pt idx="91">
                  <c:v>1.161970344143305</c:v>
                </c:pt>
                <c:pt idx="92">
                  <c:v>1.05061391157445</c:v>
                </c:pt>
                <c:pt idx="93">
                  <c:v>1.012063889873436</c:v>
                </c:pt>
                <c:pt idx="94">
                  <c:v>0.95209459889036</c:v>
                </c:pt>
                <c:pt idx="95">
                  <c:v>0.996846473443982</c:v>
                </c:pt>
                <c:pt idx="96">
                  <c:v>0.945958070745387</c:v>
                </c:pt>
                <c:pt idx="97">
                  <c:v>1.060711130840891</c:v>
                </c:pt>
                <c:pt idx="98">
                  <c:v>1.101388231296615</c:v>
                </c:pt>
                <c:pt idx="99">
                  <c:v>1.142664445054013</c:v>
                </c:pt>
                <c:pt idx="100">
                  <c:v>1.076621593032129</c:v>
                </c:pt>
                <c:pt idx="101">
                  <c:v>0.944353427895981</c:v>
                </c:pt>
                <c:pt idx="102">
                  <c:v>1.060539998167956</c:v>
                </c:pt>
                <c:pt idx="103">
                  <c:v>1.180486883635271</c:v>
                </c:pt>
                <c:pt idx="104">
                  <c:v>1.028185364373416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'RQ Reg vs Block'!$D$2</c:f>
              <c:strCache>
                <c:ptCount val="1"/>
                <c:pt idx="0">
                  <c:v>1 disjoint</c:v>
                </c:pt>
              </c:strCache>
            </c:strRef>
          </c:tx>
          <c:val>
            <c:numRef>
              <c:f>'RQ Reg vs Block'!$D$3:$D$107</c:f>
              <c:numCache>
                <c:formatCode>General</c:formatCode>
                <c:ptCount val="105"/>
                <c:pt idx="0">
                  <c:v>0.994530646216039</c:v>
                </c:pt>
                <c:pt idx="1">
                  <c:v>0.895066915655151</c:v>
                </c:pt>
                <c:pt idx="2">
                  <c:v>1.055515303539068</c:v>
                </c:pt>
                <c:pt idx="3">
                  <c:v>1.06336215968418</c:v>
                </c:pt>
                <c:pt idx="4">
                  <c:v>0.833238851095994</c:v>
                </c:pt>
                <c:pt idx="5">
                  <c:v>1.223985075204093</c:v>
                </c:pt>
                <c:pt idx="6">
                  <c:v>2.22375791466153</c:v>
                </c:pt>
                <c:pt idx="7">
                  <c:v>1.232494070643978</c:v>
                </c:pt>
                <c:pt idx="8">
                  <c:v>1.282418119959089</c:v>
                </c:pt>
                <c:pt idx="9">
                  <c:v>0.821946169772257</c:v>
                </c:pt>
                <c:pt idx="10">
                  <c:v>0.906666666666667</c:v>
                </c:pt>
                <c:pt idx="11">
                  <c:v>0.95982905982906</c:v>
                </c:pt>
                <c:pt idx="12">
                  <c:v>1.108359133126935</c:v>
                </c:pt>
                <c:pt idx="13">
                  <c:v>1.244092069861564</c:v>
                </c:pt>
                <c:pt idx="14">
                  <c:v>1.127816648101736</c:v>
                </c:pt>
                <c:pt idx="15">
                  <c:v>1.168489953523072</c:v>
                </c:pt>
                <c:pt idx="16">
                  <c:v>1.00503409203327</c:v>
                </c:pt>
                <c:pt idx="17">
                  <c:v>1.312082564206713</c:v>
                </c:pt>
                <c:pt idx="18">
                  <c:v>1.207919934053467</c:v>
                </c:pt>
                <c:pt idx="19">
                  <c:v>1.054990933994493</c:v>
                </c:pt>
                <c:pt idx="20">
                  <c:v>1.020833333333333</c:v>
                </c:pt>
                <c:pt idx="21">
                  <c:v>1.061674563776515</c:v>
                </c:pt>
                <c:pt idx="22">
                  <c:v>1.079019452398927</c:v>
                </c:pt>
                <c:pt idx="23">
                  <c:v>1.060096297479874</c:v>
                </c:pt>
                <c:pt idx="24">
                  <c:v>0.952819384219353</c:v>
                </c:pt>
                <c:pt idx="25">
                  <c:v>1.003970701399228</c:v>
                </c:pt>
                <c:pt idx="26">
                  <c:v>2.055847512996051</c:v>
                </c:pt>
                <c:pt idx="27">
                  <c:v>0.874458874458874</c:v>
                </c:pt>
                <c:pt idx="28">
                  <c:v>1.308654893443501</c:v>
                </c:pt>
                <c:pt idx="29">
                  <c:v>1.903323668063454</c:v>
                </c:pt>
                <c:pt idx="30">
                  <c:v>0.792822120408327</c:v>
                </c:pt>
                <c:pt idx="31">
                  <c:v>1.133053221288516</c:v>
                </c:pt>
                <c:pt idx="32">
                  <c:v>1.581011396685217</c:v>
                </c:pt>
                <c:pt idx="33">
                  <c:v>1.219006423085583</c:v>
                </c:pt>
                <c:pt idx="34">
                  <c:v>1.277261901246223</c:v>
                </c:pt>
                <c:pt idx="35">
                  <c:v>1.053782972089929</c:v>
                </c:pt>
                <c:pt idx="36">
                  <c:v>1.820817088708126</c:v>
                </c:pt>
                <c:pt idx="37">
                  <c:v>1.223670686129806</c:v>
                </c:pt>
                <c:pt idx="38">
                  <c:v>1.213635910556164</c:v>
                </c:pt>
                <c:pt idx="39">
                  <c:v>1.303869779037344</c:v>
                </c:pt>
                <c:pt idx="40">
                  <c:v>1.216023945131837</c:v>
                </c:pt>
                <c:pt idx="41">
                  <c:v>1.326659734801316</c:v>
                </c:pt>
                <c:pt idx="42">
                  <c:v>1.097470679513603</c:v>
                </c:pt>
                <c:pt idx="43">
                  <c:v>0.948105059894901</c:v>
                </c:pt>
                <c:pt idx="44">
                  <c:v>7.147392611604344</c:v>
                </c:pt>
                <c:pt idx="45">
                  <c:v>3.12121636142819</c:v>
                </c:pt>
                <c:pt idx="46">
                  <c:v>0.885987153482083</c:v>
                </c:pt>
                <c:pt idx="47">
                  <c:v>0.926495726495726</c:v>
                </c:pt>
                <c:pt idx="48">
                  <c:v>43.3200409585908</c:v>
                </c:pt>
                <c:pt idx="49">
                  <c:v>1.179953273295758</c:v>
                </c:pt>
                <c:pt idx="50">
                  <c:v>3.830852589474509</c:v>
                </c:pt>
                <c:pt idx="51">
                  <c:v>1.166209200776819</c:v>
                </c:pt>
                <c:pt idx="52">
                  <c:v>492.5730930120429</c:v>
                </c:pt>
                <c:pt idx="53">
                  <c:v>0.900790127678729</c:v>
                </c:pt>
                <c:pt idx="54">
                  <c:v>1.478043766243488</c:v>
                </c:pt>
                <c:pt idx="55">
                  <c:v>1.091059757236228</c:v>
                </c:pt>
                <c:pt idx="56">
                  <c:v>1.151017442627761</c:v>
                </c:pt>
                <c:pt idx="57">
                  <c:v>95.83329723572962</c:v>
                </c:pt>
                <c:pt idx="58">
                  <c:v>7.567737420704676</c:v>
                </c:pt>
                <c:pt idx="59">
                  <c:v>88.09197000871428</c:v>
                </c:pt>
                <c:pt idx="60">
                  <c:v>5.408527502924086</c:v>
                </c:pt>
                <c:pt idx="61">
                  <c:v>1.233339380841944</c:v>
                </c:pt>
                <c:pt idx="62">
                  <c:v>1.347965421966313</c:v>
                </c:pt>
                <c:pt idx="63">
                  <c:v>1.619523480623619</c:v>
                </c:pt>
                <c:pt idx="64">
                  <c:v>1.4265348777891</c:v>
                </c:pt>
                <c:pt idx="65">
                  <c:v>1.029235123452145</c:v>
                </c:pt>
                <c:pt idx="66">
                  <c:v>0.97149598028995</c:v>
                </c:pt>
                <c:pt idx="67">
                  <c:v>1.073303610979454</c:v>
                </c:pt>
                <c:pt idx="68">
                  <c:v>1.654053534636105</c:v>
                </c:pt>
                <c:pt idx="69">
                  <c:v>1.384894624005088</c:v>
                </c:pt>
                <c:pt idx="70">
                  <c:v>1.810460980879178</c:v>
                </c:pt>
                <c:pt idx="71">
                  <c:v>1.851834692582737</c:v>
                </c:pt>
                <c:pt idx="72">
                  <c:v>0.167190402002843</c:v>
                </c:pt>
                <c:pt idx="73">
                  <c:v>1.136021350643795</c:v>
                </c:pt>
                <c:pt idx="74">
                  <c:v>1.086306597422143</c:v>
                </c:pt>
                <c:pt idx="75">
                  <c:v>1.003880752117494</c:v>
                </c:pt>
                <c:pt idx="76">
                  <c:v>1.830273069679849</c:v>
                </c:pt>
                <c:pt idx="77">
                  <c:v>0.976180726180726</c:v>
                </c:pt>
                <c:pt idx="78">
                  <c:v>1.095838747783946</c:v>
                </c:pt>
                <c:pt idx="79">
                  <c:v>0.997826086956522</c:v>
                </c:pt>
                <c:pt idx="80">
                  <c:v>1.116007050521775</c:v>
                </c:pt>
                <c:pt idx="81">
                  <c:v>1.569402321082048</c:v>
                </c:pt>
                <c:pt idx="82">
                  <c:v>1.030450794891897</c:v>
                </c:pt>
                <c:pt idx="83">
                  <c:v>1.016632309651293</c:v>
                </c:pt>
                <c:pt idx="84">
                  <c:v>1.104266170791179</c:v>
                </c:pt>
                <c:pt idx="85">
                  <c:v>1.120626668056966</c:v>
                </c:pt>
                <c:pt idx="86">
                  <c:v>1.181093100333731</c:v>
                </c:pt>
                <c:pt idx="87">
                  <c:v>1.284332661654584</c:v>
                </c:pt>
                <c:pt idx="88">
                  <c:v>1.13317390011155</c:v>
                </c:pt>
                <c:pt idx="89">
                  <c:v>1.537121125729628</c:v>
                </c:pt>
                <c:pt idx="90">
                  <c:v>0.963441786971199</c:v>
                </c:pt>
                <c:pt idx="91">
                  <c:v>1.56679393503823</c:v>
                </c:pt>
                <c:pt idx="92">
                  <c:v>1.217106106215017</c:v>
                </c:pt>
                <c:pt idx="93">
                  <c:v>1.579367061509919</c:v>
                </c:pt>
                <c:pt idx="94">
                  <c:v>1.031185533857756</c:v>
                </c:pt>
                <c:pt idx="95">
                  <c:v>1.107137416254033</c:v>
                </c:pt>
                <c:pt idx="96">
                  <c:v>1.072475321826815</c:v>
                </c:pt>
                <c:pt idx="97">
                  <c:v>1.151018904644535</c:v>
                </c:pt>
                <c:pt idx="98">
                  <c:v>1.094426631716621</c:v>
                </c:pt>
                <c:pt idx="99">
                  <c:v>1.397910624752856</c:v>
                </c:pt>
                <c:pt idx="100">
                  <c:v>1.16673363276747</c:v>
                </c:pt>
                <c:pt idx="101">
                  <c:v>1.01010101010101</c:v>
                </c:pt>
                <c:pt idx="102">
                  <c:v>1.108477818338523</c:v>
                </c:pt>
                <c:pt idx="103">
                  <c:v>1.212629393717219</c:v>
                </c:pt>
                <c:pt idx="104">
                  <c:v>1.24224497101947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'RQ Reg vs Block'!$E$2</c:f>
              <c:strCache>
                <c:ptCount val="1"/>
                <c:pt idx="0">
                  <c:v>2 disjoint</c:v>
                </c:pt>
              </c:strCache>
            </c:strRef>
          </c:tx>
          <c:val>
            <c:numRef>
              <c:f>'RQ Reg vs Block'!$E$3:$E$107</c:f>
              <c:numCache>
                <c:formatCode>General</c:formatCode>
                <c:ptCount val="105"/>
                <c:pt idx="0">
                  <c:v>1.151426684739165</c:v>
                </c:pt>
                <c:pt idx="1">
                  <c:v>1.01853055447232</c:v>
                </c:pt>
                <c:pt idx="2">
                  <c:v>0.994949494949495</c:v>
                </c:pt>
                <c:pt idx="3">
                  <c:v>1.071516006318246</c:v>
                </c:pt>
                <c:pt idx="4">
                  <c:v>1.038852913968548</c:v>
                </c:pt>
                <c:pt idx="5">
                  <c:v>1.128400619614677</c:v>
                </c:pt>
                <c:pt idx="6">
                  <c:v>2.140104762725143</c:v>
                </c:pt>
                <c:pt idx="7">
                  <c:v>1.065166167249587</c:v>
                </c:pt>
                <c:pt idx="8">
                  <c:v>1.363575279702723</c:v>
                </c:pt>
                <c:pt idx="9">
                  <c:v>0.974358974358974</c:v>
                </c:pt>
                <c:pt idx="10">
                  <c:v>1.2</c:v>
                </c:pt>
                <c:pt idx="11">
                  <c:v>1.065911835748792</c:v>
                </c:pt>
                <c:pt idx="12">
                  <c:v>1.027179487179487</c:v>
                </c:pt>
                <c:pt idx="13">
                  <c:v>1.310891076800676</c:v>
                </c:pt>
                <c:pt idx="14">
                  <c:v>1.218279569892473</c:v>
                </c:pt>
                <c:pt idx="15">
                  <c:v>1.172672672672673</c:v>
                </c:pt>
                <c:pt idx="16">
                  <c:v>1.092123650203338</c:v>
                </c:pt>
                <c:pt idx="17">
                  <c:v>1.430442743972071</c:v>
                </c:pt>
                <c:pt idx="18">
                  <c:v>1.328826334410091</c:v>
                </c:pt>
                <c:pt idx="19">
                  <c:v>1.132769727818719</c:v>
                </c:pt>
                <c:pt idx="20">
                  <c:v>1.0</c:v>
                </c:pt>
                <c:pt idx="21">
                  <c:v>1.105535217929746</c:v>
                </c:pt>
                <c:pt idx="22">
                  <c:v>1.119835271351064</c:v>
                </c:pt>
                <c:pt idx="23">
                  <c:v>1.129294176111316</c:v>
                </c:pt>
                <c:pt idx="24">
                  <c:v>1.137453948158507</c:v>
                </c:pt>
                <c:pt idx="25">
                  <c:v>1.079514265411701</c:v>
                </c:pt>
                <c:pt idx="26">
                  <c:v>2.260492315286836</c:v>
                </c:pt>
                <c:pt idx="27">
                  <c:v>1.049350649350649</c:v>
                </c:pt>
                <c:pt idx="28">
                  <c:v>1.064288348700754</c:v>
                </c:pt>
                <c:pt idx="29">
                  <c:v>1.99143293477856</c:v>
                </c:pt>
                <c:pt idx="30">
                  <c:v>1.294699872286079</c:v>
                </c:pt>
                <c:pt idx="31">
                  <c:v>0.772408963585434</c:v>
                </c:pt>
                <c:pt idx="32">
                  <c:v>1.55622285131836</c:v>
                </c:pt>
                <c:pt idx="33">
                  <c:v>1.190050551553643</c:v>
                </c:pt>
                <c:pt idx="34">
                  <c:v>1.318182262920365</c:v>
                </c:pt>
                <c:pt idx="35">
                  <c:v>1.153887560619499</c:v>
                </c:pt>
                <c:pt idx="36">
                  <c:v>1.921169772256729</c:v>
                </c:pt>
                <c:pt idx="37">
                  <c:v>1.253446870787701</c:v>
                </c:pt>
                <c:pt idx="38">
                  <c:v>1.297342598665297</c:v>
                </c:pt>
                <c:pt idx="39">
                  <c:v>1.406574731777575</c:v>
                </c:pt>
                <c:pt idx="40">
                  <c:v>1.133737217145344</c:v>
                </c:pt>
                <c:pt idx="41">
                  <c:v>1.516305414885273</c:v>
                </c:pt>
                <c:pt idx="42">
                  <c:v>1.025231869037179</c:v>
                </c:pt>
                <c:pt idx="43">
                  <c:v>1.047275625128134</c:v>
                </c:pt>
                <c:pt idx="44">
                  <c:v>10.68401665065642</c:v>
                </c:pt>
                <c:pt idx="45">
                  <c:v>4.291801030134033</c:v>
                </c:pt>
                <c:pt idx="46">
                  <c:v>0.98989898989899</c:v>
                </c:pt>
                <c:pt idx="47">
                  <c:v>1.002614379084967</c:v>
                </c:pt>
                <c:pt idx="48">
                  <c:v>33.42871369448271</c:v>
                </c:pt>
                <c:pt idx="49">
                  <c:v>1.134240877292494</c:v>
                </c:pt>
                <c:pt idx="50">
                  <c:v>4.886749662227368</c:v>
                </c:pt>
                <c:pt idx="51">
                  <c:v>1.289841915657658</c:v>
                </c:pt>
                <c:pt idx="52">
                  <c:v>460.1067523244642</c:v>
                </c:pt>
                <c:pt idx="53">
                  <c:v>1.048597449908925</c:v>
                </c:pt>
                <c:pt idx="54">
                  <c:v>1.732869766768072</c:v>
                </c:pt>
                <c:pt idx="55">
                  <c:v>1.221658766030941</c:v>
                </c:pt>
                <c:pt idx="56">
                  <c:v>1.264130434782609</c:v>
                </c:pt>
                <c:pt idx="57">
                  <c:v>104.7722635244414</c:v>
                </c:pt>
                <c:pt idx="58">
                  <c:v>5.151867758215231</c:v>
                </c:pt>
                <c:pt idx="59">
                  <c:v>99.64723800270106</c:v>
                </c:pt>
                <c:pt idx="60">
                  <c:v>5.147675119537201</c:v>
                </c:pt>
                <c:pt idx="61">
                  <c:v>1.322850672863824</c:v>
                </c:pt>
                <c:pt idx="62">
                  <c:v>4.020613247514439</c:v>
                </c:pt>
                <c:pt idx="63">
                  <c:v>1.714540247716663</c:v>
                </c:pt>
                <c:pt idx="64">
                  <c:v>1.549360401079263</c:v>
                </c:pt>
                <c:pt idx="65">
                  <c:v>1.08695608360038</c:v>
                </c:pt>
                <c:pt idx="66">
                  <c:v>1.129787751626832</c:v>
                </c:pt>
                <c:pt idx="67">
                  <c:v>1.119640673546779</c:v>
                </c:pt>
                <c:pt idx="68">
                  <c:v>1.842238640581672</c:v>
                </c:pt>
                <c:pt idx="69">
                  <c:v>1.454191041903283</c:v>
                </c:pt>
                <c:pt idx="70">
                  <c:v>1.987902823574838</c:v>
                </c:pt>
                <c:pt idx="71">
                  <c:v>1.932789597717913</c:v>
                </c:pt>
                <c:pt idx="72">
                  <c:v>0.155205038196244</c:v>
                </c:pt>
                <c:pt idx="73">
                  <c:v>1.226505773893452</c:v>
                </c:pt>
                <c:pt idx="74">
                  <c:v>1.212003583159152</c:v>
                </c:pt>
                <c:pt idx="75">
                  <c:v>1.014821414030373</c:v>
                </c:pt>
                <c:pt idx="76">
                  <c:v>1.289237929028505</c:v>
                </c:pt>
                <c:pt idx="77">
                  <c:v>1.125152625152625</c:v>
                </c:pt>
                <c:pt idx="78">
                  <c:v>1.028691686815351</c:v>
                </c:pt>
                <c:pt idx="79">
                  <c:v>0.777777777777778</c:v>
                </c:pt>
                <c:pt idx="80">
                  <c:v>1.112440715196333</c:v>
                </c:pt>
                <c:pt idx="81">
                  <c:v>1.650459984782458</c:v>
                </c:pt>
                <c:pt idx="82">
                  <c:v>1.171313877828162</c:v>
                </c:pt>
                <c:pt idx="83">
                  <c:v>1.07649442042355</c:v>
                </c:pt>
                <c:pt idx="84">
                  <c:v>1.112975287814464</c:v>
                </c:pt>
                <c:pt idx="85">
                  <c:v>1.199434474003116</c:v>
                </c:pt>
                <c:pt idx="86">
                  <c:v>1.368592442590959</c:v>
                </c:pt>
                <c:pt idx="87">
                  <c:v>1.454216924585307</c:v>
                </c:pt>
                <c:pt idx="88">
                  <c:v>1.278432700356461</c:v>
                </c:pt>
                <c:pt idx="89">
                  <c:v>1.468684426286461</c:v>
                </c:pt>
                <c:pt idx="90">
                  <c:v>1.086868686868687</c:v>
                </c:pt>
                <c:pt idx="91">
                  <c:v>1.553366156169894</c:v>
                </c:pt>
                <c:pt idx="92">
                  <c:v>1.471661399268761</c:v>
                </c:pt>
                <c:pt idx="93">
                  <c:v>1.355374149659864</c:v>
                </c:pt>
                <c:pt idx="94">
                  <c:v>1.123301117487164</c:v>
                </c:pt>
                <c:pt idx="95">
                  <c:v>1.090133260313983</c:v>
                </c:pt>
                <c:pt idx="96">
                  <c:v>1.029622481256684</c:v>
                </c:pt>
                <c:pt idx="97">
                  <c:v>1.243999120481025</c:v>
                </c:pt>
                <c:pt idx="98">
                  <c:v>1.111988631803007</c:v>
                </c:pt>
                <c:pt idx="99">
                  <c:v>1.176974520427215</c:v>
                </c:pt>
                <c:pt idx="100">
                  <c:v>1.190414936234334</c:v>
                </c:pt>
                <c:pt idx="101">
                  <c:v>1.113650075414781</c:v>
                </c:pt>
                <c:pt idx="102">
                  <c:v>1.189146743332187</c:v>
                </c:pt>
                <c:pt idx="103">
                  <c:v>1.377221202279331</c:v>
                </c:pt>
                <c:pt idx="104">
                  <c:v>1.400848434032511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'RQ Reg vs Block'!$F$2</c:f>
              <c:strCache>
                <c:ptCount val="1"/>
                <c:pt idx="0">
                  <c:v>1 unstrucured</c:v>
                </c:pt>
              </c:strCache>
            </c:strRef>
          </c:tx>
          <c:val>
            <c:numRef>
              <c:f>'RQ Reg vs Block'!$F$3:$F$107</c:f>
              <c:numCache>
                <c:formatCode>General</c:formatCode>
                <c:ptCount val="105"/>
                <c:pt idx="0">
                  <c:v>0.863311790752344</c:v>
                </c:pt>
                <c:pt idx="1">
                  <c:v>1.015057641936544</c:v>
                </c:pt>
                <c:pt idx="2">
                  <c:v>1.014178150135719</c:v>
                </c:pt>
                <c:pt idx="3">
                  <c:v>0.939149718930725</c:v>
                </c:pt>
                <c:pt idx="4">
                  <c:v>1.219617384430371</c:v>
                </c:pt>
                <c:pt idx="5">
                  <c:v>1.06078751170119</c:v>
                </c:pt>
                <c:pt idx="6">
                  <c:v>1.679289290364348</c:v>
                </c:pt>
                <c:pt idx="7">
                  <c:v>0.985861546196494</c:v>
                </c:pt>
                <c:pt idx="8">
                  <c:v>1.477679506168743</c:v>
                </c:pt>
                <c:pt idx="9">
                  <c:v>0.996789378198316</c:v>
                </c:pt>
                <c:pt idx="10">
                  <c:v>0.996239544768957</c:v>
                </c:pt>
                <c:pt idx="11">
                  <c:v>0.899071284583958</c:v>
                </c:pt>
                <c:pt idx="12">
                  <c:v>1.018392292055968</c:v>
                </c:pt>
                <c:pt idx="13">
                  <c:v>1.045486069276464</c:v>
                </c:pt>
                <c:pt idx="14">
                  <c:v>1.117878473897063</c:v>
                </c:pt>
                <c:pt idx="15">
                  <c:v>1.095154761576821</c:v>
                </c:pt>
                <c:pt idx="16">
                  <c:v>1.042483175117114</c:v>
                </c:pt>
                <c:pt idx="17">
                  <c:v>1.138499611486547</c:v>
                </c:pt>
                <c:pt idx="18">
                  <c:v>0.998753901637037</c:v>
                </c:pt>
                <c:pt idx="19">
                  <c:v>1.104491273584918</c:v>
                </c:pt>
                <c:pt idx="20">
                  <c:v>0.995088734639696</c:v>
                </c:pt>
                <c:pt idx="21">
                  <c:v>1.025199265060323</c:v>
                </c:pt>
                <c:pt idx="22">
                  <c:v>0.941163069016214</c:v>
                </c:pt>
                <c:pt idx="23">
                  <c:v>1.018406627368691</c:v>
                </c:pt>
                <c:pt idx="24">
                  <c:v>1.081610317694512</c:v>
                </c:pt>
                <c:pt idx="25">
                  <c:v>1.026745742709733</c:v>
                </c:pt>
                <c:pt idx="26">
                  <c:v>1.769527674546261</c:v>
                </c:pt>
                <c:pt idx="27">
                  <c:v>1.08071258229874</c:v>
                </c:pt>
                <c:pt idx="28">
                  <c:v>1.047820080274675</c:v>
                </c:pt>
                <c:pt idx="29">
                  <c:v>1.51502164438452</c:v>
                </c:pt>
                <c:pt idx="30">
                  <c:v>1.154282317853359</c:v>
                </c:pt>
                <c:pt idx="31">
                  <c:v>0.979974877157639</c:v>
                </c:pt>
                <c:pt idx="32">
                  <c:v>1.653184869955116</c:v>
                </c:pt>
                <c:pt idx="33">
                  <c:v>1.201073127760113</c:v>
                </c:pt>
                <c:pt idx="34">
                  <c:v>1.714957125940327</c:v>
                </c:pt>
                <c:pt idx="35">
                  <c:v>1.113466848178593</c:v>
                </c:pt>
                <c:pt idx="36">
                  <c:v>1.274796181301917</c:v>
                </c:pt>
                <c:pt idx="37">
                  <c:v>1.024753427772401</c:v>
                </c:pt>
                <c:pt idx="38">
                  <c:v>1.000173293675602</c:v>
                </c:pt>
                <c:pt idx="39">
                  <c:v>1.122490841584534</c:v>
                </c:pt>
                <c:pt idx="40">
                  <c:v>1.124949675550369</c:v>
                </c:pt>
                <c:pt idx="41">
                  <c:v>1.353508365722039</c:v>
                </c:pt>
                <c:pt idx="42">
                  <c:v>0.877246028295953</c:v>
                </c:pt>
                <c:pt idx="43">
                  <c:v>1.004645846352081</c:v>
                </c:pt>
                <c:pt idx="44">
                  <c:v>2.107476852355798</c:v>
                </c:pt>
                <c:pt idx="45">
                  <c:v>2.031023926297141</c:v>
                </c:pt>
                <c:pt idx="46">
                  <c:v>1.056478093629796</c:v>
                </c:pt>
                <c:pt idx="47">
                  <c:v>1.202898550724638</c:v>
                </c:pt>
                <c:pt idx="48">
                  <c:v>6.16074449022732</c:v>
                </c:pt>
                <c:pt idx="49">
                  <c:v>1.152267389047424</c:v>
                </c:pt>
                <c:pt idx="50">
                  <c:v>1.700695885497901</c:v>
                </c:pt>
                <c:pt idx="51">
                  <c:v>1.111641605805105</c:v>
                </c:pt>
                <c:pt idx="52">
                  <c:v>123.8615781194165</c:v>
                </c:pt>
                <c:pt idx="53">
                  <c:v>1.004608253270865</c:v>
                </c:pt>
                <c:pt idx="54">
                  <c:v>1.197546492369733</c:v>
                </c:pt>
                <c:pt idx="55">
                  <c:v>1.136657824477792</c:v>
                </c:pt>
                <c:pt idx="56">
                  <c:v>1.018252641957708</c:v>
                </c:pt>
                <c:pt idx="57">
                  <c:v>10.19779347601805</c:v>
                </c:pt>
                <c:pt idx="58">
                  <c:v>2.094006713655473</c:v>
                </c:pt>
                <c:pt idx="59">
                  <c:v>12.02138310383889</c:v>
                </c:pt>
                <c:pt idx="60">
                  <c:v>1.953026940748125</c:v>
                </c:pt>
                <c:pt idx="61">
                  <c:v>1.248978400552444</c:v>
                </c:pt>
                <c:pt idx="62">
                  <c:v>1.174821895481544</c:v>
                </c:pt>
                <c:pt idx="63">
                  <c:v>1.781663766844293</c:v>
                </c:pt>
                <c:pt idx="64">
                  <c:v>1.678414133209236</c:v>
                </c:pt>
                <c:pt idx="65">
                  <c:v>0.980579220599075</c:v>
                </c:pt>
                <c:pt idx="66">
                  <c:v>1.047150495068538</c:v>
                </c:pt>
                <c:pt idx="67">
                  <c:v>1.056185718303589</c:v>
                </c:pt>
                <c:pt idx="68">
                  <c:v>1.794534540363482</c:v>
                </c:pt>
                <c:pt idx="69">
                  <c:v>1.8290870001841</c:v>
                </c:pt>
                <c:pt idx="70">
                  <c:v>1.443050582256655</c:v>
                </c:pt>
                <c:pt idx="71">
                  <c:v>1.094547691050202</c:v>
                </c:pt>
                <c:pt idx="72">
                  <c:v>0.0833652745369175</c:v>
                </c:pt>
                <c:pt idx="73">
                  <c:v>1.075316960174858</c:v>
                </c:pt>
                <c:pt idx="74">
                  <c:v>1.125171674945977</c:v>
                </c:pt>
                <c:pt idx="75">
                  <c:v>0.8696220015417</c:v>
                </c:pt>
                <c:pt idx="76">
                  <c:v>0.322036794873219</c:v>
                </c:pt>
                <c:pt idx="77">
                  <c:v>0.985629707234736</c:v>
                </c:pt>
                <c:pt idx="78">
                  <c:v>0.788981655452574</c:v>
                </c:pt>
                <c:pt idx="79">
                  <c:v>1.024929234846454</c:v>
                </c:pt>
                <c:pt idx="80">
                  <c:v>1.142471430608577</c:v>
                </c:pt>
                <c:pt idx="81">
                  <c:v>1.392955501819198</c:v>
                </c:pt>
                <c:pt idx="82">
                  <c:v>1.075279624339004</c:v>
                </c:pt>
                <c:pt idx="83">
                  <c:v>0.998841696535526</c:v>
                </c:pt>
                <c:pt idx="84">
                  <c:v>1.080147744894507</c:v>
                </c:pt>
                <c:pt idx="85">
                  <c:v>1.03307604140894</c:v>
                </c:pt>
                <c:pt idx="86">
                  <c:v>1.490661105919782</c:v>
                </c:pt>
                <c:pt idx="87">
                  <c:v>1.485641973952354</c:v>
                </c:pt>
                <c:pt idx="88">
                  <c:v>0.991388807743909</c:v>
                </c:pt>
                <c:pt idx="89">
                  <c:v>1.344695457545689</c:v>
                </c:pt>
                <c:pt idx="90">
                  <c:v>1.042579385844428</c:v>
                </c:pt>
                <c:pt idx="91">
                  <c:v>1.503660564092925</c:v>
                </c:pt>
                <c:pt idx="92">
                  <c:v>1.215759266393239</c:v>
                </c:pt>
                <c:pt idx="93">
                  <c:v>1.404927123545975</c:v>
                </c:pt>
                <c:pt idx="94">
                  <c:v>1.151081994966158</c:v>
                </c:pt>
                <c:pt idx="95">
                  <c:v>1.146023190535784</c:v>
                </c:pt>
                <c:pt idx="96">
                  <c:v>1.073029424741567</c:v>
                </c:pt>
                <c:pt idx="97">
                  <c:v>1.222885304290372</c:v>
                </c:pt>
                <c:pt idx="98">
                  <c:v>1.156615503557606</c:v>
                </c:pt>
                <c:pt idx="99">
                  <c:v>1.115098639496572</c:v>
                </c:pt>
                <c:pt idx="100">
                  <c:v>1.130699534622863</c:v>
                </c:pt>
                <c:pt idx="101">
                  <c:v>1.110331325998461</c:v>
                </c:pt>
                <c:pt idx="102">
                  <c:v>1.250084459788607</c:v>
                </c:pt>
                <c:pt idx="103">
                  <c:v>1.160456794909776</c:v>
                </c:pt>
                <c:pt idx="104">
                  <c:v>1.093658834654471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'RQ Reg vs Block'!$G$2</c:f>
              <c:strCache>
                <c:ptCount val="1"/>
                <c:pt idx="0">
                  <c:v>1 disjoint</c:v>
                </c:pt>
              </c:strCache>
            </c:strRef>
          </c:tx>
          <c:val>
            <c:numRef>
              <c:f>'RQ Reg vs Block'!$G$3:$G$107</c:f>
              <c:numCache>
                <c:formatCode>General</c:formatCode>
                <c:ptCount val="105"/>
                <c:pt idx="0">
                  <c:v>0.959596585388122</c:v>
                </c:pt>
                <c:pt idx="1">
                  <c:v>1.034988540870894</c:v>
                </c:pt>
                <c:pt idx="2">
                  <c:v>0.971687227109348</c:v>
                </c:pt>
                <c:pt idx="3">
                  <c:v>1.039555709289366</c:v>
                </c:pt>
                <c:pt idx="4">
                  <c:v>0.938266178266178</c:v>
                </c:pt>
                <c:pt idx="5">
                  <c:v>1.119583054253514</c:v>
                </c:pt>
                <c:pt idx="6">
                  <c:v>1.959736040547932</c:v>
                </c:pt>
                <c:pt idx="7">
                  <c:v>1.050402081193828</c:v>
                </c:pt>
                <c:pt idx="8">
                  <c:v>1.202619392643362</c:v>
                </c:pt>
                <c:pt idx="9">
                  <c:v>1.01969696969697</c:v>
                </c:pt>
                <c:pt idx="10">
                  <c:v>0.985507246376811</c:v>
                </c:pt>
                <c:pt idx="11">
                  <c:v>0.978915499987726</c:v>
                </c:pt>
                <c:pt idx="12">
                  <c:v>1.100793650793651</c:v>
                </c:pt>
                <c:pt idx="13">
                  <c:v>1.261391821256638</c:v>
                </c:pt>
                <c:pt idx="14">
                  <c:v>0.970849561284543</c:v>
                </c:pt>
                <c:pt idx="15">
                  <c:v>1.051452262269939</c:v>
                </c:pt>
                <c:pt idx="16">
                  <c:v>1.008656628045436</c:v>
                </c:pt>
                <c:pt idx="17">
                  <c:v>1.453499609956054</c:v>
                </c:pt>
                <c:pt idx="18">
                  <c:v>1.202529249849414</c:v>
                </c:pt>
                <c:pt idx="19">
                  <c:v>1.079945011913423</c:v>
                </c:pt>
                <c:pt idx="20">
                  <c:v>1.412698412698413</c:v>
                </c:pt>
                <c:pt idx="21">
                  <c:v>1.073780542581497</c:v>
                </c:pt>
                <c:pt idx="22">
                  <c:v>1.08383016213126</c:v>
                </c:pt>
                <c:pt idx="23">
                  <c:v>1.052336842462192</c:v>
                </c:pt>
                <c:pt idx="24">
                  <c:v>1.038184924471862</c:v>
                </c:pt>
                <c:pt idx="25">
                  <c:v>1.051959329751125</c:v>
                </c:pt>
                <c:pt idx="26">
                  <c:v>2.047040798312724</c:v>
                </c:pt>
                <c:pt idx="27">
                  <c:v>1.013197105151128</c:v>
                </c:pt>
                <c:pt idx="28">
                  <c:v>1.031002339395842</c:v>
                </c:pt>
                <c:pt idx="29">
                  <c:v>1.926434288090395</c:v>
                </c:pt>
                <c:pt idx="30">
                  <c:v>1.241758241758242</c:v>
                </c:pt>
                <c:pt idx="31">
                  <c:v>1.019119092289824</c:v>
                </c:pt>
                <c:pt idx="32">
                  <c:v>1.627097809551445</c:v>
                </c:pt>
                <c:pt idx="33">
                  <c:v>1.167265403908137</c:v>
                </c:pt>
                <c:pt idx="34">
                  <c:v>1.24896211423298</c:v>
                </c:pt>
                <c:pt idx="35">
                  <c:v>1.090168982893917</c:v>
                </c:pt>
                <c:pt idx="36">
                  <c:v>1.765232984763737</c:v>
                </c:pt>
                <c:pt idx="37">
                  <c:v>1.154050954974368</c:v>
                </c:pt>
                <c:pt idx="38">
                  <c:v>1.132603173013066</c:v>
                </c:pt>
                <c:pt idx="39">
                  <c:v>1.283646929582048</c:v>
                </c:pt>
                <c:pt idx="40">
                  <c:v>1.086250814591352</c:v>
                </c:pt>
                <c:pt idx="41">
                  <c:v>1.359416383423512</c:v>
                </c:pt>
                <c:pt idx="42">
                  <c:v>1.06582408401759</c:v>
                </c:pt>
                <c:pt idx="43">
                  <c:v>0.983509359140232</c:v>
                </c:pt>
                <c:pt idx="44">
                  <c:v>9.192497190927495</c:v>
                </c:pt>
                <c:pt idx="45">
                  <c:v>40.55497658109935</c:v>
                </c:pt>
                <c:pt idx="46">
                  <c:v>0.752655634357762</c:v>
                </c:pt>
                <c:pt idx="47">
                  <c:v>0.95672514619883</c:v>
                </c:pt>
                <c:pt idx="48">
                  <c:v>31.99134465812</c:v>
                </c:pt>
                <c:pt idx="49">
                  <c:v>1.164370536947173</c:v>
                </c:pt>
                <c:pt idx="50">
                  <c:v>3.995788623847253</c:v>
                </c:pt>
                <c:pt idx="51">
                  <c:v>1.138446757354442</c:v>
                </c:pt>
                <c:pt idx="52">
                  <c:v>442.9823603625276</c:v>
                </c:pt>
                <c:pt idx="53">
                  <c:v>0.928981208362809</c:v>
                </c:pt>
                <c:pt idx="54">
                  <c:v>2.090628543270959</c:v>
                </c:pt>
                <c:pt idx="55">
                  <c:v>1.263043028402674</c:v>
                </c:pt>
                <c:pt idx="56">
                  <c:v>1.169087515490552</c:v>
                </c:pt>
                <c:pt idx="57">
                  <c:v>97.27787973666545</c:v>
                </c:pt>
                <c:pt idx="58">
                  <c:v>6.668269363677365</c:v>
                </c:pt>
                <c:pt idx="59">
                  <c:v>105.7289183337632</c:v>
                </c:pt>
                <c:pt idx="60">
                  <c:v>5.273357007453324</c:v>
                </c:pt>
                <c:pt idx="61">
                  <c:v>1.242207124346545</c:v>
                </c:pt>
                <c:pt idx="62">
                  <c:v>1.174901135568658</c:v>
                </c:pt>
                <c:pt idx="63">
                  <c:v>1.648128916418503</c:v>
                </c:pt>
                <c:pt idx="64">
                  <c:v>1.414497541080748</c:v>
                </c:pt>
                <c:pt idx="65">
                  <c:v>1.151094810077762</c:v>
                </c:pt>
                <c:pt idx="66">
                  <c:v>1.027345624166145</c:v>
                </c:pt>
                <c:pt idx="67">
                  <c:v>1.100173776762242</c:v>
                </c:pt>
                <c:pt idx="68">
                  <c:v>1.511818437048965</c:v>
                </c:pt>
                <c:pt idx="69">
                  <c:v>1.508420279974646</c:v>
                </c:pt>
                <c:pt idx="70">
                  <c:v>1.872197225122448</c:v>
                </c:pt>
                <c:pt idx="71">
                  <c:v>1.85812161264272</c:v>
                </c:pt>
                <c:pt idx="72">
                  <c:v>0.148247977908339</c:v>
                </c:pt>
                <c:pt idx="73">
                  <c:v>1.128252519272594</c:v>
                </c:pt>
                <c:pt idx="74">
                  <c:v>1.081778526303053</c:v>
                </c:pt>
                <c:pt idx="75">
                  <c:v>0.882523952321906</c:v>
                </c:pt>
                <c:pt idx="76">
                  <c:v>1.730830830830831</c:v>
                </c:pt>
                <c:pt idx="77">
                  <c:v>1.01010101010101</c:v>
                </c:pt>
                <c:pt idx="78">
                  <c:v>1.039940594971284</c:v>
                </c:pt>
                <c:pt idx="79">
                  <c:v>1.201368523949169</c:v>
                </c:pt>
                <c:pt idx="80">
                  <c:v>1.096517261269662</c:v>
                </c:pt>
                <c:pt idx="81">
                  <c:v>1.600140693527529</c:v>
                </c:pt>
                <c:pt idx="82">
                  <c:v>1.048453464598163</c:v>
                </c:pt>
                <c:pt idx="83">
                  <c:v>1.002927890449731</c:v>
                </c:pt>
                <c:pt idx="84">
                  <c:v>1.195324835079113</c:v>
                </c:pt>
                <c:pt idx="85">
                  <c:v>1.097342607405908</c:v>
                </c:pt>
                <c:pt idx="86">
                  <c:v>1.149659080293345</c:v>
                </c:pt>
                <c:pt idx="87">
                  <c:v>1.377049553352952</c:v>
                </c:pt>
                <c:pt idx="88">
                  <c:v>1.222996735721233</c:v>
                </c:pt>
                <c:pt idx="89">
                  <c:v>1.455069696035615</c:v>
                </c:pt>
                <c:pt idx="90">
                  <c:v>1.006060606060606</c:v>
                </c:pt>
                <c:pt idx="91">
                  <c:v>1.641188926883364</c:v>
                </c:pt>
                <c:pt idx="92">
                  <c:v>1.409011373578303</c:v>
                </c:pt>
                <c:pt idx="93">
                  <c:v>1.220551265260654</c:v>
                </c:pt>
                <c:pt idx="94">
                  <c:v>1.099391829617636</c:v>
                </c:pt>
                <c:pt idx="95">
                  <c:v>0.927746101364522</c:v>
                </c:pt>
                <c:pt idx="96">
                  <c:v>1.003995898418779</c:v>
                </c:pt>
                <c:pt idx="97">
                  <c:v>1.182231047193062</c:v>
                </c:pt>
                <c:pt idx="98">
                  <c:v>1.061054705005373</c:v>
                </c:pt>
                <c:pt idx="99">
                  <c:v>1.143693246327916</c:v>
                </c:pt>
                <c:pt idx="100">
                  <c:v>1.191176470588235</c:v>
                </c:pt>
                <c:pt idx="101">
                  <c:v>0.931986531986532</c:v>
                </c:pt>
                <c:pt idx="102">
                  <c:v>1.148939455434526</c:v>
                </c:pt>
                <c:pt idx="103">
                  <c:v>1.250020746120966</c:v>
                </c:pt>
                <c:pt idx="104">
                  <c:v>1.319675778363391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'RQ Reg vs Block'!$H$2</c:f>
              <c:strCache>
                <c:ptCount val="1"/>
                <c:pt idx="0">
                  <c:v>2 disjoint</c:v>
                </c:pt>
              </c:strCache>
            </c:strRef>
          </c:tx>
          <c:val>
            <c:numRef>
              <c:f>'RQ Reg vs Block'!$H$3:$H$107</c:f>
              <c:numCache>
                <c:formatCode>General</c:formatCode>
                <c:ptCount val="105"/>
                <c:pt idx="0">
                  <c:v>1.018508339404324</c:v>
                </c:pt>
                <c:pt idx="1">
                  <c:v>1.105292879984046</c:v>
                </c:pt>
                <c:pt idx="2">
                  <c:v>1.009460703430308</c:v>
                </c:pt>
                <c:pt idx="3">
                  <c:v>1.075079088980447</c:v>
                </c:pt>
                <c:pt idx="4">
                  <c:v>1.006455053184025</c:v>
                </c:pt>
                <c:pt idx="5">
                  <c:v>1.202341230047695</c:v>
                </c:pt>
                <c:pt idx="6">
                  <c:v>2.213800483992721</c:v>
                </c:pt>
                <c:pt idx="7">
                  <c:v>1.038136441385478</c:v>
                </c:pt>
                <c:pt idx="8">
                  <c:v>1.312984875416982</c:v>
                </c:pt>
                <c:pt idx="9">
                  <c:v>1.000358422939068</c:v>
                </c:pt>
                <c:pt idx="10">
                  <c:v>0.999641577060932</c:v>
                </c:pt>
                <c:pt idx="11">
                  <c:v>1.109549830861306</c:v>
                </c:pt>
                <c:pt idx="12">
                  <c:v>1.226164874551971</c:v>
                </c:pt>
                <c:pt idx="13">
                  <c:v>1.269138318908313</c:v>
                </c:pt>
                <c:pt idx="14">
                  <c:v>1.178380202064413</c:v>
                </c:pt>
                <c:pt idx="15">
                  <c:v>1.139400291099521</c:v>
                </c:pt>
                <c:pt idx="16">
                  <c:v>0.983639360442302</c:v>
                </c:pt>
                <c:pt idx="17">
                  <c:v>1.352745749824817</c:v>
                </c:pt>
                <c:pt idx="18">
                  <c:v>1.188533550239266</c:v>
                </c:pt>
                <c:pt idx="19">
                  <c:v>1.065324280435924</c:v>
                </c:pt>
                <c:pt idx="20">
                  <c:v>1.270833333333333</c:v>
                </c:pt>
                <c:pt idx="21">
                  <c:v>1.099834689994944</c:v>
                </c:pt>
                <c:pt idx="22">
                  <c:v>1.062832809529057</c:v>
                </c:pt>
                <c:pt idx="23">
                  <c:v>1.048962387328429</c:v>
                </c:pt>
                <c:pt idx="24">
                  <c:v>0.997540630477098</c:v>
                </c:pt>
                <c:pt idx="25">
                  <c:v>1.016732233666528</c:v>
                </c:pt>
                <c:pt idx="26">
                  <c:v>2.232143298312061</c:v>
                </c:pt>
                <c:pt idx="27">
                  <c:v>1.085960378983635</c:v>
                </c:pt>
                <c:pt idx="28">
                  <c:v>1.031511297235444</c:v>
                </c:pt>
                <c:pt idx="29">
                  <c:v>1.796692943432074</c:v>
                </c:pt>
                <c:pt idx="30">
                  <c:v>1.345645645645646</c:v>
                </c:pt>
                <c:pt idx="31">
                  <c:v>1.019172297297297</c:v>
                </c:pt>
                <c:pt idx="32">
                  <c:v>1.543741590923173</c:v>
                </c:pt>
                <c:pt idx="33">
                  <c:v>1.11188304961958</c:v>
                </c:pt>
                <c:pt idx="34">
                  <c:v>1.25563496144241</c:v>
                </c:pt>
                <c:pt idx="35">
                  <c:v>1.082231318805425</c:v>
                </c:pt>
                <c:pt idx="36">
                  <c:v>1.804084332397727</c:v>
                </c:pt>
                <c:pt idx="37">
                  <c:v>1.200893696757142</c:v>
                </c:pt>
                <c:pt idx="38">
                  <c:v>1.166557619083444</c:v>
                </c:pt>
                <c:pt idx="39">
                  <c:v>1.366620437821478</c:v>
                </c:pt>
                <c:pt idx="40">
                  <c:v>1.047021848046527</c:v>
                </c:pt>
                <c:pt idx="41">
                  <c:v>1.345417740841509</c:v>
                </c:pt>
                <c:pt idx="42">
                  <c:v>0.916895553674768</c:v>
                </c:pt>
                <c:pt idx="43">
                  <c:v>1.03311327681116</c:v>
                </c:pt>
                <c:pt idx="44">
                  <c:v>9.634033754781841</c:v>
                </c:pt>
                <c:pt idx="45">
                  <c:v>9.83646861585512</c:v>
                </c:pt>
                <c:pt idx="46">
                  <c:v>1.027541827541828</c:v>
                </c:pt>
                <c:pt idx="47">
                  <c:v>0.981481481481481</c:v>
                </c:pt>
                <c:pt idx="48">
                  <c:v>28.73523994112542</c:v>
                </c:pt>
                <c:pt idx="49">
                  <c:v>1.086138613861386</c:v>
                </c:pt>
                <c:pt idx="50">
                  <c:v>4.017446644617219</c:v>
                </c:pt>
                <c:pt idx="51">
                  <c:v>1.180418456967818</c:v>
                </c:pt>
                <c:pt idx="52">
                  <c:v>370.9835221194175</c:v>
                </c:pt>
                <c:pt idx="53">
                  <c:v>0.872835377183203</c:v>
                </c:pt>
                <c:pt idx="54">
                  <c:v>1.418151185303515</c:v>
                </c:pt>
                <c:pt idx="55">
                  <c:v>1.199361568926786</c:v>
                </c:pt>
                <c:pt idx="56">
                  <c:v>1.21486302824697</c:v>
                </c:pt>
                <c:pt idx="57">
                  <c:v>97.9981934705352</c:v>
                </c:pt>
                <c:pt idx="58">
                  <c:v>5.09417401754543</c:v>
                </c:pt>
                <c:pt idx="59">
                  <c:v>96.05011359268121</c:v>
                </c:pt>
                <c:pt idx="60">
                  <c:v>4.891539861791804</c:v>
                </c:pt>
                <c:pt idx="61">
                  <c:v>5.78176193644314</c:v>
                </c:pt>
                <c:pt idx="62">
                  <c:v>303.1987963901528</c:v>
                </c:pt>
                <c:pt idx="63">
                  <c:v>1.556118564726655</c:v>
                </c:pt>
                <c:pt idx="64">
                  <c:v>1.425872950022317</c:v>
                </c:pt>
                <c:pt idx="65">
                  <c:v>1.007892815069747</c:v>
                </c:pt>
                <c:pt idx="66">
                  <c:v>1.048361930214771</c:v>
                </c:pt>
                <c:pt idx="67">
                  <c:v>1.078968428326039</c:v>
                </c:pt>
                <c:pt idx="68">
                  <c:v>1.646930934961409</c:v>
                </c:pt>
                <c:pt idx="69">
                  <c:v>1.417032187500201</c:v>
                </c:pt>
                <c:pt idx="70">
                  <c:v>1.955417058042044</c:v>
                </c:pt>
                <c:pt idx="71">
                  <c:v>1.820816070405747</c:v>
                </c:pt>
                <c:pt idx="72">
                  <c:v>0.123542698420827</c:v>
                </c:pt>
                <c:pt idx="73">
                  <c:v>1.149332210085657</c:v>
                </c:pt>
                <c:pt idx="74">
                  <c:v>1.108094754175314</c:v>
                </c:pt>
                <c:pt idx="75">
                  <c:v>0.922268098005113</c:v>
                </c:pt>
                <c:pt idx="76">
                  <c:v>1.901793506063615</c:v>
                </c:pt>
                <c:pt idx="77">
                  <c:v>0.963037634408602</c:v>
                </c:pt>
                <c:pt idx="78">
                  <c:v>1.194212841284612</c:v>
                </c:pt>
                <c:pt idx="79">
                  <c:v>1.020981087470449</c:v>
                </c:pt>
                <c:pt idx="80">
                  <c:v>1.116383687839364</c:v>
                </c:pt>
                <c:pt idx="81">
                  <c:v>1.630278865428016</c:v>
                </c:pt>
                <c:pt idx="82">
                  <c:v>1.064350968285593</c:v>
                </c:pt>
                <c:pt idx="83">
                  <c:v>1.054599430580463</c:v>
                </c:pt>
                <c:pt idx="84">
                  <c:v>1.056340746000462</c:v>
                </c:pt>
                <c:pt idx="85">
                  <c:v>1.184353475093604</c:v>
                </c:pt>
                <c:pt idx="86">
                  <c:v>1.315014178709664</c:v>
                </c:pt>
                <c:pt idx="87">
                  <c:v>1.300067036528917</c:v>
                </c:pt>
                <c:pt idx="88">
                  <c:v>1.1742811081255</c:v>
                </c:pt>
                <c:pt idx="89">
                  <c:v>1.505305238531448</c:v>
                </c:pt>
                <c:pt idx="90">
                  <c:v>1.061985596707819</c:v>
                </c:pt>
                <c:pt idx="91">
                  <c:v>1.514146953345903</c:v>
                </c:pt>
                <c:pt idx="92">
                  <c:v>1.341887311643872</c:v>
                </c:pt>
                <c:pt idx="93">
                  <c:v>1.305003265393585</c:v>
                </c:pt>
                <c:pt idx="94">
                  <c:v>1.010028851213314</c:v>
                </c:pt>
                <c:pt idx="95">
                  <c:v>1.048002458409106</c:v>
                </c:pt>
                <c:pt idx="96">
                  <c:v>1.046475778624603</c:v>
                </c:pt>
                <c:pt idx="97">
                  <c:v>1.110798428019933</c:v>
                </c:pt>
                <c:pt idx="98">
                  <c:v>1.134817435962936</c:v>
                </c:pt>
                <c:pt idx="99">
                  <c:v>1.164174492196544</c:v>
                </c:pt>
                <c:pt idx="100">
                  <c:v>1.227904905743392</c:v>
                </c:pt>
                <c:pt idx="101">
                  <c:v>1.048350367962148</c:v>
                </c:pt>
                <c:pt idx="102">
                  <c:v>1.197674412488</c:v>
                </c:pt>
                <c:pt idx="103">
                  <c:v>1.272976908679791</c:v>
                </c:pt>
                <c:pt idx="104">
                  <c:v>1.304827917593059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'RQ Reg vs Block'!$I$2</c:f>
              <c:strCache>
                <c:ptCount val="1"/>
                <c:pt idx="0">
                  <c:v>1 unstrucured</c:v>
                </c:pt>
              </c:strCache>
            </c:strRef>
          </c:tx>
          <c:val>
            <c:numRef>
              <c:f>'RQ Reg vs Block'!$I$3:$I$107</c:f>
              <c:numCache>
                <c:formatCode>General</c:formatCode>
                <c:ptCount val="105"/>
                <c:pt idx="0">
                  <c:v>0.952804556534498</c:v>
                </c:pt>
                <c:pt idx="1">
                  <c:v>1.037829962751645</c:v>
                </c:pt>
                <c:pt idx="2">
                  <c:v>0.985571565347085</c:v>
                </c:pt>
                <c:pt idx="3">
                  <c:v>0.880257489217397</c:v>
                </c:pt>
                <c:pt idx="4">
                  <c:v>1.15301098204678</c:v>
                </c:pt>
                <c:pt idx="5">
                  <c:v>1.112493571991392</c:v>
                </c:pt>
                <c:pt idx="6">
                  <c:v>1.4790547872563</c:v>
                </c:pt>
                <c:pt idx="7">
                  <c:v>0.993666574544632</c:v>
                </c:pt>
                <c:pt idx="8">
                  <c:v>1.040177498425823</c:v>
                </c:pt>
                <c:pt idx="9">
                  <c:v>1.009551179399583</c:v>
                </c:pt>
                <c:pt idx="10">
                  <c:v>1.004356725146199</c:v>
                </c:pt>
                <c:pt idx="11">
                  <c:v>1.02053569288426</c:v>
                </c:pt>
                <c:pt idx="12">
                  <c:v>1.043519648891449</c:v>
                </c:pt>
                <c:pt idx="13">
                  <c:v>1.130430406080677</c:v>
                </c:pt>
                <c:pt idx="14">
                  <c:v>1.139082778145182</c:v>
                </c:pt>
                <c:pt idx="15">
                  <c:v>1.200013199801644</c:v>
                </c:pt>
                <c:pt idx="16">
                  <c:v>0.989519188703642</c:v>
                </c:pt>
                <c:pt idx="17">
                  <c:v>1.314046179340399</c:v>
                </c:pt>
                <c:pt idx="18">
                  <c:v>1.039758461399491</c:v>
                </c:pt>
                <c:pt idx="19">
                  <c:v>0.987401160570814</c:v>
                </c:pt>
                <c:pt idx="20">
                  <c:v>1.008648589406364</c:v>
                </c:pt>
                <c:pt idx="21">
                  <c:v>1.014718137342188</c:v>
                </c:pt>
                <c:pt idx="22">
                  <c:v>1.017475987024098</c:v>
                </c:pt>
                <c:pt idx="23">
                  <c:v>0.956942179038638</c:v>
                </c:pt>
                <c:pt idx="24">
                  <c:v>1.033447185022604</c:v>
                </c:pt>
                <c:pt idx="25">
                  <c:v>1.099003635668468</c:v>
                </c:pt>
                <c:pt idx="26">
                  <c:v>1.191834649178168</c:v>
                </c:pt>
                <c:pt idx="27">
                  <c:v>1.020683905779085</c:v>
                </c:pt>
                <c:pt idx="28">
                  <c:v>1.120020638309463</c:v>
                </c:pt>
                <c:pt idx="29">
                  <c:v>1.1955720684915</c:v>
                </c:pt>
                <c:pt idx="30">
                  <c:v>1.109052482451375</c:v>
                </c:pt>
                <c:pt idx="31">
                  <c:v>0.903448749810582</c:v>
                </c:pt>
                <c:pt idx="32">
                  <c:v>1.581410035447634</c:v>
                </c:pt>
                <c:pt idx="33">
                  <c:v>1.136484029200808</c:v>
                </c:pt>
                <c:pt idx="34">
                  <c:v>1.55246735457524</c:v>
                </c:pt>
                <c:pt idx="35">
                  <c:v>0.962823717512326</c:v>
                </c:pt>
                <c:pt idx="36">
                  <c:v>1.04755678797646</c:v>
                </c:pt>
                <c:pt idx="37">
                  <c:v>0.947227939714595</c:v>
                </c:pt>
                <c:pt idx="38">
                  <c:v>0.932020953541697</c:v>
                </c:pt>
                <c:pt idx="39">
                  <c:v>1.086302765577055</c:v>
                </c:pt>
                <c:pt idx="40">
                  <c:v>1.172549426035315</c:v>
                </c:pt>
                <c:pt idx="41">
                  <c:v>1.197079257275914</c:v>
                </c:pt>
                <c:pt idx="42">
                  <c:v>0.830605320363731</c:v>
                </c:pt>
                <c:pt idx="43">
                  <c:v>0.868400886147674</c:v>
                </c:pt>
                <c:pt idx="44">
                  <c:v>1.386344438803158</c:v>
                </c:pt>
                <c:pt idx="45">
                  <c:v>0.866352892474537</c:v>
                </c:pt>
                <c:pt idx="46">
                  <c:v>0.938296168494531</c:v>
                </c:pt>
                <c:pt idx="47">
                  <c:v>1.008771929824561</c:v>
                </c:pt>
                <c:pt idx="48">
                  <c:v>3.672047265795971</c:v>
                </c:pt>
                <c:pt idx="49">
                  <c:v>0.976138111360316</c:v>
                </c:pt>
                <c:pt idx="50">
                  <c:v>1.176127490678043</c:v>
                </c:pt>
                <c:pt idx="51">
                  <c:v>1.10237232204688</c:v>
                </c:pt>
                <c:pt idx="52">
                  <c:v>54.38234723821986</c:v>
                </c:pt>
                <c:pt idx="53">
                  <c:v>0.968029887114081</c:v>
                </c:pt>
                <c:pt idx="54">
                  <c:v>1.304786893750851</c:v>
                </c:pt>
                <c:pt idx="55">
                  <c:v>1.171737819680369</c:v>
                </c:pt>
                <c:pt idx="56">
                  <c:v>0.982517316606047</c:v>
                </c:pt>
                <c:pt idx="57">
                  <c:v>5.429616841346683</c:v>
                </c:pt>
                <c:pt idx="58">
                  <c:v>1.503541755670811</c:v>
                </c:pt>
                <c:pt idx="59">
                  <c:v>5.78010141106812</c:v>
                </c:pt>
                <c:pt idx="60">
                  <c:v>1.604352176568104</c:v>
                </c:pt>
                <c:pt idx="61">
                  <c:v>1.217989100675581</c:v>
                </c:pt>
                <c:pt idx="62">
                  <c:v>0.713515768307936</c:v>
                </c:pt>
                <c:pt idx="63">
                  <c:v>1.55535887520422</c:v>
                </c:pt>
                <c:pt idx="64">
                  <c:v>1.456202633847804</c:v>
                </c:pt>
                <c:pt idx="65">
                  <c:v>1.187356670304369</c:v>
                </c:pt>
                <c:pt idx="66">
                  <c:v>0.928053885257957</c:v>
                </c:pt>
                <c:pt idx="67">
                  <c:v>1.001509291693864</c:v>
                </c:pt>
                <c:pt idx="68">
                  <c:v>1.542820708143416</c:v>
                </c:pt>
                <c:pt idx="69">
                  <c:v>1.419540897193202</c:v>
                </c:pt>
                <c:pt idx="70">
                  <c:v>1.186979300616069</c:v>
                </c:pt>
                <c:pt idx="71">
                  <c:v>1.019814827455281</c:v>
                </c:pt>
                <c:pt idx="72">
                  <c:v>0.0675179924347496</c:v>
                </c:pt>
                <c:pt idx="73">
                  <c:v>1.168624421426805</c:v>
                </c:pt>
                <c:pt idx="74">
                  <c:v>1.038574521776179</c:v>
                </c:pt>
                <c:pt idx="75">
                  <c:v>0.756649892696025</c:v>
                </c:pt>
                <c:pt idx="76">
                  <c:v>0.533745223704449</c:v>
                </c:pt>
                <c:pt idx="77">
                  <c:v>0.967888622418787</c:v>
                </c:pt>
                <c:pt idx="78">
                  <c:v>0.538900602264532</c:v>
                </c:pt>
                <c:pt idx="79">
                  <c:v>0.922996831513563</c:v>
                </c:pt>
                <c:pt idx="80">
                  <c:v>1.055390965154033</c:v>
                </c:pt>
                <c:pt idx="81">
                  <c:v>1.13589041030223</c:v>
                </c:pt>
                <c:pt idx="82">
                  <c:v>1.014650942580383</c:v>
                </c:pt>
                <c:pt idx="83">
                  <c:v>0.96275378578163</c:v>
                </c:pt>
                <c:pt idx="84">
                  <c:v>0.990097666797691</c:v>
                </c:pt>
                <c:pt idx="85">
                  <c:v>0.999307200246346</c:v>
                </c:pt>
                <c:pt idx="86">
                  <c:v>1.186687057158487</c:v>
                </c:pt>
                <c:pt idx="87">
                  <c:v>1.39775644984399</c:v>
                </c:pt>
                <c:pt idx="88">
                  <c:v>1.071448642464097</c:v>
                </c:pt>
                <c:pt idx="89">
                  <c:v>1.276022029161681</c:v>
                </c:pt>
                <c:pt idx="90">
                  <c:v>1.028968040093028</c:v>
                </c:pt>
                <c:pt idx="91">
                  <c:v>1.128599078236753</c:v>
                </c:pt>
                <c:pt idx="92">
                  <c:v>1.010642137891723</c:v>
                </c:pt>
                <c:pt idx="93">
                  <c:v>1.103343408672995</c:v>
                </c:pt>
                <c:pt idx="94">
                  <c:v>1.054987546633278</c:v>
                </c:pt>
                <c:pt idx="95">
                  <c:v>0.947977701145556</c:v>
                </c:pt>
                <c:pt idx="96">
                  <c:v>1.018158297060393</c:v>
                </c:pt>
                <c:pt idx="97">
                  <c:v>0.921574929390557</c:v>
                </c:pt>
                <c:pt idx="98">
                  <c:v>0.942565585406645</c:v>
                </c:pt>
                <c:pt idx="99">
                  <c:v>0.993730176696418</c:v>
                </c:pt>
                <c:pt idx="100">
                  <c:v>1.041503655639049</c:v>
                </c:pt>
                <c:pt idx="101">
                  <c:v>0.989503446061809</c:v>
                </c:pt>
                <c:pt idx="102">
                  <c:v>0.902879485429053</c:v>
                </c:pt>
                <c:pt idx="103">
                  <c:v>1.228719728853737</c:v>
                </c:pt>
                <c:pt idx="104">
                  <c:v>0.933602872632013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'RQ Reg vs Block'!$J$2</c:f>
              <c:strCache>
                <c:ptCount val="1"/>
                <c:pt idx="0">
                  <c:v>1 disjoint</c:v>
                </c:pt>
              </c:strCache>
            </c:strRef>
          </c:tx>
          <c:val>
            <c:numRef>
              <c:f>'RQ Reg vs Block'!$J$3:$J$107</c:f>
              <c:numCache>
                <c:formatCode>General</c:formatCode>
                <c:ptCount val="105"/>
                <c:pt idx="0">
                  <c:v>1.060529715762274</c:v>
                </c:pt>
                <c:pt idx="1">
                  <c:v>1.049337855297158</c:v>
                </c:pt>
                <c:pt idx="2">
                  <c:v>0.906963035370496</c:v>
                </c:pt>
                <c:pt idx="3">
                  <c:v>1.136406821855895</c:v>
                </c:pt>
                <c:pt idx="4">
                  <c:v>1.081949058693245</c:v>
                </c:pt>
                <c:pt idx="5">
                  <c:v>1.133120765437911</c:v>
                </c:pt>
                <c:pt idx="6">
                  <c:v>2.145913904395517</c:v>
                </c:pt>
                <c:pt idx="7">
                  <c:v>1.089689506788539</c:v>
                </c:pt>
                <c:pt idx="8">
                  <c:v>1.287490042434659</c:v>
                </c:pt>
                <c:pt idx="9">
                  <c:v>0.972222222222222</c:v>
                </c:pt>
                <c:pt idx="10">
                  <c:v>1.233043478260869</c:v>
                </c:pt>
                <c:pt idx="11">
                  <c:v>0.872668796924116</c:v>
                </c:pt>
                <c:pt idx="12">
                  <c:v>1.000555555555556</c:v>
                </c:pt>
                <c:pt idx="13">
                  <c:v>1.262788071858768</c:v>
                </c:pt>
                <c:pt idx="14">
                  <c:v>1.154105963245748</c:v>
                </c:pt>
                <c:pt idx="15">
                  <c:v>1.098337134678511</c:v>
                </c:pt>
                <c:pt idx="16">
                  <c:v>0.997418130877321</c:v>
                </c:pt>
                <c:pt idx="17">
                  <c:v>1.324484789120344</c:v>
                </c:pt>
                <c:pt idx="18">
                  <c:v>1.23590029359616</c:v>
                </c:pt>
                <c:pt idx="19">
                  <c:v>1.074846432872752</c:v>
                </c:pt>
                <c:pt idx="20">
                  <c:v>0.891428571428571</c:v>
                </c:pt>
                <c:pt idx="21">
                  <c:v>1.117866258281241</c:v>
                </c:pt>
                <c:pt idx="22">
                  <c:v>1.071609026083671</c:v>
                </c:pt>
                <c:pt idx="23">
                  <c:v>1.050718334249038</c:v>
                </c:pt>
                <c:pt idx="24">
                  <c:v>0.992967815825872</c:v>
                </c:pt>
                <c:pt idx="25">
                  <c:v>1.059692149059255</c:v>
                </c:pt>
                <c:pt idx="26">
                  <c:v>2.222170304853979</c:v>
                </c:pt>
                <c:pt idx="27">
                  <c:v>0.945945945945946</c:v>
                </c:pt>
                <c:pt idx="28">
                  <c:v>1.063239527436682</c:v>
                </c:pt>
                <c:pt idx="29">
                  <c:v>1.878493489052495</c:v>
                </c:pt>
                <c:pt idx="30">
                  <c:v>1.052688172043011</c:v>
                </c:pt>
                <c:pt idx="31">
                  <c:v>0.979983660130719</c:v>
                </c:pt>
                <c:pt idx="32">
                  <c:v>1.71346986748623</c:v>
                </c:pt>
                <c:pt idx="33">
                  <c:v>1.112063166605638</c:v>
                </c:pt>
                <c:pt idx="34">
                  <c:v>1.260144587327372</c:v>
                </c:pt>
                <c:pt idx="35">
                  <c:v>1.122483051165926</c:v>
                </c:pt>
                <c:pt idx="36">
                  <c:v>1.870781503551784</c:v>
                </c:pt>
                <c:pt idx="37">
                  <c:v>1.244688892210412</c:v>
                </c:pt>
                <c:pt idx="38">
                  <c:v>1.183808402042406</c:v>
                </c:pt>
                <c:pt idx="39">
                  <c:v>1.344514086052384</c:v>
                </c:pt>
                <c:pt idx="40">
                  <c:v>1.074875517351162</c:v>
                </c:pt>
                <c:pt idx="41">
                  <c:v>1.381399583087036</c:v>
                </c:pt>
                <c:pt idx="42">
                  <c:v>0.869245187698955</c:v>
                </c:pt>
                <c:pt idx="43">
                  <c:v>1.003105704108238</c:v>
                </c:pt>
                <c:pt idx="44">
                  <c:v>8.560363586799513</c:v>
                </c:pt>
                <c:pt idx="45">
                  <c:v>29.95945911281311</c:v>
                </c:pt>
                <c:pt idx="46">
                  <c:v>1.012121212121212</c:v>
                </c:pt>
                <c:pt idx="47">
                  <c:v>1.090277777777778</c:v>
                </c:pt>
                <c:pt idx="48">
                  <c:v>26.37021332329965</c:v>
                </c:pt>
                <c:pt idx="49">
                  <c:v>1.176344783390854</c:v>
                </c:pt>
                <c:pt idx="50">
                  <c:v>3.679272795049124</c:v>
                </c:pt>
                <c:pt idx="51">
                  <c:v>1.175814178921885</c:v>
                </c:pt>
                <c:pt idx="52">
                  <c:v>337.38528445331</c:v>
                </c:pt>
                <c:pt idx="53">
                  <c:v>0.81669190889599</c:v>
                </c:pt>
                <c:pt idx="54">
                  <c:v>1.568443046076655</c:v>
                </c:pt>
                <c:pt idx="55">
                  <c:v>1.101442563227635</c:v>
                </c:pt>
                <c:pt idx="56">
                  <c:v>1.289026443750795</c:v>
                </c:pt>
                <c:pt idx="57">
                  <c:v>91.25955461563712</c:v>
                </c:pt>
                <c:pt idx="58">
                  <c:v>5.802745301282776</c:v>
                </c:pt>
                <c:pt idx="59">
                  <c:v>98.71233101971465</c:v>
                </c:pt>
                <c:pt idx="60">
                  <c:v>4.873586305329565</c:v>
                </c:pt>
                <c:pt idx="61">
                  <c:v>1.426241202783718</c:v>
                </c:pt>
                <c:pt idx="62">
                  <c:v>1.217927873657236</c:v>
                </c:pt>
                <c:pt idx="63">
                  <c:v>1.522381138549252</c:v>
                </c:pt>
                <c:pt idx="64">
                  <c:v>1.430770525164851</c:v>
                </c:pt>
                <c:pt idx="65">
                  <c:v>0.841592055943678</c:v>
                </c:pt>
                <c:pt idx="66">
                  <c:v>1.009505584123316</c:v>
                </c:pt>
                <c:pt idx="67">
                  <c:v>1.035983044183485</c:v>
                </c:pt>
                <c:pt idx="68">
                  <c:v>1.504517168007158</c:v>
                </c:pt>
                <c:pt idx="69">
                  <c:v>1.400762043798454</c:v>
                </c:pt>
                <c:pt idx="70">
                  <c:v>1.895037805031831</c:v>
                </c:pt>
                <c:pt idx="71">
                  <c:v>2.029184175875015</c:v>
                </c:pt>
                <c:pt idx="72">
                  <c:v>0.12764095892673</c:v>
                </c:pt>
                <c:pt idx="73">
                  <c:v>1.108030877348575</c:v>
                </c:pt>
                <c:pt idx="74">
                  <c:v>1.056261356031438</c:v>
                </c:pt>
                <c:pt idx="75">
                  <c:v>0.928837368691438</c:v>
                </c:pt>
                <c:pt idx="76">
                  <c:v>1.881319499866986</c:v>
                </c:pt>
                <c:pt idx="77">
                  <c:v>0.994871794871795</c:v>
                </c:pt>
                <c:pt idx="78">
                  <c:v>1.21499665395093</c:v>
                </c:pt>
                <c:pt idx="79">
                  <c:v>1.028306878306878</c:v>
                </c:pt>
                <c:pt idx="80">
                  <c:v>1.119063314307804</c:v>
                </c:pt>
                <c:pt idx="81">
                  <c:v>1.499251855769465</c:v>
                </c:pt>
                <c:pt idx="82">
                  <c:v>1.023868907185388</c:v>
                </c:pt>
                <c:pt idx="83">
                  <c:v>1.014038071437539</c:v>
                </c:pt>
                <c:pt idx="84">
                  <c:v>1.085355292446176</c:v>
                </c:pt>
                <c:pt idx="85">
                  <c:v>1.172604516566116</c:v>
                </c:pt>
                <c:pt idx="86">
                  <c:v>1.267414618648732</c:v>
                </c:pt>
                <c:pt idx="87">
                  <c:v>1.389231831102285</c:v>
                </c:pt>
                <c:pt idx="88">
                  <c:v>1.299727804241255</c:v>
                </c:pt>
                <c:pt idx="89">
                  <c:v>1.479478777784967</c:v>
                </c:pt>
                <c:pt idx="90">
                  <c:v>1.031922043010753</c:v>
                </c:pt>
                <c:pt idx="91">
                  <c:v>1.451588741272055</c:v>
                </c:pt>
                <c:pt idx="92">
                  <c:v>1.339829302987198</c:v>
                </c:pt>
                <c:pt idx="93">
                  <c:v>1.356759072956256</c:v>
                </c:pt>
                <c:pt idx="94">
                  <c:v>1.092812847380924</c:v>
                </c:pt>
                <c:pt idx="95">
                  <c:v>0.976043167138587</c:v>
                </c:pt>
                <c:pt idx="96">
                  <c:v>0.937004683283833</c:v>
                </c:pt>
                <c:pt idx="97">
                  <c:v>1.184768228752452</c:v>
                </c:pt>
                <c:pt idx="98">
                  <c:v>1.067381291615661</c:v>
                </c:pt>
                <c:pt idx="99">
                  <c:v>1.083343665842884</c:v>
                </c:pt>
                <c:pt idx="100">
                  <c:v>1.12262967319357</c:v>
                </c:pt>
                <c:pt idx="101">
                  <c:v>1.059856630824373</c:v>
                </c:pt>
                <c:pt idx="102">
                  <c:v>1.162629654432121</c:v>
                </c:pt>
                <c:pt idx="103">
                  <c:v>1.290023061121817</c:v>
                </c:pt>
                <c:pt idx="104">
                  <c:v>1.30264849402531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95517960"/>
        <c:axId val="2096004776"/>
      </c:lineChart>
      <c:catAx>
        <c:axId val="2095517960"/>
        <c:scaling>
          <c:orientation val="minMax"/>
        </c:scaling>
        <c:delete val="0"/>
        <c:axPos val="b"/>
        <c:majorTickMark val="out"/>
        <c:minorTickMark val="none"/>
        <c:tickLblPos val="nextTo"/>
        <c:crossAx val="2096004776"/>
        <c:crosses val="autoZero"/>
        <c:auto val="1"/>
        <c:lblAlgn val="ctr"/>
        <c:lblOffset val="100"/>
        <c:noMultiLvlLbl val="0"/>
      </c:catAx>
      <c:valAx>
        <c:axId val="2096004776"/>
        <c:scaling>
          <c:logBase val="10.0"/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095517960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1.0" l="0.75" r="0.75" t="1.0" header="0.5" footer="0.5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1193800</xdr:colOff>
      <xdr:row>127</xdr:row>
      <xdr:rowOff>50800</xdr:rowOff>
    </xdr:from>
    <xdr:to>
      <xdr:col>16</xdr:col>
      <xdr:colOff>711200</xdr:colOff>
      <xdr:row>151</xdr:row>
      <xdr:rowOff>127000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37</xdr:col>
      <xdr:colOff>711200</xdr:colOff>
      <xdr:row>108</xdr:row>
      <xdr:rowOff>25400</xdr:rowOff>
    </xdr:from>
    <xdr:to>
      <xdr:col>44</xdr:col>
      <xdr:colOff>647700</xdr:colOff>
      <xdr:row>130</xdr:row>
      <xdr:rowOff>63500</xdr:rowOff>
    </xdr:to>
    <xdr:pic>
      <xdr:nvPicPr>
        <xdr:cNvPr id="7" name="Picture 6" descr="clip_image006.png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5331400" y="20599400"/>
          <a:ext cx="5715000" cy="4229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R116"/>
  <sheetViews>
    <sheetView tabSelected="1" workbookViewId="0">
      <pane ySplit="2" topLeftCell="A70" activePane="bottomLeft" state="frozen"/>
      <selection activeCell="E1" sqref="E1"/>
      <selection pane="bottomLeft" activeCell="I112" sqref="I112"/>
    </sheetView>
  </sheetViews>
  <sheetFormatPr baseColWidth="10" defaultRowHeight="15" x14ac:dyDescent="0"/>
  <cols>
    <col min="1" max="1" width="29.1640625" customWidth="1"/>
    <col min="11" max="37" width="10.83203125" customWidth="1"/>
  </cols>
  <sheetData>
    <row r="1" spans="1:70">
      <c r="B1" s="12" t="s">
        <v>316</v>
      </c>
      <c r="C1" s="12"/>
      <c r="D1" s="12"/>
      <c r="E1" s="12" t="s">
        <v>328</v>
      </c>
      <c r="F1" s="12"/>
      <c r="G1" s="12"/>
      <c r="H1" s="12" t="s">
        <v>322</v>
      </c>
      <c r="I1" s="12"/>
      <c r="J1" s="12"/>
      <c r="K1" s="9">
        <v>1</v>
      </c>
      <c r="L1">
        <v>2</v>
      </c>
      <c r="M1">
        <v>11</v>
      </c>
      <c r="N1">
        <v>11</v>
      </c>
      <c r="O1" s="13" t="s">
        <v>325</v>
      </c>
      <c r="P1" s="13"/>
      <c r="Q1" s="13"/>
      <c r="R1" s="13"/>
      <c r="S1" s="15" t="s">
        <v>332</v>
      </c>
      <c r="T1" s="16"/>
      <c r="U1" s="16"/>
      <c r="V1" s="17"/>
      <c r="W1" s="15" t="s">
        <v>327</v>
      </c>
      <c r="X1" s="16"/>
      <c r="Y1" s="16"/>
      <c r="Z1" s="17"/>
      <c r="AB1" s="12" t="s">
        <v>316</v>
      </c>
      <c r="AC1" s="12"/>
      <c r="AD1" s="12"/>
      <c r="AE1" s="12" t="s">
        <v>328</v>
      </c>
      <c r="AF1" s="12"/>
      <c r="AG1" s="12"/>
      <c r="AH1" s="12" t="s">
        <v>322</v>
      </c>
      <c r="AI1" s="12"/>
      <c r="AJ1" s="12"/>
      <c r="AL1" s="9">
        <v>1</v>
      </c>
      <c r="AM1">
        <v>2</v>
      </c>
      <c r="AN1">
        <v>11</v>
      </c>
      <c r="AO1">
        <v>10</v>
      </c>
      <c r="AP1" s="13" t="s">
        <v>325</v>
      </c>
      <c r="AQ1" s="13"/>
      <c r="AR1" s="13"/>
      <c r="AS1" s="13"/>
      <c r="AT1" s="15" t="s">
        <v>332</v>
      </c>
      <c r="AU1" s="16"/>
      <c r="AV1" s="16"/>
      <c r="AW1" s="17"/>
      <c r="AX1" s="15" t="s">
        <v>327</v>
      </c>
      <c r="AY1" s="16"/>
      <c r="AZ1" s="16"/>
      <c r="BA1" s="17"/>
      <c r="BC1" s="9">
        <v>1</v>
      </c>
      <c r="BD1">
        <v>2</v>
      </c>
      <c r="BE1">
        <v>11</v>
      </c>
      <c r="BF1">
        <v>10</v>
      </c>
      <c r="BG1" s="13" t="s">
        <v>325</v>
      </c>
      <c r="BH1" s="13"/>
      <c r="BI1" s="13"/>
      <c r="BJ1" s="13"/>
      <c r="BK1" s="15" t="s">
        <v>332</v>
      </c>
      <c r="BL1" s="16"/>
      <c r="BM1" s="16"/>
      <c r="BN1" s="17"/>
      <c r="BO1" s="15" t="s">
        <v>327</v>
      </c>
      <c r="BP1" s="16"/>
      <c r="BQ1" s="16"/>
      <c r="BR1" s="17"/>
    </row>
    <row r="2" spans="1:70">
      <c r="B2" t="s">
        <v>325</v>
      </c>
      <c r="C2" t="s">
        <v>326</v>
      </c>
      <c r="D2" t="s">
        <v>327</v>
      </c>
      <c r="E2" t="s">
        <v>325</v>
      </c>
      <c r="F2" t="s">
        <v>326</v>
      </c>
      <c r="G2" t="s">
        <v>327</v>
      </c>
      <c r="H2" t="s">
        <v>325</v>
      </c>
      <c r="I2" t="s">
        <v>326</v>
      </c>
      <c r="J2" t="s">
        <v>327</v>
      </c>
      <c r="K2" t="s">
        <v>333</v>
      </c>
      <c r="L2" t="s">
        <v>329</v>
      </c>
      <c r="M2" t="s">
        <v>331</v>
      </c>
      <c r="N2" t="s">
        <v>330</v>
      </c>
      <c r="O2" s="11" t="s">
        <v>333</v>
      </c>
      <c r="P2" s="11" t="s">
        <v>329</v>
      </c>
      <c r="Q2" s="11" t="s">
        <v>331</v>
      </c>
      <c r="R2" s="11" t="s">
        <v>330</v>
      </c>
      <c r="S2" s="11" t="s">
        <v>333</v>
      </c>
      <c r="T2" s="11" t="s">
        <v>329</v>
      </c>
      <c r="U2" s="11" t="s">
        <v>331</v>
      </c>
      <c r="V2" s="11" t="s">
        <v>330</v>
      </c>
      <c r="W2" s="11" t="s">
        <v>333</v>
      </c>
      <c r="X2" s="11" t="s">
        <v>329</v>
      </c>
      <c r="Y2" s="11" t="s">
        <v>331</v>
      </c>
      <c r="Z2" s="11" t="s">
        <v>330</v>
      </c>
      <c r="AB2" t="s">
        <v>325</v>
      </c>
      <c r="AC2" t="s">
        <v>326</v>
      </c>
      <c r="AD2" t="s">
        <v>327</v>
      </c>
      <c r="AE2" t="s">
        <v>325</v>
      </c>
      <c r="AF2" t="s">
        <v>326</v>
      </c>
      <c r="AG2" t="s">
        <v>327</v>
      </c>
      <c r="AH2" t="s">
        <v>325</v>
      </c>
      <c r="AI2" t="s">
        <v>326</v>
      </c>
      <c r="AJ2" t="s">
        <v>327</v>
      </c>
      <c r="AL2" t="s">
        <v>333</v>
      </c>
      <c r="AM2" t="s">
        <v>329</v>
      </c>
      <c r="AN2" t="s">
        <v>331</v>
      </c>
      <c r="AO2" t="s">
        <v>330</v>
      </c>
      <c r="AP2" s="11" t="s">
        <v>333</v>
      </c>
      <c r="AQ2" s="11" t="s">
        <v>329</v>
      </c>
      <c r="AR2" s="11" t="s">
        <v>331</v>
      </c>
      <c r="AS2" s="11" t="s">
        <v>330</v>
      </c>
      <c r="AT2" s="11" t="s">
        <v>333</v>
      </c>
      <c r="AU2" s="11" t="s">
        <v>329</v>
      </c>
      <c r="AV2" s="11" t="s">
        <v>331</v>
      </c>
      <c r="AW2" s="11" t="s">
        <v>330</v>
      </c>
      <c r="AX2" s="11" t="s">
        <v>333</v>
      </c>
      <c r="AY2" s="11" t="s">
        <v>329</v>
      </c>
      <c r="AZ2" s="11" t="s">
        <v>331</v>
      </c>
      <c r="BA2" s="11" t="s">
        <v>330</v>
      </c>
      <c r="BC2" t="s">
        <v>333</v>
      </c>
      <c r="BD2" t="s">
        <v>329</v>
      </c>
      <c r="BE2" t="s">
        <v>331</v>
      </c>
      <c r="BF2" t="s">
        <v>330</v>
      </c>
      <c r="BG2" s="11" t="s">
        <v>333</v>
      </c>
      <c r="BH2" s="11" t="s">
        <v>329</v>
      </c>
      <c r="BI2" s="11" t="s">
        <v>331</v>
      </c>
      <c r="BJ2" s="11" t="s">
        <v>330</v>
      </c>
      <c r="BK2" s="11" t="s">
        <v>333</v>
      </c>
      <c r="BL2" s="11" t="s">
        <v>329</v>
      </c>
      <c r="BM2" s="11" t="s">
        <v>331</v>
      </c>
      <c r="BN2" s="11" t="s">
        <v>330</v>
      </c>
      <c r="BO2" s="11" t="s">
        <v>333</v>
      </c>
      <c r="BP2" s="11" t="s">
        <v>329</v>
      </c>
      <c r="BQ2" s="11" t="s">
        <v>331</v>
      </c>
      <c r="BR2" s="11" t="s">
        <v>330</v>
      </c>
    </row>
    <row r="3" spans="1:70">
      <c r="A3" t="str">
        <f>'time 1'!B2</f>
        <v>&lt;test.BallonFactory: boolean correctHorizontally(java.awt.Rectangle,int,int)&gt;</v>
      </c>
      <c r="B3">
        <f>AVERAGE('time 1'!D2/'time 1'!C2,'time 2'!D2/'time 2'!C2,'time 3'!D2/'time 3'!C2)</f>
        <v>1.0370931537598205</v>
      </c>
      <c r="C3">
        <f>AVERAGE('time 1'!F2/'time 1'!E2,'time 2'!F2/'time 2'!E2,'time 3'!F2/'time 3'!E2)</f>
        <v>1.0371972863210386</v>
      </c>
      <c r="D3">
        <f>AVERAGE('time 1'!H2/'time 1'!G2,'time 2'!H2/'time 2'!G2,'time 3'!H2/'time 3'!G2)</f>
        <v>0.99453064621603937</v>
      </c>
      <c r="E3">
        <f>AVERAGE('time 1'!J2/'time 2'!I2,'time 2'!J2/'time 2'!I2,'time 3'!J2/'time 3'!I2)</f>
        <v>1.151426684739165</v>
      </c>
      <c r="F3">
        <f>AVERAGE('time 1'!L2/'time 1'!K2,'time 2'!L2/'time 2'!K2,'time 3'!L2/'time 3'!K2)</f>
        <v>0.86331179075234443</v>
      </c>
      <c r="G3">
        <f>AVERAGE('time 1'!N2/'time 1'!M2,'time 2'!N2/'time 2'!M2,'time 3'!N2/'time 3'!M2)</f>
        <v>0.95959658538812187</v>
      </c>
      <c r="H3">
        <f>AVERAGE('time 1'!P2/'time 1'!O2,'time 2'!P2/'time 2'!O2,'time 3'!P2/'time 3'!O2)</f>
        <v>1.0185083394043237</v>
      </c>
      <c r="I3">
        <f>AVERAGE('time 1'!R2/'time 1'!Q2,'time 2'!R2/'time 2'!Q2,'time 3'!R2/'time 3'!Q2)</f>
        <v>0.95280455653449814</v>
      </c>
      <c r="J3">
        <f>AVERAGE('time 1'!T2/'time 1'!S2,'time 2'!T2/'time 2'!S2,'time 3'!T2/'time 3'!S2)</f>
        <v>1.060529715762274</v>
      </c>
      <c r="K3">
        <f>IF($B3&lt;K$1,1,0)+IF($C3&lt;K$1,1,0)+ IF($D3&lt;K$1,1,0)+IF($E3&lt;K$1,1,0)+IF($F3&lt;K$1,1,0)+ IF($G3&lt;K$1,1,0)+IF($H3&lt;K$1,1,0)+IF($I3&lt;K$1,1,0)+ IF($J3&lt;K$1,1,0)</f>
        <v>4</v>
      </c>
      <c r="L3">
        <f>IF($B3&lt;L$1,1,0)+IF($C3&lt;L$1,1,0)+ IF($D3&lt;L$1,1,0)+IF($E3&lt;L$1,1,0)+IF($F3&lt;L$1,1,0)+ IF($G3&lt;L$1,1,0)+IF($H3&lt;L$1,1,0)+IF($I3&lt;L$1,1,0)+ IF($J3&lt;L$1,1,0)-K3</f>
        <v>5</v>
      </c>
      <c r="M3">
        <f>IF($B3&lt;M$1,1,0)+IF($C3&lt;M$1,1,0)+ IF($D3&lt;M$1,1,0)+IF($E3&lt;M$1,1,0)+IF($F3&lt;M$1,1,0)+ IF($G3&lt;M$1,1,0)+IF($H3&lt;M$1,1,0)+IF($I3&lt;M$1,1,0)+ IF($J3&lt;M$1,1,0)-L3-K3</f>
        <v>0</v>
      </c>
      <c r="N3">
        <f>IF($B3&gt;=N$1,1,0)+IF($C3&gt;=N$1,1,0)+ IF($D3&gt;=N$1,1,0)+IF($E3&gt;=N$1,1,0)+IF($F3&gt;=N$1,1,0)+ IF($G3&gt;=N$1,1,0)+IF($H3&gt;=N$1,1,0)+IF($I3&gt;=N$1,1,0)+ IF($J3&gt;=N$1,1,0)</f>
        <v>0</v>
      </c>
      <c r="O3">
        <f>IF($B3&lt;K$1,1,0)+IF($E3&lt;K$1,1,0)+IF($H3&lt;K$1,1,0)</f>
        <v>0</v>
      </c>
      <c r="P3">
        <f>IF($B3&lt;L$1,1,0)+IF($E3&lt;L$1,1,0)+IF($H3&lt;L$1,1,0)-O3</f>
        <v>3</v>
      </c>
      <c r="Q3">
        <f>IF($B3&lt;M$1,1,0)+IF($E3&lt;M$1,1,0)+IF($H3&lt;M$1,1,0) -P3-O3</f>
        <v>0</v>
      </c>
      <c r="R3">
        <f>IF($B3&gt;=N$1,1,0)+IF($E3&gt;=N$1,1,0)+IF($H3&gt;=N$1,1,0)</f>
        <v>0</v>
      </c>
      <c r="S3">
        <f>IF($C3&lt;K$1,1,0)+IF($F3&lt;K$1,1,0)+IF($I3&lt;K$1,1,0)</f>
        <v>2</v>
      </c>
      <c r="T3">
        <f>IF($C3&lt;L$1,1,0)+IF($F3&lt;L$1,1,0)+IF($I3&lt;L$1,1,0)-S3</f>
        <v>1</v>
      </c>
      <c r="U3">
        <f>IF($C3&lt;M$1,1,0)+ IF($F3&lt;M$1,1,0)+IF($I3&lt;M$1,1,0)-T3-S3</f>
        <v>0</v>
      </c>
      <c r="V3">
        <f>IF($C3&gt;=N$1,1,0)+ IF($F3&gt;=N$1,1,0)+IF($I3&gt;=N$1,1,0)</f>
        <v>0</v>
      </c>
      <c r="W3">
        <f xml:space="preserve"> IF($D3&lt;K$1,1,0)+IF($G3&lt;K$1,1,0)+ IF($J3&lt;K$1,1,0)</f>
        <v>2</v>
      </c>
      <c r="X3">
        <f xml:space="preserve"> IF($D3&lt;L$1,1,0)+IF($G3&lt;L$1,1,0)+ IF($J3&lt;L$1,1,0)-W3</f>
        <v>1</v>
      </c>
      <c r="Y3">
        <f>IF($D3&lt;M$1,1,0)+IF($G3&lt;M$1,1,0)+ IF($J3&lt;M$1,1,0)-X3-W3</f>
        <v>0</v>
      </c>
      <c r="Z3">
        <f xml:space="preserve"> IF($D3&gt;=N$1,1,0)+ IF($G3&gt;=N$1,1,0)+ IF($J3&gt;=N$1,1,0)</f>
        <v>0</v>
      </c>
      <c r="AB3">
        <f>AVERAGE('accuracy dom5dom4'!$C3,'accuracy dom51dom41'!$C3,'accuracy dom52dom42'!$C3)</f>
        <v>0</v>
      </c>
      <c r="AC3">
        <f>AVERAGE('accuracy dom5dom4'!$G3,'accuracy dom51dom41'!$G3,'accuracy dom52dom42'!$G3)</f>
        <v>0</v>
      </c>
      <c r="AD3">
        <f>AVERAGE('accuracy dom5dom4'!$AB3,'accuracy dom51dom41'!$AB3,'accuracy dom52dom42'!$AB3)</f>
        <v>0</v>
      </c>
      <c r="AE3">
        <f>AVERAGE('accuracy dom7dom6'!$C3,'accuracy dom71dom61'!$C3,'accuracy dom72dom62'!$C3)</f>
        <v>0</v>
      </c>
      <c r="AF3">
        <f>AVERAGE('accuracy dom7dom6'!$G3,'accuracy dom71dom61'!$G3,'accuracy dom72dom62'!$G3)</f>
        <v>0</v>
      </c>
      <c r="AG3">
        <f>AVERAGE('accuracy dom7dom6'!$AB3,'accuracy dom71dom61'!$AB3,'accuracy dom72dom62'!$AB3)</f>
        <v>0</v>
      </c>
      <c r="AH3">
        <f>AVERAGE('accuracy dom9dom8'!$C3,'accuracy dom91dom81'!$C3,'accuracy dom92dom82'!$C3)</f>
        <v>0</v>
      </c>
      <c r="AI3">
        <f>AVERAGE('accuracy dom9dom8'!$G3,'accuracy dom91dom81'!$G3,'accuracy dom92dom82'!$G3)</f>
        <v>0</v>
      </c>
      <c r="AJ3">
        <f>AVERAGE('accuracy dom9dom8'!$AB3,'accuracy dom91dom81'!$AB3,'accuracy dom92dom82'!$AB3)</f>
        <v>0</v>
      </c>
      <c r="AK3">
        <f>COUNTIF(AB3:AJ3,"&lt;&gt;0")</f>
        <v>0</v>
      </c>
      <c r="AL3">
        <f>IF($B3&lt;AL$1,$AB3,0)+IF($C3&lt;AL$1,$AC3,0)+ IF($D3&lt;AL$1,$AD3,0)+IF($E3&lt;AL$1,$AE3,0)+IF($F3&lt;AL$1,$AF3,0)+ IF($G3&lt;AL$1,$AG3,0)+IF($H3&lt;AL$1,$AH3,0)+IF($I3&lt;AL$1,$AI3,0)+ IF($J3&lt;AL$1,$AJ3,0)</f>
        <v>0</v>
      </c>
      <c r="AM3">
        <f t="shared" ref="AM3:AM6" si="0">IF($B3&lt;AM$1,$AB3,0)+IF($C3&lt;AM$1,$AC3,0)+ IF($D3&lt;AM$1,$AD3,0)+IF($E3&lt;AM$1,$AE3,0)+IF($F3&lt;AM$1,$AF3,0)+ IF($G3&lt;AM$1,$AG3,0)+IF($H3&lt;AM$1,$AH3,0)+IF($I3&lt;AM$1,$AI3,0)+ IF($J3&lt;AM$1,$AJ3,0)-AL3</f>
        <v>0</v>
      </c>
      <c r="AN3">
        <f t="shared" ref="AN3:AN6" si="1">IF($B3&lt;AN$1,$AB3,0)+IF($C3&lt;AN$1,$AC3,0)+ IF($D3&lt;AN$1,$AD3,0)+IF($E3&lt;AN$1,$AE3,0)+IF($F3&lt;AN$1,$AF3,0)+ IF($G3&lt;AN$1,$AG3,0)+IF($H3&lt;AN$1,$AH3,0)+IF($I3&lt;AN$1,$AI3,0)+ IF($J3&lt;AN$1,$AJ3,0)-AL3-AM3</f>
        <v>0</v>
      </c>
      <c r="AO3">
        <f>IF($B3&gt;=AO$1,$AB3,0)+IF($C3&gt;=AO$1,$AC3,0)+ IF($D3&gt;=AO$1,$AD3,0)+IF($E3&gt;=AO$1,$AE3,0)+IF($F3&gt;=AO$1,$AF3,0)+ IF($G3&gt;=AO$1,$AG3,0)+IF($H3&gt;=AO$1,$AH3,0)+IF($I3&gt;=AO$1,$AI3,0)+ IF($J3&gt;=AO$1,$AJ3,0)</f>
        <v>0</v>
      </c>
      <c r="AP3">
        <f>IF($B3&lt;AL$1,AB3,0)+IF($E3&lt;AL$1,AE3,0)+IF($H3&lt;AL$1,AH3,0)</f>
        <v>0</v>
      </c>
      <c r="AQ3">
        <f>IF($B3&lt;AM$1,AB3,0)+IF($E3&lt;AM$1,AE3,0)+IF($H3&lt;AM$1,AH3,0)-AP3</f>
        <v>0</v>
      </c>
      <c r="AR3">
        <f>IF($B3&lt;AN$1,AB3,0)+IF($E3&lt;AN$1,AE3,0)+IF($H3&lt;AN$1,AH3,0) -AQ3-AP3</f>
        <v>0</v>
      </c>
      <c r="AS3">
        <f>IF($B3&gt;=AO$1,AB3,0)+IF($E3&gt;=AO$1,AE3,0)+IF($H3&gt;=AO$1,AH3,0)</f>
        <v>0</v>
      </c>
      <c r="AT3">
        <f>IF($C3&lt;AL$1,AC3,0)+IF($F3&lt;AL$1,AF3,0)+IF($I3&lt;AL$1,AI3,0)</f>
        <v>0</v>
      </c>
      <c r="AU3">
        <f>IF($C3&lt;AM$1,AC3,0)+IF($F3&lt;AM$1,AF3,0)+IF($I3&lt;AM$1,AI3,0)-AT3</f>
        <v>0</v>
      </c>
      <c r="AV3">
        <f>IF($C3&lt;AN$1,AC3,0)+ IF($F3&lt;AN$1,AF3,0)+IF($I3&lt;AN$1,AI3,0)-AU3-AT3</f>
        <v>0</v>
      </c>
      <c r="AW3">
        <f>IF($C3&gt;=AO$1,AC3,0)+ IF($F3&gt;=AO$1,AF3,0)+IF($I3&gt;=AO$1,AI3,0)</f>
        <v>0</v>
      </c>
      <c r="AX3">
        <f xml:space="preserve"> IF($D3&lt;AL$1,AD3,0)+IF($G3&lt;AL$1,AG3,0)+ IF($J3&lt;AL$1,AJ3,0)</f>
        <v>0</v>
      </c>
      <c r="AY3">
        <f xml:space="preserve"> IF($D3&lt;AM$1,AD3,0)+IF($G3&lt;AM$1,AG3,0)+ IF($J3&lt;AM$1,AJ3,0)-AX3</f>
        <v>0</v>
      </c>
      <c r="AZ3">
        <f>IF($D3&lt;AN$1,AD3,0)+IF($G3&lt;AN$1,AG3,0)+ IF($J3&lt;AN$1,AJ3,0)-AY3-AX3</f>
        <v>0</v>
      </c>
      <c r="BA3">
        <f xml:space="preserve"> IF($D3&gt;=AO$1,AD3,0)+ IF($G3&gt;=AO$1,AG3,0)+ IF($J3&gt;=AO$1,AJ3,0)</f>
        <v>0</v>
      </c>
      <c r="BC3">
        <f>IF(AND(AL3&lt;&gt;0,K3&lt;&gt;0),K3,0)</f>
        <v>0</v>
      </c>
      <c r="BD3">
        <f t="shared" ref="BD3:BR3" si="2">IF(AND(AM3&lt;&gt;0,L3&lt;&gt;0),L3,0)</f>
        <v>0</v>
      </c>
      <c r="BE3">
        <f t="shared" si="2"/>
        <v>0</v>
      </c>
      <c r="BF3">
        <f t="shared" si="2"/>
        <v>0</v>
      </c>
      <c r="BG3">
        <f t="shared" si="2"/>
        <v>0</v>
      </c>
      <c r="BH3">
        <f t="shared" si="2"/>
        <v>0</v>
      </c>
      <c r="BI3">
        <f t="shared" si="2"/>
        <v>0</v>
      </c>
      <c r="BJ3">
        <f t="shared" si="2"/>
        <v>0</v>
      </c>
      <c r="BK3">
        <f t="shared" si="2"/>
        <v>0</v>
      </c>
      <c r="BL3">
        <f t="shared" si="2"/>
        <v>0</v>
      </c>
      <c r="BM3">
        <f t="shared" si="2"/>
        <v>0</v>
      </c>
      <c r="BN3">
        <f t="shared" si="2"/>
        <v>0</v>
      </c>
      <c r="BO3">
        <f t="shared" si="2"/>
        <v>0</v>
      </c>
      <c r="BP3">
        <f t="shared" si="2"/>
        <v>0</v>
      </c>
      <c r="BQ3">
        <f t="shared" si="2"/>
        <v>0</v>
      </c>
      <c r="BR3">
        <f t="shared" si="2"/>
        <v>0</v>
      </c>
    </row>
    <row r="4" spans="1:70">
      <c r="A4" t="str">
        <f>'time 1'!B3</f>
        <v>&lt;test.BallonFactory: boolean correctVertically(java.awt.Rectangle,int,int)&gt;</v>
      </c>
      <c r="B4">
        <f>AVERAGE('time 1'!D3/'time 1'!C3,'time 2'!D3/'time 2'!C3,'time 3'!D3/'time 3'!C3)</f>
        <v>0.98867521367521372</v>
      </c>
      <c r="C4">
        <f>AVERAGE('time 1'!F3/'time 1'!E3,'time 2'!F3/'time 2'!E3,'time 3'!F3/'time 3'!E3)</f>
        <v>1.0829526815879753</v>
      </c>
      <c r="D4">
        <f>AVERAGE('time 1'!H3/'time 1'!G3,'time 2'!H3/'time 2'!G3,'time 3'!H3/'time 3'!G3)</f>
        <v>0.89506691565515084</v>
      </c>
      <c r="E4">
        <f>AVERAGE('time 1'!J3/'time 2'!I3,'time 2'!J3/'time 2'!I3,'time 3'!J3/'time 3'!I3)</f>
        <v>1.0185305544723198</v>
      </c>
      <c r="F4">
        <f>AVERAGE('time 1'!L3/'time 1'!K3,'time 2'!L3/'time 2'!K3,'time 3'!L3/'time 3'!K3)</f>
        <v>1.0150576419365438</v>
      </c>
      <c r="G4">
        <f>AVERAGE('time 1'!N3/'time 1'!M3,'time 2'!N3/'time 2'!M3,'time 3'!N3/'time 3'!M3)</f>
        <v>1.0349885408708939</v>
      </c>
      <c r="H4">
        <f>AVERAGE('time 1'!P3/'time 1'!O3,'time 2'!P3/'time 2'!O3,'time 3'!P3/'time 3'!O3)</f>
        <v>1.1052928799840462</v>
      </c>
      <c r="I4">
        <f>AVERAGE('time 1'!R3/'time 1'!Q3,'time 2'!R3/'time 2'!Q3,'time 3'!R3/'time 3'!Q3)</f>
        <v>1.0378299627516447</v>
      </c>
      <c r="J4">
        <f>AVERAGE('time 1'!T3/'time 1'!S3,'time 2'!T3/'time 2'!S3,'time 3'!T3/'time 3'!S3)</f>
        <v>1.0493378552971577</v>
      </c>
      <c r="K4">
        <f t="shared" ref="K4:K67" si="3">IF($B4&lt;K$1,1,0)+IF($C4&lt;K$1,1,0)+ IF($D4&lt;K$1,1,0)+IF($E4&lt;K$1,1,0)+IF($F4&lt;K$1,1,0)+ IF($G4&lt;K$1,1,0)+IF($H4&lt;K$1,1,0)+IF($I4&lt;K$1,1,0)+ IF($J4&lt;K$1,1,0)</f>
        <v>2</v>
      </c>
      <c r="L4">
        <f t="shared" ref="L4:L67" si="4">IF($B4&lt;L$1,1,0)+IF($C4&lt;L$1,1,0)+ IF($D4&lt;L$1,1,0)+IF($E4&lt;L$1,1,0)+IF($F4&lt;L$1,1,0)+ IF($G4&lt;L$1,1,0)+IF($H4&lt;L$1,1,0)+IF($I4&lt;L$1,1,0)+ IF($J4&lt;L$1,1,0)-K4</f>
        <v>7</v>
      </c>
      <c r="M4">
        <f t="shared" ref="M4:M67" si="5">IF($B4&lt;M$1,1,0)+IF($C4&lt;M$1,1,0)+ IF($D4&lt;M$1,1,0)+IF($E4&lt;M$1,1,0)+IF($F4&lt;M$1,1,0)+ IF($G4&lt;M$1,1,0)+IF($H4&lt;M$1,1,0)+IF($I4&lt;M$1,1,0)+ IF($J4&lt;M$1,1,0)-L4-K4</f>
        <v>0</v>
      </c>
      <c r="N4">
        <f t="shared" ref="N4:N67" si="6">IF($B4&gt;=N$1,1,0)+IF($C4&gt;=N$1,1,0)+ IF($D4&gt;=N$1,1,0)+IF($E4&gt;=N$1,1,0)+IF($F4&gt;=N$1,1,0)+ IF($G4&gt;=N$1,1,0)+IF($H4&gt;=N$1,1,0)+IF($I4&gt;=N$1,1,0)+ IF($J4&gt;=N$1,1,0)</f>
        <v>0</v>
      </c>
      <c r="O4">
        <f t="shared" ref="O4:O67" si="7">IF($B4&lt;K$1,1,0)+IF($E4&lt;K$1,1,0)+IF($H4&lt;K$1,1,0)</f>
        <v>1</v>
      </c>
      <c r="P4">
        <f>IF($B4&lt;L$1,1,0)+IF($E4&lt;L$1,1,0)+IF($H4&lt;L$1,1,0)-O4</f>
        <v>2</v>
      </c>
      <c r="Q4">
        <f>IF($B4&lt;M$1,1,0)+IF($E4&lt;M$1,1,0)+IF($H4&lt;M$1,1,0) -P4-O4</f>
        <v>0</v>
      </c>
      <c r="R4">
        <f t="shared" ref="R4:R67" si="8">IF($B4&gt;=N$1,1,0)+IF($E4&gt;=N$1,1,0)+IF($H4&gt;=N$1,1,0)</f>
        <v>0</v>
      </c>
      <c r="S4">
        <f t="shared" ref="S4:S67" si="9">IF($C4&lt;K$1,1,0)+IF($F4&lt;K$1,1,0)+IF($I4&lt;K$1,1,0)</f>
        <v>0</v>
      </c>
      <c r="T4">
        <f t="shared" ref="T4:T67" si="10">IF($C4&lt;L$1,1,0)+IF($F4&lt;L$1,1,0)+IF($I4&lt;L$1,1,0)-S4</f>
        <v>3</v>
      </c>
      <c r="U4">
        <f t="shared" ref="U4:U67" si="11">IF($C4&lt;M$1,1,0)+ IF($F4&lt;M$1,1,0)+IF($I4&lt;M$1,1,0)-T4-S4</f>
        <v>0</v>
      </c>
      <c r="V4">
        <f t="shared" ref="V4:V67" si="12">IF($C4&gt;=N$1,1,0)+ IF($F4&gt;=N$1,1,0)+IF($I4&gt;=N$1,1,0)</f>
        <v>0</v>
      </c>
      <c r="W4">
        <f t="shared" ref="W4:W67" si="13" xml:space="preserve"> IF($D4&lt;K$1,1,0)+IF($G4&lt;K$1,1,0)+ IF($J4&lt;K$1,1,0)</f>
        <v>1</v>
      </c>
      <c r="X4">
        <f t="shared" ref="X4:X67" si="14" xml:space="preserve"> IF($D4&lt;L$1,1,0)+IF($G4&lt;L$1,1,0)+ IF($J4&lt;L$1,1,0)-W4</f>
        <v>2</v>
      </c>
      <c r="Y4">
        <f t="shared" ref="Y4:Y67" si="15">IF($D4&lt;M$1,1,0)+IF($G4&lt;M$1,1,0)+ IF($J4&lt;M$1,1,0)-X4-W4</f>
        <v>0</v>
      </c>
      <c r="Z4">
        <f t="shared" ref="Z4:Z67" si="16" xml:space="preserve"> IF($D4&gt;=N$1,1,0)+ IF($G4&gt;=N$1,1,0)+ IF($J4&gt;=N$1,1,0)</f>
        <v>0</v>
      </c>
      <c r="AB4">
        <f>AVERAGE('accuracy dom5dom4'!$C4,'accuracy dom51dom41'!$C4,'accuracy dom52dom42'!$C4)</f>
        <v>0</v>
      </c>
      <c r="AC4">
        <f>AVERAGE('accuracy dom5dom4'!$G4,'accuracy dom51dom41'!$G4,'accuracy dom52dom42'!$G4)</f>
        <v>0</v>
      </c>
      <c r="AD4">
        <f>AVERAGE('accuracy dom5dom4'!$AB4,'accuracy dom51dom41'!$AB4,'accuracy dom52dom42'!$AB4)</f>
        <v>0</v>
      </c>
      <c r="AE4">
        <f>AVERAGE('accuracy dom7dom6'!$C4,'accuracy dom71dom61'!$C4,'accuracy dom72dom62'!$C4)</f>
        <v>0</v>
      </c>
      <c r="AF4">
        <f>AVERAGE('accuracy dom7dom6'!$G4,'accuracy dom71dom61'!$G4,'accuracy dom72dom62'!$G4)</f>
        <v>0</v>
      </c>
      <c r="AG4">
        <f>AVERAGE('accuracy dom7dom6'!$AB4,'accuracy dom71dom61'!$AB4,'accuracy dom72dom62'!$AB4)</f>
        <v>0</v>
      </c>
      <c r="AH4">
        <f>AVERAGE('accuracy dom9dom8'!$C4,'accuracy dom91dom81'!$C4,'accuracy dom92dom82'!$C4)</f>
        <v>0</v>
      </c>
      <c r="AI4">
        <f>AVERAGE('accuracy dom9dom8'!$G4,'accuracy dom91dom81'!$G4,'accuracy dom92dom82'!$G4)</f>
        <v>0</v>
      </c>
      <c r="AJ4">
        <f>AVERAGE('accuracy dom9dom8'!$AB4,'accuracy dom91dom81'!$AB4,'accuracy dom92dom82'!$AB4)</f>
        <v>0</v>
      </c>
      <c r="AK4">
        <f t="shared" ref="AK4:AK67" si="17">COUNTIF(AB4:AJ4,"&lt;&gt;0")</f>
        <v>0</v>
      </c>
      <c r="AL4">
        <f t="shared" ref="AL4:AL6" si="18">IF($B4&lt;AL$1,$AB4,0)+IF($C4&lt;AL$1,$AC4,0)+ IF($D4&lt;AL$1,$AD4,0)+IF($E4&lt;AL$1,$AE4,0)+IF($F4&lt;AL$1,$AF4,0)+ IF($G4&lt;AL$1,$AG4,0)+IF($H4&lt;AL$1,$AH4,0)+IF($I4&lt;AL$1,$AI4,0)+ IF($J4&lt;AL$1,$AJ4,0)</f>
        <v>0</v>
      </c>
      <c r="AM4">
        <f t="shared" si="0"/>
        <v>0</v>
      </c>
      <c r="AN4">
        <f t="shared" si="1"/>
        <v>0</v>
      </c>
      <c r="AO4">
        <f t="shared" ref="AO4:AO67" si="19">IF($B4&gt;=AO$1,$AB4,0)+IF($C4&gt;=AO$1,$AC4,0)+ IF($D4&gt;=AO$1,$AD4,0)+IF($E4&gt;=AO$1,$AE4,0)+IF($F4&gt;=AO$1,$AF4,0)+ IF($G4&gt;=AO$1,$AG4,0)+IF($H4&gt;=AO$1,$AH4,0)+IF($I4&gt;=AO$1,$AI4,0)+ IF($J4&gt;=AO$1,$AJ4,0)</f>
        <v>0</v>
      </c>
      <c r="AP4">
        <f t="shared" ref="AP4:AP67" si="20">IF($B4&lt;AL$1,AB4,0)+IF($E4&lt;AL$1,AE4,0)+IF($H4&lt;AL$1,AH4,0)</f>
        <v>0</v>
      </c>
      <c r="AQ4">
        <f t="shared" ref="AQ4:AQ67" si="21">IF($B4&lt;AM$1,AB4,0)+IF($E4&lt;AM$1,AE4,0)+IF($H4&lt;AM$1,AH4,0)-AP4</f>
        <v>0</v>
      </c>
      <c r="AR4">
        <f t="shared" ref="AR4:AR67" si="22">IF($B4&lt;AN$1,AB4,0)+IF($E4&lt;AN$1,AE4,0)+IF($H4&lt;AN$1,AH4,0) -AQ4-AP4</f>
        <v>0</v>
      </c>
      <c r="AS4">
        <f t="shared" ref="AS4:AS67" si="23">IF($B4&gt;=AO$1,AB4,0)+IF($E4&gt;=AO$1,AE4,0)+IF($H4&gt;=AO$1,AH4,0)</f>
        <v>0</v>
      </c>
      <c r="AT4">
        <f t="shared" ref="AT4:AT67" si="24">IF($C4&lt;AL$1,AC4,0)+IF($F4&lt;AL$1,AF4,0)+IF($I4&lt;AL$1,AI4,0)</f>
        <v>0</v>
      </c>
      <c r="AU4">
        <f t="shared" ref="AU4:AU67" si="25">IF($C4&lt;AM$1,AC4,0)+IF($F4&lt;AM$1,AF4,0)+IF($I4&lt;AM$1,AI4,0)-AT4</f>
        <v>0</v>
      </c>
      <c r="AV4">
        <f t="shared" ref="AV4:AV67" si="26">IF($C4&lt;AN$1,AC4,0)+ IF($F4&lt;AN$1,AF4,0)+IF($I4&lt;AN$1,AI4,0)-AU4-AT4</f>
        <v>0</v>
      </c>
      <c r="AW4">
        <f t="shared" ref="AW4:AW67" si="27">IF($C4&gt;=AO$1,AC4,0)+ IF($F4&gt;=AO$1,AF4,0)+IF($I4&gt;=AO$1,AI4,0)</f>
        <v>0</v>
      </c>
      <c r="AX4">
        <f t="shared" ref="AX4:AX67" si="28" xml:space="preserve"> IF($D4&lt;AL$1,AD4,0)+IF($G4&lt;AL$1,AG4,0)+ IF($J4&lt;AL$1,AJ4,0)</f>
        <v>0</v>
      </c>
      <c r="AY4">
        <f t="shared" ref="AY4:AY67" si="29" xml:space="preserve"> IF($D4&lt;AM$1,AD4,0)+IF($G4&lt;AM$1,AG4,0)+ IF($J4&lt;AM$1,AJ4,0)-AX4</f>
        <v>0</v>
      </c>
      <c r="AZ4">
        <f t="shared" ref="AZ4:AZ67" si="30">IF($D4&lt;AN$1,AD4,0)+IF($G4&lt;AN$1,AG4,0)+ IF($J4&lt;AN$1,AJ4,0)-AY4-AX4</f>
        <v>0</v>
      </c>
      <c r="BA4">
        <f t="shared" ref="BA4:BA67" si="31" xml:space="preserve"> IF($D4&gt;=AO$1,AD4,0)+ IF($G4&gt;=AO$1,AG4,0)+ IF($J4&gt;=AO$1,AJ4,0)</f>
        <v>0</v>
      </c>
      <c r="BC4">
        <f t="shared" ref="BC4:BC67" si="32">IF(AND(AL4&lt;&gt;0,K4&lt;&gt;0),K4,0)</f>
        <v>0</v>
      </c>
      <c r="BD4">
        <f t="shared" ref="BD4:BD67" si="33">IF(AND(AM4&lt;&gt;0,L4&lt;&gt;0),L4,0)</f>
        <v>0</v>
      </c>
      <c r="BE4">
        <f t="shared" ref="BE4:BE67" si="34">IF(AND(AN4&lt;&gt;0,M4&lt;&gt;0),M4,0)</f>
        <v>0</v>
      </c>
      <c r="BF4">
        <f t="shared" ref="BF4:BF67" si="35">IF(AND(AO4&lt;&gt;0,N4&lt;&gt;0),N4,0)</f>
        <v>0</v>
      </c>
      <c r="BG4">
        <f t="shared" ref="BG4:BG67" si="36">IF(AND(AP4&lt;&gt;0,O4&lt;&gt;0),O4,0)</f>
        <v>0</v>
      </c>
      <c r="BH4">
        <f t="shared" ref="BH4:BH67" si="37">IF(AND(AQ4&lt;&gt;0,P4&lt;&gt;0),P4,0)</f>
        <v>0</v>
      </c>
      <c r="BI4">
        <f t="shared" ref="BI4:BI67" si="38">IF(AND(AR4&lt;&gt;0,Q4&lt;&gt;0),Q4,0)</f>
        <v>0</v>
      </c>
      <c r="BJ4">
        <f t="shared" ref="BJ4:BJ67" si="39">IF(AND(AS4&lt;&gt;0,R4&lt;&gt;0),R4,0)</f>
        <v>0</v>
      </c>
      <c r="BK4">
        <f t="shared" ref="BK4:BK67" si="40">IF(AND(AT4&lt;&gt;0,S4&lt;&gt;0),S4,0)</f>
        <v>0</v>
      </c>
      <c r="BL4">
        <f t="shared" ref="BL4:BL67" si="41">IF(AND(AU4&lt;&gt;0,T4&lt;&gt;0),T4,0)</f>
        <v>0</v>
      </c>
      <c r="BM4">
        <f t="shared" ref="BM4:BM67" si="42">IF(AND(AV4&lt;&gt;0,U4&lt;&gt;0),U4,0)</f>
        <v>0</v>
      </c>
      <c r="BN4">
        <f t="shared" ref="BN4:BN67" si="43">IF(AND(AW4&lt;&gt;0,V4&lt;&gt;0),V4,0)</f>
        <v>0</v>
      </c>
      <c r="BO4">
        <f t="shared" ref="BO4:BO67" si="44">IF(AND(AX4&lt;&gt;0,W4&lt;&gt;0),W4,0)</f>
        <v>0</v>
      </c>
      <c r="BP4">
        <f t="shared" ref="BP4:BP67" si="45">IF(AND(AY4&lt;&gt;0,X4&lt;&gt;0),X4,0)</f>
        <v>0</v>
      </c>
      <c r="BQ4">
        <f t="shared" ref="BQ4:BQ67" si="46">IF(AND(AZ4&lt;&gt;0,Y4&lt;&gt;0),Y4,0)</f>
        <v>0</v>
      </c>
      <c r="BR4">
        <f t="shared" ref="BR4:BR67" si="47">IF(AND(BA4&lt;&gt;0,Z4&lt;&gt;0),Z4,0)</f>
        <v>0</v>
      </c>
    </row>
    <row r="5" spans="1:70">
      <c r="A5" t="str">
        <f>'time 1'!B4</f>
        <v>&lt;test.BallonFactory: boolean isInsideBounds(java.awt.Rectangle,int,int)&gt;</v>
      </c>
      <c r="B5">
        <f>AVERAGE('time 1'!D4/'time 1'!C4,'time 2'!D4/'time 2'!C4,'time 3'!D4/'time 3'!C4)</f>
        <v>1.0684364275787743</v>
      </c>
      <c r="C5">
        <f>AVERAGE('time 1'!F4/'time 1'!E4,'time 2'!F4/'time 2'!E4,'time 3'!F4/'time 3'!E4)</f>
        <v>0.94009474735634713</v>
      </c>
      <c r="D5">
        <f>AVERAGE('time 1'!H4/'time 1'!G4,'time 2'!H4/'time 2'!G4,'time 3'!H4/'time 3'!G4)</f>
        <v>1.0555153035390683</v>
      </c>
      <c r="E5">
        <f>AVERAGE('time 1'!J4/'time 2'!I4,'time 2'!J4/'time 2'!I4,'time 3'!J4/'time 3'!I4)</f>
        <v>0.99494949494949514</v>
      </c>
      <c r="F5">
        <f>AVERAGE('time 1'!L4/'time 1'!K4,'time 2'!L4/'time 2'!K4,'time 3'!L4/'time 3'!K4)</f>
        <v>1.0141781501357188</v>
      </c>
      <c r="G5">
        <f>AVERAGE('time 1'!N4/'time 1'!M4,'time 2'!N4/'time 2'!M4,'time 3'!N4/'time 3'!M4)</f>
        <v>0.97168722710934763</v>
      </c>
      <c r="H5">
        <f>AVERAGE('time 1'!P4/'time 1'!O4,'time 2'!P4/'time 2'!O4,'time 3'!P4/'time 3'!O4)</f>
        <v>1.0094607034303082</v>
      </c>
      <c r="I5">
        <f>AVERAGE('time 1'!R4/'time 1'!Q4,'time 2'!R4/'time 2'!Q4,'time 3'!R4/'time 3'!Q4)</f>
        <v>0.98557156534708457</v>
      </c>
      <c r="J5">
        <f>AVERAGE('time 1'!T4/'time 1'!S4,'time 2'!T4/'time 2'!S4,'time 3'!T4/'time 3'!S4)</f>
        <v>0.90696303537049594</v>
      </c>
      <c r="K5">
        <f t="shared" si="3"/>
        <v>5</v>
      </c>
      <c r="L5">
        <f t="shared" si="4"/>
        <v>4</v>
      </c>
      <c r="M5">
        <f t="shared" si="5"/>
        <v>0</v>
      </c>
      <c r="N5">
        <f t="shared" si="6"/>
        <v>0</v>
      </c>
      <c r="O5">
        <f t="shared" si="7"/>
        <v>1</v>
      </c>
      <c r="P5">
        <f t="shared" ref="P5:P68" si="48">IF($B5&lt;L$1,1,0)+IF($E5&lt;L$1,1,0)+IF($H5&lt;L$1,1,0)-O5</f>
        <v>2</v>
      </c>
      <c r="Q5">
        <f t="shared" ref="Q5:Q68" si="49">IF($B5&lt;M$1,1,0)+IF($E5&lt;M$1,1,0)+IF($H5&lt;M$1,1,0) -P5-O5</f>
        <v>0</v>
      </c>
      <c r="R5">
        <f t="shared" si="8"/>
        <v>0</v>
      </c>
      <c r="S5">
        <f t="shared" si="9"/>
        <v>2</v>
      </c>
      <c r="T5">
        <f t="shared" si="10"/>
        <v>1</v>
      </c>
      <c r="U5">
        <f t="shared" si="11"/>
        <v>0</v>
      </c>
      <c r="V5">
        <f t="shared" si="12"/>
        <v>0</v>
      </c>
      <c r="W5">
        <f t="shared" si="13"/>
        <v>2</v>
      </c>
      <c r="X5">
        <f t="shared" si="14"/>
        <v>1</v>
      </c>
      <c r="Y5">
        <f t="shared" si="15"/>
        <v>0</v>
      </c>
      <c r="Z5">
        <f t="shared" si="16"/>
        <v>0</v>
      </c>
      <c r="AB5">
        <f>AVERAGE('accuracy dom5dom4'!$C5,'accuracy dom51dom41'!$C5,'accuracy dom52dom42'!$C5)</f>
        <v>0</v>
      </c>
      <c r="AC5">
        <f>AVERAGE('accuracy dom5dom4'!$G5,'accuracy dom51dom41'!$G5,'accuracy dom52dom42'!$G5)</f>
        <v>0</v>
      </c>
      <c r="AD5">
        <f>AVERAGE('accuracy dom5dom4'!$AB5,'accuracy dom51dom41'!$AB5,'accuracy dom52dom42'!$AB5)</f>
        <v>0</v>
      </c>
      <c r="AE5">
        <f>AVERAGE('accuracy dom7dom6'!$C5,'accuracy dom71dom61'!$C5,'accuracy dom72dom62'!$C5)</f>
        <v>0</v>
      </c>
      <c r="AF5">
        <f>AVERAGE('accuracy dom7dom6'!$G5,'accuracy dom71dom61'!$G5,'accuracy dom72dom62'!$G5)</f>
        <v>0</v>
      </c>
      <c r="AG5">
        <f>AVERAGE('accuracy dom7dom6'!$AB5,'accuracy dom71dom61'!$AB5,'accuracy dom72dom62'!$AB5)</f>
        <v>0</v>
      </c>
      <c r="AH5">
        <f>AVERAGE('accuracy dom9dom8'!$C5,'accuracy dom91dom81'!$C5,'accuracy dom92dom82'!$C5)</f>
        <v>0</v>
      </c>
      <c r="AI5">
        <f>AVERAGE('accuracy dom9dom8'!$G5,'accuracy dom91dom81'!$G5,'accuracy dom92dom82'!$G5)</f>
        <v>0</v>
      </c>
      <c r="AJ5">
        <f>AVERAGE('accuracy dom9dom8'!$AB5,'accuracy dom91dom81'!$AB5,'accuracy dom92dom82'!$AB5)</f>
        <v>0</v>
      </c>
      <c r="AK5">
        <f t="shared" si="17"/>
        <v>0</v>
      </c>
      <c r="AL5">
        <f t="shared" si="18"/>
        <v>0</v>
      </c>
      <c r="AM5">
        <f t="shared" si="0"/>
        <v>0</v>
      </c>
      <c r="AN5">
        <f t="shared" si="1"/>
        <v>0</v>
      </c>
      <c r="AO5">
        <f t="shared" si="19"/>
        <v>0</v>
      </c>
      <c r="AP5">
        <f t="shared" si="20"/>
        <v>0</v>
      </c>
      <c r="AQ5">
        <f t="shared" si="21"/>
        <v>0</v>
      </c>
      <c r="AR5">
        <f t="shared" si="22"/>
        <v>0</v>
      </c>
      <c r="AS5">
        <f t="shared" si="23"/>
        <v>0</v>
      </c>
      <c r="AT5">
        <f t="shared" si="24"/>
        <v>0</v>
      </c>
      <c r="AU5">
        <f t="shared" si="25"/>
        <v>0</v>
      </c>
      <c r="AV5">
        <f t="shared" si="26"/>
        <v>0</v>
      </c>
      <c r="AW5">
        <f t="shared" si="27"/>
        <v>0</v>
      </c>
      <c r="AX5">
        <f t="shared" si="28"/>
        <v>0</v>
      </c>
      <c r="AY5">
        <f t="shared" si="29"/>
        <v>0</v>
      </c>
      <c r="AZ5">
        <f t="shared" si="30"/>
        <v>0</v>
      </c>
      <c r="BA5">
        <f t="shared" si="31"/>
        <v>0</v>
      </c>
      <c r="BC5">
        <f t="shared" si="32"/>
        <v>0</v>
      </c>
      <c r="BD5">
        <f t="shared" si="33"/>
        <v>0</v>
      </c>
      <c r="BE5">
        <f t="shared" si="34"/>
        <v>0</v>
      </c>
      <c r="BF5">
        <f t="shared" si="35"/>
        <v>0</v>
      </c>
      <c r="BG5">
        <f t="shared" si="36"/>
        <v>0</v>
      </c>
      <c r="BH5">
        <f t="shared" si="37"/>
        <v>0</v>
      </c>
      <c r="BI5">
        <f t="shared" si="38"/>
        <v>0</v>
      </c>
      <c r="BJ5">
        <f t="shared" si="39"/>
        <v>0</v>
      </c>
      <c r="BK5">
        <f t="shared" si="40"/>
        <v>0</v>
      </c>
      <c r="BL5">
        <f t="shared" si="41"/>
        <v>0</v>
      </c>
      <c r="BM5">
        <f t="shared" si="42"/>
        <v>0</v>
      </c>
      <c r="BN5">
        <f t="shared" si="43"/>
        <v>0</v>
      </c>
      <c r="BO5">
        <f t="shared" si="44"/>
        <v>0</v>
      </c>
      <c r="BP5">
        <f t="shared" si="45"/>
        <v>0</v>
      </c>
      <c r="BQ5">
        <f t="shared" si="46"/>
        <v>0</v>
      </c>
      <c r="BR5">
        <f t="shared" si="47"/>
        <v>0</v>
      </c>
    </row>
    <row r="6" spans="1:70">
      <c r="A6" t="str">
        <f>'time 1'!B5</f>
        <v>&lt;test.BallonFactory: java.awt.geom.GeneralPath getNormalPath(java.awt.Rectangle)&gt;</v>
      </c>
      <c r="B6">
        <f>AVERAGE('time 1'!D5/'time 1'!C5,'time 2'!D5/'time 2'!C5,'time 3'!D5/'time 3'!C5)</f>
        <v>0.95738943035762814</v>
      </c>
      <c r="C6">
        <f>AVERAGE('time 1'!F5/'time 1'!E5,'time 2'!F5/'time 2'!E5,'time 3'!F5/'time 3'!E5)</f>
        <v>1.0490919464473329</v>
      </c>
      <c r="D6">
        <f>AVERAGE('time 1'!H5/'time 1'!G5,'time 2'!H5/'time 2'!G5,'time 3'!H5/'time 3'!G5)</f>
        <v>1.0633621596841798</v>
      </c>
      <c r="E6">
        <f>AVERAGE('time 1'!J5/'time 2'!I5,'time 2'!J5/'time 2'!I5,'time 3'!J5/'time 3'!I5)</f>
        <v>1.0715160063182458</v>
      </c>
      <c r="F6">
        <f>AVERAGE('time 1'!L5/'time 1'!K5,'time 2'!L5/'time 2'!K5,'time 3'!L5/'time 3'!K5)</f>
        <v>0.93914971893072463</v>
      </c>
      <c r="G6">
        <f>AVERAGE('time 1'!N5/'time 1'!M5,'time 2'!N5/'time 2'!M5,'time 3'!N5/'time 3'!M5)</f>
        <v>1.0395557092893657</v>
      </c>
      <c r="H6">
        <f>AVERAGE('time 1'!P5/'time 1'!O5,'time 2'!P5/'time 2'!O5,'time 3'!P5/'time 3'!O5)</f>
        <v>1.0750790889804469</v>
      </c>
      <c r="I6">
        <f>AVERAGE('time 1'!R5/'time 1'!Q5,'time 2'!R5/'time 2'!Q5,'time 3'!R5/'time 3'!Q5)</f>
        <v>0.88025748921739699</v>
      </c>
      <c r="J6">
        <f>AVERAGE('time 1'!T5/'time 1'!S5,'time 2'!T5/'time 2'!S5,'time 3'!T5/'time 3'!S5)</f>
        <v>1.1364068218558954</v>
      </c>
      <c r="K6">
        <f t="shared" si="3"/>
        <v>3</v>
      </c>
      <c r="L6">
        <f t="shared" si="4"/>
        <v>6</v>
      </c>
      <c r="M6">
        <f t="shared" si="5"/>
        <v>0</v>
      </c>
      <c r="N6">
        <f t="shared" si="6"/>
        <v>0</v>
      </c>
      <c r="O6">
        <f t="shared" si="7"/>
        <v>1</v>
      </c>
      <c r="P6">
        <f t="shared" si="48"/>
        <v>2</v>
      </c>
      <c r="Q6">
        <f t="shared" si="49"/>
        <v>0</v>
      </c>
      <c r="R6">
        <f t="shared" si="8"/>
        <v>0</v>
      </c>
      <c r="S6">
        <f t="shared" si="9"/>
        <v>2</v>
      </c>
      <c r="T6">
        <f t="shared" si="10"/>
        <v>1</v>
      </c>
      <c r="U6">
        <f t="shared" si="11"/>
        <v>0</v>
      </c>
      <c r="V6">
        <f t="shared" si="12"/>
        <v>0</v>
      </c>
      <c r="W6">
        <f t="shared" si="13"/>
        <v>0</v>
      </c>
      <c r="X6">
        <f t="shared" si="14"/>
        <v>3</v>
      </c>
      <c r="Y6">
        <f t="shared" si="15"/>
        <v>0</v>
      </c>
      <c r="Z6">
        <f t="shared" si="16"/>
        <v>0</v>
      </c>
      <c r="AB6">
        <f>AVERAGE('accuracy dom5dom4'!$C6,'accuracy dom51dom41'!$C6,'accuracy dom52dom42'!$C6)</f>
        <v>0</v>
      </c>
      <c r="AC6">
        <f>AVERAGE('accuracy dom5dom4'!$G6,'accuracy dom51dom41'!$G6,'accuracy dom52dom42'!$G6)</f>
        <v>0</v>
      </c>
      <c r="AD6">
        <f>AVERAGE('accuracy dom5dom4'!$AB6,'accuracy dom51dom41'!$AB6,'accuracy dom52dom42'!$AB6)</f>
        <v>0</v>
      </c>
      <c r="AE6">
        <f>AVERAGE('accuracy dom7dom6'!$C6,'accuracy dom71dom61'!$C6,'accuracy dom72dom62'!$C6)</f>
        <v>0</v>
      </c>
      <c r="AF6">
        <f>AVERAGE('accuracy dom7dom6'!$G6,'accuracy dom71dom61'!$G6,'accuracy dom72dom62'!$G6)</f>
        <v>0</v>
      </c>
      <c r="AG6">
        <f>AVERAGE('accuracy dom7dom6'!$AB6,'accuracy dom71dom61'!$AB6,'accuracy dom72dom62'!$AB6)</f>
        <v>0</v>
      </c>
      <c r="AH6">
        <f>AVERAGE('accuracy dom9dom8'!$C6,'accuracy dom91dom81'!$C6,'accuracy dom92dom82'!$C6)</f>
        <v>0</v>
      </c>
      <c r="AI6">
        <f>AVERAGE('accuracy dom9dom8'!$G6,'accuracy dom91dom81'!$G6,'accuracy dom92dom82'!$G6)</f>
        <v>0</v>
      </c>
      <c r="AJ6">
        <f>AVERAGE('accuracy dom9dom8'!$AB6,'accuracy dom91dom81'!$AB6,'accuracy dom92dom82'!$AB6)</f>
        <v>0</v>
      </c>
      <c r="AK6">
        <f t="shared" si="17"/>
        <v>0</v>
      </c>
      <c r="AL6">
        <f t="shared" si="18"/>
        <v>0</v>
      </c>
      <c r="AM6">
        <f t="shared" si="0"/>
        <v>0</v>
      </c>
      <c r="AN6">
        <f t="shared" si="1"/>
        <v>0</v>
      </c>
      <c r="AO6">
        <f t="shared" si="19"/>
        <v>0</v>
      </c>
      <c r="AP6">
        <f t="shared" si="20"/>
        <v>0</v>
      </c>
      <c r="AQ6">
        <f t="shared" si="21"/>
        <v>0</v>
      </c>
      <c r="AR6">
        <f t="shared" si="22"/>
        <v>0</v>
      </c>
      <c r="AS6">
        <f t="shared" si="23"/>
        <v>0</v>
      </c>
      <c r="AT6">
        <f t="shared" si="24"/>
        <v>0</v>
      </c>
      <c r="AU6">
        <f t="shared" si="25"/>
        <v>0</v>
      </c>
      <c r="AV6">
        <f t="shared" si="26"/>
        <v>0</v>
      </c>
      <c r="AW6">
        <f t="shared" si="27"/>
        <v>0</v>
      </c>
      <c r="AX6">
        <f t="shared" si="28"/>
        <v>0</v>
      </c>
      <c r="AY6">
        <f t="shared" si="29"/>
        <v>0</v>
      </c>
      <c r="AZ6">
        <f t="shared" si="30"/>
        <v>0</v>
      </c>
      <c r="BA6">
        <f t="shared" si="31"/>
        <v>0</v>
      </c>
      <c r="BC6">
        <f t="shared" si="32"/>
        <v>0</v>
      </c>
      <c r="BD6">
        <f t="shared" si="33"/>
        <v>0</v>
      </c>
      <c r="BE6">
        <f t="shared" si="34"/>
        <v>0</v>
      </c>
      <c r="BF6">
        <f t="shared" si="35"/>
        <v>0</v>
      </c>
      <c r="BG6">
        <f t="shared" si="36"/>
        <v>0</v>
      </c>
      <c r="BH6">
        <f t="shared" si="37"/>
        <v>0</v>
      </c>
      <c r="BI6">
        <f t="shared" si="38"/>
        <v>0</v>
      </c>
      <c r="BJ6">
        <f t="shared" si="39"/>
        <v>0</v>
      </c>
      <c r="BK6">
        <f t="shared" si="40"/>
        <v>0</v>
      </c>
      <c r="BL6">
        <f t="shared" si="41"/>
        <v>0</v>
      </c>
      <c r="BM6">
        <f t="shared" si="42"/>
        <v>0</v>
      </c>
      <c r="BN6">
        <f t="shared" si="43"/>
        <v>0</v>
      </c>
      <c r="BO6">
        <f t="shared" si="44"/>
        <v>0</v>
      </c>
      <c r="BP6">
        <f t="shared" si="45"/>
        <v>0</v>
      </c>
      <c r="BQ6">
        <f t="shared" si="46"/>
        <v>0</v>
      </c>
      <c r="BR6">
        <f t="shared" si="47"/>
        <v>0</v>
      </c>
    </row>
    <row r="7" spans="1:70">
      <c r="A7" t="str">
        <f>'time 1'!B6</f>
        <v>&lt;test.BallonFactory: java.awt.Rectangle addPadding(java.awt.Rectangle)&gt;</v>
      </c>
      <c r="B7">
        <f>AVERAGE('time 1'!D6/'time 1'!C6,'time 2'!D6/'time 2'!C6,'time 3'!D6/'time 3'!C6)</f>
        <v>0.84721313086638173</v>
      </c>
      <c r="C7">
        <f>AVERAGE('time 1'!F6/'time 1'!E6,'time 2'!F6/'time 2'!E6,'time 3'!F6/'time 3'!E6)</f>
        <v>0.92953500978589398</v>
      </c>
      <c r="D7">
        <f>AVERAGE('time 1'!H6/'time 1'!G6,'time 2'!H6/'time 2'!G6,'time 3'!H6/'time 3'!G6)</f>
        <v>0.83323885109599394</v>
      </c>
      <c r="E7">
        <f>AVERAGE('time 1'!J6/'time 2'!I6,'time 2'!J6/'time 2'!I6,'time 3'!J6/'time 3'!I6)</f>
        <v>1.0388529139685476</v>
      </c>
      <c r="F7">
        <f>AVERAGE('time 1'!L6/'time 1'!K6,'time 2'!L6/'time 2'!K6,'time 3'!L6/'time 3'!K6)</f>
        <v>1.2196173844303706</v>
      </c>
      <c r="G7">
        <f>AVERAGE('time 1'!N6/'time 1'!M6,'time 2'!N6/'time 2'!M6,'time 3'!N6/'time 3'!M6)</f>
        <v>0.93826617826617831</v>
      </c>
      <c r="H7">
        <f>AVERAGE('time 1'!P6/'time 1'!O6,'time 2'!P6/'time 2'!O6,'time 3'!P6/'time 3'!O6)</f>
        <v>1.0064550531840251</v>
      </c>
      <c r="I7">
        <f>AVERAGE('time 1'!R6/'time 1'!Q6,'time 2'!R6/'time 2'!Q6,'time 3'!R6/'time 3'!Q6)</f>
        <v>1.1530109820467798</v>
      </c>
      <c r="J7">
        <f>AVERAGE('time 1'!T6/'time 1'!S6,'time 2'!T6/'time 2'!S6,'time 3'!T6/'time 3'!S6)</f>
        <v>1.0819490586932448</v>
      </c>
      <c r="K7">
        <f t="shared" si="3"/>
        <v>4</v>
      </c>
      <c r="L7">
        <f t="shared" si="4"/>
        <v>5</v>
      </c>
      <c r="M7">
        <f t="shared" si="5"/>
        <v>0</v>
      </c>
      <c r="N7">
        <f t="shared" si="6"/>
        <v>0</v>
      </c>
      <c r="O7">
        <f t="shared" si="7"/>
        <v>1</v>
      </c>
      <c r="P7">
        <f t="shared" si="48"/>
        <v>2</v>
      </c>
      <c r="Q7">
        <f t="shared" si="49"/>
        <v>0</v>
      </c>
      <c r="R7">
        <f t="shared" si="8"/>
        <v>0</v>
      </c>
      <c r="S7">
        <f t="shared" si="9"/>
        <v>1</v>
      </c>
      <c r="T7">
        <f t="shared" si="10"/>
        <v>2</v>
      </c>
      <c r="U7">
        <f t="shared" si="11"/>
        <v>0</v>
      </c>
      <c r="V7">
        <f t="shared" si="12"/>
        <v>0</v>
      </c>
      <c r="W7">
        <f t="shared" si="13"/>
        <v>2</v>
      </c>
      <c r="X7">
        <f t="shared" si="14"/>
        <v>1</v>
      </c>
      <c r="Y7">
        <f t="shared" si="15"/>
        <v>0</v>
      </c>
      <c r="Z7">
        <f t="shared" si="16"/>
        <v>0</v>
      </c>
      <c r="AB7">
        <f>AVERAGE('accuracy dom5dom4'!$C7,'accuracy dom51dom41'!$C7,'accuracy dom52dom42'!$C7)</f>
        <v>1.3333333333333333</v>
      </c>
      <c r="AC7">
        <f>AVERAGE('accuracy dom5dom4'!$G7,'accuracy dom51dom41'!$G7,'accuracy dom52dom42'!$G7)</f>
        <v>1.3333333333333333</v>
      </c>
      <c r="AD7">
        <f>AVERAGE('accuracy dom5dom4'!$AB7,'accuracy dom51dom41'!$AB7,'accuracy dom52dom42'!$AB7)</f>
        <v>1.3333333333333333</v>
      </c>
      <c r="AE7">
        <f>AVERAGE('accuracy dom7dom6'!$C7,'accuracy dom71dom61'!$C7,'accuracy dom72dom62'!$C7)</f>
        <v>2</v>
      </c>
      <c r="AF7">
        <f>AVERAGE('accuracy dom7dom6'!$G7,'accuracy dom71dom61'!$G7,'accuracy dom72dom62'!$G7)</f>
        <v>2</v>
      </c>
      <c r="AG7">
        <f>AVERAGE('accuracy dom7dom6'!$AB7,'accuracy dom71dom61'!$AB7,'accuracy dom72dom62'!$AB7)</f>
        <v>2</v>
      </c>
      <c r="AH7">
        <f>AVERAGE('accuracy dom9dom8'!$C7,'accuracy dom91dom81'!$C7,'accuracy dom92dom82'!$C7)</f>
        <v>2</v>
      </c>
      <c r="AI7">
        <f>AVERAGE('accuracy dom9dom8'!$G7,'accuracy dom91dom81'!$G7,'accuracy dom92dom82'!$G7)</f>
        <v>2</v>
      </c>
      <c r="AJ7">
        <f>AVERAGE('accuracy dom9dom8'!$AB7,'accuracy dom91dom81'!$AB7,'accuracy dom92dom82'!$AB7)</f>
        <v>2</v>
      </c>
      <c r="AK7">
        <f t="shared" si="17"/>
        <v>9</v>
      </c>
      <c r="AL7">
        <f>IF($B7&lt;AL$1,$AB7,0)+IF($C7&lt;AL$1,$AC7,0)+ IF($D7&lt;AL$1,$AD7,0)+IF($E7&lt;AL$1,$AE7,0)+IF($F7&lt;AL$1,$AF7,0)+ IF($G7&lt;AL$1,$AG7,0)+IF($H7&lt;AL$1,$AH7,0)+IF($I7&lt;AL$1,$AI7,0)+ IF($J7&lt;AL$1,$AJ7,0)</f>
        <v>6</v>
      </c>
      <c r="AM7">
        <f>IF($B7&lt;AM$1,$AB7,0)+IF($C7&lt;AM$1,$AC7,0)+ IF($D7&lt;AM$1,$AD7,0)+IF($E7&lt;AM$1,$AE7,0)+IF($F7&lt;AM$1,$AF7,0)+ IF($G7&lt;AM$1,$AG7,0)+IF($H7&lt;AM$1,$AH7,0)+IF($I7&lt;AM$1,$AI7,0)+ IF($J7&lt;AM$1,$AJ7,0)-AL7</f>
        <v>10</v>
      </c>
      <c r="AN7">
        <f>IF($B7&lt;AN$1,$AB7,0)+IF($C7&lt;AN$1,$AC7,0)+ IF($D7&lt;AN$1,$AD7,0)+IF($E7&lt;AN$1,$AE7,0)+IF($F7&lt;AN$1,$AF7,0)+ IF($G7&lt;AN$1,$AG7,0)+IF($H7&lt;AN$1,$AH7,0)+IF($I7&lt;AN$1,$AI7,0)+ IF($J7&lt;AN$1,$AJ7,0)-AL7-AM7</f>
        <v>0</v>
      </c>
      <c r="AO7">
        <f t="shared" si="19"/>
        <v>0</v>
      </c>
      <c r="AP7">
        <f t="shared" si="20"/>
        <v>1.3333333333333333</v>
      </c>
      <c r="AQ7">
        <f t="shared" si="21"/>
        <v>4</v>
      </c>
      <c r="AR7">
        <f t="shared" si="22"/>
        <v>0</v>
      </c>
      <c r="AS7">
        <f t="shared" si="23"/>
        <v>0</v>
      </c>
      <c r="AT7">
        <f t="shared" si="24"/>
        <v>1.3333333333333333</v>
      </c>
      <c r="AU7">
        <f t="shared" si="25"/>
        <v>4</v>
      </c>
      <c r="AV7">
        <f t="shared" si="26"/>
        <v>0</v>
      </c>
      <c r="AW7">
        <f t="shared" si="27"/>
        <v>0</v>
      </c>
      <c r="AX7">
        <f t="shared" si="28"/>
        <v>3.333333333333333</v>
      </c>
      <c r="AY7">
        <f t="shared" si="29"/>
        <v>2</v>
      </c>
      <c r="AZ7">
        <f t="shared" si="30"/>
        <v>0</v>
      </c>
      <c r="BA7">
        <f t="shared" si="31"/>
        <v>0</v>
      </c>
      <c r="BC7">
        <f t="shared" si="32"/>
        <v>4</v>
      </c>
      <c r="BD7">
        <f t="shared" si="33"/>
        <v>5</v>
      </c>
      <c r="BE7">
        <f t="shared" si="34"/>
        <v>0</v>
      </c>
      <c r="BF7">
        <f t="shared" si="35"/>
        <v>0</v>
      </c>
      <c r="BG7">
        <f t="shared" si="36"/>
        <v>1</v>
      </c>
      <c r="BH7">
        <f t="shared" si="37"/>
        <v>2</v>
      </c>
      <c r="BI7">
        <f t="shared" si="38"/>
        <v>0</v>
      </c>
      <c r="BJ7">
        <f t="shared" si="39"/>
        <v>0</v>
      </c>
      <c r="BK7">
        <f t="shared" si="40"/>
        <v>1</v>
      </c>
      <c r="BL7">
        <f t="shared" si="41"/>
        <v>2</v>
      </c>
      <c r="BM7">
        <f t="shared" si="42"/>
        <v>0</v>
      </c>
      <c r="BN7">
        <f t="shared" si="43"/>
        <v>0</v>
      </c>
      <c r="BO7">
        <f t="shared" si="44"/>
        <v>2</v>
      </c>
      <c r="BP7">
        <f t="shared" si="45"/>
        <v>1</v>
      </c>
      <c r="BQ7">
        <f t="shared" si="46"/>
        <v>0</v>
      </c>
      <c r="BR7">
        <f t="shared" si="47"/>
        <v>0</v>
      </c>
    </row>
    <row r="8" spans="1:70">
      <c r="A8" t="str">
        <f>'time 1'!B7</f>
        <v>&lt;test.BallonFactory: java.awt.Rectangle getTextBounds(int,int,int,int)&gt;</v>
      </c>
      <c r="B8">
        <f>AVERAGE('time 1'!D7/'time 1'!C7,'time 2'!D7/'time 2'!C7,'time 3'!D7/'time 3'!C7)</f>
        <v>0.99375367248592272</v>
      </c>
      <c r="C8">
        <f>AVERAGE('time 1'!F7/'time 1'!E7,'time 2'!F7/'time 2'!E7,'time 3'!F7/'time 3'!E7)</f>
        <v>1.1622409403873444</v>
      </c>
      <c r="D8">
        <f>AVERAGE('time 1'!H7/'time 1'!G7,'time 2'!H7/'time 2'!G7,'time 3'!H7/'time 3'!G7)</f>
        <v>1.2239850752040933</v>
      </c>
      <c r="E8">
        <f>AVERAGE('time 1'!J7/'time 2'!I7,'time 2'!J7/'time 2'!I7,'time 3'!J7/'time 3'!I7)</f>
        <v>1.128400619614677</v>
      </c>
      <c r="F8">
        <f>AVERAGE('time 1'!L7/'time 1'!K7,'time 2'!L7/'time 2'!K7,'time 3'!L7/'time 3'!K7)</f>
        <v>1.0607875117011893</v>
      </c>
      <c r="G8">
        <f>AVERAGE('time 1'!N7/'time 1'!M7,'time 2'!N7/'time 2'!M7,'time 3'!N7/'time 3'!M7)</f>
        <v>1.1195830542535143</v>
      </c>
      <c r="H8">
        <f>AVERAGE('time 1'!P7/'time 1'!O7,'time 2'!P7/'time 2'!O7,'time 3'!P7/'time 3'!O7)</f>
        <v>1.202341230047695</v>
      </c>
      <c r="I8">
        <f>AVERAGE('time 1'!R7/'time 1'!Q7,'time 2'!R7/'time 2'!Q7,'time 3'!R7/'time 3'!Q7)</f>
        <v>1.1124935719913915</v>
      </c>
      <c r="J8">
        <f>AVERAGE('time 1'!T7/'time 1'!S7,'time 2'!T7/'time 2'!S7,'time 3'!T7/'time 3'!S7)</f>
        <v>1.1331207654379114</v>
      </c>
      <c r="K8">
        <f t="shared" si="3"/>
        <v>1</v>
      </c>
      <c r="L8">
        <f t="shared" si="4"/>
        <v>8</v>
      </c>
      <c r="M8">
        <f t="shared" si="5"/>
        <v>0</v>
      </c>
      <c r="N8">
        <f t="shared" si="6"/>
        <v>0</v>
      </c>
      <c r="O8">
        <f t="shared" si="7"/>
        <v>1</v>
      </c>
      <c r="P8">
        <f t="shared" si="48"/>
        <v>2</v>
      </c>
      <c r="Q8">
        <f t="shared" si="49"/>
        <v>0</v>
      </c>
      <c r="R8">
        <f t="shared" si="8"/>
        <v>0</v>
      </c>
      <c r="S8">
        <f t="shared" si="9"/>
        <v>0</v>
      </c>
      <c r="T8">
        <f t="shared" si="10"/>
        <v>3</v>
      </c>
      <c r="U8">
        <f t="shared" si="11"/>
        <v>0</v>
      </c>
      <c r="V8">
        <f t="shared" si="12"/>
        <v>0</v>
      </c>
      <c r="W8">
        <f t="shared" si="13"/>
        <v>0</v>
      </c>
      <c r="X8">
        <f t="shared" si="14"/>
        <v>3</v>
      </c>
      <c r="Y8">
        <f t="shared" si="15"/>
        <v>0</v>
      </c>
      <c r="Z8">
        <f t="shared" si="16"/>
        <v>0</v>
      </c>
      <c r="AB8">
        <f>AVERAGE('accuracy dom5dom4'!$C8,'accuracy dom51dom41'!$C8,'accuracy dom52dom42'!$C8)</f>
        <v>0</v>
      </c>
      <c r="AC8">
        <f>AVERAGE('accuracy dom5dom4'!$G8,'accuracy dom51dom41'!$G8,'accuracy dom52dom42'!$G8)</f>
        <v>0</v>
      </c>
      <c r="AD8">
        <f>AVERAGE('accuracy dom5dom4'!$AB8,'accuracy dom51dom41'!$AB8,'accuracy dom52dom42'!$AB8)</f>
        <v>0</v>
      </c>
      <c r="AE8">
        <f>AVERAGE('accuracy dom7dom6'!$C8,'accuracy dom71dom61'!$C8,'accuracy dom72dom62'!$C8)</f>
        <v>0</v>
      </c>
      <c r="AF8">
        <f>AVERAGE('accuracy dom7dom6'!$G8,'accuracy dom71dom61'!$G8,'accuracy dom72dom62'!$G8)</f>
        <v>0</v>
      </c>
      <c r="AG8">
        <f>AVERAGE('accuracy dom7dom6'!$AB8,'accuracy dom71dom61'!$AB8,'accuracy dom72dom62'!$AB8)</f>
        <v>0</v>
      </c>
      <c r="AH8">
        <f>AVERAGE('accuracy dom9dom8'!$C8,'accuracy dom91dom81'!$C8,'accuracy dom92dom82'!$C8)</f>
        <v>0</v>
      </c>
      <c r="AI8">
        <f>AVERAGE('accuracy dom9dom8'!$G8,'accuracy dom91dom81'!$G8,'accuracy dom92dom82'!$G8)</f>
        <v>0</v>
      </c>
      <c r="AJ8">
        <f>AVERAGE('accuracy dom9dom8'!$AB8,'accuracy dom91dom81'!$AB8,'accuracy dom92dom82'!$AB8)</f>
        <v>0</v>
      </c>
      <c r="AK8">
        <f t="shared" si="17"/>
        <v>0</v>
      </c>
      <c r="AL8">
        <f t="shared" ref="AL8:AL71" si="50">IF($B8&lt;AL$1,$AB8,0)+IF($C8&lt;AL$1,$AC8,0)+ IF($D8&lt;AL$1,$AD8,0)+IF($E8&lt;AL$1,$AE8,0)+IF($F8&lt;AL$1,$AF8,0)+ IF($G8&lt;AL$1,$AG8,0)+IF($H8&lt;AL$1,$AH8,0)+IF($I8&lt;AL$1,$AI8,0)+ IF($J8&lt;AL$1,$AJ8,0)</f>
        <v>0</v>
      </c>
      <c r="AM8">
        <f t="shared" ref="AM8:AM71" si="51">IF($B8&lt;AM$1,$AB8,0)+IF($C8&lt;AM$1,$AC8,0)+ IF($D8&lt;AM$1,$AD8,0)+IF($E8&lt;AM$1,$AE8,0)+IF($F8&lt;AM$1,$AF8,0)+ IF($G8&lt;AM$1,$AG8,0)+IF($H8&lt;AM$1,$AH8,0)+IF($I8&lt;AM$1,$AI8,0)+ IF($J8&lt;AM$1,$AJ8,0)-AL8</f>
        <v>0</v>
      </c>
      <c r="AN8">
        <f t="shared" ref="AN8:AN71" si="52">IF($B8&lt;AN$1,$AB8,0)+IF($C8&lt;AN$1,$AC8,0)+ IF($D8&lt;AN$1,$AD8,0)+IF($E8&lt;AN$1,$AE8,0)+IF($F8&lt;AN$1,$AF8,0)+ IF($G8&lt;AN$1,$AG8,0)+IF($H8&lt;AN$1,$AH8,0)+IF($I8&lt;AN$1,$AI8,0)+ IF($J8&lt;AN$1,$AJ8,0)-AL8-AM8</f>
        <v>0</v>
      </c>
      <c r="AO8">
        <f t="shared" si="19"/>
        <v>0</v>
      </c>
      <c r="AP8">
        <f t="shared" si="20"/>
        <v>0</v>
      </c>
      <c r="AQ8">
        <f t="shared" si="21"/>
        <v>0</v>
      </c>
      <c r="AR8">
        <f t="shared" si="22"/>
        <v>0</v>
      </c>
      <c r="AS8">
        <f t="shared" si="23"/>
        <v>0</v>
      </c>
      <c r="AT8">
        <f t="shared" si="24"/>
        <v>0</v>
      </c>
      <c r="AU8">
        <f t="shared" si="25"/>
        <v>0</v>
      </c>
      <c r="AV8">
        <f t="shared" si="26"/>
        <v>0</v>
      </c>
      <c r="AW8">
        <f t="shared" si="27"/>
        <v>0</v>
      </c>
      <c r="AX8">
        <f t="shared" si="28"/>
        <v>0</v>
      </c>
      <c r="AY8">
        <f t="shared" si="29"/>
        <v>0</v>
      </c>
      <c r="AZ8">
        <f t="shared" si="30"/>
        <v>0</v>
      </c>
      <c r="BA8">
        <f t="shared" si="31"/>
        <v>0</v>
      </c>
      <c r="BC8">
        <f t="shared" si="32"/>
        <v>0</v>
      </c>
      <c r="BD8">
        <f t="shared" si="33"/>
        <v>0</v>
      </c>
      <c r="BE8">
        <f t="shared" si="34"/>
        <v>0</v>
      </c>
      <c r="BF8">
        <f t="shared" si="35"/>
        <v>0</v>
      </c>
      <c r="BG8">
        <f t="shared" si="36"/>
        <v>0</v>
      </c>
      <c r="BH8">
        <f t="shared" si="37"/>
        <v>0</v>
      </c>
      <c r="BI8">
        <f t="shared" si="38"/>
        <v>0</v>
      </c>
      <c r="BJ8">
        <f t="shared" si="39"/>
        <v>0</v>
      </c>
      <c r="BK8">
        <f t="shared" si="40"/>
        <v>0</v>
      </c>
      <c r="BL8">
        <f t="shared" si="41"/>
        <v>0</v>
      </c>
      <c r="BM8">
        <f t="shared" si="42"/>
        <v>0</v>
      </c>
      <c r="BN8">
        <f t="shared" si="43"/>
        <v>0</v>
      </c>
      <c r="BO8">
        <f t="shared" si="44"/>
        <v>0</v>
      </c>
      <c r="BP8">
        <f t="shared" si="45"/>
        <v>0</v>
      </c>
      <c r="BQ8">
        <f t="shared" si="46"/>
        <v>0</v>
      </c>
      <c r="BR8">
        <f t="shared" si="47"/>
        <v>0</v>
      </c>
    </row>
    <row r="9" spans="1:70">
      <c r="A9" t="str">
        <f>'time 1'!B8</f>
        <v>&lt;test.BallonFactory: java.awt.Shape getCirclePath(java.awt.Rectangle)&gt;</v>
      </c>
      <c r="B9">
        <f>AVERAGE('time 1'!D8/'time 1'!C8,'time 2'!D8/'time 2'!C8,'time 3'!D8/'time 3'!C8)</f>
        <v>2.1073029256702274</v>
      </c>
      <c r="C9">
        <f>AVERAGE('time 1'!F8/'time 1'!E8,'time 2'!F8/'time 2'!E8,'time 3'!F8/'time 3'!E8)</f>
        <v>1.6581365993894102</v>
      </c>
      <c r="D9">
        <f>AVERAGE('time 1'!H8/'time 1'!G8,'time 2'!H8/'time 2'!G8,'time 3'!H8/'time 3'!G8)</f>
        <v>2.2237579146615296</v>
      </c>
      <c r="E9">
        <f>AVERAGE('time 1'!J8/'time 2'!I8,'time 2'!J8/'time 2'!I8,'time 3'!J8/'time 3'!I8)</f>
        <v>2.1401047627251431</v>
      </c>
      <c r="F9">
        <f>AVERAGE('time 1'!L8/'time 1'!K8,'time 2'!L8/'time 2'!K8,'time 3'!L8/'time 3'!K8)</f>
        <v>1.6792892903643477</v>
      </c>
      <c r="G9">
        <f>AVERAGE('time 1'!N8/'time 1'!M8,'time 2'!N8/'time 2'!M8,'time 3'!N8/'time 3'!M8)</f>
        <v>1.9597360405479318</v>
      </c>
      <c r="H9">
        <f>AVERAGE('time 1'!P8/'time 1'!O8,'time 2'!P8/'time 2'!O8,'time 3'!P8/'time 3'!O8)</f>
        <v>2.2138004839927206</v>
      </c>
      <c r="I9">
        <f>AVERAGE('time 1'!R8/'time 1'!Q8,'time 2'!R8/'time 2'!Q8,'time 3'!R8/'time 3'!Q8)</f>
        <v>1.4790547872562998</v>
      </c>
      <c r="J9">
        <f>AVERAGE('time 1'!T8/'time 1'!S8,'time 2'!T8/'time 2'!S8,'time 3'!T8/'time 3'!S8)</f>
        <v>2.1459139043955169</v>
      </c>
      <c r="K9">
        <f t="shared" si="3"/>
        <v>0</v>
      </c>
      <c r="L9">
        <f t="shared" si="4"/>
        <v>4</v>
      </c>
      <c r="M9">
        <f t="shared" si="5"/>
        <v>5</v>
      </c>
      <c r="N9">
        <f t="shared" si="6"/>
        <v>0</v>
      </c>
      <c r="O9">
        <f t="shared" si="7"/>
        <v>0</v>
      </c>
      <c r="P9">
        <f t="shared" si="48"/>
        <v>0</v>
      </c>
      <c r="Q9">
        <f t="shared" si="49"/>
        <v>3</v>
      </c>
      <c r="R9">
        <f t="shared" si="8"/>
        <v>0</v>
      </c>
      <c r="S9">
        <f t="shared" si="9"/>
        <v>0</v>
      </c>
      <c r="T9">
        <f t="shared" si="10"/>
        <v>3</v>
      </c>
      <c r="U9">
        <f t="shared" si="11"/>
        <v>0</v>
      </c>
      <c r="V9">
        <f t="shared" si="12"/>
        <v>0</v>
      </c>
      <c r="W9">
        <f t="shared" si="13"/>
        <v>0</v>
      </c>
      <c r="X9">
        <f t="shared" si="14"/>
        <v>1</v>
      </c>
      <c r="Y9">
        <f t="shared" si="15"/>
        <v>2</v>
      </c>
      <c r="Z9">
        <f t="shared" si="16"/>
        <v>0</v>
      </c>
      <c r="AB9">
        <f>AVERAGE('accuracy dom5dom4'!$C9,'accuracy dom51dom41'!$C9,'accuracy dom52dom42'!$C9)</f>
        <v>0</v>
      </c>
      <c r="AC9">
        <f>AVERAGE('accuracy dom5dom4'!$G9,'accuracy dom51dom41'!$G9,'accuracy dom52dom42'!$G9)</f>
        <v>0</v>
      </c>
      <c r="AD9">
        <f>AVERAGE('accuracy dom5dom4'!$AB9,'accuracy dom51dom41'!$AB9,'accuracy dom52dom42'!$AB9)</f>
        <v>0</v>
      </c>
      <c r="AE9">
        <f>AVERAGE('accuracy dom7dom6'!$C9,'accuracy dom71dom61'!$C9,'accuracy dom72dom62'!$C9)</f>
        <v>0</v>
      </c>
      <c r="AF9">
        <f>AVERAGE('accuracy dom7dom6'!$G9,'accuracy dom71dom61'!$G9,'accuracy dom72dom62'!$G9)</f>
        <v>0</v>
      </c>
      <c r="AG9">
        <f>AVERAGE('accuracy dom7dom6'!$AB9,'accuracy dom71dom61'!$AB9,'accuracy dom72dom62'!$AB9)</f>
        <v>0</v>
      </c>
      <c r="AH9">
        <f>AVERAGE('accuracy dom9dom8'!$C9,'accuracy dom91dom81'!$C9,'accuracy dom92dom82'!$C9)</f>
        <v>0</v>
      </c>
      <c r="AI9">
        <f>AVERAGE('accuracy dom9dom8'!$G9,'accuracy dom91dom81'!$G9,'accuracy dom92dom82'!$G9)</f>
        <v>0</v>
      </c>
      <c r="AJ9">
        <f>AVERAGE('accuracy dom9dom8'!$AB9,'accuracy dom91dom81'!$AB9,'accuracy dom92dom82'!$AB9)</f>
        <v>0</v>
      </c>
      <c r="AK9">
        <f t="shared" si="17"/>
        <v>0</v>
      </c>
      <c r="AL9">
        <f t="shared" si="50"/>
        <v>0</v>
      </c>
      <c r="AM9">
        <f t="shared" si="51"/>
        <v>0</v>
      </c>
      <c r="AN9">
        <f t="shared" si="52"/>
        <v>0</v>
      </c>
      <c r="AO9">
        <f t="shared" si="19"/>
        <v>0</v>
      </c>
      <c r="AP9">
        <f t="shared" si="20"/>
        <v>0</v>
      </c>
      <c r="AQ9">
        <f t="shared" si="21"/>
        <v>0</v>
      </c>
      <c r="AR9">
        <f t="shared" si="22"/>
        <v>0</v>
      </c>
      <c r="AS9">
        <f t="shared" si="23"/>
        <v>0</v>
      </c>
      <c r="AT9">
        <f t="shared" si="24"/>
        <v>0</v>
      </c>
      <c r="AU9">
        <f t="shared" si="25"/>
        <v>0</v>
      </c>
      <c r="AV9">
        <f t="shared" si="26"/>
        <v>0</v>
      </c>
      <c r="AW9">
        <f t="shared" si="27"/>
        <v>0</v>
      </c>
      <c r="AX9">
        <f t="shared" si="28"/>
        <v>0</v>
      </c>
      <c r="AY9">
        <f t="shared" si="29"/>
        <v>0</v>
      </c>
      <c r="AZ9">
        <f t="shared" si="30"/>
        <v>0</v>
      </c>
      <c r="BA9">
        <f t="shared" si="31"/>
        <v>0</v>
      </c>
      <c r="BC9">
        <f t="shared" si="32"/>
        <v>0</v>
      </c>
      <c r="BD9">
        <f t="shared" si="33"/>
        <v>0</v>
      </c>
      <c r="BE9">
        <f t="shared" si="34"/>
        <v>0</v>
      </c>
      <c r="BF9">
        <f t="shared" si="35"/>
        <v>0</v>
      </c>
      <c r="BG9">
        <f t="shared" si="36"/>
        <v>0</v>
      </c>
      <c r="BH9">
        <f t="shared" si="37"/>
        <v>0</v>
      </c>
      <c r="BI9">
        <f t="shared" si="38"/>
        <v>0</v>
      </c>
      <c r="BJ9">
        <f t="shared" si="39"/>
        <v>0</v>
      </c>
      <c r="BK9">
        <f t="shared" si="40"/>
        <v>0</v>
      </c>
      <c r="BL9">
        <f t="shared" si="41"/>
        <v>0</v>
      </c>
      <c r="BM9">
        <f t="shared" si="42"/>
        <v>0</v>
      </c>
      <c r="BN9">
        <f t="shared" si="43"/>
        <v>0</v>
      </c>
      <c r="BO9">
        <f t="shared" si="44"/>
        <v>0</v>
      </c>
      <c r="BP9">
        <f t="shared" si="45"/>
        <v>0</v>
      </c>
      <c r="BQ9">
        <f t="shared" si="46"/>
        <v>0</v>
      </c>
      <c r="BR9">
        <f t="shared" si="47"/>
        <v>0</v>
      </c>
    </row>
    <row r="10" spans="1:70">
      <c r="A10" t="str">
        <f>'time 1'!B9</f>
        <v>&lt;test.BallonFactory: java.awt.Shape[] getArrow(int,int)&gt;</v>
      </c>
      <c r="B10">
        <f>AVERAGE('time 1'!D9/'time 1'!C9,'time 2'!D9/'time 2'!C9,'time 3'!D9/'time 3'!C9)</f>
        <v>1.0611754977104702</v>
      </c>
      <c r="C10">
        <f>AVERAGE('time 1'!F9/'time 1'!E9,'time 2'!F9/'time 2'!E9,'time 3'!F9/'time 3'!E9)</f>
        <v>1.1012294752609313</v>
      </c>
      <c r="D10">
        <f>AVERAGE('time 1'!H9/'time 1'!G9,'time 2'!H9/'time 2'!G9,'time 3'!H9/'time 3'!G9)</f>
        <v>1.2324940706439784</v>
      </c>
      <c r="E10">
        <f>AVERAGE('time 1'!J9/'time 2'!I9,'time 2'!J9/'time 2'!I9,'time 3'!J9/'time 3'!I9)</f>
        <v>1.0651661672495873</v>
      </c>
      <c r="F10">
        <f>AVERAGE('time 1'!L9/'time 1'!K9,'time 2'!L9/'time 2'!K9,'time 3'!L9/'time 3'!K9)</f>
        <v>0.98586154619649358</v>
      </c>
      <c r="G10">
        <f>AVERAGE('time 1'!N9/'time 1'!M9,'time 2'!N9/'time 2'!M9,'time 3'!N9/'time 3'!M9)</f>
        <v>1.0504020811938284</v>
      </c>
      <c r="H10">
        <f>AVERAGE('time 1'!P9/'time 1'!O9,'time 2'!P9/'time 2'!O9,'time 3'!P9/'time 3'!O9)</f>
        <v>1.0381364413854779</v>
      </c>
      <c r="I10">
        <f>AVERAGE('time 1'!R9/'time 1'!Q9,'time 2'!R9/'time 2'!Q9,'time 3'!R9/'time 3'!Q9)</f>
        <v>0.99366657454463236</v>
      </c>
      <c r="J10">
        <f>AVERAGE('time 1'!T9/'time 1'!S9,'time 2'!T9/'time 2'!S9,'time 3'!T9/'time 3'!S9)</f>
        <v>1.0896895067885395</v>
      </c>
      <c r="K10">
        <f t="shared" si="3"/>
        <v>2</v>
      </c>
      <c r="L10">
        <f t="shared" si="4"/>
        <v>7</v>
      </c>
      <c r="M10">
        <f t="shared" si="5"/>
        <v>0</v>
      </c>
      <c r="N10">
        <f t="shared" si="6"/>
        <v>0</v>
      </c>
      <c r="O10">
        <f t="shared" si="7"/>
        <v>0</v>
      </c>
      <c r="P10">
        <f t="shared" si="48"/>
        <v>3</v>
      </c>
      <c r="Q10">
        <f t="shared" si="49"/>
        <v>0</v>
      </c>
      <c r="R10">
        <f t="shared" si="8"/>
        <v>0</v>
      </c>
      <c r="S10">
        <f t="shared" si="9"/>
        <v>2</v>
      </c>
      <c r="T10">
        <f t="shared" si="10"/>
        <v>1</v>
      </c>
      <c r="U10">
        <f t="shared" si="11"/>
        <v>0</v>
      </c>
      <c r="V10">
        <f t="shared" si="12"/>
        <v>0</v>
      </c>
      <c r="W10">
        <f t="shared" si="13"/>
        <v>0</v>
      </c>
      <c r="X10">
        <f t="shared" si="14"/>
        <v>3</v>
      </c>
      <c r="Y10">
        <f t="shared" si="15"/>
        <v>0</v>
      </c>
      <c r="Z10">
        <f t="shared" si="16"/>
        <v>0</v>
      </c>
      <c r="AB10">
        <f>AVERAGE('accuracy dom5dom4'!$C10,'accuracy dom51dom41'!$C10,'accuracy dom52dom42'!$C10)</f>
        <v>2.6666666666666665</v>
      </c>
      <c r="AC10">
        <f>AVERAGE('accuracy dom5dom4'!$G10,'accuracy dom51dom41'!$G10,'accuracy dom52dom42'!$G10)</f>
        <v>2.6666666666666665</v>
      </c>
      <c r="AD10">
        <f>AVERAGE('accuracy dom5dom4'!$AB10,'accuracy dom51dom41'!$AB10,'accuracy dom52dom42'!$AB10)</f>
        <v>2.6666666666666665</v>
      </c>
      <c r="AE10">
        <f>AVERAGE('accuracy dom7dom6'!$C10,'accuracy dom71dom61'!$C10,'accuracy dom72dom62'!$C10)</f>
        <v>2.6666666666666665</v>
      </c>
      <c r="AF10">
        <f>AVERAGE('accuracy dom7dom6'!$G10,'accuracy dom71dom61'!$G10,'accuracy dom72dom62'!$G10)</f>
        <v>2.6666666666666665</v>
      </c>
      <c r="AG10">
        <f>AVERAGE('accuracy dom7dom6'!$AB10,'accuracy dom71dom61'!$AB10,'accuracy dom72dom62'!$AB10)</f>
        <v>2.6666666666666665</v>
      </c>
      <c r="AH10">
        <f>AVERAGE('accuracy dom9dom8'!$C10,'accuracy dom91dom81'!$C10,'accuracy dom92dom82'!$C10)</f>
        <v>3.6666666666666665</v>
      </c>
      <c r="AI10">
        <f>AVERAGE('accuracy dom9dom8'!$G10,'accuracy dom91dom81'!$G10,'accuracy dom92dom82'!$G10)</f>
        <v>3.6666666666666665</v>
      </c>
      <c r="AJ10">
        <f>AVERAGE('accuracy dom9dom8'!$AB10,'accuracy dom91dom81'!$AB10,'accuracy dom92dom82'!$AB10)</f>
        <v>3.6666666666666665</v>
      </c>
      <c r="AK10">
        <f t="shared" si="17"/>
        <v>9</v>
      </c>
      <c r="AL10">
        <f t="shared" si="50"/>
        <v>6.333333333333333</v>
      </c>
      <c r="AM10">
        <f t="shared" si="51"/>
        <v>20.666666666666668</v>
      </c>
      <c r="AN10">
        <f t="shared" si="52"/>
        <v>0</v>
      </c>
      <c r="AO10">
        <f t="shared" si="19"/>
        <v>0</v>
      </c>
      <c r="AP10">
        <f t="shared" si="20"/>
        <v>0</v>
      </c>
      <c r="AQ10">
        <f t="shared" si="21"/>
        <v>9</v>
      </c>
      <c r="AR10">
        <f t="shared" si="22"/>
        <v>0</v>
      </c>
      <c r="AS10">
        <f t="shared" si="23"/>
        <v>0</v>
      </c>
      <c r="AT10">
        <f t="shared" si="24"/>
        <v>6.333333333333333</v>
      </c>
      <c r="AU10">
        <f t="shared" si="25"/>
        <v>2.666666666666667</v>
      </c>
      <c r="AV10">
        <f t="shared" si="26"/>
        <v>0</v>
      </c>
      <c r="AW10">
        <f t="shared" si="27"/>
        <v>0</v>
      </c>
      <c r="AX10">
        <f t="shared" si="28"/>
        <v>0</v>
      </c>
      <c r="AY10">
        <f t="shared" si="29"/>
        <v>9</v>
      </c>
      <c r="AZ10">
        <f t="shared" si="30"/>
        <v>0</v>
      </c>
      <c r="BA10">
        <f t="shared" si="31"/>
        <v>0</v>
      </c>
      <c r="BC10">
        <f t="shared" si="32"/>
        <v>2</v>
      </c>
      <c r="BD10">
        <f t="shared" si="33"/>
        <v>7</v>
      </c>
      <c r="BE10">
        <f t="shared" si="34"/>
        <v>0</v>
      </c>
      <c r="BF10">
        <f t="shared" si="35"/>
        <v>0</v>
      </c>
      <c r="BG10">
        <f t="shared" si="36"/>
        <v>0</v>
      </c>
      <c r="BH10">
        <f t="shared" si="37"/>
        <v>3</v>
      </c>
      <c r="BI10">
        <f t="shared" si="38"/>
        <v>0</v>
      </c>
      <c r="BJ10">
        <f t="shared" si="39"/>
        <v>0</v>
      </c>
      <c r="BK10">
        <f t="shared" si="40"/>
        <v>2</v>
      </c>
      <c r="BL10">
        <f t="shared" si="41"/>
        <v>1</v>
      </c>
      <c r="BM10">
        <f t="shared" si="42"/>
        <v>0</v>
      </c>
      <c r="BN10">
        <f t="shared" si="43"/>
        <v>0</v>
      </c>
      <c r="BO10">
        <f t="shared" si="44"/>
        <v>0</v>
      </c>
      <c r="BP10">
        <f t="shared" si="45"/>
        <v>3</v>
      </c>
      <c r="BQ10">
        <f t="shared" si="46"/>
        <v>0</v>
      </c>
      <c r="BR10">
        <f t="shared" si="47"/>
        <v>0</v>
      </c>
    </row>
    <row r="11" spans="1:70">
      <c r="A11" t="str">
        <f>'time 1'!B10</f>
        <v>&lt;test.BallonFactory: java.util.ArrayList getLines(java.awt.FontMetrics,java.lang.String,double,int)&gt;</v>
      </c>
      <c r="B11">
        <f>AVERAGE('time 1'!D10/'time 1'!C10,'time 2'!D10/'time 2'!C10,'time 3'!D10/'time 3'!C10)</f>
        <v>1.2863109748255264</v>
      </c>
      <c r="C11">
        <f>AVERAGE('time 1'!F10/'time 1'!E10,'time 2'!F10/'time 2'!E10,'time 3'!F10/'time 3'!E10)</f>
        <v>1.1496024458748246</v>
      </c>
      <c r="D11">
        <f>AVERAGE('time 1'!H10/'time 1'!G10,'time 2'!H10/'time 2'!G10,'time 3'!H10/'time 3'!G10)</f>
        <v>1.2824181199590887</v>
      </c>
      <c r="E11">
        <f>AVERAGE('time 1'!J10/'time 2'!I10,'time 2'!J10/'time 2'!I10,'time 3'!J10/'time 3'!I10)</f>
        <v>1.363575279702723</v>
      </c>
      <c r="F11">
        <f>AVERAGE('time 1'!L10/'time 1'!K10,'time 2'!L10/'time 2'!K10,'time 3'!L10/'time 3'!K10)</f>
        <v>1.4776795061687429</v>
      </c>
      <c r="G11">
        <f>AVERAGE('time 1'!N10/'time 1'!M10,'time 2'!N10/'time 2'!M10,'time 3'!N10/'time 3'!M10)</f>
        <v>1.2026193926433619</v>
      </c>
      <c r="H11">
        <f>AVERAGE('time 1'!P10/'time 1'!O10,'time 2'!P10/'time 2'!O10,'time 3'!P10/'time 3'!O10)</f>
        <v>1.3129848754169819</v>
      </c>
      <c r="I11">
        <f>AVERAGE('time 1'!R10/'time 1'!Q10,'time 2'!R10/'time 2'!Q10,'time 3'!R10/'time 3'!Q10)</f>
        <v>1.040177498425823</v>
      </c>
      <c r="J11">
        <f>AVERAGE('time 1'!T10/'time 1'!S10,'time 2'!T10/'time 2'!S10,'time 3'!T10/'time 3'!S10)</f>
        <v>1.2874900424346587</v>
      </c>
      <c r="K11">
        <f t="shared" si="3"/>
        <v>0</v>
      </c>
      <c r="L11">
        <f t="shared" si="4"/>
        <v>9</v>
      </c>
      <c r="M11">
        <f t="shared" si="5"/>
        <v>0</v>
      </c>
      <c r="N11">
        <f t="shared" si="6"/>
        <v>0</v>
      </c>
      <c r="O11">
        <f t="shared" si="7"/>
        <v>0</v>
      </c>
      <c r="P11">
        <f t="shared" si="48"/>
        <v>3</v>
      </c>
      <c r="Q11">
        <f t="shared" si="49"/>
        <v>0</v>
      </c>
      <c r="R11">
        <f t="shared" si="8"/>
        <v>0</v>
      </c>
      <c r="S11">
        <f t="shared" si="9"/>
        <v>0</v>
      </c>
      <c r="T11">
        <f t="shared" si="10"/>
        <v>3</v>
      </c>
      <c r="U11">
        <f t="shared" si="11"/>
        <v>0</v>
      </c>
      <c r="V11">
        <f t="shared" si="12"/>
        <v>0</v>
      </c>
      <c r="W11">
        <f t="shared" si="13"/>
        <v>0</v>
      </c>
      <c r="X11">
        <f t="shared" si="14"/>
        <v>3</v>
      </c>
      <c r="Y11">
        <f t="shared" si="15"/>
        <v>0</v>
      </c>
      <c r="Z11">
        <f t="shared" si="16"/>
        <v>0</v>
      </c>
      <c r="AB11">
        <f>AVERAGE('accuracy dom5dom4'!$C11,'accuracy dom51dom41'!$C11,'accuracy dom52dom42'!$C11)</f>
        <v>0</v>
      </c>
      <c r="AC11">
        <f>AVERAGE('accuracy dom5dom4'!$G11,'accuracy dom51dom41'!$G11,'accuracy dom52dom42'!$G11)</f>
        <v>0</v>
      </c>
      <c r="AD11">
        <f>AVERAGE('accuracy dom5dom4'!$AB11,'accuracy dom51dom41'!$AB11,'accuracy dom52dom42'!$AB11)</f>
        <v>0</v>
      </c>
      <c r="AE11">
        <f>AVERAGE('accuracy dom7dom6'!$C11,'accuracy dom71dom61'!$C11,'accuracy dom72dom62'!$C11)</f>
        <v>0</v>
      </c>
      <c r="AF11">
        <f>AVERAGE('accuracy dom7dom6'!$G11,'accuracy dom71dom61'!$G11,'accuracy dom72dom62'!$G11)</f>
        <v>0</v>
      </c>
      <c r="AG11">
        <f>AVERAGE('accuracy dom7dom6'!$AB11,'accuracy dom71dom61'!$AB11,'accuracy dom72dom62'!$AB11)</f>
        <v>0</v>
      </c>
      <c r="AH11">
        <f>AVERAGE('accuracy dom9dom8'!$C11,'accuracy dom91dom81'!$C11,'accuracy dom92dom82'!$C11)</f>
        <v>0</v>
      </c>
      <c r="AI11">
        <f>AVERAGE('accuracy dom9dom8'!$G11,'accuracy dom91dom81'!$G11,'accuracy dom92dom82'!$G11)</f>
        <v>0</v>
      </c>
      <c r="AJ11">
        <f>AVERAGE('accuracy dom9dom8'!$AB11,'accuracy dom91dom81'!$AB11,'accuracy dom92dom82'!$AB11)</f>
        <v>0</v>
      </c>
      <c r="AK11">
        <f t="shared" si="17"/>
        <v>0</v>
      </c>
      <c r="AL11">
        <f t="shared" si="50"/>
        <v>0</v>
      </c>
      <c r="AM11">
        <f t="shared" si="51"/>
        <v>0</v>
      </c>
      <c r="AN11">
        <f t="shared" si="52"/>
        <v>0</v>
      </c>
      <c r="AO11">
        <f t="shared" si="19"/>
        <v>0</v>
      </c>
      <c r="AP11">
        <f t="shared" si="20"/>
        <v>0</v>
      </c>
      <c r="AQ11">
        <f t="shared" si="21"/>
        <v>0</v>
      </c>
      <c r="AR11">
        <f t="shared" si="22"/>
        <v>0</v>
      </c>
      <c r="AS11">
        <f t="shared" si="23"/>
        <v>0</v>
      </c>
      <c r="AT11">
        <f t="shared" si="24"/>
        <v>0</v>
      </c>
      <c r="AU11">
        <f t="shared" si="25"/>
        <v>0</v>
      </c>
      <c r="AV11">
        <f t="shared" si="26"/>
        <v>0</v>
      </c>
      <c r="AW11">
        <f t="shared" si="27"/>
        <v>0</v>
      </c>
      <c r="AX11">
        <f t="shared" si="28"/>
        <v>0</v>
      </c>
      <c r="AY11">
        <f t="shared" si="29"/>
        <v>0</v>
      </c>
      <c r="AZ11">
        <f t="shared" si="30"/>
        <v>0</v>
      </c>
      <c r="BA11">
        <f t="shared" si="31"/>
        <v>0</v>
      </c>
      <c r="BC11">
        <f t="shared" si="32"/>
        <v>0</v>
      </c>
      <c r="BD11">
        <f t="shared" si="33"/>
        <v>0</v>
      </c>
      <c r="BE11">
        <f t="shared" si="34"/>
        <v>0</v>
      </c>
      <c r="BF11">
        <f t="shared" si="35"/>
        <v>0</v>
      </c>
      <c r="BG11">
        <f t="shared" si="36"/>
        <v>0</v>
      </c>
      <c r="BH11">
        <f t="shared" si="37"/>
        <v>0</v>
      </c>
      <c r="BI11">
        <f t="shared" si="38"/>
        <v>0</v>
      </c>
      <c r="BJ11">
        <f t="shared" si="39"/>
        <v>0</v>
      </c>
      <c r="BK11">
        <f t="shared" si="40"/>
        <v>0</v>
      </c>
      <c r="BL11">
        <f t="shared" si="41"/>
        <v>0</v>
      </c>
      <c r="BM11">
        <f t="shared" si="42"/>
        <v>0</v>
      </c>
      <c r="BN11">
        <f t="shared" si="43"/>
        <v>0</v>
      </c>
      <c r="BO11">
        <f t="shared" si="44"/>
        <v>0</v>
      </c>
      <c r="BP11">
        <f t="shared" si="45"/>
        <v>0</v>
      </c>
      <c r="BQ11">
        <f t="shared" si="46"/>
        <v>0</v>
      </c>
      <c r="BR11">
        <f t="shared" si="47"/>
        <v>0</v>
      </c>
    </row>
    <row r="12" spans="1:70">
      <c r="A12" t="str">
        <f>'time 1'!B11</f>
        <v>&lt;test.Base64: boolean isData(byte)&gt;</v>
      </c>
      <c r="B12">
        <f>AVERAGE('time 1'!D11/'time 1'!C11,'time 2'!D11/'time 2'!C11,'time 3'!D11/'time 3'!C11)</f>
        <v>0.96969696969696972</v>
      </c>
      <c r="C12">
        <f>AVERAGE('time 1'!F11/'time 1'!E11,'time 2'!F11/'time 2'!E11,'time 3'!F11/'time 3'!E11)</f>
        <v>1.0139670459522216</v>
      </c>
      <c r="D12">
        <f>AVERAGE('time 1'!H11/'time 1'!G11,'time 2'!H11/'time 2'!G11,'time 3'!H11/'time 3'!G11)</f>
        <v>0.82194616977225676</v>
      </c>
      <c r="E12">
        <f>AVERAGE('time 1'!J11/'time 2'!I11,'time 2'!J11/'time 2'!I11,'time 3'!J11/'time 3'!I11)</f>
        <v>0.97435897435897445</v>
      </c>
      <c r="F12">
        <f>AVERAGE('time 1'!L11/'time 1'!K11,'time 2'!L11/'time 2'!K11,'time 3'!L11/'time 3'!K11)</f>
        <v>0.99678937819831581</v>
      </c>
      <c r="G12">
        <f>AVERAGE('time 1'!N11/'time 1'!M11,'time 2'!N11/'time 2'!M11,'time 3'!N11/'time 3'!M11)</f>
        <v>1.0196969696969698</v>
      </c>
      <c r="H12">
        <f>AVERAGE('time 1'!P11/'time 1'!O11,'time 2'!P11/'time 2'!O11,'time 3'!P11/'time 3'!O11)</f>
        <v>1.0003584229390681</v>
      </c>
      <c r="I12">
        <f>AVERAGE('time 1'!R11/'time 1'!Q11,'time 2'!R11/'time 2'!Q11,'time 3'!R11/'time 3'!Q11)</f>
        <v>1.0095511793995833</v>
      </c>
      <c r="J12">
        <f>AVERAGE('time 1'!T11/'time 1'!S11,'time 2'!T11/'time 2'!S11,'time 3'!T11/'time 3'!S11)</f>
        <v>0.97222222222222232</v>
      </c>
      <c r="K12">
        <f t="shared" si="3"/>
        <v>5</v>
      </c>
      <c r="L12">
        <f t="shared" si="4"/>
        <v>4</v>
      </c>
      <c r="M12">
        <f t="shared" si="5"/>
        <v>0</v>
      </c>
      <c r="N12">
        <f t="shared" si="6"/>
        <v>0</v>
      </c>
      <c r="O12">
        <f t="shared" si="7"/>
        <v>2</v>
      </c>
      <c r="P12">
        <f t="shared" si="48"/>
        <v>1</v>
      </c>
      <c r="Q12">
        <f t="shared" si="49"/>
        <v>0</v>
      </c>
      <c r="R12">
        <f t="shared" si="8"/>
        <v>0</v>
      </c>
      <c r="S12">
        <f t="shared" si="9"/>
        <v>1</v>
      </c>
      <c r="T12">
        <f t="shared" si="10"/>
        <v>2</v>
      </c>
      <c r="U12">
        <f t="shared" si="11"/>
        <v>0</v>
      </c>
      <c r="V12">
        <f t="shared" si="12"/>
        <v>0</v>
      </c>
      <c r="W12">
        <f t="shared" si="13"/>
        <v>2</v>
      </c>
      <c r="X12">
        <f t="shared" si="14"/>
        <v>1</v>
      </c>
      <c r="Y12">
        <f t="shared" si="15"/>
        <v>0</v>
      </c>
      <c r="Z12">
        <f t="shared" si="16"/>
        <v>0</v>
      </c>
      <c r="AB12">
        <f>AVERAGE('accuracy dom5dom4'!$C12,'accuracy dom51dom41'!$C12,'accuracy dom52dom42'!$C12)</f>
        <v>0</v>
      </c>
      <c r="AC12">
        <f>AVERAGE('accuracy dom5dom4'!$G12,'accuracy dom51dom41'!$G12,'accuracy dom52dom42'!$G12)</f>
        <v>0</v>
      </c>
      <c r="AD12">
        <f>AVERAGE('accuracy dom5dom4'!$AB12,'accuracy dom51dom41'!$AB12,'accuracy dom52dom42'!$AB12)</f>
        <v>0</v>
      </c>
      <c r="AE12">
        <f>AVERAGE('accuracy dom7dom6'!$C12,'accuracy dom71dom61'!$C12,'accuracy dom72dom62'!$C12)</f>
        <v>0</v>
      </c>
      <c r="AF12">
        <f>AVERAGE('accuracy dom7dom6'!$G12,'accuracy dom71dom61'!$G12,'accuracy dom72dom62'!$G12)</f>
        <v>0</v>
      </c>
      <c r="AG12">
        <f>AVERAGE('accuracy dom7dom6'!$AB12,'accuracy dom71dom61'!$AB12,'accuracy dom72dom62'!$AB12)</f>
        <v>0</v>
      </c>
      <c r="AH12">
        <f>AVERAGE('accuracy dom9dom8'!$C12,'accuracy dom91dom81'!$C12,'accuracy dom92dom82'!$C12)</f>
        <v>0</v>
      </c>
      <c r="AI12">
        <f>AVERAGE('accuracy dom9dom8'!$G12,'accuracy dom91dom81'!$G12,'accuracy dom92dom82'!$G12)</f>
        <v>0</v>
      </c>
      <c r="AJ12">
        <f>AVERAGE('accuracy dom9dom8'!$AB12,'accuracy dom91dom81'!$AB12,'accuracy dom92dom82'!$AB12)</f>
        <v>0</v>
      </c>
      <c r="AK12">
        <f t="shared" si="17"/>
        <v>0</v>
      </c>
      <c r="AL12">
        <f t="shared" si="50"/>
        <v>0</v>
      </c>
      <c r="AM12">
        <f t="shared" si="51"/>
        <v>0</v>
      </c>
      <c r="AN12">
        <f t="shared" si="52"/>
        <v>0</v>
      </c>
      <c r="AO12">
        <f t="shared" si="19"/>
        <v>0</v>
      </c>
      <c r="AP12">
        <f t="shared" si="20"/>
        <v>0</v>
      </c>
      <c r="AQ12">
        <f t="shared" si="21"/>
        <v>0</v>
      </c>
      <c r="AR12">
        <f t="shared" si="22"/>
        <v>0</v>
      </c>
      <c r="AS12">
        <f t="shared" si="23"/>
        <v>0</v>
      </c>
      <c r="AT12">
        <f t="shared" si="24"/>
        <v>0</v>
      </c>
      <c r="AU12">
        <f t="shared" si="25"/>
        <v>0</v>
      </c>
      <c r="AV12">
        <f t="shared" si="26"/>
        <v>0</v>
      </c>
      <c r="AW12">
        <f t="shared" si="27"/>
        <v>0</v>
      </c>
      <c r="AX12">
        <f t="shared" si="28"/>
        <v>0</v>
      </c>
      <c r="AY12">
        <f t="shared" si="29"/>
        <v>0</v>
      </c>
      <c r="AZ12">
        <f t="shared" si="30"/>
        <v>0</v>
      </c>
      <c r="BA12">
        <f t="shared" si="31"/>
        <v>0</v>
      </c>
      <c r="BC12">
        <f t="shared" si="32"/>
        <v>0</v>
      </c>
      <c r="BD12">
        <f t="shared" si="33"/>
        <v>0</v>
      </c>
      <c r="BE12">
        <f t="shared" si="34"/>
        <v>0</v>
      </c>
      <c r="BF12">
        <f t="shared" si="35"/>
        <v>0</v>
      </c>
      <c r="BG12">
        <f t="shared" si="36"/>
        <v>0</v>
      </c>
      <c r="BH12">
        <f t="shared" si="37"/>
        <v>0</v>
      </c>
      <c r="BI12">
        <f t="shared" si="38"/>
        <v>0</v>
      </c>
      <c r="BJ12">
        <f t="shared" si="39"/>
        <v>0</v>
      </c>
      <c r="BK12">
        <f t="shared" si="40"/>
        <v>0</v>
      </c>
      <c r="BL12">
        <f t="shared" si="41"/>
        <v>0</v>
      </c>
      <c r="BM12">
        <f t="shared" si="42"/>
        <v>0</v>
      </c>
      <c r="BN12">
        <f t="shared" si="43"/>
        <v>0</v>
      </c>
      <c r="BO12">
        <f t="shared" si="44"/>
        <v>0</v>
      </c>
      <c r="BP12">
        <f t="shared" si="45"/>
        <v>0</v>
      </c>
      <c r="BQ12">
        <f t="shared" si="46"/>
        <v>0</v>
      </c>
      <c r="BR12">
        <f t="shared" si="47"/>
        <v>0</v>
      </c>
    </row>
    <row r="13" spans="1:70">
      <c r="A13" t="str">
        <f>'time 1'!B12</f>
        <v>&lt;test.Base64: boolean isPad(byte)&gt;</v>
      </c>
      <c r="B13">
        <f>AVERAGE('time 1'!D12/'time 1'!C12,'time 2'!D12/'time 2'!C12,'time 3'!D12/'time 3'!C12)</f>
        <v>1.2096491228070176</v>
      </c>
      <c r="C13">
        <f>AVERAGE('time 1'!F12/'time 1'!E12,'time 2'!F12/'time 2'!E12,'time 3'!F12/'time 3'!E12)</f>
        <v>1.2183908045977012</v>
      </c>
      <c r="D13">
        <f>AVERAGE('time 1'!H12/'time 1'!G12,'time 2'!H12/'time 2'!G12,'time 3'!H12/'time 3'!G12)</f>
        <v>0.90666666666666662</v>
      </c>
      <c r="E13">
        <f>AVERAGE('time 1'!J12/'time 2'!I12,'time 2'!J12/'time 2'!I12,'time 3'!J12/'time 3'!I12)</f>
        <v>1.2</v>
      </c>
      <c r="F13">
        <f>AVERAGE('time 1'!L12/'time 1'!K12,'time 2'!L12/'time 2'!K12,'time 3'!L12/'time 3'!K12)</f>
        <v>0.9962395447689566</v>
      </c>
      <c r="G13">
        <f>AVERAGE('time 1'!N12/'time 1'!M12,'time 2'!N12/'time 2'!M12,'time 3'!N12/'time 3'!M12)</f>
        <v>0.98550724637681153</v>
      </c>
      <c r="H13">
        <f>AVERAGE('time 1'!P12/'time 1'!O12,'time 2'!P12/'time 2'!O12,'time 3'!P12/'time 3'!O12)</f>
        <v>0.99964157706093193</v>
      </c>
      <c r="I13">
        <f>AVERAGE('time 1'!R12/'time 1'!Q12,'time 2'!R12/'time 2'!Q12,'time 3'!R12/'time 3'!Q12)</f>
        <v>1.0043567251461989</v>
      </c>
      <c r="J13">
        <f>AVERAGE('time 1'!T12/'time 1'!S12,'time 2'!T12/'time 2'!S12,'time 3'!T12/'time 3'!S12)</f>
        <v>1.2330434782608695</v>
      </c>
      <c r="K13">
        <f t="shared" si="3"/>
        <v>4</v>
      </c>
      <c r="L13">
        <f t="shared" si="4"/>
        <v>5</v>
      </c>
      <c r="M13">
        <f t="shared" si="5"/>
        <v>0</v>
      </c>
      <c r="N13">
        <f t="shared" si="6"/>
        <v>0</v>
      </c>
      <c r="O13">
        <f t="shared" si="7"/>
        <v>1</v>
      </c>
      <c r="P13">
        <f t="shared" si="48"/>
        <v>2</v>
      </c>
      <c r="Q13">
        <f t="shared" si="49"/>
        <v>0</v>
      </c>
      <c r="R13">
        <f t="shared" si="8"/>
        <v>0</v>
      </c>
      <c r="S13">
        <f t="shared" si="9"/>
        <v>1</v>
      </c>
      <c r="T13">
        <f t="shared" si="10"/>
        <v>2</v>
      </c>
      <c r="U13">
        <f t="shared" si="11"/>
        <v>0</v>
      </c>
      <c r="V13">
        <f t="shared" si="12"/>
        <v>0</v>
      </c>
      <c r="W13">
        <f t="shared" si="13"/>
        <v>2</v>
      </c>
      <c r="X13">
        <f t="shared" si="14"/>
        <v>1</v>
      </c>
      <c r="Y13">
        <f t="shared" si="15"/>
        <v>0</v>
      </c>
      <c r="Z13">
        <f t="shared" si="16"/>
        <v>0</v>
      </c>
      <c r="AB13">
        <f>AVERAGE('accuracy dom5dom4'!$C13,'accuracy dom51dom41'!$C13,'accuracy dom52dom42'!$C13)</f>
        <v>0</v>
      </c>
      <c r="AC13">
        <f>AVERAGE('accuracy dom5dom4'!$G13,'accuracy dom51dom41'!$G13,'accuracy dom52dom42'!$G13)</f>
        <v>0</v>
      </c>
      <c r="AD13">
        <f>AVERAGE('accuracy dom5dom4'!$AB13,'accuracy dom51dom41'!$AB13,'accuracy dom52dom42'!$AB13)</f>
        <v>0</v>
      </c>
      <c r="AE13">
        <f>AVERAGE('accuracy dom7dom6'!$C13,'accuracy dom71dom61'!$C13,'accuracy dom72dom62'!$C13)</f>
        <v>0</v>
      </c>
      <c r="AF13">
        <f>AVERAGE('accuracy dom7dom6'!$G13,'accuracy dom71dom61'!$G13,'accuracy dom72dom62'!$G13)</f>
        <v>0</v>
      </c>
      <c r="AG13">
        <f>AVERAGE('accuracy dom7dom6'!$AB13,'accuracy dom71dom61'!$AB13,'accuracy dom72dom62'!$AB13)</f>
        <v>0</v>
      </c>
      <c r="AH13">
        <f>AVERAGE('accuracy dom9dom8'!$C13,'accuracy dom91dom81'!$C13,'accuracy dom92dom82'!$C13)</f>
        <v>0</v>
      </c>
      <c r="AI13">
        <f>AVERAGE('accuracy dom9dom8'!$G13,'accuracy dom91dom81'!$G13,'accuracy dom92dom82'!$G13)</f>
        <v>0</v>
      </c>
      <c r="AJ13">
        <f>AVERAGE('accuracy dom9dom8'!$AB13,'accuracy dom91dom81'!$AB13,'accuracy dom92dom82'!$AB13)</f>
        <v>0</v>
      </c>
      <c r="AK13">
        <f t="shared" si="17"/>
        <v>0</v>
      </c>
      <c r="AL13">
        <f t="shared" si="50"/>
        <v>0</v>
      </c>
      <c r="AM13">
        <f t="shared" si="51"/>
        <v>0</v>
      </c>
      <c r="AN13">
        <f t="shared" si="52"/>
        <v>0</v>
      </c>
      <c r="AO13">
        <f t="shared" si="19"/>
        <v>0</v>
      </c>
      <c r="AP13">
        <f t="shared" si="20"/>
        <v>0</v>
      </c>
      <c r="AQ13">
        <f t="shared" si="21"/>
        <v>0</v>
      </c>
      <c r="AR13">
        <f t="shared" si="22"/>
        <v>0</v>
      </c>
      <c r="AS13">
        <f t="shared" si="23"/>
        <v>0</v>
      </c>
      <c r="AT13">
        <f t="shared" si="24"/>
        <v>0</v>
      </c>
      <c r="AU13">
        <f t="shared" si="25"/>
        <v>0</v>
      </c>
      <c r="AV13">
        <f t="shared" si="26"/>
        <v>0</v>
      </c>
      <c r="AW13">
        <f t="shared" si="27"/>
        <v>0</v>
      </c>
      <c r="AX13">
        <f t="shared" si="28"/>
        <v>0</v>
      </c>
      <c r="AY13">
        <f t="shared" si="29"/>
        <v>0</v>
      </c>
      <c r="AZ13">
        <f t="shared" si="30"/>
        <v>0</v>
      </c>
      <c r="BA13">
        <f t="shared" si="31"/>
        <v>0</v>
      </c>
      <c r="BC13">
        <f t="shared" si="32"/>
        <v>0</v>
      </c>
      <c r="BD13">
        <f t="shared" si="33"/>
        <v>0</v>
      </c>
      <c r="BE13">
        <f t="shared" si="34"/>
        <v>0</v>
      </c>
      <c r="BF13">
        <f t="shared" si="35"/>
        <v>0</v>
      </c>
      <c r="BG13">
        <f t="shared" si="36"/>
        <v>0</v>
      </c>
      <c r="BH13">
        <f t="shared" si="37"/>
        <v>0</v>
      </c>
      <c r="BI13">
        <f t="shared" si="38"/>
        <v>0</v>
      </c>
      <c r="BJ13">
        <f t="shared" si="39"/>
        <v>0</v>
      </c>
      <c r="BK13">
        <f t="shared" si="40"/>
        <v>0</v>
      </c>
      <c r="BL13">
        <f t="shared" si="41"/>
        <v>0</v>
      </c>
      <c r="BM13">
        <f t="shared" si="42"/>
        <v>0</v>
      </c>
      <c r="BN13">
        <f t="shared" si="43"/>
        <v>0</v>
      </c>
      <c r="BO13">
        <f t="shared" si="44"/>
        <v>0</v>
      </c>
      <c r="BP13">
        <f t="shared" si="45"/>
        <v>0</v>
      </c>
      <c r="BQ13">
        <f t="shared" si="46"/>
        <v>0</v>
      </c>
      <c r="BR13">
        <f t="shared" si="47"/>
        <v>0</v>
      </c>
    </row>
    <row r="14" spans="1:70">
      <c r="A14" t="str">
        <f>'time 1'!B13</f>
        <v>&lt;test.Base64: boolean isWhiteSpace(byte)&gt;</v>
      </c>
      <c r="B14">
        <f>AVERAGE('time 1'!D13/'time 1'!C13,'time 2'!D13/'time 2'!C13,'time 3'!D13/'time 3'!C13)</f>
        <v>1.1356223684990809</v>
      </c>
      <c r="C14">
        <f>AVERAGE('time 1'!F13/'time 1'!E13,'time 2'!F13/'time 2'!E13,'time 3'!F13/'time 3'!E13)</f>
        <v>0.9523779321374376</v>
      </c>
      <c r="D14">
        <f>AVERAGE('time 1'!H13/'time 1'!G13,'time 2'!H13/'time 2'!G13,'time 3'!H13/'time 3'!G13)</f>
        <v>0.95982905982905997</v>
      </c>
      <c r="E14">
        <f>AVERAGE('time 1'!J13/'time 2'!I13,'time 2'!J13/'time 2'!I13,'time 3'!J13/'time 3'!I13)</f>
        <v>1.0659118357487922</v>
      </c>
      <c r="F14">
        <f>AVERAGE('time 1'!L13/'time 1'!K13,'time 2'!L13/'time 2'!K13,'time 3'!L13/'time 3'!K13)</f>
        <v>0.8990712845839578</v>
      </c>
      <c r="G14">
        <f>AVERAGE('time 1'!N13/'time 1'!M13,'time 2'!N13/'time 2'!M13,'time 3'!N13/'time 3'!M13)</f>
        <v>0.9789154999877262</v>
      </c>
      <c r="H14">
        <f>AVERAGE('time 1'!P13/'time 1'!O13,'time 2'!P13/'time 2'!O13,'time 3'!P13/'time 3'!O13)</f>
        <v>1.1095498308613063</v>
      </c>
      <c r="I14">
        <f>AVERAGE('time 1'!R13/'time 1'!Q13,'time 2'!R13/'time 2'!Q13,'time 3'!R13/'time 3'!Q13)</f>
        <v>1.0205356928842604</v>
      </c>
      <c r="J14">
        <f>AVERAGE('time 1'!T13/'time 1'!S13,'time 2'!T13/'time 2'!S13,'time 3'!T13/'time 3'!S13)</f>
        <v>0.87266879692411603</v>
      </c>
      <c r="K14">
        <f t="shared" si="3"/>
        <v>5</v>
      </c>
      <c r="L14">
        <f t="shared" si="4"/>
        <v>4</v>
      </c>
      <c r="M14">
        <f t="shared" si="5"/>
        <v>0</v>
      </c>
      <c r="N14">
        <f t="shared" si="6"/>
        <v>0</v>
      </c>
      <c r="O14">
        <f t="shared" si="7"/>
        <v>0</v>
      </c>
      <c r="P14">
        <f t="shared" si="48"/>
        <v>3</v>
      </c>
      <c r="Q14">
        <f t="shared" si="49"/>
        <v>0</v>
      </c>
      <c r="R14">
        <f t="shared" si="8"/>
        <v>0</v>
      </c>
      <c r="S14">
        <f t="shared" si="9"/>
        <v>2</v>
      </c>
      <c r="T14">
        <f t="shared" si="10"/>
        <v>1</v>
      </c>
      <c r="U14">
        <f t="shared" si="11"/>
        <v>0</v>
      </c>
      <c r="V14">
        <f t="shared" si="12"/>
        <v>0</v>
      </c>
      <c r="W14">
        <f t="shared" si="13"/>
        <v>3</v>
      </c>
      <c r="X14">
        <f t="shared" si="14"/>
        <v>0</v>
      </c>
      <c r="Y14">
        <f t="shared" si="15"/>
        <v>0</v>
      </c>
      <c r="Z14">
        <f t="shared" si="16"/>
        <v>0</v>
      </c>
      <c r="AB14">
        <f>AVERAGE('accuracy dom5dom4'!$C14,'accuracy dom51dom41'!$C14,'accuracy dom52dom42'!$C14)</f>
        <v>0</v>
      </c>
      <c r="AC14">
        <f>AVERAGE('accuracy dom5dom4'!$G14,'accuracy dom51dom41'!$G14,'accuracy dom52dom42'!$G14)</f>
        <v>0</v>
      </c>
      <c r="AD14">
        <f>AVERAGE('accuracy dom5dom4'!$AB14,'accuracy dom51dom41'!$AB14,'accuracy dom52dom42'!$AB14)</f>
        <v>0</v>
      </c>
      <c r="AE14">
        <f>AVERAGE('accuracy dom7dom6'!$C14,'accuracy dom71dom61'!$C14,'accuracy dom72dom62'!$C14)</f>
        <v>0</v>
      </c>
      <c r="AF14">
        <f>AVERAGE('accuracy dom7dom6'!$G14,'accuracy dom71dom61'!$G14,'accuracy dom72dom62'!$G14)</f>
        <v>0</v>
      </c>
      <c r="AG14">
        <f>AVERAGE('accuracy dom7dom6'!$AB14,'accuracy dom71dom61'!$AB14,'accuracy dom72dom62'!$AB14)</f>
        <v>0</v>
      </c>
      <c r="AH14">
        <f>AVERAGE('accuracy dom9dom8'!$C14,'accuracy dom91dom81'!$C14,'accuracy dom92dom82'!$C14)</f>
        <v>0</v>
      </c>
      <c r="AI14">
        <f>AVERAGE('accuracy dom9dom8'!$G14,'accuracy dom91dom81'!$G14,'accuracy dom92dom82'!$G14)</f>
        <v>0</v>
      </c>
      <c r="AJ14">
        <f>AVERAGE('accuracy dom9dom8'!$AB14,'accuracy dom91dom81'!$AB14,'accuracy dom92dom82'!$AB14)</f>
        <v>0</v>
      </c>
      <c r="AK14">
        <f t="shared" si="17"/>
        <v>0</v>
      </c>
      <c r="AL14">
        <f t="shared" si="50"/>
        <v>0</v>
      </c>
      <c r="AM14">
        <f t="shared" si="51"/>
        <v>0</v>
      </c>
      <c r="AN14">
        <f t="shared" si="52"/>
        <v>0</v>
      </c>
      <c r="AO14">
        <f t="shared" si="19"/>
        <v>0</v>
      </c>
      <c r="AP14">
        <f t="shared" si="20"/>
        <v>0</v>
      </c>
      <c r="AQ14">
        <f t="shared" si="21"/>
        <v>0</v>
      </c>
      <c r="AR14">
        <f t="shared" si="22"/>
        <v>0</v>
      </c>
      <c r="AS14">
        <f t="shared" si="23"/>
        <v>0</v>
      </c>
      <c r="AT14">
        <f t="shared" si="24"/>
        <v>0</v>
      </c>
      <c r="AU14">
        <f t="shared" si="25"/>
        <v>0</v>
      </c>
      <c r="AV14">
        <f t="shared" si="26"/>
        <v>0</v>
      </c>
      <c r="AW14">
        <f t="shared" si="27"/>
        <v>0</v>
      </c>
      <c r="AX14">
        <f t="shared" si="28"/>
        <v>0</v>
      </c>
      <c r="AY14">
        <f t="shared" si="29"/>
        <v>0</v>
      </c>
      <c r="AZ14">
        <f t="shared" si="30"/>
        <v>0</v>
      </c>
      <c r="BA14">
        <f t="shared" si="31"/>
        <v>0</v>
      </c>
      <c r="BC14">
        <f t="shared" si="32"/>
        <v>0</v>
      </c>
      <c r="BD14">
        <f t="shared" si="33"/>
        <v>0</v>
      </c>
      <c r="BE14">
        <f t="shared" si="34"/>
        <v>0</v>
      </c>
      <c r="BF14">
        <f t="shared" si="35"/>
        <v>0</v>
      </c>
      <c r="BG14">
        <f t="shared" si="36"/>
        <v>0</v>
      </c>
      <c r="BH14">
        <f t="shared" si="37"/>
        <v>0</v>
      </c>
      <c r="BI14">
        <f t="shared" si="38"/>
        <v>0</v>
      </c>
      <c r="BJ14">
        <f t="shared" si="39"/>
        <v>0</v>
      </c>
      <c r="BK14">
        <f t="shared" si="40"/>
        <v>0</v>
      </c>
      <c r="BL14">
        <f t="shared" si="41"/>
        <v>0</v>
      </c>
      <c r="BM14">
        <f t="shared" si="42"/>
        <v>0</v>
      </c>
      <c r="BN14">
        <f t="shared" si="43"/>
        <v>0</v>
      </c>
      <c r="BO14">
        <f t="shared" si="44"/>
        <v>0</v>
      </c>
      <c r="BP14">
        <f t="shared" si="45"/>
        <v>0</v>
      </c>
      <c r="BQ14">
        <f t="shared" si="46"/>
        <v>0</v>
      </c>
      <c r="BR14">
        <f t="shared" si="47"/>
        <v>0</v>
      </c>
    </row>
    <row r="15" spans="1:70">
      <c r="A15" t="str">
        <f>'time 1'!B14</f>
        <v>&lt;test.Base64: byte[] decode(org.w3c.dom.Element)&gt;</v>
      </c>
      <c r="B15">
        <f>AVERAGE('time 1'!D14/'time 1'!C14,'time 2'!D14/'time 2'!C14,'time 3'!D14/'time 3'!C14)</f>
        <v>0.84444444444444444</v>
      </c>
      <c r="C15">
        <f>AVERAGE('time 1'!F14/'time 1'!E14,'time 2'!F14/'time 2'!E14,'time 3'!F14/'time 3'!E14)</f>
        <v>1.0967512238540276</v>
      </c>
      <c r="D15">
        <f>AVERAGE('time 1'!H14/'time 1'!G14,'time 2'!H14/'time 2'!G14,'time 3'!H14/'time 3'!G14)</f>
        <v>1.1083591331269351</v>
      </c>
      <c r="E15">
        <f>AVERAGE('time 1'!J14/'time 2'!I14,'time 2'!J14/'time 2'!I14,'time 3'!J14/'time 3'!I14)</f>
        <v>1.0271794871794873</v>
      </c>
      <c r="F15">
        <f>AVERAGE('time 1'!L14/'time 1'!K14,'time 2'!L14/'time 2'!K14,'time 3'!L14/'time 3'!K14)</f>
        <v>1.0183922920559685</v>
      </c>
      <c r="G15">
        <f>AVERAGE('time 1'!N14/'time 1'!M14,'time 2'!N14/'time 2'!M14,'time 3'!N14/'time 3'!M14)</f>
        <v>1.1007936507936507</v>
      </c>
      <c r="H15">
        <f>AVERAGE('time 1'!P14/'time 1'!O14,'time 2'!P14/'time 2'!O14,'time 3'!P14/'time 3'!O14)</f>
        <v>1.2261648745519713</v>
      </c>
      <c r="I15">
        <f>AVERAGE('time 1'!R14/'time 1'!Q14,'time 2'!R14/'time 2'!Q14,'time 3'!R14/'time 3'!Q14)</f>
        <v>1.0435196488914489</v>
      </c>
      <c r="J15">
        <f>AVERAGE('time 1'!T14/'time 1'!S14,'time 2'!T14/'time 2'!S14,'time 3'!T14/'time 3'!S14)</f>
        <v>1.0005555555555556</v>
      </c>
      <c r="K15">
        <f t="shared" si="3"/>
        <v>1</v>
      </c>
      <c r="L15">
        <f t="shared" si="4"/>
        <v>8</v>
      </c>
      <c r="M15">
        <f t="shared" si="5"/>
        <v>0</v>
      </c>
      <c r="N15">
        <f t="shared" si="6"/>
        <v>0</v>
      </c>
      <c r="O15">
        <f t="shared" si="7"/>
        <v>1</v>
      </c>
      <c r="P15">
        <f t="shared" si="48"/>
        <v>2</v>
      </c>
      <c r="Q15">
        <f t="shared" si="49"/>
        <v>0</v>
      </c>
      <c r="R15">
        <f t="shared" si="8"/>
        <v>0</v>
      </c>
      <c r="S15">
        <f t="shared" si="9"/>
        <v>0</v>
      </c>
      <c r="T15">
        <f t="shared" si="10"/>
        <v>3</v>
      </c>
      <c r="U15">
        <f t="shared" si="11"/>
        <v>0</v>
      </c>
      <c r="V15">
        <f t="shared" si="12"/>
        <v>0</v>
      </c>
      <c r="W15">
        <f t="shared" si="13"/>
        <v>0</v>
      </c>
      <c r="X15">
        <f t="shared" si="14"/>
        <v>3</v>
      </c>
      <c r="Y15">
        <f t="shared" si="15"/>
        <v>0</v>
      </c>
      <c r="Z15">
        <f t="shared" si="16"/>
        <v>0</v>
      </c>
      <c r="AB15">
        <f>AVERAGE('accuracy dom5dom4'!$C15,'accuracy dom51dom41'!$C15,'accuracy dom52dom42'!$C15)</f>
        <v>0</v>
      </c>
      <c r="AC15">
        <f>AVERAGE('accuracy dom5dom4'!$G15,'accuracy dom51dom41'!$G15,'accuracy dom52dom42'!$G15)</f>
        <v>0</v>
      </c>
      <c r="AD15">
        <f>AVERAGE('accuracy dom5dom4'!$AB15,'accuracy dom51dom41'!$AB15,'accuracy dom52dom42'!$AB15)</f>
        <v>0</v>
      </c>
      <c r="AE15">
        <f>AVERAGE('accuracy dom7dom6'!$C15,'accuracy dom71dom61'!$C15,'accuracy dom72dom62'!$C15)</f>
        <v>0</v>
      </c>
      <c r="AF15">
        <f>AVERAGE('accuracy dom7dom6'!$G15,'accuracy dom71dom61'!$G15,'accuracy dom72dom62'!$G15)</f>
        <v>0</v>
      </c>
      <c r="AG15">
        <f>AVERAGE('accuracy dom7dom6'!$AB15,'accuracy dom71dom61'!$AB15,'accuracy dom72dom62'!$AB15)</f>
        <v>0</v>
      </c>
      <c r="AH15">
        <f>AVERAGE('accuracy dom9dom8'!$C15,'accuracy dom91dom81'!$C15,'accuracy dom92dom82'!$C15)</f>
        <v>0</v>
      </c>
      <c r="AI15">
        <f>AVERAGE('accuracy dom9dom8'!$G15,'accuracy dom91dom81'!$G15,'accuracy dom92dom82'!$G15)</f>
        <v>0</v>
      </c>
      <c r="AJ15">
        <f>AVERAGE('accuracy dom9dom8'!$AB15,'accuracy dom91dom81'!$AB15,'accuracy dom92dom82'!$AB15)</f>
        <v>0</v>
      </c>
      <c r="AK15">
        <f t="shared" si="17"/>
        <v>0</v>
      </c>
      <c r="AL15">
        <f t="shared" si="50"/>
        <v>0</v>
      </c>
      <c r="AM15">
        <f t="shared" si="51"/>
        <v>0</v>
      </c>
      <c r="AN15">
        <f t="shared" si="52"/>
        <v>0</v>
      </c>
      <c r="AO15">
        <f t="shared" si="19"/>
        <v>0</v>
      </c>
      <c r="AP15">
        <f t="shared" si="20"/>
        <v>0</v>
      </c>
      <c r="AQ15">
        <f t="shared" si="21"/>
        <v>0</v>
      </c>
      <c r="AR15">
        <f t="shared" si="22"/>
        <v>0</v>
      </c>
      <c r="AS15">
        <f t="shared" si="23"/>
        <v>0</v>
      </c>
      <c r="AT15">
        <f t="shared" si="24"/>
        <v>0</v>
      </c>
      <c r="AU15">
        <f t="shared" si="25"/>
        <v>0</v>
      </c>
      <c r="AV15">
        <f t="shared" si="26"/>
        <v>0</v>
      </c>
      <c r="AW15">
        <f t="shared" si="27"/>
        <v>0</v>
      </c>
      <c r="AX15">
        <f t="shared" si="28"/>
        <v>0</v>
      </c>
      <c r="AY15">
        <f t="shared" si="29"/>
        <v>0</v>
      </c>
      <c r="AZ15">
        <f t="shared" si="30"/>
        <v>0</v>
      </c>
      <c r="BA15">
        <f t="shared" si="31"/>
        <v>0</v>
      </c>
      <c r="BC15">
        <f t="shared" si="32"/>
        <v>0</v>
      </c>
      <c r="BD15">
        <f t="shared" si="33"/>
        <v>0</v>
      </c>
      <c r="BE15">
        <f t="shared" si="34"/>
        <v>0</v>
      </c>
      <c r="BF15">
        <f t="shared" si="35"/>
        <v>0</v>
      </c>
      <c r="BG15">
        <f t="shared" si="36"/>
        <v>0</v>
      </c>
      <c r="BH15">
        <f t="shared" si="37"/>
        <v>0</v>
      </c>
      <c r="BI15">
        <f t="shared" si="38"/>
        <v>0</v>
      </c>
      <c r="BJ15">
        <f t="shared" si="39"/>
        <v>0</v>
      </c>
      <c r="BK15">
        <f t="shared" si="40"/>
        <v>0</v>
      </c>
      <c r="BL15">
        <f t="shared" si="41"/>
        <v>0</v>
      </c>
      <c r="BM15">
        <f t="shared" si="42"/>
        <v>0</v>
      </c>
      <c r="BN15">
        <f t="shared" si="43"/>
        <v>0</v>
      </c>
      <c r="BO15">
        <f t="shared" si="44"/>
        <v>0</v>
      </c>
      <c r="BP15">
        <f t="shared" si="45"/>
        <v>0</v>
      </c>
      <c r="BQ15">
        <f t="shared" si="46"/>
        <v>0</v>
      </c>
      <c r="BR15">
        <f t="shared" si="47"/>
        <v>0</v>
      </c>
    </row>
    <row r="16" spans="1:70">
      <c r="A16" t="str">
        <f>'time 1'!B15</f>
        <v>&lt;test.Base64: byte[] decodeInternal(byte[])&gt;</v>
      </c>
      <c r="B16">
        <f>AVERAGE('time 1'!D15/'time 1'!C15,'time 2'!D15/'time 2'!C15,'time 3'!D15/'time 3'!C15)</f>
        <v>1.2451136749417966</v>
      </c>
      <c r="C16">
        <f>AVERAGE('time 1'!F15/'time 1'!E15,'time 2'!F15/'time 2'!E15,'time 3'!F15/'time 3'!E15)</f>
        <v>1.1621464500903989</v>
      </c>
      <c r="D16">
        <f>AVERAGE('time 1'!H15/'time 1'!G15,'time 2'!H15/'time 2'!G15,'time 3'!H15/'time 3'!G15)</f>
        <v>1.2440920698615641</v>
      </c>
      <c r="E16">
        <f>AVERAGE('time 1'!J15/'time 2'!I15,'time 2'!J15/'time 2'!I15,'time 3'!J15/'time 3'!I15)</f>
        <v>1.3108910768006765</v>
      </c>
      <c r="F16">
        <f>AVERAGE('time 1'!L15/'time 1'!K15,'time 2'!L15/'time 2'!K15,'time 3'!L15/'time 3'!K15)</f>
        <v>1.0454860692764638</v>
      </c>
      <c r="G16">
        <f>AVERAGE('time 1'!N15/'time 1'!M15,'time 2'!N15/'time 2'!M15,'time 3'!N15/'time 3'!M15)</f>
        <v>1.2613918212566377</v>
      </c>
      <c r="H16">
        <f>AVERAGE('time 1'!P15/'time 1'!O15,'time 2'!P15/'time 2'!O15,'time 3'!P15/'time 3'!O15)</f>
        <v>1.2691383189083132</v>
      </c>
      <c r="I16">
        <f>AVERAGE('time 1'!R15/'time 1'!Q15,'time 2'!R15/'time 2'!Q15,'time 3'!R15/'time 3'!Q15)</f>
        <v>1.1304304060806771</v>
      </c>
      <c r="J16">
        <f>AVERAGE('time 1'!T15/'time 1'!S15,'time 2'!T15/'time 2'!S15,'time 3'!T15/'time 3'!S15)</f>
        <v>1.2627880718587681</v>
      </c>
      <c r="K16">
        <f t="shared" si="3"/>
        <v>0</v>
      </c>
      <c r="L16">
        <f t="shared" si="4"/>
        <v>9</v>
      </c>
      <c r="M16">
        <f t="shared" si="5"/>
        <v>0</v>
      </c>
      <c r="N16">
        <f t="shared" si="6"/>
        <v>0</v>
      </c>
      <c r="O16">
        <f t="shared" si="7"/>
        <v>0</v>
      </c>
      <c r="P16">
        <f t="shared" si="48"/>
        <v>3</v>
      </c>
      <c r="Q16">
        <f t="shared" si="49"/>
        <v>0</v>
      </c>
      <c r="R16">
        <f t="shared" si="8"/>
        <v>0</v>
      </c>
      <c r="S16">
        <f t="shared" si="9"/>
        <v>0</v>
      </c>
      <c r="T16">
        <f t="shared" si="10"/>
        <v>3</v>
      </c>
      <c r="U16">
        <f t="shared" si="11"/>
        <v>0</v>
      </c>
      <c r="V16">
        <f t="shared" si="12"/>
        <v>0</v>
      </c>
      <c r="W16">
        <f t="shared" si="13"/>
        <v>0</v>
      </c>
      <c r="X16">
        <f t="shared" si="14"/>
        <v>3</v>
      </c>
      <c r="Y16">
        <f t="shared" si="15"/>
        <v>0</v>
      </c>
      <c r="Z16">
        <f t="shared" si="16"/>
        <v>0</v>
      </c>
      <c r="AB16">
        <f>AVERAGE('accuracy dom5dom4'!$C16,'accuracy dom51dom41'!$C16,'accuracy dom52dom42'!$C16)</f>
        <v>8.3333333333333339</v>
      </c>
      <c r="AC16">
        <f>AVERAGE('accuracy dom5dom4'!$G16,'accuracy dom51dom41'!$G16,'accuracy dom52dom42'!$G16)</f>
        <v>8.3333333333333339</v>
      </c>
      <c r="AD16">
        <f>AVERAGE('accuracy dom5dom4'!$AB16,'accuracy dom51dom41'!$AB16,'accuracy dom52dom42'!$AB16)</f>
        <v>8.3333333333333339</v>
      </c>
      <c r="AE16">
        <f>AVERAGE('accuracy dom7dom6'!$C16,'accuracy dom71dom61'!$C16,'accuracy dom72dom62'!$C16)</f>
        <v>9</v>
      </c>
      <c r="AF16">
        <f>AVERAGE('accuracy dom7dom6'!$G16,'accuracy dom71dom61'!$G16,'accuracy dom72dom62'!$G16)</f>
        <v>9</v>
      </c>
      <c r="AG16">
        <f>AVERAGE('accuracy dom7dom6'!$AB16,'accuracy dom71dom61'!$AB16,'accuracy dom72dom62'!$AB16)</f>
        <v>9</v>
      </c>
      <c r="AH16">
        <f>AVERAGE('accuracy dom9dom8'!$C16,'accuracy dom91dom81'!$C16,'accuracy dom92dom82'!$C16)</f>
        <v>9</v>
      </c>
      <c r="AI16">
        <f>AVERAGE('accuracy dom9dom8'!$G16,'accuracy dom91dom81'!$G16,'accuracy dom92dom82'!$G16)</f>
        <v>9</v>
      </c>
      <c r="AJ16">
        <f>AVERAGE('accuracy dom9dom8'!$AB16,'accuracy dom91dom81'!$AB16,'accuracy dom92dom82'!$AB16)</f>
        <v>9</v>
      </c>
      <c r="AK16">
        <f t="shared" si="17"/>
        <v>9</v>
      </c>
      <c r="AL16">
        <f t="shared" si="50"/>
        <v>0</v>
      </c>
      <c r="AM16">
        <f t="shared" si="51"/>
        <v>79</v>
      </c>
      <c r="AN16">
        <f t="shared" si="52"/>
        <v>0</v>
      </c>
      <c r="AO16">
        <f t="shared" si="19"/>
        <v>0</v>
      </c>
      <c r="AP16">
        <f>IF($B16&lt;AL$1,AB16,0)+IF($E16&lt;AL$1,AE16,0)+IF($H16&lt;AL$1,AH16,0)</f>
        <v>0</v>
      </c>
      <c r="AQ16">
        <f t="shared" si="21"/>
        <v>26.333333333333336</v>
      </c>
      <c r="AR16">
        <f t="shared" si="22"/>
        <v>0</v>
      </c>
      <c r="AS16">
        <f t="shared" si="23"/>
        <v>0</v>
      </c>
      <c r="AT16">
        <f t="shared" si="24"/>
        <v>0</v>
      </c>
      <c r="AU16">
        <f t="shared" si="25"/>
        <v>26.333333333333336</v>
      </c>
      <c r="AV16">
        <f t="shared" si="26"/>
        <v>0</v>
      </c>
      <c r="AW16">
        <f t="shared" si="27"/>
        <v>0</v>
      </c>
      <c r="AX16">
        <f t="shared" si="28"/>
        <v>0</v>
      </c>
      <c r="AY16">
        <f t="shared" si="29"/>
        <v>26.333333333333336</v>
      </c>
      <c r="AZ16">
        <f t="shared" si="30"/>
        <v>0</v>
      </c>
      <c r="BA16">
        <f t="shared" si="31"/>
        <v>0</v>
      </c>
      <c r="BC16">
        <f t="shared" si="32"/>
        <v>0</v>
      </c>
      <c r="BD16">
        <f t="shared" si="33"/>
        <v>9</v>
      </c>
      <c r="BE16">
        <f t="shared" si="34"/>
        <v>0</v>
      </c>
      <c r="BF16">
        <f t="shared" si="35"/>
        <v>0</v>
      </c>
      <c r="BG16">
        <f t="shared" si="36"/>
        <v>0</v>
      </c>
      <c r="BH16">
        <f t="shared" si="37"/>
        <v>3</v>
      </c>
      <c r="BI16">
        <f t="shared" si="38"/>
        <v>0</v>
      </c>
      <c r="BJ16">
        <f t="shared" si="39"/>
        <v>0</v>
      </c>
      <c r="BK16">
        <f t="shared" si="40"/>
        <v>0</v>
      </c>
      <c r="BL16">
        <f t="shared" si="41"/>
        <v>3</v>
      </c>
      <c r="BM16">
        <f t="shared" si="42"/>
        <v>0</v>
      </c>
      <c r="BN16">
        <f t="shared" si="43"/>
        <v>0</v>
      </c>
      <c r="BO16">
        <f t="shared" si="44"/>
        <v>0</v>
      </c>
      <c r="BP16">
        <f t="shared" si="45"/>
        <v>3</v>
      </c>
      <c r="BQ16">
        <f t="shared" si="46"/>
        <v>0</v>
      </c>
      <c r="BR16">
        <f t="shared" si="47"/>
        <v>0</v>
      </c>
    </row>
    <row r="17" spans="1:70">
      <c r="A17" t="str">
        <f>'time 1'!B16</f>
        <v>&lt;test.Base64: byte[] encode(java.math.BigInteger,int)&gt;</v>
      </c>
      <c r="B17">
        <f>AVERAGE('time 1'!D16/'time 1'!C16,'time 2'!D16/'time 2'!C16,'time 3'!D16/'time 3'!C16)</f>
        <v>1.1520126665413997</v>
      </c>
      <c r="C17">
        <f>AVERAGE('time 1'!F16/'time 1'!E16,'time 2'!F16/'time 2'!E16,'time 3'!F16/'time 3'!E16)</f>
        <v>1.1087972257156855</v>
      </c>
      <c r="D17">
        <f>AVERAGE('time 1'!H16/'time 1'!G16,'time 2'!H16/'time 2'!G16,'time 3'!H16/'time 3'!G16)</f>
        <v>1.1278166481017358</v>
      </c>
      <c r="E17">
        <f>AVERAGE('time 1'!J16/'time 2'!I16,'time 2'!J16/'time 2'!I16,'time 3'!J16/'time 3'!I16)</f>
        <v>1.2182795698924733</v>
      </c>
      <c r="F17">
        <f>AVERAGE('time 1'!L16/'time 1'!K16,'time 2'!L16/'time 2'!K16,'time 3'!L16/'time 3'!K16)</f>
        <v>1.1178784738970629</v>
      </c>
      <c r="G17">
        <f>AVERAGE('time 1'!N16/'time 1'!M16,'time 2'!N16/'time 2'!M16,'time 3'!N16/'time 3'!M16)</f>
        <v>0.97084956128454281</v>
      </c>
      <c r="H17">
        <f>AVERAGE('time 1'!P16/'time 1'!O16,'time 2'!P16/'time 2'!O16,'time 3'!P16/'time 3'!O16)</f>
        <v>1.1783802020644127</v>
      </c>
      <c r="I17">
        <f>AVERAGE('time 1'!R16/'time 1'!Q16,'time 2'!R16/'time 2'!Q16,'time 3'!R16/'time 3'!Q16)</f>
        <v>1.1390827781451824</v>
      </c>
      <c r="J17">
        <f>AVERAGE('time 1'!T16/'time 1'!S16,'time 2'!T16/'time 2'!S16,'time 3'!T16/'time 3'!S16)</f>
        <v>1.1541059632457482</v>
      </c>
      <c r="K17">
        <f t="shared" si="3"/>
        <v>1</v>
      </c>
      <c r="L17">
        <f t="shared" si="4"/>
        <v>8</v>
      </c>
      <c r="M17">
        <f t="shared" si="5"/>
        <v>0</v>
      </c>
      <c r="N17">
        <f t="shared" si="6"/>
        <v>0</v>
      </c>
      <c r="O17">
        <f t="shared" si="7"/>
        <v>0</v>
      </c>
      <c r="P17">
        <f t="shared" si="48"/>
        <v>3</v>
      </c>
      <c r="Q17">
        <f t="shared" si="49"/>
        <v>0</v>
      </c>
      <c r="R17">
        <f t="shared" si="8"/>
        <v>0</v>
      </c>
      <c r="S17">
        <f t="shared" si="9"/>
        <v>0</v>
      </c>
      <c r="T17">
        <f t="shared" si="10"/>
        <v>3</v>
      </c>
      <c r="U17">
        <f t="shared" si="11"/>
        <v>0</v>
      </c>
      <c r="V17">
        <f t="shared" si="12"/>
        <v>0</v>
      </c>
      <c r="W17">
        <f t="shared" si="13"/>
        <v>1</v>
      </c>
      <c r="X17">
        <f t="shared" si="14"/>
        <v>2</v>
      </c>
      <c r="Y17">
        <f t="shared" si="15"/>
        <v>0</v>
      </c>
      <c r="Z17">
        <f t="shared" si="16"/>
        <v>0</v>
      </c>
      <c r="AB17">
        <f>AVERAGE('accuracy dom5dom4'!$C17,'accuracy dom51dom41'!$C17,'accuracy dom52dom42'!$C17)</f>
        <v>0</v>
      </c>
      <c r="AC17">
        <f>AVERAGE('accuracy dom5dom4'!$G17,'accuracy dom51dom41'!$G17,'accuracy dom52dom42'!$G17)</f>
        <v>0</v>
      </c>
      <c r="AD17">
        <f>AVERAGE('accuracy dom5dom4'!$AB17,'accuracy dom51dom41'!$AB17,'accuracy dom52dom42'!$AB17)</f>
        <v>0</v>
      </c>
      <c r="AE17">
        <f>AVERAGE('accuracy dom7dom6'!$C17,'accuracy dom71dom61'!$C17,'accuracy dom72dom62'!$C17)</f>
        <v>0</v>
      </c>
      <c r="AF17">
        <f>AVERAGE('accuracy dom7dom6'!$G17,'accuracy dom71dom61'!$G17,'accuracy dom72dom62'!$G17)</f>
        <v>0</v>
      </c>
      <c r="AG17">
        <f>AVERAGE('accuracy dom7dom6'!$AB17,'accuracy dom71dom61'!$AB17,'accuracy dom72dom62'!$AB17)</f>
        <v>0</v>
      </c>
      <c r="AH17">
        <f>AVERAGE('accuracy dom9dom8'!$C17,'accuracy dom91dom81'!$C17,'accuracy dom92dom82'!$C17)</f>
        <v>0</v>
      </c>
      <c r="AI17">
        <f>AVERAGE('accuracy dom9dom8'!$G17,'accuracy dom91dom81'!$G17,'accuracy dom92dom82'!$G17)</f>
        <v>0</v>
      </c>
      <c r="AJ17">
        <f>AVERAGE('accuracy dom9dom8'!$AB17,'accuracy dom91dom81'!$AB17,'accuracy dom92dom82'!$AB17)</f>
        <v>0</v>
      </c>
      <c r="AK17">
        <f t="shared" si="17"/>
        <v>0</v>
      </c>
      <c r="AL17">
        <f t="shared" si="50"/>
        <v>0</v>
      </c>
      <c r="AM17">
        <f t="shared" si="51"/>
        <v>0</v>
      </c>
      <c r="AN17">
        <f t="shared" si="52"/>
        <v>0</v>
      </c>
      <c r="AO17">
        <f t="shared" si="19"/>
        <v>0</v>
      </c>
      <c r="AP17">
        <f t="shared" si="20"/>
        <v>0</v>
      </c>
      <c r="AQ17">
        <f t="shared" si="21"/>
        <v>0</v>
      </c>
      <c r="AR17">
        <f t="shared" si="22"/>
        <v>0</v>
      </c>
      <c r="AS17">
        <f t="shared" si="23"/>
        <v>0</v>
      </c>
      <c r="AT17">
        <f t="shared" si="24"/>
        <v>0</v>
      </c>
      <c r="AU17">
        <f t="shared" si="25"/>
        <v>0</v>
      </c>
      <c r="AV17">
        <f t="shared" si="26"/>
        <v>0</v>
      </c>
      <c r="AW17">
        <f t="shared" si="27"/>
        <v>0</v>
      </c>
      <c r="AX17">
        <f t="shared" si="28"/>
        <v>0</v>
      </c>
      <c r="AY17">
        <f t="shared" si="29"/>
        <v>0</v>
      </c>
      <c r="AZ17">
        <f t="shared" si="30"/>
        <v>0</v>
      </c>
      <c r="BA17">
        <f t="shared" si="31"/>
        <v>0</v>
      </c>
      <c r="BC17">
        <f t="shared" si="32"/>
        <v>0</v>
      </c>
      <c r="BD17">
        <f t="shared" si="33"/>
        <v>0</v>
      </c>
      <c r="BE17">
        <f t="shared" si="34"/>
        <v>0</v>
      </c>
      <c r="BF17">
        <f t="shared" si="35"/>
        <v>0</v>
      </c>
      <c r="BG17">
        <f t="shared" si="36"/>
        <v>0</v>
      </c>
      <c r="BH17">
        <f t="shared" si="37"/>
        <v>0</v>
      </c>
      <c r="BI17">
        <f t="shared" si="38"/>
        <v>0</v>
      </c>
      <c r="BJ17">
        <f t="shared" si="39"/>
        <v>0</v>
      </c>
      <c r="BK17">
        <f t="shared" si="40"/>
        <v>0</v>
      </c>
      <c r="BL17">
        <f t="shared" si="41"/>
        <v>0</v>
      </c>
      <c r="BM17">
        <f t="shared" si="42"/>
        <v>0</v>
      </c>
      <c r="BN17">
        <f t="shared" si="43"/>
        <v>0</v>
      </c>
      <c r="BO17">
        <f t="shared" si="44"/>
        <v>0</v>
      </c>
      <c r="BP17">
        <f t="shared" si="45"/>
        <v>0</v>
      </c>
      <c r="BQ17">
        <f t="shared" si="46"/>
        <v>0</v>
      </c>
      <c r="BR17">
        <f t="shared" si="47"/>
        <v>0</v>
      </c>
    </row>
    <row r="18" spans="1:70">
      <c r="A18" t="str">
        <f>'time 1'!B17</f>
        <v>&lt;test.Base64: byte[] getBytes(java.math.BigInteger,int)&gt;</v>
      </c>
      <c r="B18">
        <f>AVERAGE('time 1'!D17/'time 1'!C17,'time 2'!D17/'time 2'!C17,'time 3'!D17/'time 3'!C17)</f>
        <v>1.1763618983535997</v>
      </c>
      <c r="C18">
        <f>AVERAGE('time 1'!F17/'time 1'!E17,'time 2'!F17/'time 2'!E17,'time 3'!F17/'time 3'!E17)</f>
        <v>1.0352234196254508</v>
      </c>
      <c r="D18">
        <f>AVERAGE('time 1'!H17/'time 1'!G17,'time 2'!H17/'time 2'!G17,'time 3'!H17/'time 3'!G17)</f>
        <v>1.1684899535230722</v>
      </c>
      <c r="E18">
        <f>AVERAGE('time 1'!J17/'time 2'!I17,'time 2'!J17/'time 2'!I17,'time 3'!J17/'time 3'!I17)</f>
        <v>1.1726726726726726</v>
      </c>
      <c r="F18">
        <f>AVERAGE('time 1'!L17/'time 1'!K17,'time 2'!L17/'time 2'!K17,'time 3'!L17/'time 3'!K17)</f>
        <v>1.0951547615768213</v>
      </c>
      <c r="G18">
        <f>AVERAGE('time 1'!N17/'time 1'!M17,'time 2'!N17/'time 2'!M17,'time 3'!N17/'time 3'!M17)</f>
        <v>1.0514522622699387</v>
      </c>
      <c r="H18">
        <f>AVERAGE('time 1'!P17/'time 1'!O17,'time 2'!P17/'time 2'!O17,'time 3'!P17/'time 3'!O17)</f>
        <v>1.1394002910995207</v>
      </c>
      <c r="I18">
        <f>AVERAGE('time 1'!R17/'time 1'!Q17,'time 2'!R17/'time 2'!Q17,'time 3'!R17/'time 3'!Q17)</f>
        <v>1.2000131998016437</v>
      </c>
      <c r="J18">
        <f>AVERAGE('time 1'!T17/'time 1'!S17,'time 2'!T17/'time 2'!S17,'time 3'!T17/'time 3'!S17)</f>
        <v>1.0983371346785116</v>
      </c>
      <c r="K18">
        <f t="shared" si="3"/>
        <v>0</v>
      </c>
      <c r="L18">
        <f t="shared" si="4"/>
        <v>9</v>
      </c>
      <c r="M18">
        <f t="shared" si="5"/>
        <v>0</v>
      </c>
      <c r="N18">
        <f t="shared" si="6"/>
        <v>0</v>
      </c>
      <c r="O18">
        <f t="shared" si="7"/>
        <v>0</v>
      </c>
      <c r="P18">
        <f t="shared" si="48"/>
        <v>3</v>
      </c>
      <c r="Q18">
        <f t="shared" si="49"/>
        <v>0</v>
      </c>
      <c r="R18">
        <f t="shared" si="8"/>
        <v>0</v>
      </c>
      <c r="S18">
        <f t="shared" si="9"/>
        <v>0</v>
      </c>
      <c r="T18">
        <f t="shared" si="10"/>
        <v>3</v>
      </c>
      <c r="U18">
        <f t="shared" si="11"/>
        <v>0</v>
      </c>
      <c r="V18">
        <f t="shared" si="12"/>
        <v>0</v>
      </c>
      <c r="W18">
        <f t="shared" si="13"/>
        <v>0</v>
      </c>
      <c r="X18">
        <f t="shared" si="14"/>
        <v>3</v>
      </c>
      <c r="Y18">
        <f t="shared" si="15"/>
        <v>0</v>
      </c>
      <c r="Z18">
        <f t="shared" si="16"/>
        <v>0</v>
      </c>
      <c r="AB18">
        <f>AVERAGE('accuracy dom5dom4'!$C18,'accuracy dom51dom41'!$C18,'accuracy dom52dom42'!$C18)</f>
        <v>0</v>
      </c>
      <c r="AC18">
        <f>AVERAGE('accuracy dom5dom4'!$G18,'accuracy dom51dom41'!$G18,'accuracy dom52dom42'!$G18)</f>
        <v>0</v>
      </c>
      <c r="AD18">
        <f>AVERAGE('accuracy dom5dom4'!$AB18,'accuracy dom51dom41'!$AB18,'accuracy dom52dom42'!$AB18)</f>
        <v>0</v>
      </c>
      <c r="AE18">
        <f>AVERAGE('accuracy dom7dom6'!$C18,'accuracy dom71dom61'!$C18,'accuracy dom72dom62'!$C18)</f>
        <v>0</v>
      </c>
      <c r="AF18">
        <f>AVERAGE('accuracy dom7dom6'!$G18,'accuracy dom71dom61'!$G18,'accuracy dom72dom62'!$G18)</f>
        <v>0</v>
      </c>
      <c r="AG18">
        <f>AVERAGE('accuracy dom7dom6'!$AB18,'accuracy dom71dom61'!$AB18,'accuracy dom72dom62'!$AB18)</f>
        <v>0</v>
      </c>
      <c r="AH18">
        <f>AVERAGE('accuracy dom9dom8'!$C18,'accuracy dom91dom81'!$C18,'accuracy dom92dom82'!$C18)</f>
        <v>0</v>
      </c>
      <c r="AI18">
        <f>AVERAGE('accuracy dom9dom8'!$G18,'accuracy dom91dom81'!$G18,'accuracy dom92dom82'!$G18)</f>
        <v>0</v>
      </c>
      <c r="AJ18">
        <f>AVERAGE('accuracy dom9dom8'!$AB18,'accuracy dom91dom81'!$AB18,'accuracy dom92dom82'!$AB18)</f>
        <v>0</v>
      </c>
      <c r="AK18">
        <f t="shared" si="17"/>
        <v>0</v>
      </c>
      <c r="AL18">
        <f t="shared" si="50"/>
        <v>0</v>
      </c>
      <c r="AM18">
        <f t="shared" si="51"/>
        <v>0</v>
      </c>
      <c r="AN18">
        <f t="shared" si="52"/>
        <v>0</v>
      </c>
      <c r="AO18">
        <f t="shared" si="19"/>
        <v>0</v>
      </c>
      <c r="AP18">
        <f t="shared" si="20"/>
        <v>0</v>
      </c>
      <c r="AQ18">
        <f t="shared" si="21"/>
        <v>0</v>
      </c>
      <c r="AR18">
        <f t="shared" si="22"/>
        <v>0</v>
      </c>
      <c r="AS18">
        <f t="shared" si="23"/>
        <v>0</v>
      </c>
      <c r="AT18">
        <f t="shared" si="24"/>
        <v>0</v>
      </c>
      <c r="AU18">
        <f t="shared" si="25"/>
        <v>0</v>
      </c>
      <c r="AV18">
        <f t="shared" si="26"/>
        <v>0</v>
      </c>
      <c r="AW18">
        <f t="shared" si="27"/>
        <v>0</v>
      </c>
      <c r="AX18">
        <f t="shared" si="28"/>
        <v>0</v>
      </c>
      <c r="AY18">
        <f t="shared" si="29"/>
        <v>0</v>
      </c>
      <c r="AZ18">
        <f t="shared" si="30"/>
        <v>0</v>
      </c>
      <c r="BA18">
        <f t="shared" si="31"/>
        <v>0</v>
      </c>
      <c r="BC18">
        <f t="shared" si="32"/>
        <v>0</v>
      </c>
      <c r="BD18">
        <f t="shared" si="33"/>
        <v>0</v>
      </c>
      <c r="BE18">
        <f t="shared" si="34"/>
        <v>0</v>
      </c>
      <c r="BF18">
        <f t="shared" si="35"/>
        <v>0</v>
      </c>
      <c r="BG18">
        <f t="shared" si="36"/>
        <v>0</v>
      </c>
      <c r="BH18">
        <f t="shared" si="37"/>
        <v>0</v>
      </c>
      <c r="BI18">
        <f t="shared" si="38"/>
        <v>0</v>
      </c>
      <c r="BJ18">
        <f t="shared" si="39"/>
        <v>0</v>
      </c>
      <c r="BK18">
        <f t="shared" si="40"/>
        <v>0</v>
      </c>
      <c r="BL18">
        <f t="shared" si="41"/>
        <v>0</v>
      </c>
      <c r="BM18">
        <f t="shared" si="42"/>
        <v>0</v>
      </c>
      <c r="BN18">
        <f t="shared" si="43"/>
        <v>0</v>
      </c>
      <c r="BO18">
        <f t="shared" si="44"/>
        <v>0</v>
      </c>
      <c r="BP18">
        <f t="shared" si="45"/>
        <v>0</v>
      </c>
      <c r="BQ18">
        <f t="shared" si="46"/>
        <v>0</v>
      </c>
      <c r="BR18">
        <f t="shared" si="47"/>
        <v>0</v>
      </c>
    </row>
    <row r="19" spans="1:70">
      <c r="A19" t="str">
        <f>'time 1'!B18</f>
        <v>&lt;test.Base64: int removeWhiteSpace(byte[])&gt;</v>
      </c>
      <c r="B19">
        <f>AVERAGE('time 1'!D18/'time 1'!C18,'time 2'!D18/'time 2'!C18,'time 3'!D18/'time 3'!C18)</f>
        <v>0.99688601195401405</v>
      </c>
      <c r="C19">
        <f>AVERAGE('time 1'!F18/'time 1'!E18,'time 2'!F18/'time 2'!E18,'time 3'!F18/'time 3'!E18)</f>
        <v>0.99581294506106532</v>
      </c>
      <c r="D19">
        <f>AVERAGE('time 1'!H18/'time 1'!G18,'time 2'!H18/'time 2'!G18,'time 3'!H18/'time 3'!G18)</f>
        <v>1.0050340920332703</v>
      </c>
      <c r="E19">
        <f>AVERAGE('time 1'!J18/'time 2'!I18,'time 2'!J18/'time 2'!I18,'time 3'!J18/'time 3'!I18)</f>
        <v>1.0921236502033378</v>
      </c>
      <c r="F19">
        <f>AVERAGE('time 1'!L18/'time 1'!K18,'time 2'!L18/'time 2'!K18,'time 3'!L18/'time 3'!K18)</f>
        <v>1.0424831751171144</v>
      </c>
      <c r="G19">
        <f>AVERAGE('time 1'!N18/'time 1'!M18,'time 2'!N18/'time 2'!M18,'time 3'!N18/'time 3'!M18)</f>
        <v>1.0086566280454359</v>
      </c>
      <c r="H19">
        <f>AVERAGE('time 1'!P18/'time 1'!O18,'time 2'!P18/'time 2'!O18,'time 3'!P18/'time 3'!O18)</f>
        <v>0.98363936044230194</v>
      </c>
      <c r="I19">
        <f>AVERAGE('time 1'!R18/'time 1'!Q18,'time 2'!R18/'time 2'!Q18,'time 3'!R18/'time 3'!Q18)</f>
        <v>0.98951918870364253</v>
      </c>
      <c r="J19">
        <f>AVERAGE('time 1'!T18/'time 1'!S18,'time 2'!T18/'time 2'!S18,'time 3'!T18/'time 3'!S18)</f>
        <v>0.99741813087732079</v>
      </c>
      <c r="K19">
        <f t="shared" si="3"/>
        <v>5</v>
      </c>
      <c r="L19">
        <f t="shared" si="4"/>
        <v>4</v>
      </c>
      <c r="M19">
        <f t="shared" si="5"/>
        <v>0</v>
      </c>
      <c r="N19">
        <f t="shared" si="6"/>
        <v>0</v>
      </c>
      <c r="O19">
        <f t="shared" si="7"/>
        <v>2</v>
      </c>
      <c r="P19">
        <f t="shared" si="48"/>
        <v>1</v>
      </c>
      <c r="Q19">
        <f t="shared" si="49"/>
        <v>0</v>
      </c>
      <c r="R19">
        <f t="shared" si="8"/>
        <v>0</v>
      </c>
      <c r="S19">
        <f t="shared" si="9"/>
        <v>2</v>
      </c>
      <c r="T19">
        <f t="shared" si="10"/>
        <v>1</v>
      </c>
      <c r="U19">
        <f t="shared" si="11"/>
        <v>0</v>
      </c>
      <c r="V19">
        <f t="shared" si="12"/>
        <v>0</v>
      </c>
      <c r="W19">
        <f t="shared" si="13"/>
        <v>1</v>
      </c>
      <c r="X19">
        <f t="shared" si="14"/>
        <v>2</v>
      </c>
      <c r="Y19">
        <f t="shared" si="15"/>
        <v>0</v>
      </c>
      <c r="Z19">
        <f t="shared" si="16"/>
        <v>0</v>
      </c>
      <c r="AB19">
        <f>AVERAGE('accuracy dom5dom4'!$C19,'accuracy dom51dom41'!$C19,'accuracy dom52dom42'!$C19)</f>
        <v>0</v>
      </c>
      <c r="AC19">
        <f>AVERAGE('accuracy dom5dom4'!$G19,'accuracy dom51dom41'!$G19,'accuracy dom52dom42'!$G19)</f>
        <v>0</v>
      </c>
      <c r="AD19">
        <f>AVERAGE('accuracy dom5dom4'!$AB19,'accuracy dom51dom41'!$AB19,'accuracy dom52dom42'!$AB19)</f>
        <v>0</v>
      </c>
      <c r="AE19">
        <f>AVERAGE('accuracy dom7dom6'!$C19,'accuracy dom71dom61'!$C19,'accuracy dom72dom62'!$C19)</f>
        <v>0</v>
      </c>
      <c r="AF19">
        <f>AVERAGE('accuracy dom7dom6'!$G19,'accuracy dom71dom61'!$G19,'accuracy dom72dom62'!$G19)</f>
        <v>0</v>
      </c>
      <c r="AG19">
        <f>AVERAGE('accuracy dom7dom6'!$AB19,'accuracy dom71dom61'!$AB19,'accuracy dom72dom62'!$AB19)</f>
        <v>0</v>
      </c>
      <c r="AH19">
        <f>AVERAGE('accuracy dom9dom8'!$C19,'accuracy dom91dom81'!$C19,'accuracy dom92dom82'!$C19)</f>
        <v>0</v>
      </c>
      <c r="AI19">
        <f>AVERAGE('accuracy dom9dom8'!$G19,'accuracy dom91dom81'!$G19,'accuracy dom92dom82'!$G19)</f>
        <v>0</v>
      </c>
      <c r="AJ19">
        <f>AVERAGE('accuracy dom9dom8'!$AB19,'accuracy dom91dom81'!$AB19,'accuracy dom92dom82'!$AB19)</f>
        <v>0</v>
      </c>
      <c r="AK19">
        <f t="shared" si="17"/>
        <v>0</v>
      </c>
      <c r="AL19">
        <f t="shared" si="50"/>
        <v>0</v>
      </c>
      <c r="AM19">
        <f t="shared" si="51"/>
        <v>0</v>
      </c>
      <c r="AN19">
        <f t="shared" si="52"/>
        <v>0</v>
      </c>
      <c r="AO19">
        <f t="shared" si="19"/>
        <v>0</v>
      </c>
      <c r="AP19">
        <f t="shared" si="20"/>
        <v>0</v>
      </c>
      <c r="AQ19">
        <f t="shared" si="21"/>
        <v>0</v>
      </c>
      <c r="AR19">
        <f t="shared" si="22"/>
        <v>0</v>
      </c>
      <c r="AS19">
        <f t="shared" si="23"/>
        <v>0</v>
      </c>
      <c r="AT19">
        <f t="shared" si="24"/>
        <v>0</v>
      </c>
      <c r="AU19">
        <f t="shared" si="25"/>
        <v>0</v>
      </c>
      <c r="AV19">
        <f t="shared" si="26"/>
        <v>0</v>
      </c>
      <c r="AW19">
        <f t="shared" si="27"/>
        <v>0</v>
      </c>
      <c r="AX19">
        <f t="shared" si="28"/>
        <v>0</v>
      </c>
      <c r="AY19">
        <f t="shared" si="29"/>
        <v>0</v>
      </c>
      <c r="AZ19">
        <f t="shared" si="30"/>
        <v>0</v>
      </c>
      <c r="BA19">
        <f t="shared" si="31"/>
        <v>0</v>
      </c>
      <c r="BC19">
        <f t="shared" si="32"/>
        <v>0</v>
      </c>
      <c r="BD19">
        <f t="shared" si="33"/>
        <v>0</v>
      </c>
      <c r="BE19">
        <f t="shared" si="34"/>
        <v>0</v>
      </c>
      <c r="BF19">
        <f t="shared" si="35"/>
        <v>0</v>
      </c>
      <c r="BG19">
        <f t="shared" si="36"/>
        <v>0</v>
      </c>
      <c r="BH19">
        <f t="shared" si="37"/>
        <v>0</v>
      </c>
      <c r="BI19">
        <f t="shared" si="38"/>
        <v>0</v>
      </c>
      <c r="BJ19">
        <f t="shared" si="39"/>
        <v>0</v>
      </c>
      <c r="BK19">
        <f t="shared" si="40"/>
        <v>0</v>
      </c>
      <c r="BL19">
        <f t="shared" si="41"/>
        <v>0</v>
      </c>
      <c r="BM19">
        <f t="shared" si="42"/>
        <v>0</v>
      </c>
      <c r="BN19">
        <f t="shared" si="43"/>
        <v>0</v>
      </c>
      <c r="BO19">
        <f t="shared" si="44"/>
        <v>0</v>
      </c>
      <c r="BP19">
        <f t="shared" si="45"/>
        <v>0</v>
      </c>
      <c r="BQ19">
        <f t="shared" si="46"/>
        <v>0</v>
      </c>
      <c r="BR19">
        <f t="shared" si="47"/>
        <v>0</v>
      </c>
    </row>
    <row r="20" spans="1:70">
      <c r="A20" t="str">
        <f>'time 1'!B19</f>
        <v>&lt;test.Base64: java.lang.String encode(byte[],int)&gt;</v>
      </c>
      <c r="B20">
        <f>AVERAGE('time 1'!D19/'time 1'!C19,'time 2'!D19/'time 2'!C19,'time 3'!D19/'time 3'!C19)</f>
        <v>1.3144975580782541</v>
      </c>
      <c r="C20">
        <f>AVERAGE('time 1'!F19/'time 1'!E19,'time 2'!F19/'time 2'!E19,'time 3'!F19/'time 3'!E19)</f>
        <v>1.2399919935344197</v>
      </c>
      <c r="D20">
        <f>AVERAGE('time 1'!H19/'time 1'!G19,'time 2'!H19/'time 2'!G19,'time 3'!H19/'time 3'!G19)</f>
        <v>1.3120825642067138</v>
      </c>
      <c r="E20">
        <f>AVERAGE('time 1'!J19/'time 2'!I19,'time 2'!J19/'time 2'!I19,'time 3'!J19/'time 3'!I19)</f>
        <v>1.4304427439720706</v>
      </c>
      <c r="F20">
        <f>AVERAGE('time 1'!L19/'time 1'!K19,'time 2'!L19/'time 2'!K19,'time 3'!L19/'time 3'!K19)</f>
        <v>1.1384996114865469</v>
      </c>
      <c r="G20">
        <f>AVERAGE('time 1'!N19/'time 1'!M19,'time 2'!N19/'time 2'!M19,'time 3'!N19/'time 3'!M19)</f>
        <v>1.4534996099560538</v>
      </c>
      <c r="H20">
        <f>AVERAGE('time 1'!P19/'time 1'!O19,'time 2'!P19/'time 2'!O19,'time 3'!P19/'time 3'!O19)</f>
        <v>1.352745749824817</v>
      </c>
      <c r="I20">
        <f>AVERAGE('time 1'!R19/'time 1'!Q19,'time 2'!R19/'time 2'!Q19,'time 3'!R19/'time 3'!Q19)</f>
        <v>1.3140461793403995</v>
      </c>
      <c r="J20">
        <f>AVERAGE('time 1'!T19/'time 1'!S19,'time 2'!T19/'time 2'!S19,'time 3'!T19/'time 3'!S19)</f>
        <v>1.324484789120344</v>
      </c>
      <c r="K20">
        <f t="shared" si="3"/>
        <v>0</v>
      </c>
      <c r="L20">
        <f t="shared" si="4"/>
        <v>9</v>
      </c>
      <c r="M20">
        <f t="shared" si="5"/>
        <v>0</v>
      </c>
      <c r="N20">
        <f t="shared" si="6"/>
        <v>0</v>
      </c>
      <c r="O20">
        <f t="shared" si="7"/>
        <v>0</v>
      </c>
      <c r="P20">
        <f t="shared" si="48"/>
        <v>3</v>
      </c>
      <c r="Q20">
        <f t="shared" si="49"/>
        <v>0</v>
      </c>
      <c r="R20">
        <f t="shared" si="8"/>
        <v>0</v>
      </c>
      <c r="S20">
        <f t="shared" si="9"/>
        <v>0</v>
      </c>
      <c r="T20">
        <f t="shared" si="10"/>
        <v>3</v>
      </c>
      <c r="U20">
        <f t="shared" si="11"/>
        <v>0</v>
      </c>
      <c r="V20">
        <f t="shared" si="12"/>
        <v>0</v>
      </c>
      <c r="W20">
        <f t="shared" si="13"/>
        <v>0</v>
      </c>
      <c r="X20">
        <f t="shared" si="14"/>
        <v>3</v>
      </c>
      <c r="Y20">
        <f t="shared" si="15"/>
        <v>0</v>
      </c>
      <c r="Z20">
        <f t="shared" si="16"/>
        <v>0</v>
      </c>
      <c r="AB20">
        <f>AVERAGE('accuracy dom5dom4'!$C20,'accuracy dom51dom41'!$C20,'accuracy dom52dom42'!$C20)</f>
        <v>6.333333333333333</v>
      </c>
      <c r="AC20">
        <f>AVERAGE('accuracy dom5dom4'!$G20,'accuracy dom51dom41'!$G20,'accuracy dom52dom42'!$G20)</f>
        <v>6.333333333333333</v>
      </c>
      <c r="AD20">
        <f>AVERAGE('accuracy dom5dom4'!$AB20,'accuracy dom51dom41'!$AB20,'accuracy dom52dom42'!$AB20)</f>
        <v>6.333333333333333</v>
      </c>
      <c r="AE20">
        <f>AVERAGE('accuracy dom7dom6'!$C20,'accuracy dom71dom61'!$C20,'accuracy dom72dom62'!$C20)</f>
        <v>7</v>
      </c>
      <c r="AF20">
        <f>AVERAGE('accuracy dom7dom6'!$G20,'accuracy dom71dom61'!$G20,'accuracy dom72dom62'!$G20)</f>
        <v>7</v>
      </c>
      <c r="AG20">
        <f>AVERAGE('accuracy dom7dom6'!$AB20,'accuracy dom71dom61'!$AB20,'accuracy dom72dom62'!$AB20)</f>
        <v>7</v>
      </c>
      <c r="AH20">
        <f>AVERAGE('accuracy dom9dom8'!$C20,'accuracy dom91dom81'!$C20,'accuracy dom92dom82'!$C20)</f>
        <v>7</v>
      </c>
      <c r="AI20">
        <f>AVERAGE('accuracy dom9dom8'!$G20,'accuracy dom91dom81'!$G20,'accuracy dom92dom82'!$G20)</f>
        <v>7</v>
      </c>
      <c r="AJ20">
        <f>AVERAGE('accuracy dom9dom8'!$AB20,'accuracy dom91dom81'!$AB20,'accuracy dom92dom82'!$AB20)</f>
        <v>7</v>
      </c>
      <c r="AK20">
        <f t="shared" si="17"/>
        <v>9</v>
      </c>
      <c r="AL20">
        <f t="shared" si="50"/>
        <v>0</v>
      </c>
      <c r="AM20">
        <f t="shared" si="51"/>
        <v>61</v>
      </c>
      <c r="AN20">
        <f t="shared" si="52"/>
        <v>0</v>
      </c>
      <c r="AO20">
        <f t="shared" si="19"/>
        <v>0</v>
      </c>
      <c r="AP20">
        <f t="shared" si="20"/>
        <v>0</v>
      </c>
      <c r="AQ20">
        <f t="shared" si="21"/>
        <v>20.333333333333332</v>
      </c>
      <c r="AR20">
        <f t="shared" si="22"/>
        <v>0</v>
      </c>
      <c r="AS20">
        <f t="shared" si="23"/>
        <v>0</v>
      </c>
      <c r="AT20">
        <f t="shared" si="24"/>
        <v>0</v>
      </c>
      <c r="AU20">
        <f t="shared" si="25"/>
        <v>20.333333333333332</v>
      </c>
      <c r="AV20">
        <f t="shared" si="26"/>
        <v>0</v>
      </c>
      <c r="AW20">
        <f t="shared" si="27"/>
        <v>0</v>
      </c>
      <c r="AX20">
        <f t="shared" si="28"/>
        <v>0</v>
      </c>
      <c r="AY20">
        <f t="shared" si="29"/>
        <v>20.333333333333332</v>
      </c>
      <c r="AZ20">
        <f t="shared" si="30"/>
        <v>0</v>
      </c>
      <c r="BA20">
        <f t="shared" si="31"/>
        <v>0</v>
      </c>
      <c r="BC20">
        <f t="shared" si="32"/>
        <v>0</v>
      </c>
      <c r="BD20">
        <f t="shared" si="33"/>
        <v>9</v>
      </c>
      <c r="BE20">
        <f t="shared" si="34"/>
        <v>0</v>
      </c>
      <c r="BF20">
        <f t="shared" si="35"/>
        <v>0</v>
      </c>
      <c r="BG20">
        <f t="shared" si="36"/>
        <v>0</v>
      </c>
      <c r="BH20">
        <f t="shared" si="37"/>
        <v>3</v>
      </c>
      <c r="BI20">
        <f t="shared" si="38"/>
        <v>0</v>
      </c>
      <c r="BJ20">
        <f t="shared" si="39"/>
        <v>0</v>
      </c>
      <c r="BK20">
        <f t="shared" si="40"/>
        <v>0</v>
      </c>
      <c r="BL20">
        <f t="shared" si="41"/>
        <v>3</v>
      </c>
      <c r="BM20">
        <f t="shared" si="42"/>
        <v>0</v>
      </c>
      <c r="BN20">
        <f t="shared" si="43"/>
        <v>0</v>
      </c>
      <c r="BO20">
        <f t="shared" si="44"/>
        <v>0</v>
      </c>
      <c r="BP20">
        <f t="shared" si="45"/>
        <v>3</v>
      </c>
      <c r="BQ20">
        <f t="shared" si="46"/>
        <v>0</v>
      </c>
      <c r="BR20">
        <f t="shared" si="47"/>
        <v>0</v>
      </c>
    </row>
    <row r="21" spans="1:70">
      <c r="A21" t="str">
        <f>'time 1'!B20</f>
        <v>&lt;test.Base64: void decode(byte[],java.io.OutputStream)&gt;</v>
      </c>
      <c r="B21">
        <f>AVERAGE('time 1'!D20/'time 1'!C20,'time 2'!D20/'time 2'!C20,'time 3'!D20/'time 3'!C20)</f>
        <v>1.2139431997449106</v>
      </c>
      <c r="C21">
        <f>AVERAGE('time 1'!F20/'time 1'!E20,'time 2'!F20/'time 2'!E20,'time 3'!F20/'time 3'!E20)</f>
        <v>1.1307370547861717</v>
      </c>
      <c r="D21">
        <f>AVERAGE('time 1'!H20/'time 1'!G20,'time 2'!H20/'time 2'!G20,'time 3'!H20/'time 3'!G20)</f>
        <v>1.2079199340534665</v>
      </c>
      <c r="E21">
        <f>AVERAGE('time 1'!J20/'time 2'!I20,'time 2'!J20/'time 2'!I20,'time 3'!J20/'time 3'!I20)</f>
        <v>1.3288263344100908</v>
      </c>
      <c r="F21">
        <f>AVERAGE('time 1'!L20/'time 1'!K20,'time 2'!L20/'time 2'!K20,'time 3'!L20/'time 3'!K20)</f>
        <v>0.99875390163703681</v>
      </c>
      <c r="G21">
        <f>AVERAGE('time 1'!N20/'time 1'!M20,'time 2'!N20/'time 2'!M20,'time 3'!N20/'time 3'!M20)</f>
        <v>1.2025292498494136</v>
      </c>
      <c r="H21">
        <f>AVERAGE('time 1'!P20/'time 1'!O20,'time 2'!P20/'time 2'!O20,'time 3'!P20/'time 3'!O20)</f>
        <v>1.1885335502392658</v>
      </c>
      <c r="I21">
        <f>AVERAGE('time 1'!R20/'time 1'!Q20,'time 2'!R20/'time 2'!Q20,'time 3'!R20/'time 3'!Q20)</f>
        <v>1.039758461399491</v>
      </c>
      <c r="J21">
        <f>AVERAGE('time 1'!T20/'time 1'!S20,'time 2'!T20/'time 2'!S20,'time 3'!T20/'time 3'!S20)</f>
        <v>1.2359002935961605</v>
      </c>
      <c r="K21">
        <f t="shared" si="3"/>
        <v>1</v>
      </c>
      <c r="L21">
        <f t="shared" si="4"/>
        <v>8</v>
      </c>
      <c r="M21">
        <f t="shared" si="5"/>
        <v>0</v>
      </c>
      <c r="N21">
        <f t="shared" si="6"/>
        <v>0</v>
      </c>
      <c r="O21">
        <f t="shared" si="7"/>
        <v>0</v>
      </c>
      <c r="P21">
        <f t="shared" si="48"/>
        <v>3</v>
      </c>
      <c r="Q21">
        <f t="shared" si="49"/>
        <v>0</v>
      </c>
      <c r="R21">
        <f t="shared" si="8"/>
        <v>0</v>
      </c>
      <c r="S21">
        <f t="shared" si="9"/>
        <v>1</v>
      </c>
      <c r="T21">
        <f t="shared" si="10"/>
        <v>2</v>
      </c>
      <c r="U21">
        <f t="shared" si="11"/>
        <v>0</v>
      </c>
      <c r="V21">
        <f t="shared" si="12"/>
        <v>0</v>
      </c>
      <c r="W21">
        <f t="shared" si="13"/>
        <v>0</v>
      </c>
      <c r="X21">
        <f t="shared" si="14"/>
        <v>3</v>
      </c>
      <c r="Y21">
        <f t="shared" si="15"/>
        <v>0</v>
      </c>
      <c r="Z21">
        <f t="shared" si="16"/>
        <v>0</v>
      </c>
      <c r="AB21">
        <f>AVERAGE('accuracy dom5dom4'!$C21,'accuracy dom51dom41'!$C21,'accuracy dom52dom42'!$C21)</f>
        <v>0</v>
      </c>
      <c r="AC21">
        <f>AVERAGE('accuracy dom5dom4'!$G21,'accuracy dom51dom41'!$G21,'accuracy dom52dom42'!$G21)</f>
        <v>0</v>
      </c>
      <c r="AD21">
        <f>AVERAGE('accuracy dom5dom4'!$AB21,'accuracy dom51dom41'!$AB21,'accuracy dom52dom42'!$AB21)</f>
        <v>0</v>
      </c>
      <c r="AE21">
        <f>AVERAGE('accuracy dom7dom6'!$C21,'accuracy dom71dom61'!$C21,'accuracy dom72dom62'!$C21)</f>
        <v>0</v>
      </c>
      <c r="AF21">
        <f>AVERAGE('accuracy dom7dom6'!$G21,'accuracy dom71dom61'!$G21,'accuracy dom72dom62'!$G21)</f>
        <v>0</v>
      </c>
      <c r="AG21">
        <f>AVERAGE('accuracy dom7dom6'!$AB21,'accuracy dom71dom61'!$AB21,'accuracy dom72dom62'!$AB21)</f>
        <v>0</v>
      </c>
      <c r="AH21">
        <f>AVERAGE('accuracy dom9dom8'!$C21,'accuracy dom91dom81'!$C21,'accuracy dom92dom82'!$C21)</f>
        <v>0</v>
      </c>
      <c r="AI21">
        <f>AVERAGE('accuracy dom9dom8'!$G21,'accuracy dom91dom81'!$G21,'accuracy dom92dom82'!$G21)</f>
        <v>0</v>
      </c>
      <c r="AJ21">
        <f>AVERAGE('accuracy dom9dom8'!$AB21,'accuracy dom91dom81'!$AB21,'accuracy dom92dom82'!$AB21)</f>
        <v>0</v>
      </c>
      <c r="AK21">
        <f t="shared" si="17"/>
        <v>0</v>
      </c>
      <c r="AL21">
        <f t="shared" si="50"/>
        <v>0</v>
      </c>
      <c r="AM21">
        <f t="shared" si="51"/>
        <v>0</v>
      </c>
      <c r="AN21">
        <f t="shared" si="52"/>
        <v>0</v>
      </c>
      <c r="AO21">
        <f t="shared" si="19"/>
        <v>0</v>
      </c>
      <c r="AP21">
        <f t="shared" si="20"/>
        <v>0</v>
      </c>
      <c r="AQ21">
        <f t="shared" si="21"/>
        <v>0</v>
      </c>
      <c r="AR21">
        <f t="shared" si="22"/>
        <v>0</v>
      </c>
      <c r="AS21">
        <f t="shared" si="23"/>
        <v>0</v>
      </c>
      <c r="AT21">
        <f t="shared" si="24"/>
        <v>0</v>
      </c>
      <c r="AU21">
        <f t="shared" si="25"/>
        <v>0</v>
      </c>
      <c r="AV21">
        <f t="shared" si="26"/>
        <v>0</v>
      </c>
      <c r="AW21">
        <f t="shared" si="27"/>
        <v>0</v>
      </c>
      <c r="AX21">
        <f t="shared" si="28"/>
        <v>0</v>
      </c>
      <c r="AY21">
        <f t="shared" si="29"/>
        <v>0</v>
      </c>
      <c r="AZ21">
        <f t="shared" si="30"/>
        <v>0</v>
      </c>
      <c r="BA21">
        <f t="shared" si="31"/>
        <v>0</v>
      </c>
      <c r="BC21">
        <f t="shared" si="32"/>
        <v>0</v>
      </c>
      <c r="BD21">
        <f t="shared" si="33"/>
        <v>0</v>
      </c>
      <c r="BE21">
        <f t="shared" si="34"/>
        <v>0</v>
      </c>
      <c r="BF21">
        <f t="shared" si="35"/>
        <v>0</v>
      </c>
      <c r="BG21">
        <f t="shared" si="36"/>
        <v>0</v>
      </c>
      <c r="BH21">
        <f t="shared" si="37"/>
        <v>0</v>
      </c>
      <c r="BI21">
        <f t="shared" si="38"/>
        <v>0</v>
      </c>
      <c r="BJ21">
        <f t="shared" si="39"/>
        <v>0</v>
      </c>
      <c r="BK21">
        <f t="shared" si="40"/>
        <v>0</v>
      </c>
      <c r="BL21">
        <f t="shared" si="41"/>
        <v>0</v>
      </c>
      <c r="BM21">
        <f t="shared" si="42"/>
        <v>0</v>
      </c>
      <c r="BN21">
        <f t="shared" si="43"/>
        <v>0</v>
      </c>
      <c r="BO21">
        <f t="shared" si="44"/>
        <v>0</v>
      </c>
      <c r="BP21">
        <f t="shared" si="45"/>
        <v>0</v>
      </c>
      <c r="BQ21">
        <f t="shared" si="46"/>
        <v>0</v>
      </c>
      <c r="BR21">
        <f t="shared" si="47"/>
        <v>0</v>
      </c>
    </row>
    <row r="22" spans="1:70">
      <c r="A22" t="str">
        <f>'time 1'!B21</f>
        <v>&lt;test.Base64: void decode(java.io.InputStream,java.io.OutputStream)&gt;</v>
      </c>
      <c r="B22">
        <f>AVERAGE('time 1'!D21/'time 1'!C21,'time 2'!D21/'time 2'!C21,'time 3'!D21/'time 3'!C21)</f>
        <v>1.1024278438317541</v>
      </c>
      <c r="C22">
        <f>AVERAGE('time 1'!F21/'time 1'!E21,'time 2'!F21/'time 2'!E21,'time 3'!F21/'time 3'!E21)</f>
        <v>1.0554328245201681</v>
      </c>
      <c r="D22">
        <f>AVERAGE('time 1'!H21/'time 1'!G21,'time 2'!H21/'time 2'!G21,'time 3'!H21/'time 3'!G21)</f>
        <v>1.0549909339944927</v>
      </c>
      <c r="E22">
        <f>AVERAGE('time 1'!J21/'time 2'!I21,'time 2'!J21/'time 2'!I21,'time 3'!J21/'time 3'!I21)</f>
        <v>1.1327697278187185</v>
      </c>
      <c r="F22">
        <f>AVERAGE('time 1'!L21/'time 1'!K21,'time 2'!L21/'time 2'!K21,'time 3'!L21/'time 3'!K21)</f>
        <v>1.1044912735849184</v>
      </c>
      <c r="G22">
        <f>AVERAGE('time 1'!N21/'time 1'!M21,'time 2'!N21/'time 2'!M21,'time 3'!N21/'time 3'!M21)</f>
        <v>1.0799450119134233</v>
      </c>
      <c r="H22">
        <f>AVERAGE('time 1'!P21/'time 1'!O21,'time 2'!P21/'time 2'!O21,'time 3'!P21/'time 3'!O21)</f>
        <v>1.0653242804359244</v>
      </c>
      <c r="I22">
        <f>AVERAGE('time 1'!R21/'time 1'!Q21,'time 2'!R21/'time 2'!Q21,'time 3'!R21/'time 3'!Q21)</f>
        <v>0.98740116057081373</v>
      </c>
      <c r="J22">
        <f>AVERAGE('time 1'!T21/'time 1'!S21,'time 2'!T21/'time 2'!S21,'time 3'!T21/'time 3'!S21)</f>
        <v>1.0748464328727525</v>
      </c>
      <c r="K22">
        <f t="shared" si="3"/>
        <v>1</v>
      </c>
      <c r="L22">
        <f t="shared" si="4"/>
        <v>8</v>
      </c>
      <c r="M22">
        <f t="shared" si="5"/>
        <v>0</v>
      </c>
      <c r="N22">
        <f t="shared" si="6"/>
        <v>0</v>
      </c>
      <c r="O22">
        <f t="shared" si="7"/>
        <v>0</v>
      </c>
      <c r="P22">
        <f t="shared" si="48"/>
        <v>3</v>
      </c>
      <c r="Q22">
        <f t="shared" si="49"/>
        <v>0</v>
      </c>
      <c r="R22">
        <f t="shared" si="8"/>
        <v>0</v>
      </c>
      <c r="S22">
        <f t="shared" si="9"/>
        <v>1</v>
      </c>
      <c r="T22">
        <f t="shared" si="10"/>
        <v>2</v>
      </c>
      <c r="U22">
        <f t="shared" si="11"/>
        <v>0</v>
      </c>
      <c r="V22">
        <f t="shared" si="12"/>
        <v>0</v>
      </c>
      <c r="W22">
        <f t="shared" si="13"/>
        <v>0</v>
      </c>
      <c r="X22">
        <f t="shared" si="14"/>
        <v>3</v>
      </c>
      <c r="Y22">
        <f t="shared" si="15"/>
        <v>0</v>
      </c>
      <c r="Z22">
        <f t="shared" si="16"/>
        <v>0</v>
      </c>
      <c r="AB22">
        <f>AVERAGE('accuracy dom5dom4'!$C22,'accuracy dom51dom41'!$C22,'accuracy dom52dom42'!$C22)</f>
        <v>0</v>
      </c>
      <c r="AC22">
        <f>AVERAGE('accuracy dom5dom4'!$G22,'accuracy dom51dom41'!$G22,'accuracy dom52dom42'!$G22)</f>
        <v>0</v>
      </c>
      <c r="AD22">
        <f>AVERAGE('accuracy dom5dom4'!$AB22,'accuracy dom51dom41'!$AB22,'accuracy dom52dom42'!$AB22)</f>
        <v>0</v>
      </c>
      <c r="AE22">
        <f>AVERAGE('accuracy dom7dom6'!$C22,'accuracy dom71dom61'!$C22,'accuracy dom72dom62'!$C22)</f>
        <v>0</v>
      </c>
      <c r="AF22">
        <f>AVERAGE('accuracy dom7dom6'!$G22,'accuracy dom71dom61'!$G22,'accuracy dom72dom62'!$G22)</f>
        <v>0</v>
      </c>
      <c r="AG22">
        <f>AVERAGE('accuracy dom7dom6'!$AB22,'accuracy dom71dom61'!$AB22,'accuracy dom72dom62'!$AB22)</f>
        <v>0</v>
      </c>
      <c r="AH22">
        <f>AVERAGE('accuracy dom9dom8'!$C22,'accuracy dom91dom81'!$C22,'accuracy dom92dom82'!$C22)</f>
        <v>0</v>
      </c>
      <c r="AI22">
        <f>AVERAGE('accuracy dom9dom8'!$G22,'accuracy dom91dom81'!$G22,'accuracy dom92dom82'!$G22)</f>
        <v>0</v>
      </c>
      <c r="AJ22">
        <f>AVERAGE('accuracy dom9dom8'!$AB22,'accuracy dom91dom81'!$AB22,'accuracy dom92dom82'!$AB22)</f>
        <v>0</v>
      </c>
      <c r="AK22">
        <f t="shared" si="17"/>
        <v>0</v>
      </c>
      <c r="AL22">
        <f t="shared" si="50"/>
        <v>0</v>
      </c>
      <c r="AM22">
        <f t="shared" si="51"/>
        <v>0</v>
      </c>
      <c r="AN22">
        <f t="shared" si="52"/>
        <v>0</v>
      </c>
      <c r="AO22">
        <f t="shared" si="19"/>
        <v>0</v>
      </c>
      <c r="AP22">
        <f t="shared" si="20"/>
        <v>0</v>
      </c>
      <c r="AQ22">
        <f t="shared" si="21"/>
        <v>0</v>
      </c>
      <c r="AR22">
        <f t="shared" si="22"/>
        <v>0</v>
      </c>
      <c r="AS22">
        <f t="shared" si="23"/>
        <v>0</v>
      </c>
      <c r="AT22">
        <f t="shared" si="24"/>
        <v>0</v>
      </c>
      <c r="AU22">
        <f t="shared" si="25"/>
        <v>0</v>
      </c>
      <c r="AV22">
        <f t="shared" si="26"/>
        <v>0</v>
      </c>
      <c r="AW22">
        <f t="shared" si="27"/>
        <v>0</v>
      </c>
      <c r="AX22">
        <f t="shared" si="28"/>
        <v>0</v>
      </c>
      <c r="AY22">
        <f t="shared" si="29"/>
        <v>0</v>
      </c>
      <c r="AZ22">
        <f t="shared" si="30"/>
        <v>0</v>
      </c>
      <c r="BA22">
        <f t="shared" si="31"/>
        <v>0</v>
      </c>
      <c r="BC22">
        <f t="shared" si="32"/>
        <v>0</v>
      </c>
      <c r="BD22">
        <f t="shared" si="33"/>
        <v>0</v>
      </c>
      <c r="BE22">
        <f t="shared" si="34"/>
        <v>0</v>
      </c>
      <c r="BF22">
        <f t="shared" si="35"/>
        <v>0</v>
      </c>
      <c r="BG22">
        <f t="shared" si="36"/>
        <v>0</v>
      </c>
      <c r="BH22">
        <f t="shared" si="37"/>
        <v>0</v>
      </c>
      <c r="BI22">
        <f t="shared" si="38"/>
        <v>0</v>
      </c>
      <c r="BJ22">
        <f t="shared" si="39"/>
        <v>0</v>
      </c>
      <c r="BK22">
        <f t="shared" si="40"/>
        <v>0</v>
      </c>
      <c r="BL22">
        <f t="shared" si="41"/>
        <v>0</v>
      </c>
      <c r="BM22">
        <f t="shared" si="42"/>
        <v>0</v>
      </c>
      <c r="BN22">
        <f t="shared" si="43"/>
        <v>0</v>
      </c>
      <c r="BO22">
        <f t="shared" si="44"/>
        <v>0</v>
      </c>
      <c r="BP22">
        <f t="shared" si="45"/>
        <v>0</v>
      </c>
      <c r="BQ22">
        <f t="shared" si="46"/>
        <v>0</v>
      </c>
      <c r="BR22">
        <f t="shared" si="47"/>
        <v>0</v>
      </c>
    </row>
    <row r="23" spans="1:70">
      <c r="A23" t="str">
        <f>'time 1'!B22</f>
        <v>&lt;test.Base64: void fillElementWithBigInteger(org.w3c.dom.Element,java.math.BigInteger)&gt;</v>
      </c>
      <c r="B23">
        <f>AVERAGE('time 1'!D22/'time 1'!C22,'time 2'!D22/'time 2'!C22,'time 3'!D22/'time 3'!C22)</f>
        <v>1.0515151515151515</v>
      </c>
      <c r="C23">
        <f>AVERAGE('time 1'!F22/'time 1'!E22,'time 2'!F22/'time 2'!E22,'time 3'!F22/'time 3'!E22)</f>
        <v>0.99357987485077792</v>
      </c>
      <c r="D23">
        <f>AVERAGE('time 1'!H22/'time 1'!G22,'time 2'!H22/'time 2'!G22,'time 3'!H22/'time 3'!G22)</f>
        <v>1.0208333333333333</v>
      </c>
      <c r="E23">
        <f>AVERAGE('time 1'!J22/'time 2'!I22,'time 2'!J22/'time 2'!I22,'time 3'!J22/'time 3'!I22)</f>
        <v>1</v>
      </c>
      <c r="F23">
        <f>AVERAGE('time 1'!L22/'time 1'!K22,'time 2'!L22/'time 2'!K22,'time 3'!L22/'time 3'!K22)</f>
        <v>0.99508873463969572</v>
      </c>
      <c r="G23">
        <f>AVERAGE('time 1'!N22/'time 1'!M22,'time 2'!N22/'time 2'!M22,'time 3'!N22/'time 3'!M22)</f>
        <v>1.4126984126984128</v>
      </c>
      <c r="H23">
        <f>AVERAGE('time 1'!P22/'time 1'!O22,'time 2'!P22/'time 2'!O22,'time 3'!P22/'time 3'!O22)</f>
        <v>1.2708333333333333</v>
      </c>
      <c r="I23">
        <f>AVERAGE('time 1'!R22/'time 1'!Q22,'time 2'!R22/'time 2'!Q22,'time 3'!R22/'time 3'!Q22)</f>
        <v>1.0086485894063644</v>
      </c>
      <c r="J23">
        <f>AVERAGE('time 1'!T22/'time 1'!S22,'time 2'!T22/'time 2'!S22,'time 3'!T22/'time 3'!S22)</f>
        <v>0.89142857142857146</v>
      </c>
      <c r="K23">
        <f t="shared" si="3"/>
        <v>3</v>
      </c>
      <c r="L23">
        <f t="shared" si="4"/>
        <v>6</v>
      </c>
      <c r="M23">
        <f t="shared" si="5"/>
        <v>0</v>
      </c>
      <c r="N23">
        <f t="shared" si="6"/>
        <v>0</v>
      </c>
      <c r="O23">
        <f t="shared" si="7"/>
        <v>0</v>
      </c>
      <c r="P23">
        <f t="shared" si="48"/>
        <v>3</v>
      </c>
      <c r="Q23">
        <f t="shared" si="49"/>
        <v>0</v>
      </c>
      <c r="R23">
        <f t="shared" si="8"/>
        <v>0</v>
      </c>
      <c r="S23">
        <f t="shared" si="9"/>
        <v>2</v>
      </c>
      <c r="T23">
        <f t="shared" si="10"/>
        <v>1</v>
      </c>
      <c r="U23">
        <f t="shared" si="11"/>
        <v>0</v>
      </c>
      <c r="V23">
        <f t="shared" si="12"/>
        <v>0</v>
      </c>
      <c r="W23">
        <f t="shared" si="13"/>
        <v>1</v>
      </c>
      <c r="X23">
        <f t="shared" si="14"/>
        <v>2</v>
      </c>
      <c r="Y23">
        <f t="shared" si="15"/>
        <v>0</v>
      </c>
      <c r="Z23">
        <f t="shared" si="16"/>
        <v>0</v>
      </c>
      <c r="AB23">
        <f>AVERAGE('accuracy dom5dom4'!$C23,'accuracy dom51dom41'!$C23,'accuracy dom52dom42'!$C23)</f>
        <v>0</v>
      </c>
      <c r="AC23">
        <f>AVERAGE('accuracy dom5dom4'!$G23,'accuracy dom51dom41'!$G23,'accuracy dom52dom42'!$G23)</f>
        <v>0</v>
      </c>
      <c r="AD23">
        <f>AVERAGE('accuracy dom5dom4'!$AB23,'accuracy dom51dom41'!$AB23,'accuracy dom52dom42'!$AB23)</f>
        <v>0</v>
      </c>
      <c r="AE23">
        <f>AVERAGE('accuracy dom7dom6'!$C23,'accuracy dom71dom61'!$C23,'accuracy dom72dom62'!$C23)</f>
        <v>0</v>
      </c>
      <c r="AF23">
        <f>AVERAGE('accuracy dom7dom6'!$G23,'accuracy dom71dom61'!$G23,'accuracy dom72dom62'!$G23)</f>
        <v>0</v>
      </c>
      <c r="AG23">
        <f>AVERAGE('accuracy dom7dom6'!$AB23,'accuracy dom71dom61'!$AB23,'accuracy dom72dom62'!$AB23)</f>
        <v>0</v>
      </c>
      <c r="AH23">
        <f>AVERAGE('accuracy dom9dom8'!$C23,'accuracy dom91dom81'!$C23,'accuracy dom92dom82'!$C23)</f>
        <v>0</v>
      </c>
      <c r="AI23">
        <f>AVERAGE('accuracy dom9dom8'!$G23,'accuracy dom91dom81'!$G23,'accuracy dom92dom82'!$G23)</f>
        <v>0</v>
      </c>
      <c r="AJ23">
        <f>AVERAGE('accuracy dom9dom8'!$AB23,'accuracy dom91dom81'!$AB23,'accuracy dom92dom82'!$AB23)</f>
        <v>0</v>
      </c>
      <c r="AK23">
        <f t="shared" si="17"/>
        <v>0</v>
      </c>
      <c r="AL23">
        <f t="shared" si="50"/>
        <v>0</v>
      </c>
      <c r="AM23">
        <f t="shared" si="51"/>
        <v>0</v>
      </c>
      <c r="AN23">
        <f t="shared" si="52"/>
        <v>0</v>
      </c>
      <c r="AO23">
        <f t="shared" si="19"/>
        <v>0</v>
      </c>
      <c r="AP23">
        <f t="shared" si="20"/>
        <v>0</v>
      </c>
      <c r="AQ23">
        <f t="shared" si="21"/>
        <v>0</v>
      </c>
      <c r="AR23">
        <f t="shared" si="22"/>
        <v>0</v>
      </c>
      <c r="AS23">
        <f t="shared" si="23"/>
        <v>0</v>
      </c>
      <c r="AT23">
        <f t="shared" si="24"/>
        <v>0</v>
      </c>
      <c r="AU23">
        <f t="shared" si="25"/>
        <v>0</v>
      </c>
      <c r="AV23">
        <f t="shared" si="26"/>
        <v>0</v>
      </c>
      <c r="AW23">
        <f t="shared" si="27"/>
        <v>0</v>
      </c>
      <c r="AX23">
        <f t="shared" si="28"/>
        <v>0</v>
      </c>
      <c r="AY23">
        <f t="shared" si="29"/>
        <v>0</v>
      </c>
      <c r="AZ23">
        <f t="shared" si="30"/>
        <v>0</v>
      </c>
      <c r="BA23">
        <f t="shared" si="31"/>
        <v>0</v>
      </c>
      <c r="BC23">
        <f t="shared" si="32"/>
        <v>0</v>
      </c>
      <c r="BD23">
        <f t="shared" si="33"/>
        <v>0</v>
      </c>
      <c r="BE23">
        <f t="shared" si="34"/>
        <v>0</v>
      </c>
      <c r="BF23">
        <f t="shared" si="35"/>
        <v>0</v>
      </c>
      <c r="BG23">
        <f t="shared" si="36"/>
        <v>0</v>
      </c>
      <c r="BH23">
        <f t="shared" si="37"/>
        <v>0</v>
      </c>
      <c r="BI23">
        <f t="shared" si="38"/>
        <v>0</v>
      </c>
      <c r="BJ23">
        <f t="shared" si="39"/>
        <v>0</v>
      </c>
      <c r="BK23">
        <f t="shared" si="40"/>
        <v>0</v>
      </c>
      <c r="BL23">
        <f t="shared" si="41"/>
        <v>0</v>
      </c>
      <c r="BM23">
        <f t="shared" si="42"/>
        <v>0</v>
      </c>
      <c r="BN23">
        <f t="shared" si="43"/>
        <v>0</v>
      </c>
      <c r="BO23">
        <f t="shared" si="44"/>
        <v>0</v>
      </c>
      <c r="BP23">
        <f t="shared" si="45"/>
        <v>0</v>
      </c>
      <c r="BQ23">
        <f t="shared" si="46"/>
        <v>0</v>
      </c>
      <c r="BR23">
        <f t="shared" si="47"/>
        <v>0</v>
      </c>
    </row>
    <row r="24" spans="1:70">
      <c r="A24" t="str">
        <f>'time 1'!B23</f>
        <v>&lt;test.Class11: boolean method219(int,int,int,int,int,int,int)&gt;</v>
      </c>
      <c r="B24">
        <f>AVERAGE('time 1'!D23/'time 1'!C23,'time 2'!D23/'time 2'!C23,'time 3'!D23/'time 3'!C23)</f>
        <v>1.0839551638027558</v>
      </c>
      <c r="C24">
        <f>AVERAGE('time 1'!F23/'time 1'!E23,'time 2'!F23/'time 2'!E23,'time 3'!F23/'time 3'!E23)</f>
        <v>1.0155995515456617</v>
      </c>
      <c r="D24">
        <f>AVERAGE('time 1'!H23/'time 1'!G23,'time 2'!H23/'time 2'!G23,'time 3'!H23/'time 3'!G23)</f>
        <v>1.0616745637765148</v>
      </c>
      <c r="E24">
        <f>AVERAGE('time 1'!J23/'time 2'!I23,'time 2'!J23/'time 2'!I23,'time 3'!J23/'time 3'!I23)</f>
        <v>1.1055352179297457</v>
      </c>
      <c r="F24">
        <f>AVERAGE('time 1'!L23/'time 1'!K23,'time 2'!L23/'time 2'!K23,'time 3'!L23/'time 3'!K23)</f>
        <v>1.0251992650603226</v>
      </c>
      <c r="G24">
        <f>AVERAGE('time 1'!N23/'time 1'!M23,'time 2'!N23/'time 2'!M23,'time 3'!N23/'time 3'!M23)</f>
        <v>1.0737805425814966</v>
      </c>
      <c r="H24">
        <f>AVERAGE('time 1'!P23/'time 1'!O23,'time 2'!P23/'time 2'!O23,'time 3'!P23/'time 3'!O23)</f>
        <v>1.0998346899949436</v>
      </c>
      <c r="I24">
        <f>AVERAGE('time 1'!R23/'time 1'!Q23,'time 2'!R23/'time 2'!Q23,'time 3'!R23/'time 3'!Q23)</f>
        <v>1.0147181373421879</v>
      </c>
      <c r="J24">
        <f>AVERAGE('time 1'!T23/'time 1'!S23,'time 2'!T23/'time 2'!S23,'time 3'!T23/'time 3'!S23)</f>
        <v>1.1178662582812406</v>
      </c>
      <c r="K24">
        <f t="shared" si="3"/>
        <v>0</v>
      </c>
      <c r="L24">
        <f t="shared" si="4"/>
        <v>9</v>
      </c>
      <c r="M24">
        <f t="shared" si="5"/>
        <v>0</v>
      </c>
      <c r="N24">
        <f t="shared" si="6"/>
        <v>0</v>
      </c>
      <c r="O24">
        <f t="shared" si="7"/>
        <v>0</v>
      </c>
      <c r="P24">
        <f t="shared" si="48"/>
        <v>3</v>
      </c>
      <c r="Q24">
        <f t="shared" si="49"/>
        <v>0</v>
      </c>
      <c r="R24">
        <f t="shared" si="8"/>
        <v>0</v>
      </c>
      <c r="S24">
        <f t="shared" si="9"/>
        <v>0</v>
      </c>
      <c r="T24">
        <f t="shared" si="10"/>
        <v>3</v>
      </c>
      <c r="U24">
        <f t="shared" si="11"/>
        <v>0</v>
      </c>
      <c r="V24">
        <f t="shared" si="12"/>
        <v>0</v>
      </c>
      <c r="W24">
        <f t="shared" si="13"/>
        <v>0</v>
      </c>
      <c r="X24">
        <f t="shared" si="14"/>
        <v>3</v>
      </c>
      <c r="Y24">
        <f t="shared" si="15"/>
        <v>0</v>
      </c>
      <c r="Z24">
        <f t="shared" si="16"/>
        <v>0</v>
      </c>
      <c r="AB24">
        <f>AVERAGE('accuracy dom5dom4'!$C24,'accuracy dom51dom41'!$C24,'accuracy dom52dom42'!$C24)</f>
        <v>0</v>
      </c>
      <c r="AC24">
        <f>AVERAGE('accuracy dom5dom4'!$G24,'accuracy dom51dom41'!$G24,'accuracy dom52dom42'!$G24)</f>
        <v>0</v>
      </c>
      <c r="AD24">
        <f>AVERAGE('accuracy dom5dom4'!$AB24,'accuracy dom51dom41'!$AB24,'accuracy dom52dom42'!$AB24)</f>
        <v>0</v>
      </c>
      <c r="AE24">
        <f>AVERAGE('accuracy dom7dom6'!$C24,'accuracy dom71dom61'!$C24,'accuracy dom72dom62'!$C24)</f>
        <v>0</v>
      </c>
      <c r="AF24">
        <f>AVERAGE('accuracy dom7dom6'!$G24,'accuracy dom71dom61'!$G24,'accuracy dom72dom62'!$G24)</f>
        <v>0</v>
      </c>
      <c r="AG24">
        <f>AVERAGE('accuracy dom7dom6'!$AB24,'accuracy dom71dom61'!$AB24,'accuracy dom72dom62'!$AB24)</f>
        <v>0</v>
      </c>
      <c r="AH24">
        <f>AVERAGE('accuracy dom9dom8'!$C24,'accuracy dom91dom81'!$C24,'accuracy dom92dom82'!$C24)</f>
        <v>0.66666666666666663</v>
      </c>
      <c r="AI24">
        <f>AVERAGE('accuracy dom9dom8'!$G24,'accuracy dom91dom81'!$G24,'accuracy dom92dom82'!$G24)</f>
        <v>0.66666666666666663</v>
      </c>
      <c r="AJ24">
        <f>AVERAGE('accuracy dom9dom8'!$AB24,'accuracy dom91dom81'!$AB24,'accuracy dom92dom82'!$AB24)</f>
        <v>0.66666666666666663</v>
      </c>
      <c r="AK24" s="21">
        <f t="shared" si="17"/>
        <v>3</v>
      </c>
      <c r="AL24">
        <f t="shared" si="50"/>
        <v>0</v>
      </c>
      <c r="AM24">
        <f t="shared" si="51"/>
        <v>2</v>
      </c>
      <c r="AN24">
        <f t="shared" si="52"/>
        <v>0</v>
      </c>
      <c r="AO24">
        <f t="shared" si="19"/>
        <v>0</v>
      </c>
      <c r="AP24">
        <f t="shared" si="20"/>
        <v>0</v>
      </c>
      <c r="AQ24">
        <f t="shared" si="21"/>
        <v>0.66666666666666663</v>
      </c>
      <c r="AR24">
        <f t="shared" si="22"/>
        <v>0</v>
      </c>
      <c r="AS24">
        <f t="shared" si="23"/>
        <v>0</v>
      </c>
      <c r="AT24">
        <f t="shared" si="24"/>
        <v>0</v>
      </c>
      <c r="AU24">
        <f t="shared" si="25"/>
        <v>0.66666666666666663</v>
      </c>
      <c r="AV24">
        <f t="shared" si="26"/>
        <v>0</v>
      </c>
      <c r="AW24">
        <f t="shared" si="27"/>
        <v>0</v>
      </c>
      <c r="AX24">
        <f t="shared" si="28"/>
        <v>0</v>
      </c>
      <c r="AY24">
        <f t="shared" si="29"/>
        <v>0.66666666666666663</v>
      </c>
      <c r="AZ24">
        <f t="shared" si="30"/>
        <v>0</v>
      </c>
      <c r="BA24">
        <f t="shared" si="31"/>
        <v>0</v>
      </c>
      <c r="BC24">
        <f t="shared" si="32"/>
        <v>0</v>
      </c>
      <c r="BD24">
        <f t="shared" si="33"/>
        <v>9</v>
      </c>
      <c r="BE24">
        <f t="shared" si="34"/>
        <v>0</v>
      </c>
      <c r="BF24">
        <f t="shared" si="35"/>
        <v>0</v>
      </c>
      <c r="BG24">
        <f t="shared" si="36"/>
        <v>0</v>
      </c>
      <c r="BH24">
        <f t="shared" si="37"/>
        <v>3</v>
      </c>
      <c r="BI24">
        <f t="shared" si="38"/>
        <v>0</v>
      </c>
      <c r="BJ24">
        <f t="shared" si="39"/>
        <v>0</v>
      </c>
      <c r="BK24">
        <f t="shared" si="40"/>
        <v>0</v>
      </c>
      <c r="BL24">
        <f t="shared" si="41"/>
        <v>3</v>
      </c>
      <c r="BM24">
        <f t="shared" si="42"/>
        <v>0</v>
      </c>
      <c r="BN24">
        <f t="shared" si="43"/>
        <v>0</v>
      </c>
      <c r="BO24">
        <f t="shared" si="44"/>
        <v>0</v>
      </c>
      <c r="BP24">
        <f t="shared" si="45"/>
        <v>3</v>
      </c>
      <c r="BQ24">
        <f t="shared" si="46"/>
        <v>0</v>
      </c>
      <c r="BR24">
        <f t="shared" si="47"/>
        <v>0</v>
      </c>
    </row>
    <row r="25" spans="1:70">
      <c r="A25" t="str">
        <f>'time 1'!B24</f>
        <v>&lt;test.Class11: boolean method220(int,int,int,int,int,int,int)&gt;</v>
      </c>
      <c r="B25">
        <f>AVERAGE('time 1'!D24/'time 1'!C24,'time 2'!D24/'time 2'!C24,'time 3'!D24/'time 3'!C24)</f>
        <v>1.0284718917586408</v>
      </c>
      <c r="C25">
        <f>AVERAGE('time 1'!F24/'time 1'!E24,'time 2'!F24/'time 2'!E24,'time 3'!F24/'time 3'!E24)</f>
        <v>1.0187131354526799</v>
      </c>
      <c r="D25">
        <f>AVERAGE('time 1'!H24/'time 1'!G24,'time 2'!H24/'time 2'!G24,'time 3'!H24/'time 3'!G24)</f>
        <v>1.0790194523989272</v>
      </c>
      <c r="E25">
        <f>AVERAGE('time 1'!J24/'time 2'!I24,'time 2'!J24/'time 2'!I24,'time 3'!J24/'time 3'!I24)</f>
        <v>1.1198352713510638</v>
      </c>
      <c r="F25">
        <f>AVERAGE('time 1'!L24/'time 1'!K24,'time 2'!L24/'time 2'!K24,'time 3'!L24/'time 3'!K24)</f>
        <v>0.9411630690162136</v>
      </c>
      <c r="G25">
        <f>AVERAGE('time 1'!N24/'time 1'!M24,'time 2'!N24/'time 2'!M24,'time 3'!N24/'time 3'!M24)</f>
        <v>1.0838301621312592</v>
      </c>
      <c r="H25">
        <f>AVERAGE('time 1'!P24/'time 1'!O24,'time 2'!P24/'time 2'!O24,'time 3'!P24/'time 3'!O24)</f>
        <v>1.0628328095290571</v>
      </c>
      <c r="I25">
        <f>AVERAGE('time 1'!R24/'time 1'!Q24,'time 2'!R24/'time 2'!Q24,'time 3'!R24/'time 3'!Q24)</f>
        <v>1.0174759870240979</v>
      </c>
      <c r="J25">
        <f>AVERAGE('time 1'!T24/'time 1'!S24,'time 2'!T24/'time 2'!S24,'time 3'!T24/'time 3'!S24)</f>
        <v>1.071609026083671</v>
      </c>
      <c r="K25">
        <f t="shared" si="3"/>
        <v>1</v>
      </c>
      <c r="L25">
        <f t="shared" si="4"/>
        <v>8</v>
      </c>
      <c r="M25">
        <f t="shared" si="5"/>
        <v>0</v>
      </c>
      <c r="N25">
        <f t="shared" si="6"/>
        <v>0</v>
      </c>
      <c r="O25">
        <f t="shared" si="7"/>
        <v>0</v>
      </c>
      <c r="P25">
        <f t="shared" si="48"/>
        <v>3</v>
      </c>
      <c r="Q25">
        <f t="shared" si="49"/>
        <v>0</v>
      </c>
      <c r="R25">
        <f t="shared" si="8"/>
        <v>0</v>
      </c>
      <c r="S25">
        <f t="shared" si="9"/>
        <v>1</v>
      </c>
      <c r="T25">
        <f t="shared" si="10"/>
        <v>2</v>
      </c>
      <c r="U25">
        <f t="shared" si="11"/>
        <v>0</v>
      </c>
      <c r="V25">
        <f t="shared" si="12"/>
        <v>0</v>
      </c>
      <c r="W25">
        <f t="shared" si="13"/>
        <v>0</v>
      </c>
      <c r="X25">
        <f t="shared" si="14"/>
        <v>3</v>
      </c>
      <c r="Y25">
        <f t="shared" si="15"/>
        <v>0</v>
      </c>
      <c r="Z25">
        <f t="shared" si="16"/>
        <v>0</v>
      </c>
      <c r="AB25">
        <f>AVERAGE('accuracy dom5dom4'!$C25,'accuracy dom51dom41'!$C25,'accuracy dom52dom42'!$C25)</f>
        <v>0</v>
      </c>
      <c r="AC25">
        <f>AVERAGE('accuracy dom5dom4'!$G25,'accuracy dom51dom41'!$G25,'accuracy dom52dom42'!$G25)</f>
        <v>0</v>
      </c>
      <c r="AD25">
        <f>AVERAGE('accuracy dom5dom4'!$AB25,'accuracy dom51dom41'!$AB25,'accuracy dom52dom42'!$AB25)</f>
        <v>0</v>
      </c>
      <c r="AE25">
        <f>AVERAGE('accuracy dom7dom6'!$C25,'accuracy dom71dom61'!$C25,'accuracy dom72dom62'!$C25)</f>
        <v>0</v>
      </c>
      <c r="AF25">
        <f>AVERAGE('accuracy dom7dom6'!$G25,'accuracy dom71dom61'!$G25,'accuracy dom72dom62'!$G25)</f>
        <v>0</v>
      </c>
      <c r="AG25">
        <f>AVERAGE('accuracy dom7dom6'!$AB25,'accuracy dom71dom61'!$AB25,'accuracy dom72dom62'!$AB25)</f>
        <v>0</v>
      </c>
      <c r="AH25">
        <f>AVERAGE('accuracy dom9dom8'!$C25,'accuracy dom91dom81'!$C25,'accuracy dom92dom82'!$C25)</f>
        <v>0.33333333333333331</v>
      </c>
      <c r="AI25">
        <f>AVERAGE('accuracy dom9dom8'!$G25,'accuracy dom91dom81'!$G25,'accuracy dom92dom82'!$G25)</f>
        <v>0.33333333333333331</v>
      </c>
      <c r="AJ25">
        <f>AVERAGE('accuracy dom9dom8'!$AB25,'accuracy dom91dom81'!$AB25,'accuracy dom92dom82'!$AB25)</f>
        <v>0.33333333333333331</v>
      </c>
      <c r="AK25" s="21">
        <f t="shared" si="17"/>
        <v>3</v>
      </c>
      <c r="AL25">
        <f t="shared" si="50"/>
        <v>0</v>
      </c>
      <c r="AM25">
        <f t="shared" si="51"/>
        <v>1</v>
      </c>
      <c r="AN25">
        <f t="shared" si="52"/>
        <v>0</v>
      </c>
      <c r="AO25">
        <f t="shared" si="19"/>
        <v>0</v>
      </c>
      <c r="AP25">
        <f t="shared" si="20"/>
        <v>0</v>
      </c>
      <c r="AQ25">
        <f t="shared" si="21"/>
        <v>0.33333333333333331</v>
      </c>
      <c r="AR25">
        <f t="shared" si="22"/>
        <v>0</v>
      </c>
      <c r="AS25">
        <f t="shared" si="23"/>
        <v>0</v>
      </c>
      <c r="AT25">
        <f t="shared" si="24"/>
        <v>0</v>
      </c>
      <c r="AU25">
        <f t="shared" si="25"/>
        <v>0.33333333333333331</v>
      </c>
      <c r="AV25">
        <f t="shared" si="26"/>
        <v>0</v>
      </c>
      <c r="AW25">
        <f t="shared" si="27"/>
        <v>0</v>
      </c>
      <c r="AX25">
        <f t="shared" si="28"/>
        <v>0</v>
      </c>
      <c r="AY25">
        <f t="shared" si="29"/>
        <v>0.33333333333333331</v>
      </c>
      <c r="AZ25">
        <f t="shared" si="30"/>
        <v>0</v>
      </c>
      <c r="BA25">
        <f t="shared" si="31"/>
        <v>0</v>
      </c>
      <c r="BC25">
        <f t="shared" si="32"/>
        <v>0</v>
      </c>
      <c r="BD25">
        <f t="shared" si="33"/>
        <v>8</v>
      </c>
      <c r="BE25">
        <f t="shared" si="34"/>
        <v>0</v>
      </c>
      <c r="BF25">
        <f t="shared" si="35"/>
        <v>0</v>
      </c>
      <c r="BG25">
        <f t="shared" si="36"/>
        <v>0</v>
      </c>
      <c r="BH25">
        <f t="shared" si="37"/>
        <v>3</v>
      </c>
      <c r="BI25">
        <f t="shared" si="38"/>
        <v>0</v>
      </c>
      <c r="BJ25">
        <f t="shared" si="39"/>
        <v>0</v>
      </c>
      <c r="BK25">
        <f t="shared" si="40"/>
        <v>0</v>
      </c>
      <c r="BL25">
        <f t="shared" si="41"/>
        <v>2</v>
      </c>
      <c r="BM25">
        <f t="shared" si="42"/>
        <v>0</v>
      </c>
      <c r="BN25">
        <f t="shared" si="43"/>
        <v>0</v>
      </c>
      <c r="BO25">
        <f t="shared" si="44"/>
        <v>0</v>
      </c>
      <c r="BP25">
        <f t="shared" si="45"/>
        <v>3</v>
      </c>
      <c r="BQ25">
        <f t="shared" si="46"/>
        <v>0</v>
      </c>
      <c r="BR25">
        <f t="shared" si="47"/>
        <v>0</v>
      </c>
    </row>
    <row r="26" spans="1:70">
      <c r="A26" t="str">
        <f>'time 1'!B25</f>
        <v>&lt;test.Class11: boolean method221(byte,int,int,int,int,int,int,int)&gt;</v>
      </c>
      <c r="B26">
        <f>AVERAGE('time 1'!D25/'time 1'!C25,'time 2'!D25/'time 2'!C25,'time 3'!D25/'time 3'!C25)</f>
        <v>1.055591235033233</v>
      </c>
      <c r="C26">
        <f>AVERAGE('time 1'!F25/'time 1'!E25,'time 2'!F25/'time 2'!E25,'time 3'!F25/'time 3'!E25)</f>
        <v>1.0101165444483409</v>
      </c>
      <c r="D26">
        <f>AVERAGE('time 1'!H25/'time 1'!G25,'time 2'!H25/'time 2'!G25,'time 3'!H25/'time 3'!G25)</f>
        <v>1.060096297479874</v>
      </c>
      <c r="E26">
        <f>AVERAGE('time 1'!J25/'time 2'!I25,'time 2'!J25/'time 2'!I25,'time 3'!J25/'time 3'!I25)</f>
        <v>1.1292941761113158</v>
      </c>
      <c r="F26">
        <f>AVERAGE('time 1'!L25/'time 1'!K25,'time 2'!L25/'time 2'!K25,'time 3'!L25/'time 3'!K25)</f>
        <v>1.0184066273686911</v>
      </c>
      <c r="G26">
        <f>AVERAGE('time 1'!N25/'time 1'!M25,'time 2'!N25/'time 2'!M25,'time 3'!N25/'time 3'!M25)</f>
        <v>1.0523368424621922</v>
      </c>
      <c r="H26">
        <f>AVERAGE('time 1'!P25/'time 1'!O25,'time 2'!P25/'time 2'!O25,'time 3'!P25/'time 3'!O25)</f>
        <v>1.0489623873284295</v>
      </c>
      <c r="I26">
        <f>AVERAGE('time 1'!R25/'time 1'!Q25,'time 2'!R25/'time 2'!Q25,'time 3'!R25/'time 3'!Q25)</f>
        <v>0.95694217903863799</v>
      </c>
      <c r="J26">
        <f>AVERAGE('time 1'!T25/'time 1'!S25,'time 2'!T25/'time 2'!S25,'time 3'!T25/'time 3'!S25)</f>
        <v>1.0507183342490378</v>
      </c>
      <c r="K26">
        <f t="shared" si="3"/>
        <v>1</v>
      </c>
      <c r="L26">
        <f t="shared" si="4"/>
        <v>8</v>
      </c>
      <c r="M26">
        <f t="shared" si="5"/>
        <v>0</v>
      </c>
      <c r="N26">
        <f t="shared" si="6"/>
        <v>0</v>
      </c>
      <c r="O26">
        <f t="shared" si="7"/>
        <v>0</v>
      </c>
      <c r="P26">
        <f t="shared" si="48"/>
        <v>3</v>
      </c>
      <c r="Q26">
        <f t="shared" si="49"/>
        <v>0</v>
      </c>
      <c r="R26">
        <f t="shared" si="8"/>
        <v>0</v>
      </c>
      <c r="S26">
        <f t="shared" si="9"/>
        <v>1</v>
      </c>
      <c r="T26">
        <f t="shared" si="10"/>
        <v>2</v>
      </c>
      <c r="U26">
        <f t="shared" si="11"/>
        <v>0</v>
      </c>
      <c r="V26">
        <f t="shared" si="12"/>
        <v>0</v>
      </c>
      <c r="W26">
        <f t="shared" si="13"/>
        <v>0</v>
      </c>
      <c r="X26">
        <f t="shared" si="14"/>
        <v>3</v>
      </c>
      <c r="Y26">
        <f t="shared" si="15"/>
        <v>0</v>
      </c>
      <c r="Z26">
        <f t="shared" si="16"/>
        <v>0</v>
      </c>
      <c r="AB26">
        <f>AVERAGE('accuracy dom5dom4'!$C26,'accuracy dom51dom41'!$C26,'accuracy dom52dom42'!$C26)</f>
        <v>0</v>
      </c>
      <c r="AC26">
        <f>AVERAGE('accuracy dom5dom4'!$G26,'accuracy dom51dom41'!$G26,'accuracy dom52dom42'!$G26)</f>
        <v>0</v>
      </c>
      <c r="AD26">
        <f>AVERAGE('accuracy dom5dom4'!$AB26,'accuracy dom51dom41'!$AB26,'accuracy dom52dom42'!$AB26)</f>
        <v>0</v>
      </c>
      <c r="AE26">
        <f>AVERAGE('accuracy dom7dom6'!$C26,'accuracy dom71dom61'!$C26,'accuracy dom72dom62'!$C26)</f>
        <v>0</v>
      </c>
      <c r="AF26">
        <f>AVERAGE('accuracy dom7dom6'!$G26,'accuracy dom71dom61'!$G26,'accuracy dom72dom62'!$G26)</f>
        <v>0</v>
      </c>
      <c r="AG26">
        <f>AVERAGE('accuracy dom7dom6'!$AB26,'accuracy dom71dom61'!$AB26,'accuracy dom72dom62'!$AB26)</f>
        <v>0</v>
      </c>
      <c r="AH26">
        <f>AVERAGE('accuracy dom9dom8'!$C26,'accuracy dom91dom81'!$C26,'accuracy dom92dom82'!$C26)</f>
        <v>0</v>
      </c>
      <c r="AI26">
        <f>AVERAGE('accuracy dom9dom8'!$G26,'accuracy dom91dom81'!$G26,'accuracy dom92dom82'!$G26)</f>
        <v>0</v>
      </c>
      <c r="AJ26">
        <f>AVERAGE('accuracy dom9dom8'!$AB26,'accuracy dom91dom81'!$AB26,'accuracy dom92dom82'!$AB26)</f>
        <v>0</v>
      </c>
      <c r="AK26">
        <f t="shared" si="17"/>
        <v>0</v>
      </c>
      <c r="AL26">
        <f t="shared" si="50"/>
        <v>0</v>
      </c>
      <c r="AM26">
        <f t="shared" si="51"/>
        <v>0</v>
      </c>
      <c r="AN26">
        <f t="shared" si="52"/>
        <v>0</v>
      </c>
      <c r="AO26">
        <f t="shared" si="19"/>
        <v>0</v>
      </c>
      <c r="AP26">
        <f t="shared" si="20"/>
        <v>0</v>
      </c>
      <c r="AQ26">
        <f t="shared" si="21"/>
        <v>0</v>
      </c>
      <c r="AR26">
        <f t="shared" si="22"/>
        <v>0</v>
      </c>
      <c r="AS26">
        <f t="shared" si="23"/>
        <v>0</v>
      </c>
      <c r="AT26">
        <f t="shared" si="24"/>
        <v>0</v>
      </c>
      <c r="AU26">
        <f t="shared" si="25"/>
        <v>0</v>
      </c>
      <c r="AV26">
        <f t="shared" si="26"/>
        <v>0</v>
      </c>
      <c r="AW26">
        <f t="shared" si="27"/>
        <v>0</v>
      </c>
      <c r="AX26">
        <f t="shared" si="28"/>
        <v>0</v>
      </c>
      <c r="AY26">
        <f t="shared" si="29"/>
        <v>0</v>
      </c>
      <c r="AZ26">
        <f t="shared" si="30"/>
        <v>0</v>
      </c>
      <c r="BA26">
        <f t="shared" si="31"/>
        <v>0</v>
      </c>
      <c r="BC26">
        <f t="shared" si="32"/>
        <v>0</v>
      </c>
      <c r="BD26">
        <f t="shared" si="33"/>
        <v>0</v>
      </c>
      <c r="BE26">
        <f t="shared" si="34"/>
        <v>0</v>
      </c>
      <c r="BF26">
        <f t="shared" si="35"/>
        <v>0</v>
      </c>
      <c r="BG26">
        <f t="shared" si="36"/>
        <v>0</v>
      </c>
      <c r="BH26">
        <f t="shared" si="37"/>
        <v>0</v>
      </c>
      <c r="BI26">
        <f t="shared" si="38"/>
        <v>0</v>
      </c>
      <c r="BJ26">
        <f t="shared" si="39"/>
        <v>0</v>
      </c>
      <c r="BK26">
        <f t="shared" si="40"/>
        <v>0</v>
      </c>
      <c r="BL26">
        <f t="shared" si="41"/>
        <v>0</v>
      </c>
      <c r="BM26">
        <f t="shared" si="42"/>
        <v>0</v>
      </c>
      <c r="BN26">
        <f t="shared" si="43"/>
        <v>0</v>
      </c>
      <c r="BO26">
        <f t="shared" si="44"/>
        <v>0</v>
      </c>
      <c r="BP26">
        <f t="shared" si="45"/>
        <v>0</v>
      </c>
      <c r="BQ26">
        <f t="shared" si="46"/>
        <v>0</v>
      </c>
      <c r="BR26">
        <f t="shared" si="47"/>
        <v>0</v>
      </c>
    </row>
    <row r="27" spans="1:70">
      <c r="A27" t="str">
        <f>'time 1'!B26</f>
        <v>&lt;test.Class11: void method210()&gt;</v>
      </c>
      <c r="B27">
        <f>AVERAGE('time 1'!D26/'time 1'!C26,'time 2'!D26/'time 2'!C26,'time 3'!D26/'time 3'!C26)</f>
        <v>1.0265510175872186</v>
      </c>
      <c r="C27">
        <f>AVERAGE('time 1'!F26/'time 1'!E26,'time 2'!F26/'time 2'!E26,'time 3'!F26/'time 3'!E26)</f>
        <v>0.98111330547668418</v>
      </c>
      <c r="D27">
        <f>AVERAGE('time 1'!H26/'time 1'!G26,'time 2'!H26/'time 2'!G26,'time 3'!H26/'time 3'!G26)</f>
        <v>0.95281938421935264</v>
      </c>
      <c r="E27">
        <f>AVERAGE('time 1'!J26/'time 2'!I26,'time 2'!J26/'time 2'!I26,'time 3'!J26/'time 3'!I26)</f>
        <v>1.1374539481585073</v>
      </c>
      <c r="F27">
        <f>AVERAGE('time 1'!L26/'time 1'!K26,'time 2'!L26/'time 2'!K26,'time 3'!L26/'time 3'!K26)</f>
        <v>1.0816103176945122</v>
      </c>
      <c r="G27">
        <f>AVERAGE('time 1'!N26/'time 1'!M26,'time 2'!N26/'time 2'!M26,'time 3'!N26/'time 3'!M26)</f>
        <v>1.0381849244718619</v>
      </c>
      <c r="H27">
        <f>AVERAGE('time 1'!P26/'time 1'!O26,'time 2'!P26/'time 2'!O26,'time 3'!P26/'time 3'!O26)</f>
        <v>0.9975406304770984</v>
      </c>
      <c r="I27">
        <f>AVERAGE('time 1'!R26/'time 1'!Q26,'time 2'!R26/'time 2'!Q26,'time 3'!R26/'time 3'!Q26)</f>
        <v>1.0334471850226044</v>
      </c>
      <c r="J27">
        <f>AVERAGE('time 1'!T26/'time 1'!S26,'time 2'!T26/'time 2'!S26,'time 3'!T26/'time 3'!S26)</f>
        <v>0.99296781582587157</v>
      </c>
      <c r="K27">
        <f t="shared" si="3"/>
        <v>4</v>
      </c>
      <c r="L27">
        <f t="shared" si="4"/>
        <v>5</v>
      </c>
      <c r="M27">
        <f t="shared" si="5"/>
        <v>0</v>
      </c>
      <c r="N27">
        <f t="shared" si="6"/>
        <v>0</v>
      </c>
      <c r="O27">
        <f t="shared" si="7"/>
        <v>1</v>
      </c>
      <c r="P27">
        <f t="shared" si="48"/>
        <v>2</v>
      </c>
      <c r="Q27">
        <f t="shared" si="49"/>
        <v>0</v>
      </c>
      <c r="R27">
        <f t="shared" si="8"/>
        <v>0</v>
      </c>
      <c r="S27">
        <f t="shared" si="9"/>
        <v>1</v>
      </c>
      <c r="T27">
        <f t="shared" si="10"/>
        <v>2</v>
      </c>
      <c r="U27">
        <f t="shared" si="11"/>
        <v>0</v>
      </c>
      <c r="V27">
        <f t="shared" si="12"/>
        <v>0</v>
      </c>
      <c r="W27">
        <f t="shared" si="13"/>
        <v>2</v>
      </c>
      <c r="X27">
        <f t="shared" si="14"/>
        <v>1</v>
      </c>
      <c r="Y27">
        <f t="shared" si="15"/>
        <v>0</v>
      </c>
      <c r="Z27">
        <f t="shared" si="16"/>
        <v>0</v>
      </c>
      <c r="AB27">
        <f>AVERAGE('accuracy dom5dom4'!$C27,'accuracy dom51dom41'!$C27,'accuracy dom52dom42'!$C27)</f>
        <v>0</v>
      </c>
      <c r="AC27">
        <f>AVERAGE('accuracy dom5dom4'!$G27,'accuracy dom51dom41'!$G27,'accuracy dom52dom42'!$G27)</f>
        <v>0</v>
      </c>
      <c r="AD27">
        <f>AVERAGE('accuracy dom5dom4'!$AB27,'accuracy dom51dom41'!$AB27,'accuracy dom52dom42'!$AB27)</f>
        <v>0</v>
      </c>
      <c r="AE27">
        <f>AVERAGE('accuracy dom7dom6'!$C27,'accuracy dom71dom61'!$C27,'accuracy dom72dom62'!$C27)</f>
        <v>0</v>
      </c>
      <c r="AF27">
        <f>AVERAGE('accuracy dom7dom6'!$G27,'accuracy dom71dom61'!$G27,'accuracy dom72dom62'!$G27)</f>
        <v>0</v>
      </c>
      <c r="AG27">
        <f>AVERAGE('accuracy dom7dom6'!$AB27,'accuracy dom71dom61'!$AB27,'accuracy dom72dom62'!$AB27)</f>
        <v>0</v>
      </c>
      <c r="AH27">
        <f>AVERAGE('accuracy dom9dom8'!$C27,'accuracy dom91dom81'!$C27,'accuracy dom92dom82'!$C27)</f>
        <v>0</v>
      </c>
      <c r="AI27">
        <f>AVERAGE('accuracy dom9dom8'!$G27,'accuracy dom91dom81'!$G27,'accuracy dom92dom82'!$G27)</f>
        <v>0</v>
      </c>
      <c r="AJ27">
        <f>AVERAGE('accuracy dom9dom8'!$AB27,'accuracy dom91dom81'!$AB27,'accuracy dom92dom82'!$AB27)</f>
        <v>0</v>
      </c>
      <c r="AK27">
        <f t="shared" si="17"/>
        <v>0</v>
      </c>
      <c r="AL27">
        <f t="shared" si="50"/>
        <v>0</v>
      </c>
      <c r="AM27">
        <f t="shared" si="51"/>
        <v>0</v>
      </c>
      <c r="AN27">
        <f t="shared" si="52"/>
        <v>0</v>
      </c>
      <c r="AO27">
        <f t="shared" si="19"/>
        <v>0</v>
      </c>
      <c r="AP27">
        <f t="shared" si="20"/>
        <v>0</v>
      </c>
      <c r="AQ27">
        <f t="shared" si="21"/>
        <v>0</v>
      </c>
      <c r="AR27">
        <f t="shared" si="22"/>
        <v>0</v>
      </c>
      <c r="AS27">
        <f t="shared" si="23"/>
        <v>0</v>
      </c>
      <c r="AT27">
        <f t="shared" si="24"/>
        <v>0</v>
      </c>
      <c r="AU27">
        <f t="shared" si="25"/>
        <v>0</v>
      </c>
      <c r="AV27">
        <f t="shared" si="26"/>
        <v>0</v>
      </c>
      <c r="AW27">
        <f t="shared" si="27"/>
        <v>0</v>
      </c>
      <c r="AX27">
        <f t="shared" si="28"/>
        <v>0</v>
      </c>
      <c r="AY27">
        <f t="shared" si="29"/>
        <v>0</v>
      </c>
      <c r="AZ27">
        <f t="shared" si="30"/>
        <v>0</v>
      </c>
      <c r="BA27">
        <f t="shared" si="31"/>
        <v>0</v>
      </c>
      <c r="BC27">
        <f t="shared" si="32"/>
        <v>0</v>
      </c>
      <c r="BD27">
        <f t="shared" si="33"/>
        <v>0</v>
      </c>
      <c r="BE27">
        <f t="shared" si="34"/>
        <v>0</v>
      </c>
      <c r="BF27">
        <f t="shared" si="35"/>
        <v>0</v>
      </c>
      <c r="BG27">
        <f t="shared" si="36"/>
        <v>0</v>
      </c>
      <c r="BH27">
        <f t="shared" si="37"/>
        <v>0</v>
      </c>
      <c r="BI27">
        <f t="shared" si="38"/>
        <v>0</v>
      </c>
      <c r="BJ27">
        <f t="shared" si="39"/>
        <v>0</v>
      </c>
      <c r="BK27">
        <f t="shared" si="40"/>
        <v>0</v>
      </c>
      <c r="BL27">
        <f t="shared" si="41"/>
        <v>0</v>
      </c>
      <c r="BM27">
        <f t="shared" si="42"/>
        <v>0</v>
      </c>
      <c r="BN27">
        <f t="shared" si="43"/>
        <v>0</v>
      </c>
      <c r="BO27">
        <f t="shared" si="44"/>
        <v>0</v>
      </c>
      <c r="BP27">
        <f t="shared" si="45"/>
        <v>0</v>
      </c>
      <c r="BQ27">
        <f t="shared" si="46"/>
        <v>0</v>
      </c>
      <c r="BR27">
        <f t="shared" si="47"/>
        <v>0</v>
      </c>
    </row>
    <row r="28" spans="1:70">
      <c r="A28" t="str">
        <f>'time 1'!B27</f>
        <v>&lt;test.Class11: void method211(int,int,int,int,byte,boolean)&gt;</v>
      </c>
      <c r="B28">
        <f>AVERAGE('time 1'!D27/'time 1'!C27,'time 2'!D27/'time 2'!C27,'time 3'!D27/'time 3'!C27)</f>
        <v>1.0403191665083098</v>
      </c>
      <c r="C28">
        <f>AVERAGE('time 1'!F27/'time 1'!E27,'time 2'!F27/'time 2'!E27,'time 3'!F27/'time 3'!E27)</f>
        <v>1.075493382257062</v>
      </c>
      <c r="D28">
        <f>AVERAGE('time 1'!H27/'time 1'!G27,'time 2'!H27/'time 2'!G27,'time 3'!H27/'time 3'!G27)</f>
        <v>1.0039707013992281</v>
      </c>
      <c r="E28">
        <f>AVERAGE('time 1'!J27/'time 2'!I27,'time 2'!J27/'time 2'!I27,'time 3'!J27/'time 3'!I27)</f>
        <v>1.0795142654117014</v>
      </c>
      <c r="F28">
        <f>AVERAGE('time 1'!L27/'time 1'!K27,'time 2'!L27/'time 2'!K27,'time 3'!L27/'time 3'!K27)</f>
        <v>1.0267457427097331</v>
      </c>
      <c r="G28">
        <f>AVERAGE('time 1'!N27/'time 1'!M27,'time 2'!N27/'time 2'!M27,'time 3'!N27/'time 3'!M27)</f>
        <v>1.0519593297511254</v>
      </c>
      <c r="H28">
        <f>AVERAGE('time 1'!P27/'time 1'!O27,'time 2'!P27/'time 2'!O27,'time 3'!P27/'time 3'!O27)</f>
        <v>1.0167322336665283</v>
      </c>
      <c r="I28">
        <f>AVERAGE('time 1'!R27/'time 1'!Q27,'time 2'!R27/'time 2'!Q27,'time 3'!R27/'time 3'!Q27)</f>
        <v>1.0990036356684678</v>
      </c>
      <c r="J28">
        <f>AVERAGE('time 1'!T27/'time 1'!S27,'time 2'!T27/'time 2'!S27,'time 3'!T27/'time 3'!S27)</f>
        <v>1.0596921490592546</v>
      </c>
      <c r="K28">
        <f t="shared" si="3"/>
        <v>0</v>
      </c>
      <c r="L28">
        <f t="shared" si="4"/>
        <v>9</v>
      </c>
      <c r="M28">
        <f t="shared" si="5"/>
        <v>0</v>
      </c>
      <c r="N28">
        <f t="shared" si="6"/>
        <v>0</v>
      </c>
      <c r="O28">
        <f t="shared" si="7"/>
        <v>0</v>
      </c>
      <c r="P28">
        <f t="shared" si="48"/>
        <v>3</v>
      </c>
      <c r="Q28">
        <f t="shared" si="49"/>
        <v>0</v>
      </c>
      <c r="R28">
        <f t="shared" si="8"/>
        <v>0</v>
      </c>
      <c r="S28">
        <f t="shared" si="9"/>
        <v>0</v>
      </c>
      <c r="T28">
        <f t="shared" si="10"/>
        <v>3</v>
      </c>
      <c r="U28">
        <f t="shared" si="11"/>
        <v>0</v>
      </c>
      <c r="V28">
        <f t="shared" si="12"/>
        <v>0</v>
      </c>
      <c r="W28">
        <f t="shared" si="13"/>
        <v>0</v>
      </c>
      <c r="X28">
        <f t="shared" si="14"/>
        <v>3</v>
      </c>
      <c r="Y28">
        <f t="shared" si="15"/>
        <v>0</v>
      </c>
      <c r="Z28">
        <f t="shared" si="16"/>
        <v>0</v>
      </c>
      <c r="AB28">
        <f>AVERAGE('accuracy dom5dom4'!$C28,'accuracy dom51dom41'!$C28,'accuracy dom52dom42'!$C28)</f>
        <v>0</v>
      </c>
      <c r="AC28">
        <f>AVERAGE('accuracy dom5dom4'!$G28,'accuracy dom51dom41'!$G28,'accuracy dom52dom42'!$G28)</f>
        <v>0</v>
      </c>
      <c r="AD28">
        <f>AVERAGE('accuracy dom5dom4'!$AB28,'accuracy dom51dom41'!$AB28,'accuracy dom52dom42'!$AB28)</f>
        <v>0</v>
      </c>
      <c r="AE28">
        <f>AVERAGE('accuracy dom7dom6'!$C28,'accuracy dom71dom61'!$C28,'accuracy dom72dom62'!$C28)</f>
        <v>0</v>
      </c>
      <c r="AF28">
        <f>AVERAGE('accuracy dom7dom6'!$G28,'accuracy dom71dom61'!$G28,'accuracy dom72dom62'!$G28)</f>
        <v>0</v>
      </c>
      <c r="AG28">
        <f>AVERAGE('accuracy dom7dom6'!$AB28,'accuracy dom71dom61'!$AB28,'accuracy dom72dom62'!$AB28)</f>
        <v>0</v>
      </c>
      <c r="AH28">
        <f>AVERAGE('accuracy dom9dom8'!$C28,'accuracy dom91dom81'!$C28,'accuracy dom92dom82'!$C28)</f>
        <v>0</v>
      </c>
      <c r="AI28">
        <f>AVERAGE('accuracy dom9dom8'!$G28,'accuracy dom91dom81'!$G28,'accuracy dom92dom82'!$G28)</f>
        <v>0</v>
      </c>
      <c r="AJ28">
        <f>AVERAGE('accuracy dom9dom8'!$AB28,'accuracy dom91dom81'!$AB28,'accuracy dom92dom82'!$AB28)</f>
        <v>0</v>
      </c>
      <c r="AK28">
        <f t="shared" si="17"/>
        <v>0</v>
      </c>
      <c r="AL28">
        <f t="shared" si="50"/>
        <v>0</v>
      </c>
      <c r="AM28">
        <f t="shared" si="51"/>
        <v>0</v>
      </c>
      <c r="AN28">
        <f t="shared" si="52"/>
        <v>0</v>
      </c>
      <c r="AO28">
        <f t="shared" si="19"/>
        <v>0</v>
      </c>
      <c r="AP28">
        <f t="shared" si="20"/>
        <v>0</v>
      </c>
      <c r="AQ28">
        <f t="shared" si="21"/>
        <v>0</v>
      </c>
      <c r="AR28">
        <f t="shared" si="22"/>
        <v>0</v>
      </c>
      <c r="AS28">
        <f t="shared" si="23"/>
        <v>0</v>
      </c>
      <c r="AT28">
        <f t="shared" si="24"/>
        <v>0</v>
      </c>
      <c r="AU28">
        <f t="shared" si="25"/>
        <v>0</v>
      </c>
      <c r="AV28">
        <f t="shared" si="26"/>
        <v>0</v>
      </c>
      <c r="AW28">
        <f t="shared" si="27"/>
        <v>0</v>
      </c>
      <c r="AX28">
        <f t="shared" si="28"/>
        <v>0</v>
      </c>
      <c r="AY28">
        <f t="shared" si="29"/>
        <v>0</v>
      </c>
      <c r="AZ28">
        <f t="shared" si="30"/>
        <v>0</v>
      </c>
      <c r="BA28">
        <f t="shared" si="31"/>
        <v>0</v>
      </c>
      <c r="BC28">
        <f t="shared" si="32"/>
        <v>0</v>
      </c>
      <c r="BD28">
        <f t="shared" si="33"/>
        <v>0</v>
      </c>
      <c r="BE28">
        <f t="shared" si="34"/>
        <v>0</v>
      </c>
      <c r="BF28">
        <f t="shared" si="35"/>
        <v>0</v>
      </c>
      <c r="BG28">
        <f t="shared" si="36"/>
        <v>0</v>
      </c>
      <c r="BH28">
        <f t="shared" si="37"/>
        <v>0</v>
      </c>
      <c r="BI28">
        <f t="shared" si="38"/>
        <v>0</v>
      </c>
      <c r="BJ28">
        <f t="shared" si="39"/>
        <v>0</v>
      </c>
      <c r="BK28">
        <f t="shared" si="40"/>
        <v>0</v>
      </c>
      <c r="BL28">
        <f t="shared" si="41"/>
        <v>0</v>
      </c>
      <c r="BM28">
        <f t="shared" si="42"/>
        <v>0</v>
      </c>
      <c r="BN28">
        <f t="shared" si="43"/>
        <v>0</v>
      </c>
      <c r="BO28">
        <f t="shared" si="44"/>
        <v>0</v>
      </c>
      <c r="BP28">
        <f t="shared" si="45"/>
        <v>0</v>
      </c>
      <c r="BQ28">
        <f t="shared" si="46"/>
        <v>0</v>
      </c>
      <c r="BR28">
        <f t="shared" si="47"/>
        <v>0</v>
      </c>
    </row>
    <row r="29" spans="1:70">
      <c r="A29" t="str">
        <f>'time 1'!B28</f>
        <v>&lt;test.Class11: void method212(boolean,int,int,int,int,int,int)&gt;</v>
      </c>
      <c r="B29">
        <f>AVERAGE('time 1'!D28/'time 1'!C28,'time 2'!D28/'time 2'!C28,'time 3'!D28/'time 3'!C28)</f>
        <v>2.1240162483255491</v>
      </c>
      <c r="C29">
        <f>AVERAGE('time 1'!F28/'time 1'!E28,'time 2'!F28/'time 2'!E28,'time 3'!F28/'time 3'!E28)</f>
        <v>1.2822989405373455</v>
      </c>
      <c r="D29">
        <f>AVERAGE('time 1'!H28/'time 1'!G28,'time 2'!H28/'time 2'!G28,'time 3'!H28/'time 3'!G28)</f>
        <v>2.0558475129960514</v>
      </c>
      <c r="E29">
        <f>AVERAGE('time 1'!J28/'time 2'!I28,'time 2'!J28/'time 2'!I28,'time 3'!J28/'time 3'!I28)</f>
        <v>2.2604923152868359</v>
      </c>
      <c r="F29">
        <f>AVERAGE('time 1'!L28/'time 1'!K28,'time 2'!L28/'time 2'!K28,'time 3'!L28/'time 3'!K28)</f>
        <v>1.7695276745462609</v>
      </c>
      <c r="G29">
        <f>AVERAGE('time 1'!N28/'time 1'!M28,'time 2'!N28/'time 2'!M28,'time 3'!N28/'time 3'!M28)</f>
        <v>2.0470407983127239</v>
      </c>
      <c r="H29">
        <f>AVERAGE('time 1'!P28/'time 1'!O28,'time 2'!P28/'time 2'!O28,'time 3'!P28/'time 3'!O28)</f>
        <v>2.2321432983120615</v>
      </c>
      <c r="I29">
        <f>AVERAGE('time 1'!R28/'time 1'!Q28,'time 2'!R28/'time 2'!Q28,'time 3'!R28/'time 3'!Q28)</f>
        <v>1.1918346491781684</v>
      </c>
      <c r="J29">
        <f>AVERAGE('time 1'!T28/'time 1'!S28,'time 2'!T28/'time 2'!S28,'time 3'!T28/'time 3'!S28)</f>
        <v>2.2221703048539787</v>
      </c>
      <c r="K29">
        <f t="shared" si="3"/>
        <v>0</v>
      </c>
      <c r="L29">
        <f t="shared" si="4"/>
        <v>3</v>
      </c>
      <c r="M29">
        <f t="shared" si="5"/>
        <v>6</v>
      </c>
      <c r="N29">
        <f t="shared" si="6"/>
        <v>0</v>
      </c>
      <c r="O29">
        <f t="shared" si="7"/>
        <v>0</v>
      </c>
      <c r="P29">
        <f t="shared" si="48"/>
        <v>0</v>
      </c>
      <c r="Q29">
        <f t="shared" si="49"/>
        <v>3</v>
      </c>
      <c r="R29">
        <f t="shared" si="8"/>
        <v>0</v>
      </c>
      <c r="S29">
        <f t="shared" si="9"/>
        <v>0</v>
      </c>
      <c r="T29">
        <f t="shared" si="10"/>
        <v>3</v>
      </c>
      <c r="U29">
        <f t="shared" si="11"/>
        <v>0</v>
      </c>
      <c r="V29">
        <f t="shared" si="12"/>
        <v>0</v>
      </c>
      <c r="W29">
        <f t="shared" si="13"/>
        <v>0</v>
      </c>
      <c r="X29">
        <f t="shared" si="14"/>
        <v>0</v>
      </c>
      <c r="Y29">
        <f t="shared" si="15"/>
        <v>3</v>
      </c>
      <c r="Z29">
        <f t="shared" si="16"/>
        <v>0</v>
      </c>
      <c r="AB29">
        <f>AVERAGE('accuracy dom5dom4'!$C29,'accuracy dom51dom41'!$C29,'accuracy dom52dom42'!$C29)</f>
        <v>0</v>
      </c>
      <c r="AC29">
        <f>AVERAGE('accuracy dom5dom4'!$G29,'accuracy dom51dom41'!$G29,'accuracy dom52dom42'!$G29)</f>
        <v>0</v>
      </c>
      <c r="AD29">
        <f>AVERAGE('accuracy dom5dom4'!$AB29,'accuracy dom51dom41'!$AB29,'accuracy dom52dom42'!$AB29)</f>
        <v>0</v>
      </c>
      <c r="AE29">
        <f>AVERAGE('accuracy dom7dom6'!$C29,'accuracy dom71dom61'!$C29,'accuracy dom72dom62'!$C29)</f>
        <v>0</v>
      </c>
      <c r="AF29">
        <f>AVERAGE('accuracy dom7dom6'!$G29,'accuracy dom71dom61'!$G29,'accuracy dom72dom62'!$G29)</f>
        <v>0</v>
      </c>
      <c r="AG29">
        <f>AVERAGE('accuracy dom7dom6'!$AB29,'accuracy dom71dom61'!$AB29,'accuracy dom72dom62'!$AB29)</f>
        <v>0</v>
      </c>
      <c r="AH29">
        <f>AVERAGE('accuracy dom9dom8'!$C29,'accuracy dom91dom81'!$C29,'accuracy dom92dom82'!$C29)</f>
        <v>0</v>
      </c>
      <c r="AI29">
        <f>AVERAGE('accuracy dom9dom8'!$G29,'accuracy dom91dom81'!$G29,'accuracy dom92dom82'!$G29)</f>
        <v>0</v>
      </c>
      <c r="AJ29">
        <f>AVERAGE('accuracy dom9dom8'!$AB29,'accuracy dom91dom81'!$AB29,'accuracy dom92dom82'!$AB29)</f>
        <v>0</v>
      </c>
      <c r="AK29">
        <f t="shared" si="17"/>
        <v>0</v>
      </c>
      <c r="AL29">
        <f t="shared" si="50"/>
        <v>0</v>
      </c>
      <c r="AM29">
        <f t="shared" si="51"/>
        <v>0</v>
      </c>
      <c r="AN29">
        <f t="shared" si="52"/>
        <v>0</v>
      </c>
      <c r="AO29">
        <f t="shared" si="19"/>
        <v>0</v>
      </c>
      <c r="AP29">
        <f t="shared" si="20"/>
        <v>0</v>
      </c>
      <c r="AQ29">
        <f t="shared" si="21"/>
        <v>0</v>
      </c>
      <c r="AR29">
        <f t="shared" si="22"/>
        <v>0</v>
      </c>
      <c r="AS29">
        <f t="shared" si="23"/>
        <v>0</v>
      </c>
      <c r="AT29">
        <f t="shared" si="24"/>
        <v>0</v>
      </c>
      <c r="AU29">
        <f t="shared" si="25"/>
        <v>0</v>
      </c>
      <c r="AV29">
        <f t="shared" si="26"/>
        <v>0</v>
      </c>
      <c r="AW29">
        <f t="shared" si="27"/>
        <v>0</v>
      </c>
      <c r="AX29">
        <f t="shared" si="28"/>
        <v>0</v>
      </c>
      <c r="AY29">
        <f t="shared" si="29"/>
        <v>0</v>
      </c>
      <c r="AZ29">
        <f t="shared" si="30"/>
        <v>0</v>
      </c>
      <c r="BA29">
        <f t="shared" si="31"/>
        <v>0</v>
      </c>
      <c r="BC29">
        <f t="shared" si="32"/>
        <v>0</v>
      </c>
      <c r="BD29">
        <f t="shared" si="33"/>
        <v>0</v>
      </c>
      <c r="BE29">
        <f t="shared" si="34"/>
        <v>0</v>
      </c>
      <c r="BF29">
        <f t="shared" si="35"/>
        <v>0</v>
      </c>
      <c r="BG29">
        <f t="shared" si="36"/>
        <v>0</v>
      </c>
      <c r="BH29">
        <f t="shared" si="37"/>
        <v>0</v>
      </c>
      <c r="BI29">
        <f t="shared" si="38"/>
        <v>0</v>
      </c>
      <c r="BJ29">
        <f t="shared" si="39"/>
        <v>0</v>
      </c>
      <c r="BK29">
        <f t="shared" si="40"/>
        <v>0</v>
      </c>
      <c r="BL29">
        <f t="shared" si="41"/>
        <v>0</v>
      </c>
      <c r="BM29">
        <f t="shared" si="42"/>
        <v>0</v>
      </c>
      <c r="BN29">
        <f t="shared" si="43"/>
        <v>0</v>
      </c>
      <c r="BO29">
        <f t="shared" si="44"/>
        <v>0</v>
      </c>
      <c r="BP29">
        <f t="shared" si="45"/>
        <v>0</v>
      </c>
      <c r="BQ29">
        <f t="shared" si="46"/>
        <v>0</v>
      </c>
      <c r="BR29">
        <f t="shared" si="47"/>
        <v>0</v>
      </c>
    </row>
    <row r="30" spans="1:70">
      <c r="A30" t="str">
        <f>'time 1'!B29</f>
        <v>&lt;test.Class11: void method213(int,int,int)&gt;</v>
      </c>
      <c r="B30">
        <f>AVERAGE('time 1'!D29/'time 1'!C29,'time 2'!D29/'time 2'!C29,'time 3'!D29/'time 3'!C29)</f>
        <v>0.90549728049728051</v>
      </c>
      <c r="C30">
        <f>AVERAGE('time 1'!F29/'time 1'!E29,'time 2'!F29/'time 2'!E29,'time 3'!F29/'time 3'!E29)</f>
        <v>0.98932849362560837</v>
      </c>
      <c r="D30">
        <f>AVERAGE('time 1'!H29/'time 1'!G29,'time 2'!H29/'time 2'!G29,'time 3'!H29/'time 3'!G29)</f>
        <v>0.87445887445887449</v>
      </c>
      <c r="E30">
        <f>AVERAGE('time 1'!J29/'time 2'!I29,'time 2'!J29/'time 2'!I29,'time 3'!J29/'time 3'!I29)</f>
        <v>1.0493506493506493</v>
      </c>
      <c r="F30">
        <f>AVERAGE('time 1'!L29/'time 1'!K29,'time 2'!L29/'time 2'!K29,'time 3'!L29/'time 3'!K29)</f>
        <v>1.0807125822987396</v>
      </c>
      <c r="G30">
        <f>AVERAGE('time 1'!N29/'time 1'!M29,'time 2'!N29/'time 2'!M29,'time 3'!N29/'time 3'!M29)</f>
        <v>1.0131971051511284</v>
      </c>
      <c r="H30">
        <f>AVERAGE('time 1'!P29/'time 1'!O29,'time 2'!P29/'time 2'!O29,'time 3'!P29/'time 3'!O29)</f>
        <v>1.085960378983635</v>
      </c>
      <c r="I30">
        <f>AVERAGE('time 1'!R29/'time 1'!Q29,'time 2'!R29/'time 2'!Q29,'time 3'!R29/'time 3'!Q29)</f>
        <v>1.0206839057790849</v>
      </c>
      <c r="J30">
        <f>AVERAGE('time 1'!T29/'time 1'!S29,'time 2'!T29/'time 2'!S29,'time 3'!T29/'time 3'!S29)</f>
        <v>0.94594594594594594</v>
      </c>
      <c r="K30">
        <f t="shared" si="3"/>
        <v>4</v>
      </c>
      <c r="L30">
        <f t="shared" si="4"/>
        <v>5</v>
      </c>
      <c r="M30">
        <f t="shared" si="5"/>
        <v>0</v>
      </c>
      <c r="N30">
        <f t="shared" si="6"/>
        <v>0</v>
      </c>
      <c r="O30">
        <f t="shared" si="7"/>
        <v>1</v>
      </c>
      <c r="P30">
        <f t="shared" si="48"/>
        <v>2</v>
      </c>
      <c r="Q30">
        <f t="shared" si="49"/>
        <v>0</v>
      </c>
      <c r="R30">
        <f t="shared" si="8"/>
        <v>0</v>
      </c>
      <c r="S30">
        <f t="shared" si="9"/>
        <v>1</v>
      </c>
      <c r="T30">
        <f t="shared" si="10"/>
        <v>2</v>
      </c>
      <c r="U30">
        <f t="shared" si="11"/>
        <v>0</v>
      </c>
      <c r="V30">
        <f t="shared" si="12"/>
        <v>0</v>
      </c>
      <c r="W30">
        <f t="shared" si="13"/>
        <v>2</v>
      </c>
      <c r="X30">
        <f t="shared" si="14"/>
        <v>1</v>
      </c>
      <c r="Y30">
        <f t="shared" si="15"/>
        <v>0</v>
      </c>
      <c r="Z30">
        <f t="shared" si="16"/>
        <v>0</v>
      </c>
      <c r="AB30">
        <f>AVERAGE('accuracy dom5dom4'!$C30,'accuracy dom51dom41'!$C30,'accuracy dom52dom42'!$C30)</f>
        <v>0</v>
      </c>
      <c r="AC30">
        <f>AVERAGE('accuracy dom5dom4'!$G30,'accuracy dom51dom41'!$G30,'accuracy dom52dom42'!$G30)</f>
        <v>0</v>
      </c>
      <c r="AD30">
        <f>AVERAGE('accuracy dom5dom4'!$AB30,'accuracy dom51dom41'!$AB30,'accuracy dom52dom42'!$AB30)</f>
        <v>0</v>
      </c>
      <c r="AE30">
        <f>AVERAGE('accuracy dom7dom6'!$C30,'accuracy dom71dom61'!$C30,'accuracy dom72dom62'!$C30)</f>
        <v>0</v>
      </c>
      <c r="AF30">
        <f>AVERAGE('accuracy dom7dom6'!$G30,'accuracy dom71dom61'!$G30,'accuracy dom72dom62'!$G30)</f>
        <v>0</v>
      </c>
      <c r="AG30">
        <f>AVERAGE('accuracy dom7dom6'!$AB30,'accuracy dom71dom61'!$AB30,'accuracy dom72dom62'!$AB30)</f>
        <v>0</v>
      </c>
      <c r="AH30">
        <f>AVERAGE('accuracy dom9dom8'!$C30,'accuracy dom91dom81'!$C30,'accuracy dom92dom82'!$C30)</f>
        <v>0</v>
      </c>
      <c r="AI30">
        <f>AVERAGE('accuracy dom9dom8'!$G30,'accuracy dom91dom81'!$G30,'accuracy dom92dom82'!$G30)</f>
        <v>0</v>
      </c>
      <c r="AJ30">
        <f>AVERAGE('accuracy dom9dom8'!$AB30,'accuracy dom91dom81'!$AB30,'accuracy dom92dom82'!$AB30)</f>
        <v>0</v>
      </c>
      <c r="AK30">
        <f t="shared" si="17"/>
        <v>0</v>
      </c>
      <c r="AL30">
        <f t="shared" si="50"/>
        <v>0</v>
      </c>
      <c r="AM30">
        <f t="shared" si="51"/>
        <v>0</v>
      </c>
      <c r="AN30">
        <f t="shared" si="52"/>
        <v>0</v>
      </c>
      <c r="AO30">
        <f t="shared" si="19"/>
        <v>0</v>
      </c>
      <c r="AP30">
        <f t="shared" si="20"/>
        <v>0</v>
      </c>
      <c r="AQ30">
        <f t="shared" si="21"/>
        <v>0</v>
      </c>
      <c r="AR30">
        <f t="shared" si="22"/>
        <v>0</v>
      </c>
      <c r="AS30">
        <f t="shared" si="23"/>
        <v>0</v>
      </c>
      <c r="AT30">
        <f t="shared" si="24"/>
        <v>0</v>
      </c>
      <c r="AU30">
        <f t="shared" si="25"/>
        <v>0</v>
      </c>
      <c r="AV30">
        <f t="shared" si="26"/>
        <v>0</v>
      </c>
      <c r="AW30">
        <f t="shared" si="27"/>
        <v>0</v>
      </c>
      <c r="AX30">
        <f t="shared" si="28"/>
        <v>0</v>
      </c>
      <c r="AY30">
        <f t="shared" si="29"/>
        <v>0</v>
      </c>
      <c r="AZ30">
        <f t="shared" si="30"/>
        <v>0</v>
      </c>
      <c r="BA30">
        <f t="shared" si="31"/>
        <v>0</v>
      </c>
      <c r="BC30">
        <f t="shared" si="32"/>
        <v>0</v>
      </c>
      <c r="BD30">
        <f t="shared" si="33"/>
        <v>0</v>
      </c>
      <c r="BE30">
        <f t="shared" si="34"/>
        <v>0</v>
      </c>
      <c r="BF30">
        <f t="shared" si="35"/>
        <v>0</v>
      </c>
      <c r="BG30">
        <f t="shared" si="36"/>
        <v>0</v>
      </c>
      <c r="BH30">
        <f t="shared" si="37"/>
        <v>0</v>
      </c>
      <c r="BI30">
        <f t="shared" si="38"/>
        <v>0</v>
      </c>
      <c r="BJ30">
        <f t="shared" si="39"/>
        <v>0</v>
      </c>
      <c r="BK30">
        <f t="shared" si="40"/>
        <v>0</v>
      </c>
      <c r="BL30">
        <f t="shared" si="41"/>
        <v>0</v>
      </c>
      <c r="BM30">
        <f t="shared" si="42"/>
        <v>0</v>
      </c>
      <c r="BN30">
        <f t="shared" si="43"/>
        <v>0</v>
      </c>
      <c r="BO30">
        <f t="shared" si="44"/>
        <v>0</v>
      </c>
      <c r="BP30">
        <f t="shared" si="45"/>
        <v>0</v>
      </c>
      <c r="BQ30">
        <f t="shared" si="46"/>
        <v>0</v>
      </c>
      <c r="BR30">
        <f t="shared" si="47"/>
        <v>0</v>
      </c>
    </row>
    <row r="31" spans="1:70">
      <c r="A31" t="str">
        <f>'time 1'!B30</f>
        <v>&lt;test.Class11: void method215(int,int,boolean,boolean,int,int)&gt;</v>
      </c>
      <c r="B31">
        <f>AVERAGE('time 1'!D30/'time 1'!C30,'time 2'!D30/'time 2'!C30,'time 3'!D30/'time 3'!C30)</f>
        <v>1.1855868040666631</v>
      </c>
      <c r="C31">
        <f>AVERAGE('time 1'!F30/'time 1'!E30,'time 2'!F30/'time 2'!E30,'time 3'!F30/'time 3'!E30)</f>
        <v>1.117829565969223</v>
      </c>
      <c r="D31">
        <f>AVERAGE('time 1'!H30/'time 1'!G30,'time 2'!H30/'time 2'!G30,'time 3'!H30/'time 3'!G30)</f>
        <v>1.3086548934435009</v>
      </c>
      <c r="E31">
        <f>AVERAGE('time 1'!J30/'time 2'!I30,'time 2'!J30/'time 2'!I30,'time 3'!J30/'time 3'!I30)</f>
        <v>1.0642883487007544</v>
      </c>
      <c r="F31">
        <f>AVERAGE('time 1'!L30/'time 1'!K30,'time 2'!L30/'time 2'!K30,'time 3'!L30/'time 3'!K30)</f>
        <v>1.0478200802746753</v>
      </c>
      <c r="G31">
        <f>AVERAGE('time 1'!N30/'time 1'!M30,'time 2'!N30/'time 2'!M30,'time 3'!N30/'time 3'!M30)</f>
        <v>1.0310023393958416</v>
      </c>
      <c r="H31">
        <f>AVERAGE('time 1'!P30/'time 1'!O30,'time 2'!P30/'time 2'!O30,'time 3'!P30/'time 3'!O30)</f>
        <v>1.0315112972354439</v>
      </c>
      <c r="I31">
        <f>AVERAGE('time 1'!R30/'time 1'!Q30,'time 2'!R30/'time 2'!Q30,'time 3'!R30/'time 3'!Q30)</f>
        <v>1.1200206383094626</v>
      </c>
      <c r="J31">
        <f>AVERAGE('time 1'!T30/'time 1'!S30,'time 2'!T30/'time 2'!S30,'time 3'!T30/'time 3'!S30)</f>
        <v>1.0632395274366819</v>
      </c>
      <c r="K31">
        <f t="shared" si="3"/>
        <v>0</v>
      </c>
      <c r="L31">
        <f t="shared" si="4"/>
        <v>9</v>
      </c>
      <c r="M31">
        <f t="shared" si="5"/>
        <v>0</v>
      </c>
      <c r="N31">
        <f t="shared" si="6"/>
        <v>0</v>
      </c>
      <c r="O31">
        <f t="shared" si="7"/>
        <v>0</v>
      </c>
      <c r="P31">
        <f t="shared" si="48"/>
        <v>3</v>
      </c>
      <c r="Q31">
        <f t="shared" si="49"/>
        <v>0</v>
      </c>
      <c r="R31">
        <f t="shared" si="8"/>
        <v>0</v>
      </c>
      <c r="S31">
        <f t="shared" si="9"/>
        <v>0</v>
      </c>
      <c r="T31">
        <f t="shared" si="10"/>
        <v>3</v>
      </c>
      <c r="U31">
        <f t="shared" si="11"/>
        <v>0</v>
      </c>
      <c r="V31">
        <f t="shared" si="12"/>
        <v>0</v>
      </c>
      <c r="W31">
        <f t="shared" si="13"/>
        <v>0</v>
      </c>
      <c r="X31">
        <f t="shared" si="14"/>
        <v>3</v>
      </c>
      <c r="Y31">
        <f t="shared" si="15"/>
        <v>0</v>
      </c>
      <c r="Z31">
        <f t="shared" si="16"/>
        <v>0</v>
      </c>
      <c r="AB31">
        <f>AVERAGE('accuracy dom5dom4'!$C31,'accuracy dom51dom41'!$C31,'accuracy dom52dom42'!$C31)</f>
        <v>0</v>
      </c>
      <c r="AC31">
        <f>AVERAGE('accuracy dom5dom4'!$G31,'accuracy dom51dom41'!$G31,'accuracy dom52dom42'!$G31)</f>
        <v>0</v>
      </c>
      <c r="AD31">
        <f>AVERAGE('accuracy dom5dom4'!$AB31,'accuracy dom51dom41'!$AB31,'accuracy dom52dom42'!$AB31)</f>
        <v>0</v>
      </c>
      <c r="AE31">
        <f>AVERAGE('accuracy dom7dom6'!$C31,'accuracy dom71dom61'!$C31,'accuracy dom72dom62'!$C31)</f>
        <v>0</v>
      </c>
      <c r="AF31">
        <f>AVERAGE('accuracy dom7dom6'!$G31,'accuracy dom71dom61'!$G31,'accuracy dom72dom62'!$G31)</f>
        <v>0</v>
      </c>
      <c r="AG31">
        <f>AVERAGE('accuracy dom7dom6'!$AB31,'accuracy dom71dom61'!$AB31,'accuracy dom72dom62'!$AB31)</f>
        <v>0</v>
      </c>
      <c r="AH31">
        <f>AVERAGE('accuracy dom9dom8'!$C31,'accuracy dom91dom81'!$C31,'accuracy dom92dom82'!$C31)</f>
        <v>0</v>
      </c>
      <c r="AI31">
        <f>AVERAGE('accuracy dom9dom8'!$G31,'accuracy dom91dom81'!$G31,'accuracy dom92dom82'!$G31)</f>
        <v>0</v>
      </c>
      <c r="AJ31">
        <f>AVERAGE('accuracy dom9dom8'!$AB31,'accuracy dom91dom81'!$AB31,'accuracy dom92dom82'!$AB31)</f>
        <v>0</v>
      </c>
      <c r="AK31">
        <f t="shared" si="17"/>
        <v>0</v>
      </c>
      <c r="AL31">
        <f t="shared" si="50"/>
        <v>0</v>
      </c>
      <c r="AM31">
        <f t="shared" si="51"/>
        <v>0</v>
      </c>
      <c r="AN31">
        <f t="shared" si="52"/>
        <v>0</v>
      </c>
      <c r="AO31">
        <f t="shared" si="19"/>
        <v>0</v>
      </c>
      <c r="AP31">
        <f t="shared" si="20"/>
        <v>0</v>
      </c>
      <c r="AQ31">
        <f t="shared" si="21"/>
        <v>0</v>
      </c>
      <c r="AR31">
        <f t="shared" si="22"/>
        <v>0</v>
      </c>
      <c r="AS31">
        <f t="shared" si="23"/>
        <v>0</v>
      </c>
      <c r="AT31">
        <f t="shared" si="24"/>
        <v>0</v>
      </c>
      <c r="AU31">
        <f t="shared" si="25"/>
        <v>0</v>
      </c>
      <c r="AV31">
        <f t="shared" si="26"/>
        <v>0</v>
      </c>
      <c r="AW31">
        <f t="shared" si="27"/>
        <v>0</v>
      </c>
      <c r="AX31">
        <f t="shared" si="28"/>
        <v>0</v>
      </c>
      <c r="AY31">
        <f t="shared" si="29"/>
        <v>0</v>
      </c>
      <c r="AZ31">
        <f t="shared" si="30"/>
        <v>0</v>
      </c>
      <c r="BA31">
        <f t="shared" si="31"/>
        <v>0</v>
      </c>
      <c r="BC31">
        <f t="shared" si="32"/>
        <v>0</v>
      </c>
      <c r="BD31">
        <f t="shared" si="33"/>
        <v>0</v>
      </c>
      <c r="BE31">
        <f t="shared" si="34"/>
        <v>0</v>
      </c>
      <c r="BF31">
        <f t="shared" si="35"/>
        <v>0</v>
      </c>
      <c r="BG31">
        <f t="shared" si="36"/>
        <v>0</v>
      </c>
      <c r="BH31">
        <f t="shared" si="37"/>
        <v>0</v>
      </c>
      <c r="BI31">
        <f t="shared" si="38"/>
        <v>0</v>
      </c>
      <c r="BJ31">
        <f t="shared" si="39"/>
        <v>0</v>
      </c>
      <c r="BK31">
        <f t="shared" si="40"/>
        <v>0</v>
      </c>
      <c r="BL31">
        <f t="shared" si="41"/>
        <v>0</v>
      </c>
      <c r="BM31">
        <f t="shared" si="42"/>
        <v>0</v>
      </c>
      <c r="BN31">
        <f t="shared" si="43"/>
        <v>0</v>
      </c>
      <c r="BO31">
        <f t="shared" si="44"/>
        <v>0</v>
      </c>
      <c r="BP31">
        <f t="shared" si="45"/>
        <v>0</v>
      </c>
      <c r="BQ31">
        <f t="shared" si="46"/>
        <v>0</v>
      </c>
      <c r="BR31">
        <f t="shared" si="47"/>
        <v>0</v>
      </c>
    </row>
    <row r="32" spans="1:70">
      <c r="A32" t="str">
        <f>'time 1'!B31</f>
        <v>&lt;test.Class11: void method216(int,int,int,int,byte,int,boolean)&gt;</v>
      </c>
      <c r="B32">
        <f>AVERAGE('time 1'!D31/'time 1'!C31,'time 2'!D31/'time 2'!C31,'time 3'!D31/'time 3'!C31)</f>
        <v>1.9783441472029111</v>
      </c>
      <c r="C32">
        <f>AVERAGE('time 1'!F31/'time 1'!E31,'time 2'!F31/'time 2'!E31,'time 3'!F31/'time 3'!E31)</f>
        <v>1.2720103403559839</v>
      </c>
      <c r="D32">
        <f>AVERAGE('time 1'!H31/'time 1'!G31,'time 2'!H31/'time 2'!G31,'time 3'!H31/'time 3'!G31)</f>
        <v>1.9033236680634544</v>
      </c>
      <c r="E32">
        <f>AVERAGE('time 1'!J31/'time 2'!I31,'time 2'!J31/'time 2'!I31,'time 3'!J31/'time 3'!I31)</f>
        <v>1.99143293477856</v>
      </c>
      <c r="F32">
        <f>AVERAGE('time 1'!L31/'time 1'!K31,'time 2'!L31/'time 2'!K31,'time 3'!L31/'time 3'!K31)</f>
        <v>1.5150216443845199</v>
      </c>
      <c r="G32">
        <f>AVERAGE('time 1'!N31/'time 1'!M31,'time 2'!N31/'time 2'!M31,'time 3'!N31/'time 3'!M31)</f>
        <v>1.9264342880903955</v>
      </c>
      <c r="H32">
        <f>AVERAGE('time 1'!P31/'time 1'!O31,'time 2'!P31/'time 2'!O31,'time 3'!P31/'time 3'!O31)</f>
        <v>1.796692943432074</v>
      </c>
      <c r="I32">
        <f>AVERAGE('time 1'!R31/'time 1'!Q31,'time 2'!R31/'time 2'!Q31,'time 3'!R31/'time 3'!Q31)</f>
        <v>1.1955720684914992</v>
      </c>
      <c r="J32">
        <f>AVERAGE('time 1'!T31/'time 1'!S31,'time 2'!T31/'time 2'!S31,'time 3'!T31/'time 3'!S31)</f>
        <v>1.8784934890524951</v>
      </c>
      <c r="K32">
        <f t="shared" si="3"/>
        <v>0</v>
      </c>
      <c r="L32">
        <f t="shared" si="4"/>
        <v>9</v>
      </c>
      <c r="M32">
        <f t="shared" si="5"/>
        <v>0</v>
      </c>
      <c r="N32">
        <f t="shared" si="6"/>
        <v>0</v>
      </c>
      <c r="O32">
        <f t="shared" si="7"/>
        <v>0</v>
      </c>
      <c r="P32">
        <f t="shared" si="48"/>
        <v>3</v>
      </c>
      <c r="Q32">
        <f t="shared" si="49"/>
        <v>0</v>
      </c>
      <c r="R32">
        <f t="shared" si="8"/>
        <v>0</v>
      </c>
      <c r="S32">
        <f t="shared" si="9"/>
        <v>0</v>
      </c>
      <c r="T32">
        <f t="shared" si="10"/>
        <v>3</v>
      </c>
      <c r="U32">
        <f t="shared" si="11"/>
        <v>0</v>
      </c>
      <c r="V32">
        <f t="shared" si="12"/>
        <v>0</v>
      </c>
      <c r="W32">
        <f t="shared" si="13"/>
        <v>0</v>
      </c>
      <c r="X32">
        <f t="shared" si="14"/>
        <v>3</v>
      </c>
      <c r="Y32">
        <f t="shared" si="15"/>
        <v>0</v>
      </c>
      <c r="Z32">
        <f t="shared" si="16"/>
        <v>0</v>
      </c>
      <c r="AB32">
        <f>AVERAGE('accuracy dom5dom4'!$C32,'accuracy dom51dom41'!$C32,'accuracy dom52dom42'!$C32)</f>
        <v>0</v>
      </c>
      <c r="AC32">
        <f>AVERAGE('accuracy dom5dom4'!$G32,'accuracy dom51dom41'!$G32,'accuracy dom52dom42'!$G32)</f>
        <v>0</v>
      </c>
      <c r="AD32">
        <f>AVERAGE('accuracy dom5dom4'!$AB32,'accuracy dom51dom41'!$AB32,'accuracy dom52dom42'!$AB32)</f>
        <v>0</v>
      </c>
      <c r="AE32">
        <f>AVERAGE('accuracy dom7dom6'!$C32,'accuracy dom71dom61'!$C32,'accuracy dom72dom62'!$C32)</f>
        <v>0</v>
      </c>
      <c r="AF32">
        <f>AVERAGE('accuracy dom7dom6'!$G32,'accuracy dom71dom61'!$G32,'accuracy dom72dom62'!$G32)</f>
        <v>0</v>
      </c>
      <c r="AG32">
        <f>AVERAGE('accuracy dom7dom6'!$AB32,'accuracy dom71dom61'!$AB32,'accuracy dom72dom62'!$AB32)</f>
        <v>0</v>
      </c>
      <c r="AH32">
        <f>AVERAGE('accuracy dom9dom8'!$C32,'accuracy dom91dom81'!$C32,'accuracy dom92dom82'!$C32)</f>
        <v>0</v>
      </c>
      <c r="AI32">
        <f>AVERAGE('accuracy dom9dom8'!$G32,'accuracy dom91dom81'!$G32,'accuracy dom92dom82'!$G32)</f>
        <v>0</v>
      </c>
      <c r="AJ32">
        <f>AVERAGE('accuracy dom9dom8'!$AB32,'accuracy dom91dom81'!$AB32,'accuracy dom92dom82'!$AB32)</f>
        <v>0</v>
      </c>
      <c r="AK32">
        <f t="shared" si="17"/>
        <v>0</v>
      </c>
      <c r="AL32">
        <f t="shared" si="50"/>
        <v>0</v>
      </c>
      <c r="AM32">
        <f t="shared" si="51"/>
        <v>0</v>
      </c>
      <c r="AN32">
        <f t="shared" si="52"/>
        <v>0</v>
      </c>
      <c r="AO32">
        <f t="shared" si="19"/>
        <v>0</v>
      </c>
      <c r="AP32">
        <f t="shared" si="20"/>
        <v>0</v>
      </c>
      <c r="AQ32">
        <f t="shared" si="21"/>
        <v>0</v>
      </c>
      <c r="AR32">
        <f t="shared" si="22"/>
        <v>0</v>
      </c>
      <c r="AS32">
        <f t="shared" si="23"/>
        <v>0</v>
      </c>
      <c r="AT32">
        <f t="shared" si="24"/>
        <v>0</v>
      </c>
      <c r="AU32">
        <f t="shared" si="25"/>
        <v>0</v>
      </c>
      <c r="AV32">
        <f t="shared" si="26"/>
        <v>0</v>
      </c>
      <c r="AW32">
        <f t="shared" si="27"/>
        <v>0</v>
      </c>
      <c r="AX32">
        <f t="shared" si="28"/>
        <v>0</v>
      </c>
      <c r="AY32">
        <f t="shared" si="29"/>
        <v>0</v>
      </c>
      <c r="AZ32">
        <f t="shared" si="30"/>
        <v>0</v>
      </c>
      <c r="BA32">
        <f t="shared" si="31"/>
        <v>0</v>
      </c>
      <c r="BC32">
        <f t="shared" si="32"/>
        <v>0</v>
      </c>
      <c r="BD32">
        <f t="shared" si="33"/>
        <v>0</v>
      </c>
      <c r="BE32">
        <f t="shared" si="34"/>
        <v>0</v>
      </c>
      <c r="BF32">
        <f t="shared" si="35"/>
        <v>0</v>
      </c>
      <c r="BG32">
        <f t="shared" si="36"/>
        <v>0</v>
      </c>
      <c r="BH32">
        <f t="shared" si="37"/>
        <v>0</v>
      </c>
      <c r="BI32">
        <f t="shared" si="38"/>
        <v>0</v>
      </c>
      <c r="BJ32">
        <f t="shared" si="39"/>
        <v>0</v>
      </c>
      <c r="BK32">
        <f t="shared" si="40"/>
        <v>0</v>
      </c>
      <c r="BL32">
        <f t="shared" si="41"/>
        <v>0</v>
      </c>
      <c r="BM32">
        <f t="shared" si="42"/>
        <v>0</v>
      </c>
      <c r="BN32">
        <f t="shared" si="43"/>
        <v>0</v>
      </c>
      <c r="BO32">
        <f t="shared" si="44"/>
        <v>0</v>
      </c>
      <c r="BP32">
        <f t="shared" si="45"/>
        <v>0</v>
      </c>
      <c r="BQ32">
        <f t="shared" si="46"/>
        <v>0</v>
      </c>
      <c r="BR32">
        <f t="shared" si="47"/>
        <v>0</v>
      </c>
    </row>
    <row r="33" spans="1:70">
      <c r="A33" t="str">
        <f>'time 1'!B32</f>
        <v>&lt;test.Class11: void method217(int,int,int,int)&gt;</v>
      </c>
      <c r="B33">
        <f>AVERAGE('time 1'!D32/'time 1'!C32,'time 2'!D32/'time 2'!C32,'time 3'!D32/'time 3'!C32)</f>
        <v>1.0953576248313091</v>
      </c>
      <c r="C33">
        <f>AVERAGE('time 1'!F32/'time 1'!E32,'time 2'!F32/'time 2'!E32,'time 3'!F32/'time 3'!E32)</f>
        <v>0.91577260229905855</v>
      </c>
      <c r="D33">
        <f>AVERAGE('time 1'!H32/'time 1'!G32,'time 2'!H32/'time 2'!G32,'time 3'!H32/'time 3'!G32)</f>
        <v>0.79282212040832734</v>
      </c>
      <c r="E33">
        <f>AVERAGE('time 1'!J32/'time 2'!I32,'time 2'!J32/'time 2'!I32,'time 3'!J32/'time 3'!I32)</f>
        <v>1.2946998722860792</v>
      </c>
      <c r="F33">
        <f>AVERAGE('time 1'!L32/'time 1'!K32,'time 2'!L32/'time 2'!K32,'time 3'!L32/'time 3'!K32)</f>
        <v>1.1542823178533588</v>
      </c>
      <c r="G33">
        <f>AVERAGE('time 1'!N32/'time 1'!M32,'time 2'!N32/'time 2'!M32,'time 3'!N32/'time 3'!M32)</f>
        <v>1.2417582417582416</v>
      </c>
      <c r="H33">
        <f>AVERAGE('time 1'!P32/'time 1'!O32,'time 2'!P32/'time 2'!O32,'time 3'!P32/'time 3'!O32)</f>
        <v>1.3456456456456456</v>
      </c>
      <c r="I33">
        <f>AVERAGE('time 1'!R32/'time 1'!Q32,'time 2'!R32/'time 2'!Q32,'time 3'!R32/'time 3'!Q32)</f>
        <v>1.1090524824513748</v>
      </c>
      <c r="J33">
        <f>AVERAGE('time 1'!T32/'time 1'!S32,'time 2'!T32/'time 2'!S32,'time 3'!T32/'time 3'!S32)</f>
        <v>1.0526881720430108</v>
      </c>
      <c r="K33">
        <f t="shared" si="3"/>
        <v>2</v>
      </c>
      <c r="L33">
        <f t="shared" si="4"/>
        <v>7</v>
      </c>
      <c r="M33">
        <f t="shared" si="5"/>
        <v>0</v>
      </c>
      <c r="N33">
        <f t="shared" si="6"/>
        <v>0</v>
      </c>
      <c r="O33">
        <f t="shared" si="7"/>
        <v>0</v>
      </c>
      <c r="P33">
        <f t="shared" si="48"/>
        <v>3</v>
      </c>
      <c r="Q33">
        <f t="shared" si="49"/>
        <v>0</v>
      </c>
      <c r="R33">
        <f t="shared" si="8"/>
        <v>0</v>
      </c>
      <c r="S33">
        <f t="shared" si="9"/>
        <v>1</v>
      </c>
      <c r="T33">
        <f t="shared" si="10"/>
        <v>2</v>
      </c>
      <c r="U33">
        <f t="shared" si="11"/>
        <v>0</v>
      </c>
      <c r="V33">
        <f t="shared" si="12"/>
        <v>0</v>
      </c>
      <c r="W33">
        <f t="shared" si="13"/>
        <v>1</v>
      </c>
      <c r="X33">
        <f t="shared" si="14"/>
        <v>2</v>
      </c>
      <c r="Y33">
        <f t="shared" si="15"/>
        <v>0</v>
      </c>
      <c r="Z33">
        <f t="shared" si="16"/>
        <v>0</v>
      </c>
      <c r="AB33">
        <f>AVERAGE('accuracy dom5dom4'!$C33,'accuracy dom51dom41'!$C33,'accuracy dom52dom42'!$C33)</f>
        <v>0</v>
      </c>
      <c r="AC33">
        <f>AVERAGE('accuracy dom5dom4'!$G33,'accuracy dom51dom41'!$G33,'accuracy dom52dom42'!$G33)</f>
        <v>0</v>
      </c>
      <c r="AD33">
        <f>AVERAGE('accuracy dom5dom4'!$AB33,'accuracy dom51dom41'!$AB33,'accuracy dom52dom42'!$AB33)</f>
        <v>0</v>
      </c>
      <c r="AE33">
        <f>AVERAGE('accuracy dom7dom6'!$C33,'accuracy dom71dom61'!$C33,'accuracy dom72dom62'!$C33)</f>
        <v>0</v>
      </c>
      <c r="AF33">
        <f>AVERAGE('accuracy dom7dom6'!$G33,'accuracy dom71dom61'!$G33,'accuracy dom72dom62'!$G33)</f>
        <v>0</v>
      </c>
      <c r="AG33">
        <f>AVERAGE('accuracy dom7dom6'!$AB33,'accuracy dom71dom61'!$AB33,'accuracy dom72dom62'!$AB33)</f>
        <v>0</v>
      </c>
      <c r="AH33">
        <f>AVERAGE('accuracy dom9dom8'!$C33,'accuracy dom91dom81'!$C33,'accuracy dom92dom82'!$C33)</f>
        <v>0</v>
      </c>
      <c r="AI33">
        <f>AVERAGE('accuracy dom9dom8'!$G33,'accuracy dom91dom81'!$G33,'accuracy dom92dom82'!$G33)</f>
        <v>0</v>
      </c>
      <c r="AJ33">
        <f>AVERAGE('accuracy dom9dom8'!$AB33,'accuracy dom91dom81'!$AB33,'accuracy dom92dom82'!$AB33)</f>
        <v>0</v>
      </c>
      <c r="AK33">
        <f t="shared" si="17"/>
        <v>0</v>
      </c>
      <c r="AL33">
        <f t="shared" si="50"/>
        <v>0</v>
      </c>
      <c r="AM33">
        <f t="shared" si="51"/>
        <v>0</v>
      </c>
      <c r="AN33">
        <f t="shared" si="52"/>
        <v>0</v>
      </c>
      <c r="AO33">
        <f t="shared" si="19"/>
        <v>0</v>
      </c>
      <c r="AP33">
        <f t="shared" si="20"/>
        <v>0</v>
      </c>
      <c r="AQ33">
        <f t="shared" si="21"/>
        <v>0</v>
      </c>
      <c r="AR33">
        <f t="shared" si="22"/>
        <v>0</v>
      </c>
      <c r="AS33">
        <f t="shared" si="23"/>
        <v>0</v>
      </c>
      <c r="AT33">
        <f t="shared" si="24"/>
        <v>0</v>
      </c>
      <c r="AU33">
        <f t="shared" si="25"/>
        <v>0</v>
      </c>
      <c r="AV33">
        <f t="shared" si="26"/>
        <v>0</v>
      </c>
      <c r="AW33">
        <f t="shared" si="27"/>
        <v>0</v>
      </c>
      <c r="AX33">
        <f t="shared" si="28"/>
        <v>0</v>
      </c>
      <c r="AY33">
        <f t="shared" si="29"/>
        <v>0</v>
      </c>
      <c r="AZ33">
        <f t="shared" si="30"/>
        <v>0</v>
      </c>
      <c r="BA33">
        <f t="shared" si="31"/>
        <v>0</v>
      </c>
      <c r="BC33">
        <f t="shared" si="32"/>
        <v>0</v>
      </c>
      <c r="BD33">
        <f t="shared" si="33"/>
        <v>0</v>
      </c>
      <c r="BE33">
        <f t="shared" si="34"/>
        <v>0</v>
      </c>
      <c r="BF33">
        <f t="shared" si="35"/>
        <v>0</v>
      </c>
      <c r="BG33">
        <f t="shared" si="36"/>
        <v>0</v>
      </c>
      <c r="BH33">
        <f t="shared" si="37"/>
        <v>0</v>
      </c>
      <c r="BI33">
        <f t="shared" si="38"/>
        <v>0</v>
      </c>
      <c r="BJ33">
        <f t="shared" si="39"/>
        <v>0</v>
      </c>
      <c r="BK33">
        <f t="shared" si="40"/>
        <v>0</v>
      </c>
      <c r="BL33">
        <f t="shared" si="41"/>
        <v>0</v>
      </c>
      <c r="BM33">
        <f t="shared" si="42"/>
        <v>0</v>
      </c>
      <c r="BN33">
        <f t="shared" si="43"/>
        <v>0</v>
      </c>
      <c r="BO33">
        <f t="shared" si="44"/>
        <v>0</v>
      </c>
      <c r="BP33">
        <f t="shared" si="45"/>
        <v>0</v>
      </c>
      <c r="BQ33">
        <f t="shared" si="46"/>
        <v>0</v>
      </c>
      <c r="BR33">
        <f t="shared" si="47"/>
        <v>0</v>
      </c>
    </row>
    <row r="34" spans="1:70">
      <c r="A34" t="str">
        <f>'time 1'!B33</f>
        <v>&lt;test.Class11: void method218(int,int,int)&gt;</v>
      </c>
      <c r="B34">
        <f>AVERAGE('time 1'!D33/'time 1'!C33,'time 2'!D33/'time 2'!C33,'time 3'!D33/'time 3'!C33)</f>
        <v>0.97934268558371862</v>
      </c>
      <c r="C34">
        <f>AVERAGE('time 1'!F33/'time 1'!E33,'time 2'!F33/'time 2'!E33,'time 3'!F33/'time 3'!E33)</f>
        <v>0.88473633841468491</v>
      </c>
      <c r="D34">
        <f>AVERAGE('time 1'!H33/'time 1'!G33,'time 2'!H33/'time 2'!G33,'time 3'!H33/'time 3'!G33)</f>
        <v>1.1330532212885156</v>
      </c>
      <c r="E34">
        <f>AVERAGE('time 1'!J33/'time 2'!I33,'time 2'!J33/'time 2'!I33,'time 3'!J33/'time 3'!I33)</f>
        <v>0.77240896358543409</v>
      </c>
      <c r="F34">
        <f>AVERAGE('time 1'!L33/'time 1'!K33,'time 2'!L33/'time 2'!K33,'time 3'!L33/'time 3'!K33)</f>
        <v>0.97997487715763942</v>
      </c>
      <c r="G34">
        <f>AVERAGE('time 1'!N33/'time 1'!M33,'time 2'!N33/'time 2'!M33,'time 3'!N33/'time 3'!M33)</f>
        <v>1.0191190922898239</v>
      </c>
      <c r="H34">
        <f>AVERAGE('time 1'!P33/'time 1'!O33,'time 2'!P33/'time 2'!O33,'time 3'!P33/'time 3'!O33)</f>
        <v>1.0191722972972972</v>
      </c>
      <c r="I34">
        <f>AVERAGE('time 1'!R33/'time 1'!Q33,'time 2'!R33/'time 2'!Q33,'time 3'!R33/'time 3'!Q33)</f>
        <v>0.90344874981058165</v>
      </c>
      <c r="J34">
        <f>AVERAGE('time 1'!T33/'time 1'!S33,'time 2'!T33/'time 2'!S33,'time 3'!T33/'time 3'!S33)</f>
        <v>0.97998366013071891</v>
      </c>
      <c r="K34">
        <f t="shared" si="3"/>
        <v>6</v>
      </c>
      <c r="L34">
        <f t="shared" si="4"/>
        <v>3</v>
      </c>
      <c r="M34">
        <f t="shared" si="5"/>
        <v>0</v>
      </c>
      <c r="N34">
        <f t="shared" si="6"/>
        <v>0</v>
      </c>
      <c r="O34">
        <f t="shared" si="7"/>
        <v>2</v>
      </c>
      <c r="P34">
        <f t="shared" si="48"/>
        <v>1</v>
      </c>
      <c r="Q34">
        <f t="shared" si="49"/>
        <v>0</v>
      </c>
      <c r="R34">
        <f t="shared" si="8"/>
        <v>0</v>
      </c>
      <c r="S34">
        <f t="shared" si="9"/>
        <v>3</v>
      </c>
      <c r="T34">
        <f t="shared" si="10"/>
        <v>0</v>
      </c>
      <c r="U34">
        <f t="shared" si="11"/>
        <v>0</v>
      </c>
      <c r="V34">
        <f t="shared" si="12"/>
        <v>0</v>
      </c>
      <c r="W34">
        <f t="shared" si="13"/>
        <v>1</v>
      </c>
      <c r="X34">
        <f t="shared" si="14"/>
        <v>2</v>
      </c>
      <c r="Y34">
        <f t="shared" si="15"/>
        <v>0</v>
      </c>
      <c r="Z34">
        <f t="shared" si="16"/>
        <v>0</v>
      </c>
      <c r="AB34">
        <f>AVERAGE('accuracy dom5dom4'!$C34,'accuracy dom51dom41'!$C34,'accuracy dom52dom42'!$C34)</f>
        <v>0</v>
      </c>
      <c r="AC34">
        <f>AVERAGE('accuracy dom5dom4'!$G34,'accuracy dom51dom41'!$G34,'accuracy dom52dom42'!$G34)</f>
        <v>0</v>
      </c>
      <c r="AD34">
        <f>AVERAGE('accuracy dom5dom4'!$AB34,'accuracy dom51dom41'!$AB34,'accuracy dom52dom42'!$AB34)</f>
        <v>0</v>
      </c>
      <c r="AE34">
        <f>AVERAGE('accuracy dom7dom6'!$C34,'accuracy dom71dom61'!$C34,'accuracy dom72dom62'!$C34)</f>
        <v>0</v>
      </c>
      <c r="AF34">
        <f>AVERAGE('accuracy dom7dom6'!$G34,'accuracy dom71dom61'!$G34,'accuracy dom72dom62'!$G34)</f>
        <v>0</v>
      </c>
      <c r="AG34">
        <f>AVERAGE('accuracy dom7dom6'!$AB34,'accuracy dom71dom61'!$AB34,'accuracy dom72dom62'!$AB34)</f>
        <v>0</v>
      </c>
      <c r="AH34">
        <f>AVERAGE('accuracy dom9dom8'!$C34,'accuracy dom91dom81'!$C34,'accuracy dom92dom82'!$C34)</f>
        <v>0</v>
      </c>
      <c r="AI34">
        <f>AVERAGE('accuracy dom9dom8'!$G34,'accuracy dom91dom81'!$G34,'accuracy dom92dom82'!$G34)</f>
        <v>0</v>
      </c>
      <c r="AJ34">
        <f>AVERAGE('accuracy dom9dom8'!$AB34,'accuracy dom91dom81'!$AB34,'accuracy dom92dom82'!$AB34)</f>
        <v>0</v>
      </c>
      <c r="AK34">
        <f t="shared" si="17"/>
        <v>0</v>
      </c>
      <c r="AL34">
        <f t="shared" si="50"/>
        <v>0</v>
      </c>
      <c r="AM34">
        <f t="shared" si="51"/>
        <v>0</v>
      </c>
      <c r="AN34">
        <f t="shared" si="52"/>
        <v>0</v>
      </c>
      <c r="AO34">
        <f t="shared" si="19"/>
        <v>0</v>
      </c>
      <c r="AP34">
        <f t="shared" si="20"/>
        <v>0</v>
      </c>
      <c r="AQ34">
        <f t="shared" si="21"/>
        <v>0</v>
      </c>
      <c r="AR34">
        <f t="shared" si="22"/>
        <v>0</v>
      </c>
      <c r="AS34">
        <f t="shared" si="23"/>
        <v>0</v>
      </c>
      <c r="AT34">
        <f t="shared" si="24"/>
        <v>0</v>
      </c>
      <c r="AU34">
        <f t="shared" si="25"/>
        <v>0</v>
      </c>
      <c r="AV34">
        <f t="shared" si="26"/>
        <v>0</v>
      </c>
      <c r="AW34">
        <f t="shared" si="27"/>
        <v>0</v>
      </c>
      <c r="AX34">
        <f t="shared" si="28"/>
        <v>0</v>
      </c>
      <c r="AY34">
        <f t="shared" si="29"/>
        <v>0</v>
      </c>
      <c r="AZ34">
        <f t="shared" si="30"/>
        <v>0</v>
      </c>
      <c r="BA34">
        <f t="shared" si="31"/>
        <v>0</v>
      </c>
      <c r="BC34">
        <f t="shared" si="32"/>
        <v>0</v>
      </c>
      <c r="BD34">
        <f t="shared" si="33"/>
        <v>0</v>
      </c>
      <c r="BE34">
        <f t="shared" si="34"/>
        <v>0</v>
      </c>
      <c r="BF34">
        <f t="shared" si="35"/>
        <v>0</v>
      </c>
      <c r="BG34">
        <f t="shared" si="36"/>
        <v>0</v>
      </c>
      <c r="BH34">
        <f t="shared" si="37"/>
        <v>0</v>
      </c>
      <c r="BI34">
        <f t="shared" si="38"/>
        <v>0</v>
      </c>
      <c r="BJ34">
        <f t="shared" si="39"/>
        <v>0</v>
      </c>
      <c r="BK34">
        <f t="shared" si="40"/>
        <v>0</v>
      </c>
      <c r="BL34">
        <f t="shared" si="41"/>
        <v>0</v>
      </c>
      <c r="BM34">
        <f t="shared" si="42"/>
        <v>0</v>
      </c>
      <c r="BN34">
        <f t="shared" si="43"/>
        <v>0</v>
      </c>
      <c r="BO34">
        <f t="shared" si="44"/>
        <v>0</v>
      </c>
      <c r="BP34">
        <f t="shared" si="45"/>
        <v>0</v>
      </c>
      <c r="BQ34">
        <f t="shared" si="46"/>
        <v>0</v>
      </c>
      <c r="BR34">
        <f t="shared" si="47"/>
        <v>0</v>
      </c>
    </row>
    <row r="35" spans="1:70">
      <c r="A35" t="str">
        <f>'time 1'!B34</f>
        <v>&lt;test.Class13: void method226(byte,int,int,int,int[],int,byte[],int,int)&gt;</v>
      </c>
      <c r="B35">
        <f>AVERAGE('time 1'!D34/'time 1'!C34,'time 2'!D34/'time 2'!C34,'time 3'!D34/'time 3'!C34)</f>
        <v>1.5850237064728461</v>
      </c>
      <c r="C35">
        <f>AVERAGE('time 1'!F34/'time 1'!E34,'time 2'!F34/'time 2'!E34,'time 3'!F34/'time 3'!E34)</f>
        <v>1.5231883901504464</v>
      </c>
      <c r="D35">
        <f>AVERAGE('time 1'!H34/'time 1'!G34,'time 2'!H34/'time 2'!G34,'time 3'!H34/'time 3'!G34)</f>
        <v>1.5810113966852175</v>
      </c>
      <c r="E35">
        <f>AVERAGE('time 1'!J34/'time 2'!I34,'time 2'!J34/'time 2'!I34,'time 3'!J34/'time 3'!I34)</f>
        <v>1.5562228513183598</v>
      </c>
      <c r="F35">
        <f>AVERAGE('time 1'!L34/'time 1'!K34,'time 2'!L34/'time 2'!K34,'time 3'!L34/'time 3'!K34)</f>
        <v>1.6531848699551162</v>
      </c>
      <c r="G35">
        <f>AVERAGE('time 1'!N34/'time 1'!M34,'time 2'!N34/'time 2'!M34,'time 3'!N34/'time 3'!M34)</f>
        <v>1.6270978095514455</v>
      </c>
      <c r="H35">
        <f>AVERAGE('time 1'!P34/'time 1'!O34,'time 2'!P34/'time 2'!O34,'time 3'!P34/'time 3'!O34)</f>
        <v>1.5437415909231733</v>
      </c>
      <c r="I35">
        <f>AVERAGE('time 1'!R34/'time 1'!Q34,'time 2'!R34/'time 2'!Q34,'time 3'!R34/'time 3'!Q34)</f>
        <v>1.5814100354476344</v>
      </c>
      <c r="J35">
        <f>AVERAGE('time 1'!T34/'time 1'!S34,'time 2'!T34/'time 2'!S34,'time 3'!T34/'time 3'!S34)</f>
        <v>1.7134698674862292</v>
      </c>
      <c r="K35">
        <f t="shared" si="3"/>
        <v>0</v>
      </c>
      <c r="L35">
        <f t="shared" si="4"/>
        <v>9</v>
      </c>
      <c r="M35">
        <f t="shared" si="5"/>
        <v>0</v>
      </c>
      <c r="N35">
        <f t="shared" si="6"/>
        <v>0</v>
      </c>
      <c r="O35">
        <f t="shared" si="7"/>
        <v>0</v>
      </c>
      <c r="P35">
        <f t="shared" si="48"/>
        <v>3</v>
      </c>
      <c r="Q35">
        <f t="shared" si="49"/>
        <v>0</v>
      </c>
      <c r="R35">
        <f t="shared" si="8"/>
        <v>0</v>
      </c>
      <c r="S35">
        <f t="shared" si="9"/>
        <v>0</v>
      </c>
      <c r="T35">
        <f t="shared" si="10"/>
        <v>3</v>
      </c>
      <c r="U35">
        <f t="shared" si="11"/>
        <v>0</v>
      </c>
      <c r="V35">
        <f t="shared" si="12"/>
        <v>0</v>
      </c>
      <c r="W35">
        <f t="shared" si="13"/>
        <v>0</v>
      </c>
      <c r="X35">
        <f t="shared" si="14"/>
        <v>3</v>
      </c>
      <c r="Y35">
        <f t="shared" si="15"/>
        <v>0</v>
      </c>
      <c r="Z35">
        <f t="shared" si="16"/>
        <v>0</v>
      </c>
      <c r="AB35">
        <f>AVERAGE('accuracy dom5dom4'!$C35,'accuracy dom51dom41'!$C35,'accuracy dom52dom42'!$C35)</f>
        <v>0</v>
      </c>
      <c r="AC35">
        <f>AVERAGE('accuracy dom5dom4'!$G35,'accuracy dom51dom41'!$G35,'accuracy dom52dom42'!$G35)</f>
        <v>0</v>
      </c>
      <c r="AD35">
        <f>AVERAGE('accuracy dom5dom4'!$AB35,'accuracy dom51dom41'!$AB35,'accuracy dom52dom42'!$AB35)</f>
        <v>0</v>
      </c>
      <c r="AE35">
        <f>AVERAGE('accuracy dom7dom6'!$C35,'accuracy dom71dom61'!$C35,'accuracy dom72dom62'!$C35)</f>
        <v>0</v>
      </c>
      <c r="AF35">
        <f>AVERAGE('accuracy dom7dom6'!$G35,'accuracy dom71dom61'!$G35,'accuracy dom72dom62'!$G35)</f>
        <v>0</v>
      </c>
      <c r="AG35">
        <f>AVERAGE('accuracy dom7dom6'!$AB35,'accuracy dom71dom61'!$AB35,'accuracy dom72dom62'!$AB35)</f>
        <v>0</v>
      </c>
      <c r="AH35">
        <f>AVERAGE('accuracy dom9dom8'!$C35,'accuracy dom91dom81'!$C35,'accuracy dom92dom82'!$C35)</f>
        <v>0</v>
      </c>
      <c r="AI35">
        <f>AVERAGE('accuracy dom9dom8'!$G35,'accuracy dom91dom81'!$G35,'accuracy dom92dom82'!$G35)</f>
        <v>0</v>
      </c>
      <c r="AJ35">
        <f>AVERAGE('accuracy dom9dom8'!$AB35,'accuracy dom91dom81'!$AB35,'accuracy dom92dom82'!$AB35)</f>
        <v>0</v>
      </c>
      <c r="AK35">
        <f t="shared" si="17"/>
        <v>0</v>
      </c>
      <c r="AL35">
        <f t="shared" si="50"/>
        <v>0</v>
      </c>
      <c r="AM35">
        <f t="shared" si="51"/>
        <v>0</v>
      </c>
      <c r="AN35">
        <f t="shared" si="52"/>
        <v>0</v>
      </c>
      <c r="AO35">
        <f t="shared" si="19"/>
        <v>0</v>
      </c>
      <c r="AP35">
        <f t="shared" si="20"/>
        <v>0</v>
      </c>
      <c r="AQ35">
        <f t="shared" si="21"/>
        <v>0</v>
      </c>
      <c r="AR35">
        <f t="shared" si="22"/>
        <v>0</v>
      </c>
      <c r="AS35">
        <f t="shared" si="23"/>
        <v>0</v>
      </c>
      <c r="AT35">
        <f t="shared" si="24"/>
        <v>0</v>
      </c>
      <c r="AU35">
        <f t="shared" si="25"/>
        <v>0</v>
      </c>
      <c r="AV35">
        <f t="shared" si="26"/>
        <v>0</v>
      </c>
      <c r="AW35">
        <f t="shared" si="27"/>
        <v>0</v>
      </c>
      <c r="AX35">
        <f t="shared" si="28"/>
        <v>0</v>
      </c>
      <c r="AY35">
        <f t="shared" si="29"/>
        <v>0</v>
      </c>
      <c r="AZ35">
        <f t="shared" si="30"/>
        <v>0</v>
      </c>
      <c r="BA35">
        <f t="shared" si="31"/>
        <v>0</v>
      </c>
      <c r="BC35">
        <f t="shared" si="32"/>
        <v>0</v>
      </c>
      <c r="BD35">
        <f t="shared" si="33"/>
        <v>0</v>
      </c>
      <c r="BE35">
        <f t="shared" si="34"/>
        <v>0</v>
      </c>
      <c r="BF35">
        <f t="shared" si="35"/>
        <v>0</v>
      </c>
      <c r="BG35">
        <f t="shared" si="36"/>
        <v>0</v>
      </c>
      <c r="BH35">
        <f t="shared" si="37"/>
        <v>0</v>
      </c>
      <c r="BI35">
        <f t="shared" si="38"/>
        <v>0</v>
      </c>
      <c r="BJ35">
        <f t="shared" si="39"/>
        <v>0</v>
      </c>
      <c r="BK35">
        <f t="shared" si="40"/>
        <v>0</v>
      </c>
      <c r="BL35">
        <f t="shared" si="41"/>
        <v>0</v>
      </c>
      <c r="BM35">
        <f t="shared" si="42"/>
        <v>0</v>
      </c>
      <c r="BN35">
        <f t="shared" si="43"/>
        <v>0</v>
      </c>
      <c r="BO35">
        <f t="shared" si="44"/>
        <v>0</v>
      </c>
      <c r="BP35">
        <f t="shared" si="45"/>
        <v>0</v>
      </c>
      <c r="BQ35">
        <f t="shared" si="46"/>
        <v>0</v>
      </c>
      <c r="BR35">
        <f t="shared" si="47"/>
        <v>0</v>
      </c>
    </row>
    <row r="36" spans="1:70">
      <c r="A36" t="str">
        <f>'time 1'!B35</f>
        <v>&lt;test.Class13: void method232(int[],int[],int[],byte[],int,int,int)&gt;</v>
      </c>
      <c r="B36">
        <f>AVERAGE('time 1'!D35/'time 1'!C35,'time 2'!D35/'time 2'!C35,'time 3'!D35/'time 3'!C35)</f>
        <v>1.1592341727076061</v>
      </c>
      <c r="C36">
        <f>AVERAGE('time 1'!F35/'time 1'!E35,'time 2'!F35/'time 2'!E35,'time 3'!F35/'time 3'!E35)</f>
        <v>1.2198119983235094</v>
      </c>
      <c r="D36">
        <f>AVERAGE('time 1'!H35/'time 1'!G35,'time 2'!H35/'time 2'!G35,'time 3'!H35/'time 3'!G35)</f>
        <v>1.2190064230855828</v>
      </c>
      <c r="E36">
        <f>AVERAGE('time 1'!J35/'time 2'!I35,'time 2'!J35/'time 2'!I35,'time 3'!J35/'time 3'!I35)</f>
        <v>1.1900505515536428</v>
      </c>
      <c r="F36">
        <f>AVERAGE('time 1'!L35/'time 1'!K35,'time 2'!L35/'time 2'!K35,'time 3'!L35/'time 3'!K35)</f>
        <v>1.2010731277601125</v>
      </c>
      <c r="G36">
        <f>AVERAGE('time 1'!N35/'time 1'!M35,'time 2'!N35/'time 2'!M35,'time 3'!N35/'time 3'!M35)</f>
        <v>1.1672654039081369</v>
      </c>
      <c r="H36">
        <f>AVERAGE('time 1'!P35/'time 1'!O35,'time 2'!P35/'time 2'!O35,'time 3'!P35/'time 3'!O35)</f>
        <v>1.1118830496195791</v>
      </c>
      <c r="I36">
        <f>AVERAGE('time 1'!R35/'time 1'!Q35,'time 2'!R35/'time 2'!Q35,'time 3'!R35/'time 3'!Q35)</f>
        <v>1.1364840292008076</v>
      </c>
      <c r="J36">
        <f>AVERAGE('time 1'!T35/'time 1'!S35,'time 2'!T35/'time 2'!S35,'time 3'!T35/'time 3'!S35)</f>
        <v>1.1120631666056378</v>
      </c>
      <c r="K36">
        <f t="shared" si="3"/>
        <v>0</v>
      </c>
      <c r="L36">
        <f t="shared" si="4"/>
        <v>9</v>
      </c>
      <c r="M36">
        <f t="shared" si="5"/>
        <v>0</v>
      </c>
      <c r="N36">
        <f t="shared" si="6"/>
        <v>0</v>
      </c>
      <c r="O36">
        <f t="shared" si="7"/>
        <v>0</v>
      </c>
      <c r="P36">
        <f t="shared" si="48"/>
        <v>3</v>
      </c>
      <c r="Q36">
        <f t="shared" si="49"/>
        <v>0</v>
      </c>
      <c r="R36">
        <f t="shared" si="8"/>
        <v>0</v>
      </c>
      <c r="S36">
        <f t="shared" si="9"/>
        <v>0</v>
      </c>
      <c r="T36">
        <f t="shared" si="10"/>
        <v>3</v>
      </c>
      <c r="U36">
        <f t="shared" si="11"/>
        <v>0</v>
      </c>
      <c r="V36">
        <f t="shared" si="12"/>
        <v>0</v>
      </c>
      <c r="W36">
        <f t="shared" si="13"/>
        <v>0</v>
      </c>
      <c r="X36">
        <f t="shared" si="14"/>
        <v>3</v>
      </c>
      <c r="Y36">
        <f t="shared" si="15"/>
        <v>0</v>
      </c>
      <c r="Z36">
        <f t="shared" si="16"/>
        <v>0</v>
      </c>
      <c r="AB36">
        <f>AVERAGE('accuracy dom5dom4'!$C36,'accuracy dom51dom41'!$C36,'accuracy dom52dom42'!$C36)</f>
        <v>4</v>
      </c>
      <c r="AC36">
        <f>AVERAGE('accuracy dom5dom4'!$G36,'accuracy dom51dom41'!$G36,'accuracy dom52dom42'!$G36)</f>
        <v>4</v>
      </c>
      <c r="AD36">
        <f>AVERAGE('accuracy dom5dom4'!$AB36,'accuracy dom51dom41'!$AB36,'accuracy dom52dom42'!$AB36)</f>
        <v>4</v>
      </c>
      <c r="AE36">
        <f>AVERAGE('accuracy dom7dom6'!$C36,'accuracy dom71dom61'!$C36,'accuracy dom72dom62'!$C36)</f>
        <v>6</v>
      </c>
      <c r="AF36">
        <f>AVERAGE('accuracy dom7dom6'!$G36,'accuracy dom71dom61'!$G36,'accuracy dom72dom62'!$G36)</f>
        <v>6</v>
      </c>
      <c r="AG36">
        <f>AVERAGE('accuracy dom7dom6'!$AB36,'accuracy dom71dom61'!$AB36,'accuracy dom72dom62'!$AB36)</f>
        <v>6</v>
      </c>
      <c r="AH36">
        <f>AVERAGE('accuracy dom9dom8'!$C36,'accuracy dom91dom81'!$C36,'accuracy dom92dom82'!$C36)</f>
        <v>6.333333333333333</v>
      </c>
      <c r="AI36">
        <f>AVERAGE('accuracy dom9dom8'!$G36,'accuracy dom91dom81'!$G36,'accuracy dom92dom82'!$G36)</f>
        <v>6.333333333333333</v>
      </c>
      <c r="AJ36">
        <f>AVERAGE('accuracy dom9dom8'!$AB36,'accuracy dom91dom81'!$AB36,'accuracy dom92dom82'!$AB36)</f>
        <v>6.333333333333333</v>
      </c>
      <c r="AK36">
        <f t="shared" si="17"/>
        <v>9</v>
      </c>
      <c r="AL36">
        <f t="shared" si="50"/>
        <v>0</v>
      </c>
      <c r="AM36">
        <f t="shared" si="51"/>
        <v>49.000000000000007</v>
      </c>
      <c r="AN36">
        <f t="shared" si="52"/>
        <v>0</v>
      </c>
      <c r="AO36">
        <f t="shared" si="19"/>
        <v>0</v>
      </c>
      <c r="AP36">
        <f t="shared" si="20"/>
        <v>0</v>
      </c>
      <c r="AQ36">
        <f t="shared" si="21"/>
        <v>16.333333333333332</v>
      </c>
      <c r="AR36">
        <f t="shared" si="22"/>
        <v>0</v>
      </c>
      <c r="AS36">
        <f t="shared" si="23"/>
        <v>0</v>
      </c>
      <c r="AT36">
        <f t="shared" si="24"/>
        <v>0</v>
      </c>
      <c r="AU36">
        <f t="shared" si="25"/>
        <v>16.333333333333332</v>
      </c>
      <c r="AV36">
        <f t="shared" si="26"/>
        <v>0</v>
      </c>
      <c r="AW36">
        <f t="shared" si="27"/>
        <v>0</v>
      </c>
      <c r="AX36">
        <f t="shared" si="28"/>
        <v>0</v>
      </c>
      <c r="AY36">
        <f t="shared" si="29"/>
        <v>16.333333333333332</v>
      </c>
      <c r="AZ36">
        <f t="shared" si="30"/>
        <v>0</v>
      </c>
      <c r="BA36">
        <f t="shared" si="31"/>
        <v>0</v>
      </c>
      <c r="BC36">
        <f t="shared" si="32"/>
        <v>0</v>
      </c>
      <c r="BD36">
        <f t="shared" si="33"/>
        <v>9</v>
      </c>
      <c r="BE36">
        <f t="shared" si="34"/>
        <v>0</v>
      </c>
      <c r="BF36">
        <f t="shared" si="35"/>
        <v>0</v>
      </c>
      <c r="BG36">
        <f t="shared" si="36"/>
        <v>0</v>
      </c>
      <c r="BH36">
        <f t="shared" si="37"/>
        <v>3</v>
      </c>
      <c r="BI36">
        <f t="shared" si="38"/>
        <v>0</v>
      </c>
      <c r="BJ36">
        <f t="shared" si="39"/>
        <v>0</v>
      </c>
      <c r="BK36">
        <f t="shared" si="40"/>
        <v>0</v>
      </c>
      <c r="BL36">
        <f t="shared" si="41"/>
        <v>3</v>
      </c>
      <c r="BM36">
        <f t="shared" si="42"/>
        <v>0</v>
      </c>
      <c r="BN36">
        <f t="shared" si="43"/>
        <v>0</v>
      </c>
      <c r="BO36">
        <f t="shared" si="44"/>
        <v>0</v>
      </c>
      <c r="BP36">
        <f t="shared" si="45"/>
        <v>3</v>
      </c>
      <c r="BQ36">
        <f t="shared" si="46"/>
        <v>0</v>
      </c>
      <c r="BR36">
        <f t="shared" si="47"/>
        <v>0</v>
      </c>
    </row>
    <row r="37" spans="1:70">
      <c r="A37" t="str">
        <f>'time 1'!B36</f>
        <v>&lt;test.client: boolean method85(int,int,int,int,int,int,int,int,int,int,boolean,int,int[][],int[][],int[],int[],int[][],int,int)&gt;</v>
      </c>
      <c r="B37">
        <f>AVERAGE('time 1'!D36/'time 1'!C36,'time 2'!D36/'time 2'!C36,'time 3'!D36/'time 3'!C36)</f>
        <v>1.2912926536682532</v>
      </c>
      <c r="C37">
        <f>AVERAGE('time 1'!F36/'time 1'!E36,'time 2'!F36/'time 2'!E36,'time 3'!F36/'time 3'!E36)</f>
        <v>1.3530019554650339</v>
      </c>
      <c r="D37">
        <f>AVERAGE('time 1'!H36/'time 1'!G36,'time 2'!H36/'time 2'!G36,'time 3'!H36/'time 3'!G36)</f>
        <v>1.2772619012462234</v>
      </c>
      <c r="E37">
        <f>AVERAGE('time 1'!J36/'time 2'!I36,'time 2'!J36/'time 2'!I36,'time 3'!J36/'time 3'!I36)</f>
        <v>1.318182262920365</v>
      </c>
      <c r="F37">
        <f>AVERAGE('time 1'!L36/'time 1'!K36,'time 2'!L36/'time 2'!K36,'time 3'!L36/'time 3'!K36)</f>
        <v>1.7149571259403276</v>
      </c>
      <c r="G37">
        <f>AVERAGE('time 1'!N36/'time 1'!M36,'time 2'!N36/'time 2'!M36,'time 3'!N36/'time 3'!M36)</f>
        <v>1.2489621142329799</v>
      </c>
      <c r="H37">
        <f>AVERAGE('time 1'!P36/'time 1'!O36,'time 2'!P36/'time 2'!O36,'time 3'!P36/'time 3'!O36)</f>
        <v>1.2556349614424098</v>
      </c>
      <c r="I37">
        <f>AVERAGE('time 1'!R36/'time 1'!Q36,'time 2'!R36/'time 2'!Q36,'time 3'!R36/'time 3'!Q36)</f>
        <v>1.5524673545752403</v>
      </c>
      <c r="J37">
        <f>AVERAGE('time 1'!T36/'time 1'!S36,'time 2'!T36/'time 2'!S36,'time 3'!T36/'time 3'!S36)</f>
        <v>1.2601445873273724</v>
      </c>
      <c r="K37">
        <f t="shared" si="3"/>
        <v>0</v>
      </c>
      <c r="L37">
        <f t="shared" si="4"/>
        <v>9</v>
      </c>
      <c r="M37">
        <f t="shared" si="5"/>
        <v>0</v>
      </c>
      <c r="N37">
        <f t="shared" si="6"/>
        <v>0</v>
      </c>
      <c r="O37">
        <f t="shared" si="7"/>
        <v>0</v>
      </c>
      <c r="P37">
        <f t="shared" si="48"/>
        <v>3</v>
      </c>
      <c r="Q37">
        <f t="shared" si="49"/>
        <v>0</v>
      </c>
      <c r="R37">
        <f t="shared" si="8"/>
        <v>0</v>
      </c>
      <c r="S37">
        <f t="shared" si="9"/>
        <v>0</v>
      </c>
      <c r="T37">
        <f t="shared" si="10"/>
        <v>3</v>
      </c>
      <c r="U37">
        <f t="shared" si="11"/>
        <v>0</v>
      </c>
      <c r="V37">
        <f t="shared" si="12"/>
        <v>0</v>
      </c>
      <c r="W37">
        <f t="shared" si="13"/>
        <v>0</v>
      </c>
      <c r="X37">
        <f t="shared" si="14"/>
        <v>3</v>
      </c>
      <c r="Y37">
        <f t="shared" si="15"/>
        <v>0</v>
      </c>
      <c r="Z37">
        <f t="shared" si="16"/>
        <v>0</v>
      </c>
      <c r="AB37">
        <f>AVERAGE('accuracy dom5dom4'!$C37,'accuracy dom51dom41'!$C37,'accuracy dom52dom42'!$C37)</f>
        <v>0</v>
      </c>
      <c r="AC37">
        <f>AVERAGE('accuracy dom5dom4'!$G37,'accuracy dom51dom41'!$G37,'accuracy dom52dom42'!$G37)</f>
        <v>0</v>
      </c>
      <c r="AD37">
        <f>AVERAGE('accuracy dom5dom4'!$AB37,'accuracy dom51dom41'!$AB37,'accuracy dom52dom42'!$AB37)</f>
        <v>0</v>
      </c>
      <c r="AE37">
        <f>AVERAGE('accuracy dom7dom6'!$C37,'accuracy dom71dom61'!$C37,'accuracy dom72dom62'!$C37)</f>
        <v>0</v>
      </c>
      <c r="AF37">
        <f>AVERAGE('accuracy dom7dom6'!$G37,'accuracy dom71dom61'!$G37,'accuracy dom72dom62'!$G37)</f>
        <v>0</v>
      </c>
      <c r="AG37">
        <f>AVERAGE('accuracy dom7dom6'!$AB37,'accuracy dom71dom61'!$AB37,'accuracy dom72dom62'!$AB37)</f>
        <v>0</v>
      </c>
      <c r="AH37">
        <f>AVERAGE('accuracy dom9dom8'!$C37,'accuracy dom91dom81'!$C37,'accuracy dom92dom82'!$C37)</f>
        <v>0</v>
      </c>
      <c r="AI37">
        <f>AVERAGE('accuracy dom9dom8'!$G37,'accuracy dom91dom81'!$G37,'accuracy dom92dom82'!$G37)</f>
        <v>0</v>
      </c>
      <c r="AJ37">
        <f>AVERAGE('accuracy dom9dom8'!$AB37,'accuracy dom91dom81'!$AB37,'accuracy dom92dom82'!$AB37)</f>
        <v>0</v>
      </c>
      <c r="AK37">
        <f t="shared" si="17"/>
        <v>0</v>
      </c>
      <c r="AL37">
        <f t="shared" si="50"/>
        <v>0</v>
      </c>
      <c r="AM37">
        <f t="shared" si="51"/>
        <v>0</v>
      </c>
      <c r="AN37">
        <f t="shared" si="52"/>
        <v>0</v>
      </c>
      <c r="AO37">
        <f t="shared" si="19"/>
        <v>0</v>
      </c>
      <c r="AP37">
        <f t="shared" si="20"/>
        <v>0</v>
      </c>
      <c r="AQ37">
        <f t="shared" si="21"/>
        <v>0</v>
      </c>
      <c r="AR37">
        <f t="shared" si="22"/>
        <v>0</v>
      </c>
      <c r="AS37">
        <f t="shared" si="23"/>
        <v>0</v>
      </c>
      <c r="AT37">
        <f t="shared" si="24"/>
        <v>0</v>
      </c>
      <c r="AU37">
        <f t="shared" si="25"/>
        <v>0</v>
      </c>
      <c r="AV37">
        <f t="shared" si="26"/>
        <v>0</v>
      </c>
      <c r="AW37">
        <f t="shared" si="27"/>
        <v>0</v>
      </c>
      <c r="AX37">
        <f t="shared" si="28"/>
        <v>0</v>
      </c>
      <c r="AY37">
        <f t="shared" si="29"/>
        <v>0</v>
      </c>
      <c r="AZ37">
        <f t="shared" si="30"/>
        <v>0</v>
      </c>
      <c r="BA37">
        <f t="shared" si="31"/>
        <v>0</v>
      </c>
      <c r="BC37">
        <f t="shared" si="32"/>
        <v>0</v>
      </c>
      <c r="BD37">
        <f t="shared" si="33"/>
        <v>0</v>
      </c>
      <c r="BE37">
        <f t="shared" si="34"/>
        <v>0</v>
      </c>
      <c r="BF37">
        <f t="shared" si="35"/>
        <v>0</v>
      </c>
      <c r="BG37">
        <f t="shared" si="36"/>
        <v>0</v>
      </c>
      <c r="BH37">
        <f t="shared" si="37"/>
        <v>0</v>
      </c>
      <c r="BI37">
        <f t="shared" si="38"/>
        <v>0</v>
      </c>
      <c r="BJ37">
        <f t="shared" si="39"/>
        <v>0</v>
      </c>
      <c r="BK37">
        <f t="shared" si="40"/>
        <v>0</v>
      </c>
      <c r="BL37">
        <f t="shared" si="41"/>
        <v>0</v>
      </c>
      <c r="BM37">
        <f t="shared" si="42"/>
        <v>0</v>
      </c>
      <c r="BN37">
        <f t="shared" si="43"/>
        <v>0</v>
      </c>
      <c r="BO37">
        <f t="shared" si="44"/>
        <v>0</v>
      </c>
      <c r="BP37">
        <f t="shared" si="45"/>
        <v>0</v>
      </c>
      <c r="BQ37">
        <f t="shared" si="46"/>
        <v>0</v>
      </c>
      <c r="BR37">
        <f t="shared" si="47"/>
        <v>0</v>
      </c>
    </row>
    <row r="38" spans="1:70">
      <c r="A38" t="str">
        <f>'time 1'!B37</f>
        <v>&lt;test.client: boolean processMenuClick(int,int,int,int,boolean,int,int,int,int,int,int,int,int)&gt;</v>
      </c>
      <c r="B38">
        <f>AVERAGE('time 1'!D37/'time 1'!C37,'time 2'!D37/'time 2'!C37,'time 3'!D37/'time 3'!C37)</f>
        <v>1.1042157612800607</v>
      </c>
      <c r="C38">
        <f>AVERAGE('time 1'!F37/'time 1'!E37,'time 2'!F37/'time 2'!E37,'time 3'!F37/'time 3'!E37)</f>
        <v>1.028082655457643</v>
      </c>
      <c r="D38">
        <f>AVERAGE('time 1'!H37/'time 1'!G37,'time 2'!H37/'time 2'!G37,'time 3'!H37/'time 3'!G37)</f>
        <v>1.053782972089929</v>
      </c>
      <c r="E38">
        <f>AVERAGE('time 1'!J37/'time 2'!I37,'time 2'!J37/'time 2'!I37,'time 3'!J37/'time 3'!I37)</f>
        <v>1.1538875606194994</v>
      </c>
      <c r="F38">
        <f>AVERAGE('time 1'!L37/'time 1'!K37,'time 2'!L37/'time 2'!K37,'time 3'!L37/'time 3'!K37)</f>
        <v>1.113466848178593</v>
      </c>
      <c r="G38">
        <f>AVERAGE('time 1'!N37/'time 1'!M37,'time 2'!N37/'time 2'!M37,'time 3'!N37/'time 3'!M37)</f>
        <v>1.0901689828939167</v>
      </c>
      <c r="H38">
        <f>AVERAGE('time 1'!P37/'time 1'!O37,'time 2'!P37/'time 2'!O37,'time 3'!P37/'time 3'!O37)</f>
        <v>1.0822313188054247</v>
      </c>
      <c r="I38">
        <f>AVERAGE('time 1'!R37/'time 1'!Q37,'time 2'!R37/'time 2'!Q37,'time 3'!R37/'time 3'!Q37)</f>
        <v>0.96282371751232609</v>
      </c>
      <c r="J38">
        <f>AVERAGE('time 1'!T37/'time 1'!S37,'time 2'!T37/'time 2'!S37,'time 3'!T37/'time 3'!S37)</f>
        <v>1.1224830511659263</v>
      </c>
      <c r="K38">
        <f t="shared" si="3"/>
        <v>1</v>
      </c>
      <c r="L38">
        <f t="shared" si="4"/>
        <v>8</v>
      </c>
      <c r="M38">
        <f t="shared" si="5"/>
        <v>0</v>
      </c>
      <c r="N38">
        <f t="shared" si="6"/>
        <v>0</v>
      </c>
      <c r="O38">
        <f t="shared" si="7"/>
        <v>0</v>
      </c>
      <c r="P38">
        <f t="shared" si="48"/>
        <v>3</v>
      </c>
      <c r="Q38">
        <f t="shared" si="49"/>
        <v>0</v>
      </c>
      <c r="R38">
        <f t="shared" si="8"/>
        <v>0</v>
      </c>
      <c r="S38">
        <f t="shared" si="9"/>
        <v>1</v>
      </c>
      <c r="T38">
        <f t="shared" si="10"/>
        <v>2</v>
      </c>
      <c r="U38">
        <f t="shared" si="11"/>
        <v>0</v>
      </c>
      <c r="V38">
        <f t="shared" si="12"/>
        <v>0</v>
      </c>
      <c r="W38">
        <f t="shared" si="13"/>
        <v>0</v>
      </c>
      <c r="X38">
        <f t="shared" si="14"/>
        <v>3</v>
      </c>
      <c r="Y38">
        <f t="shared" si="15"/>
        <v>0</v>
      </c>
      <c r="Z38">
        <f t="shared" si="16"/>
        <v>0</v>
      </c>
      <c r="AB38">
        <f>AVERAGE('accuracy dom5dom4'!$C38,'accuracy dom51dom41'!$C38,'accuracy dom52dom42'!$C38)</f>
        <v>2</v>
      </c>
      <c r="AC38">
        <f>AVERAGE('accuracy dom5dom4'!$G38,'accuracy dom51dom41'!$G38,'accuracy dom52dom42'!$G38)</f>
        <v>2</v>
      </c>
      <c r="AD38">
        <f>AVERAGE('accuracy dom5dom4'!$AB38,'accuracy dom51dom41'!$AB38,'accuracy dom52dom42'!$AB38)</f>
        <v>2</v>
      </c>
      <c r="AE38">
        <f>AVERAGE('accuracy dom7dom6'!$C38,'accuracy dom71dom61'!$C38,'accuracy dom72dom62'!$C38)</f>
        <v>2</v>
      </c>
      <c r="AF38">
        <f>AVERAGE('accuracy dom7dom6'!$G38,'accuracy dom71dom61'!$G38,'accuracy dom72dom62'!$G38)</f>
        <v>2</v>
      </c>
      <c r="AG38">
        <f>AVERAGE('accuracy dom7dom6'!$AB38,'accuracy dom71dom61'!$AB38,'accuracy dom72dom62'!$AB38)</f>
        <v>2</v>
      </c>
      <c r="AH38">
        <f>AVERAGE('accuracy dom9dom8'!$C38,'accuracy dom91dom81'!$C38,'accuracy dom92dom82'!$C38)</f>
        <v>2</v>
      </c>
      <c r="AI38">
        <f>AVERAGE('accuracy dom9dom8'!$G38,'accuracy dom91dom81'!$G38,'accuracy dom92dom82'!$G38)</f>
        <v>2</v>
      </c>
      <c r="AJ38">
        <f>AVERAGE('accuracy dom9dom8'!$AB38,'accuracy dom91dom81'!$AB38,'accuracy dom92dom82'!$AB38)</f>
        <v>2</v>
      </c>
      <c r="AK38">
        <f t="shared" si="17"/>
        <v>9</v>
      </c>
      <c r="AL38">
        <f>IF($B38&lt;AL$1,$AB38,0)+IF($C38&lt;AL$1,$AC38,0)+ IF($D38&lt;AL$1,$AD38,0)+IF($E38&lt;AL$1,$AE38,0)+IF($F38&lt;AL$1,$AF38,0)+ IF($G38&lt;AL$1,$AG38,0)+IF($H38&lt;AL$1,$AH38,0)+IF($I38&lt;AL$1,$AI38,0)+ IF($J38&lt;AL$1,$AJ38,0)</f>
        <v>2</v>
      </c>
      <c r="AM38">
        <f t="shared" si="51"/>
        <v>16</v>
      </c>
      <c r="AN38">
        <f t="shared" si="52"/>
        <v>0</v>
      </c>
      <c r="AO38">
        <f t="shared" si="19"/>
        <v>0</v>
      </c>
      <c r="AP38">
        <f t="shared" si="20"/>
        <v>0</v>
      </c>
      <c r="AQ38">
        <f t="shared" si="21"/>
        <v>6</v>
      </c>
      <c r="AR38">
        <f t="shared" si="22"/>
        <v>0</v>
      </c>
      <c r="AS38">
        <f t="shared" si="23"/>
        <v>0</v>
      </c>
      <c r="AT38">
        <f t="shared" si="24"/>
        <v>2</v>
      </c>
      <c r="AU38">
        <f t="shared" si="25"/>
        <v>4</v>
      </c>
      <c r="AV38">
        <f t="shared" si="26"/>
        <v>0</v>
      </c>
      <c r="AW38">
        <f t="shared" si="27"/>
        <v>0</v>
      </c>
      <c r="AX38">
        <f t="shared" si="28"/>
        <v>0</v>
      </c>
      <c r="AY38">
        <f t="shared" si="29"/>
        <v>6</v>
      </c>
      <c r="AZ38">
        <f t="shared" si="30"/>
        <v>0</v>
      </c>
      <c r="BA38">
        <f t="shared" si="31"/>
        <v>0</v>
      </c>
      <c r="BC38">
        <f t="shared" si="32"/>
        <v>1</v>
      </c>
      <c r="BD38">
        <f t="shared" si="33"/>
        <v>8</v>
      </c>
      <c r="BE38">
        <f t="shared" si="34"/>
        <v>0</v>
      </c>
      <c r="BF38">
        <f t="shared" si="35"/>
        <v>0</v>
      </c>
      <c r="BG38">
        <f t="shared" si="36"/>
        <v>0</v>
      </c>
      <c r="BH38">
        <f t="shared" si="37"/>
        <v>3</v>
      </c>
      <c r="BI38">
        <f t="shared" si="38"/>
        <v>0</v>
      </c>
      <c r="BJ38">
        <f t="shared" si="39"/>
        <v>0</v>
      </c>
      <c r="BK38">
        <f t="shared" si="40"/>
        <v>1</v>
      </c>
      <c r="BL38">
        <f t="shared" si="41"/>
        <v>2</v>
      </c>
      <c r="BM38">
        <f t="shared" si="42"/>
        <v>0</v>
      </c>
      <c r="BN38">
        <f t="shared" si="43"/>
        <v>0</v>
      </c>
      <c r="BO38">
        <f t="shared" si="44"/>
        <v>0</v>
      </c>
      <c r="BP38">
        <f t="shared" si="45"/>
        <v>3</v>
      </c>
      <c r="BQ38">
        <f t="shared" si="46"/>
        <v>0</v>
      </c>
      <c r="BR38">
        <f t="shared" si="47"/>
        <v>0</v>
      </c>
    </row>
    <row r="39" spans="1:70">
      <c r="A39" t="str">
        <f>'time 1'!B38</f>
        <v>&lt;test.client: int method120(int,boolean,int,int,int,int,int,int,int,byte[][][])&gt;</v>
      </c>
      <c r="B39">
        <f>AVERAGE('time 1'!D38/'time 1'!C38,'time 2'!D38/'time 2'!C38,'time 3'!D38/'time 3'!C38)</f>
        <v>1.8245430258860271</v>
      </c>
      <c r="C39">
        <f>AVERAGE('time 1'!F38/'time 1'!E38,'time 2'!F38/'time 2'!E38,'time 3'!F38/'time 3'!E38)</f>
        <v>1.2670652110330687</v>
      </c>
      <c r="D39">
        <f>AVERAGE('time 1'!H38/'time 1'!G38,'time 2'!H38/'time 2'!G38,'time 3'!H38/'time 3'!G38)</f>
        <v>1.8208170887081259</v>
      </c>
      <c r="E39">
        <f>AVERAGE('time 1'!J38/'time 2'!I38,'time 2'!J38/'time 2'!I38,'time 3'!J38/'time 3'!I38)</f>
        <v>1.9211697722567287</v>
      </c>
      <c r="F39">
        <f>AVERAGE('time 1'!L38/'time 1'!K38,'time 2'!L38/'time 2'!K38,'time 3'!L38/'time 3'!K38)</f>
        <v>1.2747961813019169</v>
      </c>
      <c r="G39">
        <f>AVERAGE('time 1'!N38/'time 1'!M38,'time 2'!N38/'time 2'!M38,'time 3'!N38/'time 3'!M38)</f>
        <v>1.7652329847637374</v>
      </c>
      <c r="H39">
        <f>AVERAGE('time 1'!P38/'time 1'!O38,'time 2'!P38/'time 2'!O38,'time 3'!P38/'time 3'!O38)</f>
        <v>1.8040843323977267</v>
      </c>
      <c r="I39">
        <f>AVERAGE('time 1'!R38/'time 1'!Q38,'time 2'!R38/'time 2'!Q38,'time 3'!R38/'time 3'!Q38)</f>
        <v>1.0475567879764596</v>
      </c>
      <c r="J39">
        <f>AVERAGE('time 1'!T38/'time 1'!S38,'time 2'!T38/'time 2'!S38,'time 3'!T38/'time 3'!S38)</f>
        <v>1.8707815035517841</v>
      </c>
      <c r="K39">
        <f t="shared" si="3"/>
        <v>0</v>
      </c>
      <c r="L39">
        <f t="shared" si="4"/>
        <v>9</v>
      </c>
      <c r="M39">
        <f t="shared" si="5"/>
        <v>0</v>
      </c>
      <c r="N39">
        <f t="shared" si="6"/>
        <v>0</v>
      </c>
      <c r="O39">
        <f t="shared" si="7"/>
        <v>0</v>
      </c>
      <c r="P39">
        <f t="shared" si="48"/>
        <v>3</v>
      </c>
      <c r="Q39">
        <f t="shared" si="49"/>
        <v>0</v>
      </c>
      <c r="R39">
        <f t="shared" si="8"/>
        <v>0</v>
      </c>
      <c r="S39">
        <f t="shared" si="9"/>
        <v>0</v>
      </c>
      <c r="T39">
        <f t="shared" si="10"/>
        <v>3</v>
      </c>
      <c r="U39">
        <f t="shared" si="11"/>
        <v>0</v>
      </c>
      <c r="V39">
        <f t="shared" si="12"/>
        <v>0</v>
      </c>
      <c r="W39">
        <f t="shared" si="13"/>
        <v>0</v>
      </c>
      <c r="X39">
        <f t="shared" si="14"/>
        <v>3</v>
      </c>
      <c r="Y39">
        <f t="shared" si="15"/>
        <v>0</v>
      </c>
      <c r="Z39">
        <f t="shared" si="16"/>
        <v>0</v>
      </c>
      <c r="AB39">
        <f>AVERAGE('accuracy dom5dom4'!$C39,'accuracy dom51dom41'!$C39,'accuracy dom52dom42'!$C39)</f>
        <v>15</v>
      </c>
      <c r="AC39">
        <f>AVERAGE('accuracy dom5dom4'!$G39,'accuracy dom51dom41'!$G39,'accuracy dom52dom42'!$G39)</f>
        <v>15</v>
      </c>
      <c r="AD39">
        <f>AVERAGE('accuracy dom5dom4'!$AB39,'accuracy dom51dom41'!$AB39,'accuracy dom52dom42'!$AB39)</f>
        <v>15</v>
      </c>
      <c r="AE39">
        <f>AVERAGE('accuracy dom7dom6'!$C39,'accuracy dom71dom61'!$C39,'accuracy dom72dom62'!$C39)</f>
        <v>15</v>
      </c>
      <c r="AF39">
        <f>AVERAGE('accuracy dom7dom6'!$G39,'accuracy dom71dom61'!$G39,'accuracy dom72dom62'!$G39)</f>
        <v>15</v>
      </c>
      <c r="AG39">
        <f>AVERAGE('accuracy dom7dom6'!$AB39,'accuracy dom71dom61'!$AB39,'accuracy dom72dom62'!$AB39)</f>
        <v>15</v>
      </c>
      <c r="AH39">
        <f>AVERAGE('accuracy dom9dom8'!$C39,'accuracy dom91dom81'!$C39,'accuracy dom92dom82'!$C39)</f>
        <v>15</v>
      </c>
      <c r="AI39">
        <f>AVERAGE('accuracy dom9dom8'!$G39,'accuracy dom91dom81'!$G39,'accuracy dom92dom82'!$G39)</f>
        <v>15</v>
      </c>
      <c r="AJ39">
        <f>AVERAGE('accuracy dom9dom8'!$AB39,'accuracy dom91dom81'!$AB39,'accuracy dom92dom82'!$AB39)</f>
        <v>15</v>
      </c>
      <c r="AK39">
        <f t="shared" si="17"/>
        <v>9</v>
      </c>
      <c r="AL39">
        <f t="shared" si="50"/>
        <v>0</v>
      </c>
      <c r="AM39">
        <f t="shared" si="51"/>
        <v>135</v>
      </c>
      <c r="AN39">
        <f t="shared" si="52"/>
        <v>0</v>
      </c>
      <c r="AO39">
        <f t="shared" si="19"/>
        <v>0</v>
      </c>
      <c r="AP39">
        <f t="shared" si="20"/>
        <v>0</v>
      </c>
      <c r="AQ39">
        <f t="shared" si="21"/>
        <v>45</v>
      </c>
      <c r="AR39">
        <f t="shared" si="22"/>
        <v>0</v>
      </c>
      <c r="AS39">
        <f t="shared" si="23"/>
        <v>0</v>
      </c>
      <c r="AT39">
        <f t="shared" si="24"/>
        <v>0</v>
      </c>
      <c r="AU39">
        <f t="shared" si="25"/>
        <v>45</v>
      </c>
      <c r="AV39">
        <f t="shared" si="26"/>
        <v>0</v>
      </c>
      <c r="AW39">
        <f t="shared" si="27"/>
        <v>0</v>
      </c>
      <c r="AX39">
        <f t="shared" si="28"/>
        <v>0</v>
      </c>
      <c r="AY39">
        <f t="shared" si="29"/>
        <v>45</v>
      </c>
      <c r="AZ39">
        <f t="shared" si="30"/>
        <v>0</v>
      </c>
      <c r="BA39">
        <f t="shared" si="31"/>
        <v>0</v>
      </c>
      <c r="BC39">
        <f t="shared" si="32"/>
        <v>0</v>
      </c>
      <c r="BD39">
        <f t="shared" si="33"/>
        <v>9</v>
      </c>
      <c r="BE39">
        <f t="shared" si="34"/>
        <v>0</v>
      </c>
      <c r="BF39">
        <f t="shared" si="35"/>
        <v>0</v>
      </c>
      <c r="BG39">
        <f t="shared" si="36"/>
        <v>0</v>
      </c>
      <c r="BH39">
        <f t="shared" si="37"/>
        <v>3</v>
      </c>
      <c r="BI39">
        <f t="shared" si="38"/>
        <v>0</v>
      </c>
      <c r="BJ39">
        <f t="shared" si="39"/>
        <v>0</v>
      </c>
      <c r="BK39">
        <f t="shared" si="40"/>
        <v>0</v>
      </c>
      <c r="BL39">
        <f t="shared" si="41"/>
        <v>3</v>
      </c>
      <c r="BM39">
        <f t="shared" si="42"/>
        <v>0</v>
      </c>
      <c r="BN39">
        <f t="shared" si="43"/>
        <v>0</v>
      </c>
      <c r="BO39">
        <f t="shared" si="44"/>
        <v>0</v>
      </c>
      <c r="BP39">
        <f t="shared" si="45"/>
        <v>3</v>
      </c>
      <c r="BQ39">
        <f t="shared" si="46"/>
        <v>0</v>
      </c>
      <c r="BR39">
        <f t="shared" si="47"/>
        <v>0</v>
      </c>
    </row>
    <row r="40" spans="1:70">
      <c r="A40" t="str">
        <f>'time 1'!B39</f>
        <v>&lt;test.client: void calcCameraPos(int,int,int,int,int,int,int,int,int,int,int,int,int,int,int,int)&gt;</v>
      </c>
      <c r="B40">
        <f>AVERAGE('time 1'!D39/'time 1'!C39,'time 2'!D39/'time 2'!C39,'time 3'!D39/'time 3'!C39)</f>
        <v>1.1978088424851465</v>
      </c>
      <c r="C40">
        <f>AVERAGE('time 1'!F39/'time 1'!E39,'time 2'!F39/'time 2'!E39,'time 3'!F39/'time 3'!E39)</f>
        <v>0.94517922800324472</v>
      </c>
      <c r="D40">
        <f>AVERAGE('time 1'!H39/'time 1'!G39,'time 2'!H39/'time 2'!G39,'time 3'!H39/'time 3'!G39)</f>
        <v>1.2236706861298059</v>
      </c>
      <c r="E40">
        <f>AVERAGE('time 1'!J39/'time 2'!I39,'time 2'!J39/'time 2'!I39,'time 3'!J39/'time 3'!I39)</f>
        <v>1.2534468707877011</v>
      </c>
      <c r="F40">
        <f>AVERAGE('time 1'!L39/'time 1'!K39,'time 2'!L39/'time 2'!K39,'time 3'!L39/'time 3'!K39)</f>
        <v>1.0247534277724013</v>
      </c>
      <c r="G40">
        <f>AVERAGE('time 1'!N39/'time 1'!M39,'time 2'!N39/'time 2'!M39,'time 3'!N39/'time 3'!M39)</f>
        <v>1.1540509549743685</v>
      </c>
      <c r="H40">
        <f>AVERAGE('time 1'!P39/'time 1'!O39,'time 2'!P39/'time 2'!O39,'time 3'!P39/'time 3'!O39)</f>
        <v>1.2008936967571424</v>
      </c>
      <c r="I40">
        <f>AVERAGE('time 1'!R39/'time 1'!Q39,'time 2'!R39/'time 2'!Q39,'time 3'!R39/'time 3'!Q39)</f>
        <v>0.94722793971459518</v>
      </c>
      <c r="J40">
        <f>AVERAGE('time 1'!T39/'time 1'!S39,'time 2'!T39/'time 2'!S39,'time 3'!T39/'time 3'!S39)</f>
        <v>1.2446888922104122</v>
      </c>
      <c r="K40">
        <f t="shared" si="3"/>
        <v>2</v>
      </c>
      <c r="L40">
        <f t="shared" si="4"/>
        <v>7</v>
      </c>
      <c r="M40">
        <f t="shared" si="5"/>
        <v>0</v>
      </c>
      <c r="N40">
        <f t="shared" si="6"/>
        <v>0</v>
      </c>
      <c r="O40">
        <f t="shared" si="7"/>
        <v>0</v>
      </c>
      <c r="P40">
        <f t="shared" si="48"/>
        <v>3</v>
      </c>
      <c r="Q40">
        <f t="shared" si="49"/>
        <v>0</v>
      </c>
      <c r="R40">
        <f t="shared" si="8"/>
        <v>0</v>
      </c>
      <c r="S40">
        <f t="shared" si="9"/>
        <v>2</v>
      </c>
      <c r="T40">
        <f t="shared" si="10"/>
        <v>1</v>
      </c>
      <c r="U40">
        <f t="shared" si="11"/>
        <v>0</v>
      </c>
      <c r="V40">
        <f t="shared" si="12"/>
        <v>0</v>
      </c>
      <c r="W40">
        <f t="shared" si="13"/>
        <v>0</v>
      </c>
      <c r="X40">
        <f t="shared" si="14"/>
        <v>3</v>
      </c>
      <c r="Y40">
        <f t="shared" si="15"/>
        <v>0</v>
      </c>
      <c r="Z40">
        <f t="shared" si="16"/>
        <v>0</v>
      </c>
      <c r="AB40">
        <f>AVERAGE('accuracy dom5dom4'!$C40,'accuracy dom51dom41'!$C40,'accuracy dom52dom42'!$C40)</f>
        <v>32</v>
      </c>
      <c r="AC40">
        <f>AVERAGE('accuracy dom5dom4'!$G40,'accuracy dom51dom41'!$G40,'accuracy dom52dom42'!$G40)</f>
        <v>32</v>
      </c>
      <c r="AD40">
        <f>AVERAGE('accuracy dom5dom4'!$AB40,'accuracy dom51dom41'!$AB40,'accuracy dom52dom42'!$AB40)</f>
        <v>32</v>
      </c>
      <c r="AE40">
        <f>AVERAGE('accuracy dom7dom6'!$C40,'accuracy dom71dom61'!$C40,'accuracy dom72dom62'!$C40)</f>
        <v>32</v>
      </c>
      <c r="AF40">
        <f>AVERAGE('accuracy dom7dom6'!$G40,'accuracy dom71dom61'!$G40,'accuracy dom72dom62'!$G40)</f>
        <v>32</v>
      </c>
      <c r="AG40">
        <f>AVERAGE('accuracy dom7dom6'!$AB40,'accuracy dom71dom61'!$AB40,'accuracy dom72dom62'!$AB40)</f>
        <v>32</v>
      </c>
      <c r="AH40">
        <f>AVERAGE('accuracy dom9dom8'!$C40,'accuracy dom91dom81'!$C40,'accuracy dom92dom82'!$C40)</f>
        <v>32</v>
      </c>
      <c r="AI40">
        <f>AVERAGE('accuracy dom9dom8'!$G40,'accuracy dom91dom81'!$G40,'accuracy dom92dom82'!$G40)</f>
        <v>32.333333333333336</v>
      </c>
      <c r="AJ40">
        <f>AVERAGE('accuracy dom9dom8'!$AB40,'accuracy dom91dom81'!$AB40,'accuracy dom92dom82'!$AB40)</f>
        <v>32.333333333333336</v>
      </c>
      <c r="AK40">
        <f t="shared" si="17"/>
        <v>9</v>
      </c>
      <c r="AL40">
        <f t="shared" si="50"/>
        <v>64.333333333333343</v>
      </c>
      <c r="AM40">
        <f t="shared" si="51"/>
        <v>224.33333333333329</v>
      </c>
      <c r="AN40">
        <f t="shared" si="52"/>
        <v>0</v>
      </c>
      <c r="AO40">
        <f t="shared" si="19"/>
        <v>0</v>
      </c>
      <c r="AP40">
        <f t="shared" si="20"/>
        <v>0</v>
      </c>
      <c r="AQ40">
        <f t="shared" si="21"/>
        <v>96</v>
      </c>
      <c r="AR40">
        <f t="shared" si="22"/>
        <v>0</v>
      </c>
      <c r="AS40">
        <f t="shared" si="23"/>
        <v>0</v>
      </c>
      <c r="AT40">
        <f t="shared" si="24"/>
        <v>64.333333333333343</v>
      </c>
      <c r="AU40">
        <f t="shared" si="25"/>
        <v>32</v>
      </c>
      <c r="AV40">
        <f t="shared" si="26"/>
        <v>0</v>
      </c>
      <c r="AW40">
        <f t="shared" si="27"/>
        <v>0</v>
      </c>
      <c r="AX40">
        <f t="shared" si="28"/>
        <v>0</v>
      </c>
      <c r="AY40">
        <f t="shared" si="29"/>
        <v>96.333333333333343</v>
      </c>
      <c r="AZ40">
        <f t="shared" si="30"/>
        <v>0</v>
      </c>
      <c r="BA40">
        <f t="shared" si="31"/>
        <v>0</v>
      </c>
      <c r="BC40">
        <f t="shared" si="32"/>
        <v>2</v>
      </c>
      <c r="BD40">
        <f t="shared" si="33"/>
        <v>7</v>
      </c>
      <c r="BE40">
        <f t="shared" si="34"/>
        <v>0</v>
      </c>
      <c r="BF40">
        <f t="shared" si="35"/>
        <v>0</v>
      </c>
      <c r="BG40">
        <f t="shared" si="36"/>
        <v>0</v>
      </c>
      <c r="BH40">
        <f t="shared" si="37"/>
        <v>3</v>
      </c>
      <c r="BI40">
        <f t="shared" si="38"/>
        <v>0</v>
      </c>
      <c r="BJ40">
        <f t="shared" si="39"/>
        <v>0</v>
      </c>
      <c r="BK40">
        <f t="shared" si="40"/>
        <v>2</v>
      </c>
      <c r="BL40">
        <f t="shared" si="41"/>
        <v>1</v>
      </c>
      <c r="BM40">
        <f t="shared" si="42"/>
        <v>0</v>
      </c>
      <c r="BN40">
        <f t="shared" si="43"/>
        <v>0</v>
      </c>
      <c r="BO40">
        <f t="shared" si="44"/>
        <v>0</v>
      </c>
      <c r="BP40">
        <f t="shared" si="45"/>
        <v>3</v>
      </c>
      <c r="BQ40">
        <f t="shared" si="46"/>
        <v>0</v>
      </c>
      <c r="BR40">
        <f t="shared" si="47"/>
        <v>0</v>
      </c>
    </row>
    <row r="41" spans="1:70">
      <c r="A41" t="str">
        <f>'time 1'!B40</f>
        <v>&lt;test.client: void determineMenuSize(int,int,int,int,int)&gt;</v>
      </c>
      <c r="B41">
        <f>AVERAGE('time 1'!D40/'time 1'!C40,'time 2'!D40/'time 2'!C40,'time 3'!D40/'time 3'!C40)</f>
        <v>1.1681584997976804</v>
      </c>
      <c r="C41">
        <f>AVERAGE('time 1'!F40/'time 1'!E40,'time 2'!F40/'time 2'!E40,'time 3'!F40/'time 3'!E40)</f>
        <v>0.99970372151252118</v>
      </c>
      <c r="D41">
        <f>AVERAGE('time 1'!H40/'time 1'!G40,'time 2'!H40/'time 2'!G40,'time 3'!H40/'time 3'!G40)</f>
        <v>1.213635910556164</v>
      </c>
      <c r="E41">
        <f>AVERAGE('time 1'!J40/'time 2'!I40,'time 2'!J40/'time 2'!I40,'time 3'!J40/'time 3'!I40)</f>
        <v>1.2973425986652969</v>
      </c>
      <c r="F41">
        <f>AVERAGE('time 1'!L40/'time 1'!K40,'time 2'!L40/'time 2'!K40,'time 3'!L40/'time 3'!K40)</f>
        <v>1.0001732936756016</v>
      </c>
      <c r="G41">
        <f>AVERAGE('time 1'!N40/'time 1'!M40,'time 2'!N40/'time 2'!M40,'time 3'!N40/'time 3'!M40)</f>
        <v>1.1326031730130659</v>
      </c>
      <c r="H41">
        <f>AVERAGE('time 1'!P40/'time 1'!O40,'time 2'!P40/'time 2'!O40,'time 3'!P40/'time 3'!O40)</f>
        <v>1.1665576190834439</v>
      </c>
      <c r="I41">
        <f>AVERAGE('time 1'!R40/'time 1'!Q40,'time 2'!R40/'time 2'!Q40,'time 3'!R40/'time 3'!Q40)</f>
        <v>0.93202095354169667</v>
      </c>
      <c r="J41">
        <f>AVERAGE('time 1'!T40/'time 1'!S40,'time 2'!T40/'time 2'!S40,'time 3'!T40/'time 3'!S40)</f>
        <v>1.1838084020424062</v>
      </c>
      <c r="K41">
        <f t="shared" si="3"/>
        <v>2</v>
      </c>
      <c r="L41">
        <f t="shared" si="4"/>
        <v>7</v>
      </c>
      <c r="M41">
        <f t="shared" si="5"/>
        <v>0</v>
      </c>
      <c r="N41">
        <f t="shared" si="6"/>
        <v>0</v>
      </c>
      <c r="O41">
        <f t="shared" si="7"/>
        <v>0</v>
      </c>
      <c r="P41">
        <f t="shared" si="48"/>
        <v>3</v>
      </c>
      <c r="Q41">
        <f t="shared" si="49"/>
        <v>0</v>
      </c>
      <c r="R41">
        <f t="shared" si="8"/>
        <v>0</v>
      </c>
      <c r="S41">
        <f t="shared" si="9"/>
        <v>2</v>
      </c>
      <c r="T41">
        <f t="shared" si="10"/>
        <v>1</v>
      </c>
      <c r="U41">
        <f t="shared" si="11"/>
        <v>0</v>
      </c>
      <c r="V41">
        <f t="shared" si="12"/>
        <v>0</v>
      </c>
      <c r="W41">
        <f t="shared" si="13"/>
        <v>0</v>
      </c>
      <c r="X41">
        <f t="shared" si="14"/>
        <v>3</v>
      </c>
      <c r="Y41">
        <f t="shared" si="15"/>
        <v>0</v>
      </c>
      <c r="Z41">
        <f t="shared" si="16"/>
        <v>0</v>
      </c>
      <c r="AB41">
        <f>AVERAGE('accuracy dom5dom4'!$C41,'accuracy dom51dom41'!$C41,'accuracy dom52dom42'!$C41)</f>
        <v>13.666666666666666</v>
      </c>
      <c r="AC41">
        <f>AVERAGE('accuracy dom5dom4'!$G41,'accuracy dom51dom41'!$G41,'accuracy dom52dom42'!$G41)</f>
        <v>13.666666666666666</v>
      </c>
      <c r="AD41">
        <f>AVERAGE('accuracy dom5dom4'!$AB41,'accuracy dom51dom41'!$AB41,'accuracy dom52dom42'!$AB41)</f>
        <v>13.666666666666666</v>
      </c>
      <c r="AE41">
        <f>AVERAGE('accuracy dom7dom6'!$C41,'accuracy dom71dom61'!$C41,'accuracy dom72dom62'!$C41)</f>
        <v>13.666666666666666</v>
      </c>
      <c r="AF41">
        <f>AVERAGE('accuracy dom7dom6'!$G41,'accuracy dom71dom61'!$G41,'accuracy dom72dom62'!$G41)</f>
        <v>14</v>
      </c>
      <c r="AG41">
        <f>AVERAGE('accuracy dom7dom6'!$AB41,'accuracy dom71dom61'!$AB41,'accuracy dom72dom62'!$AB41)</f>
        <v>14</v>
      </c>
      <c r="AH41">
        <f>AVERAGE('accuracy dom9dom8'!$C41,'accuracy dom91dom81'!$C41,'accuracy dom92dom82'!$C41)</f>
        <v>14</v>
      </c>
      <c r="AI41">
        <f>AVERAGE('accuracy dom9dom8'!$G41,'accuracy dom91dom81'!$G41,'accuracy dom92dom82'!$G41)</f>
        <v>14</v>
      </c>
      <c r="AJ41">
        <f>AVERAGE('accuracy dom9dom8'!$AB41,'accuracy dom91dom81'!$AB41,'accuracy dom92dom82'!$AB41)</f>
        <v>14</v>
      </c>
      <c r="AK41">
        <f t="shared" si="17"/>
        <v>9</v>
      </c>
      <c r="AL41">
        <f t="shared" si="50"/>
        <v>27.666666666666664</v>
      </c>
      <c r="AM41">
        <f t="shared" si="51"/>
        <v>97</v>
      </c>
      <c r="AN41">
        <f t="shared" si="52"/>
        <v>0</v>
      </c>
      <c r="AO41">
        <f t="shared" si="19"/>
        <v>0</v>
      </c>
      <c r="AP41">
        <f t="shared" si="20"/>
        <v>0</v>
      </c>
      <c r="AQ41">
        <f t="shared" si="21"/>
        <v>41.333333333333329</v>
      </c>
      <c r="AR41">
        <f t="shared" si="22"/>
        <v>0</v>
      </c>
      <c r="AS41">
        <f t="shared" si="23"/>
        <v>0</v>
      </c>
      <c r="AT41">
        <f t="shared" si="24"/>
        <v>27.666666666666664</v>
      </c>
      <c r="AU41">
        <f t="shared" si="25"/>
        <v>14</v>
      </c>
      <c r="AV41">
        <f t="shared" si="26"/>
        <v>0</v>
      </c>
      <c r="AW41">
        <f t="shared" si="27"/>
        <v>0</v>
      </c>
      <c r="AX41">
        <f t="shared" si="28"/>
        <v>0</v>
      </c>
      <c r="AY41">
        <f t="shared" si="29"/>
        <v>41.666666666666664</v>
      </c>
      <c r="AZ41">
        <f t="shared" si="30"/>
        <v>0</v>
      </c>
      <c r="BA41">
        <f t="shared" si="31"/>
        <v>0</v>
      </c>
      <c r="BC41">
        <f t="shared" si="32"/>
        <v>2</v>
      </c>
      <c r="BD41">
        <f t="shared" si="33"/>
        <v>7</v>
      </c>
      <c r="BE41">
        <f t="shared" si="34"/>
        <v>0</v>
      </c>
      <c r="BF41">
        <f t="shared" si="35"/>
        <v>0</v>
      </c>
      <c r="BG41">
        <f t="shared" si="36"/>
        <v>0</v>
      </c>
      <c r="BH41">
        <f t="shared" si="37"/>
        <v>3</v>
      </c>
      <c r="BI41">
        <f t="shared" si="38"/>
        <v>0</v>
      </c>
      <c r="BJ41">
        <f t="shared" si="39"/>
        <v>0</v>
      </c>
      <c r="BK41">
        <f t="shared" si="40"/>
        <v>2</v>
      </c>
      <c r="BL41">
        <f t="shared" si="41"/>
        <v>1</v>
      </c>
      <c r="BM41">
        <f t="shared" si="42"/>
        <v>0</v>
      </c>
      <c r="BN41">
        <f t="shared" si="43"/>
        <v>0</v>
      </c>
      <c r="BO41">
        <f t="shared" si="44"/>
        <v>0</v>
      </c>
      <c r="BP41">
        <f t="shared" si="45"/>
        <v>3</v>
      </c>
      <c r="BQ41">
        <f t="shared" si="46"/>
        <v>0</v>
      </c>
      <c r="BR41">
        <f t="shared" si="47"/>
        <v>0</v>
      </c>
    </row>
    <row r="42" spans="1:70">
      <c r="A42" t="str">
        <f>'time 1'!B41</f>
        <v>&lt;test.client: void method108(int,int,int,int,int,int,int[],int,int,int,int,byte[][][],int[][][],int,int)&gt;</v>
      </c>
      <c r="B42">
        <f>AVERAGE('time 1'!D41/'time 1'!C41,'time 2'!D41/'time 2'!C41,'time 3'!D41/'time 3'!C41)</f>
        <v>1.3082294054743444</v>
      </c>
      <c r="C42">
        <f>AVERAGE('time 1'!F41/'time 1'!E41,'time 2'!F41/'time 2'!E41,'time 3'!F41/'time 3'!E41)</f>
        <v>1.110666186895193</v>
      </c>
      <c r="D42">
        <f>AVERAGE('time 1'!H41/'time 1'!G41,'time 2'!H41/'time 2'!G41,'time 3'!H41/'time 3'!G41)</f>
        <v>1.3038697790373437</v>
      </c>
      <c r="E42">
        <f>AVERAGE('time 1'!J41/'time 2'!I41,'time 2'!J41/'time 2'!I41,'time 3'!J41/'time 3'!I41)</f>
        <v>1.4065747317775754</v>
      </c>
      <c r="F42">
        <f>AVERAGE('time 1'!L41/'time 1'!K41,'time 2'!L41/'time 2'!K41,'time 3'!L41/'time 3'!K41)</f>
        <v>1.1224908415845336</v>
      </c>
      <c r="G42">
        <f>AVERAGE('time 1'!N41/'time 1'!M41,'time 2'!N41/'time 2'!M41,'time 3'!N41/'time 3'!M41)</f>
        <v>1.2836469295820476</v>
      </c>
      <c r="H42">
        <f>AVERAGE('time 1'!P41/'time 1'!O41,'time 2'!P41/'time 2'!O41,'time 3'!P41/'time 3'!O41)</f>
        <v>1.3666204378214777</v>
      </c>
      <c r="I42">
        <f>AVERAGE('time 1'!R41/'time 1'!Q41,'time 2'!R41/'time 2'!Q41,'time 3'!R41/'time 3'!Q41)</f>
        <v>1.0863027655770547</v>
      </c>
      <c r="J42">
        <f>AVERAGE('time 1'!T41/'time 1'!S41,'time 2'!T41/'time 2'!S41,'time 3'!T41/'time 3'!S41)</f>
        <v>1.3445140860523843</v>
      </c>
      <c r="K42">
        <f t="shared" si="3"/>
        <v>0</v>
      </c>
      <c r="L42">
        <f t="shared" si="4"/>
        <v>9</v>
      </c>
      <c r="M42">
        <f t="shared" si="5"/>
        <v>0</v>
      </c>
      <c r="N42">
        <f t="shared" si="6"/>
        <v>0</v>
      </c>
      <c r="O42">
        <f t="shared" si="7"/>
        <v>0</v>
      </c>
      <c r="P42">
        <f t="shared" si="48"/>
        <v>3</v>
      </c>
      <c r="Q42">
        <f t="shared" si="49"/>
        <v>0</v>
      </c>
      <c r="R42">
        <f t="shared" si="8"/>
        <v>0</v>
      </c>
      <c r="S42">
        <f t="shared" si="9"/>
        <v>0</v>
      </c>
      <c r="T42">
        <f t="shared" si="10"/>
        <v>3</v>
      </c>
      <c r="U42">
        <f t="shared" si="11"/>
        <v>0</v>
      </c>
      <c r="V42">
        <f t="shared" si="12"/>
        <v>0</v>
      </c>
      <c r="W42">
        <f t="shared" si="13"/>
        <v>0</v>
      </c>
      <c r="X42">
        <f t="shared" si="14"/>
        <v>3</v>
      </c>
      <c r="Y42">
        <f t="shared" si="15"/>
        <v>0</v>
      </c>
      <c r="Z42">
        <f t="shared" si="16"/>
        <v>0</v>
      </c>
      <c r="AB42">
        <f>AVERAGE('accuracy dom5dom4'!$C42,'accuracy dom51dom41'!$C42,'accuracy dom52dom42'!$C42)</f>
        <v>13</v>
      </c>
      <c r="AC42">
        <f>AVERAGE('accuracy dom5dom4'!$G42,'accuracy dom51dom41'!$G42,'accuracy dom52dom42'!$G42)</f>
        <v>13</v>
      </c>
      <c r="AD42">
        <f>AVERAGE('accuracy dom5dom4'!$AB42,'accuracy dom51dom41'!$AB42,'accuracy dom52dom42'!$AB42)</f>
        <v>13</v>
      </c>
      <c r="AE42">
        <f>AVERAGE('accuracy dom7dom6'!$C42,'accuracy dom71dom61'!$C42,'accuracy dom72dom62'!$C42)</f>
        <v>13</v>
      </c>
      <c r="AF42">
        <f>AVERAGE('accuracy dom7dom6'!$G42,'accuracy dom71dom61'!$G42,'accuracy dom72dom62'!$G42)</f>
        <v>13</v>
      </c>
      <c r="AG42">
        <f>AVERAGE('accuracy dom7dom6'!$AB42,'accuracy dom71dom61'!$AB42,'accuracy dom72dom62'!$AB42)</f>
        <v>13</v>
      </c>
      <c r="AH42">
        <f>AVERAGE('accuracy dom9dom8'!$C42,'accuracy dom91dom81'!$C42,'accuracy dom92dom82'!$C42)</f>
        <v>13.666666666666666</v>
      </c>
      <c r="AI42">
        <f>AVERAGE('accuracy dom9dom8'!$G42,'accuracy dom91dom81'!$G42,'accuracy dom92dom82'!$G42)</f>
        <v>13.666666666666666</v>
      </c>
      <c r="AJ42">
        <f>AVERAGE('accuracy dom9dom8'!$AB42,'accuracy dom91dom81'!$AB42,'accuracy dom92dom82'!$AB42)</f>
        <v>13.666666666666666</v>
      </c>
      <c r="AK42">
        <f t="shared" si="17"/>
        <v>9</v>
      </c>
      <c r="AL42">
        <f t="shared" si="50"/>
        <v>0</v>
      </c>
      <c r="AM42">
        <f t="shared" si="51"/>
        <v>119.00000000000001</v>
      </c>
      <c r="AN42">
        <f t="shared" si="52"/>
        <v>0</v>
      </c>
      <c r="AO42">
        <f t="shared" si="19"/>
        <v>0</v>
      </c>
      <c r="AP42">
        <f t="shared" si="20"/>
        <v>0</v>
      </c>
      <c r="AQ42">
        <f t="shared" si="21"/>
        <v>39.666666666666664</v>
      </c>
      <c r="AR42">
        <f t="shared" si="22"/>
        <v>0</v>
      </c>
      <c r="AS42">
        <f t="shared" si="23"/>
        <v>0</v>
      </c>
      <c r="AT42">
        <f t="shared" si="24"/>
        <v>0</v>
      </c>
      <c r="AU42">
        <f t="shared" si="25"/>
        <v>39.666666666666664</v>
      </c>
      <c r="AV42">
        <f t="shared" si="26"/>
        <v>0</v>
      </c>
      <c r="AW42">
        <f t="shared" si="27"/>
        <v>0</v>
      </c>
      <c r="AX42">
        <f t="shared" si="28"/>
        <v>0</v>
      </c>
      <c r="AY42">
        <f t="shared" si="29"/>
        <v>39.666666666666664</v>
      </c>
      <c r="AZ42">
        <f t="shared" si="30"/>
        <v>0</v>
      </c>
      <c r="BA42">
        <f t="shared" si="31"/>
        <v>0</v>
      </c>
      <c r="BC42">
        <f t="shared" si="32"/>
        <v>0</v>
      </c>
      <c r="BD42">
        <f t="shared" si="33"/>
        <v>9</v>
      </c>
      <c r="BE42">
        <f t="shared" si="34"/>
        <v>0</v>
      </c>
      <c r="BF42">
        <f t="shared" si="35"/>
        <v>0</v>
      </c>
      <c r="BG42">
        <f t="shared" si="36"/>
        <v>0</v>
      </c>
      <c r="BH42">
        <f t="shared" si="37"/>
        <v>3</v>
      </c>
      <c r="BI42">
        <f t="shared" si="38"/>
        <v>0</v>
      </c>
      <c r="BJ42">
        <f t="shared" si="39"/>
        <v>0</v>
      </c>
      <c r="BK42">
        <f t="shared" si="40"/>
        <v>0</v>
      </c>
      <c r="BL42">
        <f t="shared" si="41"/>
        <v>3</v>
      </c>
      <c r="BM42">
        <f t="shared" si="42"/>
        <v>0</v>
      </c>
      <c r="BN42">
        <f t="shared" si="43"/>
        <v>0</v>
      </c>
      <c r="BO42">
        <f t="shared" si="44"/>
        <v>0</v>
      </c>
      <c r="BP42">
        <f t="shared" si="45"/>
        <v>3</v>
      </c>
      <c r="BQ42">
        <f t="shared" si="46"/>
        <v>0</v>
      </c>
      <c r="BR42">
        <f t="shared" si="47"/>
        <v>0</v>
      </c>
    </row>
    <row r="43" spans="1:70">
      <c r="A43" t="str">
        <f>'time 1'!B42</f>
        <v>&lt;test.client: void method142(int,int,int,int,int,int,int,int,boolean,int,byte[][][])&gt;</v>
      </c>
      <c r="B43">
        <f>AVERAGE('time 1'!D42/'time 1'!C42,'time 2'!D42/'time 2'!C42,'time 3'!D42/'time 3'!C42)</f>
        <v>1.2016464798184783</v>
      </c>
      <c r="C43">
        <f>AVERAGE('time 1'!F42/'time 1'!E42,'time 2'!F42/'time 2'!E42,'time 3'!F42/'time 3'!E42)</f>
        <v>1.0399405582832859</v>
      </c>
      <c r="D43">
        <f>AVERAGE('time 1'!H42/'time 1'!G42,'time 2'!H42/'time 2'!G42,'time 3'!H42/'time 3'!G42)</f>
        <v>1.2160239451318369</v>
      </c>
      <c r="E43">
        <f>AVERAGE('time 1'!J42/'time 2'!I42,'time 2'!J42/'time 2'!I42,'time 3'!J42/'time 3'!I42)</f>
        <v>1.1337372171453437</v>
      </c>
      <c r="F43">
        <f>AVERAGE('time 1'!L42/'time 1'!K42,'time 2'!L42/'time 2'!K42,'time 3'!L42/'time 3'!K42)</f>
        <v>1.1249496755503692</v>
      </c>
      <c r="G43">
        <f>AVERAGE('time 1'!N42/'time 1'!M42,'time 2'!N42/'time 2'!M42,'time 3'!N42/'time 3'!M42)</f>
        <v>1.0862508145913516</v>
      </c>
      <c r="H43">
        <f>AVERAGE('time 1'!P42/'time 1'!O42,'time 2'!P42/'time 2'!O42,'time 3'!P42/'time 3'!O42)</f>
        <v>1.0470218480465265</v>
      </c>
      <c r="I43">
        <f>AVERAGE('time 1'!R42/'time 1'!Q42,'time 2'!R42/'time 2'!Q42,'time 3'!R42/'time 3'!Q42)</f>
        <v>1.1725494260353153</v>
      </c>
      <c r="J43">
        <f>AVERAGE('time 1'!T42/'time 1'!S42,'time 2'!T42/'time 2'!S42,'time 3'!T42/'time 3'!S42)</f>
        <v>1.0748755173511622</v>
      </c>
      <c r="K43">
        <f t="shared" si="3"/>
        <v>0</v>
      </c>
      <c r="L43">
        <f t="shared" si="4"/>
        <v>9</v>
      </c>
      <c r="M43">
        <f t="shared" si="5"/>
        <v>0</v>
      </c>
      <c r="N43">
        <f t="shared" si="6"/>
        <v>0</v>
      </c>
      <c r="O43">
        <f t="shared" si="7"/>
        <v>0</v>
      </c>
      <c r="P43">
        <f t="shared" si="48"/>
        <v>3</v>
      </c>
      <c r="Q43">
        <f t="shared" si="49"/>
        <v>0</v>
      </c>
      <c r="R43">
        <f t="shared" si="8"/>
        <v>0</v>
      </c>
      <c r="S43">
        <f t="shared" si="9"/>
        <v>0</v>
      </c>
      <c r="T43">
        <f t="shared" si="10"/>
        <v>3</v>
      </c>
      <c r="U43">
        <f t="shared" si="11"/>
        <v>0</v>
      </c>
      <c r="V43">
        <f t="shared" si="12"/>
        <v>0</v>
      </c>
      <c r="W43">
        <f t="shared" si="13"/>
        <v>0</v>
      </c>
      <c r="X43">
        <f t="shared" si="14"/>
        <v>3</v>
      </c>
      <c r="Y43">
        <f t="shared" si="15"/>
        <v>0</v>
      </c>
      <c r="Z43">
        <f t="shared" si="16"/>
        <v>0</v>
      </c>
      <c r="AB43">
        <f>AVERAGE('accuracy dom5dom4'!$C43,'accuracy dom51dom41'!$C43,'accuracy dom52dom42'!$C43)</f>
        <v>0</v>
      </c>
      <c r="AC43">
        <f>AVERAGE('accuracy dom5dom4'!$G43,'accuracy dom51dom41'!$G43,'accuracy dom52dom42'!$G43)</f>
        <v>0</v>
      </c>
      <c r="AD43">
        <f>AVERAGE('accuracy dom5dom4'!$AB43,'accuracy dom51dom41'!$AB43,'accuracy dom52dom42'!$AB43)</f>
        <v>0</v>
      </c>
      <c r="AE43">
        <f>AVERAGE('accuracy dom7dom6'!$C43,'accuracy dom71dom61'!$C43,'accuracy dom72dom62'!$C43)</f>
        <v>0</v>
      </c>
      <c r="AF43">
        <f>AVERAGE('accuracy dom7dom6'!$G43,'accuracy dom71dom61'!$G43,'accuracy dom72dom62'!$G43)</f>
        <v>0</v>
      </c>
      <c r="AG43">
        <f>AVERAGE('accuracy dom7dom6'!$AB43,'accuracy dom71dom61'!$AB43,'accuracy dom72dom62'!$AB43)</f>
        <v>0</v>
      </c>
      <c r="AH43">
        <f>AVERAGE('accuracy dom9dom8'!$C43,'accuracy dom91dom81'!$C43,'accuracy dom92dom82'!$C43)</f>
        <v>0</v>
      </c>
      <c r="AI43">
        <f>AVERAGE('accuracy dom9dom8'!$G43,'accuracy dom91dom81'!$G43,'accuracy dom92dom82'!$G43)</f>
        <v>0</v>
      </c>
      <c r="AJ43">
        <f>AVERAGE('accuracy dom9dom8'!$AB43,'accuracy dom91dom81'!$AB43,'accuracy dom92dom82'!$AB43)</f>
        <v>0</v>
      </c>
      <c r="AK43">
        <f t="shared" si="17"/>
        <v>0</v>
      </c>
      <c r="AL43">
        <f t="shared" si="50"/>
        <v>0</v>
      </c>
      <c r="AM43">
        <f t="shared" si="51"/>
        <v>0</v>
      </c>
      <c r="AN43">
        <f t="shared" si="52"/>
        <v>0</v>
      </c>
      <c r="AO43">
        <f t="shared" si="19"/>
        <v>0</v>
      </c>
      <c r="AP43">
        <f t="shared" si="20"/>
        <v>0</v>
      </c>
      <c r="AQ43">
        <f t="shared" si="21"/>
        <v>0</v>
      </c>
      <c r="AR43">
        <f t="shared" si="22"/>
        <v>0</v>
      </c>
      <c r="AS43">
        <f t="shared" si="23"/>
        <v>0</v>
      </c>
      <c r="AT43">
        <f t="shared" si="24"/>
        <v>0</v>
      </c>
      <c r="AU43">
        <f t="shared" si="25"/>
        <v>0</v>
      </c>
      <c r="AV43">
        <f t="shared" si="26"/>
        <v>0</v>
      </c>
      <c r="AW43">
        <f t="shared" si="27"/>
        <v>0</v>
      </c>
      <c r="AX43">
        <f t="shared" si="28"/>
        <v>0</v>
      </c>
      <c r="AY43">
        <f t="shared" si="29"/>
        <v>0</v>
      </c>
      <c r="AZ43">
        <f t="shared" si="30"/>
        <v>0</v>
      </c>
      <c r="BA43">
        <f t="shared" si="31"/>
        <v>0</v>
      </c>
      <c r="BC43">
        <f t="shared" si="32"/>
        <v>0</v>
      </c>
      <c r="BD43">
        <f t="shared" si="33"/>
        <v>0</v>
      </c>
      <c r="BE43">
        <f t="shared" si="34"/>
        <v>0</v>
      </c>
      <c r="BF43">
        <f t="shared" si="35"/>
        <v>0</v>
      </c>
      <c r="BG43">
        <f t="shared" si="36"/>
        <v>0</v>
      </c>
      <c r="BH43">
        <f t="shared" si="37"/>
        <v>0</v>
      </c>
      <c r="BI43">
        <f t="shared" si="38"/>
        <v>0</v>
      </c>
      <c r="BJ43">
        <f t="shared" si="39"/>
        <v>0</v>
      </c>
      <c r="BK43">
        <f t="shared" si="40"/>
        <v>0</v>
      </c>
      <c r="BL43">
        <f t="shared" si="41"/>
        <v>0</v>
      </c>
      <c r="BM43">
        <f t="shared" si="42"/>
        <v>0</v>
      </c>
      <c r="BN43">
        <f t="shared" si="43"/>
        <v>0</v>
      </c>
      <c r="BO43">
        <f t="shared" si="44"/>
        <v>0</v>
      </c>
      <c r="BP43">
        <f t="shared" si="45"/>
        <v>0</v>
      </c>
      <c r="BQ43">
        <f t="shared" si="46"/>
        <v>0</v>
      </c>
      <c r="BR43">
        <f t="shared" si="47"/>
        <v>0</v>
      </c>
    </row>
    <row r="44" spans="1:70">
      <c r="A44" t="str">
        <f>'time 1'!B43</f>
        <v>&lt;test.FastBlurFilter: void blur(int[],int[],int,int,int)&gt;</v>
      </c>
      <c r="B44">
        <f>AVERAGE('time 1'!D43/'time 1'!C43,'time 2'!D43/'time 2'!C43,'time 3'!D43/'time 3'!C43)</f>
        <v>1.3490222511487593</v>
      </c>
      <c r="C44">
        <f>AVERAGE('time 1'!F43/'time 1'!E43,'time 2'!F43/'time 2'!E43,'time 3'!F43/'time 3'!E43)</f>
        <v>1.0890452409441147</v>
      </c>
      <c r="D44">
        <f>AVERAGE('time 1'!H43/'time 1'!G43,'time 2'!H43/'time 2'!G43,'time 3'!H43/'time 3'!G43)</f>
        <v>1.326659734801316</v>
      </c>
      <c r="E44">
        <f>AVERAGE('time 1'!J43/'time 2'!I43,'time 2'!J43/'time 2'!I43,'time 3'!J43/'time 3'!I43)</f>
        <v>1.516305414885273</v>
      </c>
      <c r="F44">
        <f>AVERAGE('time 1'!L43/'time 1'!K43,'time 2'!L43/'time 2'!K43,'time 3'!L43/'time 3'!K43)</f>
        <v>1.353508365722039</v>
      </c>
      <c r="G44">
        <f>AVERAGE('time 1'!N43/'time 1'!M43,'time 2'!N43/'time 2'!M43,'time 3'!N43/'time 3'!M43)</f>
        <v>1.359416383423512</v>
      </c>
      <c r="H44">
        <f>AVERAGE('time 1'!P43/'time 1'!O43,'time 2'!P43/'time 2'!O43,'time 3'!P43/'time 3'!O43)</f>
        <v>1.3454177408415087</v>
      </c>
      <c r="I44">
        <f>AVERAGE('time 1'!R43/'time 1'!Q43,'time 2'!R43/'time 2'!Q43,'time 3'!R43/'time 3'!Q43)</f>
        <v>1.1970792572759139</v>
      </c>
      <c r="J44">
        <f>AVERAGE('time 1'!T43/'time 1'!S43,'time 2'!T43/'time 2'!S43,'time 3'!T43/'time 3'!S43)</f>
        <v>1.3813995830870363</v>
      </c>
      <c r="K44">
        <f t="shared" si="3"/>
        <v>0</v>
      </c>
      <c r="L44">
        <f t="shared" si="4"/>
        <v>9</v>
      </c>
      <c r="M44">
        <f t="shared" si="5"/>
        <v>0</v>
      </c>
      <c r="N44">
        <f t="shared" si="6"/>
        <v>0</v>
      </c>
      <c r="O44">
        <f t="shared" si="7"/>
        <v>0</v>
      </c>
      <c r="P44">
        <f t="shared" si="48"/>
        <v>3</v>
      </c>
      <c r="Q44">
        <f t="shared" si="49"/>
        <v>0</v>
      </c>
      <c r="R44">
        <f t="shared" si="8"/>
        <v>0</v>
      </c>
      <c r="S44">
        <f t="shared" si="9"/>
        <v>0</v>
      </c>
      <c r="T44">
        <f t="shared" si="10"/>
        <v>3</v>
      </c>
      <c r="U44">
        <f t="shared" si="11"/>
        <v>0</v>
      </c>
      <c r="V44">
        <f t="shared" si="12"/>
        <v>0</v>
      </c>
      <c r="W44">
        <f t="shared" si="13"/>
        <v>0</v>
      </c>
      <c r="X44">
        <f t="shared" si="14"/>
        <v>3</v>
      </c>
      <c r="Y44">
        <f t="shared" si="15"/>
        <v>0</v>
      </c>
      <c r="Z44">
        <f t="shared" si="16"/>
        <v>0</v>
      </c>
      <c r="AB44">
        <f>AVERAGE('accuracy dom5dom4'!$C44,'accuracy dom51dom41'!$C44,'accuracy dom52dom42'!$C44)</f>
        <v>1.3333333333333333</v>
      </c>
      <c r="AC44">
        <f>AVERAGE('accuracy dom5dom4'!$G44,'accuracy dom51dom41'!$G44,'accuracy dom52dom42'!$G44)</f>
        <v>1.3333333333333333</v>
      </c>
      <c r="AD44">
        <f>AVERAGE('accuracy dom5dom4'!$AB44,'accuracy dom51dom41'!$AB44,'accuracy dom52dom42'!$AB44)</f>
        <v>1.3333333333333333</v>
      </c>
      <c r="AE44">
        <f>AVERAGE('accuracy dom7dom6'!$C44,'accuracy dom71dom61'!$C44,'accuracy dom72dom62'!$C44)</f>
        <v>2</v>
      </c>
      <c r="AF44">
        <f>AVERAGE('accuracy dom7dom6'!$G44,'accuracy dom71dom61'!$G44,'accuracy dom72dom62'!$G44)</f>
        <v>2</v>
      </c>
      <c r="AG44">
        <f>AVERAGE('accuracy dom7dom6'!$AB44,'accuracy dom71dom61'!$AB44,'accuracy dom72dom62'!$AB44)</f>
        <v>2</v>
      </c>
      <c r="AH44">
        <f>AVERAGE('accuracy dom9dom8'!$C44,'accuracy dom91dom81'!$C44,'accuracy dom92dom82'!$C44)</f>
        <v>2</v>
      </c>
      <c r="AI44">
        <f>AVERAGE('accuracy dom9dom8'!$G44,'accuracy dom91dom81'!$G44,'accuracy dom92dom82'!$G44)</f>
        <v>2</v>
      </c>
      <c r="AJ44">
        <f>AVERAGE('accuracy dom9dom8'!$AB44,'accuracy dom91dom81'!$AB44,'accuracy dom92dom82'!$AB44)</f>
        <v>2</v>
      </c>
      <c r="AK44">
        <f t="shared" si="17"/>
        <v>9</v>
      </c>
      <c r="AL44">
        <f t="shared" si="50"/>
        <v>0</v>
      </c>
      <c r="AM44">
        <f t="shared" si="51"/>
        <v>16</v>
      </c>
      <c r="AN44">
        <f t="shared" si="52"/>
        <v>0</v>
      </c>
      <c r="AO44">
        <f t="shared" si="19"/>
        <v>0</v>
      </c>
      <c r="AP44">
        <f t="shared" si="20"/>
        <v>0</v>
      </c>
      <c r="AQ44">
        <f t="shared" si="21"/>
        <v>5.333333333333333</v>
      </c>
      <c r="AR44">
        <f t="shared" si="22"/>
        <v>0</v>
      </c>
      <c r="AS44">
        <f t="shared" si="23"/>
        <v>0</v>
      </c>
      <c r="AT44">
        <f t="shared" si="24"/>
        <v>0</v>
      </c>
      <c r="AU44">
        <f t="shared" si="25"/>
        <v>5.333333333333333</v>
      </c>
      <c r="AV44">
        <f t="shared" si="26"/>
        <v>0</v>
      </c>
      <c r="AW44">
        <f t="shared" si="27"/>
        <v>0</v>
      </c>
      <c r="AX44">
        <f t="shared" si="28"/>
        <v>0</v>
      </c>
      <c r="AY44">
        <f t="shared" si="29"/>
        <v>5.333333333333333</v>
      </c>
      <c r="AZ44">
        <f t="shared" si="30"/>
        <v>0</v>
      </c>
      <c r="BA44">
        <f t="shared" si="31"/>
        <v>0</v>
      </c>
      <c r="BC44">
        <f t="shared" si="32"/>
        <v>0</v>
      </c>
      <c r="BD44">
        <f t="shared" si="33"/>
        <v>9</v>
      </c>
      <c r="BE44">
        <f t="shared" si="34"/>
        <v>0</v>
      </c>
      <c r="BF44">
        <f t="shared" si="35"/>
        <v>0</v>
      </c>
      <c r="BG44">
        <f t="shared" si="36"/>
        <v>0</v>
      </c>
      <c r="BH44">
        <f t="shared" si="37"/>
        <v>3</v>
      </c>
      <c r="BI44">
        <f t="shared" si="38"/>
        <v>0</v>
      </c>
      <c r="BJ44">
        <f t="shared" si="39"/>
        <v>0</v>
      </c>
      <c r="BK44">
        <f t="shared" si="40"/>
        <v>0</v>
      </c>
      <c r="BL44">
        <f t="shared" si="41"/>
        <v>3</v>
      </c>
      <c r="BM44">
        <f t="shared" si="42"/>
        <v>0</v>
      </c>
      <c r="BN44">
        <f t="shared" si="43"/>
        <v>0</v>
      </c>
      <c r="BO44">
        <f t="shared" si="44"/>
        <v>0</v>
      </c>
      <c r="BP44">
        <f t="shared" si="45"/>
        <v>3</v>
      </c>
      <c r="BQ44">
        <f t="shared" si="46"/>
        <v>0</v>
      </c>
      <c r="BR44">
        <f t="shared" si="47"/>
        <v>0</v>
      </c>
    </row>
    <row r="45" spans="1:70">
      <c r="A45" t="str">
        <f>'time 1'!B44</f>
        <v>&lt;test.GeoData: float getZ(int,int,int,int)&gt;</v>
      </c>
      <c r="B45">
        <f>AVERAGE('time 1'!D44/'time 1'!C44,'time 2'!D44/'time 2'!C44,'time 3'!D44/'time 3'!C44)</f>
        <v>1.027305558206038</v>
      </c>
      <c r="C45">
        <f>AVERAGE('time 1'!F44/'time 1'!E44,'time 2'!F44/'time 2'!E44,'time 3'!F44/'time 3'!E44)</f>
        <v>0.86452543703210727</v>
      </c>
      <c r="D45">
        <f>AVERAGE('time 1'!H44/'time 1'!G44,'time 2'!H44/'time 2'!G44,'time 3'!H44/'time 3'!G44)</f>
        <v>1.0974706795136029</v>
      </c>
      <c r="E45">
        <f>AVERAGE('time 1'!J44/'time 2'!I44,'time 2'!J44/'time 2'!I44,'time 3'!J44/'time 3'!I44)</f>
        <v>1.0252318690371789</v>
      </c>
      <c r="F45">
        <f>AVERAGE('time 1'!L44/'time 1'!K44,'time 2'!L44/'time 2'!K44,'time 3'!L44/'time 3'!K44)</f>
        <v>0.877246028295953</v>
      </c>
      <c r="G45">
        <f>AVERAGE('time 1'!N44/'time 1'!M44,'time 2'!N44/'time 2'!M44,'time 3'!N44/'time 3'!M44)</f>
        <v>1.0658240840175901</v>
      </c>
      <c r="H45">
        <f>AVERAGE('time 1'!P44/'time 1'!O44,'time 2'!P44/'time 2'!O44,'time 3'!P44/'time 3'!O44)</f>
        <v>0.91689555367476772</v>
      </c>
      <c r="I45">
        <f>AVERAGE('time 1'!R44/'time 1'!Q44,'time 2'!R44/'time 2'!Q44,'time 3'!R44/'time 3'!Q44)</f>
        <v>0.83060532036373103</v>
      </c>
      <c r="J45">
        <f>AVERAGE('time 1'!T44/'time 1'!S44,'time 2'!T44/'time 2'!S44,'time 3'!T44/'time 3'!S44)</f>
        <v>0.86924518769895487</v>
      </c>
      <c r="K45">
        <f t="shared" si="3"/>
        <v>5</v>
      </c>
      <c r="L45">
        <f t="shared" si="4"/>
        <v>4</v>
      </c>
      <c r="M45">
        <f t="shared" si="5"/>
        <v>0</v>
      </c>
      <c r="N45">
        <f t="shared" si="6"/>
        <v>0</v>
      </c>
      <c r="O45">
        <f t="shared" si="7"/>
        <v>1</v>
      </c>
      <c r="P45">
        <f t="shared" si="48"/>
        <v>2</v>
      </c>
      <c r="Q45">
        <f t="shared" si="49"/>
        <v>0</v>
      </c>
      <c r="R45">
        <f t="shared" si="8"/>
        <v>0</v>
      </c>
      <c r="S45">
        <f t="shared" si="9"/>
        <v>3</v>
      </c>
      <c r="T45">
        <f t="shared" si="10"/>
        <v>0</v>
      </c>
      <c r="U45">
        <f t="shared" si="11"/>
        <v>0</v>
      </c>
      <c r="V45">
        <f t="shared" si="12"/>
        <v>0</v>
      </c>
      <c r="W45">
        <f t="shared" si="13"/>
        <v>1</v>
      </c>
      <c r="X45">
        <f t="shared" si="14"/>
        <v>2</v>
      </c>
      <c r="Y45">
        <f t="shared" si="15"/>
        <v>0</v>
      </c>
      <c r="Z45">
        <f t="shared" si="16"/>
        <v>0</v>
      </c>
      <c r="AB45">
        <f>AVERAGE('accuracy dom5dom4'!$C45,'accuracy dom51dom41'!$C45,'accuracy dom52dom42'!$C45)</f>
        <v>12</v>
      </c>
      <c r="AC45">
        <f>AVERAGE('accuracy dom5dom4'!$G45,'accuracy dom51dom41'!$G45,'accuracy dom52dom42'!$G45)</f>
        <v>12</v>
      </c>
      <c r="AD45">
        <f>AVERAGE('accuracy dom5dom4'!$AB45,'accuracy dom51dom41'!$AB45,'accuracy dom52dom42'!$AB45)</f>
        <v>12</v>
      </c>
      <c r="AE45">
        <f>AVERAGE('accuracy dom7dom6'!$C45,'accuracy dom71dom61'!$C45,'accuracy dom72dom62'!$C45)</f>
        <v>12</v>
      </c>
      <c r="AF45">
        <f>AVERAGE('accuracy dom7dom6'!$G45,'accuracy dom71dom61'!$G45,'accuracy dom72dom62'!$G45)</f>
        <v>12</v>
      </c>
      <c r="AG45">
        <f>AVERAGE('accuracy dom7dom6'!$AB45,'accuracy dom71dom61'!$AB45,'accuracy dom72dom62'!$AB45)</f>
        <v>12</v>
      </c>
      <c r="AH45">
        <f>AVERAGE('accuracy dom9dom8'!$C45,'accuracy dom91dom81'!$C45,'accuracy dom92dom82'!$C45)</f>
        <v>12</v>
      </c>
      <c r="AI45">
        <f>AVERAGE('accuracy dom9dom8'!$G45,'accuracy dom91dom81'!$G45,'accuracy dom92dom82'!$G45)</f>
        <v>12</v>
      </c>
      <c r="AJ45">
        <f>AVERAGE('accuracy dom9dom8'!$AB45,'accuracy dom91dom81'!$AB45,'accuracy dom92dom82'!$AB45)</f>
        <v>12</v>
      </c>
      <c r="AK45">
        <f t="shared" si="17"/>
        <v>9</v>
      </c>
      <c r="AL45">
        <f t="shared" si="50"/>
        <v>60</v>
      </c>
      <c r="AM45">
        <f t="shared" si="51"/>
        <v>48</v>
      </c>
      <c r="AN45">
        <f t="shared" si="52"/>
        <v>0</v>
      </c>
      <c r="AO45">
        <f t="shared" si="19"/>
        <v>0</v>
      </c>
      <c r="AP45">
        <f t="shared" si="20"/>
        <v>12</v>
      </c>
      <c r="AQ45">
        <f t="shared" si="21"/>
        <v>24</v>
      </c>
      <c r="AR45">
        <f t="shared" si="22"/>
        <v>0</v>
      </c>
      <c r="AS45">
        <f t="shared" si="23"/>
        <v>0</v>
      </c>
      <c r="AT45">
        <f t="shared" si="24"/>
        <v>36</v>
      </c>
      <c r="AU45">
        <f t="shared" si="25"/>
        <v>0</v>
      </c>
      <c r="AV45">
        <f t="shared" si="26"/>
        <v>0</v>
      </c>
      <c r="AW45">
        <f t="shared" si="27"/>
        <v>0</v>
      </c>
      <c r="AX45">
        <f t="shared" si="28"/>
        <v>12</v>
      </c>
      <c r="AY45">
        <f t="shared" si="29"/>
        <v>24</v>
      </c>
      <c r="AZ45">
        <f t="shared" si="30"/>
        <v>0</v>
      </c>
      <c r="BA45">
        <f t="shared" si="31"/>
        <v>0</v>
      </c>
      <c r="BC45">
        <f t="shared" si="32"/>
        <v>5</v>
      </c>
      <c r="BD45">
        <f t="shared" si="33"/>
        <v>4</v>
      </c>
      <c r="BE45">
        <f t="shared" si="34"/>
        <v>0</v>
      </c>
      <c r="BF45">
        <f t="shared" si="35"/>
        <v>0</v>
      </c>
      <c r="BG45">
        <f t="shared" si="36"/>
        <v>1</v>
      </c>
      <c r="BH45">
        <f t="shared" si="37"/>
        <v>2</v>
      </c>
      <c r="BI45">
        <f t="shared" si="38"/>
        <v>0</v>
      </c>
      <c r="BJ45">
        <f t="shared" si="39"/>
        <v>0</v>
      </c>
      <c r="BK45">
        <f t="shared" si="40"/>
        <v>3</v>
      </c>
      <c r="BL45">
        <f t="shared" si="41"/>
        <v>0</v>
      </c>
      <c r="BM45">
        <f t="shared" si="42"/>
        <v>0</v>
      </c>
      <c r="BN45">
        <f t="shared" si="43"/>
        <v>0</v>
      </c>
      <c r="BO45">
        <f t="shared" si="44"/>
        <v>1</v>
      </c>
      <c r="BP45">
        <f t="shared" si="45"/>
        <v>2</v>
      </c>
      <c r="BQ45">
        <f t="shared" si="46"/>
        <v>0</v>
      </c>
      <c r="BR45">
        <f t="shared" si="47"/>
        <v>0</v>
      </c>
    </row>
    <row r="46" spans="1:70">
      <c r="A46" t="str">
        <f>'time 1'!B45</f>
        <v>&lt;test.GeoEngine: boolean checkNSWE(short,int,int,int,int)&gt;</v>
      </c>
      <c r="B46">
        <f>AVERAGE('time 1'!D45/'time 1'!C45,'time 2'!D45/'time 2'!C45,'time 3'!D45/'time 3'!C45)</f>
        <v>1.2228527231821575</v>
      </c>
      <c r="C46">
        <f>AVERAGE('time 1'!F45/'time 1'!E45,'time 2'!F45/'time 2'!E45,'time 3'!F45/'time 3'!E45)</f>
        <v>0.92735431033945359</v>
      </c>
      <c r="D46">
        <f>AVERAGE('time 1'!H45/'time 1'!G45,'time 2'!H45/'time 2'!G45,'time 3'!H45/'time 3'!G45)</f>
        <v>0.94810505989490101</v>
      </c>
      <c r="E46">
        <f>AVERAGE('time 1'!J45/'time 2'!I45,'time 2'!J45/'time 2'!I45,'time 3'!J45/'time 3'!I45)</f>
        <v>1.0472756251281339</v>
      </c>
      <c r="F46">
        <f>AVERAGE('time 1'!L45/'time 1'!K45,'time 2'!L45/'time 2'!K45,'time 3'!L45/'time 3'!K45)</f>
        <v>1.0046458463520807</v>
      </c>
      <c r="G46">
        <f>AVERAGE('time 1'!N45/'time 1'!M45,'time 2'!N45/'time 2'!M45,'time 3'!N45/'time 3'!M45)</f>
        <v>0.98350935914023241</v>
      </c>
      <c r="H46">
        <f>AVERAGE('time 1'!P45/'time 1'!O45,'time 2'!P45/'time 2'!O45,'time 3'!P45/'time 3'!O45)</f>
        <v>1.0331132768111599</v>
      </c>
      <c r="I46">
        <f>AVERAGE('time 1'!R45/'time 1'!Q45,'time 2'!R45/'time 2'!Q45,'time 3'!R45/'time 3'!Q45)</f>
        <v>0.86840088614767408</v>
      </c>
      <c r="J46">
        <f>AVERAGE('time 1'!T45/'time 1'!S45,'time 2'!T45/'time 2'!S45,'time 3'!T45/'time 3'!S45)</f>
        <v>1.0031057041082379</v>
      </c>
      <c r="K46">
        <f t="shared" si="3"/>
        <v>4</v>
      </c>
      <c r="L46">
        <f t="shared" si="4"/>
        <v>5</v>
      </c>
      <c r="M46">
        <f t="shared" si="5"/>
        <v>0</v>
      </c>
      <c r="N46">
        <f t="shared" si="6"/>
        <v>0</v>
      </c>
      <c r="O46">
        <f t="shared" si="7"/>
        <v>0</v>
      </c>
      <c r="P46">
        <f t="shared" si="48"/>
        <v>3</v>
      </c>
      <c r="Q46">
        <f t="shared" si="49"/>
        <v>0</v>
      </c>
      <c r="R46">
        <f t="shared" si="8"/>
        <v>0</v>
      </c>
      <c r="S46">
        <f t="shared" si="9"/>
        <v>2</v>
      </c>
      <c r="T46">
        <f t="shared" si="10"/>
        <v>1</v>
      </c>
      <c r="U46">
        <f t="shared" si="11"/>
        <v>0</v>
      </c>
      <c r="V46">
        <f t="shared" si="12"/>
        <v>0</v>
      </c>
      <c r="W46">
        <f t="shared" si="13"/>
        <v>2</v>
      </c>
      <c r="X46">
        <f t="shared" si="14"/>
        <v>1</v>
      </c>
      <c r="Y46">
        <f t="shared" si="15"/>
        <v>0</v>
      </c>
      <c r="Z46">
        <f t="shared" si="16"/>
        <v>0</v>
      </c>
      <c r="AB46">
        <f>AVERAGE('accuracy dom5dom4'!$C46,'accuracy dom51dom41'!$C46,'accuracy dom52dom42'!$C46)</f>
        <v>0</v>
      </c>
      <c r="AC46">
        <f>AVERAGE('accuracy dom5dom4'!$G46,'accuracy dom51dom41'!$G46,'accuracy dom52dom42'!$G46)</f>
        <v>0</v>
      </c>
      <c r="AD46">
        <f>AVERAGE('accuracy dom5dom4'!$AB46,'accuracy dom51dom41'!$AB46,'accuracy dom52dom42'!$AB46)</f>
        <v>0</v>
      </c>
      <c r="AE46">
        <f>AVERAGE('accuracy dom7dom6'!$C46,'accuracy dom71dom61'!$C46,'accuracy dom72dom62'!$C46)</f>
        <v>0</v>
      </c>
      <c r="AF46">
        <f>AVERAGE('accuracy dom7dom6'!$G46,'accuracy dom71dom61'!$G46,'accuracy dom72dom62'!$G46)</f>
        <v>0</v>
      </c>
      <c r="AG46">
        <f>AVERAGE('accuracy dom7dom6'!$AB46,'accuracy dom71dom61'!$AB46,'accuracy dom72dom62'!$AB46)</f>
        <v>0</v>
      </c>
      <c r="AH46">
        <f>AVERAGE('accuracy dom9dom8'!$C46,'accuracy dom91dom81'!$C46,'accuracy dom92dom82'!$C46)</f>
        <v>0</v>
      </c>
      <c r="AI46">
        <f>AVERAGE('accuracy dom9dom8'!$G46,'accuracy dom91dom81'!$G46,'accuracy dom92dom82'!$G46)</f>
        <v>0</v>
      </c>
      <c r="AJ46">
        <f>AVERAGE('accuracy dom9dom8'!$AB46,'accuracy dom91dom81'!$AB46,'accuracy dom92dom82'!$AB46)</f>
        <v>0</v>
      </c>
      <c r="AK46">
        <f t="shared" si="17"/>
        <v>0</v>
      </c>
      <c r="AL46">
        <f t="shared" si="50"/>
        <v>0</v>
      </c>
      <c r="AM46">
        <f t="shared" si="51"/>
        <v>0</v>
      </c>
      <c r="AN46">
        <f t="shared" si="52"/>
        <v>0</v>
      </c>
      <c r="AO46">
        <f t="shared" si="19"/>
        <v>0</v>
      </c>
      <c r="AP46">
        <f t="shared" si="20"/>
        <v>0</v>
      </c>
      <c r="AQ46">
        <f t="shared" si="21"/>
        <v>0</v>
      </c>
      <c r="AR46">
        <f t="shared" si="22"/>
        <v>0</v>
      </c>
      <c r="AS46">
        <f t="shared" si="23"/>
        <v>0</v>
      </c>
      <c r="AT46">
        <f t="shared" si="24"/>
        <v>0</v>
      </c>
      <c r="AU46">
        <f t="shared" si="25"/>
        <v>0</v>
      </c>
      <c r="AV46">
        <f t="shared" si="26"/>
        <v>0</v>
      </c>
      <c r="AW46">
        <f t="shared" si="27"/>
        <v>0</v>
      </c>
      <c r="AX46">
        <f t="shared" si="28"/>
        <v>0</v>
      </c>
      <c r="AY46">
        <f t="shared" si="29"/>
        <v>0</v>
      </c>
      <c r="AZ46">
        <f t="shared" si="30"/>
        <v>0</v>
      </c>
      <c r="BA46">
        <f t="shared" si="31"/>
        <v>0</v>
      </c>
      <c r="BC46">
        <f t="shared" si="32"/>
        <v>0</v>
      </c>
      <c r="BD46">
        <f t="shared" si="33"/>
        <v>0</v>
      </c>
      <c r="BE46">
        <f t="shared" si="34"/>
        <v>0</v>
      </c>
      <c r="BF46">
        <f t="shared" si="35"/>
        <v>0</v>
      </c>
      <c r="BG46">
        <f t="shared" si="36"/>
        <v>0</v>
      </c>
      <c r="BH46">
        <f t="shared" si="37"/>
        <v>0</v>
      </c>
      <c r="BI46">
        <f t="shared" si="38"/>
        <v>0</v>
      </c>
      <c r="BJ46">
        <f t="shared" si="39"/>
        <v>0</v>
      </c>
      <c r="BK46">
        <f t="shared" si="40"/>
        <v>0</v>
      </c>
      <c r="BL46">
        <f t="shared" si="41"/>
        <v>0</v>
      </c>
      <c r="BM46">
        <f t="shared" si="42"/>
        <v>0</v>
      </c>
      <c r="BN46">
        <f t="shared" si="43"/>
        <v>0</v>
      </c>
      <c r="BO46">
        <f t="shared" si="44"/>
        <v>0</v>
      </c>
      <c r="BP46">
        <f t="shared" si="45"/>
        <v>0</v>
      </c>
      <c r="BQ46">
        <f t="shared" si="46"/>
        <v>0</v>
      </c>
      <c r="BR46">
        <f t="shared" si="47"/>
        <v>0</v>
      </c>
    </row>
    <row r="47" spans="1:70">
      <c r="A47" t="str">
        <f>'time 1'!B46</f>
        <v>&lt;test.GeoEngine: boolean nLOS(int,int,int,int,int,int,boolean,short,byte,int)&gt;</v>
      </c>
      <c r="B47">
        <f>AVERAGE('time 1'!D46/'time 1'!C46,'time 2'!D46/'time 2'!C46,'time 3'!D46/'time 3'!C46)</f>
        <v>12.126206177893261</v>
      </c>
      <c r="C47">
        <f>AVERAGE('time 1'!F46/'time 1'!E46,'time 2'!F46/'time 2'!E46,'time 3'!F46/'time 3'!E46)</f>
        <v>4.2506987698020682</v>
      </c>
      <c r="D47">
        <f>AVERAGE('time 1'!H46/'time 1'!G46,'time 2'!H46/'time 2'!G46,'time 3'!H46/'time 3'!G46)</f>
        <v>7.1473926116043449</v>
      </c>
      <c r="E47">
        <f>AVERAGE('time 1'!J46/'time 2'!I46,'time 2'!J46/'time 2'!I46,'time 3'!J46/'time 3'!I46)</f>
        <v>10.684016650656419</v>
      </c>
      <c r="F47">
        <f>AVERAGE('time 1'!L46/'time 1'!K46,'time 2'!L46/'time 2'!K46,'time 3'!L46/'time 3'!K46)</f>
        <v>2.1074768523557981</v>
      </c>
      <c r="G47">
        <f>AVERAGE('time 1'!N46/'time 1'!M46,'time 2'!N46/'time 2'!M46,'time 3'!N46/'time 3'!M46)</f>
        <v>9.1924971909274955</v>
      </c>
      <c r="H47">
        <f>AVERAGE('time 1'!P46/'time 1'!O46,'time 2'!P46/'time 2'!O46,'time 3'!P46/'time 3'!O46)</f>
        <v>9.6340337547818411</v>
      </c>
      <c r="I47">
        <f>AVERAGE('time 1'!R46/'time 1'!Q46,'time 2'!R46/'time 2'!Q46,'time 3'!R46/'time 3'!Q46)</f>
        <v>1.3863444388031578</v>
      </c>
      <c r="J47">
        <f>AVERAGE('time 1'!T46/'time 1'!S46,'time 2'!T46/'time 2'!S46,'time 3'!T46/'time 3'!S46)</f>
        <v>8.5603635867995127</v>
      </c>
      <c r="K47">
        <f t="shared" si="3"/>
        <v>0</v>
      </c>
      <c r="L47">
        <f t="shared" si="4"/>
        <v>1</v>
      </c>
      <c r="M47">
        <f t="shared" si="5"/>
        <v>7</v>
      </c>
      <c r="N47">
        <f t="shared" si="6"/>
        <v>1</v>
      </c>
      <c r="O47">
        <f t="shared" si="7"/>
        <v>0</v>
      </c>
      <c r="P47">
        <f t="shared" si="48"/>
        <v>0</v>
      </c>
      <c r="Q47">
        <f t="shared" si="49"/>
        <v>2</v>
      </c>
      <c r="R47">
        <f t="shared" si="8"/>
        <v>1</v>
      </c>
      <c r="S47">
        <f t="shared" si="9"/>
        <v>0</v>
      </c>
      <c r="T47">
        <f t="shared" si="10"/>
        <v>1</v>
      </c>
      <c r="U47">
        <f t="shared" si="11"/>
        <v>2</v>
      </c>
      <c r="V47">
        <f t="shared" si="12"/>
        <v>0</v>
      </c>
      <c r="W47">
        <f t="shared" si="13"/>
        <v>0</v>
      </c>
      <c r="X47">
        <f t="shared" si="14"/>
        <v>0</v>
      </c>
      <c r="Y47">
        <f t="shared" si="15"/>
        <v>3</v>
      </c>
      <c r="Z47">
        <f t="shared" si="16"/>
        <v>0</v>
      </c>
      <c r="AB47">
        <f>AVERAGE('accuracy dom5dom4'!$C47,'accuracy dom51dom41'!$C47,'accuracy dom52dom42'!$C47)</f>
        <v>14.333333333333334</v>
      </c>
      <c r="AC47">
        <f>AVERAGE('accuracy dom5dom4'!$G47,'accuracy dom51dom41'!$G47,'accuracy dom52dom42'!$G47)</f>
        <v>14.333333333333334</v>
      </c>
      <c r="AD47">
        <f>AVERAGE('accuracy dom5dom4'!$AB47,'accuracy dom51dom41'!$AB47,'accuracy dom52dom42'!$AB47)</f>
        <v>14.333333333333334</v>
      </c>
      <c r="AE47">
        <f>AVERAGE('accuracy dom7dom6'!$C47,'accuracy dom71dom61'!$C47,'accuracy dom72dom62'!$C47)</f>
        <v>14.333333333333334</v>
      </c>
      <c r="AF47">
        <f>AVERAGE('accuracy dom7dom6'!$G47,'accuracy dom71dom61'!$G47,'accuracy dom72dom62'!$G47)</f>
        <v>14.333333333333334</v>
      </c>
      <c r="AG47">
        <f>AVERAGE('accuracy dom7dom6'!$AB47,'accuracy dom71dom61'!$AB47,'accuracy dom72dom62'!$AB47)</f>
        <v>14.333333333333334</v>
      </c>
      <c r="AH47">
        <f>AVERAGE('accuracy dom9dom8'!$C47,'accuracy dom91dom81'!$C47,'accuracy dom92dom82'!$C47)</f>
        <v>15</v>
      </c>
      <c r="AI47">
        <f>AVERAGE('accuracy dom9dom8'!$G47,'accuracy dom91dom81'!$G47,'accuracy dom92dom82'!$G47)</f>
        <v>15</v>
      </c>
      <c r="AJ47">
        <f>AVERAGE('accuracy dom9dom8'!$AB47,'accuracy dom91dom81'!$AB47,'accuracy dom92dom82'!$AB47)</f>
        <v>15</v>
      </c>
      <c r="AK47">
        <f t="shared" si="17"/>
        <v>9</v>
      </c>
      <c r="AL47">
        <f t="shared" si="50"/>
        <v>0</v>
      </c>
      <c r="AM47">
        <f t="shared" si="51"/>
        <v>15</v>
      </c>
      <c r="AN47">
        <f t="shared" si="52"/>
        <v>101.66666666666667</v>
      </c>
      <c r="AO47">
        <f t="shared" si="19"/>
        <v>28.666666666666668</v>
      </c>
      <c r="AP47">
        <f t="shared" si="20"/>
        <v>0</v>
      </c>
      <c r="AQ47">
        <f t="shared" si="21"/>
        <v>0</v>
      </c>
      <c r="AR47">
        <f t="shared" si="22"/>
        <v>29.333333333333336</v>
      </c>
      <c r="AS47">
        <f t="shared" si="23"/>
        <v>28.666666666666668</v>
      </c>
      <c r="AT47">
        <f t="shared" si="24"/>
        <v>0</v>
      </c>
      <c r="AU47">
        <f t="shared" si="25"/>
        <v>15</v>
      </c>
      <c r="AV47">
        <f t="shared" si="26"/>
        <v>28.666666666666671</v>
      </c>
      <c r="AW47">
        <f t="shared" si="27"/>
        <v>0</v>
      </c>
      <c r="AX47">
        <f t="shared" si="28"/>
        <v>0</v>
      </c>
      <c r="AY47">
        <f t="shared" si="29"/>
        <v>0</v>
      </c>
      <c r="AZ47">
        <f t="shared" si="30"/>
        <v>43.666666666666671</v>
      </c>
      <c r="BA47">
        <f t="shared" si="31"/>
        <v>0</v>
      </c>
      <c r="BC47">
        <f t="shared" si="32"/>
        <v>0</v>
      </c>
      <c r="BD47">
        <f t="shared" si="33"/>
        <v>1</v>
      </c>
      <c r="BE47">
        <f t="shared" si="34"/>
        <v>7</v>
      </c>
      <c r="BF47">
        <f t="shared" si="35"/>
        <v>1</v>
      </c>
      <c r="BG47">
        <f t="shared" si="36"/>
        <v>0</v>
      </c>
      <c r="BH47">
        <f t="shared" si="37"/>
        <v>0</v>
      </c>
      <c r="BI47">
        <f t="shared" si="38"/>
        <v>2</v>
      </c>
      <c r="BJ47">
        <f t="shared" si="39"/>
        <v>1</v>
      </c>
      <c r="BK47">
        <f t="shared" si="40"/>
        <v>0</v>
      </c>
      <c r="BL47">
        <f t="shared" si="41"/>
        <v>1</v>
      </c>
      <c r="BM47">
        <f t="shared" si="42"/>
        <v>2</v>
      </c>
      <c r="BN47">
        <f t="shared" si="43"/>
        <v>0</v>
      </c>
      <c r="BO47">
        <f t="shared" si="44"/>
        <v>0</v>
      </c>
      <c r="BP47">
        <f t="shared" si="45"/>
        <v>0</v>
      </c>
      <c r="BQ47">
        <f t="shared" si="46"/>
        <v>3</v>
      </c>
      <c r="BR47">
        <f t="shared" si="47"/>
        <v>0</v>
      </c>
    </row>
    <row r="48" spans="1:70">
      <c r="A48" t="str">
        <f>'time 1'!B47</f>
        <v>&lt;test.GeoEngine: double nCanMoveNext(int,int,int,int,int,int,byte,short,java.lang.Object)&gt;</v>
      </c>
      <c r="B48">
        <f>AVERAGE('time 1'!D47/'time 1'!C47,'time 2'!D47/'time 2'!C47,'time 3'!D47/'time 3'!C47)</f>
        <v>41.650165988542746</v>
      </c>
      <c r="C48">
        <f>AVERAGE('time 1'!F47/'time 1'!E47,'time 2'!F47/'time 2'!E47,'time 3'!F47/'time 3'!E47)</f>
        <v>8.2621965943359328</v>
      </c>
      <c r="D48">
        <f>AVERAGE('time 1'!H47/'time 1'!G47,'time 2'!H47/'time 2'!G47,'time 3'!H47/'time 3'!G47)</f>
        <v>3.1212163614281896</v>
      </c>
      <c r="E48">
        <f>AVERAGE('time 1'!J47/'time 2'!I47,'time 2'!J47/'time 2'!I47,'time 3'!J47/'time 3'!I47)</f>
        <v>4.2918010301340335</v>
      </c>
      <c r="F48">
        <f>AVERAGE('time 1'!L47/'time 1'!K47,'time 2'!L47/'time 2'!K47,'time 3'!L47/'time 3'!K47)</f>
        <v>2.031023926297141</v>
      </c>
      <c r="G48">
        <f>AVERAGE('time 1'!N47/'time 1'!M47,'time 2'!N47/'time 2'!M47,'time 3'!N47/'time 3'!M47)</f>
        <v>40.554976581099346</v>
      </c>
      <c r="H48">
        <f>AVERAGE('time 1'!P47/'time 1'!O47,'time 2'!P47/'time 2'!O47,'time 3'!P47/'time 3'!O47)</f>
        <v>9.8364686158551198</v>
      </c>
      <c r="I48">
        <f>AVERAGE('time 1'!R47/'time 1'!Q47,'time 2'!R47/'time 2'!Q47,'time 3'!R47/'time 3'!Q47)</f>
        <v>0.86635289247453706</v>
      </c>
      <c r="J48">
        <f>AVERAGE('time 1'!T47/'time 1'!S47,'time 2'!T47/'time 2'!S47,'time 3'!T47/'time 3'!S47)</f>
        <v>29.959459112813111</v>
      </c>
      <c r="K48">
        <f t="shared" si="3"/>
        <v>1</v>
      </c>
      <c r="L48">
        <f t="shared" si="4"/>
        <v>0</v>
      </c>
      <c r="M48">
        <f t="shared" si="5"/>
        <v>5</v>
      </c>
      <c r="N48">
        <f t="shared" si="6"/>
        <v>3</v>
      </c>
      <c r="O48">
        <f t="shared" si="7"/>
        <v>0</v>
      </c>
      <c r="P48">
        <f t="shared" si="48"/>
        <v>0</v>
      </c>
      <c r="Q48">
        <f t="shared" si="49"/>
        <v>2</v>
      </c>
      <c r="R48">
        <f t="shared" si="8"/>
        <v>1</v>
      </c>
      <c r="S48">
        <f t="shared" si="9"/>
        <v>1</v>
      </c>
      <c r="T48">
        <f t="shared" si="10"/>
        <v>0</v>
      </c>
      <c r="U48">
        <f t="shared" si="11"/>
        <v>2</v>
      </c>
      <c r="V48">
        <f t="shared" si="12"/>
        <v>0</v>
      </c>
      <c r="W48">
        <f t="shared" si="13"/>
        <v>0</v>
      </c>
      <c r="X48">
        <f t="shared" si="14"/>
        <v>0</v>
      </c>
      <c r="Y48">
        <f t="shared" si="15"/>
        <v>1</v>
      </c>
      <c r="Z48">
        <f t="shared" si="16"/>
        <v>2</v>
      </c>
      <c r="AB48">
        <f>AVERAGE('accuracy dom5dom4'!$C48,'accuracy dom51dom41'!$C48,'accuracy dom52dom42'!$C48)</f>
        <v>4</v>
      </c>
      <c r="AC48">
        <f>AVERAGE('accuracy dom5dom4'!$G48,'accuracy dom51dom41'!$G48,'accuracy dom52dom42'!$G48)</f>
        <v>6</v>
      </c>
      <c r="AD48">
        <f>AVERAGE('accuracy dom5dom4'!$AB48,'accuracy dom51dom41'!$AB48,'accuracy dom52dom42'!$AB48)</f>
        <v>6</v>
      </c>
      <c r="AE48">
        <f>AVERAGE('accuracy dom7dom6'!$C48,'accuracy dom71dom61'!$C48,'accuracy dom72dom62'!$C48)</f>
        <v>4</v>
      </c>
      <c r="AF48">
        <f>AVERAGE('accuracy dom7dom6'!$G48,'accuracy dom71dom61'!$G48,'accuracy dom72dom62'!$G48)</f>
        <v>6</v>
      </c>
      <c r="AG48">
        <f>AVERAGE('accuracy dom7dom6'!$AB48,'accuracy dom71dom61'!$AB48,'accuracy dom72dom62'!$AB48)</f>
        <v>6</v>
      </c>
      <c r="AH48">
        <f>AVERAGE('accuracy dom9dom8'!$C48,'accuracy dom91dom81'!$C48,'accuracy dom92dom82'!$C48)</f>
        <v>5</v>
      </c>
      <c r="AI48">
        <f>AVERAGE('accuracy dom9dom8'!$G48,'accuracy dom91dom81'!$G48,'accuracy dom92dom82'!$G48)</f>
        <v>7</v>
      </c>
      <c r="AJ48">
        <f>AVERAGE('accuracy dom9dom8'!$AB48,'accuracy dom91dom81'!$AB48,'accuracy dom92dom82'!$AB48)</f>
        <v>7</v>
      </c>
      <c r="AK48">
        <f t="shared" si="17"/>
        <v>9</v>
      </c>
      <c r="AL48">
        <f t="shared" si="50"/>
        <v>7</v>
      </c>
      <c r="AM48">
        <f t="shared" si="51"/>
        <v>0</v>
      </c>
      <c r="AN48">
        <f t="shared" si="52"/>
        <v>27</v>
      </c>
      <c r="AO48">
        <f t="shared" si="19"/>
        <v>17</v>
      </c>
      <c r="AP48">
        <f t="shared" si="20"/>
        <v>0</v>
      </c>
      <c r="AQ48">
        <f t="shared" si="21"/>
        <v>0</v>
      </c>
      <c r="AR48">
        <f t="shared" si="22"/>
        <v>9</v>
      </c>
      <c r="AS48">
        <f t="shared" si="23"/>
        <v>4</v>
      </c>
      <c r="AT48">
        <f t="shared" si="24"/>
        <v>7</v>
      </c>
      <c r="AU48">
        <f t="shared" si="25"/>
        <v>0</v>
      </c>
      <c r="AV48">
        <f t="shared" si="26"/>
        <v>12</v>
      </c>
      <c r="AW48">
        <f t="shared" si="27"/>
        <v>0</v>
      </c>
      <c r="AX48">
        <f t="shared" si="28"/>
        <v>0</v>
      </c>
      <c r="AY48">
        <f t="shared" si="29"/>
        <v>0</v>
      </c>
      <c r="AZ48">
        <f t="shared" si="30"/>
        <v>6</v>
      </c>
      <c r="BA48">
        <f t="shared" si="31"/>
        <v>13</v>
      </c>
      <c r="BC48">
        <f t="shared" si="32"/>
        <v>1</v>
      </c>
      <c r="BD48">
        <f t="shared" si="33"/>
        <v>0</v>
      </c>
      <c r="BE48">
        <f t="shared" si="34"/>
        <v>5</v>
      </c>
      <c r="BF48">
        <f t="shared" si="35"/>
        <v>3</v>
      </c>
      <c r="BG48">
        <f t="shared" si="36"/>
        <v>0</v>
      </c>
      <c r="BH48">
        <f t="shared" si="37"/>
        <v>0</v>
      </c>
      <c r="BI48">
        <f t="shared" si="38"/>
        <v>2</v>
      </c>
      <c r="BJ48">
        <f t="shared" si="39"/>
        <v>1</v>
      </c>
      <c r="BK48">
        <f t="shared" si="40"/>
        <v>1</v>
      </c>
      <c r="BL48">
        <f t="shared" si="41"/>
        <v>0</v>
      </c>
      <c r="BM48">
        <f t="shared" si="42"/>
        <v>2</v>
      </c>
      <c r="BN48">
        <f t="shared" si="43"/>
        <v>0</v>
      </c>
      <c r="BO48">
        <f t="shared" si="44"/>
        <v>0</v>
      </c>
      <c r="BP48">
        <f t="shared" si="45"/>
        <v>0</v>
      </c>
      <c r="BQ48">
        <f t="shared" si="46"/>
        <v>1</v>
      </c>
      <c r="BR48">
        <f t="shared" si="47"/>
        <v>2</v>
      </c>
    </row>
    <row r="49" spans="1:70">
      <c r="A49" t="str">
        <f>'time 1'!B48</f>
        <v>&lt;test.GeoEngine: int getBlock(int)&gt;</v>
      </c>
      <c r="B49">
        <f>AVERAGE('time 1'!D48/'time 1'!C48,'time 2'!D48/'time 2'!C48,'time 3'!D48/'time 3'!C48)</f>
        <v>1.1425120772946862</v>
      </c>
      <c r="C49">
        <f>AVERAGE('time 1'!F48/'time 1'!E48,'time 2'!F48/'time 2'!E48,'time 3'!F48/'time 3'!E48)</f>
        <v>1.0146864947529399</v>
      </c>
      <c r="D49">
        <f>AVERAGE('time 1'!H48/'time 1'!G48,'time 2'!H48/'time 2'!G48,'time 3'!H48/'time 3'!G48)</f>
        <v>0.88598715348208257</v>
      </c>
      <c r="E49">
        <f>AVERAGE('time 1'!J48/'time 2'!I48,'time 2'!J48/'time 2'!I48,'time 3'!J48/'time 3'!I48)</f>
        <v>0.98989898989898994</v>
      </c>
      <c r="F49">
        <f>AVERAGE('time 1'!L48/'time 1'!K48,'time 2'!L48/'time 2'!K48,'time 3'!L48/'time 3'!K48)</f>
        <v>1.0564780936297964</v>
      </c>
      <c r="G49">
        <f>AVERAGE('time 1'!N48/'time 1'!M48,'time 2'!N48/'time 2'!M48,'time 3'!N48/'time 3'!M48)</f>
        <v>0.75265563435776206</v>
      </c>
      <c r="H49">
        <f>AVERAGE('time 1'!P48/'time 1'!O48,'time 2'!P48/'time 2'!O48,'time 3'!P48/'time 3'!O48)</f>
        <v>1.0275418275418275</v>
      </c>
      <c r="I49">
        <f>AVERAGE('time 1'!R48/'time 1'!Q48,'time 2'!R48/'time 2'!Q48,'time 3'!R48/'time 3'!Q48)</f>
        <v>0.93829616849453112</v>
      </c>
      <c r="J49">
        <f>AVERAGE('time 1'!T48/'time 1'!S48,'time 2'!T48/'time 2'!S48,'time 3'!T48/'time 3'!S48)</f>
        <v>1.0121212121212122</v>
      </c>
      <c r="K49">
        <f t="shared" si="3"/>
        <v>4</v>
      </c>
      <c r="L49">
        <f t="shared" si="4"/>
        <v>5</v>
      </c>
      <c r="M49">
        <f t="shared" si="5"/>
        <v>0</v>
      </c>
      <c r="N49">
        <f t="shared" si="6"/>
        <v>0</v>
      </c>
      <c r="O49">
        <f t="shared" si="7"/>
        <v>1</v>
      </c>
      <c r="P49">
        <f t="shared" si="48"/>
        <v>2</v>
      </c>
      <c r="Q49">
        <f t="shared" si="49"/>
        <v>0</v>
      </c>
      <c r="R49">
        <f t="shared" si="8"/>
        <v>0</v>
      </c>
      <c r="S49">
        <f t="shared" si="9"/>
        <v>1</v>
      </c>
      <c r="T49">
        <f t="shared" si="10"/>
        <v>2</v>
      </c>
      <c r="U49">
        <f t="shared" si="11"/>
        <v>0</v>
      </c>
      <c r="V49">
        <f t="shared" si="12"/>
        <v>0</v>
      </c>
      <c r="W49">
        <f t="shared" si="13"/>
        <v>2</v>
      </c>
      <c r="X49">
        <f t="shared" si="14"/>
        <v>1</v>
      </c>
      <c r="Y49">
        <f t="shared" si="15"/>
        <v>0</v>
      </c>
      <c r="Z49">
        <f t="shared" si="16"/>
        <v>0</v>
      </c>
      <c r="AB49">
        <f>AVERAGE('accuracy dom5dom4'!$C49,'accuracy dom51dom41'!$C49,'accuracy dom52dom42'!$C49)</f>
        <v>0</v>
      </c>
      <c r="AC49">
        <f>AVERAGE('accuracy dom5dom4'!$G49,'accuracy dom51dom41'!$G49,'accuracy dom52dom42'!$G49)</f>
        <v>0</v>
      </c>
      <c r="AD49">
        <f>AVERAGE('accuracy dom5dom4'!$AB49,'accuracy dom51dom41'!$AB49,'accuracy dom52dom42'!$AB49)</f>
        <v>0</v>
      </c>
      <c r="AE49">
        <f>AVERAGE('accuracy dom7dom6'!$C49,'accuracy dom71dom61'!$C49,'accuracy dom72dom62'!$C49)</f>
        <v>0</v>
      </c>
      <c r="AF49">
        <f>AVERAGE('accuracy dom7dom6'!$G49,'accuracy dom71dom61'!$G49,'accuracy dom72dom62'!$G49)</f>
        <v>0</v>
      </c>
      <c r="AG49">
        <f>AVERAGE('accuracy dom7dom6'!$AB49,'accuracy dom71dom61'!$AB49,'accuracy dom72dom62'!$AB49)</f>
        <v>0</v>
      </c>
      <c r="AH49">
        <f>AVERAGE('accuracy dom9dom8'!$C49,'accuracy dom91dom81'!$C49,'accuracy dom92dom82'!$C49)</f>
        <v>0</v>
      </c>
      <c r="AI49">
        <f>AVERAGE('accuracy dom9dom8'!$G49,'accuracy dom91dom81'!$G49,'accuracy dom92dom82'!$G49)</f>
        <v>0</v>
      </c>
      <c r="AJ49">
        <f>AVERAGE('accuracy dom9dom8'!$AB49,'accuracy dom91dom81'!$AB49,'accuracy dom92dom82'!$AB49)</f>
        <v>0</v>
      </c>
      <c r="AK49">
        <f t="shared" si="17"/>
        <v>0</v>
      </c>
      <c r="AL49">
        <f t="shared" si="50"/>
        <v>0</v>
      </c>
      <c r="AM49">
        <f t="shared" si="51"/>
        <v>0</v>
      </c>
      <c r="AN49">
        <f t="shared" si="52"/>
        <v>0</v>
      </c>
      <c r="AO49">
        <f t="shared" si="19"/>
        <v>0</v>
      </c>
      <c r="AP49">
        <f t="shared" si="20"/>
        <v>0</v>
      </c>
      <c r="AQ49">
        <f t="shared" si="21"/>
        <v>0</v>
      </c>
      <c r="AR49">
        <f t="shared" si="22"/>
        <v>0</v>
      </c>
      <c r="AS49">
        <f t="shared" si="23"/>
        <v>0</v>
      </c>
      <c r="AT49">
        <f t="shared" si="24"/>
        <v>0</v>
      </c>
      <c r="AU49">
        <f t="shared" si="25"/>
        <v>0</v>
      </c>
      <c r="AV49">
        <f t="shared" si="26"/>
        <v>0</v>
      </c>
      <c r="AW49">
        <f t="shared" si="27"/>
        <v>0</v>
      </c>
      <c r="AX49">
        <f t="shared" si="28"/>
        <v>0</v>
      </c>
      <c r="AY49">
        <f t="shared" si="29"/>
        <v>0</v>
      </c>
      <c r="AZ49">
        <f t="shared" si="30"/>
        <v>0</v>
      </c>
      <c r="BA49">
        <f t="shared" si="31"/>
        <v>0</v>
      </c>
      <c r="BC49">
        <f t="shared" si="32"/>
        <v>0</v>
      </c>
      <c r="BD49">
        <f t="shared" si="33"/>
        <v>0</v>
      </c>
      <c r="BE49">
        <f t="shared" si="34"/>
        <v>0</v>
      </c>
      <c r="BF49">
        <f t="shared" si="35"/>
        <v>0</v>
      </c>
      <c r="BG49">
        <f t="shared" si="36"/>
        <v>0</v>
      </c>
      <c r="BH49">
        <f t="shared" si="37"/>
        <v>0</v>
      </c>
      <c r="BI49">
        <f t="shared" si="38"/>
        <v>0</v>
      </c>
      <c r="BJ49">
        <f t="shared" si="39"/>
        <v>0</v>
      </c>
      <c r="BK49">
        <f t="shared" si="40"/>
        <v>0</v>
      </c>
      <c r="BL49">
        <f t="shared" si="41"/>
        <v>0</v>
      </c>
      <c r="BM49">
        <f t="shared" si="42"/>
        <v>0</v>
      </c>
      <c r="BN49">
        <f t="shared" si="43"/>
        <v>0</v>
      </c>
      <c r="BO49">
        <f t="shared" si="44"/>
        <v>0</v>
      </c>
      <c r="BP49">
        <f t="shared" si="45"/>
        <v>0</v>
      </c>
      <c r="BQ49">
        <f t="shared" si="46"/>
        <v>0</v>
      </c>
      <c r="BR49">
        <f t="shared" si="47"/>
        <v>0</v>
      </c>
    </row>
    <row r="50" spans="1:70">
      <c r="A50" t="str">
        <f>'time 1'!B49</f>
        <v>&lt;test.GeoEngine: int getCell(int)&gt;</v>
      </c>
      <c r="B50">
        <f>AVERAGE('time 1'!D49/'time 1'!C49,'time 2'!D49/'time 2'!C49,'time 3'!D49/'time 3'!C49)</f>
        <v>0.95054945054945061</v>
      </c>
      <c r="C50">
        <f>AVERAGE('time 1'!F49/'time 1'!E49,'time 2'!F49/'time 2'!E49,'time 3'!F49/'time 3'!E49)</f>
        <v>1.1559036658141517</v>
      </c>
      <c r="D50">
        <f>AVERAGE('time 1'!H49/'time 1'!G49,'time 2'!H49/'time 2'!G49,'time 3'!H49/'time 3'!G49)</f>
        <v>0.92649572649572642</v>
      </c>
      <c r="E50">
        <f>AVERAGE('time 1'!J49/'time 2'!I49,'time 2'!J49/'time 2'!I49,'time 3'!J49/'time 3'!I49)</f>
        <v>1.0026143790849673</v>
      </c>
      <c r="F50">
        <f>AVERAGE('time 1'!L49/'time 1'!K49,'time 2'!L49/'time 2'!K49,'time 3'!L49/'time 3'!K49)</f>
        <v>1.2028985507246377</v>
      </c>
      <c r="G50">
        <f>AVERAGE('time 1'!N49/'time 1'!M49,'time 2'!N49/'time 2'!M49,'time 3'!N49/'time 3'!M49)</f>
        <v>0.95672514619883042</v>
      </c>
      <c r="H50">
        <f>AVERAGE('time 1'!P49/'time 1'!O49,'time 2'!P49/'time 2'!O49,'time 3'!P49/'time 3'!O49)</f>
        <v>0.98148148148148151</v>
      </c>
      <c r="I50">
        <f>AVERAGE('time 1'!R49/'time 1'!Q49,'time 2'!R49/'time 2'!Q49,'time 3'!R49/'time 3'!Q49)</f>
        <v>1.0087719298245614</v>
      </c>
      <c r="J50">
        <f>AVERAGE('time 1'!T49/'time 1'!S49,'time 2'!T49/'time 2'!S49,'time 3'!T49/'time 3'!S49)</f>
        <v>1.0902777777777777</v>
      </c>
      <c r="K50">
        <f t="shared" si="3"/>
        <v>4</v>
      </c>
      <c r="L50">
        <f t="shared" si="4"/>
        <v>5</v>
      </c>
      <c r="M50">
        <f t="shared" si="5"/>
        <v>0</v>
      </c>
      <c r="N50">
        <f t="shared" si="6"/>
        <v>0</v>
      </c>
      <c r="O50">
        <f t="shared" si="7"/>
        <v>2</v>
      </c>
      <c r="P50">
        <f t="shared" si="48"/>
        <v>1</v>
      </c>
      <c r="Q50">
        <f t="shared" si="49"/>
        <v>0</v>
      </c>
      <c r="R50">
        <f t="shared" si="8"/>
        <v>0</v>
      </c>
      <c r="S50">
        <f t="shared" si="9"/>
        <v>0</v>
      </c>
      <c r="T50">
        <f t="shared" si="10"/>
        <v>3</v>
      </c>
      <c r="U50">
        <f t="shared" si="11"/>
        <v>0</v>
      </c>
      <c r="V50">
        <f t="shared" si="12"/>
        <v>0</v>
      </c>
      <c r="W50">
        <f t="shared" si="13"/>
        <v>2</v>
      </c>
      <c r="X50">
        <f t="shared" si="14"/>
        <v>1</v>
      </c>
      <c r="Y50">
        <f t="shared" si="15"/>
        <v>0</v>
      </c>
      <c r="Z50">
        <f t="shared" si="16"/>
        <v>0</v>
      </c>
      <c r="AB50">
        <f>AVERAGE('accuracy dom5dom4'!$C50,'accuracy dom51dom41'!$C50,'accuracy dom52dom42'!$C50)</f>
        <v>0</v>
      </c>
      <c r="AC50">
        <f>AVERAGE('accuracy dom5dom4'!$G50,'accuracy dom51dom41'!$G50,'accuracy dom52dom42'!$G50)</f>
        <v>0</v>
      </c>
      <c r="AD50">
        <f>AVERAGE('accuracy dom5dom4'!$AB50,'accuracy dom51dom41'!$AB50,'accuracy dom52dom42'!$AB50)</f>
        <v>0</v>
      </c>
      <c r="AE50">
        <f>AVERAGE('accuracy dom7dom6'!$C50,'accuracy dom71dom61'!$C50,'accuracy dom72dom62'!$C50)</f>
        <v>0</v>
      </c>
      <c r="AF50">
        <f>AVERAGE('accuracy dom7dom6'!$G50,'accuracy dom71dom61'!$G50,'accuracy dom72dom62'!$G50)</f>
        <v>0</v>
      </c>
      <c r="AG50">
        <f>AVERAGE('accuracy dom7dom6'!$AB50,'accuracy dom71dom61'!$AB50,'accuracy dom72dom62'!$AB50)</f>
        <v>0</v>
      </c>
      <c r="AH50">
        <f>AVERAGE('accuracy dom9dom8'!$C50,'accuracy dom91dom81'!$C50,'accuracy dom92dom82'!$C50)</f>
        <v>0</v>
      </c>
      <c r="AI50">
        <f>AVERAGE('accuracy dom9dom8'!$G50,'accuracy dom91dom81'!$G50,'accuracy dom92dom82'!$G50)</f>
        <v>0</v>
      </c>
      <c r="AJ50">
        <f>AVERAGE('accuracy dom9dom8'!$AB50,'accuracy dom91dom81'!$AB50,'accuracy dom92dom82'!$AB50)</f>
        <v>0</v>
      </c>
      <c r="AK50">
        <f t="shared" si="17"/>
        <v>0</v>
      </c>
      <c r="AL50">
        <f t="shared" si="50"/>
        <v>0</v>
      </c>
      <c r="AM50">
        <f t="shared" si="51"/>
        <v>0</v>
      </c>
      <c r="AN50">
        <f t="shared" si="52"/>
        <v>0</v>
      </c>
      <c r="AO50">
        <f t="shared" si="19"/>
        <v>0</v>
      </c>
      <c r="AP50">
        <f t="shared" si="20"/>
        <v>0</v>
      </c>
      <c r="AQ50">
        <f t="shared" si="21"/>
        <v>0</v>
      </c>
      <c r="AR50">
        <f t="shared" si="22"/>
        <v>0</v>
      </c>
      <c r="AS50">
        <f t="shared" si="23"/>
        <v>0</v>
      </c>
      <c r="AT50">
        <f t="shared" si="24"/>
        <v>0</v>
      </c>
      <c r="AU50">
        <f t="shared" si="25"/>
        <v>0</v>
      </c>
      <c r="AV50">
        <f t="shared" si="26"/>
        <v>0</v>
      </c>
      <c r="AW50">
        <f t="shared" si="27"/>
        <v>0</v>
      </c>
      <c r="AX50">
        <f t="shared" si="28"/>
        <v>0</v>
      </c>
      <c r="AY50">
        <f t="shared" si="29"/>
        <v>0</v>
      </c>
      <c r="AZ50">
        <f t="shared" si="30"/>
        <v>0</v>
      </c>
      <c r="BA50">
        <f t="shared" si="31"/>
        <v>0</v>
      </c>
      <c r="BC50">
        <f t="shared" si="32"/>
        <v>0</v>
      </c>
      <c r="BD50">
        <f t="shared" si="33"/>
        <v>0</v>
      </c>
      <c r="BE50">
        <f t="shared" si="34"/>
        <v>0</v>
      </c>
      <c r="BF50">
        <f t="shared" si="35"/>
        <v>0</v>
      </c>
      <c r="BG50">
        <f t="shared" si="36"/>
        <v>0</v>
      </c>
      <c r="BH50">
        <f t="shared" si="37"/>
        <v>0</v>
      </c>
      <c r="BI50">
        <f t="shared" si="38"/>
        <v>0</v>
      </c>
      <c r="BJ50">
        <f t="shared" si="39"/>
        <v>0</v>
      </c>
      <c r="BK50">
        <f t="shared" si="40"/>
        <v>0</v>
      </c>
      <c r="BL50">
        <f t="shared" si="41"/>
        <v>0</v>
      </c>
      <c r="BM50">
        <f t="shared" si="42"/>
        <v>0</v>
      </c>
      <c r="BN50">
        <f t="shared" si="43"/>
        <v>0</v>
      </c>
      <c r="BO50">
        <f t="shared" si="44"/>
        <v>0</v>
      </c>
      <c r="BP50">
        <f t="shared" si="45"/>
        <v>0</v>
      </c>
      <c r="BQ50">
        <f t="shared" si="46"/>
        <v>0</v>
      </c>
      <c r="BR50">
        <f t="shared" si="47"/>
        <v>0</v>
      </c>
    </row>
    <row r="51" spans="1:70">
      <c r="A51" t="str">
        <f>'time 1'!B50</f>
        <v>&lt;test.GeoEngine: java.lang.Object moveCheck(java.lang.Object,java.lang.Object,int,int,int,int,int,int)&gt;</v>
      </c>
      <c r="B51">
        <f>AVERAGE('time 1'!D50/'time 1'!C50,'time 2'!D50/'time 2'!C50,'time 3'!D50/'time 3'!C50)</f>
        <v>36.806911369361366</v>
      </c>
      <c r="C51">
        <f>AVERAGE('time 1'!F50/'time 1'!E50,'time 2'!F50/'time 2'!E50,'time 3'!F50/'time 3'!E50)</f>
        <v>13.751276715154361</v>
      </c>
      <c r="D51">
        <f>AVERAGE('time 1'!H50/'time 1'!G50,'time 2'!H50/'time 2'!G50,'time 3'!H50/'time 3'!G50)</f>
        <v>43.320040958590802</v>
      </c>
      <c r="E51">
        <f>AVERAGE('time 1'!J50/'time 2'!I50,'time 2'!J50/'time 2'!I50,'time 3'!J50/'time 3'!I50)</f>
        <v>33.428713694482717</v>
      </c>
      <c r="F51">
        <f>AVERAGE('time 1'!L50/'time 1'!K50,'time 2'!L50/'time 2'!K50,'time 3'!L50/'time 3'!K50)</f>
        <v>6.1607444902273203</v>
      </c>
      <c r="G51">
        <f>AVERAGE('time 1'!N50/'time 1'!M50,'time 2'!N50/'time 2'!M50,'time 3'!N50/'time 3'!M50)</f>
        <v>31.991344658120003</v>
      </c>
      <c r="H51">
        <f>AVERAGE('time 1'!P50/'time 1'!O50,'time 2'!P50/'time 2'!O50,'time 3'!P50/'time 3'!O50)</f>
        <v>28.735239941125418</v>
      </c>
      <c r="I51">
        <f>AVERAGE('time 1'!R50/'time 1'!Q50,'time 2'!R50/'time 2'!Q50,'time 3'!R50/'time 3'!Q50)</f>
        <v>3.6720472657959706</v>
      </c>
      <c r="J51">
        <f>AVERAGE('time 1'!T50/'time 1'!S50,'time 2'!T50/'time 2'!S50,'time 3'!T50/'time 3'!S50)</f>
        <v>26.370213323299652</v>
      </c>
      <c r="K51">
        <f t="shared" si="3"/>
        <v>0</v>
      </c>
      <c r="L51">
        <f t="shared" si="4"/>
        <v>0</v>
      </c>
      <c r="M51">
        <f t="shared" si="5"/>
        <v>2</v>
      </c>
      <c r="N51">
        <f t="shared" si="6"/>
        <v>7</v>
      </c>
      <c r="O51">
        <f t="shared" si="7"/>
        <v>0</v>
      </c>
      <c r="P51">
        <f t="shared" si="48"/>
        <v>0</v>
      </c>
      <c r="Q51">
        <f t="shared" si="49"/>
        <v>0</v>
      </c>
      <c r="R51">
        <f t="shared" si="8"/>
        <v>3</v>
      </c>
      <c r="S51">
        <f t="shared" si="9"/>
        <v>0</v>
      </c>
      <c r="T51">
        <f t="shared" si="10"/>
        <v>0</v>
      </c>
      <c r="U51">
        <f t="shared" si="11"/>
        <v>2</v>
      </c>
      <c r="V51">
        <f t="shared" si="12"/>
        <v>1</v>
      </c>
      <c r="W51">
        <f t="shared" si="13"/>
        <v>0</v>
      </c>
      <c r="X51">
        <f t="shared" si="14"/>
        <v>0</v>
      </c>
      <c r="Y51">
        <f t="shared" si="15"/>
        <v>0</v>
      </c>
      <c r="Z51">
        <f t="shared" si="16"/>
        <v>3</v>
      </c>
      <c r="AB51">
        <f>AVERAGE('accuracy dom5dom4'!$C51,'accuracy dom51dom41'!$C51,'accuracy dom52dom42'!$C51)</f>
        <v>2</v>
      </c>
      <c r="AC51">
        <f>AVERAGE('accuracy dom5dom4'!$G51,'accuracy dom51dom41'!$G51,'accuracy dom52dom42'!$G51)</f>
        <v>2</v>
      </c>
      <c r="AD51">
        <f>AVERAGE('accuracy dom5dom4'!$AB51,'accuracy dom51dom41'!$AB51,'accuracy dom52dom42'!$AB51)</f>
        <v>2</v>
      </c>
      <c r="AE51">
        <f>AVERAGE('accuracy dom7dom6'!$C51,'accuracy dom71dom61'!$C51,'accuracy dom72dom62'!$C51)</f>
        <v>2</v>
      </c>
      <c r="AF51">
        <f>AVERAGE('accuracy dom7dom6'!$G51,'accuracy dom71dom61'!$G51,'accuracy dom72dom62'!$G51)</f>
        <v>2</v>
      </c>
      <c r="AG51">
        <f>AVERAGE('accuracy dom7dom6'!$AB51,'accuracy dom71dom61'!$AB51,'accuracy dom72dom62'!$AB51)</f>
        <v>2</v>
      </c>
      <c r="AH51">
        <f>AVERAGE('accuracy dom9dom8'!$C51,'accuracy dom91dom81'!$C51,'accuracy dom92dom82'!$C51)</f>
        <v>2</v>
      </c>
      <c r="AI51">
        <f>AVERAGE('accuracy dom9dom8'!$G51,'accuracy dom91dom81'!$G51,'accuracy dom92dom82'!$G51)</f>
        <v>3</v>
      </c>
      <c r="AJ51">
        <f>AVERAGE('accuracy dom9dom8'!$AB51,'accuracy dom91dom81'!$AB51,'accuracy dom92dom82'!$AB51)</f>
        <v>3</v>
      </c>
      <c r="AK51">
        <f t="shared" si="17"/>
        <v>9</v>
      </c>
      <c r="AL51">
        <f t="shared" si="50"/>
        <v>0</v>
      </c>
      <c r="AM51">
        <f t="shared" si="51"/>
        <v>0</v>
      </c>
      <c r="AN51">
        <f t="shared" si="52"/>
        <v>5</v>
      </c>
      <c r="AO51">
        <f t="shared" si="19"/>
        <v>15</v>
      </c>
      <c r="AP51">
        <f t="shared" si="20"/>
        <v>0</v>
      </c>
      <c r="AQ51">
        <f t="shared" si="21"/>
        <v>0</v>
      </c>
      <c r="AR51">
        <f t="shared" si="22"/>
        <v>0</v>
      </c>
      <c r="AS51">
        <f t="shared" si="23"/>
        <v>6</v>
      </c>
      <c r="AT51">
        <f t="shared" si="24"/>
        <v>0</v>
      </c>
      <c r="AU51">
        <f t="shared" si="25"/>
        <v>0</v>
      </c>
      <c r="AV51">
        <f t="shared" si="26"/>
        <v>5</v>
      </c>
      <c r="AW51">
        <f t="shared" si="27"/>
        <v>2</v>
      </c>
      <c r="AX51">
        <f t="shared" si="28"/>
        <v>0</v>
      </c>
      <c r="AY51">
        <f t="shared" si="29"/>
        <v>0</v>
      </c>
      <c r="AZ51">
        <f t="shared" si="30"/>
        <v>0</v>
      </c>
      <c r="BA51">
        <f t="shared" si="31"/>
        <v>7</v>
      </c>
      <c r="BC51">
        <f t="shared" si="32"/>
        <v>0</v>
      </c>
      <c r="BD51">
        <f t="shared" si="33"/>
        <v>0</v>
      </c>
      <c r="BE51">
        <f t="shared" si="34"/>
        <v>2</v>
      </c>
      <c r="BF51">
        <f t="shared" si="35"/>
        <v>7</v>
      </c>
      <c r="BG51">
        <f t="shared" si="36"/>
        <v>0</v>
      </c>
      <c r="BH51">
        <f t="shared" si="37"/>
        <v>0</v>
      </c>
      <c r="BI51">
        <f t="shared" si="38"/>
        <v>0</v>
      </c>
      <c r="BJ51">
        <f t="shared" si="39"/>
        <v>3</v>
      </c>
      <c r="BK51">
        <f t="shared" si="40"/>
        <v>0</v>
      </c>
      <c r="BL51">
        <f t="shared" si="41"/>
        <v>0</v>
      </c>
      <c r="BM51">
        <f t="shared" si="42"/>
        <v>2</v>
      </c>
      <c r="BN51">
        <f t="shared" si="43"/>
        <v>1</v>
      </c>
      <c r="BO51">
        <f t="shared" si="44"/>
        <v>0</v>
      </c>
      <c r="BP51">
        <f t="shared" si="45"/>
        <v>0</v>
      </c>
      <c r="BQ51">
        <f t="shared" si="46"/>
        <v>0</v>
      </c>
      <c r="BR51">
        <f t="shared" si="47"/>
        <v>3</v>
      </c>
    </row>
    <row r="52" spans="1:70">
      <c r="A52" t="str">
        <f>'time 1'!B51</f>
        <v>&lt;test.GeoEngine: short getRegionOffset(int,int)&gt;</v>
      </c>
      <c r="B52">
        <f>AVERAGE('time 1'!D51/'time 1'!C51,'time 2'!D51/'time 2'!C51,'time 3'!D51/'time 3'!C51)</f>
        <v>1.0795138888888889</v>
      </c>
      <c r="C52">
        <f>AVERAGE('time 1'!F51/'time 1'!E51,'time 2'!F51/'time 2'!E51,'time 3'!F51/'time 3'!E51)</f>
        <v>1.001710082960013</v>
      </c>
      <c r="D52">
        <f>AVERAGE('time 1'!H51/'time 1'!G51,'time 2'!H51/'time 2'!G51,'time 3'!H51/'time 3'!G51)</f>
        <v>1.1799532732957578</v>
      </c>
      <c r="E52">
        <f>AVERAGE('time 1'!J51/'time 2'!I51,'time 2'!J51/'time 2'!I51,'time 3'!J51/'time 3'!I51)</f>
        <v>1.1342408772924939</v>
      </c>
      <c r="F52">
        <f>AVERAGE('time 1'!L51/'time 1'!K51,'time 2'!L51/'time 2'!K51,'time 3'!L51/'time 3'!K51)</f>
        <v>1.1522673890474244</v>
      </c>
      <c r="G52">
        <f>AVERAGE('time 1'!N51/'time 1'!M51,'time 2'!N51/'time 2'!M51,'time 3'!N51/'time 3'!M51)</f>
        <v>1.1643705369471731</v>
      </c>
      <c r="H52">
        <f>AVERAGE('time 1'!P51/'time 1'!O51,'time 2'!P51/'time 2'!O51,'time 3'!P51/'time 3'!O51)</f>
        <v>1.0861386138613862</v>
      </c>
      <c r="I52">
        <f>AVERAGE('time 1'!R51/'time 1'!Q51,'time 2'!R51/'time 2'!Q51,'time 3'!R51/'time 3'!Q51)</f>
        <v>0.9761381113603157</v>
      </c>
      <c r="J52">
        <f>AVERAGE('time 1'!T51/'time 1'!S51,'time 2'!T51/'time 2'!S51,'time 3'!T51/'time 3'!S51)</f>
        <v>1.1763447833908538</v>
      </c>
      <c r="K52">
        <f t="shared" si="3"/>
        <v>1</v>
      </c>
      <c r="L52">
        <f t="shared" si="4"/>
        <v>8</v>
      </c>
      <c r="M52">
        <f t="shared" si="5"/>
        <v>0</v>
      </c>
      <c r="N52">
        <f t="shared" si="6"/>
        <v>0</v>
      </c>
      <c r="O52">
        <f t="shared" si="7"/>
        <v>0</v>
      </c>
      <c r="P52">
        <f t="shared" si="48"/>
        <v>3</v>
      </c>
      <c r="Q52">
        <f t="shared" si="49"/>
        <v>0</v>
      </c>
      <c r="R52">
        <f t="shared" si="8"/>
        <v>0</v>
      </c>
      <c r="S52">
        <f t="shared" si="9"/>
        <v>1</v>
      </c>
      <c r="T52">
        <f t="shared" si="10"/>
        <v>2</v>
      </c>
      <c r="U52">
        <f t="shared" si="11"/>
        <v>0</v>
      </c>
      <c r="V52">
        <f t="shared" si="12"/>
        <v>0</v>
      </c>
      <c r="W52">
        <f t="shared" si="13"/>
        <v>0</v>
      </c>
      <c r="X52">
        <f t="shared" si="14"/>
        <v>3</v>
      </c>
      <c r="Y52">
        <f t="shared" si="15"/>
        <v>0</v>
      </c>
      <c r="Z52">
        <f t="shared" si="16"/>
        <v>0</v>
      </c>
      <c r="AB52">
        <f>AVERAGE('accuracy dom5dom4'!$C52,'accuracy dom51dom41'!$C52,'accuracy dom52dom42'!$C52)</f>
        <v>0</v>
      </c>
      <c r="AC52">
        <f>AVERAGE('accuracy dom5dom4'!$G52,'accuracy dom51dom41'!$G52,'accuracy dom52dom42'!$G52)</f>
        <v>0</v>
      </c>
      <c r="AD52">
        <f>AVERAGE('accuracy dom5dom4'!$AB52,'accuracy dom51dom41'!$AB52,'accuracy dom52dom42'!$AB52)</f>
        <v>0</v>
      </c>
      <c r="AE52">
        <f>AVERAGE('accuracy dom7dom6'!$C52,'accuracy dom71dom61'!$C52,'accuracy dom72dom62'!$C52)</f>
        <v>0</v>
      </c>
      <c r="AF52">
        <f>AVERAGE('accuracy dom7dom6'!$G52,'accuracy dom71dom61'!$G52,'accuracy dom72dom62'!$G52)</f>
        <v>0</v>
      </c>
      <c r="AG52">
        <f>AVERAGE('accuracy dom7dom6'!$AB52,'accuracy dom71dom61'!$AB52,'accuracy dom72dom62'!$AB52)</f>
        <v>0</v>
      </c>
      <c r="AH52">
        <f>AVERAGE('accuracy dom9dom8'!$C52,'accuracy dom91dom81'!$C52,'accuracy dom92dom82'!$C52)</f>
        <v>0</v>
      </c>
      <c r="AI52">
        <f>AVERAGE('accuracy dom9dom8'!$G52,'accuracy dom91dom81'!$G52,'accuracy dom92dom82'!$G52)</f>
        <v>0</v>
      </c>
      <c r="AJ52">
        <f>AVERAGE('accuracy dom9dom8'!$AB52,'accuracy dom91dom81'!$AB52,'accuracy dom92dom82'!$AB52)</f>
        <v>0</v>
      </c>
      <c r="AK52">
        <f t="shared" si="17"/>
        <v>0</v>
      </c>
      <c r="AL52">
        <f t="shared" si="50"/>
        <v>0</v>
      </c>
      <c r="AM52">
        <f t="shared" si="51"/>
        <v>0</v>
      </c>
      <c r="AN52">
        <f t="shared" si="52"/>
        <v>0</v>
      </c>
      <c r="AO52">
        <f t="shared" si="19"/>
        <v>0</v>
      </c>
      <c r="AP52">
        <f t="shared" si="20"/>
        <v>0</v>
      </c>
      <c r="AQ52">
        <f t="shared" si="21"/>
        <v>0</v>
      </c>
      <c r="AR52">
        <f t="shared" si="22"/>
        <v>0</v>
      </c>
      <c r="AS52">
        <f t="shared" si="23"/>
        <v>0</v>
      </c>
      <c r="AT52">
        <f t="shared" si="24"/>
        <v>0</v>
      </c>
      <c r="AU52">
        <f t="shared" si="25"/>
        <v>0</v>
      </c>
      <c r="AV52">
        <f t="shared" si="26"/>
        <v>0</v>
      </c>
      <c r="AW52">
        <f t="shared" si="27"/>
        <v>0</v>
      </c>
      <c r="AX52">
        <f t="shared" si="28"/>
        <v>0</v>
      </c>
      <c r="AY52">
        <f t="shared" si="29"/>
        <v>0</v>
      </c>
      <c r="AZ52">
        <f t="shared" si="30"/>
        <v>0</v>
      </c>
      <c r="BA52">
        <f t="shared" si="31"/>
        <v>0</v>
      </c>
      <c r="BC52">
        <f t="shared" si="32"/>
        <v>0</v>
      </c>
      <c r="BD52">
        <f t="shared" si="33"/>
        <v>0</v>
      </c>
      <c r="BE52">
        <f t="shared" si="34"/>
        <v>0</v>
      </c>
      <c r="BF52">
        <f t="shared" si="35"/>
        <v>0</v>
      </c>
      <c r="BG52">
        <f t="shared" si="36"/>
        <v>0</v>
      </c>
      <c r="BH52">
        <f t="shared" si="37"/>
        <v>0</v>
      </c>
      <c r="BI52">
        <f t="shared" si="38"/>
        <v>0</v>
      </c>
      <c r="BJ52">
        <f t="shared" si="39"/>
        <v>0</v>
      </c>
      <c r="BK52">
        <f t="shared" si="40"/>
        <v>0</v>
      </c>
      <c r="BL52">
        <f t="shared" si="41"/>
        <v>0</v>
      </c>
      <c r="BM52">
        <f t="shared" si="42"/>
        <v>0</v>
      </c>
      <c r="BN52">
        <f t="shared" si="43"/>
        <v>0</v>
      </c>
      <c r="BO52">
        <f t="shared" si="44"/>
        <v>0</v>
      </c>
      <c r="BP52">
        <f t="shared" si="45"/>
        <v>0</v>
      </c>
      <c r="BQ52">
        <f t="shared" si="46"/>
        <v>0</v>
      </c>
      <c r="BR52">
        <f t="shared" si="47"/>
        <v>0</v>
      </c>
    </row>
    <row r="53" spans="1:70">
      <c r="A53" t="str">
        <f>'time 1'!B52</f>
        <v>&lt;test.GeoEngine: short nGetNSWE(int,int,int,byte,short)&gt;</v>
      </c>
      <c r="B53">
        <f>AVERAGE('time 1'!D52/'time 1'!C52,'time 2'!D52/'time 2'!C52,'time 3'!D52/'time 3'!C52)</f>
        <v>4.8461885580038313</v>
      </c>
      <c r="C53">
        <f>AVERAGE('time 1'!F52/'time 1'!E52,'time 2'!F52/'time 2'!E52,'time 3'!F52/'time 3'!E52)</f>
        <v>2.8692153407928473</v>
      </c>
      <c r="D53">
        <f>AVERAGE('time 1'!H52/'time 1'!G52,'time 2'!H52/'time 2'!G52,'time 3'!H52/'time 3'!G52)</f>
        <v>3.8308525894745089</v>
      </c>
      <c r="E53">
        <f>AVERAGE('time 1'!J52/'time 2'!I52,'time 2'!J52/'time 2'!I52,'time 3'!J52/'time 3'!I52)</f>
        <v>4.886749662227369</v>
      </c>
      <c r="F53">
        <f>AVERAGE('time 1'!L52/'time 1'!K52,'time 2'!L52/'time 2'!K52,'time 3'!L52/'time 3'!K52)</f>
        <v>1.7006958854979013</v>
      </c>
      <c r="G53">
        <f>AVERAGE('time 1'!N52/'time 1'!M52,'time 2'!N52/'time 2'!M52,'time 3'!N52/'time 3'!M52)</f>
        <v>3.9957886238472526</v>
      </c>
      <c r="H53">
        <f>AVERAGE('time 1'!P52/'time 1'!O52,'time 2'!P52/'time 2'!O52,'time 3'!P52/'time 3'!O52)</f>
        <v>4.0174466446172188</v>
      </c>
      <c r="I53">
        <f>AVERAGE('time 1'!R52/'time 1'!Q52,'time 2'!R52/'time 2'!Q52,'time 3'!R52/'time 3'!Q52)</f>
        <v>1.1761274906780428</v>
      </c>
      <c r="J53">
        <f>AVERAGE('time 1'!T52/'time 1'!S52,'time 2'!T52/'time 2'!S52,'time 3'!T52/'time 3'!S52)</f>
        <v>3.679272795049124</v>
      </c>
      <c r="K53">
        <f t="shared" si="3"/>
        <v>0</v>
      </c>
      <c r="L53">
        <f t="shared" si="4"/>
        <v>2</v>
      </c>
      <c r="M53">
        <f t="shared" si="5"/>
        <v>7</v>
      </c>
      <c r="N53">
        <f t="shared" si="6"/>
        <v>0</v>
      </c>
      <c r="O53">
        <f t="shared" si="7"/>
        <v>0</v>
      </c>
      <c r="P53">
        <f t="shared" si="48"/>
        <v>0</v>
      </c>
      <c r="Q53">
        <f t="shared" si="49"/>
        <v>3</v>
      </c>
      <c r="R53">
        <f t="shared" si="8"/>
        <v>0</v>
      </c>
      <c r="S53">
        <f t="shared" si="9"/>
        <v>0</v>
      </c>
      <c r="T53">
        <f t="shared" si="10"/>
        <v>2</v>
      </c>
      <c r="U53">
        <f t="shared" si="11"/>
        <v>1</v>
      </c>
      <c r="V53">
        <f t="shared" si="12"/>
        <v>0</v>
      </c>
      <c r="W53">
        <f t="shared" si="13"/>
        <v>0</v>
      </c>
      <c r="X53">
        <f t="shared" si="14"/>
        <v>0</v>
      </c>
      <c r="Y53">
        <f t="shared" si="15"/>
        <v>3</v>
      </c>
      <c r="Z53">
        <f t="shared" si="16"/>
        <v>0</v>
      </c>
      <c r="AB53">
        <f>AVERAGE('accuracy dom5dom4'!$C53,'accuracy dom51dom41'!$C53,'accuracy dom52dom42'!$C53)</f>
        <v>10</v>
      </c>
      <c r="AC53">
        <f>AVERAGE('accuracy dom5dom4'!$G53,'accuracy dom51dom41'!$G53,'accuracy dom52dom42'!$G53)</f>
        <v>10</v>
      </c>
      <c r="AD53">
        <f>AVERAGE('accuracy dom5dom4'!$AB53,'accuracy dom51dom41'!$AB53,'accuracy dom52dom42'!$AB53)</f>
        <v>10</v>
      </c>
      <c r="AE53">
        <f>AVERAGE('accuracy dom7dom6'!$C53,'accuracy dom71dom61'!$C53,'accuracy dom72dom62'!$C53)</f>
        <v>10</v>
      </c>
      <c r="AF53">
        <f>AVERAGE('accuracy dom7dom6'!$G53,'accuracy dom71dom61'!$G53,'accuracy dom72dom62'!$G53)</f>
        <v>10</v>
      </c>
      <c r="AG53">
        <f>AVERAGE('accuracy dom7dom6'!$AB53,'accuracy dom71dom61'!$AB53,'accuracy dom72dom62'!$AB53)</f>
        <v>10</v>
      </c>
      <c r="AH53">
        <f>AVERAGE('accuracy dom9dom8'!$C53,'accuracy dom91dom81'!$C53,'accuracy dom92dom82'!$C53)</f>
        <v>10</v>
      </c>
      <c r="AI53">
        <f>AVERAGE('accuracy dom9dom8'!$G53,'accuracy dom91dom81'!$G53,'accuracy dom92dom82'!$G53)</f>
        <v>10</v>
      </c>
      <c r="AJ53">
        <f>AVERAGE('accuracy dom9dom8'!$AB53,'accuracy dom91dom81'!$AB53,'accuracy dom92dom82'!$AB53)</f>
        <v>10</v>
      </c>
      <c r="AK53">
        <f t="shared" si="17"/>
        <v>9</v>
      </c>
      <c r="AL53">
        <f t="shared" si="50"/>
        <v>0</v>
      </c>
      <c r="AM53">
        <f t="shared" si="51"/>
        <v>20</v>
      </c>
      <c r="AN53">
        <f t="shared" si="52"/>
        <v>70</v>
      </c>
      <c r="AO53">
        <f t="shared" si="19"/>
        <v>0</v>
      </c>
      <c r="AP53">
        <f t="shared" si="20"/>
        <v>0</v>
      </c>
      <c r="AQ53">
        <f t="shared" si="21"/>
        <v>0</v>
      </c>
      <c r="AR53">
        <f t="shared" si="22"/>
        <v>30</v>
      </c>
      <c r="AS53">
        <f t="shared" si="23"/>
        <v>0</v>
      </c>
      <c r="AT53">
        <f t="shared" si="24"/>
        <v>0</v>
      </c>
      <c r="AU53">
        <f t="shared" si="25"/>
        <v>20</v>
      </c>
      <c r="AV53">
        <f t="shared" si="26"/>
        <v>10</v>
      </c>
      <c r="AW53">
        <f t="shared" si="27"/>
        <v>0</v>
      </c>
      <c r="AX53">
        <f t="shared" si="28"/>
        <v>0</v>
      </c>
      <c r="AY53">
        <f t="shared" si="29"/>
        <v>0</v>
      </c>
      <c r="AZ53">
        <f t="shared" si="30"/>
        <v>30</v>
      </c>
      <c r="BA53">
        <f t="shared" si="31"/>
        <v>0</v>
      </c>
      <c r="BC53">
        <f t="shared" si="32"/>
        <v>0</v>
      </c>
      <c r="BD53">
        <f t="shared" si="33"/>
        <v>2</v>
      </c>
      <c r="BE53">
        <f t="shared" si="34"/>
        <v>7</v>
      </c>
      <c r="BF53">
        <f t="shared" si="35"/>
        <v>0</v>
      </c>
      <c r="BG53">
        <f t="shared" si="36"/>
        <v>0</v>
      </c>
      <c r="BH53">
        <f t="shared" si="37"/>
        <v>0</v>
      </c>
      <c r="BI53">
        <f t="shared" si="38"/>
        <v>3</v>
      </c>
      <c r="BJ53">
        <f t="shared" si="39"/>
        <v>0</v>
      </c>
      <c r="BK53">
        <f t="shared" si="40"/>
        <v>0</v>
      </c>
      <c r="BL53">
        <f t="shared" si="41"/>
        <v>2</v>
      </c>
      <c r="BM53">
        <f t="shared" si="42"/>
        <v>1</v>
      </c>
      <c r="BN53">
        <f t="shared" si="43"/>
        <v>0</v>
      </c>
      <c r="BO53">
        <f t="shared" si="44"/>
        <v>0</v>
      </c>
      <c r="BP53">
        <f t="shared" si="45"/>
        <v>0</v>
      </c>
      <c r="BQ53">
        <f t="shared" si="46"/>
        <v>3</v>
      </c>
      <c r="BR53">
        <f t="shared" si="47"/>
        <v>0</v>
      </c>
    </row>
    <row r="54" spans="1:70">
      <c r="A54" t="str">
        <f>'time 1'!B53</f>
        <v>&lt;test.ImageData: byte[] convertPad(byte[],int,int,int,int,int)&gt;</v>
      </c>
      <c r="B54">
        <f>AVERAGE('time 1'!D53/'time 1'!C53,'time 2'!D53/'time 2'!C53,'time 3'!D53/'time 3'!C53)</f>
        <v>1.2273217972205674</v>
      </c>
      <c r="C54">
        <f>AVERAGE('time 1'!F53/'time 1'!E53,'time 2'!F53/'time 2'!E53,'time 3'!F53/'time 3'!E53)</f>
        <v>1.1227853031178447</v>
      </c>
      <c r="D54">
        <f>AVERAGE('time 1'!H53/'time 1'!G53,'time 2'!H53/'time 2'!G53,'time 3'!H53/'time 3'!G53)</f>
        <v>1.1662092007768186</v>
      </c>
      <c r="E54">
        <f>AVERAGE('time 1'!J53/'time 2'!I53,'time 2'!J53/'time 2'!I53,'time 3'!J53/'time 3'!I53)</f>
        <v>1.2898419156576584</v>
      </c>
      <c r="F54">
        <f>AVERAGE('time 1'!L53/'time 1'!K53,'time 2'!L53/'time 2'!K53,'time 3'!L53/'time 3'!K53)</f>
        <v>1.1116416058051053</v>
      </c>
      <c r="G54">
        <f>AVERAGE('time 1'!N53/'time 1'!M53,'time 2'!N53/'time 2'!M53,'time 3'!N53/'time 3'!M53)</f>
        <v>1.1384467573544419</v>
      </c>
      <c r="H54">
        <f>AVERAGE('time 1'!P53/'time 1'!O53,'time 2'!P53/'time 2'!O53,'time 3'!P53/'time 3'!O53)</f>
        <v>1.1804184569678184</v>
      </c>
      <c r="I54">
        <f>AVERAGE('time 1'!R53/'time 1'!Q53,'time 2'!R53/'time 2'!Q53,'time 3'!R53/'time 3'!Q53)</f>
        <v>1.1023723220468797</v>
      </c>
      <c r="J54">
        <f>AVERAGE('time 1'!T53/'time 1'!S53,'time 2'!T53/'time 2'!S53,'time 3'!T53/'time 3'!S53)</f>
        <v>1.1758141789218852</v>
      </c>
      <c r="K54">
        <f t="shared" si="3"/>
        <v>0</v>
      </c>
      <c r="L54">
        <f t="shared" si="4"/>
        <v>9</v>
      </c>
      <c r="M54">
        <f t="shared" si="5"/>
        <v>0</v>
      </c>
      <c r="N54">
        <f t="shared" si="6"/>
        <v>0</v>
      </c>
      <c r="O54">
        <f t="shared" si="7"/>
        <v>0</v>
      </c>
      <c r="P54">
        <f t="shared" si="48"/>
        <v>3</v>
      </c>
      <c r="Q54">
        <f t="shared" si="49"/>
        <v>0</v>
      </c>
      <c r="R54">
        <f t="shared" si="8"/>
        <v>0</v>
      </c>
      <c r="S54">
        <f t="shared" si="9"/>
        <v>0</v>
      </c>
      <c r="T54">
        <f t="shared" si="10"/>
        <v>3</v>
      </c>
      <c r="U54">
        <f t="shared" si="11"/>
        <v>0</v>
      </c>
      <c r="V54">
        <f t="shared" si="12"/>
        <v>0</v>
      </c>
      <c r="W54">
        <f t="shared" si="13"/>
        <v>0</v>
      </c>
      <c r="X54">
        <f t="shared" si="14"/>
        <v>3</v>
      </c>
      <c r="Y54">
        <f t="shared" si="15"/>
        <v>0</v>
      </c>
      <c r="Z54">
        <f t="shared" si="16"/>
        <v>0</v>
      </c>
      <c r="AB54">
        <f>AVERAGE('accuracy dom5dom4'!$C54,'accuracy dom51dom41'!$C54,'accuracy dom52dom42'!$C54)</f>
        <v>0</v>
      </c>
      <c r="AC54">
        <f>AVERAGE('accuracy dom5dom4'!$G54,'accuracy dom51dom41'!$G54,'accuracy dom52dom42'!$G54)</f>
        <v>0</v>
      </c>
      <c r="AD54">
        <f>AVERAGE('accuracy dom5dom4'!$AB54,'accuracy dom51dom41'!$AB54,'accuracy dom52dom42'!$AB54)</f>
        <v>0</v>
      </c>
      <c r="AE54">
        <f>AVERAGE('accuracy dom7dom6'!$C54,'accuracy dom71dom61'!$C54,'accuracy dom72dom62'!$C54)</f>
        <v>0</v>
      </c>
      <c r="AF54">
        <f>AVERAGE('accuracy dom7dom6'!$G54,'accuracy dom71dom61'!$G54,'accuracy dom72dom62'!$G54)</f>
        <v>0</v>
      </c>
      <c r="AG54">
        <f>AVERAGE('accuracy dom7dom6'!$AB54,'accuracy dom71dom61'!$AB54,'accuracy dom72dom62'!$AB54)</f>
        <v>0</v>
      </c>
      <c r="AH54">
        <f>AVERAGE('accuracy dom9dom8'!$C54,'accuracy dom91dom81'!$C54,'accuracy dom92dom82'!$C54)</f>
        <v>0</v>
      </c>
      <c r="AI54">
        <f>AVERAGE('accuracy dom9dom8'!$G54,'accuracy dom91dom81'!$G54,'accuracy dom92dom82'!$G54)</f>
        <v>0</v>
      </c>
      <c r="AJ54">
        <f>AVERAGE('accuracy dom9dom8'!$AB54,'accuracy dom91dom81'!$AB54,'accuracy dom92dom82'!$AB54)</f>
        <v>0</v>
      </c>
      <c r="AK54">
        <f t="shared" si="17"/>
        <v>0</v>
      </c>
      <c r="AL54">
        <f t="shared" si="50"/>
        <v>0</v>
      </c>
      <c r="AM54">
        <f t="shared" si="51"/>
        <v>0</v>
      </c>
      <c r="AN54">
        <f t="shared" si="52"/>
        <v>0</v>
      </c>
      <c r="AO54">
        <f t="shared" si="19"/>
        <v>0</v>
      </c>
      <c r="AP54">
        <f t="shared" si="20"/>
        <v>0</v>
      </c>
      <c r="AQ54">
        <f t="shared" si="21"/>
        <v>0</v>
      </c>
      <c r="AR54">
        <f t="shared" si="22"/>
        <v>0</v>
      </c>
      <c r="AS54">
        <f t="shared" si="23"/>
        <v>0</v>
      </c>
      <c r="AT54">
        <f t="shared" si="24"/>
        <v>0</v>
      </c>
      <c r="AU54">
        <f t="shared" si="25"/>
        <v>0</v>
      </c>
      <c r="AV54">
        <f t="shared" si="26"/>
        <v>0</v>
      </c>
      <c r="AW54">
        <f t="shared" si="27"/>
        <v>0</v>
      </c>
      <c r="AX54">
        <f t="shared" si="28"/>
        <v>0</v>
      </c>
      <c r="AY54">
        <f t="shared" si="29"/>
        <v>0</v>
      </c>
      <c r="AZ54">
        <f t="shared" si="30"/>
        <v>0</v>
      </c>
      <c r="BA54">
        <f t="shared" si="31"/>
        <v>0</v>
      </c>
      <c r="BC54">
        <f t="shared" si="32"/>
        <v>0</v>
      </c>
      <c r="BD54">
        <f t="shared" si="33"/>
        <v>0</v>
      </c>
      <c r="BE54">
        <f t="shared" si="34"/>
        <v>0</v>
      </c>
      <c r="BF54">
        <f t="shared" si="35"/>
        <v>0</v>
      </c>
      <c r="BG54">
        <f t="shared" si="36"/>
        <v>0</v>
      </c>
      <c r="BH54">
        <f t="shared" si="37"/>
        <v>0</v>
      </c>
      <c r="BI54">
        <f t="shared" si="38"/>
        <v>0</v>
      </c>
      <c r="BJ54">
        <f t="shared" si="39"/>
        <v>0</v>
      </c>
      <c r="BK54">
        <f t="shared" si="40"/>
        <v>0</v>
      </c>
      <c r="BL54">
        <f t="shared" si="41"/>
        <v>0</v>
      </c>
      <c r="BM54">
        <f t="shared" si="42"/>
        <v>0</v>
      </c>
      <c r="BN54">
        <f t="shared" si="43"/>
        <v>0</v>
      </c>
      <c r="BO54">
        <f t="shared" si="44"/>
        <v>0</v>
      </c>
      <c r="BP54">
        <f t="shared" si="45"/>
        <v>0</v>
      </c>
      <c r="BQ54">
        <f t="shared" si="46"/>
        <v>0</v>
      </c>
      <c r="BR54">
        <f t="shared" si="47"/>
        <v>0</v>
      </c>
    </row>
    <row r="55" spans="1:70">
      <c r="A55" t="str">
        <f>'time 1'!B54</f>
        <v>&lt;test.ImageData: int closestMatch(int,byte,byte,byte,int,int,int,byte[],byte[],byte[])&gt;</v>
      </c>
      <c r="B55">
        <f>AVERAGE('time 1'!D54/'time 1'!C54,'time 2'!D54/'time 2'!C54,'time 3'!D54/'time 3'!C54)</f>
        <v>472.267037162409</v>
      </c>
      <c r="C55">
        <f>AVERAGE('time 1'!F54/'time 1'!E54,'time 2'!F54/'time 2'!E54,'time 3'!F54/'time 3'!E54)</f>
        <v>295.77907958874823</v>
      </c>
      <c r="D55">
        <f>AVERAGE('time 1'!H54/'time 1'!G54,'time 2'!H54/'time 2'!G54,'time 3'!H54/'time 3'!G54)</f>
        <v>492.57309301204288</v>
      </c>
      <c r="E55">
        <f>AVERAGE('time 1'!J54/'time 2'!I54,'time 2'!J54/'time 2'!I54,'time 3'!J54/'time 3'!I54)</f>
        <v>460.10675232446425</v>
      </c>
      <c r="F55">
        <f>AVERAGE('time 1'!L54/'time 1'!K54,'time 2'!L54/'time 2'!K54,'time 3'!L54/'time 3'!K54)</f>
        <v>123.86157811941654</v>
      </c>
      <c r="G55">
        <f>AVERAGE('time 1'!N54/'time 1'!M54,'time 2'!N54/'time 2'!M54,'time 3'!N54/'time 3'!M54)</f>
        <v>442.98236036252757</v>
      </c>
      <c r="H55">
        <f>AVERAGE('time 1'!P54/'time 1'!O54,'time 2'!P54/'time 2'!O54,'time 3'!P54/'time 3'!O54)</f>
        <v>370.9835221194175</v>
      </c>
      <c r="I55">
        <f>AVERAGE('time 1'!R54/'time 1'!Q54,'time 2'!R54/'time 2'!Q54,'time 3'!R54/'time 3'!Q54)</f>
        <v>54.382347238219857</v>
      </c>
      <c r="J55">
        <f>AVERAGE('time 1'!T54/'time 1'!S54,'time 2'!T54/'time 2'!S54,'time 3'!T54/'time 3'!S54)</f>
        <v>337.38528445330991</v>
      </c>
      <c r="K55">
        <f t="shared" si="3"/>
        <v>0</v>
      </c>
      <c r="L55">
        <f t="shared" si="4"/>
        <v>0</v>
      </c>
      <c r="M55">
        <f t="shared" si="5"/>
        <v>0</v>
      </c>
      <c r="N55">
        <f t="shared" si="6"/>
        <v>9</v>
      </c>
      <c r="O55">
        <f t="shared" si="7"/>
        <v>0</v>
      </c>
      <c r="P55">
        <f t="shared" si="48"/>
        <v>0</v>
      </c>
      <c r="Q55">
        <f t="shared" si="49"/>
        <v>0</v>
      </c>
      <c r="R55">
        <f t="shared" si="8"/>
        <v>3</v>
      </c>
      <c r="S55">
        <f t="shared" si="9"/>
        <v>0</v>
      </c>
      <c r="T55">
        <f t="shared" si="10"/>
        <v>0</v>
      </c>
      <c r="U55">
        <f t="shared" si="11"/>
        <v>0</v>
      </c>
      <c r="V55">
        <f t="shared" si="12"/>
        <v>3</v>
      </c>
      <c r="W55">
        <f t="shared" si="13"/>
        <v>0</v>
      </c>
      <c r="X55">
        <f t="shared" si="14"/>
        <v>0</v>
      </c>
      <c r="Y55">
        <f t="shared" si="15"/>
        <v>0</v>
      </c>
      <c r="Z55">
        <f t="shared" si="16"/>
        <v>3</v>
      </c>
      <c r="AB55">
        <f>AVERAGE('accuracy dom5dom4'!$C55,'accuracy dom51dom41'!$C55,'accuracy dom52dom42'!$C55)</f>
        <v>0</v>
      </c>
      <c r="AC55">
        <f>AVERAGE('accuracy dom5dom4'!$G55,'accuracy dom51dom41'!$G55,'accuracy dom52dom42'!$G55)</f>
        <v>0</v>
      </c>
      <c r="AD55">
        <f>AVERAGE('accuracy dom5dom4'!$AB55,'accuracy dom51dom41'!$AB55,'accuracy dom52dom42'!$AB55)</f>
        <v>0</v>
      </c>
      <c r="AE55">
        <f>AVERAGE('accuracy dom7dom6'!$C55,'accuracy dom71dom61'!$C55,'accuracy dom72dom62'!$C55)</f>
        <v>0</v>
      </c>
      <c r="AF55">
        <f>AVERAGE('accuracy dom7dom6'!$G55,'accuracy dom71dom61'!$G55,'accuracy dom72dom62'!$G55)</f>
        <v>0</v>
      </c>
      <c r="AG55">
        <f>AVERAGE('accuracy dom7dom6'!$AB55,'accuracy dom71dom61'!$AB55,'accuracy dom72dom62'!$AB55)</f>
        <v>0</v>
      </c>
      <c r="AH55">
        <f>AVERAGE('accuracy dom9dom8'!$C55,'accuracy dom91dom81'!$C55,'accuracy dom92dom82'!$C55)</f>
        <v>0</v>
      </c>
      <c r="AI55">
        <f>AVERAGE('accuracy dom9dom8'!$G55,'accuracy dom91dom81'!$G55,'accuracy dom92dom82'!$G55)</f>
        <v>0.33333333333333331</v>
      </c>
      <c r="AJ55">
        <f>AVERAGE('accuracy dom9dom8'!$AB55,'accuracy dom91dom81'!$AB55,'accuracy dom92dom82'!$AB55)</f>
        <v>0.33333333333333331</v>
      </c>
      <c r="AK55" s="21">
        <f t="shared" si="17"/>
        <v>2</v>
      </c>
      <c r="AL55">
        <f t="shared" si="50"/>
        <v>0</v>
      </c>
      <c r="AM55">
        <f t="shared" si="51"/>
        <v>0</v>
      </c>
      <c r="AN55">
        <f t="shared" si="52"/>
        <v>0</v>
      </c>
      <c r="AO55">
        <f t="shared" si="19"/>
        <v>0.66666666666666663</v>
      </c>
      <c r="AP55">
        <f t="shared" si="20"/>
        <v>0</v>
      </c>
      <c r="AQ55">
        <f t="shared" si="21"/>
        <v>0</v>
      </c>
      <c r="AR55">
        <f t="shared" si="22"/>
        <v>0</v>
      </c>
      <c r="AS55">
        <f t="shared" si="23"/>
        <v>0</v>
      </c>
      <c r="AT55">
        <f t="shared" si="24"/>
        <v>0</v>
      </c>
      <c r="AU55">
        <f t="shared" si="25"/>
        <v>0</v>
      </c>
      <c r="AV55">
        <f t="shared" si="26"/>
        <v>0</v>
      </c>
      <c r="AW55">
        <f t="shared" si="27"/>
        <v>0.33333333333333331</v>
      </c>
      <c r="AX55">
        <f t="shared" si="28"/>
        <v>0</v>
      </c>
      <c r="AY55">
        <f t="shared" si="29"/>
        <v>0</v>
      </c>
      <c r="AZ55">
        <f t="shared" si="30"/>
        <v>0</v>
      </c>
      <c r="BA55">
        <f t="shared" si="31"/>
        <v>0.33333333333333331</v>
      </c>
      <c r="BC55">
        <f t="shared" si="32"/>
        <v>0</v>
      </c>
      <c r="BD55">
        <f t="shared" si="33"/>
        <v>0</v>
      </c>
      <c r="BE55">
        <f t="shared" si="34"/>
        <v>0</v>
      </c>
      <c r="BF55">
        <f t="shared" si="35"/>
        <v>9</v>
      </c>
      <c r="BG55">
        <f t="shared" si="36"/>
        <v>0</v>
      </c>
      <c r="BH55">
        <f t="shared" si="37"/>
        <v>0</v>
      </c>
      <c r="BI55">
        <f t="shared" si="38"/>
        <v>0</v>
      </c>
      <c r="BJ55">
        <f t="shared" si="39"/>
        <v>0</v>
      </c>
      <c r="BK55">
        <f t="shared" si="40"/>
        <v>0</v>
      </c>
      <c r="BL55">
        <f t="shared" si="41"/>
        <v>0</v>
      </c>
      <c r="BM55">
        <f t="shared" si="42"/>
        <v>0</v>
      </c>
      <c r="BN55">
        <f t="shared" si="43"/>
        <v>3</v>
      </c>
      <c r="BO55">
        <f t="shared" si="44"/>
        <v>0</v>
      </c>
      <c r="BP55">
        <f t="shared" si="45"/>
        <v>0</v>
      </c>
      <c r="BQ55">
        <f t="shared" si="46"/>
        <v>0</v>
      </c>
      <c r="BR55">
        <f t="shared" si="47"/>
        <v>3</v>
      </c>
    </row>
    <row r="56" spans="1:70">
      <c r="A56" t="str">
        <f>'time 1'!B55</f>
        <v>&lt;test.ImageData: int getChannelShift(int)&gt;</v>
      </c>
      <c r="B56">
        <f>AVERAGE('time 1'!D55/'time 1'!C55,'time 2'!D55/'time 2'!C55,'time 3'!D55/'time 3'!C55)</f>
        <v>0.89414725810270956</v>
      </c>
      <c r="C56">
        <f>AVERAGE('time 1'!F55/'time 1'!E55,'time 2'!F55/'time 2'!E55,'time 3'!F55/'time 3'!E55)</f>
        <v>0.92134775182501194</v>
      </c>
      <c r="D56">
        <f>AVERAGE('time 1'!H55/'time 1'!G55,'time 2'!H55/'time 2'!G55,'time 3'!H55/'time 3'!G55)</f>
        <v>0.90079012767872868</v>
      </c>
      <c r="E56">
        <f>AVERAGE('time 1'!J55/'time 2'!I55,'time 2'!J55/'time 2'!I55,'time 3'!J55/'time 3'!I55)</f>
        <v>1.0485974499089254</v>
      </c>
      <c r="F56">
        <f>AVERAGE('time 1'!L55/'time 1'!K55,'time 2'!L55/'time 2'!K55,'time 3'!L55/'time 3'!K55)</f>
        <v>1.0046082532708653</v>
      </c>
      <c r="G56">
        <f>AVERAGE('time 1'!N55/'time 1'!M55,'time 2'!N55/'time 2'!M55,'time 3'!N55/'time 3'!M55)</f>
        <v>0.92898120836280951</v>
      </c>
      <c r="H56">
        <f>AVERAGE('time 1'!P55/'time 1'!O55,'time 2'!P55/'time 2'!O55,'time 3'!P55/'time 3'!O55)</f>
        <v>0.87283537718320325</v>
      </c>
      <c r="I56">
        <f>AVERAGE('time 1'!R55/'time 1'!Q55,'time 2'!R55/'time 2'!Q55,'time 3'!R55/'time 3'!Q55)</f>
        <v>0.96802988711408133</v>
      </c>
      <c r="J56">
        <f>AVERAGE('time 1'!T55/'time 1'!S55,'time 2'!T55/'time 2'!S55,'time 3'!T55/'time 3'!S55)</f>
        <v>0.81669190889599041</v>
      </c>
      <c r="K56">
        <f t="shared" si="3"/>
        <v>7</v>
      </c>
      <c r="L56">
        <f t="shared" si="4"/>
        <v>2</v>
      </c>
      <c r="M56">
        <f t="shared" si="5"/>
        <v>0</v>
      </c>
      <c r="N56">
        <f t="shared" si="6"/>
        <v>0</v>
      </c>
      <c r="O56">
        <f t="shared" si="7"/>
        <v>2</v>
      </c>
      <c r="P56">
        <f t="shared" si="48"/>
        <v>1</v>
      </c>
      <c r="Q56">
        <f t="shared" si="49"/>
        <v>0</v>
      </c>
      <c r="R56">
        <f t="shared" si="8"/>
        <v>0</v>
      </c>
      <c r="S56">
        <f t="shared" si="9"/>
        <v>2</v>
      </c>
      <c r="T56">
        <f t="shared" si="10"/>
        <v>1</v>
      </c>
      <c r="U56">
        <f t="shared" si="11"/>
        <v>0</v>
      </c>
      <c r="V56">
        <f t="shared" si="12"/>
        <v>0</v>
      </c>
      <c r="W56">
        <f t="shared" si="13"/>
        <v>3</v>
      </c>
      <c r="X56">
        <f t="shared" si="14"/>
        <v>0</v>
      </c>
      <c r="Y56">
        <f t="shared" si="15"/>
        <v>0</v>
      </c>
      <c r="Z56">
        <f t="shared" si="16"/>
        <v>0</v>
      </c>
      <c r="AB56">
        <f>AVERAGE('accuracy dom5dom4'!$C56,'accuracy dom51dom41'!$C56,'accuracy dom52dom42'!$C56)</f>
        <v>1.3333333333333333</v>
      </c>
      <c r="AC56">
        <f>AVERAGE('accuracy dom5dom4'!$G56,'accuracy dom51dom41'!$G56,'accuracy dom52dom42'!$G56)</f>
        <v>1.3333333333333333</v>
      </c>
      <c r="AD56">
        <f>AVERAGE('accuracy dom5dom4'!$AB56,'accuracy dom51dom41'!$AB56,'accuracy dom52dom42'!$AB56)</f>
        <v>1.3333333333333333</v>
      </c>
      <c r="AE56">
        <f>AVERAGE('accuracy dom7dom6'!$C56,'accuracy dom71dom61'!$C56,'accuracy dom72dom62'!$C56)</f>
        <v>1.3333333333333333</v>
      </c>
      <c r="AF56">
        <f>AVERAGE('accuracy dom7dom6'!$G56,'accuracy dom71dom61'!$G56,'accuracy dom72dom62'!$G56)</f>
        <v>1.3333333333333333</v>
      </c>
      <c r="AG56">
        <f>AVERAGE('accuracy dom7dom6'!$AB56,'accuracy dom71dom61'!$AB56,'accuracy dom72dom62'!$AB56)</f>
        <v>1.3333333333333333</v>
      </c>
      <c r="AH56">
        <f>AVERAGE('accuracy dom9dom8'!$C56,'accuracy dom91dom81'!$C56,'accuracy dom92dom82'!$C56)</f>
        <v>2</v>
      </c>
      <c r="AI56">
        <f>AVERAGE('accuracy dom9dom8'!$G56,'accuracy dom91dom81'!$G56,'accuracy dom92dom82'!$G56)</f>
        <v>2</v>
      </c>
      <c r="AJ56">
        <f>AVERAGE('accuracy dom9dom8'!$AB56,'accuracy dom91dom81'!$AB56,'accuracy dom92dom82'!$AB56)</f>
        <v>2</v>
      </c>
      <c r="AK56">
        <f t="shared" si="17"/>
        <v>9</v>
      </c>
      <c r="AL56">
        <f t="shared" si="50"/>
        <v>11.333333333333332</v>
      </c>
      <c r="AM56">
        <f t="shared" si="51"/>
        <v>2.6666666666666679</v>
      </c>
      <c r="AN56">
        <f t="shared" si="52"/>
        <v>0</v>
      </c>
      <c r="AO56">
        <f t="shared" si="19"/>
        <v>0</v>
      </c>
      <c r="AP56">
        <f t="shared" si="20"/>
        <v>3.333333333333333</v>
      </c>
      <c r="AQ56">
        <f t="shared" si="21"/>
        <v>1.333333333333333</v>
      </c>
      <c r="AR56">
        <f t="shared" si="22"/>
        <v>0</v>
      </c>
      <c r="AS56">
        <f t="shared" si="23"/>
        <v>0</v>
      </c>
      <c r="AT56">
        <f t="shared" si="24"/>
        <v>3.333333333333333</v>
      </c>
      <c r="AU56">
        <f t="shared" si="25"/>
        <v>1.333333333333333</v>
      </c>
      <c r="AV56">
        <f t="shared" si="26"/>
        <v>0</v>
      </c>
      <c r="AW56">
        <f t="shared" si="27"/>
        <v>0</v>
      </c>
      <c r="AX56">
        <f t="shared" si="28"/>
        <v>4.6666666666666661</v>
      </c>
      <c r="AY56">
        <f t="shared" si="29"/>
        <v>0</v>
      </c>
      <c r="AZ56">
        <f t="shared" si="30"/>
        <v>0</v>
      </c>
      <c r="BA56">
        <f t="shared" si="31"/>
        <v>0</v>
      </c>
      <c r="BC56">
        <f t="shared" si="32"/>
        <v>7</v>
      </c>
      <c r="BD56">
        <f t="shared" si="33"/>
        <v>2</v>
      </c>
      <c r="BE56">
        <f t="shared" si="34"/>
        <v>0</v>
      </c>
      <c r="BF56">
        <f t="shared" si="35"/>
        <v>0</v>
      </c>
      <c r="BG56">
        <f t="shared" si="36"/>
        <v>2</v>
      </c>
      <c r="BH56">
        <f t="shared" si="37"/>
        <v>1</v>
      </c>
      <c r="BI56">
        <f t="shared" si="38"/>
        <v>0</v>
      </c>
      <c r="BJ56">
        <f t="shared" si="39"/>
        <v>0</v>
      </c>
      <c r="BK56">
        <f t="shared" si="40"/>
        <v>2</v>
      </c>
      <c r="BL56">
        <f t="shared" si="41"/>
        <v>1</v>
      </c>
      <c r="BM56">
        <f t="shared" si="42"/>
        <v>0</v>
      </c>
      <c r="BN56">
        <f t="shared" si="43"/>
        <v>0</v>
      </c>
      <c r="BO56">
        <f t="shared" si="44"/>
        <v>3</v>
      </c>
      <c r="BP56">
        <f t="shared" si="45"/>
        <v>0</v>
      </c>
      <c r="BQ56">
        <f t="shared" si="46"/>
        <v>0</v>
      </c>
      <c r="BR56">
        <f t="shared" si="47"/>
        <v>0</v>
      </c>
    </row>
    <row r="57" spans="1:70">
      <c r="A57" t="str">
        <f>'time 1'!B56</f>
        <v>&lt;test.ImageData: int getChannelWidth(int,int)&gt;</v>
      </c>
      <c r="B57">
        <f>AVERAGE('time 1'!D56/'time 1'!C56,'time 2'!D56/'time 2'!C56,'time 3'!D56/'time 3'!C56)</f>
        <v>1.6282657990732528</v>
      </c>
      <c r="C57">
        <f>AVERAGE('time 1'!F56/'time 1'!E56,'time 2'!F56/'time 2'!E56,'time 3'!F56/'time 3'!E56)</f>
        <v>1.4107731909960217</v>
      </c>
      <c r="D57">
        <f>AVERAGE('time 1'!H56/'time 1'!G56,'time 2'!H56/'time 2'!G56,'time 3'!H56/'time 3'!G56)</f>
        <v>1.4780437662434875</v>
      </c>
      <c r="E57">
        <f>AVERAGE('time 1'!J56/'time 2'!I56,'time 2'!J56/'time 2'!I56,'time 3'!J56/'time 3'!I56)</f>
        <v>1.7328697667680719</v>
      </c>
      <c r="F57">
        <f>AVERAGE('time 1'!L56/'time 1'!K56,'time 2'!L56/'time 2'!K56,'time 3'!L56/'time 3'!K56)</f>
        <v>1.1975464923697332</v>
      </c>
      <c r="G57">
        <f>AVERAGE('time 1'!N56/'time 1'!M56,'time 2'!N56/'time 2'!M56,'time 3'!N56/'time 3'!M56)</f>
        <v>2.0906285432709595</v>
      </c>
      <c r="H57">
        <f>AVERAGE('time 1'!P56/'time 1'!O56,'time 2'!P56/'time 2'!O56,'time 3'!P56/'time 3'!O56)</f>
        <v>1.4181511853035147</v>
      </c>
      <c r="I57">
        <f>AVERAGE('time 1'!R56/'time 1'!Q56,'time 2'!R56/'time 2'!Q56,'time 3'!R56/'time 3'!Q56)</f>
        <v>1.3047868937508513</v>
      </c>
      <c r="J57">
        <f>AVERAGE('time 1'!T56/'time 1'!S56,'time 2'!T56/'time 2'!S56,'time 3'!T56/'time 3'!S56)</f>
        <v>1.5684430460766547</v>
      </c>
      <c r="K57">
        <f t="shared" si="3"/>
        <v>0</v>
      </c>
      <c r="L57">
        <f t="shared" si="4"/>
        <v>8</v>
      </c>
      <c r="M57">
        <f t="shared" si="5"/>
        <v>1</v>
      </c>
      <c r="N57">
        <f t="shared" si="6"/>
        <v>0</v>
      </c>
      <c r="O57">
        <f t="shared" si="7"/>
        <v>0</v>
      </c>
      <c r="P57">
        <f t="shared" si="48"/>
        <v>3</v>
      </c>
      <c r="Q57">
        <f t="shared" si="49"/>
        <v>0</v>
      </c>
      <c r="R57">
        <f t="shared" si="8"/>
        <v>0</v>
      </c>
      <c r="S57">
        <f t="shared" si="9"/>
        <v>0</v>
      </c>
      <c r="T57">
        <f t="shared" si="10"/>
        <v>3</v>
      </c>
      <c r="U57">
        <f t="shared" si="11"/>
        <v>0</v>
      </c>
      <c r="V57">
        <f t="shared" si="12"/>
        <v>0</v>
      </c>
      <c r="W57">
        <f t="shared" si="13"/>
        <v>0</v>
      </c>
      <c r="X57">
        <f t="shared" si="14"/>
        <v>2</v>
      </c>
      <c r="Y57">
        <f t="shared" si="15"/>
        <v>1</v>
      </c>
      <c r="Z57">
        <f t="shared" si="16"/>
        <v>0</v>
      </c>
      <c r="AB57">
        <f>AVERAGE('accuracy dom5dom4'!$C57,'accuracy dom51dom41'!$C57,'accuracy dom52dom42'!$C57)</f>
        <v>0.66666666666666663</v>
      </c>
      <c r="AC57">
        <f>AVERAGE('accuracy dom5dom4'!$G57,'accuracy dom51dom41'!$G57,'accuracy dom52dom42'!$G57)</f>
        <v>0.66666666666666663</v>
      </c>
      <c r="AD57">
        <f>AVERAGE('accuracy dom5dom4'!$AB57,'accuracy dom51dom41'!$AB57,'accuracy dom52dom42'!$AB57)</f>
        <v>0.66666666666666663</v>
      </c>
      <c r="AE57">
        <f>AVERAGE('accuracy dom7dom6'!$C57,'accuracy dom71dom61'!$C57,'accuracy dom72dom62'!$C57)</f>
        <v>0.66666666666666663</v>
      </c>
      <c r="AF57">
        <f>AVERAGE('accuracy dom7dom6'!$G57,'accuracy dom71dom61'!$G57,'accuracy dom72dom62'!$G57)</f>
        <v>0.66666666666666663</v>
      </c>
      <c r="AG57">
        <f>AVERAGE('accuracy dom7dom6'!$AB57,'accuracy dom71dom61'!$AB57,'accuracy dom72dom62'!$AB57)</f>
        <v>0.66666666666666663</v>
      </c>
      <c r="AH57">
        <f>AVERAGE('accuracy dom9dom8'!$C57,'accuracy dom91dom81'!$C57,'accuracy dom92dom82'!$C57)</f>
        <v>1</v>
      </c>
      <c r="AI57">
        <f>AVERAGE('accuracy dom9dom8'!$G57,'accuracy dom91dom81'!$G57,'accuracy dom92dom82'!$G57)</f>
        <v>1</v>
      </c>
      <c r="AJ57">
        <f>AVERAGE('accuracy dom9dom8'!$AB57,'accuracy dom91dom81'!$AB57,'accuracy dom92dom82'!$AB57)</f>
        <v>1</v>
      </c>
      <c r="AK57">
        <f t="shared" si="17"/>
        <v>9</v>
      </c>
      <c r="AL57">
        <f t="shared" si="50"/>
        <v>0</v>
      </c>
      <c r="AM57">
        <f t="shared" si="51"/>
        <v>6.333333333333333</v>
      </c>
      <c r="AN57">
        <f t="shared" si="52"/>
        <v>0.66666666666666696</v>
      </c>
      <c r="AO57">
        <f t="shared" si="19"/>
        <v>0</v>
      </c>
      <c r="AP57">
        <f t="shared" si="20"/>
        <v>0</v>
      </c>
      <c r="AQ57">
        <f t="shared" si="21"/>
        <v>2.333333333333333</v>
      </c>
      <c r="AR57">
        <f t="shared" si="22"/>
        <v>0</v>
      </c>
      <c r="AS57">
        <f t="shared" si="23"/>
        <v>0</v>
      </c>
      <c r="AT57">
        <f t="shared" si="24"/>
        <v>0</v>
      </c>
      <c r="AU57">
        <f t="shared" si="25"/>
        <v>2.333333333333333</v>
      </c>
      <c r="AV57">
        <f t="shared" si="26"/>
        <v>0</v>
      </c>
      <c r="AW57">
        <f t="shared" si="27"/>
        <v>0</v>
      </c>
      <c r="AX57">
        <f t="shared" si="28"/>
        <v>0</v>
      </c>
      <c r="AY57">
        <f t="shared" si="29"/>
        <v>1.6666666666666665</v>
      </c>
      <c r="AZ57">
        <f t="shared" si="30"/>
        <v>0.66666666666666652</v>
      </c>
      <c r="BA57">
        <f t="shared" si="31"/>
        <v>0</v>
      </c>
      <c r="BC57">
        <f t="shared" si="32"/>
        <v>0</v>
      </c>
      <c r="BD57">
        <f t="shared" si="33"/>
        <v>8</v>
      </c>
      <c r="BE57">
        <f t="shared" si="34"/>
        <v>1</v>
      </c>
      <c r="BF57">
        <f t="shared" si="35"/>
        <v>0</v>
      </c>
      <c r="BG57">
        <f t="shared" si="36"/>
        <v>0</v>
      </c>
      <c r="BH57">
        <f t="shared" si="37"/>
        <v>3</v>
      </c>
      <c r="BI57">
        <f t="shared" si="38"/>
        <v>0</v>
      </c>
      <c r="BJ57">
        <f t="shared" si="39"/>
        <v>0</v>
      </c>
      <c r="BK57">
        <f t="shared" si="40"/>
        <v>0</v>
      </c>
      <c r="BL57">
        <f t="shared" si="41"/>
        <v>3</v>
      </c>
      <c r="BM57">
        <f t="shared" si="42"/>
        <v>0</v>
      </c>
      <c r="BN57">
        <f t="shared" si="43"/>
        <v>0</v>
      </c>
      <c r="BO57">
        <f t="shared" si="44"/>
        <v>0</v>
      </c>
      <c r="BP57">
        <f t="shared" si="45"/>
        <v>2</v>
      </c>
      <c r="BQ57">
        <f t="shared" si="46"/>
        <v>1</v>
      </c>
      <c r="BR57">
        <f t="shared" si="47"/>
        <v>0</v>
      </c>
    </row>
    <row r="58" spans="1:70">
      <c r="A58" t="str">
        <f>'time 1'!B57</f>
        <v>&lt;test.ImageData: int getMSBOffset(int)&gt;</v>
      </c>
      <c r="B58">
        <f>AVERAGE('time 1'!D57/'time 1'!C57,'time 2'!D57/'time 2'!C57,'time 3'!D57/'time 3'!C57)</f>
        <v>1.1887606466456402</v>
      </c>
      <c r="C58">
        <f>AVERAGE('time 1'!F57/'time 1'!E57,'time 2'!F57/'time 2'!E57,'time 3'!F57/'time 3'!E57)</f>
        <v>1.0841269841269841</v>
      </c>
      <c r="D58">
        <f>AVERAGE('time 1'!H57/'time 1'!G57,'time 2'!H57/'time 2'!G57,'time 3'!H57/'time 3'!G57)</f>
        <v>1.0910597572362279</v>
      </c>
      <c r="E58">
        <f>AVERAGE('time 1'!J57/'time 2'!I57,'time 2'!J57/'time 2'!I57,'time 3'!J57/'time 3'!I57)</f>
        <v>1.2216587660309413</v>
      </c>
      <c r="F58">
        <f>AVERAGE('time 1'!L57/'time 1'!K57,'time 2'!L57/'time 2'!K57,'time 3'!L57/'time 3'!K57)</f>
        <v>1.1366578244777925</v>
      </c>
      <c r="G58">
        <f>AVERAGE('time 1'!N57/'time 1'!M57,'time 2'!N57/'time 2'!M57,'time 3'!N57/'time 3'!M57)</f>
        <v>1.2630430284026739</v>
      </c>
      <c r="H58">
        <f>AVERAGE('time 1'!P57/'time 1'!O57,'time 2'!P57/'time 2'!O57,'time 3'!P57/'time 3'!O57)</f>
        <v>1.1993615689267862</v>
      </c>
      <c r="I58">
        <f>AVERAGE('time 1'!R57/'time 1'!Q57,'time 2'!R57/'time 2'!Q57,'time 3'!R57/'time 3'!Q57)</f>
        <v>1.1717378196803687</v>
      </c>
      <c r="J58">
        <f>AVERAGE('time 1'!T57/'time 1'!S57,'time 2'!T57/'time 2'!S57,'time 3'!T57/'time 3'!S57)</f>
        <v>1.101442563227635</v>
      </c>
      <c r="K58">
        <f t="shared" si="3"/>
        <v>0</v>
      </c>
      <c r="L58">
        <f t="shared" si="4"/>
        <v>9</v>
      </c>
      <c r="M58">
        <f t="shared" si="5"/>
        <v>0</v>
      </c>
      <c r="N58">
        <f t="shared" si="6"/>
        <v>0</v>
      </c>
      <c r="O58">
        <f t="shared" si="7"/>
        <v>0</v>
      </c>
      <c r="P58">
        <f t="shared" si="48"/>
        <v>3</v>
      </c>
      <c r="Q58">
        <f t="shared" si="49"/>
        <v>0</v>
      </c>
      <c r="R58">
        <f t="shared" si="8"/>
        <v>0</v>
      </c>
      <c r="S58">
        <f t="shared" si="9"/>
        <v>0</v>
      </c>
      <c r="T58">
        <f t="shared" si="10"/>
        <v>3</v>
      </c>
      <c r="U58">
        <f t="shared" si="11"/>
        <v>0</v>
      </c>
      <c r="V58">
        <f t="shared" si="12"/>
        <v>0</v>
      </c>
      <c r="W58">
        <f t="shared" si="13"/>
        <v>0</v>
      </c>
      <c r="X58">
        <f t="shared" si="14"/>
        <v>3</v>
      </c>
      <c r="Y58">
        <f t="shared" si="15"/>
        <v>0</v>
      </c>
      <c r="Z58">
        <f t="shared" si="16"/>
        <v>0</v>
      </c>
      <c r="AB58">
        <f>AVERAGE('accuracy dom5dom4'!$C58,'accuracy dom51dom41'!$C58,'accuracy dom52dom42'!$C58)</f>
        <v>0</v>
      </c>
      <c r="AC58">
        <f>AVERAGE('accuracy dom5dom4'!$G58,'accuracy dom51dom41'!$G58,'accuracy dom52dom42'!$G58)</f>
        <v>0</v>
      </c>
      <c r="AD58">
        <f>AVERAGE('accuracy dom5dom4'!$AB58,'accuracy dom51dom41'!$AB58,'accuracy dom52dom42'!$AB58)</f>
        <v>0</v>
      </c>
      <c r="AE58">
        <f>AVERAGE('accuracy dom7dom6'!$C58,'accuracy dom71dom61'!$C58,'accuracy dom72dom62'!$C58)</f>
        <v>0</v>
      </c>
      <c r="AF58">
        <f>AVERAGE('accuracy dom7dom6'!$G58,'accuracy dom71dom61'!$G58,'accuracy dom72dom62'!$G58)</f>
        <v>0</v>
      </c>
      <c r="AG58">
        <f>AVERAGE('accuracy dom7dom6'!$AB58,'accuracy dom71dom61'!$AB58,'accuracy dom72dom62'!$AB58)</f>
        <v>0</v>
      </c>
      <c r="AH58">
        <f>AVERAGE('accuracy dom9dom8'!$C58,'accuracy dom91dom81'!$C58,'accuracy dom92dom82'!$C58)</f>
        <v>0</v>
      </c>
      <c r="AI58">
        <f>AVERAGE('accuracy dom9dom8'!$G58,'accuracy dom91dom81'!$G58,'accuracy dom92dom82'!$G58)</f>
        <v>0</v>
      </c>
      <c r="AJ58">
        <f>AVERAGE('accuracy dom9dom8'!$AB58,'accuracy dom91dom81'!$AB58,'accuracy dom92dom82'!$AB58)</f>
        <v>0</v>
      </c>
      <c r="AK58">
        <f t="shared" si="17"/>
        <v>0</v>
      </c>
      <c r="AL58">
        <f t="shared" si="50"/>
        <v>0</v>
      </c>
      <c r="AM58">
        <f t="shared" si="51"/>
        <v>0</v>
      </c>
      <c r="AN58">
        <f t="shared" si="52"/>
        <v>0</v>
      </c>
      <c r="AO58">
        <f t="shared" si="19"/>
        <v>0</v>
      </c>
      <c r="AP58">
        <f t="shared" si="20"/>
        <v>0</v>
      </c>
      <c r="AQ58">
        <f t="shared" si="21"/>
        <v>0</v>
      </c>
      <c r="AR58">
        <f t="shared" si="22"/>
        <v>0</v>
      </c>
      <c r="AS58">
        <f t="shared" si="23"/>
        <v>0</v>
      </c>
      <c r="AT58">
        <f t="shared" si="24"/>
        <v>0</v>
      </c>
      <c r="AU58">
        <f t="shared" si="25"/>
        <v>0</v>
      </c>
      <c r="AV58">
        <f t="shared" si="26"/>
        <v>0</v>
      </c>
      <c r="AW58">
        <f t="shared" si="27"/>
        <v>0</v>
      </c>
      <c r="AX58">
        <f t="shared" si="28"/>
        <v>0</v>
      </c>
      <c r="AY58">
        <f t="shared" si="29"/>
        <v>0</v>
      </c>
      <c r="AZ58">
        <f t="shared" si="30"/>
        <v>0</v>
      </c>
      <c r="BA58">
        <f t="shared" si="31"/>
        <v>0</v>
      </c>
      <c r="BC58">
        <f t="shared" si="32"/>
        <v>0</v>
      </c>
      <c r="BD58">
        <f t="shared" si="33"/>
        <v>0</v>
      </c>
      <c r="BE58">
        <f t="shared" si="34"/>
        <v>0</v>
      </c>
      <c r="BF58">
        <f t="shared" si="35"/>
        <v>0</v>
      </c>
      <c r="BG58">
        <f t="shared" si="36"/>
        <v>0</v>
      </c>
      <c r="BH58">
        <f t="shared" si="37"/>
        <v>0</v>
      </c>
      <c r="BI58">
        <f t="shared" si="38"/>
        <v>0</v>
      </c>
      <c r="BJ58">
        <f t="shared" si="39"/>
        <v>0</v>
      </c>
      <c r="BK58">
        <f t="shared" si="40"/>
        <v>0</v>
      </c>
      <c r="BL58">
        <f t="shared" si="41"/>
        <v>0</v>
      </c>
      <c r="BM58">
        <f t="shared" si="42"/>
        <v>0</v>
      </c>
      <c r="BN58">
        <f t="shared" si="43"/>
        <v>0</v>
      </c>
      <c r="BO58">
        <f t="shared" si="44"/>
        <v>0</v>
      </c>
      <c r="BP58">
        <f t="shared" si="45"/>
        <v>0</v>
      </c>
      <c r="BQ58">
        <f t="shared" si="46"/>
        <v>0</v>
      </c>
      <c r="BR58">
        <f t="shared" si="47"/>
        <v>0</v>
      </c>
    </row>
    <row r="59" spans="1:70">
      <c r="A59" t="str">
        <f>'time 1'!B58</f>
        <v>&lt;test.ImageData: int getPixel(int,int)&gt;</v>
      </c>
      <c r="B59">
        <f>AVERAGE('time 1'!D58/'time 1'!C58,'time 2'!D58/'time 2'!C58,'time 3'!D58/'time 3'!C58)</f>
        <v>1.1683843438524788</v>
      </c>
      <c r="C59">
        <f>AVERAGE('time 1'!F58/'time 1'!E58,'time 2'!F58/'time 2'!E58,'time 3'!F58/'time 3'!E58)</f>
        <v>0.93185506754658354</v>
      </c>
      <c r="D59">
        <f>AVERAGE('time 1'!H58/'time 1'!G58,'time 2'!H58/'time 2'!G58,'time 3'!H58/'time 3'!G58)</f>
        <v>1.1510174426277615</v>
      </c>
      <c r="E59">
        <f>AVERAGE('time 1'!J58/'time 2'!I58,'time 2'!J58/'time 2'!I58,'time 3'!J58/'time 3'!I58)</f>
        <v>1.2641304347826088</v>
      </c>
      <c r="F59">
        <f>AVERAGE('time 1'!L58/'time 1'!K58,'time 2'!L58/'time 2'!K58,'time 3'!L58/'time 3'!K58)</f>
        <v>1.0182526419577085</v>
      </c>
      <c r="G59">
        <f>AVERAGE('time 1'!N58/'time 1'!M58,'time 2'!N58/'time 2'!M58,'time 3'!N58/'time 3'!M58)</f>
        <v>1.1690875154905525</v>
      </c>
      <c r="H59">
        <f>AVERAGE('time 1'!P58/'time 1'!O58,'time 2'!P58/'time 2'!O58,'time 3'!P58/'time 3'!O58)</f>
        <v>1.2148630282469701</v>
      </c>
      <c r="I59">
        <f>AVERAGE('time 1'!R58/'time 1'!Q58,'time 2'!R58/'time 2'!Q58,'time 3'!R58/'time 3'!Q58)</f>
        <v>0.98251731660604713</v>
      </c>
      <c r="J59">
        <f>AVERAGE('time 1'!T58/'time 1'!S58,'time 2'!T58/'time 2'!S58,'time 3'!T58/'time 3'!S58)</f>
        <v>1.2890264437507948</v>
      </c>
      <c r="K59">
        <f t="shared" si="3"/>
        <v>2</v>
      </c>
      <c r="L59">
        <f t="shared" si="4"/>
        <v>7</v>
      </c>
      <c r="M59">
        <f t="shared" si="5"/>
        <v>0</v>
      </c>
      <c r="N59">
        <f t="shared" si="6"/>
        <v>0</v>
      </c>
      <c r="O59">
        <f t="shared" si="7"/>
        <v>0</v>
      </c>
      <c r="P59">
        <f t="shared" si="48"/>
        <v>3</v>
      </c>
      <c r="Q59">
        <f t="shared" si="49"/>
        <v>0</v>
      </c>
      <c r="R59">
        <f t="shared" si="8"/>
        <v>0</v>
      </c>
      <c r="S59">
        <f t="shared" si="9"/>
        <v>2</v>
      </c>
      <c r="T59">
        <f t="shared" si="10"/>
        <v>1</v>
      </c>
      <c r="U59">
        <f t="shared" si="11"/>
        <v>0</v>
      </c>
      <c r="V59">
        <f t="shared" si="12"/>
        <v>0</v>
      </c>
      <c r="W59">
        <f t="shared" si="13"/>
        <v>0</v>
      </c>
      <c r="X59">
        <f t="shared" si="14"/>
        <v>3</v>
      </c>
      <c r="Y59">
        <f t="shared" si="15"/>
        <v>0</v>
      </c>
      <c r="Z59">
        <f t="shared" si="16"/>
        <v>0</v>
      </c>
      <c r="AB59">
        <f>AVERAGE('accuracy dom5dom4'!$C59,'accuracy dom51dom41'!$C59,'accuracy dom52dom42'!$C59)</f>
        <v>6</v>
      </c>
      <c r="AC59">
        <f>AVERAGE('accuracy dom5dom4'!$G59,'accuracy dom51dom41'!$G59,'accuracy dom52dom42'!$G59)</f>
        <v>6</v>
      </c>
      <c r="AD59">
        <f>AVERAGE('accuracy dom5dom4'!$AB59,'accuracy dom51dom41'!$AB59,'accuracy dom52dom42'!$AB59)</f>
        <v>6</v>
      </c>
      <c r="AE59">
        <f>AVERAGE('accuracy dom7dom6'!$C59,'accuracy dom71dom61'!$C59,'accuracy dom72dom62'!$C59)</f>
        <v>6</v>
      </c>
      <c r="AF59">
        <f>AVERAGE('accuracy dom7dom6'!$G59,'accuracy dom71dom61'!$G59,'accuracy dom72dom62'!$G59)</f>
        <v>6</v>
      </c>
      <c r="AG59">
        <f>AVERAGE('accuracy dom7dom6'!$AB59,'accuracy dom71dom61'!$AB59,'accuracy dom72dom62'!$AB59)</f>
        <v>6</v>
      </c>
      <c r="AH59">
        <f>AVERAGE('accuracy dom9dom8'!$C59,'accuracy dom91dom81'!$C59,'accuracy dom92dom82'!$C59)</f>
        <v>5</v>
      </c>
      <c r="AI59">
        <f>AVERAGE('accuracy dom9dom8'!$G59,'accuracy dom91dom81'!$G59,'accuracy dom92dom82'!$G59)</f>
        <v>5</v>
      </c>
      <c r="AJ59">
        <f>AVERAGE('accuracy dom9dom8'!$AB59,'accuracy dom91dom81'!$AB59,'accuracy dom92dom82'!$AB59)</f>
        <v>5</v>
      </c>
      <c r="AK59">
        <f t="shared" si="17"/>
        <v>9</v>
      </c>
      <c r="AL59">
        <f t="shared" si="50"/>
        <v>11</v>
      </c>
      <c r="AM59">
        <f t="shared" si="51"/>
        <v>40</v>
      </c>
      <c r="AN59">
        <f t="shared" si="52"/>
        <v>0</v>
      </c>
      <c r="AO59">
        <f t="shared" si="19"/>
        <v>0</v>
      </c>
      <c r="AP59">
        <f t="shared" si="20"/>
        <v>0</v>
      </c>
      <c r="AQ59">
        <f t="shared" si="21"/>
        <v>17</v>
      </c>
      <c r="AR59">
        <f t="shared" si="22"/>
        <v>0</v>
      </c>
      <c r="AS59">
        <f t="shared" si="23"/>
        <v>0</v>
      </c>
      <c r="AT59">
        <f t="shared" si="24"/>
        <v>11</v>
      </c>
      <c r="AU59">
        <f t="shared" si="25"/>
        <v>6</v>
      </c>
      <c r="AV59">
        <f t="shared" si="26"/>
        <v>0</v>
      </c>
      <c r="AW59">
        <f t="shared" si="27"/>
        <v>0</v>
      </c>
      <c r="AX59">
        <f t="shared" si="28"/>
        <v>0</v>
      </c>
      <c r="AY59">
        <f t="shared" si="29"/>
        <v>17</v>
      </c>
      <c r="AZ59">
        <f t="shared" si="30"/>
        <v>0</v>
      </c>
      <c r="BA59">
        <f t="shared" si="31"/>
        <v>0</v>
      </c>
      <c r="BC59">
        <f t="shared" si="32"/>
        <v>2</v>
      </c>
      <c r="BD59">
        <f t="shared" si="33"/>
        <v>7</v>
      </c>
      <c r="BE59">
        <f t="shared" si="34"/>
        <v>0</v>
      </c>
      <c r="BF59">
        <f t="shared" si="35"/>
        <v>0</v>
      </c>
      <c r="BG59">
        <f t="shared" si="36"/>
        <v>0</v>
      </c>
      <c r="BH59">
        <f t="shared" si="37"/>
        <v>3</v>
      </c>
      <c r="BI59">
        <f t="shared" si="38"/>
        <v>0</v>
      </c>
      <c r="BJ59">
        <f t="shared" si="39"/>
        <v>0</v>
      </c>
      <c r="BK59">
        <f t="shared" si="40"/>
        <v>2</v>
      </c>
      <c r="BL59">
        <f t="shared" si="41"/>
        <v>1</v>
      </c>
      <c r="BM59">
        <f t="shared" si="42"/>
        <v>0</v>
      </c>
      <c r="BN59">
        <f t="shared" si="43"/>
        <v>0</v>
      </c>
      <c r="BO59">
        <f t="shared" si="44"/>
        <v>0</v>
      </c>
      <c r="BP59">
        <f t="shared" si="45"/>
        <v>3</v>
      </c>
      <c r="BQ59">
        <f t="shared" si="46"/>
        <v>0</v>
      </c>
      <c r="BR59">
        <f t="shared" si="47"/>
        <v>0</v>
      </c>
    </row>
    <row r="60" spans="1:70">
      <c r="A60" t="str">
        <f>'time 1'!B59</f>
        <v>&lt;test.ImageData: void blit(int,byte[],int,int,int,int,int,int,int,byte[],byte[],byte[],int,byte[],int,int,int,byte[],int,int,int,int,int,int,int,byte[],byte[],byte[],boolean,boolean)&gt;</v>
      </c>
      <c r="B60">
        <f>AVERAGE('time 1'!D59/'time 1'!C59,'time 2'!D59/'time 2'!C59,'time 3'!D59/'time 3'!C59)</f>
        <v>96.946954927169273</v>
      </c>
      <c r="C60">
        <f>AVERAGE('time 1'!F59/'time 1'!E59,'time 2'!F59/'time 2'!E59,'time 3'!F59/'time 3'!E59)</f>
        <v>21.464112222811043</v>
      </c>
      <c r="D60">
        <f>AVERAGE('time 1'!H59/'time 1'!G59,'time 2'!H59/'time 2'!G59,'time 3'!H59/'time 3'!G59)</f>
        <v>95.833297235729617</v>
      </c>
      <c r="E60">
        <f>AVERAGE('time 1'!J59/'time 2'!I59,'time 2'!J59/'time 2'!I59,'time 3'!J59/'time 3'!I59)</f>
        <v>104.77226352444136</v>
      </c>
      <c r="F60">
        <f>AVERAGE('time 1'!L59/'time 1'!K59,'time 2'!L59/'time 2'!K59,'time 3'!L59/'time 3'!K59)</f>
        <v>10.197793476018045</v>
      </c>
      <c r="G60">
        <f>AVERAGE('time 1'!N59/'time 1'!M59,'time 2'!N59/'time 2'!M59,'time 3'!N59/'time 3'!M59)</f>
        <v>97.277879736665454</v>
      </c>
      <c r="H60">
        <f>AVERAGE('time 1'!P59/'time 1'!O59,'time 2'!P59/'time 2'!O59,'time 3'!P59/'time 3'!O59)</f>
        <v>97.998193470535213</v>
      </c>
      <c r="I60">
        <f>AVERAGE('time 1'!R59/'time 1'!Q59,'time 2'!R59/'time 2'!Q59,'time 3'!R59/'time 3'!Q59)</f>
        <v>5.4296168413466832</v>
      </c>
      <c r="J60">
        <f>AVERAGE('time 1'!T59/'time 1'!S59,'time 2'!T59/'time 2'!S59,'time 3'!T59/'time 3'!S59)</f>
        <v>91.259554615637128</v>
      </c>
      <c r="K60">
        <f t="shared" si="3"/>
        <v>0</v>
      </c>
      <c r="L60">
        <f t="shared" si="4"/>
        <v>0</v>
      </c>
      <c r="M60">
        <f t="shared" si="5"/>
        <v>2</v>
      </c>
      <c r="N60">
        <f t="shared" si="6"/>
        <v>7</v>
      </c>
      <c r="O60">
        <f t="shared" si="7"/>
        <v>0</v>
      </c>
      <c r="P60">
        <f t="shared" si="48"/>
        <v>0</v>
      </c>
      <c r="Q60">
        <f t="shared" si="49"/>
        <v>0</v>
      </c>
      <c r="R60">
        <f t="shared" si="8"/>
        <v>3</v>
      </c>
      <c r="S60">
        <f t="shared" si="9"/>
        <v>0</v>
      </c>
      <c r="T60">
        <f t="shared" si="10"/>
        <v>0</v>
      </c>
      <c r="U60">
        <f t="shared" si="11"/>
        <v>2</v>
      </c>
      <c r="V60">
        <f t="shared" si="12"/>
        <v>1</v>
      </c>
      <c r="W60">
        <f t="shared" si="13"/>
        <v>0</v>
      </c>
      <c r="X60">
        <f t="shared" si="14"/>
        <v>0</v>
      </c>
      <c r="Y60">
        <f t="shared" si="15"/>
        <v>0</v>
      </c>
      <c r="Z60">
        <f t="shared" si="16"/>
        <v>3</v>
      </c>
      <c r="AB60">
        <f>AVERAGE('accuracy dom5dom4'!$C60,'accuracy dom51dom41'!$C60,'accuracy dom52dom42'!$C60)</f>
        <v>32</v>
      </c>
      <c r="AC60">
        <f>AVERAGE('accuracy dom5dom4'!$G60,'accuracy dom51dom41'!$G60,'accuracy dom52dom42'!$G60)</f>
        <v>32</v>
      </c>
      <c r="AD60">
        <f>AVERAGE('accuracy dom5dom4'!$AB60,'accuracy dom51dom41'!$AB60,'accuracy dom52dom42'!$AB60)</f>
        <v>32</v>
      </c>
      <c r="AE60">
        <f>AVERAGE('accuracy dom7dom6'!$C60,'accuracy dom71dom61'!$C60,'accuracy dom72dom62'!$C60)</f>
        <v>32</v>
      </c>
      <c r="AF60">
        <f>AVERAGE('accuracy dom7dom6'!$G60,'accuracy dom71dom61'!$G60,'accuracy dom72dom62'!$G60)</f>
        <v>32</v>
      </c>
      <c r="AG60">
        <f>AVERAGE('accuracy dom7dom6'!$AB60,'accuracy dom71dom61'!$AB60,'accuracy dom72dom62'!$AB60)</f>
        <v>32</v>
      </c>
      <c r="AH60">
        <f>AVERAGE('accuracy dom9dom8'!$C60,'accuracy dom91dom81'!$C60,'accuracy dom92dom82'!$C60)</f>
        <v>32</v>
      </c>
      <c r="AI60">
        <f>AVERAGE('accuracy dom9dom8'!$G60,'accuracy dom91dom81'!$G60,'accuracy dom92dom82'!$G60)</f>
        <v>32.666666666666664</v>
      </c>
      <c r="AJ60">
        <f>AVERAGE('accuracy dom9dom8'!$AB60,'accuracy dom91dom81'!$AB60,'accuracy dom92dom82'!$AB60)</f>
        <v>32.666666666666664</v>
      </c>
      <c r="AK60">
        <f t="shared" si="17"/>
        <v>9</v>
      </c>
      <c r="AL60">
        <f t="shared" si="50"/>
        <v>0</v>
      </c>
      <c r="AM60">
        <f t="shared" si="51"/>
        <v>0</v>
      </c>
      <c r="AN60">
        <f t="shared" si="52"/>
        <v>64.666666666666657</v>
      </c>
      <c r="AO60">
        <f t="shared" si="19"/>
        <v>256.66666666666669</v>
      </c>
      <c r="AP60">
        <f t="shared" si="20"/>
        <v>0</v>
      </c>
      <c r="AQ60">
        <f t="shared" si="21"/>
        <v>0</v>
      </c>
      <c r="AR60">
        <f t="shared" si="22"/>
        <v>0</v>
      </c>
      <c r="AS60">
        <f t="shared" si="23"/>
        <v>96</v>
      </c>
      <c r="AT60">
        <f t="shared" si="24"/>
        <v>0</v>
      </c>
      <c r="AU60">
        <f t="shared" si="25"/>
        <v>0</v>
      </c>
      <c r="AV60">
        <f t="shared" si="26"/>
        <v>64.666666666666657</v>
      </c>
      <c r="AW60">
        <f t="shared" si="27"/>
        <v>64</v>
      </c>
      <c r="AX60">
        <f t="shared" si="28"/>
        <v>0</v>
      </c>
      <c r="AY60">
        <f t="shared" si="29"/>
        <v>0</v>
      </c>
      <c r="AZ60">
        <f t="shared" si="30"/>
        <v>0</v>
      </c>
      <c r="BA60">
        <f t="shared" si="31"/>
        <v>96.666666666666657</v>
      </c>
      <c r="BC60">
        <f t="shared" si="32"/>
        <v>0</v>
      </c>
      <c r="BD60">
        <f t="shared" si="33"/>
        <v>0</v>
      </c>
      <c r="BE60">
        <f t="shared" si="34"/>
        <v>2</v>
      </c>
      <c r="BF60">
        <f t="shared" si="35"/>
        <v>7</v>
      </c>
      <c r="BG60">
        <f t="shared" si="36"/>
        <v>0</v>
      </c>
      <c r="BH60">
        <f t="shared" si="37"/>
        <v>0</v>
      </c>
      <c r="BI60">
        <f t="shared" si="38"/>
        <v>0</v>
      </c>
      <c r="BJ60">
        <f t="shared" si="39"/>
        <v>3</v>
      </c>
      <c r="BK60">
        <f t="shared" si="40"/>
        <v>0</v>
      </c>
      <c r="BL60">
        <f t="shared" si="41"/>
        <v>0</v>
      </c>
      <c r="BM60">
        <f t="shared" si="42"/>
        <v>2</v>
      </c>
      <c r="BN60">
        <f t="shared" si="43"/>
        <v>1</v>
      </c>
      <c r="BO60">
        <f t="shared" si="44"/>
        <v>0</v>
      </c>
      <c r="BP60">
        <f t="shared" si="45"/>
        <v>0</v>
      </c>
      <c r="BQ60">
        <f t="shared" si="46"/>
        <v>0</v>
      </c>
      <c r="BR60">
        <f t="shared" si="47"/>
        <v>3</v>
      </c>
    </row>
    <row r="61" spans="1:70">
      <c r="A61" t="str">
        <f>'time 1'!B60</f>
        <v>&lt;test.ImageData: void blit(int,byte[],int,int,int,int,int,int,int,byte[],byte[],byte[],int,byte[],int,int,int,byte[],int,int,int,int,int,int,int,int,int,int,boolean,boolean)&gt;</v>
      </c>
      <c r="B61">
        <f>AVERAGE('time 1'!D60/'time 1'!C60,'time 2'!D60/'time 2'!C60,'time 3'!D60/'time 3'!C60)</f>
        <v>6.1122752987605002</v>
      </c>
      <c r="C61">
        <f>AVERAGE('time 1'!F60/'time 1'!E60,'time 2'!F60/'time 2'!E60,'time 3'!F60/'time 3'!E60)</f>
        <v>2.5118322899189161</v>
      </c>
      <c r="D61">
        <f>AVERAGE('time 1'!H60/'time 1'!G60,'time 2'!H60/'time 2'!G60,'time 3'!H60/'time 3'!G60)</f>
        <v>7.5677374207046766</v>
      </c>
      <c r="E61">
        <f>AVERAGE('time 1'!J60/'time 2'!I60,'time 2'!J60/'time 2'!I60,'time 3'!J60/'time 3'!I60)</f>
        <v>5.1518677582152312</v>
      </c>
      <c r="F61">
        <f>AVERAGE('time 1'!L60/'time 1'!K60,'time 2'!L60/'time 2'!K60,'time 3'!L60/'time 3'!K60)</f>
        <v>2.0940067136554728</v>
      </c>
      <c r="G61">
        <f>AVERAGE('time 1'!N60/'time 1'!M60,'time 2'!N60/'time 2'!M60,'time 3'!N60/'time 3'!M60)</f>
        <v>6.6682693636773651</v>
      </c>
      <c r="H61">
        <f>AVERAGE('time 1'!P60/'time 1'!O60,'time 2'!P60/'time 2'!O60,'time 3'!P60/'time 3'!O60)</f>
        <v>5.0941740175454298</v>
      </c>
      <c r="I61">
        <f>AVERAGE('time 1'!R60/'time 1'!Q60,'time 2'!R60/'time 2'!Q60,'time 3'!R60/'time 3'!Q60)</f>
        <v>1.5035417556708108</v>
      </c>
      <c r="J61">
        <f>AVERAGE('time 1'!T60/'time 1'!S60,'time 2'!T60/'time 2'!S60,'time 3'!T60/'time 3'!S60)</f>
        <v>5.8027453012827763</v>
      </c>
      <c r="K61">
        <f t="shared" si="3"/>
        <v>0</v>
      </c>
      <c r="L61">
        <f t="shared" si="4"/>
        <v>1</v>
      </c>
      <c r="M61">
        <f t="shared" si="5"/>
        <v>8</v>
      </c>
      <c r="N61">
        <f t="shared" si="6"/>
        <v>0</v>
      </c>
      <c r="O61">
        <f t="shared" si="7"/>
        <v>0</v>
      </c>
      <c r="P61">
        <f t="shared" si="48"/>
        <v>0</v>
      </c>
      <c r="Q61">
        <f t="shared" si="49"/>
        <v>3</v>
      </c>
      <c r="R61">
        <f t="shared" si="8"/>
        <v>0</v>
      </c>
      <c r="S61">
        <f t="shared" si="9"/>
        <v>0</v>
      </c>
      <c r="T61">
        <f t="shared" si="10"/>
        <v>1</v>
      </c>
      <c r="U61">
        <f t="shared" si="11"/>
        <v>2</v>
      </c>
      <c r="V61">
        <f t="shared" si="12"/>
        <v>0</v>
      </c>
      <c r="W61">
        <f t="shared" si="13"/>
        <v>0</v>
      </c>
      <c r="X61">
        <f t="shared" si="14"/>
        <v>0</v>
      </c>
      <c r="Y61">
        <f t="shared" si="15"/>
        <v>3</v>
      </c>
      <c r="Z61">
        <f t="shared" si="16"/>
        <v>0</v>
      </c>
      <c r="AB61">
        <f>AVERAGE('accuracy dom5dom4'!$C61,'accuracy dom51dom41'!$C61,'accuracy dom52dom42'!$C61)</f>
        <v>4</v>
      </c>
      <c r="AC61">
        <f>AVERAGE('accuracy dom5dom4'!$G61,'accuracy dom51dom41'!$G61,'accuracy dom52dom42'!$G61)</f>
        <v>4</v>
      </c>
      <c r="AD61">
        <f>AVERAGE('accuracy dom5dom4'!$AB61,'accuracy dom51dom41'!$AB61,'accuracy dom52dom42'!$AB61)</f>
        <v>4</v>
      </c>
      <c r="AE61">
        <f>AVERAGE('accuracy dom7dom6'!$C61,'accuracy dom71dom61'!$C61,'accuracy dom72dom62'!$C61)</f>
        <v>4</v>
      </c>
      <c r="AF61">
        <f>AVERAGE('accuracy dom7dom6'!$G61,'accuracy dom71dom61'!$G61,'accuracy dom72dom62'!$G61)</f>
        <v>4</v>
      </c>
      <c r="AG61">
        <f>AVERAGE('accuracy dom7dom6'!$AB61,'accuracy dom71dom61'!$AB61,'accuracy dom72dom62'!$AB61)</f>
        <v>4</v>
      </c>
      <c r="AH61">
        <f>AVERAGE('accuracy dom9dom8'!$C61,'accuracy dom91dom81'!$C61,'accuracy dom92dom82'!$C61)</f>
        <v>4</v>
      </c>
      <c r="AI61">
        <f>AVERAGE('accuracy dom9dom8'!$G61,'accuracy dom91dom81'!$G61,'accuracy dom92dom82'!$G61)</f>
        <v>4</v>
      </c>
      <c r="AJ61">
        <f>AVERAGE('accuracy dom9dom8'!$AB61,'accuracy dom91dom81'!$AB61,'accuracy dom92dom82'!$AB61)</f>
        <v>4</v>
      </c>
      <c r="AK61">
        <f t="shared" si="17"/>
        <v>9</v>
      </c>
      <c r="AL61">
        <f t="shared" si="50"/>
        <v>0</v>
      </c>
      <c r="AM61">
        <f t="shared" si="51"/>
        <v>4</v>
      </c>
      <c r="AN61">
        <f t="shared" si="52"/>
        <v>32</v>
      </c>
      <c r="AO61">
        <f t="shared" si="19"/>
        <v>0</v>
      </c>
      <c r="AP61">
        <f t="shared" si="20"/>
        <v>0</v>
      </c>
      <c r="AQ61">
        <f t="shared" si="21"/>
        <v>0</v>
      </c>
      <c r="AR61">
        <f t="shared" si="22"/>
        <v>12</v>
      </c>
      <c r="AS61">
        <f t="shared" si="23"/>
        <v>0</v>
      </c>
      <c r="AT61">
        <f t="shared" si="24"/>
        <v>0</v>
      </c>
      <c r="AU61">
        <f t="shared" si="25"/>
        <v>4</v>
      </c>
      <c r="AV61">
        <f t="shared" si="26"/>
        <v>8</v>
      </c>
      <c r="AW61">
        <f t="shared" si="27"/>
        <v>0</v>
      </c>
      <c r="AX61">
        <f t="shared" si="28"/>
        <v>0</v>
      </c>
      <c r="AY61">
        <f t="shared" si="29"/>
        <v>0</v>
      </c>
      <c r="AZ61">
        <f t="shared" si="30"/>
        <v>12</v>
      </c>
      <c r="BA61">
        <f t="shared" si="31"/>
        <v>0</v>
      </c>
      <c r="BC61">
        <f t="shared" si="32"/>
        <v>0</v>
      </c>
      <c r="BD61">
        <f t="shared" si="33"/>
        <v>1</v>
      </c>
      <c r="BE61">
        <f t="shared" si="34"/>
        <v>8</v>
      </c>
      <c r="BF61">
        <f t="shared" si="35"/>
        <v>0</v>
      </c>
      <c r="BG61">
        <f t="shared" si="36"/>
        <v>0</v>
      </c>
      <c r="BH61">
        <f t="shared" si="37"/>
        <v>0</v>
      </c>
      <c r="BI61">
        <f t="shared" si="38"/>
        <v>3</v>
      </c>
      <c r="BJ61">
        <f t="shared" si="39"/>
        <v>0</v>
      </c>
      <c r="BK61">
        <f t="shared" si="40"/>
        <v>0</v>
      </c>
      <c r="BL61">
        <f t="shared" si="41"/>
        <v>1</v>
      </c>
      <c r="BM61">
        <f t="shared" si="42"/>
        <v>2</v>
      </c>
      <c r="BN61">
        <f t="shared" si="43"/>
        <v>0</v>
      </c>
      <c r="BO61">
        <f t="shared" si="44"/>
        <v>0</v>
      </c>
      <c r="BP61">
        <f t="shared" si="45"/>
        <v>0</v>
      </c>
      <c r="BQ61">
        <f t="shared" si="46"/>
        <v>3</v>
      </c>
      <c r="BR61">
        <f t="shared" si="47"/>
        <v>0</v>
      </c>
    </row>
    <row r="62" spans="1:70">
      <c r="A62" t="str">
        <f>'time 1'!B61</f>
        <v>&lt;test.ImageData: void blit(int,byte[],int,int,int,int,int,int,int,int,int,int,int,byte[],int,int,int,byte[],int,int,int,int,int,int,int,byte[],byte[],byte[],boolean,boolean)&gt;</v>
      </c>
      <c r="B62">
        <f>AVERAGE('time 1'!D61/'time 1'!C61,'time 2'!D61/'time 2'!C61,'time 3'!D61/'time 3'!C61)</f>
        <v>93.235142508515409</v>
      </c>
      <c r="C62">
        <f>AVERAGE('time 1'!F61/'time 1'!E61,'time 2'!F61/'time 2'!E61,'time 3'!F61/'time 3'!E61)</f>
        <v>21.122720074144656</v>
      </c>
      <c r="D62">
        <f>AVERAGE('time 1'!H61/'time 1'!G61,'time 2'!H61/'time 2'!G61,'time 3'!H61/'time 3'!G61)</f>
        <v>88.091970008714284</v>
      </c>
      <c r="E62">
        <f>AVERAGE('time 1'!J61/'time 2'!I61,'time 2'!J61/'time 2'!I61,'time 3'!J61/'time 3'!I61)</f>
        <v>99.647238002701059</v>
      </c>
      <c r="F62">
        <f>AVERAGE('time 1'!L61/'time 1'!K61,'time 2'!L61/'time 2'!K61,'time 3'!L61/'time 3'!K61)</f>
        <v>12.021383103838895</v>
      </c>
      <c r="G62">
        <f>AVERAGE('time 1'!N61/'time 1'!M61,'time 2'!N61/'time 2'!M61,'time 3'!N61/'time 3'!M61)</f>
        <v>105.72891833376316</v>
      </c>
      <c r="H62">
        <f>AVERAGE('time 1'!P61/'time 1'!O61,'time 2'!P61/'time 2'!O61,'time 3'!P61/'time 3'!O61)</f>
        <v>96.050113592681214</v>
      </c>
      <c r="I62">
        <f>AVERAGE('time 1'!R61/'time 1'!Q61,'time 2'!R61/'time 2'!Q61,'time 3'!R61/'time 3'!Q61)</f>
        <v>5.7801014110681193</v>
      </c>
      <c r="J62">
        <f>AVERAGE('time 1'!T61/'time 1'!S61,'time 2'!T61/'time 2'!S61,'time 3'!T61/'time 3'!S61)</f>
        <v>98.712331019714654</v>
      </c>
      <c r="K62">
        <f t="shared" si="3"/>
        <v>0</v>
      </c>
      <c r="L62">
        <f t="shared" si="4"/>
        <v>0</v>
      </c>
      <c r="M62">
        <f t="shared" si="5"/>
        <v>1</v>
      </c>
      <c r="N62">
        <f t="shared" si="6"/>
        <v>8</v>
      </c>
      <c r="O62">
        <f t="shared" si="7"/>
        <v>0</v>
      </c>
      <c r="P62">
        <f t="shared" si="48"/>
        <v>0</v>
      </c>
      <c r="Q62">
        <f t="shared" si="49"/>
        <v>0</v>
      </c>
      <c r="R62">
        <f t="shared" si="8"/>
        <v>3</v>
      </c>
      <c r="S62">
        <f t="shared" si="9"/>
        <v>0</v>
      </c>
      <c r="T62">
        <f t="shared" si="10"/>
        <v>0</v>
      </c>
      <c r="U62">
        <f t="shared" si="11"/>
        <v>1</v>
      </c>
      <c r="V62">
        <f t="shared" si="12"/>
        <v>2</v>
      </c>
      <c r="W62">
        <f t="shared" si="13"/>
        <v>0</v>
      </c>
      <c r="X62">
        <f t="shared" si="14"/>
        <v>0</v>
      </c>
      <c r="Y62">
        <f t="shared" si="15"/>
        <v>0</v>
      </c>
      <c r="Z62">
        <f t="shared" si="16"/>
        <v>3</v>
      </c>
      <c r="AB62">
        <f>AVERAGE('accuracy dom5dom4'!$C62,'accuracy dom51dom41'!$C62,'accuracy dom52dom42'!$C62)</f>
        <v>27</v>
      </c>
      <c r="AC62">
        <f>AVERAGE('accuracy dom5dom4'!$G62,'accuracy dom51dom41'!$G62,'accuracy dom52dom42'!$G62)</f>
        <v>27</v>
      </c>
      <c r="AD62">
        <f>AVERAGE('accuracy dom5dom4'!$AB62,'accuracy dom51dom41'!$AB62,'accuracy dom52dom42'!$AB62)</f>
        <v>27</v>
      </c>
      <c r="AE62">
        <f>AVERAGE('accuracy dom7dom6'!$C62,'accuracy dom71dom61'!$C62,'accuracy dom72dom62'!$C62)</f>
        <v>27</v>
      </c>
      <c r="AF62">
        <f>AVERAGE('accuracy dom7dom6'!$G62,'accuracy dom71dom61'!$G62,'accuracy dom72dom62'!$G62)</f>
        <v>27</v>
      </c>
      <c r="AG62">
        <f>AVERAGE('accuracy dom7dom6'!$AB62,'accuracy dom71dom61'!$AB62,'accuracy dom72dom62'!$AB62)</f>
        <v>27</v>
      </c>
      <c r="AH62">
        <f>AVERAGE('accuracy dom9dom8'!$C62,'accuracy dom91dom81'!$C62,'accuracy dom92dom82'!$C62)</f>
        <v>27</v>
      </c>
      <c r="AI62">
        <f>AVERAGE('accuracy dom9dom8'!$G62,'accuracy dom91dom81'!$G62,'accuracy dom92dom82'!$G62)</f>
        <v>27.333333333333332</v>
      </c>
      <c r="AJ62">
        <f>AVERAGE('accuracy dom9dom8'!$AB62,'accuracy dom91dom81'!$AB62,'accuracy dom92dom82'!$AB62)</f>
        <v>27.333333333333332</v>
      </c>
      <c r="AK62">
        <f t="shared" si="17"/>
        <v>9</v>
      </c>
      <c r="AL62">
        <f t="shared" si="50"/>
        <v>0</v>
      </c>
      <c r="AM62">
        <f t="shared" si="51"/>
        <v>0</v>
      </c>
      <c r="AN62">
        <f t="shared" si="52"/>
        <v>27.333333333333332</v>
      </c>
      <c r="AO62">
        <f t="shared" si="19"/>
        <v>216.33333333333334</v>
      </c>
      <c r="AP62">
        <f t="shared" si="20"/>
        <v>0</v>
      </c>
      <c r="AQ62">
        <f t="shared" si="21"/>
        <v>0</v>
      </c>
      <c r="AR62">
        <f t="shared" si="22"/>
        <v>0</v>
      </c>
      <c r="AS62">
        <f t="shared" si="23"/>
        <v>81</v>
      </c>
      <c r="AT62">
        <f t="shared" si="24"/>
        <v>0</v>
      </c>
      <c r="AU62">
        <f t="shared" si="25"/>
        <v>0</v>
      </c>
      <c r="AV62">
        <f t="shared" si="26"/>
        <v>27.333333333333332</v>
      </c>
      <c r="AW62">
        <f t="shared" si="27"/>
        <v>54</v>
      </c>
      <c r="AX62">
        <f t="shared" si="28"/>
        <v>0</v>
      </c>
      <c r="AY62">
        <f t="shared" si="29"/>
        <v>0</v>
      </c>
      <c r="AZ62">
        <f t="shared" si="30"/>
        <v>0</v>
      </c>
      <c r="BA62">
        <f t="shared" si="31"/>
        <v>81.333333333333329</v>
      </c>
      <c r="BC62">
        <f t="shared" si="32"/>
        <v>0</v>
      </c>
      <c r="BD62">
        <f t="shared" si="33"/>
        <v>0</v>
      </c>
      <c r="BE62">
        <f t="shared" si="34"/>
        <v>1</v>
      </c>
      <c r="BF62">
        <f t="shared" si="35"/>
        <v>8</v>
      </c>
      <c r="BG62">
        <f t="shared" si="36"/>
        <v>0</v>
      </c>
      <c r="BH62">
        <f t="shared" si="37"/>
        <v>0</v>
      </c>
      <c r="BI62">
        <f t="shared" si="38"/>
        <v>0</v>
      </c>
      <c r="BJ62">
        <f t="shared" si="39"/>
        <v>3</v>
      </c>
      <c r="BK62">
        <f t="shared" si="40"/>
        <v>0</v>
      </c>
      <c r="BL62">
        <f t="shared" si="41"/>
        <v>0</v>
      </c>
      <c r="BM62">
        <f t="shared" si="42"/>
        <v>1</v>
      </c>
      <c r="BN62">
        <f t="shared" si="43"/>
        <v>2</v>
      </c>
      <c r="BO62">
        <f t="shared" si="44"/>
        <v>0</v>
      </c>
      <c r="BP62">
        <f t="shared" si="45"/>
        <v>0</v>
      </c>
      <c r="BQ62">
        <f t="shared" si="46"/>
        <v>0</v>
      </c>
      <c r="BR62">
        <f t="shared" si="47"/>
        <v>3</v>
      </c>
    </row>
    <row r="63" spans="1:70">
      <c r="A63" t="str">
        <f>'time 1'!B62</f>
        <v>&lt;test.ImageData: void blit(int,byte[],int,int,int,int,int,int,int,int,int,int,int,byte[],int,int,int,byte[],int,int,int,int,int,int,int,int,int,int,boolean,boolean)&gt;</v>
      </c>
      <c r="B63">
        <f>AVERAGE('time 1'!D62/'time 1'!C62,'time 2'!D62/'time 2'!C62,'time 3'!D62/'time 3'!C62)</f>
        <v>5.0249684333379578</v>
      </c>
      <c r="C63">
        <f>AVERAGE('time 1'!F62/'time 1'!E62,'time 2'!F62/'time 2'!E62,'time 3'!F62/'time 3'!E62)</f>
        <v>1.9893962849456386</v>
      </c>
      <c r="D63">
        <f>AVERAGE('time 1'!H62/'time 1'!G62,'time 2'!H62/'time 2'!G62,'time 3'!H62/'time 3'!G62)</f>
        <v>5.4085275029240867</v>
      </c>
      <c r="E63">
        <f>AVERAGE('time 1'!J62/'time 2'!I62,'time 2'!J62/'time 2'!I62,'time 3'!J62/'time 3'!I62)</f>
        <v>5.147675119537201</v>
      </c>
      <c r="F63">
        <f>AVERAGE('time 1'!L62/'time 1'!K62,'time 2'!L62/'time 2'!K62,'time 3'!L62/'time 3'!K62)</f>
        <v>1.9530269407481251</v>
      </c>
      <c r="G63">
        <f>AVERAGE('time 1'!N62/'time 1'!M62,'time 2'!N62/'time 2'!M62,'time 3'!N62/'time 3'!M62)</f>
        <v>5.2733570074533249</v>
      </c>
      <c r="H63">
        <f>AVERAGE('time 1'!P62/'time 1'!O62,'time 2'!P62/'time 2'!O62,'time 3'!P62/'time 3'!O62)</f>
        <v>4.891539861791804</v>
      </c>
      <c r="I63">
        <f>AVERAGE('time 1'!R62/'time 1'!Q62,'time 2'!R62/'time 2'!Q62,'time 3'!R62/'time 3'!Q62)</f>
        <v>1.6043521765681037</v>
      </c>
      <c r="J63">
        <f>AVERAGE('time 1'!T62/'time 1'!S62,'time 2'!T62/'time 2'!S62,'time 3'!T62/'time 3'!S62)</f>
        <v>4.8735863053295656</v>
      </c>
      <c r="K63">
        <f t="shared" si="3"/>
        <v>0</v>
      </c>
      <c r="L63">
        <f t="shared" si="4"/>
        <v>3</v>
      </c>
      <c r="M63">
        <f t="shared" si="5"/>
        <v>6</v>
      </c>
      <c r="N63">
        <f t="shared" si="6"/>
        <v>0</v>
      </c>
      <c r="O63">
        <f t="shared" si="7"/>
        <v>0</v>
      </c>
      <c r="P63">
        <f t="shared" si="48"/>
        <v>0</v>
      </c>
      <c r="Q63">
        <f t="shared" si="49"/>
        <v>3</v>
      </c>
      <c r="R63">
        <f t="shared" si="8"/>
        <v>0</v>
      </c>
      <c r="S63">
        <f t="shared" si="9"/>
        <v>0</v>
      </c>
      <c r="T63">
        <f t="shared" si="10"/>
        <v>3</v>
      </c>
      <c r="U63">
        <f t="shared" si="11"/>
        <v>0</v>
      </c>
      <c r="V63">
        <f t="shared" si="12"/>
        <v>0</v>
      </c>
      <c r="W63">
        <f t="shared" si="13"/>
        <v>0</v>
      </c>
      <c r="X63">
        <f t="shared" si="14"/>
        <v>0</v>
      </c>
      <c r="Y63">
        <f t="shared" si="15"/>
        <v>3</v>
      </c>
      <c r="Z63">
        <f t="shared" si="16"/>
        <v>0</v>
      </c>
      <c r="AB63">
        <f>AVERAGE('accuracy dom5dom4'!$C63,'accuracy dom51dom41'!$C63,'accuracy dom52dom42'!$C63)</f>
        <v>5</v>
      </c>
      <c r="AC63">
        <f>AVERAGE('accuracy dom5dom4'!$G63,'accuracy dom51dom41'!$G63,'accuracy dom52dom42'!$G63)</f>
        <v>5</v>
      </c>
      <c r="AD63">
        <f>AVERAGE('accuracy dom5dom4'!$AB63,'accuracy dom51dom41'!$AB63,'accuracy dom52dom42'!$AB63)</f>
        <v>5</v>
      </c>
      <c r="AE63">
        <f>AVERAGE('accuracy dom7dom6'!$C63,'accuracy dom71dom61'!$C63,'accuracy dom72dom62'!$C63)</f>
        <v>5</v>
      </c>
      <c r="AF63">
        <f>AVERAGE('accuracy dom7dom6'!$G63,'accuracy dom71dom61'!$G63,'accuracy dom72dom62'!$G63)</f>
        <v>5</v>
      </c>
      <c r="AG63">
        <f>AVERAGE('accuracy dom7dom6'!$AB63,'accuracy dom71dom61'!$AB63,'accuracy dom72dom62'!$AB63)</f>
        <v>5</v>
      </c>
      <c r="AH63">
        <f>AVERAGE('accuracy dom9dom8'!$C63,'accuracy dom91dom81'!$C63,'accuracy dom92dom82'!$C63)</f>
        <v>5</v>
      </c>
      <c r="AI63">
        <f>AVERAGE('accuracy dom9dom8'!$G63,'accuracy dom91dom81'!$G63,'accuracy dom92dom82'!$G63)</f>
        <v>5</v>
      </c>
      <c r="AJ63">
        <f>AVERAGE('accuracy dom9dom8'!$AB63,'accuracy dom91dom81'!$AB63,'accuracy dom92dom82'!$AB63)</f>
        <v>5</v>
      </c>
      <c r="AK63">
        <f t="shared" si="17"/>
        <v>9</v>
      </c>
      <c r="AL63">
        <f t="shared" si="50"/>
        <v>0</v>
      </c>
      <c r="AM63">
        <f t="shared" si="51"/>
        <v>15</v>
      </c>
      <c r="AN63">
        <f t="shared" si="52"/>
        <v>30</v>
      </c>
      <c r="AO63">
        <f t="shared" si="19"/>
        <v>0</v>
      </c>
      <c r="AP63">
        <f t="shared" si="20"/>
        <v>0</v>
      </c>
      <c r="AQ63">
        <f t="shared" si="21"/>
        <v>0</v>
      </c>
      <c r="AR63">
        <f t="shared" si="22"/>
        <v>15</v>
      </c>
      <c r="AS63">
        <f t="shared" si="23"/>
        <v>0</v>
      </c>
      <c r="AT63">
        <f t="shared" si="24"/>
        <v>0</v>
      </c>
      <c r="AU63">
        <f t="shared" si="25"/>
        <v>15</v>
      </c>
      <c r="AV63">
        <f t="shared" si="26"/>
        <v>0</v>
      </c>
      <c r="AW63">
        <f t="shared" si="27"/>
        <v>0</v>
      </c>
      <c r="AX63">
        <f t="shared" si="28"/>
        <v>0</v>
      </c>
      <c r="AY63">
        <f t="shared" si="29"/>
        <v>0</v>
      </c>
      <c r="AZ63">
        <f t="shared" si="30"/>
        <v>15</v>
      </c>
      <c r="BA63">
        <f t="shared" si="31"/>
        <v>0</v>
      </c>
      <c r="BC63">
        <f t="shared" si="32"/>
        <v>0</v>
      </c>
      <c r="BD63">
        <f t="shared" si="33"/>
        <v>3</v>
      </c>
      <c r="BE63">
        <f t="shared" si="34"/>
        <v>6</v>
      </c>
      <c r="BF63">
        <f t="shared" si="35"/>
        <v>0</v>
      </c>
      <c r="BG63">
        <f t="shared" si="36"/>
        <v>0</v>
      </c>
      <c r="BH63">
        <f t="shared" si="37"/>
        <v>0</v>
      </c>
      <c r="BI63">
        <f t="shared" si="38"/>
        <v>3</v>
      </c>
      <c r="BJ63">
        <f t="shared" si="39"/>
        <v>0</v>
      </c>
      <c r="BK63">
        <f t="shared" si="40"/>
        <v>0</v>
      </c>
      <c r="BL63">
        <f t="shared" si="41"/>
        <v>3</v>
      </c>
      <c r="BM63">
        <f t="shared" si="42"/>
        <v>0</v>
      </c>
      <c r="BN63">
        <f t="shared" si="43"/>
        <v>0</v>
      </c>
      <c r="BO63">
        <f t="shared" si="44"/>
        <v>0</v>
      </c>
      <c r="BP63">
        <f t="shared" si="45"/>
        <v>0</v>
      </c>
      <c r="BQ63">
        <f t="shared" si="46"/>
        <v>3</v>
      </c>
      <c r="BR63">
        <f t="shared" si="47"/>
        <v>0</v>
      </c>
    </row>
    <row r="64" spans="1:70">
      <c r="A64" t="str">
        <f>'time 1'!B63</f>
        <v>&lt;test.ImageData: void buildDitheredGradientChannel(int,int,int,int,int,boolean,byte[],int,int,int)&gt;</v>
      </c>
      <c r="B64">
        <f>AVERAGE('time 1'!D63/'time 1'!C63,'time 2'!D63/'time 2'!C63,'time 3'!D63/'time 3'!C63)</f>
        <v>1.2752906514441007</v>
      </c>
      <c r="C64">
        <f>AVERAGE('time 1'!F63/'time 1'!E63,'time 2'!F63/'time 2'!E63,'time 3'!F63/'time 3'!E63)</f>
        <v>1.2191174838156031</v>
      </c>
      <c r="D64">
        <f>AVERAGE('time 1'!H63/'time 1'!G63,'time 2'!H63/'time 2'!G63,'time 3'!H63/'time 3'!G63)</f>
        <v>1.2333393808419437</v>
      </c>
      <c r="E64">
        <f>AVERAGE('time 1'!J63/'time 2'!I63,'time 2'!J63/'time 2'!I63,'time 3'!J63/'time 3'!I63)</f>
        <v>1.3228506728638243</v>
      </c>
      <c r="F64">
        <f>AVERAGE('time 1'!L63/'time 1'!K63,'time 2'!L63/'time 2'!K63,'time 3'!L63/'time 3'!K63)</f>
        <v>1.2489784005524445</v>
      </c>
      <c r="G64">
        <f>AVERAGE('time 1'!N63/'time 1'!M63,'time 2'!N63/'time 2'!M63,'time 3'!N63/'time 3'!M63)</f>
        <v>1.2422071243465453</v>
      </c>
      <c r="H64">
        <f>AVERAGE('time 1'!P63/'time 1'!O63,'time 2'!P63/'time 2'!O63,'time 3'!P63/'time 3'!O63)</f>
        <v>5.7817619364431394</v>
      </c>
      <c r="I64">
        <f>AVERAGE('time 1'!R63/'time 1'!Q63,'time 2'!R63/'time 2'!Q63,'time 3'!R63/'time 3'!Q63)</f>
        <v>1.217989100675581</v>
      </c>
      <c r="J64">
        <f>AVERAGE('time 1'!T63/'time 1'!S63,'time 2'!T63/'time 2'!S63,'time 3'!T63/'time 3'!S63)</f>
        <v>1.4262412027837177</v>
      </c>
      <c r="K64">
        <f t="shared" si="3"/>
        <v>0</v>
      </c>
      <c r="L64">
        <f t="shared" si="4"/>
        <v>8</v>
      </c>
      <c r="M64">
        <f t="shared" si="5"/>
        <v>1</v>
      </c>
      <c r="N64">
        <f t="shared" si="6"/>
        <v>0</v>
      </c>
      <c r="O64">
        <f t="shared" si="7"/>
        <v>0</v>
      </c>
      <c r="P64">
        <f t="shared" si="48"/>
        <v>2</v>
      </c>
      <c r="Q64">
        <f t="shared" si="49"/>
        <v>1</v>
      </c>
      <c r="R64">
        <f t="shared" si="8"/>
        <v>0</v>
      </c>
      <c r="S64">
        <f t="shared" si="9"/>
        <v>0</v>
      </c>
      <c r="T64">
        <f t="shared" si="10"/>
        <v>3</v>
      </c>
      <c r="U64">
        <f t="shared" si="11"/>
        <v>0</v>
      </c>
      <c r="V64">
        <f t="shared" si="12"/>
        <v>0</v>
      </c>
      <c r="W64">
        <f t="shared" si="13"/>
        <v>0</v>
      </c>
      <c r="X64">
        <f t="shared" si="14"/>
        <v>3</v>
      </c>
      <c r="Y64">
        <f t="shared" si="15"/>
        <v>0</v>
      </c>
      <c r="Z64">
        <f t="shared" si="16"/>
        <v>0</v>
      </c>
      <c r="AB64">
        <f>AVERAGE('accuracy dom5dom4'!$C64,'accuracy dom51dom41'!$C64,'accuracy dom52dom42'!$C64)</f>
        <v>1</v>
      </c>
      <c r="AC64">
        <f>AVERAGE('accuracy dom5dom4'!$G64,'accuracy dom51dom41'!$G64,'accuracy dom52dom42'!$G64)</f>
        <v>1</v>
      </c>
      <c r="AD64">
        <f>AVERAGE('accuracy dom5dom4'!$AB64,'accuracy dom51dom41'!$AB64,'accuracy dom52dom42'!$AB64)</f>
        <v>1</v>
      </c>
      <c r="AE64">
        <f>AVERAGE('accuracy dom7dom6'!$C64,'accuracy dom71dom61'!$C64,'accuracy dom72dom62'!$C64)</f>
        <v>1</v>
      </c>
      <c r="AF64">
        <f>AVERAGE('accuracy dom7dom6'!$G64,'accuracy dom71dom61'!$G64,'accuracy dom72dom62'!$G64)</f>
        <v>1</v>
      </c>
      <c r="AG64">
        <f>AVERAGE('accuracy dom7dom6'!$AB64,'accuracy dom71dom61'!$AB64,'accuracy dom72dom62'!$AB64)</f>
        <v>1</v>
      </c>
      <c r="AH64">
        <f>AVERAGE('accuracy dom9dom8'!$C64,'accuracy dom91dom81'!$C64,'accuracy dom92dom82'!$C64)</f>
        <v>1</v>
      </c>
      <c r="AI64">
        <f>AVERAGE('accuracy dom9dom8'!$G64,'accuracy dom91dom81'!$G64,'accuracy dom92dom82'!$G64)</f>
        <v>1</v>
      </c>
      <c r="AJ64">
        <f>AVERAGE('accuracy dom9dom8'!$AB64,'accuracy dom91dom81'!$AB64,'accuracy dom92dom82'!$AB64)</f>
        <v>1</v>
      </c>
      <c r="AK64">
        <f t="shared" si="17"/>
        <v>9</v>
      </c>
      <c r="AL64">
        <f t="shared" si="50"/>
        <v>0</v>
      </c>
      <c r="AM64">
        <f t="shared" si="51"/>
        <v>8</v>
      </c>
      <c r="AN64">
        <f t="shared" si="52"/>
        <v>1</v>
      </c>
      <c r="AO64">
        <f t="shared" si="19"/>
        <v>0</v>
      </c>
      <c r="AP64">
        <f t="shared" si="20"/>
        <v>0</v>
      </c>
      <c r="AQ64">
        <f t="shared" si="21"/>
        <v>2</v>
      </c>
      <c r="AR64">
        <f t="shared" si="22"/>
        <v>1</v>
      </c>
      <c r="AS64">
        <f t="shared" si="23"/>
        <v>0</v>
      </c>
      <c r="AT64">
        <f t="shared" si="24"/>
        <v>0</v>
      </c>
      <c r="AU64">
        <f t="shared" si="25"/>
        <v>3</v>
      </c>
      <c r="AV64">
        <f t="shared" si="26"/>
        <v>0</v>
      </c>
      <c r="AW64">
        <f t="shared" si="27"/>
        <v>0</v>
      </c>
      <c r="AX64">
        <f t="shared" si="28"/>
        <v>0</v>
      </c>
      <c r="AY64">
        <f t="shared" si="29"/>
        <v>3</v>
      </c>
      <c r="AZ64">
        <f t="shared" si="30"/>
        <v>0</v>
      </c>
      <c r="BA64">
        <f t="shared" si="31"/>
        <v>0</v>
      </c>
      <c r="BC64">
        <f t="shared" si="32"/>
        <v>0</v>
      </c>
      <c r="BD64">
        <f t="shared" si="33"/>
        <v>8</v>
      </c>
      <c r="BE64">
        <f t="shared" si="34"/>
        <v>1</v>
      </c>
      <c r="BF64">
        <f t="shared" si="35"/>
        <v>0</v>
      </c>
      <c r="BG64">
        <f t="shared" si="36"/>
        <v>0</v>
      </c>
      <c r="BH64">
        <f t="shared" si="37"/>
        <v>2</v>
      </c>
      <c r="BI64">
        <f t="shared" si="38"/>
        <v>1</v>
      </c>
      <c r="BJ64">
        <f t="shared" si="39"/>
        <v>0</v>
      </c>
      <c r="BK64">
        <f t="shared" si="40"/>
        <v>0</v>
      </c>
      <c r="BL64">
        <f t="shared" si="41"/>
        <v>3</v>
      </c>
      <c r="BM64">
        <f t="shared" si="42"/>
        <v>0</v>
      </c>
      <c r="BN64">
        <f t="shared" si="43"/>
        <v>0</v>
      </c>
      <c r="BO64">
        <f t="shared" si="44"/>
        <v>0</v>
      </c>
      <c r="BP64">
        <f t="shared" si="45"/>
        <v>3</v>
      </c>
      <c r="BQ64">
        <f t="shared" si="46"/>
        <v>0</v>
      </c>
      <c r="BR64">
        <f t="shared" si="47"/>
        <v>0</v>
      </c>
    </row>
    <row r="65" spans="1:70">
      <c r="A65" t="str">
        <f>'time 1'!B64</f>
        <v>&lt;test.ImageData: void buildPreciseGradientChannel(int,int,int,int,int,boolean,byte[],int,int)&gt;</v>
      </c>
      <c r="B65">
        <f>AVERAGE('time 1'!D64/'time 1'!C64,'time 2'!D64/'time 2'!C64,'time 3'!D64/'time 3'!C64)</f>
        <v>1.1609539906329907</v>
      </c>
      <c r="C65">
        <f>AVERAGE('time 1'!F64/'time 1'!E64,'time 2'!F64/'time 2'!E64,'time 3'!F64/'time 3'!E64)</f>
        <v>1.2034884902214273</v>
      </c>
      <c r="D65">
        <f>AVERAGE('time 1'!H64/'time 1'!G64,'time 2'!H64/'time 2'!G64,'time 3'!H64/'time 3'!G64)</f>
        <v>1.3479654219663135</v>
      </c>
      <c r="E65">
        <f>AVERAGE('time 1'!J64/'time 2'!I64,'time 2'!J64/'time 2'!I64,'time 3'!J64/'time 3'!I64)</f>
        <v>4.0206132475144392</v>
      </c>
      <c r="F65">
        <f>AVERAGE('time 1'!L64/'time 1'!K64,'time 2'!L64/'time 2'!K64,'time 3'!L64/'time 3'!K64)</f>
        <v>1.1748218954815437</v>
      </c>
      <c r="G65">
        <f>AVERAGE('time 1'!N64/'time 1'!M64,'time 2'!N64/'time 2'!M64,'time 3'!N64/'time 3'!M64)</f>
        <v>1.1749011355686578</v>
      </c>
      <c r="H65">
        <f>AVERAGE('time 1'!P64/'time 1'!O64,'time 2'!P64/'time 2'!O64,'time 3'!P64/'time 3'!O64)</f>
        <v>303.19879639015284</v>
      </c>
      <c r="I65">
        <f>AVERAGE('time 1'!R64/'time 1'!Q64,'time 2'!R64/'time 2'!Q64,'time 3'!R64/'time 3'!Q64)</f>
        <v>0.71351576830793595</v>
      </c>
      <c r="J65">
        <f>AVERAGE('time 1'!T64/'time 1'!S64,'time 2'!T64/'time 2'!S64,'time 3'!T64/'time 3'!S64)</f>
        <v>1.2179278736572361</v>
      </c>
      <c r="K65">
        <f t="shared" si="3"/>
        <v>1</v>
      </c>
      <c r="L65">
        <f t="shared" si="4"/>
        <v>6</v>
      </c>
      <c r="M65">
        <f t="shared" si="5"/>
        <v>1</v>
      </c>
      <c r="N65">
        <f t="shared" si="6"/>
        <v>1</v>
      </c>
      <c r="O65">
        <f t="shared" si="7"/>
        <v>0</v>
      </c>
      <c r="P65">
        <f t="shared" si="48"/>
        <v>1</v>
      </c>
      <c r="Q65">
        <f t="shared" si="49"/>
        <v>1</v>
      </c>
      <c r="R65">
        <f t="shared" si="8"/>
        <v>1</v>
      </c>
      <c r="S65">
        <f t="shared" si="9"/>
        <v>1</v>
      </c>
      <c r="T65">
        <f t="shared" si="10"/>
        <v>2</v>
      </c>
      <c r="U65">
        <f t="shared" si="11"/>
        <v>0</v>
      </c>
      <c r="V65">
        <f t="shared" si="12"/>
        <v>0</v>
      </c>
      <c r="W65">
        <f t="shared" si="13"/>
        <v>0</v>
      </c>
      <c r="X65">
        <f t="shared" si="14"/>
        <v>3</v>
      </c>
      <c r="Y65">
        <f t="shared" si="15"/>
        <v>0</v>
      </c>
      <c r="Z65">
        <f t="shared" si="16"/>
        <v>0</v>
      </c>
      <c r="AB65">
        <f>AVERAGE('accuracy dom5dom4'!$C65,'accuracy dom51dom41'!$C65,'accuracy dom52dom42'!$C65)</f>
        <v>1</v>
      </c>
      <c r="AC65">
        <f>AVERAGE('accuracy dom5dom4'!$G65,'accuracy dom51dom41'!$G65,'accuracy dom52dom42'!$G65)</f>
        <v>1</v>
      </c>
      <c r="AD65">
        <f>AVERAGE('accuracy dom5dom4'!$AB65,'accuracy dom51dom41'!$AB65,'accuracy dom52dom42'!$AB65)</f>
        <v>1</v>
      </c>
      <c r="AE65">
        <f>AVERAGE('accuracy dom7dom6'!$C65,'accuracy dom71dom61'!$C65,'accuracy dom72dom62'!$C65)</f>
        <v>1</v>
      </c>
      <c r="AF65">
        <f>AVERAGE('accuracy dom7dom6'!$G65,'accuracy dom71dom61'!$G65,'accuracy dom72dom62'!$G65)</f>
        <v>1</v>
      </c>
      <c r="AG65">
        <f>AVERAGE('accuracy dom7dom6'!$AB65,'accuracy dom71dom61'!$AB65,'accuracy dom72dom62'!$AB65)</f>
        <v>1</v>
      </c>
      <c r="AH65">
        <f>AVERAGE('accuracy dom9dom8'!$C65,'accuracy dom91dom81'!$C65,'accuracy dom92dom82'!$C65)</f>
        <v>1</v>
      </c>
      <c r="AI65">
        <f>AVERAGE('accuracy dom9dom8'!$G65,'accuracy dom91dom81'!$G65,'accuracy dom92dom82'!$G65)</f>
        <v>0.66666666666666663</v>
      </c>
      <c r="AJ65">
        <f>AVERAGE('accuracy dom9dom8'!$AB65,'accuracy dom91dom81'!$AB65,'accuracy dom92dom82'!$AB65)</f>
        <v>1</v>
      </c>
      <c r="AK65">
        <f t="shared" si="17"/>
        <v>9</v>
      </c>
      <c r="AL65">
        <f t="shared" si="50"/>
        <v>0.66666666666666663</v>
      </c>
      <c r="AM65">
        <f t="shared" si="51"/>
        <v>6</v>
      </c>
      <c r="AN65">
        <f t="shared" si="52"/>
        <v>1</v>
      </c>
      <c r="AO65">
        <f t="shared" si="19"/>
        <v>1</v>
      </c>
      <c r="AP65">
        <f t="shared" si="20"/>
        <v>0</v>
      </c>
      <c r="AQ65">
        <f t="shared" si="21"/>
        <v>1</v>
      </c>
      <c r="AR65">
        <f t="shared" si="22"/>
        <v>1</v>
      </c>
      <c r="AS65">
        <f t="shared" si="23"/>
        <v>1</v>
      </c>
      <c r="AT65">
        <f t="shared" si="24"/>
        <v>0.66666666666666663</v>
      </c>
      <c r="AU65">
        <f t="shared" si="25"/>
        <v>2</v>
      </c>
      <c r="AV65">
        <f t="shared" si="26"/>
        <v>0</v>
      </c>
      <c r="AW65">
        <f t="shared" si="27"/>
        <v>0</v>
      </c>
      <c r="AX65">
        <f t="shared" si="28"/>
        <v>0</v>
      </c>
      <c r="AY65">
        <f t="shared" si="29"/>
        <v>3</v>
      </c>
      <c r="AZ65">
        <f t="shared" si="30"/>
        <v>0</v>
      </c>
      <c r="BA65">
        <f t="shared" si="31"/>
        <v>0</v>
      </c>
      <c r="BC65">
        <f t="shared" si="32"/>
        <v>1</v>
      </c>
      <c r="BD65">
        <f t="shared" si="33"/>
        <v>6</v>
      </c>
      <c r="BE65">
        <f t="shared" si="34"/>
        <v>1</v>
      </c>
      <c r="BF65">
        <f t="shared" si="35"/>
        <v>1</v>
      </c>
      <c r="BG65">
        <f t="shared" si="36"/>
        <v>0</v>
      </c>
      <c r="BH65">
        <f t="shared" si="37"/>
        <v>1</v>
      </c>
      <c r="BI65">
        <f t="shared" si="38"/>
        <v>1</v>
      </c>
      <c r="BJ65">
        <f t="shared" si="39"/>
        <v>1</v>
      </c>
      <c r="BK65">
        <f t="shared" si="40"/>
        <v>1</v>
      </c>
      <c r="BL65">
        <f t="shared" si="41"/>
        <v>2</v>
      </c>
      <c r="BM65">
        <f t="shared" si="42"/>
        <v>0</v>
      </c>
      <c r="BN65">
        <f t="shared" si="43"/>
        <v>0</v>
      </c>
      <c r="BO65">
        <f t="shared" si="44"/>
        <v>0</v>
      </c>
      <c r="BP65">
        <f t="shared" si="45"/>
        <v>3</v>
      </c>
      <c r="BQ65">
        <f t="shared" si="46"/>
        <v>0</v>
      </c>
      <c r="BR65">
        <f t="shared" si="47"/>
        <v>0</v>
      </c>
    </row>
    <row r="66" spans="1:70">
      <c r="A66" t="str">
        <f>'time 1'!B65</f>
        <v>&lt;test.ImageData: void getPixels(int,int,int,byte[],int)&gt;</v>
      </c>
      <c r="B66">
        <f>AVERAGE('time 1'!D65/'time 1'!C65,'time 2'!D65/'time 2'!C65,'time 3'!D65/'time 3'!C65)</f>
        <v>1.6397918051746343</v>
      </c>
      <c r="C66">
        <f>AVERAGE('time 1'!F65/'time 1'!E65,'time 2'!F65/'time 2'!E65,'time 3'!F65/'time 3'!E65)</f>
        <v>1.409043706876888</v>
      </c>
      <c r="D66">
        <f>AVERAGE('time 1'!H65/'time 1'!G65,'time 2'!H65/'time 2'!G65,'time 3'!H65/'time 3'!G65)</f>
        <v>1.6195234806236194</v>
      </c>
      <c r="E66">
        <f>AVERAGE('time 1'!J65/'time 2'!I65,'time 2'!J65/'time 2'!I65,'time 3'!J65/'time 3'!I65)</f>
        <v>1.7145402477166629</v>
      </c>
      <c r="F66">
        <f>AVERAGE('time 1'!L65/'time 1'!K65,'time 2'!L65/'time 2'!K65,'time 3'!L65/'time 3'!K65)</f>
        <v>1.7816637668442932</v>
      </c>
      <c r="G66">
        <f>AVERAGE('time 1'!N65/'time 1'!M65,'time 2'!N65/'time 2'!M65,'time 3'!N65/'time 3'!M65)</f>
        <v>1.6481289164185029</v>
      </c>
      <c r="H66">
        <f>AVERAGE('time 1'!P65/'time 1'!O65,'time 2'!P65/'time 2'!O65,'time 3'!P65/'time 3'!O65)</f>
        <v>1.5561185647266551</v>
      </c>
      <c r="I66">
        <f>AVERAGE('time 1'!R65/'time 1'!Q65,'time 2'!R65/'time 2'!Q65,'time 3'!R65/'time 3'!Q65)</f>
        <v>1.5553588752042191</v>
      </c>
      <c r="J66">
        <f>AVERAGE('time 1'!T65/'time 1'!S65,'time 2'!T65/'time 2'!S65,'time 3'!T65/'time 3'!S65)</f>
        <v>1.5223811385492521</v>
      </c>
      <c r="K66">
        <f t="shared" si="3"/>
        <v>0</v>
      </c>
      <c r="L66">
        <f t="shared" si="4"/>
        <v>9</v>
      </c>
      <c r="M66">
        <f t="shared" si="5"/>
        <v>0</v>
      </c>
      <c r="N66">
        <f t="shared" si="6"/>
        <v>0</v>
      </c>
      <c r="O66">
        <f t="shared" si="7"/>
        <v>0</v>
      </c>
      <c r="P66">
        <f t="shared" si="48"/>
        <v>3</v>
      </c>
      <c r="Q66">
        <f t="shared" si="49"/>
        <v>0</v>
      </c>
      <c r="R66">
        <f t="shared" si="8"/>
        <v>0</v>
      </c>
      <c r="S66">
        <f t="shared" si="9"/>
        <v>0</v>
      </c>
      <c r="T66">
        <f t="shared" si="10"/>
        <v>3</v>
      </c>
      <c r="U66">
        <f t="shared" si="11"/>
        <v>0</v>
      </c>
      <c r="V66">
        <f t="shared" si="12"/>
        <v>0</v>
      </c>
      <c r="W66">
        <f t="shared" si="13"/>
        <v>0</v>
      </c>
      <c r="X66">
        <f t="shared" si="14"/>
        <v>3</v>
      </c>
      <c r="Y66">
        <f t="shared" si="15"/>
        <v>0</v>
      </c>
      <c r="Z66">
        <f t="shared" si="16"/>
        <v>0</v>
      </c>
      <c r="AB66">
        <f>AVERAGE('accuracy dom5dom4'!$C66,'accuracy dom51dom41'!$C66,'accuracy dom52dom42'!$C66)</f>
        <v>4</v>
      </c>
      <c r="AC66">
        <f>AVERAGE('accuracy dom5dom4'!$G66,'accuracy dom51dom41'!$G66,'accuracy dom52dom42'!$G66)</f>
        <v>4</v>
      </c>
      <c r="AD66">
        <f>AVERAGE('accuracy dom5dom4'!$AB66,'accuracy dom51dom41'!$AB66,'accuracy dom52dom42'!$AB66)</f>
        <v>4</v>
      </c>
      <c r="AE66">
        <f>AVERAGE('accuracy dom7dom6'!$C66,'accuracy dom71dom61'!$C66,'accuracy dom72dom62'!$C66)</f>
        <v>4</v>
      </c>
      <c r="AF66">
        <f>AVERAGE('accuracy dom7dom6'!$G66,'accuracy dom71dom61'!$G66,'accuracy dom72dom62'!$G66)</f>
        <v>4</v>
      </c>
      <c r="AG66">
        <f>AVERAGE('accuracy dom7dom6'!$AB66,'accuracy dom71dom61'!$AB66,'accuracy dom72dom62'!$AB66)</f>
        <v>4</v>
      </c>
      <c r="AH66">
        <f>AVERAGE('accuracy dom9dom8'!$C66,'accuracy dom91dom81'!$C66,'accuracy dom92dom82'!$C66)</f>
        <v>2.6666666666666665</v>
      </c>
      <c r="AI66">
        <f>AVERAGE('accuracy dom9dom8'!$G66,'accuracy dom91dom81'!$G66,'accuracy dom92dom82'!$G66)</f>
        <v>2.6666666666666665</v>
      </c>
      <c r="AJ66">
        <f>AVERAGE('accuracy dom9dom8'!$AB66,'accuracy dom91dom81'!$AB66,'accuracy dom92dom82'!$AB66)</f>
        <v>2.6666666666666665</v>
      </c>
      <c r="AK66">
        <f t="shared" si="17"/>
        <v>9</v>
      </c>
      <c r="AL66">
        <f t="shared" si="50"/>
        <v>0</v>
      </c>
      <c r="AM66">
        <f t="shared" si="51"/>
        <v>32</v>
      </c>
      <c r="AN66">
        <f t="shared" si="52"/>
        <v>0</v>
      </c>
      <c r="AO66">
        <f t="shared" si="19"/>
        <v>0</v>
      </c>
      <c r="AP66">
        <f t="shared" si="20"/>
        <v>0</v>
      </c>
      <c r="AQ66">
        <f t="shared" si="21"/>
        <v>10.666666666666666</v>
      </c>
      <c r="AR66">
        <f t="shared" si="22"/>
        <v>0</v>
      </c>
      <c r="AS66">
        <f t="shared" si="23"/>
        <v>0</v>
      </c>
      <c r="AT66">
        <f t="shared" si="24"/>
        <v>0</v>
      </c>
      <c r="AU66">
        <f t="shared" si="25"/>
        <v>10.666666666666666</v>
      </c>
      <c r="AV66">
        <f t="shared" si="26"/>
        <v>0</v>
      </c>
      <c r="AW66">
        <f t="shared" si="27"/>
        <v>0</v>
      </c>
      <c r="AX66">
        <f t="shared" si="28"/>
        <v>0</v>
      </c>
      <c r="AY66">
        <f t="shared" si="29"/>
        <v>10.666666666666666</v>
      </c>
      <c r="AZ66">
        <f t="shared" si="30"/>
        <v>0</v>
      </c>
      <c r="BA66">
        <f t="shared" si="31"/>
        <v>0</v>
      </c>
      <c r="BC66">
        <f t="shared" si="32"/>
        <v>0</v>
      </c>
      <c r="BD66">
        <f t="shared" si="33"/>
        <v>9</v>
      </c>
      <c r="BE66">
        <f t="shared" si="34"/>
        <v>0</v>
      </c>
      <c r="BF66">
        <f t="shared" si="35"/>
        <v>0</v>
      </c>
      <c r="BG66">
        <f t="shared" si="36"/>
        <v>0</v>
      </c>
      <c r="BH66">
        <f t="shared" si="37"/>
        <v>3</v>
      </c>
      <c r="BI66">
        <f t="shared" si="38"/>
        <v>0</v>
      </c>
      <c r="BJ66">
        <f t="shared" si="39"/>
        <v>0</v>
      </c>
      <c r="BK66">
        <f t="shared" si="40"/>
        <v>0</v>
      </c>
      <c r="BL66">
        <f t="shared" si="41"/>
        <v>3</v>
      </c>
      <c r="BM66">
        <f t="shared" si="42"/>
        <v>0</v>
      </c>
      <c r="BN66">
        <f t="shared" si="43"/>
        <v>0</v>
      </c>
      <c r="BO66">
        <f t="shared" si="44"/>
        <v>0</v>
      </c>
      <c r="BP66">
        <f t="shared" si="45"/>
        <v>3</v>
      </c>
      <c r="BQ66">
        <f t="shared" si="46"/>
        <v>0</v>
      </c>
      <c r="BR66">
        <f t="shared" si="47"/>
        <v>0</v>
      </c>
    </row>
    <row r="67" spans="1:70">
      <c r="A67" t="str">
        <f>'time 1'!B66</f>
        <v>&lt;test.ImageData: void getPixels(int,int,int,int[],int)&gt;</v>
      </c>
      <c r="B67">
        <f>AVERAGE('time 1'!D66/'time 1'!C66,'time 2'!D66/'time 2'!C66,'time 3'!D66/'time 3'!C66)</f>
        <v>1.369003062423847</v>
      </c>
      <c r="C67">
        <f>AVERAGE('time 1'!F66/'time 1'!E66,'time 2'!F66/'time 2'!E66,'time 3'!F66/'time 3'!E66)</f>
        <v>1.2768488092933536</v>
      </c>
      <c r="D67">
        <f>AVERAGE('time 1'!H66/'time 1'!G66,'time 2'!H66/'time 2'!G66,'time 3'!H66/'time 3'!G66)</f>
        <v>1.4265348777891003</v>
      </c>
      <c r="E67">
        <f>AVERAGE('time 1'!J66/'time 2'!I66,'time 2'!J66/'time 2'!I66,'time 3'!J66/'time 3'!I66)</f>
        <v>1.549360401079263</v>
      </c>
      <c r="F67">
        <f>AVERAGE('time 1'!L66/'time 1'!K66,'time 2'!L66/'time 2'!K66,'time 3'!L66/'time 3'!K66)</f>
        <v>1.6784141332092357</v>
      </c>
      <c r="G67">
        <f>AVERAGE('time 1'!N66/'time 1'!M66,'time 2'!N66/'time 2'!M66,'time 3'!N66/'time 3'!M66)</f>
        <v>1.4144975410807481</v>
      </c>
      <c r="H67">
        <f>AVERAGE('time 1'!P66/'time 1'!O66,'time 2'!P66/'time 2'!O66,'time 3'!P66/'time 3'!O66)</f>
        <v>1.4258729500223166</v>
      </c>
      <c r="I67">
        <f>AVERAGE('time 1'!R66/'time 1'!Q66,'time 2'!R66/'time 2'!Q66,'time 3'!R66/'time 3'!Q66)</f>
        <v>1.456202633847804</v>
      </c>
      <c r="J67">
        <f>AVERAGE('time 1'!T66/'time 1'!S66,'time 2'!T66/'time 2'!S66,'time 3'!T66/'time 3'!S66)</f>
        <v>1.4307705251648513</v>
      </c>
      <c r="K67">
        <f t="shared" si="3"/>
        <v>0</v>
      </c>
      <c r="L67">
        <f t="shared" si="4"/>
        <v>9</v>
      </c>
      <c r="M67">
        <f t="shared" si="5"/>
        <v>0</v>
      </c>
      <c r="N67">
        <f t="shared" si="6"/>
        <v>0</v>
      </c>
      <c r="O67">
        <f t="shared" si="7"/>
        <v>0</v>
      </c>
      <c r="P67">
        <f t="shared" si="48"/>
        <v>3</v>
      </c>
      <c r="Q67">
        <f t="shared" si="49"/>
        <v>0</v>
      </c>
      <c r="R67">
        <f t="shared" si="8"/>
        <v>0</v>
      </c>
      <c r="S67">
        <f t="shared" si="9"/>
        <v>0</v>
      </c>
      <c r="T67">
        <f t="shared" si="10"/>
        <v>3</v>
      </c>
      <c r="U67">
        <f t="shared" si="11"/>
        <v>0</v>
      </c>
      <c r="V67">
        <f t="shared" si="12"/>
        <v>0</v>
      </c>
      <c r="W67">
        <f t="shared" si="13"/>
        <v>0</v>
      </c>
      <c r="X67">
        <f t="shared" si="14"/>
        <v>3</v>
      </c>
      <c r="Y67">
        <f t="shared" si="15"/>
        <v>0</v>
      </c>
      <c r="Z67">
        <f t="shared" si="16"/>
        <v>0</v>
      </c>
      <c r="AB67">
        <f>AVERAGE('accuracy dom5dom4'!$C67,'accuracy dom51dom41'!$C67,'accuracy dom52dom42'!$C67)</f>
        <v>4</v>
      </c>
      <c r="AC67">
        <f>AVERAGE('accuracy dom5dom4'!$G67,'accuracy dom51dom41'!$G67,'accuracy dom52dom42'!$G67)</f>
        <v>4</v>
      </c>
      <c r="AD67">
        <f>AVERAGE('accuracy dom5dom4'!$AB67,'accuracy dom51dom41'!$AB67,'accuracy dom52dom42'!$AB67)</f>
        <v>4</v>
      </c>
      <c r="AE67">
        <f>AVERAGE('accuracy dom7dom6'!$C67,'accuracy dom71dom61'!$C67,'accuracy dom72dom62'!$C67)</f>
        <v>4</v>
      </c>
      <c r="AF67">
        <f>AVERAGE('accuracy dom7dom6'!$G67,'accuracy dom71dom61'!$G67,'accuracy dom72dom62'!$G67)</f>
        <v>4</v>
      </c>
      <c r="AG67">
        <f>AVERAGE('accuracy dom7dom6'!$AB67,'accuracy dom71dom61'!$AB67,'accuracy dom72dom62'!$AB67)</f>
        <v>4</v>
      </c>
      <c r="AH67">
        <f>AVERAGE('accuracy dom9dom8'!$C67,'accuracy dom91dom81'!$C67,'accuracy dom92dom82'!$C67)</f>
        <v>2.6666666666666665</v>
      </c>
      <c r="AI67">
        <f>AVERAGE('accuracy dom9dom8'!$G67,'accuracy dom91dom81'!$G67,'accuracy dom92dom82'!$G67)</f>
        <v>2.6666666666666665</v>
      </c>
      <c r="AJ67">
        <f>AVERAGE('accuracy dom9dom8'!$AB67,'accuracy dom91dom81'!$AB67,'accuracy dom92dom82'!$AB67)</f>
        <v>2.6666666666666665</v>
      </c>
      <c r="AK67">
        <f t="shared" si="17"/>
        <v>9</v>
      </c>
      <c r="AL67">
        <f t="shared" si="50"/>
        <v>0</v>
      </c>
      <c r="AM67">
        <f t="shared" si="51"/>
        <v>32</v>
      </c>
      <c r="AN67">
        <f t="shared" si="52"/>
        <v>0</v>
      </c>
      <c r="AO67">
        <f t="shared" si="19"/>
        <v>0</v>
      </c>
      <c r="AP67">
        <f t="shared" si="20"/>
        <v>0</v>
      </c>
      <c r="AQ67">
        <f t="shared" si="21"/>
        <v>10.666666666666666</v>
      </c>
      <c r="AR67">
        <f t="shared" si="22"/>
        <v>0</v>
      </c>
      <c r="AS67">
        <f t="shared" si="23"/>
        <v>0</v>
      </c>
      <c r="AT67">
        <f t="shared" si="24"/>
        <v>0</v>
      </c>
      <c r="AU67">
        <f t="shared" si="25"/>
        <v>10.666666666666666</v>
      </c>
      <c r="AV67">
        <f t="shared" si="26"/>
        <v>0</v>
      </c>
      <c r="AW67">
        <f t="shared" si="27"/>
        <v>0</v>
      </c>
      <c r="AX67">
        <f t="shared" si="28"/>
        <v>0</v>
      </c>
      <c r="AY67">
        <f t="shared" si="29"/>
        <v>10.666666666666666</v>
      </c>
      <c r="AZ67">
        <f t="shared" si="30"/>
        <v>0</v>
      </c>
      <c r="BA67">
        <f t="shared" si="31"/>
        <v>0</v>
      </c>
      <c r="BC67">
        <f t="shared" si="32"/>
        <v>0</v>
      </c>
      <c r="BD67">
        <f t="shared" si="33"/>
        <v>9</v>
      </c>
      <c r="BE67">
        <f t="shared" si="34"/>
        <v>0</v>
      </c>
      <c r="BF67">
        <f t="shared" si="35"/>
        <v>0</v>
      </c>
      <c r="BG67">
        <f t="shared" si="36"/>
        <v>0</v>
      </c>
      <c r="BH67">
        <f t="shared" si="37"/>
        <v>3</v>
      </c>
      <c r="BI67">
        <f t="shared" si="38"/>
        <v>0</v>
      </c>
      <c r="BJ67">
        <f t="shared" si="39"/>
        <v>0</v>
      </c>
      <c r="BK67">
        <f t="shared" si="40"/>
        <v>0</v>
      </c>
      <c r="BL67">
        <f t="shared" si="41"/>
        <v>3</v>
      </c>
      <c r="BM67">
        <f t="shared" si="42"/>
        <v>0</v>
      </c>
      <c r="BN67">
        <f t="shared" si="43"/>
        <v>0</v>
      </c>
      <c r="BO67">
        <f t="shared" si="44"/>
        <v>0</v>
      </c>
      <c r="BP67">
        <f t="shared" si="45"/>
        <v>3</v>
      </c>
      <c r="BQ67">
        <f t="shared" si="46"/>
        <v>0</v>
      </c>
      <c r="BR67">
        <f t="shared" si="47"/>
        <v>0</v>
      </c>
    </row>
    <row r="68" spans="1:70">
      <c r="A68" t="str">
        <f>'time 1'!B67</f>
        <v>&lt;test.ImageData: void setAlpha(int,int,int)&gt;</v>
      </c>
      <c r="B68">
        <f>AVERAGE('time 1'!D67/'time 1'!C67,'time 2'!D67/'time 2'!C67,'time 3'!D67/'time 3'!C67)</f>
        <v>1.1531529130993894</v>
      </c>
      <c r="C68">
        <f>AVERAGE('time 1'!F67/'time 1'!E67,'time 2'!F67/'time 2'!E67,'time 3'!F67/'time 3'!E67)</f>
        <v>1.0264075674410023</v>
      </c>
      <c r="D68">
        <f>AVERAGE('time 1'!H67/'time 1'!G67,'time 2'!H67/'time 2'!G67,'time 3'!H67/'time 3'!G67)</f>
        <v>1.0292351234521451</v>
      </c>
      <c r="E68">
        <f>AVERAGE('time 1'!J67/'time 2'!I67,'time 2'!J67/'time 2'!I67,'time 3'!J67/'time 3'!I67)</f>
        <v>1.0869560836003791</v>
      </c>
      <c r="F68">
        <f>AVERAGE('time 1'!L67/'time 1'!K67,'time 2'!L67/'time 2'!K67,'time 3'!L67/'time 3'!K67)</f>
        <v>0.98057922059907454</v>
      </c>
      <c r="G68">
        <f>AVERAGE('time 1'!N67/'time 1'!M67,'time 2'!N67/'time 2'!M67,'time 3'!N67/'time 3'!M67)</f>
        <v>1.1510948100777625</v>
      </c>
      <c r="H68">
        <f>AVERAGE('time 1'!P67/'time 1'!O67,'time 2'!P67/'time 2'!O67,'time 3'!P67/'time 3'!O67)</f>
        <v>1.0078928150697466</v>
      </c>
      <c r="I68">
        <f>AVERAGE('time 1'!R67/'time 1'!Q67,'time 2'!R67/'time 2'!Q67,'time 3'!R67/'time 3'!Q67)</f>
        <v>1.187356670304369</v>
      </c>
      <c r="J68">
        <f>AVERAGE('time 1'!T67/'time 1'!S67,'time 2'!T67/'time 2'!S67,'time 3'!T67/'time 3'!S67)</f>
        <v>0.8415920559436777</v>
      </c>
      <c r="K68">
        <f t="shared" ref="K68:K107" si="53">IF($B68&lt;K$1,1,0)+IF($C68&lt;K$1,1,0)+ IF($D68&lt;K$1,1,0)+IF($E68&lt;K$1,1,0)+IF($F68&lt;K$1,1,0)+ IF($G68&lt;K$1,1,0)+IF($H68&lt;K$1,1,0)+IF($I68&lt;K$1,1,0)+ IF($J68&lt;K$1,1,0)</f>
        <v>2</v>
      </c>
      <c r="L68">
        <f t="shared" ref="L68:L107" si="54">IF($B68&lt;L$1,1,0)+IF($C68&lt;L$1,1,0)+ IF($D68&lt;L$1,1,0)+IF($E68&lt;L$1,1,0)+IF($F68&lt;L$1,1,0)+ IF($G68&lt;L$1,1,0)+IF($H68&lt;L$1,1,0)+IF($I68&lt;L$1,1,0)+ IF($J68&lt;L$1,1,0)-K68</f>
        <v>7</v>
      </c>
      <c r="M68">
        <f t="shared" ref="M68:M107" si="55">IF($B68&lt;M$1,1,0)+IF($C68&lt;M$1,1,0)+ IF($D68&lt;M$1,1,0)+IF($E68&lt;M$1,1,0)+IF($F68&lt;M$1,1,0)+ IF($G68&lt;M$1,1,0)+IF($H68&lt;M$1,1,0)+IF($I68&lt;M$1,1,0)+ IF($J68&lt;M$1,1,0)-L68-K68</f>
        <v>0</v>
      </c>
      <c r="N68">
        <f t="shared" ref="N68:N107" si="56">IF($B68&gt;=N$1,1,0)+IF($C68&gt;=N$1,1,0)+ IF($D68&gt;=N$1,1,0)+IF($E68&gt;=N$1,1,0)+IF($F68&gt;=N$1,1,0)+ IF($G68&gt;=N$1,1,0)+IF($H68&gt;=N$1,1,0)+IF($I68&gt;=N$1,1,0)+ IF($J68&gt;=N$1,1,0)</f>
        <v>0</v>
      </c>
      <c r="O68">
        <f t="shared" ref="O68:O107" si="57">IF($B68&lt;K$1,1,0)+IF($E68&lt;K$1,1,0)+IF($H68&lt;K$1,1,0)</f>
        <v>0</v>
      </c>
      <c r="P68">
        <f t="shared" si="48"/>
        <v>3</v>
      </c>
      <c r="Q68">
        <f t="shared" si="49"/>
        <v>0</v>
      </c>
      <c r="R68">
        <f t="shared" ref="R68:R107" si="58">IF($B68&gt;=N$1,1,0)+IF($E68&gt;=N$1,1,0)+IF($H68&gt;=N$1,1,0)</f>
        <v>0</v>
      </c>
      <c r="S68">
        <f t="shared" ref="S68:S107" si="59">IF($C68&lt;K$1,1,0)+IF($F68&lt;K$1,1,0)+IF($I68&lt;K$1,1,0)</f>
        <v>1</v>
      </c>
      <c r="T68">
        <f t="shared" ref="T68:T107" si="60">IF($C68&lt;L$1,1,0)+IF($F68&lt;L$1,1,0)+IF($I68&lt;L$1,1,0)-S68</f>
        <v>2</v>
      </c>
      <c r="U68">
        <f t="shared" ref="U68:U107" si="61">IF($C68&lt;M$1,1,0)+ IF($F68&lt;M$1,1,0)+IF($I68&lt;M$1,1,0)-T68-S68</f>
        <v>0</v>
      </c>
      <c r="V68">
        <f t="shared" ref="V68:V107" si="62">IF($C68&gt;=N$1,1,0)+ IF($F68&gt;=N$1,1,0)+IF($I68&gt;=N$1,1,0)</f>
        <v>0</v>
      </c>
      <c r="W68">
        <f t="shared" ref="W68:W107" si="63" xml:space="preserve"> IF($D68&lt;K$1,1,0)+IF($G68&lt;K$1,1,0)+ IF($J68&lt;K$1,1,0)</f>
        <v>1</v>
      </c>
      <c r="X68">
        <f t="shared" ref="X68:X107" si="64" xml:space="preserve"> IF($D68&lt;L$1,1,0)+IF($G68&lt;L$1,1,0)+ IF($J68&lt;L$1,1,0)-W68</f>
        <v>2</v>
      </c>
      <c r="Y68">
        <f t="shared" ref="Y68:Y107" si="65">IF($D68&lt;M$1,1,0)+IF($G68&lt;M$1,1,0)+ IF($J68&lt;M$1,1,0)-X68-W68</f>
        <v>0</v>
      </c>
      <c r="Z68">
        <f t="shared" ref="Z68:Z107" si="66" xml:space="preserve"> IF($D68&gt;=N$1,1,0)+ IF($G68&gt;=N$1,1,0)+ IF($J68&gt;=N$1,1,0)</f>
        <v>0</v>
      </c>
      <c r="AB68">
        <f>AVERAGE('accuracy dom5dom4'!$C68,'accuracy dom51dom41'!$C68,'accuracy dom52dom42'!$C68)</f>
        <v>0</v>
      </c>
      <c r="AC68">
        <f>AVERAGE('accuracy dom5dom4'!$G68,'accuracy dom51dom41'!$G68,'accuracy dom52dom42'!$G68)</f>
        <v>0</v>
      </c>
      <c r="AD68">
        <f>AVERAGE('accuracy dom5dom4'!$AB68,'accuracy dom51dom41'!$AB68,'accuracy dom52dom42'!$AB68)</f>
        <v>0</v>
      </c>
      <c r="AE68">
        <f>AVERAGE('accuracy dom7dom6'!$C68,'accuracy dom71dom61'!$C68,'accuracy dom72dom62'!$C68)</f>
        <v>0</v>
      </c>
      <c r="AF68">
        <f>AVERAGE('accuracy dom7dom6'!$G68,'accuracy dom71dom61'!$G68,'accuracy dom72dom62'!$G68)</f>
        <v>0</v>
      </c>
      <c r="AG68">
        <f>AVERAGE('accuracy dom7dom6'!$AB68,'accuracy dom71dom61'!$AB68,'accuracy dom72dom62'!$AB68)</f>
        <v>0</v>
      </c>
      <c r="AH68">
        <f>AVERAGE('accuracy dom9dom8'!$C68,'accuracy dom91dom81'!$C68,'accuracy dom92dom82'!$C68)</f>
        <v>0</v>
      </c>
      <c r="AI68">
        <f>AVERAGE('accuracy dom9dom8'!$G68,'accuracy dom91dom81'!$G68,'accuracy dom92dom82'!$G68)</f>
        <v>0</v>
      </c>
      <c r="AJ68">
        <f>AVERAGE('accuracy dom9dom8'!$AB68,'accuracy dom91dom81'!$AB68,'accuracy dom92dom82'!$AB68)</f>
        <v>0</v>
      </c>
      <c r="AK68">
        <f t="shared" ref="AK68:AK109" si="67">COUNTIF(AB68:AJ68,"&lt;&gt;0")</f>
        <v>0</v>
      </c>
      <c r="AL68">
        <f t="shared" si="50"/>
        <v>0</v>
      </c>
      <c r="AM68">
        <f t="shared" si="51"/>
        <v>0</v>
      </c>
      <c r="AN68">
        <f t="shared" si="52"/>
        <v>0</v>
      </c>
      <c r="AO68">
        <f t="shared" ref="AO68:AO107" si="68">IF($B68&gt;=AO$1,$AB68,0)+IF($C68&gt;=AO$1,$AC68,0)+ IF($D68&gt;=AO$1,$AD68,0)+IF($E68&gt;=AO$1,$AE68,0)+IF($F68&gt;=AO$1,$AF68,0)+ IF($G68&gt;=AO$1,$AG68,0)+IF($H68&gt;=AO$1,$AH68,0)+IF($I68&gt;=AO$1,$AI68,0)+ IF($J68&gt;=AO$1,$AJ68,0)</f>
        <v>0</v>
      </c>
      <c r="AP68">
        <f t="shared" ref="AP68:AP107" si="69">IF($B68&lt;AL$1,AB68,0)+IF($E68&lt;AL$1,AE68,0)+IF($H68&lt;AL$1,AH68,0)</f>
        <v>0</v>
      </c>
      <c r="AQ68">
        <f t="shared" ref="AQ68:AQ107" si="70">IF($B68&lt;AM$1,AB68,0)+IF($E68&lt;AM$1,AE68,0)+IF($H68&lt;AM$1,AH68,0)-AP68</f>
        <v>0</v>
      </c>
      <c r="AR68">
        <f t="shared" ref="AR68:AR107" si="71">IF($B68&lt;AN$1,AB68,0)+IF($E68&lt;AN$1,AE68,0)+IF($H68&lt;AN$1,AH68,0) -AQ68-AP68</f>
        <v>0</v>
      </c>
      <c r="AS68">
        <f t="shared" ref="AS68:AS107" si="72">IF($B68&gt;=AO$1,AB68,0)+IF($E68&gt;=AO$1,AE68,0)+IF($H68&gt;=AO$1,AH68,0)</f>
        <v>0</v>
      </c>
      <c r="AT68">
        <f t="shared" ref="AT68:AT107" si="73">IF($C68&lt;AL$1,AC68,0)+IF($F68&lt;AL$1,AF68,0)+IF($I68&lt;AL$1,AI68,0)</f>
        <v>0</v>
      </c>
      <c r="AU68">
        <f t="shared" ref="AU68:AU107" si="74">IF($C68&lt;AM$1,AC68,0)+IF($F68&lt;AM$1,AF68,0)+IF($I68&lt;AM$1,AI68,0)-AT68</f>
        <v>0</v>
      </c>
      <c r="AV68">
        <f t="shared" ref="AV68:AV107" si="75">IF($C68&lt;AN$1,AC68,0)+ IF($F68&lt;AN$1,AF68,0)+IF($I68&lt;AN$1,AI68,0)-AU68-AT68</f>
        <v>0</v>
      </c>
      <c r="AW68">
        <f t="shared" ref="AW68:AW107" si="76">IF($C68&gt;=AO$1,AC68,0)+ IF($F68&gt;=AO$1,AF68,0)+IF($I68&gt;=AO$1,AI68,0)</f>
        <v>0</v>
      </c>
      <c r="AX68">
        <f t="shared" ref="AX68:AX107" si="77" xml:space="preserve"> IF($D68&lt;AL$1,AD68,0)+IF($G68&lt;AL$1,AG68,0)+ IF($J68&lt;AL$1,AJ68,0)</f>
        <v>0</v>
      </c>
      <c r="AY68">
        <f t="shared" ref="AY68:AY107" si="78" xml:space="preserve"> IF($D68&lt;AM$1,AD68,0)+IF($G68&lt;AM$1,AG68,0)+ IF($J68&lt;AM$1,AJ68,0)-AX68</f>
        <v>0</v>
      </c>
      <c r="AZ68">
        <f t="shared" ref="AZ68:AZ107" si="79">IF($D68&lt;AN$1,AD68,0)+IF($G68&lt;AN$1,AG68,0)+ IF($J68&lt;AN$1,AJ68,0)-AY68-AX68</f>
        <v>0</v>
      </c>
      <c r="BA68">
        <f t="shared" ref="BA68:BA107" si="80" xml:space="preserve"> IF($D68&gt;=AO$1,AD68,0)+ IF($G68&gt;=AO$1,AG68,0)+ IF($J68&gt;=AO$1,AJ68,0)</f>
        <v>0</v>
      </c>
      <c r="BC68">
        <f t="shared" ref="BC68:BC107" si="81">IF(AND(AL68&lt;&gt;0,K68&lt;&gt;0),K68,0)</f>
        <v>0</v>
      </c>
      <c r="BD68">
        <f t="shared" ref="BD68:BD107" si="82">IF(AND(AM68&lt;&gt;0,L68&lt;&gt;0),L68,0)</f>
        <v>0</v>
      </c>
      <c r="BE68">
        <f t="shared" ref="BE68:BE107" si="83">IF(AND(AN68&lt;&gt;0,M68&lt;&gt;0),M68,0)</f>
        <v>0</v>
      </c>
      <c r="BF68">
        <f t="shared" ref="BF68:BF107" si="84">IF(AND(AO68&lt;&gt;0,N68&lt;&gt;0),N68,0)</f>
        <v>0</v>
      </c>
      <c r="BG68">
        <f t="shared" ref="BG68:BG107" si="85">IF(AND(AP68&lt;&gt;0,O68&lt;&gt;0),O68,0)</f>
        <v>0</v>
      </c>
      <c r="BH68">
        <f t="shared" ref="BH68:BH107" si="86">IF(AND(AQ68&lt;&gt;0,P68&lt;&gt;0),P68,0)</f>
        <v>0</v>
      </c>
      <c r="BI68">
        <f t="shared" ref="BI68:BI107" si="87">IF(AND(AR68&lt;&gt;0,Q68&lt;&gt;0),Q68,0)</f>
        <v>0</v>
      </c>
      <c r="BJ68">
        <f t="shared" ref="BJ68:BJ107" si="88">IF(AND(AS68&lt;&gt;0,R68&lt;&gt;0),R68,0)</f>
        <v>0</v>
      </c>
      <c r="BK68">
        <f t="shared" ref="BK68:BK107" si="89">IF(AND(AT68&lt;&gt;0,S68&lt;&gt;0),S68,0)</f>
        <v>0</v>
      </c>
      <c r="BL68">
        <f t="shared" ref="BL68:BL107" si="90">IF(AND(AU68&lt;&gt;0,T68&lt;&gt;0),T68,0)</f>
        <v>0</v>
      </c>
      <c r="BM68">
        <f t="shared" ref="BM68:BM107" si="91">IF(AND(AV68&lt;&gt;0,U68&lt;&gt;0),U68,0)</f>
        <v>0</v>
      </c>
      <c r="BN68">
        <f t="shared" ref="BN68:BN107" si="92">IF(AND(AW68&lt;&gt;0,V68&lt;&gt;0),V68,0)</f>
        <v>0</v>
      </c>
      <c r="BO68">
        <f t="shared" ref="BO68:BO107" si="93">IF(AND(AX68&lt;&gt;0,W68&lt;&gt;0),W68,0)</f>
        <v>0</v>
      </c>
      <c r="BP68">
        <f t="shared" ref="BP68:BP107" si="94">IF(AND(AY68&lt;&gt;0,X68&lt;&gt;0),X68,0)</f>
        <v>0</v>
      </c>
      <c r="BQ68">
        <f t="shared" ref="BQ68:BQ107" si="95">IF(AND(AZ68&lt;&gt;0,Y68&lt;&gt;0),Y68,0)</f>
        <v>0</v>
      </c>
      <c r="BR68">
        <f t="shared" ref="BR68:BR107" si="96">IF(AND(BA68&lt;&gt;0,Z68&lt;&gt;0),Z68,0)</f>
        <v>0</v>
      </c>
    </row>
    <row r="69" spans="1:70">
      <c r="A69" t="str">
        <f>'time 1'!B68</f>
        <v>&lt;test.ImageData: void setAlphas(int,int,int,byte[],int)&gt;</v>
      </c>
      <c r="B69">
        <f>AVERAGE('time 1'!D68/'time 1'!C68,'time 2'!D68/'time 2'!C68,'time 3'!D68/'time 3'!C68)</f>
        <v>1.0371612997155975</v>
      </c>
      <c r="C69">
        <f>AVERAGE('time 1'!F68/'time 1'!E68,'time 2'!F68/'time 2'!E68,'time 3'!F68/'time 3'!E68)</f>
        <v>1.0064867224466749</v>
      </c>
      <c r="D69">
        <f>AVERAGE('time 1'!H68/'time 1'!G68,'time 2'!H68/'time 2'!G68,'time 3'!H68/'time 3'!G68)</f>
        <v>0.9714959802899501</v>
      </c>
      <c r="E69">
        <f>AVERAGE('time 1'!J68/'time 2'!I68,'time 2'!J68/'time 2'!I68,'time 3'!J68/'time 3'!I68)</f>
        <v>1.129787751626832</v>
      </c>
      <c r="F69">
        <f>AVERAGE('time 1'!L68/'time 1'!K68,'time 2'!L68/'time 2'!K68,'time 3'!L68/'time 3'!K68)</f>
        <v>1.0471504950685377</v>
      </c>
      <c r="G69">
        <f>AVERAGE('time 1'!N68/'time 1'!M68,'time 2'!N68/'time 2'!M68,'time 3'!N68/'time 3'!M68)</f>
        <v>1.0273456241661449</v>
      </c>
      <c r="H69">
        <f>AVERAGE('time 1'!P68/'time 1'!O68,'time 2'!P68/'time 2'!O68,'time 3'!P68/'time 3'!O68)</f>
        <v>1.0483619302147706</v>
      </c>
      <c r="I69">
        <f>AVERAGE('time 1'!R68/'time 1'!Q68,'time 2'!R68/'time 2'!Q68,'time 3'!R68/'time 3'!Q68)</f>
        <v>0.92805388525795662</v>
      </c>
      <c r="J69">
        <f>AVERAGE('time 1'!T68/'time 1'!S68,'time 2'!T68/'time 2'!S68,'time 3'!T68/'time 3'!S68)</f>
        <v>1.0095055841233156</v>
      </c>
      <c r="K69">
        <f t="shared" si="53"/>
        <v>2</v>
      </c>
      <c r="L69">
        <f t="shared" si="54"/>
        <v>7</v>
      </c>
      <c r="M69">
        <f t="shared" si="55"/>
        <v>0</v>
      </c>
      <c r="N69">
        <f t="shared" si="56"/>
        <v>0</v>
      </c>
      <c r="O69">
        <f t="shared" si="57"/>
        <v>0</v>
      </c>
      <c r="P69">
        <f t="shared" ref="P69:P107" si="97">IF($B69&lt;L$1,1,0)+IF($E69&lt;L$1,1,0)+IF($H69&lt;L$1,1,0)-O69</f>
        <v>3</v>
      </c>
      <c r="Q69">
        <f t="shared" ref="Q69:Q107" si="98">IF($B69&lt;M$1,1,0)+IF($E69&lt;M$1,1,0)+IF($H69&lt;M$1,1,0) -P69-O69</f>
        <v>0</v>
      </c>
      <c r="R69">
        <f t="shared" si="58"/>
        <v>0</v>
      </c>
      <c r="S69">
        <f t="shared" si="59"/>
        <v>1</v>
      </c>
      <c r="T69">
        <f t="shared" si="60"/>
        <v>2</v>
      </c>
      <c r="U69">
        <f t="shared" si="61"/>
        <v>0</v>
      </c>
      <c r="V69">
        <f t="shared" si="62"/>
        <v>0</v>
      </c>
      <c r="W69">
        <f t="shared" si="63"/>
        <v>1</v>
      </c>
      <c r="X69">
        <f t="shared" si="64"/>
        <v>2</v>
      </c>
      <c r="Y69">
        <f t="shared" si="65"/>
        <v>0</v>
      </c>
      <c r="Z69">
        <f t="shared" si="66"/>
        <v>0</v>
      </c>
      <c r="AB69">
        <f>AVERAGE('accuracy dom5dom4'!$C69,'accuracy dom51dom41'!$C69,'accuracy dom52dom42'!$C69)</f>
        <v>0</v>
      </c>
      <c r="AC69">
        <f>AVERAGE('accuracy dom5dom4'!$G69,'accuracy dom51dom41'!$G69,'accuracy dom52dom42'!$G69)</f>
        <v>0</v>
      </c>
      <c r="AD69">
        <f>AVERAGE('accuracy dom5dom4'!$AB69,'accuracy dom51dom41'!$AB69,'accuracy dom52dom42'!$AB69)</f>
        <v>0</v>
      </c>
      <c r="AE69">
        <f>AVERAGE('accuracy dom7dom6'!$C69,'accuracy dom71dom61'!$C69,'accuracy dom72dom62'!$C69)</f>
        <v>0</v>
      </c>
      <c r="AF69">
        <f>AVERAGE('accuracy dom7dom6'!$G69,'accuracy dom71dom61'!$G69,'accuracy dom72dom62'!$G69)</f>
        <v>0</v>
      </c>
      <c r="AG69">
        <f>AVERAGE('accuracy dom7dom6'!$AB69,'accuracy dom71dom61'!$AB69,'accuracy dom72dom62'!$AB69)</f>
        <v>0</v>
      </c>
      <c r="AH69">
        <f>AVERAGE('accuracy dom9dom8'!$C69,'accuracy dom91dom81'!$C69,'accuracy dom92dom82'!$C69)</f>
        <v>0</v>
      </c>
      <c r="AI69">
        <f>AVERAGE('accuracy dom9dom8'!$G69,'accuracy dom91dom81'!$G69,'accuracy dom92dom82'!$G69)</f>
        <v>0</v>
      </c>
      <c r="AJ69">
        <f>AVERAGE('accuracy dom9dom8'!$AB69,'accuracy dom91dom81'!$AB69,'accuracy dom92dom82'!$AB69)</f>
        <v>0</v>
      </c>
      <c r="AK69">
        <f t="shared" si="67"/>
        <v>0</v>
      </c>
      <c r="AL69">
        <f t="shared" si="50"/>
        <v>0</v>
      </c>
      <c r="AM69">
        <f t="shared" si="51"/>
        <v>0</v>
      </c>
      <c r="AN69">
        <f t="shared" si="52"/>
        <v>0</v>
      </c>
      <c r="AO69">
        <f t="shared" si="68"/>
        <v>0</v>
      </c>
      <c r="AP69">
        <f t="shared" si="69"/>
        <v>0</v>
      </c>
      <c r="AQ69">
        <f t="shared" si="70"/>
        <v>0</v>
      </c>
      <c r="AR69">
        <f t="shared" si="71"/>
        <v>0</v>
      </c>
      <c r="AS69">
        <f t="shared" si="72"/>
        <v>0</v>
      </c>
      <c r="AT69">
        <f t="shared" si="73"/>
        <v>0</v>
      </c>
      <c r="AU69">
        <f t="shared" si="74"/>
        <v>0</v>
      </c>
      <c r="AV69">
        <f t="shared" si="75"/>
        <v>0</v>
      </c>
      <c r="AW69">
        <f t="shared" si="76"/>
        <v>0</v>
      </c>
      <c r="AX69">
        <f t="shared" si="77"/>
        <v>0</v>
      </c>
      <c r="AY69">
        <f t="shared" si="78"/>
        <v>0</v>
      </c>
      <c r="AZ69">
        <f t="shared" si="79"/>
        <v>0</v>
      </c>
      <c r="BA69">
        <f t="shared" si="80"/>
        <v>0</v>
      </c>
      <c r="BC69">
        <f t="shared" si="81"/>
        <v>0</v>
      </c>
      <c r="BD69">
        <f t="shared" si="82"/>
        <v>0</v>
      </c>
      <c r="BE69">
        <f t="shared" si="83"/>
        <v>0</v>
      </c>
      <c r="BF69">
        <f t="shared" si="84"/>
        <v>0</v>
      </c>
      <c r="BG69">
        <f t="shared" si="85"/>
        <v>0</v>
      </c>
      <c r="BH69">
        <f t="shared" si="86"/>
        <v>0</v>
      </c>
      <c r="BI69">
        <f t="shared" si="87"/>
        <v>0</v>
      </c>
      <c r="BJ69">
        <f t="shared" si="88"/>
        <v>0</v>
      </c>
      <c r="BK69">
        <f t="shared" si="89"/>
        <v>0</v>
      </c>
      <c r="BL69">
        <f t="shared" si="90"/>
        <v>0</v>
      </c>
      <c r="BM69">
        <f t="shared" si="91"/>
        <v>0</v>
      </c>
      <c r="BN69">
        <f t="shared" si="92"/>
        <v>0</v>
      </c>
      <c r="BO69">
        <f t="shared" si="93"/>
        <v>0</v>
      </c>
      <c r="BP69">
        <f t="shared" si="94"/>
        <v>0</v>
      </c>
      <c r="BQ69">
        <f t="shared" si="95"/>
        <v>0</v>
      </c>
      <c r="BR69">
        <f t="shared" si="96"/>
        <v>0</v>
      </c>
    </row>
    <row r="70" spans="1:70">
      <c r="A70" t="str">
        <f>'time 1'!B69</f>
        <v>&lt;test.ImageData: void setPixel(int,int,int)&gt;</v>
      </c>
      <c r="B70">
        <f>AVERAGE('time 1'!D69/'time 1'!C69,'time 2'!D69/'time 2'!C69,'time 3'!D69/'time 3'!C69)</f>
        <v>1.0676603395876849</v>
      </c>
      <c r="C70">
        <f>AVERAGE('time 1'!F69/'time 1'!E69,'time 2'!F69/'time 2'!E69,'time 3'!F69/'time 3'!E69)</f>
        <v>1.1430548583836346</v>
      </c>
      <c r="D70">
        <f>AVERAGE('time 1'!H69/'time 1'!G69,'time 2'!H69/'time 2'!G69,'time 3'!H69/'time 3'!G69)</f>
        <v>1.073303610979454</v>
      </c>
      <c r="E70">
        <f>AVERAGE('time 1'!J69/'time 2'!I69,'time 2'!J69/'time 2'!I69,'time 3'!J69/'time 3'!I69)</f>
        <v>1.1196406735467785</v>
      </c>
      <c r="F70">
        <f>AVERAGE('time 1'!L69/'time 1'!K69,'time 2'!L69/'time 2'!K69,'time 3'!L69/'time 3'!K69)</f>
        <v>1.0561857183035885</v>
      </c>
      <c r="G70">
        <f>AVERAGE('time 1'!N69/'time 1'!M69,'time 2'!N69/'time 2'!M69,'time 3'!N69/'time 3'!M69)</f>
        <v>1.1001737767622419</v>
      </c>
      <c r="H70">
        <f>AVERAGE('time 1'!P69/'time 1'!O69,'time 2'!P69/'time 2'!O69,'time 3'!P69/'time 3'!O69)</f>
        <v>1.0789684283260388</v>
      </c>
      <c r="I70">
        <f>AVERAGE('time 1'!R69/'time 1'!Q69,'time 2'!R69/'time 2'!Q69,'time 3'!R69/'time 3'!Q69)</f>
        <v>1.0015092916938639</v>
      </c>
      <c r="J70">
        <f>AVERAGE('time 1'!T69/'time 1'!S69,'time 2'!T69/'time 2'!S69,'time 3'!T69/'time 3'!S69)</f>
        <v>1.0359830441834845</v>
      </c>
      <c r="K70">
        <f t="shared" si="53"/>
        <v>0</v>
      </c>
      <c r="L70">
        <f t="shared" si="54"/>
        <v>9</v>
      </c>
      <c r="M70">
        <f t="shared" si="55"/>
        <v>0</v>
      </c>
      <c r="N70">
        <f t="shared" si="56"/>
        <v>0</v>
      </c>
      <c r="O70">
        <f t="shared" si="57"/>
        <v>0</v>
      </c>
      <c r="P70">
        <f t="shared" si="97"/>
        <v>3</v>
      </c>
      <c r="Q70">
        <f t="shared" si="98"/>
        <v>0</v>
      </c>
      <c r="R70">
        <f t="shared" si="58"/>
        <v>0</v>
      </c>
      <c r="S70">
        <f t="shared" si="59"/>
        <v>0</v>
      </c>
      <c r="T70">
        <f t="shared" si="60"/>
        <v>3</v>
      </c>
      <c r="U70">
        <f t="shared" si="61"/>
        <v>0</v>
      </c>
      <c r="V70">
        <f t="shared" si="62"/>
        <v>0</v>
      </c>
      <c r="W70">
        <f t="shared" si="63"/>
        <v>0</v>
      </c>
      <c r="X70">
        <f t="shared" si="64"/>
        <v>3</v>
      </c>
      <c r="Y70">
        <f t="shared" si="65"/>
        <v>0</v>
      </c>
      <c r="Z70">
        <f t="shared" si="66"/>
        <v>0</v>
      </c>
      <c r="AB70">
        <f>AVERAGE('accuracy dom5dom4'!$C70,'accuracy dom51dom41'!$C70,'accuracy dom52dom42'!$C70)</f>
        <v>3</v>
      </c>
      <c r="AC70">
        <f>AVERAGE('accuracy dom5dom4'!$G70,'accuracy dom51dom41'!$G70,'accuracy dom52dom42'!$G70)</f>
        <v>3</v>
      </c>
      <c r="AD70">
        <f>AVERAGE('accuracy dom5dom4'!$AB70,'accuracy dom51dom41'!$AB70,'accuracy dom52dom42'!$AB70)</f>
        <v>3</v>
      </c>
      <c r="AE70">
        <f>AVERAGE('accuracy dom7dom6'!$C70,'accuracy dom71dom61'!$C70,'accuracy dom72dom62'!$C70)</f>
        <v>3</v>
      </c>
      <c r="AF70">
        <f>AVERAGE('accuracy dom7dom6'!$G70,'accuracy dom71dom61'!$G70,'accuracy dom72dom62'!$G70)</f>
        <v>3</v>
      </c>
      <c r="AG70">
        <f>AVERAGE('accuracy dom7dom6'!$AB70,'accuracy dom71dom61'!$AB70,'accuracy dom72dom62'!$AB70)</f>
        <v>3</v>
      </c>
      <c r="AH70">
        <f>AVERAGE('accuracy dom9dom8'!$C70,'accuracy dom91dom81'!$C70,'accuracy dom92dom82'!$C70)</f>
        <v>2</v>
      </c>
      <c r="AI70">
        <f>AVERAGE('accuracy dom9dom8'!$G70,'accuracy dom91dom81'!$G70,'accuracy dom92dom82'!$G70)</f>
        <v>2</v>
      </c>
      <c r="AJ70">
        <f>AVERAGE('accuracy dom9dom8'!$AB70,'accuracy dom91dom81'!$AB70,'accuracy dom92dom82'!$AB70)</f>
        <v>2</v>
      </c>
      <c r="AK70">
        <f t="shared" si="67"/>
        <v>9</v>
      </c>
      <c r="AL70">
        <f t="shared" si="50"/>
        <v>0</v>
      </c>
      <c r="AM70">
        <f t="shared" si="51"/>
        <v>24</v>
      </c>
      <c r="AN70">
        <f t="shared" si="52"/>
        <v>0</v>
      </c>
      <c r="AO70">
        <f t="shared" si="68"/>
        <v>0</v>
      </c>
      <c r="AP70">
        <f t="shared" si="69"/>
        <v>0</v>
      </c>
      <c r="AQ70">
        <f t="shared" si="70"/>
        <v>8</v>
      </c>
      <c r="AR70">
        <f t="shared" si="71"/>
        <v>0</v>
      </c>
      <c r="AS70">
        <f t="shared" si="72"/>
        <v>0</v>
      </c>
      <c r="AT70">
        <f t="shared" si="73"/>
        <v>0</v>
      </c>
      <c r="AU70">
        <f t="shared" si="74"/>
        <v>8</v>
      </c>
      <c r="AV70">
        <f t="shared" si="75"/>
        <v>0</v>
      </c>
      <c r="AW70">
        <f t="shared" si="76"/>
        <v>0</v>
      </c>
      <c r="AX70">
        <f t="shared" si="77"/>
        <v>0</v>
      </c>
      <c r="AY70">
        <f t="shared" si="78"/>
        <v>8</v>
      </c>
      <c r="AZ70">
        <f t="shared" si="79"/>
        <v>0</v>
      </c>
      <c r="BA70">
        <f t="shared" si="80"/>
        <v>0</v>
      </c>
      <c r="BC70">
        <f t="shared" si="81"/>
        <v>0</v>
      </c>
      <c r="BD70">
        <f t="shared" si="82"/>
        <v>9</v>
      </c>
      <c r="BE70">
        <f t="shared" si="83"/>
        <v>0</v>
      </c>
      <c r="BF70">
        <f t="shared" si="84"/>
        <v>0</v>
      </c>
      <c r="BG70">
        <f t="shared" si="85"/>
        <v>0</v>
      </c>
      <c r="BH70">
        <f t="shared" si="86"/>
        <v>3</v>
      </c>
      <c r="BI70">
        <f t="shared" si="87"/>
        <v>0</v>
      </c>
      <c r="BJ70">
        <f t="shared" si="88"/>
        <v>0</v>
      </c>
      <c r="BK70">
        <f t="shared" si="89"/>
        <v>0</v>
      </c>
      <c r="BL70">
        <f t="shared" si="90"/>
        <v>3</v>
      </c>
      <c r="BM70">
        <f t="shared" si="91"/>
        <v>0</v>
      </c>
      <c r="BN70">
        <f t="shared" si="92"/>
        <v>0</v>
      </c>
      <c r="BO70">
        <f t="shared" si="93"/>
        <v>0</v>
      </c>
      <c r="BP70">
        <f t="shared" si="94"/>
        <v>3</v>
      </c>
      <c r="BQ70">
        <f t="shared" si="95"/>
        <v>0</v>
      </c>
      <c r="BR70">
        <f t="shared" si="96"/>
        <v>0</v>
      </c>
    </row>
    <row r="71" spans="1:70">
      <c r="A71" t="str">
        <f>'time 1'!B70</f>
        <v>&lt;test.ImageData: void setPixels(int,int,int,byte[],int)&gt;</v>
      </c>
      <c r="B71">
        <f>AVERAGE('time 1'!D70/'time 1'!C70,'time 2'!D70/'time 2'!C70,'time 3'!D70/'time 3'!C70)</f>
        <v>1.675865951864558</v>
      </c>
      <c r="C71">
        <f>AVERAGE('time 1'!F70/'time 1'!E70,'time 2'!F70/'time 2'!E70,'time 3'!F70/'time 3'!E70)</f>
        <v>1.4988660823437323</v>
      </c>
      <c r="D71">
        <f>AVERAGE('time 1'!H70/'time 1'!G70,'time 2'!H70/'time 2'!G70,'time 3'!H70/'time 3'!G70)</f>
        <v>1.6540535346361052</v>
      </c>
      <c r="E71">
        <f>AVERAGE('time 1'!J70/'time 2'!I70,'time 2'!J70/'time 2'!I70,'time 3'!J70/'time 3'!I70)</f>
        <v>1.8422386405816722</v>
      </c>
      <c r="F71">
        <f>AVERAGE('time 1'!L70/'time 1'!K70,'time 2'!L70/'time 2'!K70,'time 3'!L70/'time 3'!K70)</f>
        <v>1.7945345403634823</v>
      </c>
      <c r="G71">
        <f>AVERAGE('time 1'!N70/'time 1'!M70,'time 2'!N70/'time 2'!M70,'time 3'!N70/'time 3'!M70)</f>
        <v>1.5118184370489647</v>
      </c>
      <c r="H71">
        <f>AVERAGE('time 1'!P70/'time 1'!O70,'time 2'!P70/'time 2'!O70,'time 3'!P70/'time 3'!O70)</f>
        <v>1.646930934961409</v>
      </c>
      <c r="I71">
        <f>AVERAGE('time 1'!R70/'time 1'!Q70,'time 2'!R70/'time 2'!Q70,'time 3'!R70/'time 3'!Q70)</f>
        <v>1.5428207081434158</v>
      </c>
      <c r="J71">
        <f>AVERAGE('time 1'!T70/'time 1'!S70,'time 2'!T70/'time 2'!S70,'time 3'!T70/'time 3'!S70)</f>
        <v>1.5045171680071581</v>
      </c>
      <c r="K71">
        <f t="shared" si="53"/>
        <v>0</v>
      </c>
      <c r="L71">
        <f t="shared" si="54"/>
        <v>9</v>
      </c>
      <c r="M71">
        <f t="shared" si="55"/>
        <v>0</v>
      </c>
      <c r="N71">
        <f t="shared" si="56"/>
        <v>0</v>
      </c>
      <c r="O71">
        <f t="shared" si="57"/>
        <v>0</v>
      </c>
      <c r="P71">
        <f t="shared" si="97"/>
        <v>3</v>
      </c>
      <c r="Q71">
        <f t="shared" si="98"/>
        <v>0</v>
      </c>
      <c r="R71">
        <f t="shared" si="58"/>
        <v>0</v>
      </c>
      <c r="S71">
        <f t="shared" si="59"/>
        <v>0</v>
      </c>
      <c r="T71">
        <f t="shared" si="60"/>
        <v>3</v>
      </c>
      <c r="U71">
        <f t="shared" si="61"/>
        <v>0</v>
      </c>
      <c r="V71">
        <f t="shared" si="62"/>
        <v>0</v>
      </c>
      <c r="W71">
        <f t="shared" si="63"/>
        <v>0</v>
      </c>
      <c r="X71">
        <f t="shared" si="64"/>
        <v>3</v>
      </c>
      <c r="Y71">
        <f t="shared" si="65"/>
        <v>0</v>
      </c>
      <c r="Z71">
        <f t="shared" si="66"/>
        <v>0</v>
      </c>
      <c r="AB71">
        <f>AVERAGE('accuracy dom5dom4'!$C71,'accuracy dom51dom41'!$C71,'accuracy dom52dom42'!$C71)</f>
        <v>4</v>
      </c>
      <c r="AC71">
        <f>AVERAGE('accuracy dom5dom4'!$G71,'accuracy dom51dom41'!$G71,'accuracy dom52dom42'!$G71)</f>
        <v>4</v>
      </c>
      <c r="AD71">
        <f>AVERAGE('accuracy dom5dom4'!$AB71,'accuracy dom51dom41'!$AB71,'accuracy dom52dom42'!$AB71)</f>
        <v>4</v>
      </c>
      <c r="AE71">
        <f>AVERAGE('accuracy dom7dom6'!$C71,'accuracy dom71dom61'!$C71,'accuracy dom72dom62'!$C71)</f>
        <v>4</v>
      </c>
      <c r="AF71">
        <f>AVERAGE('accuracy dom7dom6'!$G71,'accuracy dom71dom61'!$G71,'accuracy dom72dom62'!$G71)</f>
        <v>4</v>
      </c>
      <c r="AG71">
        <f>AVERAGE('accuracy dom7dom6'!$AB71,'accuracy dom71dom61'!$AB71,'accuracy dom72dom62'!$AB71)</f>
        <v>4</v>
      </c>
      <c r="AH71">
        <f>AVERAGE('accuracy dom9dom8'!$C71,'accuracy dom91dom81'!$C71,'accuracy dom92dom82'!$C71)</f>
        <v>2.6666666666666665</v>
      </c>
      <c r="AI71">
        <f>AVERAGE('accuracy dom9dom8'!$G71,'accuracy dom91dom81'!$G71,'accuracy dom92dom82'!$G71)</f>
        <v>2.6666666666666665</v>
      </c>
      <c r="AJ71">
        <f>AVERAGE('accuracy dom9dom8'!$AB71,'accuracy dom91dom81'!$AB71,'accuracy dom92dom82'!$AB71)</f>
        <v>2.6666666666666665</v>
      </c>
      <c r="AK71">
        <f t="shared" si="67"/>
        <v>9</v>
      </c>
      <c r="AL71">
        <f t="shared" si="50"/>
        <v>0</v>
      </c>
      <c r="AM71">
        <f t="shared" si="51"/>
        <v>32</v>
      </c>
      <c r="AN71">
        <f t="shared" si="52"/>
        <v>0</v>
      </c>
      <c r="AO71">
        <f t="shared" si="68"/>
        <v>0</v>
      </c>
      <c r="AP71">
        <f t="shared" si="69"/>
        <v>0</v>
      </c>
      <c r="AQ71">
        <f t="shared" si="70"/>
        <v>10.666666666666666</v>
      </c>
      <c r="AR71">
        <f t="shared" si="71"/>
        <v>0</v>
      </c>
      <c r="AS71">
        <f t="shared" si="72"/>
        <v>0</v>
      </c>
      <c r="AT71">
        <f t="shared" si="73"/>
        <v>0</v>
      </c>
      <c r="AU71">
        <f t="shared" si="74"/>
        <v>10.666666666666666</v>
      </c>
      <c r="AV71">
        <f t="shared" si="75"/>
        <v>0</v>
      </c>
      <c r="AW71">
        <f t="shared" si="76"/>
        <v>0</v>
      </c>
      <c r="AX71">
        <f t="shared" si="77"/>
        <v>0</v>
      </c>
      <c r="AY71">
        <f t="shared" si="78"/>
        <v>10.666666666666666</v>
      </c>
      <c r="AZ71">
        <f t="shared" si="79"/>
        <v>0</v>
      </c>
      <c r="BA71">
        <f t="shared" si="80"/>
        <v>0</v>
      </c>
      <c r="BC71">
        <f t="shared" si="81"/>
        <v>0</v>
      </c>
      <c r="BD71">
        <f t="shared" si="82"/>
        <v>9</v>
      </c>
      <c r="BE71">
        <f t="shared" si="83"/>
        <v>0</v>
      </c>
      <c r="BF71">
        <f t="shared" si="84"/>
        <v>0</v>
      </c>
      <c r="BG71">
        <f t="shared" si="85"/>
        <v>0</v>
      </c>
      <c r="BH71">
        <f t="shared" si="86"/>
        <v>3</v>
      </c>
      <c r="BI71">
        <f t="shared" si="87"/>
        <v>0</v>
      </c>
      <c r="BJ71">
        <f t="shared" si="88"/>
        <v>0</v>
      </c>
      <c r="BK71">
        <f t="shared" si="89"/>
        <v>0</v>
      </c>
      <c r="BL71">
        <f t="shared" si="90"/>
        <v>3</v>
      </c>
      <c r="BM71">
        <f t="shared" si="91"/>
        <v>0</v>
      </c>
      <c r="BN71">
        <f t="shared" si="92"/>
        <v>0</v>
      </c>
      <c r="BO71">
        <f t="shared" si="93"/>
        <v>0</v>
      </c>
      <c r="BP71">
        <f t="shared" si="94"/>
        <v>3</v>
      </c>
      <c r="BQ71">
        <f t="shared" si="95"/>
        <v>0</v>
      </c>
      <c r="BR71">
        <f t="shared" si="96"/>
        <v>0</v>
      </c>
    </row>
    <row r="72" spans="1:70">
      <c r="A72" t="str">
        <f>'time 1'!B71</f>
        <v>&lt;test.ImageData: void setPixels(int,int,int,int[],int)&gt;</v>
      </c>
      <c r="B72">
        <f>AVERAGE('time 1'!D71/'time 1'!C71,'time 2'!D71/'time 2'!C71,'time 3'!D71/'time 3'!C71)</f>
        <v>1.4449271546787497</v>
      </c>
      <c r="C72">
        <f>AVERAGE('time 1'!F71/'time 1'!E71,'time 2'!F71/'time 2'!E71,'time 3'!F71/'time 3'!E71)</f>
        <v>1.3470353483055506</v>
      </c>
      <c r="D72">
        <f>AVERAGE('time 1'!H71/'time 1'!G71,'time 2'!H71/'time 2'!G71,'time 3'!H71/'time 3'!G71)</f>
        <v>1.3848946240050879</v>
      </c>
      <c r="E72">
        <f>AVERAGE('time 1'!J71/'time 2'!I71,'time 2'!J71/'time 2'!I71,'time 3'!J71/'time 3'!I71)</f>
        <v>1.4541910419032835</v>
      </c>
      <c r="F72">
        <f>AVERAGE('time 1'!L71/'time 1'!K71,'time 2'!L71/'time 2'!K71,'time 3'!L71/'time 3'!K71)</f>
        <v>1.8290870001841</v>
      </c>
      <c r="G72">
        <f>AVERAGE('time 1'!N71/'time 1'!M71,'time 2'!N71/'time 2'!M71,'time 3'!N71/'time 3'!M71)</f>
        <v>1.5084202799746456</v>
      </c>
      <c r="H72">
        <f>AVERAGE('time 1'!P71/'time 1'!O71,'time 2'!P71/'time 2'!O71,'time 3'!P71/'time 3'!O71)</f>
        <v>1.417032187500201</v>
      </c>
      <c r="I72">
        <f>AVERAGE('time 1'!R71/'time 1'!Q71,'time 2'!R71/'time 2'!Q71,'time 3'!R71/'time 3'!Q71)</f>
        <v>1.419540897193202</v>
      </c>
      <c r="J72">
        <f>AVERAGE('time 1'!T71/'time 1'!S71,'time 2'!T71/'time 2'!S71,'time 3'!T71/'time 3'!S71)</f>
        <v>1.4007620437984543</v>
      </c>
      <c r="K72">
        <f t="shared" si="53"/>
        <v>0</v>
      </c>
      <c r="L72">
        <f t="shared" si="54"/>
        <v>9</v>
      </c>
      <c r="M72">
        <f t="shared" si="55"/>
        <v>0</v>
      </c>
      <c r="N72">
        <f t="shared" si="56"/>
        <v>0</v>
      </c>
      <c r="O72">
        <f t="shared" si="57"/>
        <v>0</v>
      </c>
      <c r="P72">
        <f t="shared" si="97"/>
        <v>3</v>
      </c>
      <c r="Q72">
        <f t="shared" si="98"/>
        <v>0</v>
      </c>
      <c r="R72">
        <f t="shared" si="58"/>
        <v>0</v>
      </c>
      <c r="S72">
        <f t="shared" si="59"/>
        <v>0</v>
      </c>
      <c r="T72">
        <f t="shared" si="60"/>
        <v>3</v>
      </c>
      <c r="U72">
        <f t="shared" si="61"/>
        <v>0</v>
      </c>
      <c r="V72">
        <f t="shared" si="62"/>
        <v>0</v>
      </c>
      <c r="W72">
        <f t="shared" si="63"/>
        <v>0</v>
      </c>
      <c r="X72">
        <f t="shared" si="64"/>
        <v>3</v>
      </c>
      <c r="Y72">
        <f t="shared" si="65"/>
        <v>0</v>
      </c>
      <c r="Z72">
        <f t="shared" si="66"/>
        <v>0</v>
      </c>
      <c r="AB72">
        <f>AVERAGE('accuracy dom5dom4'!$C72,'accuracy dom51dom41'!$C72,'accuracy dom52dom42'!$C72)</f>
        <v>4</v>
      </c>
      <c r="AC72">
        <f>AVERAGE('accuracy dom5dom4'!$G72,'accuracy dom51dom41'!$G72,'accuracy dom52dom42'!$G72)</f>
        <v>4</v>
      </c>
      <c r="AD72">
        <f>AVERAGE('accuracy dom5dom4'!$AB72,'accuracy dom51dom41'!$AB72,'accuracy dom52dom42'!$AB72)</f>
        <v>4</v>
      </c>
      <c r="AE72">
        <f>AVERAGE('accuracy dom7dom6'!$C72,'accuracy dom71dom61'!$C72,'accuracy dom72dom62'!$C72)</f>
        <v>4</v>
      </c>
      <c r="AF72">
        <f>AVERAGE('accuracy dom7dom6'!$G72,'accuracy dom71dom61'!$G72,'accuracy dom72dom62'!$G72)</f>
        <v>4</v>
      </c>
      <c r="AG72">
        <f>AVERAGE('accuracy dom7dom6'!$AB72,'accuracy dom71dom61'!$AB72,'accuracy dom72dom62'!$AB72)</f>
        <v>4</v>
      </c>
      <c r="AH72">
        <f>AVERAGE('accuracy dom9dom8'!$C72,'accuracy dom91dom81'!$C72,'accuracy dom92dom82'!$C72)</f>
        <v>2.6666666666666665</v>
      </c>
      <c r="AI72">
        <f>AVERAGE('accuracy dom9dom8'!$G72,'accuracy dom91dom81'!$G72,'accuracy dom92dom82'!$G72)</f>
        <v>2.6666666666666665</v>
      </c>
      <c r="AJ72">
        <f>AVERAGE('accuracy dom9dom8'!$AB72,'accuracy dom91dom81'!$AB72,'accuracy dom92dom82'!$AB72)</f>
        <v>2.6666666666666665</v>
      </c>
      <c r="AK72">
        <f t="shared" si="67"/>
        <v>9</v>
      </c>
      <c r="AL72">
        <f t="shared" ref="AL72:AL107" si="99">IF($B72&lt;AL$1,$AB72,0)+IF($C72&lt;AL$1,$AC72,0)+ IF($D72&lt;AL$1,$AD72,0)+IF($E72&lt;AL$1,$AE72,0)+IF($F72&lt;AL$1,$AF72,0)+ IF($G72&lt;AL$1,$AG72,0)+IF($H72&lt;AL$1,$AH72,0)+IF($I72&lt;AL$1,$AI72,0)+ IF($J72&lt;AL$1,$AJ72,0)</f>
        <v>0</v>
      </c>
      <c r="AM72">
        <f t="shared" ref="AM72:AM106" si="100">IF($B72&lt;AM$1,$AB72,0)+IF($C72&lt;AM$1,$AC72,0)+ IF($D72&lt;AM$1,$AD72,0)+IF($E72&lt;AM$1,$AE72,0)+IF($F72&lt;AM$1,$AF72,0)+ IF($G72&lt;AM$1,$AG72,0)+IF($H72&lt;AM$1,$AH72,0)+IF($I72&lt;AM$1,$AI72,0)+ IF($J72&lt;AM$1,$AJ72,0)-AL72</f>
        <v>32</v>
      </c>
      <c r="AN72">
        <f t="shared" ref="AN72:AN107" si="101">IF($B72&lt;AN$1,$AB72,0)+IF($C72&lt;AN$1,$AC72,0)+ IF($D72&lt;AN$1,$AD72,0)+IF($E72&lt;AN$1,$AE72,0)+IF($F72&lt;AN$1,$AF72,0)+ IF($G72&lt;AN$1,$AG72,0)+IF($H72&lt;AN$1,$AH72,0)+IF($I72&lt;AN$1,$AI72,0)+ IF($J72&lt;AN$1,$AJ72,0)-AL72-AM72</f>
        <v>0</v>
      </c>
      <c r="AO72">
        <f t="shared" si="68"/>
        <v>0</v>
      </c>
      <c r="AP72">
        <f t="shared" si="69"/>
        <v>0</v>
      </c>
      <c r="AQ72">
        <f t="shared" si="70"/>
        <v>10.666666666666666</v>
      </c>
      <c r="AR72">
        <f t="shared" si="71"/>
        <v>0</v>
      </c>
      <c r="AS72">
        <f t="shared" si="72"/>
        <v>0</v>
      </c>
      <c r="AT72">
        <f t="shared" si="73"/>
        <v>0</v>
      </c>
      <c r="AU72">
        <f t="shared" si="74"/>
        <v>10.666666666666666</v>
      </c>
      <c r="AV72">
        <f t="shared" si="75"/>
        <v>0</v>
      </c>
      <c r="AW72">
        <f t="shared" si="76"/>
        <v>0</v>
      </c>
      <c r="AX72">
        <f t="shared" si="77"/>
        <v>0</v>
      </c>
      <c r="AY72">
        <f t="shared" si="78"/>
        <v>10.666666666666666</v>
      </c>
      <c r="AZ72">
        <f t="shared" si="79"/>
        <v>0</v>
      </c>
      <c r="BA72">
        <f t="shared" si="80"/>
        <v>0</v>
      </c>
      <c r="BC72">
        <f t="shared" si="81"/>
        <v>0</v>
      </c>
      <c r="BD72">
        <f t="shared" si="82"/>
        <v>9</v>
      </c>
      <c r="BE72">
        <f t="shared" si="83"/>
        <v>0</v>
      </c>
      <c r="BF72">
        <f t="shared" si="84"/>
        <v>0</v>
      </c>
      <c r="BG72">
        <f t="shared" si="85"/>
        <v>0</v>
      </c>
      <c r="BH72">
        <f t="shared" si="86"/>
        <v>3</v>
      </c>
      <c r="BI72">
        <f t="shared" si="87"/>
        <v>0</v>
      </c>
      <c r="BJ72">
        <f t="shared" si="88"/>
        <v>0</v>
      </c>
      <c r="BK72">
        <f t="shared" si="89"/>
        <v>0</v>
      </c>
      <c r="BL72">
        <f t="shared" si="90"/>
        <v>3</v>
      </c>
      <c r="BM72">
        <f t="shared" si="91"/>
        <v>0</v>
      </c>
      <c r="BN72">
        <f t="shared" si="92"/>
        <v>0</v>
      </c>
      <c r="BO72">
        <f t="shared" si="93"/>
        <v>0</v>
      </c>
      <c r="BP72">
        <f t="shared" si="94"/>
        <v>3</v>
      </c>
      <c r="BQ72">
        <f t="shared" si="95"/>
        <v>0</v>
      </c>
      <c r="BR72">
        <f t="shared" si="96"/>
        <v>0</v>
      </c>
    </row>
    <row r="73" spans="1:70">
      <c r="A73" t="str">
        <f>'time 1'!B72</f>
        <v>&lt;test.InfBlocks: int proc(int,int,int,int,int,int,int,int,int,int,int,int,int,int)&gt;</v>
      </c>
      <c r="B73">
        <f>AVERAGE('time 1'!D72/'time 1'!C72,'time 2'!D72/'time 2'!C72,'time 3'!D72/'time 3'!C72)</f>
        <v>1.8458145151322212</v>
      </c>
      <c r="C73">
        <f>AVERAGE('time 1'!F72/'time 1'!E72,'time 2'!F72/'time 2'!E72,'time 3'!F72/'time 3'!E72)</f>
        <v>1.1057580682461852</v>
      </c>
      <c r="D73">
        <f>AVERAGE('time 1'!H72/'time 1'!G72,'time 2'!H72/'time 2'!G72,'time 3'!H72/'time 3'!G72)</f>
        <v>1.8104609808791778</v>
      </c>
      <c r="E73">
        <f>AVERAGE('time 1'!J72/'time 2'!I72,'time 2'!J72/'time 2'!I72,'time 3'!J72/'time 3'!I72)</f>
        <v>1.9879028235748379</v>
      </c>
      <c r="F73">
        <f>AVERAGE('time 1'!L72/'time 1'!K72,'time 2'!L72/'time 2'!K72,'time 3'!L72/'time 3'!K72)</f>
        <v>1.4430505822566548</v>
      </c>
      <c r="G73">
        <f>AVERAGE('time 1'!N72/'time 1'!M72,'time 2'!N72/'time 2'!M72,'time 3'!N72/'time 3'!M72)</f>
        <v>1.8721972251224477</v>
      </c>
      <c r="H73">
        <f>AVERAGE('time 1'!P72/'time 1'!O72,'time 2'!P72/'time 2'!O72,'time 3'!P72/'time 3'!O72)</f>
        <v>1.9554170580420438</v>
      </c>
      <c r="I73">
        <f>AVERAGE('time 1'!R72/'time 1'!Q72,'time 2'!R72/'time 2'!Q72,'time 3'!R72/'time 3'!Q72)</f>
        <v>1.1869793006160687</v>
      </c>
      <c r="J73">
        <f>AVERAGE('time 1'!T72/'time 1'!S72,'time 2'!T72/'time 2'!S72,'time 3'!T72/'time 3'!S72)</f>
        <v>1.8950378050318306</v>
      </c>
      <c r="K73">
        <f t="shared" si="53"/>
        <v>0</v>
      </c>
      <c r="L73">
        <f t="shared" si="54"/>
        <v>9</v>
      </c>
      <c r="M73">
        <f t="shared" si="55"/>
        <v>0</v>
      </c>
      <c r="N73">
        <f t="shared" si="56"/>
        <v>0</v>
      </c>
      <c r="O73">
        <f t="shared" si="57"/>
        <v>0</v>
      </c>
      <c r="P73">
        <f t="shared" si="97"/>
        <v>3</v>
      </c>
      <c r="Q73">
        <f t="shared" si="98"/>
        <v>0</v>
      </c>
      <c r="R73">
        <f t="shared" si="58"/>
        <v>0</v>
      </c>
      <c r="S73">
        <f t="shared" si="59"/>
        <v>0</v>
      </c>
      <c r="T73">
        <f t="shared" si="60"/>
        <v>3</v>
      </c>
      <c r="U73">
        <f t="shared" si="61"/>
        <v>0</v>
      </c>
      <c r="V73">
        <f t="shared" si="62"/>
        <v>0</v>
      </c>
      <c r="W73">
        <f t="shared" si="63"/>
        <v>0</v>
      </c>
      <c r="X73">
        <f t="shared" si="64"/>
        <v>3</v>
      </c>
      <c r="Y73">
        <f t="shared" si="65"/>
        <v>0</v>
      </c>
      <c r="Z73">
        <f t="shared" si="66"/>
        <v>0</v>
      </c>
      <c r="AB73">
        <f>AVERAGE('accuracy dom5dom4'!$C73,'accuracy dom51dom41'!$C73,'accuracy dom52dom42'!$C73)</f>
        <v>18.666666666666668</v>
      </c>
      <c r="AC73">
        <f>AVERAGE('accuracy dom5dom4'!$G73,'accuracy dom51dom41'!$G73,'accuracy dom52dom42'!$G73)</f>
        <v>18.666666666666668</v>
      </c>
      <c r="AD73">
        <f>AVERAGE('accuracy dom5dom4'!$AB73,'accuracy dom51dom41'!$AB73,'accuracy dom52dom42'!$AB73)</f>
        <v>18.666666666666668</v>
      </c>
      <c r="AE73">
        <f>AVERAGE('accuracy dom7dom6'!$C73,'accuracy dom71dom61'!$C73,'accuracy dom72dom62'!$C73)</f>
        <v>17.666666666666668</v>
      </c>
      <c r="AF73">
        <f>AVERAGE('accuracy dom7dom6'!$G73,'accuracy dom71dom61'!$G73,'accuracy dom72dom62'!$G73)</f>
        <v>17.666666666666668</v>
      </c>
      <c r="AG73">
        <f>AVERAGE('accuracy dom7dom6'!$AB73,'accuracy dom71dom61'!$AB73,'accuracy dom72dom62'!$AB73)</f>
        <v>17.666666666666668</v>
      </c>
      <c r="AH73">
        <f>AVERAGE('accuracy dom9dom8'!$C73,'accuracy dom91dom81'!$C73,'accuracy dom92dom82'!$C73)</f>
        <v>18.333333333333332</v>
      </c>
      <c r="AI73">
        <f>AVERAGE('accuracy dom9dom8'!$G73,'accuracy dom91dom81'!$G73,'accuracy dom92dom82'!$G73)</f>
        <v>18.333333333333332</v>
      </c>
      <c r="AJ73">
        <f>AVERAGE('accuracy dom9dom8'!$AB73,'accuracy dom91dom81'!$AB73,'accuracy dom92dom82'!$AB73)</f>
        <v>18.333333333333332</v>
      </c>
      <c r="AK73">
        <f t="shared" si="67"/>
        <v>9</v>
      </c>
      <c r="AL73">
        <f t="shared" si="99"/>
        <v>0</v>
      </c>
      <c r="AM73">
        <f t="shared" si="100"/>
        <v>164.00000000000003</v>
      </c>
      <c r="AN73">
        <f t="shared" si="101"/>
        <v>0</v>
      </c>
      <c r="AO73">
        <f t="shared" si="68"/>
        <v>0</v>
      </c>
      <c r="AP73">
        <f t="shared" si="69"/>
        <v>0</v>
      </c>
      <c r="AQ73">
        <f t="shared" si="70"/>
        <v>54.666666666666671</v>
      </c>
      <c r="AR73">
        <f t="shared" si="71"/>
        <v>0</v>
      </c>
      <c r="AS73">
        <f t="shared" si="72"/>
        <v>0</v>
      </c>
      <c r="AT73">
        <f t="shared" si="73"/>
        <v>0</v>
      </c>
      <c r="AU73">
        <f t="shared" si="74"/>
        <v>54.666666666666671</v>
      </c>
      <c r="AV73">
        <f t="shared" si="75"/>
        <v>0</v>
      </c>
      <c r="AW73">
        <f t="shared" si="76"/>
        <v>0</v>
      </c>
      <c r="AX73">
        <f t="shared" si="77"/>
        <v>0</v>
      </c>
      <c r="AY73">
        <f t="shared" si="78"/>
        <v>54.666666666666671</v>
      </c>
      <c r="AZ73">
        <f t="shared" si="79"/>
        <v>0</v>
      </c>
      <c r="BA73">
        <f t="shared" si="80"/>
        <v>0</v>
      </c>
      <c r="BC73">
        <f t="shared" si="81"/>
        <v>0</v>
      </c>
      <c r="BD73">
        <f t="shared" si="82"/>
        <v>9</v>
      </c>
      <c r="BE73">
        <f t="shared" si="83"/>
        <v>0</v>
      </c>
      <c r="BF73">
        <f t="shared" si="84"/>
        <v>0</v>
      </c>
      <c r="BG73">
        <f t="shared" si="85"/>
        <v>0</v>
      </c>
      <c r="BH73">
        <f t="shared" si="86"/>
        <v>3</v>
      </c>
      <c r="BI73">
        <f t="shared" si="87"/>
        <v>0</v>
      </c>
      <c r="BJ73">
        <f t="shared" si="88"/>
        <v>0</v>
      </c>
      <c r="BK73">
        <f t="shared" si="89"/>
        <v>0</v>
      </c>
      <c r="BL73">
        <f t="shared" si="90"/>
        <v>3</v>
      </c>
      <c r="BM73">
        <f t="shared" si="91"/>
        <v>0</v>
      </c>
      <c r="BN73">
        <f t="shared" si="92"/>
        <v>0</v>
      </c>
      <c r="BO73">
        <f t="shared" si="93"/>
        <v>0</v>
      </c>
      <c r="BP73">
        <f t="shared" si="94"/>
        <v>3</v>
      </c>
      <c r="BQ73">
        <f t="shared" si="95"/>
        <v>0</v>
      </c>
      <c r="BR73">
        <f t="shared" si="96"/>
        <v>0</v>
      </c>
    </row>
    <row r="74" spans="1:70">
      <c r="A74" t="str">
        <f>'time 1'!B73</f>
        <v>&lt;test.InfCodes: int proc(test.InfBlocks,int,int)&gt;</v>
      </c>
      <c r="B74">
        <f>AVERAGE('time 1'!D73/'time 1'!C73,'time 2'!D73/'time 2'!C73,'time 3'!D73/'time 3'!C73)</f>
        <v>1.8846786138000635</v>
      </c>
      <c r="C74">
        <f>AVERAGE('time 1'!F73/'time 1'!E73,'time 2'!F73/'time 2'!E73,'time 3'!F73/'time 3'!E73)</f>
        <v>0.93391561737821804</v>
      </c>
      <c r="D74">
        <f>AVERAGE('time 1'!H73/'time 1'!G73,'time 2'!H73/'time 2'!G73,'time 3'!H73/'time 3'!G73)</f>
        <v>1.8518346925827371</v>
      </c>
      <c r="E74">
        <f>AVERAGE('time 1'!J73/'time 2'!I73,'time 2'!J73/'time 2'!I73,'time 3'!J73/'time 3'!I73)</f>
        <v>1.9327895977179128</v>
      </c>
      <c r="F74">
        <f>AVERAGE('time 1'!L73/'time 1'!K73,'time 2'!L73/'time 2'!K73,'time 3'!L73/'time 3'!K73)</f>
        <v>1.0945476910502017</v>
      </c>
      <c r="G74">
        <f>AVERAGE('time 1'!N73/'time 1'!M73,'time 2'!N73/'time 2'!M73,'time 3'!N73/'time 3'!M73)</f>
        <v>1.8581216126427205</v>
      </c>
      <c r="H74">
        <f>AVERAGE('time 1'!P73/'time 1'!O73,'time 2'!P73/'time 2'!O73,'time 3'!P73/'time 3'!O73)</f>
        <v>1.820816070405747</v>
      </c>
      <c r="I74">
        <f>AVERAGE('time 1'!R73/'time 1'!Q73,'time 2'!R73/'time 2'!Q73,'time 3'!R73/'time 3'!Q73)</f>
        <v>1.0198148274552814</v>
      </c>
      <c r="J74">
        <f>AVERAGE('time 1'!T73/'time 1'!S73,'time 2'!T73/'time 2'!S73,'time 3'!T73/'time 3'!S73)</f>
        <v>2.0291841758750153</v>
      </c>
      <c r="K74">
        <f t="shared" si="53"/>
        <v>1</v>
      </c>
      <c r="L74">
        <f t="shared" si="54"/>
        <v>7</v>
      </c>
      <c r="M74">
        <f t="shared" si="55"/>
        <v>1</v>
      </c>
      <c r="N74">
        <f t="shared" si="56"/>
        <v>0</v>
      </c>
      <c r="O74">
        <f t="shared" si="57"/>
        <v>0</v>
      </c>
      <c r="P74">
        <f t="shared" si="97"/>
        <v>3</v>
      </c>
      <c r="Q74">
        <f t="shared" si="98"/>
        <v>0</v>
      </c>
      <c r="R74">
        <f t="shared" si="58"/>
        <v>0</v>
      </c>
      <c r="S74">
        <f t="shared" si="59"/>
        <v>1</v>
      </c>
      <c r="T74">
        <f t="shared" si="60"/>
        <v>2</v>
      </c>
      <c r="U74">
        <f t="shared" si="61"/>
        <v>0</v>
      </c>
      <c r="V74">
        <f t="shared" si="62"/>
        <v>0</v>
      </c>
      <c r="W74">
        <f t="shared" si="63"/>
        <v>0</v>
      </c>
      <c r="X74">
        <f t="shared" si="64"/>
        <v>2</v>
      </c>
      <c r="Y74">
        <f t="shared" si="65"/>
        <v>1</v>
      </c>
      <c r="Z74">
        <f t="shared" si="66"/>
        <v>0</v>
      </c>
      <c r="AB74">
        <f>AVERAGE('accuracy dom5dom4'!$C74,'accuracy dom51dom41'!$C74,'accuracy dom52dom42'!$C74)</f>
        <v>12</v>
      </c>
      <c r="AC74">
        <f>AVERAGE('accuracy dom5dom4'!$G74,'accuracy dom51dom41'!$G74,'accuracy dom52dom42'!$G74)</f>
        <v>12</v>
      </c>
      <c r="AD74">
        <f>AVERAGE('accuracy dom5dom4'!$AB74,'accuracy dom51dom41'!$AB74,'accuracy dom52dom42'!$AB74)</f>
        <v>12</v>
      </c>
      <c r="AE74">
        <f>AVERAGE('accuracy dom7dom6'!$C74,'accuracy dom71dom61'!$C74,'accuracy dom72dom62'!$C74)</f>
        <v>9</v>
      </c>
      <c r="AF74">
        <f>AVERAGE('accuracy dom7dom6'!$G74,'accuracy dom71dom61'!$G74,'accuracy dom72dom62'!$G74)</f>
        <v>9</v>
      </c>
      <c r="AG74">
        <f>AVERAGE('accuracy dom7dom6'!$AB74,'accuracy dom71dom61'!$AB74,'accuracy dom72dom62'!$AB74)</f>
        <v>9</v>
      </c>
      <c r="AH74">
        <f>AVERAGE('accuracy dom9dom8'!$C74,'accuracy dom91dom81'!$C74,'accuracy dom92dom82'!$C74)</f>
        <v>12</v>
      </c>
      <c r="AI74">
        <f>AVERAGE('accuracy dom9dom8'!$G74,'accuracy dom91dom81'!$G74,'accuracy dom92dom82'!$G74)</f>
        <v>12</v>
      </c>
      <c r="AJ74">
        <f>AVERAGE('accuracy dom9dom8'!$AB74,'accuracy dom91dom81'!$AB74,'accuracy dom92dom82'!$AB74)</f>
        <v>12</v>
      </c>
      <c r="AK74">
        <f t="shared" si="67"/>
        <v>9</v>
      </c>
      <c r="AL74">
        <f t="shared" si="99"/>
        <v>12</v>
      </c>
      <c r="AM74">
        <f t="shared" si="100"/>
        <v>75</v>
      </c>
      <c r="AN74">
        <f t="shared" si="101"/>
        <v>12</v>
      </c>
      <c r="AO74">
        <f t="shared" si="68"/>
        <v>0</v>
      </c>
      <c r="AP74">
        <f t="shared" si="69"/>
        <v>0</v>
      </c>
      <c r="AQ74">
        <f t="shared" si="70"/>
        <v>33</v>
      </c>
      <c r="AR74">
        <f t="shared" si="71"/>
        <v>0</v>
      </c>
      <c r="AS74">
        <f t="shared" si="72"/>
        <v>0</v>
      </c>
      <c r="AT74">
        <f t="shared" si="73"/>
        <v>12</v>
      </c>
      <c r="AU74">
        <f t="shared" si="74"/>
        <v>21</v>
      </c>
      <c r="AV74">
        <f t="shared" si="75"/>
        <v>0</v>
      </c>
      <c r="AW74">
        <f t="shared" si="76"/>
        <v>0</v>
      </c>
      <c r="AX74">
        <f t="shared" si="77"/>
        <v>0</v>
      </c>
      <c r="AY74">
        <f t="shared" si="78"/>
        <v>21</v>
      </c>
      <c r="AZ74">
        <f t="shared" si="79"/>
        <v>12</v>
      </c>
      <c r="BA74">
        <f t="shared" si="80"/>
        <v>0</v>
      </c>
      <c r="BC74">
        <f t="shared" si="81"/>
        <v>1</v>
      </c>
      <c r="BD74">
        <f t="shared" si="82"/>
        <v>7</v>
      </c>
      <c r="BE74">
        <f t="shared" si="83"/>
        <v>1</v>
      </c>
      <c r="BF74">
        <f t="shared" si="84"/>
        <v>0</v>
      </c>
      <c r="BG74">
        <f t="shared" si="85"/>
        <v>0</v>
      </c>
      <c r="BH74">
        <f t="shared" si="86"/>
        <v>3</v>
      </c>
      <c r="BI74">
        <f t="shared" si="87"/>
        <v>0</v>
      </c>
      <c r="BJ74">
        <f t="shared" si="88"/>
        <v>0</v>
      </c>
      <c r="BK74">
        <f t="shared" si="89"/>
        <v>1</v>
      </c>
      <c r="BL74">
        <f t="shared" si="90"/>
        <v>2</v>
      </c>
      <c r="BM74">
        <f t="shared" si="91"/>
        <v>0</v>
      </c>
      <c r="BN74">
        <f t="shared" si="92"/>
        <v>0</v>
      </c>
      <c r="BO74">
        <f t="shared" si="93"/>
        <v>0</v>
      </c>
      <c r="BP74">
        <f t="shared" si="94"/>
        <v>2</v>
      </c>
      <c r="BQ74">
        <f t="shared" si="95"/>
        <v>1</v>
      </c>
      <c r="BR74">
        <f t="shared" si="96"/>
        <v>0</v>
      </c>
    </row>
    <row r="75" spans="1:70">
      <c r="A75" t="str">
        <f>'time 1'!B74</f>
        <v>&lt;test.InfTree: int huft_build(int[],int,int,int,int[],int[],int[],int[],int[],int[],int[])&gt;</v>
      </c>
      <c r="B75">
        <f>AVERAGE('time 1'!D74/'time 1'!C74,'time 2'!D74/'time 2'!C74,'time 3'!D74/'time 3'!C74)</f>
        <v>0.16290580515455053</v>
      </c>
      <c r="C75">
        <f>AVERAGE('time 1'!F74/'time 1'!E74,'time 2'!F74/'time 2'!E74,'time 3'!F74/'time 3'!E74)</f>
        <v>8.9015116774034356E-2</v>
      </c>
      <c r="D75">
        <f>AVERAGE('time 1'!H74/'time 1'!G74,'time 2'!H74/'time 2'!G74,'time 3'!H74/'time 3'!G74)</f>
        <v>0.16719040200284349</v>
      </c>
      <c r="E75">
        <f>AVERAGE('time 1'!J74/'time 2'!I74,'time 2'!J74/'time 2'!I74,'time 3'!J74/'time 3'!I74)</f>
        <v>0.15520503819624429</v>
      </c>
      <c r="F75">
        <f>AVERAGE('time 1'!L74/'time 1'!K74,'time 2'!L74/'time 2'!K74,'time 3'!L74/'time 3'!K74)</f>
        <v>8.3365274536917514E-2</v>
      </c>
      <c r="G75">
        <f>AVERAGE('time 1'!N74/'time 1'!M74,'time 2'!N74/'time 2'!M74,'time 3'!N74/'time 3'!M74)</f>
        <v>0.14824797790833935</v>
      </c>
      <c r="H75">
        <f>AVERAGE('time 1'!P74/'time 1'!O74,'time 2'!P74/'time 2'!O74,'time 3'!P74/'time 3'!O74)</f>
        <v>0.12354269842082739</v>
      </c>
      <c r="I75">
        <f>AVERAGE('time 1'!R74/'time 1'!Q74,'time 2'!R74/'time 2'!Q74,'time 3'!R74/'time 3'!Q74)</f>
        <v>6.751799243474961E-2</v>
      </c>
      <c r="J75">
        <f>AVERAGE('time 1'!T74/'time 1'!S74,'time 2'!T74/'time 2'!S74,'time 3'!T74/'time 3'!S74)</f>
        <v>0.12764095892672969</v>
      </c>
      <c r="K75">
        <f t="shared" si="53"/>
        <v>9</v>
      </c>
      <c r="L75">
        <f t="shared" si="54"/>
        <v>0</v>
      </c>
      <c r="M75">
        <f t="shared" si="55"/>
        <v>0</v>
      </c>
      <c r="N75">
        <f t="shared" si="56"/>
        <v>0</v>
      </c>
      <c r="O75">
        <f t="shared" si="57"/>
        <v>3</v>
      </c>
      <c r="P75">
        <f t="shared" si="97"/>
        <v>0</v>
      </c>
      <c r="Q75">
        <f t="shared" si="98"/>
        <v>0</v>
      </c>
      <c r="R75">
        <f t="shared" si="58"/>
        <v>0</v>
      </c>
      <c r="S75">
        <f t="shared" si="59"/>
        <v>3</v>
      </c>
      <c r="T75">
        <f t="shared" si="60"/>
        <v>0</v>
      </c>
      <c r="U75">
        <f t="shared" si="61"/>
        <v>0</v>
      </c>
      <c r="V75">
        <f t="shared" si="62"/>
        <v>0</v>
      </c>
      <c r="W75">
        <f t="shared" si="63"/>
        <v>3</v>
      </c>
      <c r="X75">
        <f t="shared" si="64"/>
        <v>0</v>
      </c>
      <c r="Y75">
        <f t="shared" si="65"/>
        <v>0</v>
      </c>
      <c r="Z75">
        <f t="shared" si="66"/>
        <v>0</v>
      </c>
      <c r="AB75">
        <f>AVERAGE('accuracy dom5dom4'!$C75,'accuracy dom51dom41'!$C75,'accuracy dom52dom42'!$C75)</f>
        <v>9.3333333333333339</v>
      </c>
      <c r="AC75">
        <f>AVERAGE('accuracy dom5dom4'!$G75,'accuracy dom51dom41'!$G75,'accuracy dom52dom42'!$G75)</f>
        <v>9.3333333333333339</v>
      </c>
      <c r="AD75">
        <f>AVERAGE('accuracy dom5dom4'!$AB75,'accuracy dom51dom41'!$AB75,'accuracy dom52dom42'!$AB75)</f>
        <v>9.3333333333333339</v>
      </c>
      <c r="AE75">
        <f>AVERAGE('accuracy dom7dom6'!$C75,'accuracy dom71dom61'!$C75,'accuracy dom72dom62'!$C75)</f>
        <v>12</v>
      </c>
      <c r="AF75">
        <f>AVERAGE('accuracy dom7dom6'!$G75,'accuracy dom71dom61'!$G75,'accuracy dom72dom62'!$G75)</f>
        <v>12</v>
      </c>
      <c r="AG75">
        <f>AVERAGE('accuracy dom7dom6'!$AB75,'accuracy dom71dom61'!$AB75,'accuracy dom72dom62'!$AB75)</f>
        <v>12</v>
      </c>
      <c r="AH75">
        <f>AVERAGE('accuracy dom9dom8'!$C75,'accuracy dom91dom81'!$C75,'accuracy dom92dom82'!$C75)</f>
        <v>12</v>
      </c>
      <c r="AI75">
        <f>AVERAGE('accuracy dom9dom8'!$G75,'accuracy dom91dom81'!$G75,'accuracy dom92dom82'!$G75)</f>
        <v>12</v>
      </c>
      <c r="AJ75">
        <f>AVERAGE('accuracy dom9dom8'!$AB75,'accuracy dom91dom81'!$AB75,'accuracy dom92dom82'!$AB75)</f>
        <v>12</v>
      </c>
      <c r="AK75">
        <f t="shared" si="67"/>
        <v>9</v>
      </c>
      <c r="AL75">
        <f t="shared" si="99"/>
        <v>100</v>
      </c>
      <c r="AM75">
        <f t="shared" si="100"/>
        <v>0</v>
      </c>
      <c r="AN75">
        <f t="shared" si="101"/>
        <v>0</v>
      </c>
      <c r="AO75">
        <f t="shared" si="68"/>
        <v>0</v>
      </c>
      <c r="AP75">
        <f t="shared" si="69"/>
        <v>33.333333333333336</v>
      </c>
      <c r="AQ75">
        <f t="shared" si="70"/>
        <v>0</v>
      </c>
      <c r="AR75">
        <f t="shared" si="71"/>
        <v>0</v>
      </c>
      <c r="AS75">
        <f t="shared" si="72"/>
        <v>0</v>
      </c>
      <c r="AT75">
        <f t="shared" si="73"/>
        <v>33.333333333333336</v>
      </c>
      <c r="AU75">
        <f t="shared" si="74"/>
        <v>0</v>
      </c>
      <c r="AV75">
        <f t="shared" si="75"/>
        <v>0</v>
      </c>
      <c r="AW75">
        <f t="shared" si="76"/>
        <v>0</v>
      </c>
      <c r="AX75">
        <f t="shared" si="77"/>
        <v>33.333333333333336</v>
      </c>
      <c r="AY75">
        <f t="shared" si="78"/>
        <v>0</v>
      </c>
      <c r="AZ75">
        <f t="shared" si="79"/>
        <v>0</v>
      </c>
      <c r="BA75">
        <f t="shared" si="80"/>
        <v>0</v>
      </c>
      <c r="BC75">
        <f t="shared" si="81"/>
        <v>9</v>
      </c>
      <c r="BD75">
        <f t="shared" si="82"/>
        <v>0</v>
      </c>
      <c r="BE75">
        <f t="shared" si="83"/>
        <v>0</v>
      </c>
      <c r="BF75">
        <f t="shared" si="84"/>
        <v>0</v>
      </c>
      <c r="BG75">
        <f t="shared" si="85"/>
        <v>3</v>
      </c>
      <c r="BH75">
        <f t="shared" si="86"/>
        <v>0</v>
      </c>
      <c r="BI75">
        <f t="shared" si="87"/>
        <v>0</v>
      </c>
      <c r="BJ75">
        <f t="shared" si="88"/>
        <v>0</v>
      </c>
      <c r="BK75">
        <f t="shared" si="89"/>
        <v>3</v>
      </c>
      <c r="BL75">
        <f t="shared" si="90"/>
        <v>0</v>
      </c>
      <c r="BM75">
        <f t="shared" si="91"/>
        <v>0</v>
      </c>
      <c r="BN75">
        <f t="shared" si="92"/>
        <v>0</v>
      </c>
      <c r="BO75">
        <f t="shared" si="93"/>
        <v>3</v>
      </c>
      <c r="BP75">
        <f t="shared" si="94"/>
        <v>0</v>
      </c>
      <c r="BQ75">
        <f t="shared" si="95"/>
        <v>0</v>
      </c>
      <c r="BR75">
        <f t="shared" si="96"/>
        <v>0</v>
      </c>
    </row>
    <row r="76" spans="1:70">
      <c r="A76" t="str">
        <f>'time 1'!B75</f>
        <v>&lt;test.MapViewer: void paint(java.awt.Graphics,java.lang.Object[][],int,int,int,int,int,int)&gt;</v>
      </c>
      <c r="B76">
        <f>AVERAGE('time 1'!D75/'time 1'!C75,'time 2'!D75/'time 2'!C75,'time 3'!D75/'time 3'!C75)</f>
        <v>1.1789737177774826</v>
      </c>
      <c r="C76">
        <f>AVERAGE('time 1'!F75/'time 1'!E75,'time 2'!F75/'time 2'!E75,'time 3'!F75/'time 3'!E75)</f>
        <v>1.037442460085342</v>
      </c>
      <c r="D76">
        <f>AVERAGE('time 1'!H75/'time 1'!G75,'time 2'!H75/'time 2'!G75,'time 3'!H75/'time 3'!G75)</f>
        <v>1.1360213506437955</v>
      </c>
      <c r="E76">
        <f>AVERAGE('time 1'!J75/'time 2'!I75,'time 2'!J75/'time 2'!I75,'time 3'!J75/'time 3'!I75)</f>
        <v>1.2265057738934517</v>
      </c>
      <c r="F76">
        <f>AVERAGE('time 1'!L75/'time 1'!K75,'time 2'!L75/'time 2'!K75,'time 3'!L75/'time 3'!K75)</f>
        <v>1.0753169601748584</v>
      </c>
      <c r="G76">
        <f>AVERAGE('time 1'!N75/'time 1'!M75,'time 2'!N75/'time 2'!M75,'time 3'!N75/'time 3'!M75)</f>
        <v>1.1282525192725943</v>
      </c>
      <c r="H76">
        <f>AVERAGE('time 1'!P75/'time 1'!O75,'time 2'!P75/'time 2'!O75,'time 3'!P75/'time 3'!O75)</f>
        <v>1.1493322100856567</v>
      </c>
      <c r="I76">
        <f>AVERAGE('time 1'!R75/'time 1'!Q75,'time 2'!R75/'time 2'!Q75,'time 3'!R75/'time 3'!Q75)</f>
        <v>1.1686244214268053</v>
      </c>
      <c r="J76">
        <f>AVERAGE('time 1'!T75/'time 1'!S75,'time 2'!T75/'time 2'!S75,'time 3'!T75/'time 3'!S75)</f>
        <v>1.108030877348575</v>
      </c>
      <c r="K76">
        <f t="shared" si="53"/>
        <v>0</v>
      </c>
      <c r="L76">
        <f t="shared" si="54"/>
        <v>9</v>
      </c>
      <c r="M76">
        <f t="shared" si="55"/>
        <v>0</v>
      </c>
      <c r="N76">
        <f t="shared" si="56"/>
        <v>0</v>
      </c>
      <c r="O76">
        <f t="shared" si="57"/>
        <v>0</v>
      </c>
      <c r="P76">
        <f t="shared" si="97"/>
        <v>3</v>
      </c>
      <c r="Q76">
        <f t="shared" si="98"/>
        <v>0</v>
      </c>
      <c r="R76">
        <f t="shared" si="58"/>
        <v>0</v>
      </c>
      <c r="S76">
        <f t="shared" si="59"/>
        <v>0</v>
      </c>
      <c r="T76">
        <f t="shared" si="60"/>
        <v>3</v>
      </c>
      <c r="U76">
        <f t="shared" si="61"/>
        <v>0</v>
      </c>
      <c r="V76">
        <f t="shared" si="62"/>
        <v>0</v>
      </c>
      <c r="W76">
        <f t="shared" si="63"/>
        <v>0</v>
      </c>
      <c r="X76">
        <f t="shared" si="64"/>
        <v>3</v>
      </c>
      <c r="Y76">
        <f t="shared" si="65"/>
        <v>0</v>
      </c>
      <c r="Z76">
        <f t="shared" si="66"/>
        <v>0</v>
      </c>
      <c r="AB76">
        <f>AVERAGE('accuracy dom5dom4'!$C76,'accuracy dom51dom41'!$C76,'accuracy dom52dom42'!$C76)</f>
        <v>8</v>
      </c>
      <c r="AC76">
        <f>AVERAGE('accuracy dom5dom4'!$G76,'accuracy dom51dom41'!$G76,'accuracy dom52dom42'!$G76)</f>
        <v>8</v>
      </c>
      <c r="AD76">
        <f>AVERAGE('accuracy dom5dom4'!$AB76,'accuracy dom51dom41'!$AB76,'accuracy dom52dom42'!$AB76)</f>
        <v>8</v>
      </c>
      <c r="AE76">
        <f>AVERAGE('accuracy dom7dom6'!$C76,'accuracy dom71dom61'!$C76,'accuracy dom72dom62'!$C76)</f>
        <v>8</v>
      </c>
      <c r="AF76">
        <f>AVERAGE('accuracy dom7dom6'!$G76,'accuracy dom71dom61'!$G76,'accuracy dom72dom62'!$G76)</f>
        <v>8.3333333333333339</v>
      </c>
      <c r="AG76">
        <f>AVERAGE('accuracy dom7dom6'!$AB76,'accuracy dom71dom61'!$AB76,'accuracy dom72dom62'!$AB76)</f>
        <v>8</v>
      </c>
      <c r="AH76">
        <f>AVERAGE('accuracy dom9dom8'!$C76,'accuracy dom91dom81'!$C76,'accuracy dom92dom82'!$C76)</f>
        <v>8</v>
      </c>
      <c r="AI76">
        <f>AVERAGE('accuracy dom9dom8'!$G76,'accuracy dom91dom81'!$G76,'accuracy dom92dom82'!$G76)</f>
        <v>7.666666666666667</v>
      </c>
      <c r="AJ76">
        <f>AVERAGE('accuracy dom9dom8'!$AB76,'accuracy dom91dom81'!$AB76,'accuracy dom92dom82'!$AB76)</f>
        <v>8.6666666666666661</v>
      </c>
      <c r="AK76">
        <f t="shared" si="67"/>
        <v>9</v>
      </c>
      <c r="AL76">
        <f t="shared" si="99"/>
        <v>0</v>
      </c>
      <c r="AM76">
        <f t="shared" si="100"/>
        <v>72.666666666666671</v>
      </c>
      <c r="AN76">
        <f t="shared" si="101"/>
        <v>0</v>
      </c>
      <c r="AO76">
        <f t="shared" si="68"/>
        <v>0</v>
      </c>
      <c r="AP76">
        <f t="shared" si="69"/>
        <v>0</v>
      </c>
      <c r="AQ76">
        <f t="shared" si="70"/>
        <v>24</v>
      </c>
      <c r="AR76">
        <f t="shared" si="71"/>
        <v>0</v>
      </c>
      <c r="AS76">
        <f t="shared" si="72"/>
        <v>0</v>
      </c>
      <c r="AT76">
        <f t="shared" si="73"/>
        <v>0</v>
      </c>
      <c r="AU76">
        <f t="shared" si="74"/>
        <v>24.000000000000004</v>
      </c>
      <c r="AV76">
        <f t="shared" si="75"/>
        <v>0</v>
      </c>
      <c r="AW76">
        <f t="shared" si="76"/>
        <v>0</v>
      </c>
      <c r="AX76">
        <f t="shared" si="77"/>
        <v>0</v>
      </c>
      <c r="AY76">
        <f t="shared" si="78"/>
        <v>24.666666666666664</v>
      </c>
      <c r="AZ76">
        <f t="shared" si="79"/>
        <v>0</v>
      </c>
      <c r="BA76">
        <f t="shared" si="80"/>
        <v>0</v>
      </c>
      <c r="BC76">
        <f t="shared" si="81"/>
        <v>0</v>
      </c>
      <c r="BD76">
        <f t="shared" si="82"/>
        <v>9</v>
      </c>
      <c r="BE76">
        <f t="shared" si="83"/>
        <v>0</v>
      </c>
      <c r="BF76">
        <f t="shared" si="84"/>
        <v>0</v>
      </c>
      <c r="BG76">
        <f t="shared" si="85"/>
        <v>0</v>
      </c>
      <c r="BH76">
        <f t="shared" si="86"/>
        <v>3</v>
      </c>
      <c r="BI76">
        <f t="shared" si="87"/>
        <v>0</v>
      </c>
      <c r="BJ76">
        <f t="shared" si="88"/>
        <v>0</v>
      </c>
      <c r="BK76">
        <f t="shared" si="89"/>
        <v>0</v>
      </c>
      <c r="BL76">
        <f t="shared" si="90"/>
        <v>3</v>
      </c>
      <c r="BM76">
        <f t="shared" si="91"/>
        <v>0</v>
      </c>
      <c r="BN76">
        <f t="shared" si="92"/>
        <v>0</v>
      </c>
      <c r="BO76">
        <f t="shared" si="93"/>
        <v>0</v>
      </c>
      <c r="BP76">
        <f t="shared" si="94"/>
        <v>3</v>
      </c>
      <c r="BQ76">
        <f t="shared" si="95"/>
        <v>0</v>
      </c>
      <c r="BR76">
        <f t="shared" si="96"/>
        <v>0</v>
      </c>
    </row>
    <row r="77" spans="1:70">
      <c r="A77" t="str">
        <f>'time 1'!B76</f>
        <v>&lt;test.MapViewer: void paintRoutes(java.awt.Graphics,int,java.lang.Object[][])&gt;</v>
      </c>
      <c r="B77">
        <f>AVERAGE('time 1'!D76/'time 1'!C76,'time 2'!D76/'time 2'!C76,'time 3'!D76/'time 3'!C76)</f>
        <v>1.093997727111885</v>
      </c>
      <c r="C77">
        <f>AVERAGE('time 1'!F76/'time 1'!E76,'time 2'!F76/'time 2'!E76,'time 3'!F76/'time 3'!E76)</f>
        <v>1.128021443630763</v>
      </c>
      <c r="D77">
        <f>AVERAGE('time 1'!H76/'time 1'!G76,'time 2'!H76/'time 2'!G76,'time 3'!H76/'time 3'!G76)</f>
        <v>1.0863065974221433</v>
      </c>
      <c r="E77">
        <f>AVERAGE('time 1'!J76/'time 2'!I76,'time 2'!J76/'time 2'!I76,'time 3'!J76/'time 3'!I76)</f>
        <v>1.212003583159152</v>
      </c>
      <c r="F77">
        <f>AVERAGE('time 1'!L76/'time 1'!K76,'time 2'!L76/'time 2'!K76,'time 3'!L76/'time 3'!K76)</f>
        <v>1.1251716749459775</v>
      </c>
      <c r="G77">
        <f>AVERAGE('time 1'!N76/'time 1'!M76,'time 2'!N76/'time 2'!M76,'time 3'!N76/'time 3'!M76)</f>
        <v>1.0817785263030528</v>
      </c>
      <c r="H77">
        <f>AVERAGE('time 1'!P76/'time 1'!O76,'time 2'!P76/'time 2'!O76,'time 3'!P76/'time 3'!O76)</f>
        <v>1.1080947541753137</v>
      </c>
      <c r="I77">
        <f>AVERAGE('time 1'!R76/'time 1'!Q76,'time 2'!R76/'time 2'!Q76,'time 3'!R76/'time 3'!Q76)</f>
        <v>1.0385745217761786</v>
      </c>
      <c r="J77">
        <f>AVERAGE('time 1'!T76/'time 1'!S76,'time 2'!T76/'time 2'!S76,'time 3'!T76/'time 3'!S76)</f>
        <v>1.0562613560314382</v>
      </c>
      <c r="K77">
        <f t="shared" si="53"/>
        <v>0</v>
      </c>
      <c r="L77">
        <f t="shared" si="54"/>
        <v>9</v>
      </c>
      <c r="M77">
        <f t="shared" si="55"/>
        <v>0</v>
      </c>
      <c r="N77">
        <f t="shared" si="56"/>
        <v>0</v>
      </c>
      <c r="O77">
        <f t="shared" si="57"/>
        <v>0</v>
      </c>
      <c r="P77">
        <f t="shared" si="97"/>
        <v>3</v>
      </c>
      <c r="Q77">
        <f t="shared" si="98"/>
        <v>0</v>
      </c>
      <c r="R77">
        <f t="shared" si="58"/>
        <v>0</v>
      </c>
      <c r="S77">
        <f t="shared" si="59"/>
        <v>0</v>
      </c>
      <c r="T77">
        <f t="shared" si="60"/>
        <v>3</v>
      </c>
      <c r="U77">
        <f t="shared" si="61"/>
        <v>0</v>
      </c>
      <c r="V77">
        <f t="shared" si="62"/>
        <v>0</v>
      </c>
      <c r="W77">
        <f t="shared" si="63"/>
        <v>0</v>
      </c>
      <c r="X77">
        <f t="shared" si="64"/>
        <v>3</v>
      </c>
      <c r="Y77">
        <f t="shared" si="65"/>
        <v>0</v>
      </c>
      <c r="Z77">
        <f t="shared" si="66"/>
        <v>0</v>
      </c>
      <c r="AB77">
        <f>AVERAGE('accuracy dom5dom4'!$C77,'accuracy dom51dom41'!$C77,'accuracy dom52dom42'!$C77)</f>
        <v>0</v>
      </c>
      <c r="AC77">
        <f>AVERAGE('accuracy dom5dom4'!$G77,'accuracy dom51dom41'!$G77,'accuracy dom52dom42'!$G77)</f>
        <v>0</v>
      </c>
      <c r="AD77">
        <f>AVERAGE('accuracy dom5dom4'!$AB77,'accuracy dom51dom41'!$AB77,'accuracy dom52dom42'!$AB77)</f>
        <v>0</v>
      </c>
      <c r="AE77">
        <f>AVERAGE('accuracy dom7dom6'!$C77,'accuracy dom71dom61'!$C77,'accuracy dom72dom62'!$C77)</f>
        <v>0</v>
      </c>
      <c r="AF77">
        <f>AVERAGE('accuracy dom7dom6'!$G77,'accuracy dom71dom61'!$G77,'accuracy dom72dom62'!$G77)</f>
        <v>0</v>
      </c>
      <c r="AG77">
        <f>AVERAGE('accuracy dom7dom6'!$AB77,'accuracy dom71dom61'!$AB77,'accuracy dom72dom62'!$AB77)</f>
        <v>0</v>
      </c>
      <c r="AH77">
        <f>AVERAGE('accuracy dom9dom8'!$C77,'accuracy dom91dom81'!$C77,'accuracy dom92dom82'!$C77)</f>
        <v>0</v>
      </c>
      <c r="AI77">
        <f>AVERAGE('accuracy dom9dom8'!$G77,'accuracy dom91dom81'!$G77,'accuracy dom92dom82'!$G77)</f>
        <v>0</v>
      </c>
      <c r="AJ77">
        <f>AVERAGE('accuracy dom9dom8'!$AB77,'accuracy dom91dom81'!$AB77,'accuracy dom92dom82'!$AB77)</f>
        <v>0</v>
      </c>
      <c r="AK77">
        <f t="shared" si="67"/>
        <v>0</v>
      </c>
      <c r="AL77">
        <f t="shared" si="99"/>
        <v>0</v>
      </c>
      <c r="AM77">
        <f t="shared" si="100"/>
        <v>0</v>
      </c>
      <c r="AN77">
        <f t="shared" si="101"/>
        <v>0</v>
      </c>
      <c r="AO77">
        <f t="shared" si="68"/>
        <v>0</v>
      </c>
      <c r="AP77">
        <f t="shared" si="69"/>
        <v>0</v>
      </c>
      <c r="AQ77">
        <f t="shared" si="70"/>
        <v>0</v>
      </c>
      <c r="AR77">
        <f t="shared" si="71"/>
        <v>0</v>
      </c>
      <c r="AS77">
        <f t="shared" si="72"/>
        <v>0</v>
      </c>
      <c r="AT77">
        <f t="shared" si="73"/>
        <v>0</v>
      </c>
      <c r="AU77">
        <f t="shared" si="74"/>
        <v>0</v>
      </c>
      <c r="AV77">
        <f t="shared" si="75"/>
        <v>0</v>
      </c>
      <c r="AW77">
        <f t="shared" si="76"/>
        <v>0</v>
      </c>
      <c r="AX77">
        <f t="shared" si="77"/>
        <v>0</v>
      </c>
      <c r="AY77">
        <f t="shared" si="78"/>
        <v>0</v>
      </c>
      <c r="AZ77">
        <f t="shared" si="79"/>
        <v>0</v>
      </c>
      <c r="BA77">
        <f t="shared" si="80"/>
        <v>0</v>
      </c>
      <c r="BC77">
        <f t="shared" si="81"/>
        <v>0</v>
      </c>
      <c r="BD77">
        <f t="shared" si="82"/>
        <v>0</v>
      </c>
      <c r="BE77">
        <f t="shared" si="83"/>
        <v>0</v>
      </c>
      <c r="BF77">
        <f t="shared" si="84"/>
        <v>0</v>
      </c>
      <c r="BG77">
        <f t="shared" si="85"/>
        <v>0</v>
      </c>
      <c r="BH77">
        <f t="shared" si="86"/>
        <v>0</v>
      </c>
      <c r="BI77">
        <f t="shared" si="87"/>
        <v>0</v>
      </c>
      <c r="BJ77">
        <f t="shared" si="88"/>
        <v>0</v>
      </c>
      <c r="BK77">
        <f t="shared" si="89"/>
        <v>0</v>
      </c>
      <c r="BL77">
        <f t="shared" si="90"/>
        <v>0</v>
      </c>
      <c r="BM77">
        <f t="shared" si="91"/>
        <v>0</v>
      </c>
      <c r="BN77">
        <f t="shared" si="92"/>
        <v>0</v>
      </c>
      <c r="BO77">
        <f t="shared" si="93"/>
        <v>0</v>
      </c>
      <c r="BP77">
        <f t="shared" si="94"/>
        <v>0</v>
      </c>
      <c r="BQ77">
        <f t="shared" si="95"/>
        <v>0</v>
      </c>
      <c r="BR77">
        <f t="shared" si="96"/>
        <v>0</v>
      </c>
    </row>
    <row r="78" spans="1:70">
      <c r="A78" t="str">
        <f>'time 1'!B77</f>
        <v>&lt;test.QRCodeDataBlockReader: int getNextBits(int,int,int)&gt;</v>
      </c>
      <c r="B78">
        <f>AVERAGE('time 1'!D77/'time 1'!C77,'time 2'!D77/'time 2'!C77,'time 3'!D77/'time 3'!C77)</f>
        <v>1.0132672764386319</v>
      </c>
      <c r="C78">
        <f>AVERAGE('time 1'!F77/'time 1'!E77,'time 2'!F77/'time 2'!E77,'time 3'!F77/'time 3'!E77)</f>
        <v>0.90665920281369994</v>
      </c>
      <c r="D78">
        <f>AVERAGE('time 1'!H77/'time 1'!G77,'time 2'!H77/'time 2'!G77,'time 3'!H77/'time 3'!G77)</f>
        <v>1.0038807521174935</v>
      </c>
      <c r="E78">
        <f>AVERAGE('time 1'!J77/'time 2'!I77,'time 2'!J77/'time 2'!I77,'time 3'!J77/'time 3'!I77)</f>
        <v>1.0148214140303733</v>
      </c>
      <c r="F78">
        <f>AVERAGE('time 1'!L77/'time 1'!K77,'time 2'!L77/'time 2'!K77,'time 3'!L77/'time 3'!K77)</f>
        <v>0.86962200154170055</v>
      </c>
      <c r="G78">
        <f>AVERAGE('time 1'!N77/'time 1'!M77,'time 2'!N77/'time 2'!M77,'time 3'!N77/'time 3'!M77)</f>
        <v>0.88252395232190584</v>
      </c>
      <c r="H78">
        <f>AVERAGE('time 1'!P77/'time 1'!O77,'time 2'!P77/'time 2'!O77,'time 3'!P77/'time 3'!O77)</f>
        <v>0.92226809800511289</v>
      </c>
      <c r="I78">
        <f>AVERAGE('time 1'!R77/'time 1'!Q77,'time 2'!R77/'time 2'!Q77,'time 3'!R77/'time 3'!Q77)</f>
        <v>0.75664989269602534</v>
      </c>
      <c r="J78">
        <f>AVERAGE('time 1'!T77/'time 1'!S77,'time 2'!T77/'time 2'!S77,'time 3'!T77/'time 3'!S77)</f>
        <v>0.92883736869143796</v>
      </c>
      <c r="K78">
        <f t="shared" si="53"/>
        <v>6</v>
      </c>
      <c r="L78">
        <f t="shared" si="54"/>
        <v>3</v>
      </c>
      <c r="M78">
        <f t="shared" si="55"/>
        <v>0</v>
      </c>
      <c r="N78">
        <f t="shared" si="56"/>
        <v>0</v>
      </c>
      <c r="O78">
        <f t="shared" si="57"/>
        <v>1</v>
      </c>
      <c r="P78">
        <f t="shared" si="97"/>
        <v>2</v>
      </c>
      <c r="Q78">
        <f t="shared" si="98"/>
        <v>0</v>
      </c>
      <c r="R78">
        <f t="shared" si="58"/>
        <v>0</v>
      </c>
      <c r="S78">
        <f t="shared" si="59"/>
        <v>3</v>
      </c>
      <c r="T78">
        <f t="shared" si="60"/>
        <v>0</v>
      </c>
      <c r="U78">
        <f t="shared" si="61"/>
        <v>0</v>
      </c>
      <c r="V78">
        <f t="shared" si="62"/>
        <v>0</v>
      </c>
      <c r="W78">
        <f t="shared" si="63"/>
        <v>2</v>
      </c>
      <c r="X78">
        <f t="shared" si="64"/>
        <v>1</v>
      </c>
      <c r="Y78">
        <f t="shared" si="65"/>
        <v>0</v>
      </c>
      <c r="Z78">
        <f t="shared" si="66"/>
        <v>0</v>
      </c>
      <c r="AB78">
        <f>AVERAGE('accuracy dom5dom4'!$C78,'accuracy dom51dom41'!$C78,'accuracy dom52dom42'!$C78)</f>
        <v>17.666666666666668</v>
      </c>
      <c r="AC78">
        <f>AVERAGE('accuracy dom5dom4'!$G78,'accuracy dom51dom41'!$G78,'accuracy dom52dom42'!$G78)</f>
        <v>17.666666666666668</v>
      </c>
      <c r="AD78">
        <f>AVERAGE('accuracy dom5dom4'!$AB78,'accuracy dom51dom41'!$AB78,'accuracy dom52dom42'!$AB78)</f>
        <v>17.666666666666668</v>
      </c>
      <c r="AE78">
        <f>AVERAGE('accuracy dom7dom6'!$C78,'accuracy dom71dom61'!$C78,'accuracy dom72dom62'!$C78)</f>
        <v>19</v>
      </c>
      <c r="AF78">
        <f>AVERAGE('accuracy dom7dom6'!$G78,'accuracy dom71dom61'!$G78,'accuracy dom72dom62'!$G78)</f>
        <v>19</v>
      </c>
      <c r="AG78">
        <f>AVERAGE('accuracy dom7dom6'!$AB78,'accuracy dom71dom61'!$AB78,'accuracy dom72dom62'!$AB78)</f>
        <v>19</v>
      </c>
      <c r="AH78">
        <f>AVERAGE('accuracy dom9dom8'!$C78,'accuracy dom91dom81'!$C78,'accuracy dom92dom82'!$C78)</f>
        <v>19</v>
      </c>
      <c r="AI78">
        <f>AVERAGE('accuracy dom9dom8'!$G78,'accuracy dom91dom81'!$G78,'accuracy dom92dom82'!$G78)</f>
        <v>19</v>
      </c>
      <c r="AJ78">
        <f>AVERAGE('accuracy dom9dom8'!$AB78,'accuracy dom91dom81'!$AB78,'accuracy dom92dom82'!$AB78)</f>
        <v>19</v>
      </c>
      <c r="AK78">
        <f t="shared" si="67"/>
        <v>9</v>
      </c>
      <c r="AL78">
        <f t="shared" si="99"/>
        <v>112.66666666666667</v>
      </c>
      <c r="AM78">
        <f t="shared" si="100"/>
        <v>54.333333333333329</v>
      </c>
      <c r="AN78">
        <f t="shared" si="101"/>
        <v>0</v>
      </c>
      <c r="AO78">
        <f t="shared" si="68"/>
        <v>0</v>
      </c>
      <c r="AP78">
        <f t="shared" si="69"/>
        <v>19</v>
      </c>
      <c r="AQ78">
        <f t="shared" si="70"/>
        <v>36.666666666666671</v>
      </c>
      <c r="AR78">
        <f t="shared" si="71"/>
        <v>0</v>
      </c>
      <c r="AS78">
        <f t="shared" si="72"/>
        <v>0</v>
      </c>
      <c r="AT78">
        <f t="shared" si="73"/>
        <v>55.666666666666671</v>
      </c>
      <c r="AU78">
        <f t="shared" si="74"/>
        <v>0</v>
      </c>
      <c r="AV78">
        <f t="shared" si="75"/>
        <v>0</v>
      </c>
      <c r="AW78">
        <f t="shared" si="76"/>
        <v>0</v>
      </c>
      <c r="AX78">
        <f t="shared" si="77"/>
        <v>38</v>
      </c>
      <c r="AY78">
        <f t="shared" si="78"/>
        <v>17.666666666666671</v>
      </c>
      <c r="AZ78">
        <f t="shared" si="79"/>
        <v>0</v>
      </c>
      <c r="BA78">
        <f t="shared" si="80"/>
        <v>0</v>
      </c>
      <c r="BC78">
        <f t="shared" si="81"/>
        <v>6</v>
      </c>
      <c r="BD78">
        <f t="shared" si="82"/>
        <v>3</v>
      </c>
      <c r="BE78">
        <f t="shared" si="83"/>
        <v>0</v>
      </c>
      <c r="BF78">
        <f t="shared" si="84"/>
        <v>0</v>
      </c>
      <c r="BG78">
        <f t="shared" si="85"/>
        <v>1</v>
      </c>
      <c r="BH78">
        <f t="shared" si="86"/>
        <v>2</v>
      </c>
      <c r="BI78">
        <f t="shared" si="87"/>
        <v>0</v>
      </c>
      <c r="BJ78">
        <f t="shared" si="88"/>
        <v>0</v>
      </c>
      <c r="BK78">
        <f t="shared" si="89"/>
        <v>3</v>
      </c>
      <c r="BL78">
        <f t="shared" si="90"/>
        <v>0</v>
      </c>
      <c r="BM78">
        <f t="shared" si="91"/>
        <v>0</v>
      </c>
      <c r="BN78">
        <f t="shared" si="92"/>
        <v>0</v>
      </c>
      <c r="BO78">
        <f t="shared" si="93"/>
        <v>2</v>
      </c>
      <c r="BP78">
        <f t="shared" si="94"/>
        <v>1</v>
      </c>
      <c r="BQ78">
        <f t="shared" si="95"/>
        <v>0</v>
      </c>
      <c r="BR78">
        <f t="shared" si="96"/>
        <v>0</v>
      </c>
    </row>
    <row r="79" spans="1:70">
      <c r="A79" t="str">
        <f>'time 1'!B78</f>
        <v>&lt;test.QRCodeDataBlockReader: java.lang.String getKanjiString(int)&gt;</v>
      </c>
      <c r="B79">
        <f>AVERAGE('time 1'!D78/'time 1'!C78,'time 2'!D78/'time 2'!C78,'time 3'!D78/'time 3'!C78)</f>
        <v>1.8227183585060296</v>
      </c>
      <c r="C79">
        <f>AVERAGE('time 1'!F78/'time 1'!E78,'time 2'!F78/'time 2'!E78,'time 3'!F78/'time 3'!E78)</f>
        <v>0.78434691205772811</v>
      </c>
      <c r="D79">
        <f>AVERAGE('time 1'!H78/'time 1'!G78,'time 2'!H78/'time 2'!G78,'time 3'!H78/'time 3'!G78)</f>
        <v>1.8302730696798495</v>
      </c>
      <c r="E79">
        <f>AVERAGE('time 1'!J78/'time 2'!I78,'time 2'!J78/'time 2'!I78,'time 3'!J78/'time 3'!I78)</f>
        <v>1.289237929028505</v>
      </c>
      <c r="F79">
        <f>AVERAGE('time 1'!L78/'time 1'!K78,'time 2'!L78/'time 2'!K78,'time 3'!L78/'time 3'!K78)</f>
        <v>0.32203679487321946</v>
      </c>
      <c r="G79">
        <f>AVERAGE('time 1'!N78/'time 1'!M78,'time 2'!N78/'time 2'!M78,'time 3'!N78/'time 3'!M78)</f>
        <v>1.7308308308308309</v>
      </c>
      <c r="H79">
        <f>AVERAGE('time 1'!P78/'time 1'!O78,'time 2'!P78/'time 2'!O78,'time 3'!P78/'time 3'!O78)</f>
        <v>1.9017935060636153</v>
      </c>
      <c r="I79">
        <f>AVERAGE('time 1'!R78/'time 1'!Q78,'time 2'!R78/'time 2'!Q78,'time 3'!R78/'time 3'!Q78)</f>
        <v>0.53374522370444899</v>
      </c>
      <c r="J79">
        <f>AVERAGE('time 1'!T78/'time 1'!S78,'time 2'!T78/'time 2'!S78,'time 3'!T78/'time 3'!S78)</f>
        <v>1.8813194998669858</v>
      </c>
      <c r="K79">
        <f t="shared" si="53"/>
        <v>3</v>
      </c>
      <c r="L79">
        <f t="shared" si="54"/>
        <v>6</v>
      </c>
      <c r="M79">
        <f t="shared" si="55"/>
        <v>0</v>
      </c>
      <c r="N79">
        <f t="shared" si="56"/>
        <v>0</v>
      </c>
      <c r="O79">
        <f t="shared" si="57"/>
        <v>0</v>
      </c>
      <c r="P79">
        <f t="shared" si="97"/>
        <v>3</v>
      </c>
      <c r="Q79">
        <f t="shared" si="98"/>
        <v>0</v>
      </c>
      <c r="R79">
        <f t="shared" si="58"/>
        <v>0</v>
      </c>
      <c r="S79">
        <f t="shared" si="59"/>
        <v>3</v>
      </c>
      <c r="T79">
        <f t="shared" si="60"/>
        <v>0</v>
      </c>
      <c r="U79">
        <f t="shared" si="61"/>
        <v>0</v>
      </c>
      <c r="V79">
        <f t="shared" si="62"/>
        <v>0</v>
      </c>
      <c r="W79">
        <f t="shared" si="63"/>
        <v>0</v>
      </c>
      <c r="X79">
        <f t="shared" si="64"/>
        <v>3</v>
      </c>
      <c r="Y79">
        <f t="shared" si="65"/>
        <v>0</v>
      </c>
      <c r="Z79">
        <f t="shared" si="66"/>
        <v>0</v>
      </c>
      <c r="AB79">
        <f>AVERAGE('accuracy dom5dom4'!$C79,'accuracy dom51dom41'!$C79,'accuracy dom52dom42'!$C79)</f>
        <v>6</v>
      </c>
      <c r="AC79">
        <f>AVERAGE('accuracy dom5dom4'!$G79,'accuracy dom51dom41'!$G79,'accuracy dom52dom42'!$G79)</f>
        <v>6</v>
      </c>
      <c r="AD79">
        <f>AVERAGE('accuracy dom5dom4'!$AB79,'accuracy dom51dom41'!$AB79,'accuracy dom52dom42'!$AB79)</f>
        <v>6</v>
      </c>
      <c r="AE79">
        <f>AVERAGE('accuracy dom7dom6'!$C79,'accuracy dom71dom61'!$C79,'accuracy dom72dom62'!$C79)</f>
        <v>4</v>
      </c>
      <c r="AF79">
        <f>AVERAGE('accuracy dom7dom6'!$G79,'accuracy dom71dom61'!$G79,'accuracy dom72dom62'!$G79)</f>
        <v>4</v>
      </c>
      <c r="AG79">
        <f>AVERAGE('accuracy dom7dom6'!$AB79,'accuracy dom71dom61'!$AB79,'accuracy dom72dom62'!$AB79)</f>
        <v>6</v>
      </c>
      <c r="AH79">
        <f>AVERAGE('accuracy dom9dom8'!$C79,'accuracy dom91dom81'!$C79,'accuracy dom92dom82'!$C79)</f>
        <v>6</v>
      </c>
      <c r="AI79">
        <f>AVERAGE('accuracy dom9dom8'!$G79,'accuracy dom91dom81'!$G79,'accuracy dom92dom82'!$G79)</f>
        <v>6</v>
      </c>
      <c r="AJ79">
        <f>AVERAGE('accuracy dom9dom8'!$AB79,'accuracy dom91dom81'!$AB79,'accuracy dom92dom82'!$AB79)</f>
        <v>6</v>
      </c>
      <c r="AK79">
        <f t="shared" si="67"/>
        <v>9</v>
      </c>
      <c r="AL79">
        <f t="shared" si="99"/>
        <v>16</v>
      </c>
      <c r="AM79">
        <f t="shared" si="100"/>
        <v>34</v>
      </c>
      <c r="AN79">
        <f t="shared" si="101"/>
        <v>0</v>
      </c>
      <c r="AO79">
        <f t="shared" si="68"/>
        <v>0</v>
      </c>
      <c r="AP79">
        <f t="shared" si="69"/>
        <v>0</v>
      </c>
      <c r="AQ79">
        <f t="shared" si="70"/>
        <v>16</v>
      </c>
      <c r="AR79">
        <f t="shared" si="71"/>
        <v>0</v>
      </c>
      <c r="AS79">
        <f t="shared" si="72"/>
        <v>0</v>
      </c>
      <c r="AT79">
        <f t="shared" si="73"/>
        <v>16</v>
      </c>
      <c r="AU79">
        <f t="shared" si="74"/>
        <v>0</v>
      </c>
      <c r="AV79">
        <f t="shared" si="75"/>
        <v>0</v>
      </c>
      <c r="AW79">
        <f t="shared" si="76"/>
        <v>0</v>
      </c>
      <c r="AX79">
        <f t="shared" si="77"/>
        <v>0</v>
      </c>
      <c r="AY79">
        <f t="shared" si="78"/>
        <v>18</v>
      </c>
      <c r="AZ79">
        <f t="shared" si="79"/>
        <v>0</v>
      </c>
      <c r="BA79">
        <f t="shared" si="80"/>
        <v>0</v>
      </c>
      <c r="BC79">
        <f t="shared" si="81"/>
        <v>3</v>
      </c>
      <c r="BD79">
        <f t="shared" si="82"/>
        <v>6</v>
      </c>
      <c r="BE79">
        <f t="shared" si="83"/>
        <v>0</v>
      </c>
      <c r="BF79">
        <f t="shared" si="84"/>
        <v>0</v>
      </c>
      <c r="BG79">
        <f t="shared" si="85"/>
        <v>0</v>
      </c>
      <c r="BH79">
        <f t="shared" si="86"/>
        <v>3</v>
      </c>
      <c r="BI79">
        <f t="shared" si="87"/>
        <v>0</v>
      </c>
      <c r="BJ79">
        <f t="shared" si="88"/>
        <v>0</v>
      </c>
      <c r="BK79">
        <f t="shared" si="89"/>
        <v>3</v>
      </c>
      <c r="BL79">
        <f t="shared" si="90"/>
        <v>0</v>
      </c>
      <c r="BM79">
        <f t="shared" si="91"/>
        <v>0</v>
      </c>
      <c r="BN79">
        <f t="shared" si="92"/>
        <v>0</v>
      </c>
      <c r="BO79">
        <f t="shared" si="93"/>
        <v>0</v>
      </c>
      <c r="BP79">
        <f t="shared" si="94"/>
        <v>3</v>
      </c>
      <c r="BQ79">
        <f t="shared" si="95"/>
        <v>0</v>
      </c>
      <c r="BR79">
        <f t="shared" si="96"/>
        <v>0</v>
      </c>
    </row>
    <row r="80" spans="1:70">
      <c r="A80" t="str">
        <f>'time 1'!B79</f>
        <v>&lt;test.QRCodeDataBlockReader: void &lt;init&gt;(int[],int,int)&gt;</v>
      </c>
      <c r="B80">
        <f>AVERAGE('time 1'!D79/'time 1'!C79,'time 2'!D79/'time 2'!C79,'time 3'!D79/'time 3'!C79)</f>
        <v>0.81511796207844844</v>
      </c>
      <c r="C80">
        <f>AVERAGE('time 1'!F79/'time 1'!E79,'time 2'!F79/'time 2'!E79,'time 3'!F79/'time 3'!E79)</f>
        <v>1.0106209150326799</v>
      </c>
      <c r="D80">
        <f>AVERAGE('time 1'!H79/'time 1'!G79,'time 2'!H79/'time 2'!G79,'time 3'!H79/'time 3'!G79)</f>
        <v>0.97618072618072615</v>
      </c>
      <c r="E80">
        <f>AVERAGE('time 1'!J79/'time 2'!I79,'time 2'!J79/'time 2'!I79,'time 3'!J79/'time 3'!I79)</f>
        <v>1.1251526251526254</v>
      </c>
      <c r="F80">
        <f>AVERAGE('time 1'!L79/'time 1'!K79,'time 2'!L79/'time 2'!K79,'time 3'!L79/'time 3'!K79)</f>
        <v>0.98562970723473597</v>
      </c>
      <c r="G80">
        <f>AVERAGE('time 1'!N79/'time 1'!M79,'time 2'!N79/'time 2'!M79,'time 3'!N79/'time 3'!M79)</f>
        <v>1.0101010101010102</v>
      </c>
      <c r="H80">
        <f>AVERAGE('time 1'!P79/'time 1'!O79,'time 2'!P79/'time 2'!O79,'time 3'!P79/'time 3'!O79)</f>
        <v>0.96303763440860213</v>
      </c>
      <c r="I80">
        <f>AVERAGE('time 1'!R79/'time 1'!Q79,'time 2'!R79/'time 2'!Q79,'time 3'!R79/'time 3'!Q79)</f>
        <v>0.96788862241878715</v>
      </c>
      <c r="J80">
        <f>AVERAGE('time 1'!T79/'time 1'!S79,'time 2'!T79/'time 2'!S79,'time 3'!T79/'time 3'!S79)</f>
        <v>0.99487179487179489</v>
      </c>
      <c r="K80">
        <f t="shared" si="53"/>
        <v>6</v>
      </c>
      <c r="L80">
        <f t="shared" si="54"/>
        <v>3</v>
      </c>
      <c r="M80">
        <f t="shared" si="55"/>
        <v>0</v>
      </c>
      <c r="N80">
        <f t="shared" si="56"/>
        <v>0</v>
      </c>
      <c r="O80">
        <f t="shared" si="57"/>
        <v>2</v>
      </c>
      <c r="P80">
        <f t="shared" si="97"/>
        <v>1</v>
      </c>
      <c r="Q80">
        <f t="shared" si="98"/>
        <v>0</v>
      </c>
      <c r="R80">
        <f t="shared" si="58"/>
        <v>0</v>
      </c>
      <c r="S80">
        <f t="shared" si="59"/>
        <v>2</v>
      </c>
      <c r="T80">
        <f t="shared" si="60"/>
        <v>1</v>
      </c>
      <c r="U80">
        <f t="shared" si="61"/>
        <v>0</v>
      </c>
      <c r="V80">
        <f t="shared" si="62"/>
        <v>0</v>
      </c>
      <c r="W80">
        <f t="shared" si="63"/>
        <v>2</v>
      </c>
      <c r="X80">
        <f t="shared" si="64"/>
        <v>1</v>
      </c>
      <c r="Y80">
        <f t="shared" si="65"/>
        <v>0</v>
      </c>
      <c r="Z80">
        <f t="shared" si="66"/>
        <v>0</v>
      </c>
      <c r="AB80">
        <f>AVERAGE('accuracy dom5dom4'!$C80,'accuracy dom51dom41'!$C80,'accuracy dom52dom42'!$C80)</f>
        <v>0</v>
      </c>
      <c r="AC80">
        <f>AVERAGE('accuracy dom5dom4'!$G80,'accuracy dom51dom41'!$G80,'accuracy dom52dom42'!$G80)</f>
        <v>0</v>
      </c>
      <c r="AD80">
        <f>AVERAGE('accuracy dom5dom4'!$AB80,'accuracy dom51dom41'!$AB80,'accuracy dom52dom42'!$AB80)</f>
        <v>0</v>
      </c>
      <c r="AE80">
        <f>AVERAGE('accuracy dom7dom6'!$C80,'accuracy dom71dom61'!$C80,'accuracy dom72dom62'!$C80)</f>
        <v>0</v>
      </c>
      <c r="AF80">
        <f>AVERAGE('accuracy dom7dom6'!$G80,'accuracy dom71dom61'!$G80,'accuracy dom72dom62'!$G80)</f>
        <v>0</v>
      </c>
      <c r="AG80">
        <f>AVERAGE('accuracy dom7dom6'!$AB80,'accuracy dom71dom61'!$AB80,'accuracy dom72dom62'!$AB80)</f>
        <v>0</v>
      </c>
      <c r="AH80">
        <f>AVERAGE('accuracy dom9dom8'!$C80,'accuracy dom91dom81'!$C80,'accuracy dom92dom82'!$C80)</f>
        <v>0</v>
      </c>
      <c r="AI80">
        <f>AVERAGE('accuracy dom9dom8'!$G80,'accuracy dom91dom81'!$G80,'accuracy dom92dom82'!$G80)</f>
        <v>0</v>
      </c>
      <c r="AJ80">
        <f>AVERAGE('accuracy dom9dom8'!$AB80,'accuracy dom91dom81'!$AB80,'accuracy dom92dom82'!$AB80)</f>
        <v>0</v>
      </c>
      <c r="AK80">
        <f t="shared" si="67"/>
        <v>0</v>
      </c>
      <c r="AL80">
        <f t="shared" si="99"/>
        <v>0</v>
      </c>
      <c r="AM80">
        <f t="shared" si="100"/>
        <v>0</v>
      </c>
      <c r="AN80">
        <f t="shared" si="101"/>
        <v>0</v>
      </c>
      <c r="AO80">
        <f t="shared" si="68"/>
        <v>0</v>
      </c>
      <c r="AP80">
        <f t="shared" si="69"/>
        <v>0</v>
      </c>
      <c r="AQ80">
        <f t="shared" si="70"/>
        <v>0</v>
      </c>
      <c r="AR80">
        <f t="shared" si="71"/>
        <v>0</v>
      </c>
      <c r="AS80">
        <f t="shared" si="72"/>
        <v>0</v>
      </c>
      <c r="AT80">
        <f t="shared" si="73"/>
        <v>0</v>
      </c>
      <c r="AU80">
        <f t="shared" si="74"/>
        <v>0</v>
      </c>
      <c r="AV80">
        <f t="shared" si="75"/>
        <v>0</v>
      </c>
      <c r="AW80">
        <f t="shared" si="76"/>
        <v>0</v>
      </c>
      <c r="AX80">
        <f t="shared" si="77"/>
        <v>0</v>
      </c>
      <c r="AY80">
        <f t="shared" si="78"/>
        <v>0</v>
      </c>
      <c r="AZ80">
        <f t="shared" si="79"/>
        <v>0</v>
      </c>
      <c r="BA80">
        <f t="shared" si="80"/>
        <v>0</v>
      </c>
      <c r="BC80">
        <f t="shared" si="81"/>
        <v>0</v>
      </c>
      <c r="BD80">
        <f t="shared" si="82"/>
        <v>0</v>
      </c>
      <c r="BE80">
        <f t="shared" si="83"/>
        <v>0</v>
      </c>
      <c r="BF80">
        <f t="shared" si="84"/>
        <v>0</v>
      </c>
      <c r="BG80">
        <f t="shared" si="85"/>
        <v>0</v>
      </c>
      <c r="BH80">
        <f t="shared" si="86"/>
        <v>0</v>
      </c>
      <c r="BI80">
        <f t="shared" si="87"/>
        <v>0</v>
      </c>
      <c r="BJ80">
        <f t="shared" si="88"/>
        <v>0</v>
      </c>
      <c r="BK80">
        <f t="shared" si="89"/>
        <v>0</v>
      </c>
      <c r="BL80">
        <f t="shared" si="90"/>
        <v>0</v>
      </c>
      <c r="BM80">
        <f t="shared" si="91"/>
        <v>0</v>
      </c>
      <c r="BN80">
        <f t="shared" si="92"/>
        <v>0</v>
      </c>
      <c r="BO80">
        <f t="shared" si="93"/>
        <v>0</v>
      </c>
      <c r="BP80">
        <f t="shared" si="94"/>
        <v>0</v>
      </c>
      <c r="BQ80">
        <f t="shared" si="95"/>
        <v>0</v>
      </c>
      <c r="BR80">
        <f t="shared" si="96"/>
        <v>0</v>
      </c>
    </row>
    <row r="81" spans="1:70">
      <c r="A81" t="str">
        <f>'time 1'!B80</f>
        <v>&lt;test.StructurePanel: int calculateTranslateConstants(int,int)&gt;</v>
      </c>
      <c r="B81">
        <f>AVERAGE('time 1'!D80/'time 1'!C80,'time 2'!D80/'time 2'!C80,'time 3'!D80/'time 3'!C80)</f>
        <v>1.1913255751738898</v>
      </c>
      <c r="C81">
        <f>AVERAGE('time 1'!F80/'time 1'!E80,'time 2'!F80/'time 2'!E80,'time 3'!F80/'time 3'!E80)</f>
        <v>0.80307876163195291</v>
      </c>
      <c r="D81">
        <f>AVERAGE('time 1'!H80/'time 1'!G80,'time 2'!H80/'time 2'!G80,'time 3'!H80/'time 3'!G80)</f>
        <v>1.0958387477839457</v>
      </c>
      <c r="E81">
        <f>AVERAGE('time 1'!J80/'time 2'!I80,'time 2'!J80/'time 2'!I80,'time 3'!J80/'time 3'!I80)</f>
        <v>1.0286916868153515</v>
      </c>
      <c r="F81">
        <f>AVERAGE('time 1'!L80/'time 1'!K80,'time 2'!L80/'time 2'!K80,'time 3'!L80/'time 3'!K80)</f>
        <v>0.78898165545257404</v>
      </c>
      <c r="G81">
        <f>AVERAGE('time 1'!N80/'time 1'!M80,'time 2'!N80/'time 2'!M80,'time 3'!N80/'time 3'!M80)</f>
        <v>1.0399405949712837</v>
      </c>
      <c r="H81">
        <f>AVERAGE('time 1'!P80/'time 1'!O80,'time 2'!P80/'time 2'!O80,'time 3'!P80/'time 3'!O80)</f>
        <v>1.1942128412846118</v>
      </c>
      <c r="I81">
        <f>AVERAGE('time 1'!R80/'time 1'!Q80,'time 2'!R80/'time 2'!Q80,'time 3'!R80/'time 3'!Q80)</f>
        <v>0.53890060226453196</v>
      </c>
      <c r="J81">
        <f>AVERAGE('time 1'!T80/'time 1'!S80,'time 2'!T80/'time 2'!S80,'time 3'!T80/'time 3'!S80)</f>
        <v>1.2149966539509303</v>
      </c>
      <c r="K81">
        <f t="shared" si="53"/>
        <v>3</v>
      </c>
      <c r="L81">
        <f t="shared" si="54"/>
        <v>6</v>
      </c>
      <c r="M81">
        <f t="shared" si="55"/>
        <v>0</v>
      </c>
      <c r="N81">
        <f t="shared" si="56"/>
        <v>0</v>
      </c>
      <c r="O81">
        <f t="shared" si="57"/>
        <v>0</v>
      </c>
      <c r="P81">
        <f t="shared" si="97"/>
        <v>3</v>
      </c>
      <c r="Q81">
        <f t="shared" si="98"/>
        <v>0</v>
      </c>
      <c r="R81">
        <f t="shared" si="58"/>
        <v>0</v>
      </c>
      <c r="S81">
        <f t="shared" si="59"/>
        <v>3</v>
      </c>
      <c r="T81">
        <f t="shared" si="60"/>
        <v>0</v>
      </c>
      <c r="U81">
        <f t="shared" si="61"/>
        <v>0</v>
      </c>
      <c r="V81">
        <f t="shared" si="62"/>
        <v>0</v>
      </c>
      <c r="W81">
        <f t="shared" si="63"/>
        <v>0</v>
      </c>
      <c r="X81">
        <f t="shared" si="64"/>
        <v>3</v>
      </c>
      <c r="Y81">
        <f t="shared" si="65"/>
        <v>0</v>
      </c>
      <c r="Z81">
        <f t="shared" si="66"/>
        <v>0</v>
      </c>
      <c r="AB81">
        <f>AVERAGE('accuracy dom5dom4'!$C81,'accuracy dom51dom41'!$C81,'accuracy dom52dom42'!$C81)</f>
        <v>31.333333333333332</v>
      </c>
      <c r="AC81">
        <f>AVERAGE('accuracy dom5dom4'!$G81,'accuracy dom51dom41'!$G81,'accuracy dom52dom42'!$G81)</f>
        <v>35.333333333333336</v>
      </c>
      <c r="AD81">
        <f>AVERAGE('accuracy dom5dom4'!$AB81,'accuracy dom51dom41'!$AB81,'accuracy dom52dom42'!$AB81)</f>
        <v>35.333333333333336</v>
      </c>
      <c r="AE81">
        <f>AVERAGE('accuracy dom7dom6'!$C81,'accuracy dom71dom61'!$C81,'accuracy dom72dom62'!$C81)</f>
        <v>33.333333333333336</v>
      </c>
      <c r="AF81">
        <f>AVERAGE('accuracy dom7dom6'!$G81,'accuracy dom71dom61'!$G81,'accuracy dom72dom62'!$G81)</f>
        <v>33.333333333333336</v>
      </c>
      <c r="AG81">
        <f>AVERAGE('accuracy dom7dom6'!$AB81,'accuracy dom71dom61'!$AB81,'accuracy dom72dom62'!$AB81)</f>
        <v>33.333333333333336</v>
      </c>
      <c r="AH81">
        <f>AVERAGE('accuracy dom9dom8'!$C81,'accuracy dom91dom81'!$C81,'accuracy dom92dom82'!$C81)</f>
        <v>38.666666666666664</v>
      </c>
      <c r="AI81">
        <f>AVERAGE('accuracy dom9dom8'!$G81,'accuracy dom91dom81'!$G81,'accuracy dom92dom82'!$G81)</f>
        <v>38.666666666666664</v>
      </c>
      <c r="AJ81">
        <f>AVERAGE('accuracy dom9dom8'!$AB81,'accuracy dom91dom81'!$AB81,'accuracy dom92dom82'!$AB81)</f>
        <v>38.666666666666664</v>
      </c>
      <c r="AK81">
        <f t="shared" si="67"/>
        <v>9</v>
      </c>
      <c r="AL81">
        <f t="shared" si="99"/>
        <v>107.33333333333334</v>
      </c>
      <c r="AM81">
        <f t="shared" si="100"/>
        <v>210.66666666666671</v>
      </c>
      <c r="AN81">
        <f t="shared" si="101"/>
        <v>0</v>
      </c>
      <c r="AO81">
        <f t="shared" si="68"/>
        <v>0</v>
      </c>
      <c r="AP81">
        <f t="shared" si="69"/>
        <v>0</v>
      </c>
      <c r="AQ81">
        <f t="shared" si="70"/>
        <v>103.33333333333334</v>
      </c>
      <c r="AR81">
        <f t="shared" si="71"/>
        <v>0</v>
      </c>
      <c r="AS81">
        <f t="shared" si="72"/>
        <v>0</v>
      </c>
      <c r="AT81">
        <f t="shared" si="73"/>
        <v>107.33333333333334</v>
      </c>
      <c r="AU81">
        <f t="shared" si="74"/>
        <v>0</v>
      </c>
      <c r="AV81">
        <f t="shared" si="75"/>
        <v>0</v>
      </c>
      <c r="AW81">
        <f t="shared" si="76"/>
        <v>0</v>
      </c>
      <c r="AX81">
        <f t="shared" si="77"/>
        <v>0</v>
      </c>
      <c r="AY81">
        <f t="shared" si="78"/>
        <v>107.33333333333334</v>
      </c>
      <c r="AZ81">
        <f t="shared" si="79"/>
        <v>0</v>
      </c>
      <c r="BA81">
        <f t="shared" si="80"/>
        <v>0</v>
      </c>
      <c r="BC81">
        <f t="shared" si="81"/>
        <v>3</v>
      </c>
      <c r="BD81">
        <f t="shared" si="82"/>
        <v>6</v>
      </c>
      <c r="BE81">
        <f t="shared" si="83"/>
        <v>0</v>
      </c>
      <c r="BF81">
        <f t="shared" si="84"/>
        <v>0</v>
      </c>
      <c r="BG81">
        <f t="shared" si="85"/>
        <v>0</v>
      </c>
      <c r="BH81">
        <f t="shared" si="86"/>
        <v>3</v>
      </c>
      <c r="BI81">
        <f t="shared" si="87"/>
        <v>0</v>
      </c>
      <c r="BJ81">
        <f t="shared" si="88"/>
        <v>0</v>
      </c>
      <c r="BK81">
        <f t="shared" si="89"/>
        <v>3</v>
      </c>
      <c r="BL81">
        <f t="shared" si="90"/>
        <v>0</v>
      </c>
      <c r="BM81">
        <f t="shared" si="91"/>
        <v>0</v>
      </c>
      <c r="BN81">
        <f t="shared" si="92"/>
        <v>0</v>
      </c>
      <c r="BO81">
        <f t="shared" si="93"/>
        <v>0</v>
      </c>
      <c r="BP81">
        <f t="shared" si="94"/>
        <v>3</v>
      </c>
      <c r="BQ81">
        <f t="shared" si="95"/>
        <v>0</v>
      </c>
      <c r="BR81">
        <f t="shared" si="96"/>
        <v>0</v>
      </c>
    </row>
    <row r="82" spans="1:70">
      <c r="A82" t="str">
        <f>'time 1'!B81</f>
        <v>&lt;test.TIFFFaxDecoder: boolean advancePointer()&gt;</v>
      </c>
      <c r="B82">
        <f>AVERAGE('time 1'!D81/'time 1'!C81,'time 2'!D81/'time 2'!C81,'time 3'!D81/'time 3'!C81)</f>
        <v>1.0618279569892473</v>
      </c>
      <c r="C82">
        <f>AVERAGE('time 1'!F81/'time 1'!E81,'time 2'!F81/'time 2'!E81,'time 3'!F81/'time 3'!E81)</f>
        <v>1.3609599008759903</v>
      </c>
      <c r="D82">
        <f>AVERAGE('time 1'!H81/'time 1'!G81,'time 2'!H81/'time 2'!G81,'time 3'!H81/'time 3'!G81)</f>
        <v>0.99782608695652175</v>
      </c>
      <c r="E82">
        <f>AVERAGE('time 1'!J81/'time 2'!I81,'time 2'!J81/'time 2'!I81,'time 3'!J81/'time 3'!I81)</f>
        <v>0.77777777777777768</v>
      </c>
      <c r="F82">
        <f>AVERAGE('time 1'!L81/'time 1'!K81,'time 2'!L81/'time 2'!K81,'time 3'!L81/'time 3'!K81)</f>
        <v>1.0249292348464545</v>
      </c>
      <c r="G82">
        <f>AVERAGE('time 1'!N81/'time 1'!M81,'time 2'!N81/'time 2'!M81,'time 3'!N81/'time 3'!M81)</f>
        <v>1.2013685239491692</v>
      </c>
      <c r="H82">
        <f>AVERAGE('time 1'!P81/'time 1'!O81,'time 2'!P81/'time 2'!O81,'time 3'!P81/'time 3'!O81)</f>
        <v>1.0209810874704492</v>
      </c>
      <c r="I82">
        <f>AVERAGE('time 1'!R81/'time 1'!Q81,'time 2'!R81/'time 2'!Q81,'time 3'!R81/'time 3'!Q81)</f>
        <v>0.92299683151356327</v>
      </c>
      <c r="J82">
        <f>AVERAGE('time 1'!T81/'time 1'!S81,'time 2'!T81/'time 2'!S81,'time 3'!T81/'time 3'!S81)</f>
        <v>1.0283068783068783</v>
      </c>
      <c r="K82">
        <f t="shared" si="53"/>
        <v>3</v>
      </c>
      <c r="L82">
        <f t="shared" si="54"/>
        <v>6</v>
      </c>
      <c r="M82">
        <f t="shared" si="55"/>
        <v>0</v>
      </c>
      <c r="N82">
        <f t="shared" si="56"/>
        <v>0</v>
      </c>
      <c r="O82">
        <f t="shared" si="57"/>
        <v>1</v>
      </c>
      <c r="P82">
        <f t="shared" si="97"/>
        <v>2</v>
      </c>
      <c r="Q82">
        <f t="shared" si="98"/>
        <v>0</v>
      </c>
      <c r="R82">
        <f t="shared" si="58"/>
        <v>0</v>
      </c>
      <c r="S82">
        <f t="shared" si="59"/>
        <v>1</v>
      </c>
      <c r="T82">
        <f t="shared" si="60"/>
        <v>2</v>
      </c>
      <c r="U82">
        <f t="shared" si="61"/>
        <v>0</v>
      </c>
      <c r="V82">
        <f t="shared" si="62"/>
        <v>0</v>
      </c>
      <c r="W82">
        <f t="shared" si="63"/>
        <v>1</v>
      </c>
      <c r="X82">
        <f t="shared" si="64"/>
        <v>2</v>
      </c>
      <c r="Y82">
        <f t="shared" si="65"/>
        <v>0</v>
      </c>
      <c r="Z82">
        <f t="shared" si="66"/>
        <v>0</v>
      </c>
      <c r="AB82">
        <f>AVERAGE('accuracy dom5dom4'!$C82,'accuracy dom51dom41'!$C82,'accuracy dom52dom42'!$C82)</f>
        <v>0</v>
      </c>
      <c r="AC82">
        <f>AVERAGE('accuracy dom5dom4'!$G82,'accuracy dom51dom41'!$G82,'accuracy dom52dom42'!$G82)</f>
        <v>0</v>
      </c>
      <c r="AD82">
        <f>AVERAGE('accuracy dom5dom4'!$AB82,'accuracy dom51dom41'!$AB82,'accuracy dom52dom42'!$AB82)</f>
        <v>0</v>
      </c>
      <c r="AE82">
        <f>AVERAGE('accuracy dom7dom6'!$C82,'accuracy dom71dom61'!$C82,'accuracy dom72dom62'!$C82)</f>
        <v>0</v>
      </c>
      <c r="AF82">
        <f>AVERAGE('accuracy dom7dom6'!$G82,'accuracy dom71dom61'!$G82,'accuracy dom72dom62'!$G82)</f>
        <v>0</v>
      </c>
      <c r="AG82">
        <f>AVERAGE('accuracy dom7dom6'!$AB82,'accuracy dom71dom61'!$AB82,'accuracy dom72dom62'!$AB82)</f>
        <v>0</v>
      </c>
      <c r="AH82">
        <f>AVERAGE('accuracy dom9dom8'!$C82,'accuracy dom91dom81'!$C82,'accuracy dom92dom82'!$C82)</f>
        <v>0</v>
      </c>
      <c r="AI82">
        <f>AVERAGE('accuracy dom9dom8'!$G82,'accuracy dom91dom81'!$G82,'accuracy dom92dom82'!$G82)</f>
        <v>0</v>
      </c>
      <c r="AJ82">
        <f>AVERAGE('accuracy dom9dom8'!$AB82,'accuracy dom91dom81'!$AB82,'accuracy dom92dom82'!$AB82)</f>
        <v>0</v>
      </c>
      <c r="AK82">
        <f t="shared" si="67"/>
        <v>0</v>
      </c>
      <c r="AL82">
        <f t="shared" si="99"/>
        <v>0</v>
      </c>
      <c r="AM82">
        <f t="shared" si="100"/>
        <v>0</v>
      </c>
      <c r="AN82">
        <f t="shared" si="101"/>
        <v>0</v>
      </c>
      <c r="AO82">
        <f t="shared" si="68"/>
        <v>0</v>
      </c>
      <c r="AP82">
        <f t="shared" si="69"/>
        <v>0</v>
      </c>
      <c r="AQ82">
        <f t="shared" si="70"/>
        <v>0</v>
      </c>
      <c r="AR82">
        <f t="shared" si="71"/>
        <v>0</v>
      </c>
      <c r="AS82">
        <f t="shared" si="72"/>
        <v>0</v>
      </c>
      <c r="AT82">
        <f t="shared" si="73"/>
        <v>0</v>
      </c>
      <c r="AU82">
        <f t="shared" si="74"/>
        <v>0</v>
      </c>
      <c r="AV82">
        <f t="shared" si="75"/>
        <v>0</v>
      </c>
      <c r="AW82">
        <f t="shared" si="76"/>
        <v>0</v>
      </c>
      <c r="AX82">
        <f t="shared" si="77"/>
        <v>0</v>
      </c>
      <c r="AY82">
        <f t="shared" si="78"/>
        <v>0</v>
      </c>
      <c r="AZ82">
        <f t="shared" si="79"/>
        <v>0</v>
      </c>
      <c r="BA82">
        <f t="shared" si="80"/>
        <v>0</v>
      </c>
      <c r="BC82">
        <f t="shared" si="81"/>
        <v>0</v>
      </c>
      <c r="BD82">
        <f t="shared" si="82"/>
        <v>0</v>
      </c>
      <c r="BE82">
        <f t="shared" si="83"/>
        <v>0</v>
      </c>
      <c r="BF82">
        <f t="shared" si="84"/>
        <v>0</v>
      </c>
      <c r="BG82">
        <f t="shared" si="85"/>
        <v>0</v>
      </c>
      <c r="BH82">
        <f t="shared" si="86"/>
        <v>0</v>
      </c>
      <c r="BI82">
        <f t="shared" si="87"/>
        <v>0</v>
      </c>
      <c r="BJ82">
        <f t="shared" si="88"/>
        <v>0</v>
      </c>
      <c r="BK82">
        <f t="shared" si="89"/>
        <v>0</v>
      </c>
      <c r="BL82">
        <f t="shared" si="90"/>
        <v>0</v>
      </c>
      <c r="BM82">
        <f t="shared" si="91"/>
        <v>0</v>
      </c>
      <c r="BN82">
        <f t="shared" si="92"/>
        <v>0</v>
      </c>
      <c r="BO82">
        <f t="shared" si="93"/>
        <v>0</v>
      </c>
      <c r="BP82">
        <f t="shared" si="94"/>
        <v>0</v>
      </c>
      <c r="BQ82">
        <f t="shared" si="95"/>
        <v>0</v>
      </c>
      <c r="BR82">
        <f t="shared" si="96"/>
        <v>0</v>
      </c>
    </row>
    <row r="83" spans="1:70">
      <c r="A83" t="str">
        <f>'time 1'!B82</f>
        <v>&lt;test.TIFFFaxDecoder: int decodeBlackCodeWord()&gt;</v>
      </c>
      <c r="B83">
        <f>AVERAGE('time 1'!D82/'time 1'!C82,'time 2'!D82/'time 2'!C82,'time 3'!D82/'time 3'!C82)</f>
        <v>1.1159524131459024</v>
      </c>
      <c r="C83">
        <f>AVERAGE('time 1'!F82/'time 1'!E82,'time 2'!F82/'time 2'!E82,'time 3'!F82/'time 3'!E82)</f>
        <v>1.0565472600030406</v>
      </c>
      <c r="D83">
        <f>AVERAGE('time 1'!H82/'time 1'!G82,'time 2'!H82/'time 2'!G82,'time 3'!H82/'time 3'!G82)</f>
        <v>1.116007050521775</v>
      </c>
      <c r="E83">
        <f>AVERAGE('time 1'!J82/'time 2'!I82,'time 2'!J82/'time 2'!I82,'time 3'!J82/'time 3'!I82)</f>
        <v>1.1124407151963329</v>
      </c>
      <c r="F83">
        <f>AVERAGE('time 1'!L82/'time 1'!K82,'time 2'!L82/'time 2'!K82,'time 3'!L82/'time 3'!K82)</f>
        <v>1.1424714306085768</v>
      </c>
      <c r="G83">
        <f>AVERAGE('time 1'!N82/'time 1'!M82,'time 2'!N82/'time 2'!M82,'time 3'!N82/'time 3'!M82)</f>
        <v>1.0965172612696619</v>
      </c>
      <c r="H83">
        <f>AVERAGE('time 1'!P82/'time 1'!O82,'time 2'!P82/'time 2'!O82,'time 3'!P82/'time 3'!O82)</f>
        <v>1.1163836878393643</v>
      </c>
      <c r="I83">
        <f>AVERAGE('time 1'!R82/'time 1'!Q82,'time 2'!R82/'time 2'!Q82,'time 3'!R82/'time 3'!Q82)</f>
        <v>1.0553909651540334</v>
      </c>
      <c r="J83">
        <f>AVERAGE('time 1'!T82/'time 1'!S82,'time 2'!T82/'time 2'!S82,'time 3'!T82/'time 3'!S82)</f>
        <v>1.1190633143078041</v>
      </c>
      <c r="K83">
        <f t="shared" si="53"/>
        <v>0</v>
      </c>
      <c r="L83">
        <f t="shared" si="54"/>
        <v>9</v>
      </c>
      <c r="M83">
        <f t="shared" si="55"/>
        <v>0</v>
      </c>
      <c r="N83">
        <f t="shared" si="56"/>
        <v>0</v>
      </c>
      <c r="O83">
        <f t="shared" si="57"/>
        <v>0</v>
      </c>
      <c r="P83">
        <f t="shared" si="97"/>
        <v>3</v>
      </c>
      <c r="Q83">
        <f t="shared" si="98"/>
        <v>0</v>
      </c>
      <c r="R83">
        <f t="shared" si="58"/>
        <v>0</v>
      </c>
      <c r="S83">
        <f t="shared" si="59"/>
        <v>0</v>
      </c>
      <c r="T83">
        <f t="shared" si="60"/>
        <v>3</v>
      </c>
      <c r="U83">
        <f t="shared" si="61"/>
        <v>0</v>
      </c>
      <c r="V83">
        <f t="shared" si="62"/>
        <v>0</v>
      </c>
      <c r="W83">
        <f t="shared" si="63"/>
        <v>0</v>
      </c>
      <c r="X83">
        <f t="shared" si="64"/>
        <v>3</v>
      </c>
      <c r="Y83">
        <f t="shared" si="65"/>
        <v>0</v>
      </c>
      <c r="Z83">
        <f t="shared" si="66"/>
        <v>0</v>
      </c>
      <c r="AB83">
        <f>AVERAGE('accuracy dom5dom4'!$C83,'accuracy dom51dom41'!$C83,'accuracy dom52dom42'!$C83)</f>
        <v>0</v>
      </c>
      <c r="AC83">
        <f>AVERAGE('accuracy dom5dom4'!$G83,'accuracy dom51dom41'!$G83,'accuracy dom52dom42'!$G83)</f>
        <v>0</v>
      </c>
      <c r="AD83">
        <f>AVERAGE('accuracy dom5dom4'!$AB83,'accuracy dom51dom41'!$AB83,'accuracy dom52dom42'!$AB83)</f>
        <v>0</v>
      </c>
      <c r="AE83">
        <f>AVERAGE('accuracy dom7dom6'!$C83,'accuracy dom71dom61'!$C83,'accuracy dom72dom62'!$C83)</f>
        <v>0</v>
      </c>
      <c r="AF83">
        <f>AVERAGE('accuracy dom7dom6'!$G83,'accuracy dom71dom61'!$G83,'accuracy dom72dom62'!$G83)</f>
        <v>0</v>
      </c>
      <c r="AG83">
        <f>AVERAGE('accuracy dom7dom6'!$AB83,'accuracy dom71dom61'!$AB83,'accuracy dom72dom62'!$AB83)</f>
        <v>0</v>
      </c>
      <c r="AH83">
        <f>AVERAGE('accuracy dom9dom8'!$C83,'accuracy dom91dom81'!$C83,'accuracy dom92dom82'!$C83)</f>
        <v>0</v>
      </c>
      <c r="AI83">
        <f>AVERAGE('accuracy dom9dom8'!$G83,'accuracy dom91dom81'!$G83,'accuracy dom92dom82'!$G83)</f>
        <v>0</v>
      </c>
      <c r="AJ83">
        <f>AVERAGE('accuracy dom9dom8'!$AB83,'accuracy dom91dom81'!$AB83,'accuracy dom92dom82'!$AB83)</f>
        <v>0</v>
      </c>
      <c r="AK83">
        <f t="shared" si="67"/>
        <v>0</v>
      </c>
      <c r="AL83">
        <f t="shared" si="99"/>
        <v>0</v>
      </c>
      <c r="AM83">
        <f t="shared" si="100"/>
        <v>0</v>
      </c>
      <c r="AN83">
        <f t="shared" si="101"/>
        <v>0</v>
      </c>
      <c r="AO83">
        <f t="shared" si="68"/>
        <v>0</v>
      </c>
      <c r="AP83">
        <f t="shared" si="69"/>
        <v>0</v>
      </c>
      <c r="AQ83">
        <f t="shared" si="70"/>
        <v>0</v>
      </c>
      <c r="AR83">
        <f t="shared" si="71"/>
        <v>0</v>
      </c>
      <c r="AS83">
        <f t="shared" si="72"/>
        <v>0</v>
      </c>
      <c r="AT83">
        <f t="shared" si="73"/>
        <v>0</v>
      </c>
      <c r="AU83">
        <f t="shared" si="74"/>
        <v>0</v>
      </c>
      <c r="AV83">
        <f t="shared" si="75"/>
        <v>0</v>
      </c>
      <c r="AW83">
        <f t="shared" si="76"/>
        <v>0</v>
      </c>
      <c r="AX83">
        <f t="shared" si="77"/>
        <v>0</v>
      </c>
      <c r="AY83">
        <f t="shared" si="78"/>
        <v>0</v>
      </c>
      <c r="AZ83">
        <f t="shared" si="79"/>
        <v>0</v>
      </c>
      <c r="BA83">
        <f t="shared" si="80"/>
        <v>0</v>
      </c>
      <c r="BC83">
        <f t="shared" si="81"/>
        <v>0</v>
      </c>
      <c r="BD83">
        <f t="shared" si="82"/>
        <v>0</v>
      </c>
      <c r="BE83">
        <f t="shared" si="83"/>
        <v>0</v>
      </c>
      <c r="BF83">
        <f t="shared" si="84"/>
        <v>0</v>
      </c>
      <c r="BG83">
        <f t="shared" si="85"/>
        <v>0</v>
      </c>
      <c r="BH83">
        <f t="shared" si="86"/>
        <v>0</v>
      </c>
      <c r="BI83">
        <f t="shared" si="87"/>
        <v>0</v>
      </c>
      <c r="BJ83">
        <f t="shared" si="88"/>
        <v>0</v>
      </c>
      <c r="BK83">
        <f t="shared" si="89"/>
        <v>0</v>
      </c>
      <c r="BL83">
        <f t="shared" si="90"/>
        <v>0</v>
      </c>
      <c r="BM83">
        <f t="shared" si="91"/>
        <v>0</v>
      </c>
      <c r="BN83">
        <f t="shared" si="92"/>
        <v>0</v>
      </c>
      <c r="BO83">
        <f t="shared" si="93"/>
        <v>0</v>
      </c>
      <c r="BP83">
        <f t="shared" si="94"/>
        <v>0</v>
      </c>
      <c r="BQ83">
        <f t="shared" si="95"/>
        <v>0</v>
      </c>
      <c r="BR83">
        <f t="shared" si="96"/>
        <v>0</v>
      </c>
    </row>
    <row r="84" spans="1:70">
      <c r="A84" t="str">
        <f>'time 1'!B83</f>
        <v>&lt;test.TIFFFaxDecoder: int decodeWhiteCodeWord()&gt;</v>
      </c>
      <c r="B84">
        <f>AVERAGE('time 1'!D83/'time 1'!C83,'time 2'!D83/'time 2'!C83,'time 3'!D83/'time 3'!C83)</f>
        <v>1.6572377521687931</v>
      </c>
      <c r="C84">
        <f>AVERAGE('time 1'!F83/'time 1'!E83,'time 2'!F83/'time 2'!E83,'time 3'!F83/'time 3'!E83)</f>
        <v>1.2244086127973255</v>
      </c>
      <c r="D84">
        <f>AVERAGE('time 1'!H83/'time 1'!G83,'time 2'!H83/'time 2'!G83,'time 3'!H83/'time 3'!G83)</f>
        <v>1.5694023210820476</v>
      </c>
      <c r="E84">
        <f>AVERAGE('time 1'!J83/'time 2'!I83,'time 2'!J83/'time 2'!I83,'time 3'!J83/'time 3'!I83)</f>
        <v>1.6504599847824586</v>
      </c>
      <c r="F84">
        <f>AVERAGE('time 1'!L83/'time 1'!K83,'time 2'!L83/'time 2'!K83,'time 3'!L83/'time 3'!K83)</f>
        <v>1.3929555018191977</v>
      </c>
      <c r="G84">
        <f>AVERAGE('time 1'!N83/'time 1'!M83,'time 2'!N83/'time 2'!M83,'time 3'!N83/'time 3'!M83)</f>
        <v>1.6001406935275293</v>
      </c>
      <c r="H84">
        <f>AVERAGE('time 1'!P83/'time 1'!O83,'time 2'!P83/'time 2'!O83,'time 3'!P83/'time 3'!O83)</f>
        <v>1.6302788654280163</v>
      </c>
      <c r="I84">
        <f>AVERAGE('time 1'!R83/'time 1'!Q83,'time 2'!R83/'time 2'!Q83,'time 3'!R83/'time 3'!Q83)</f>
        <v>1.1358904103022305</v>
      </c>
      <c r="J84">
        <f>AVERAGE('time 1'!T83/'time 1'!S83,'time 2'!T83/'time 2'!S83,'time 3'!T83/'time 3'!S83)</f>
        <v>1.4992518557694652</v>
      </c>
      <c r="K84">
        <f t="shared" si="53"/>
        <v>0</v>
      </c>
      <c r="L84">
        <f t="shared" si="54"/>
        <v>9</v>
      </c>
      <c r="M84">
        <f t="shared" si="55"/>
        <v>0</v>
      </c>
      <c r="N84">
        <f t="shared" si="56"/>
        <v>0</v>
      </c>
      <c r="O84">
        <f t="shared" si="57"/>
        <v>0</v>
      </c>
      <c r="P84">
        <f t="shared" si="97"/>
        <v>3</v>
      </c>
      <c r="Q84">
        <f t="shared" si="98"/>
        <v>0</v>
      </c>
      <c r="R84">
        <f t="shared" si="58"/>
        <v>0</v>
      </c>
      <c r="S84">
        <f t="shared" si="59"/>
        <v>0</v>
      </c>
      <c r="T84">
        <f t="shared" si="60"/>
        <v>3</v>
      </c>
      <c r="U84">
        <f t="shared" si="61"/>
        <v>0</v>
      </c>
      <c r="V84">
        <f t="shared" si="62"/>
        <v>0</v>
      </c>
      <c r="W84">
        <f t="shared" si="63"/>
        <v>0</v>
      </c>
      <c r="X84">
        <f t="shared" si="64"/>
        <v>3</v>
      </c>
      <c r="Y84">
        <f t="shared" si="65"/>
        <v>0</v>
      </c>
      <c r="Z84">
        <f t="shared" si="66"/>
        <v>0</v>
      </c>
      <c r="AB84">
        <f>AVERAGE('accuracy dom5dom4'!$C84,'accuracy dom51dom41'!$C84,'accuracy dom52dom42'!$C84)</f>
        <v>0</v>
      </c>
      <c r="AC84">
        <f>AVERAGE('accuracy dom5dom4'!$G84,'accuracy dom51dom41'!$G84,'accuracy dom52dom42'!$G84)</f>
        <v>0</v>
      </c>
      <c r="AD84">
        <f>AVERAGE('accuracy dom5dom4'!$AB84,'accuracy dom51dom41'!$AB84,'accuracy dom52dom42'!$AB84)</f>
        <v>0</v>
      </c>
      <c r="AE84">
        <f>AVERAGE('accuracy dom7dom6'!$C84,'accuracy dom71dom61'!$C84,'accuracy dom72dom62'!$C84)</f>
        <v>0</v>
      </c>
      <c r="AF84">
        <f>AVERAGE('accuracy dom7dom6'!$G84,'accuracy dom71dom61'!$G84,'accuracy dom72dom62'!$G84)</f>
        <v>0</v>
      </c>
      <c r="AG84">
        <f>AVERAGE('accuracy dom7dom6'!$AB84,'accuracy dom71dom61'!$AB84,'accuracy dom72dom62'!$AB84)</f>
        <v>0</v>
      </c>
      <c r="AH84">
        <f>AVERAGE('accuracy dom9dom8'!$C84,'accuracy dom91dom81'!$C84,'accuracy dom92dom82'!$C84)</f>
        <v>0</v>
      </c>
      <c r="AI84">
        <f>AVERAGE('accuracy dom9dom8'!$G84,'accuracy dom91dom81'!$G84,'accuracy dom92dom82'!$G84)</f>
        <v>0</v>
      </c>
      <c r="AJ84">
        <f>AVERAGE('accuracy dom9dom8'!$AB84,'accuracy dom91dom81'!$AB84,'accuracy dom92dom82'!$AB84)</f>
        <v>0</v>
      </c>
      <c r="AK84">
        <f t="shared" si="67"/>
        <v>0</v>
      </c>
      <c r="AL84">
        <f t="shared" si="99"/>
        <v>0</v>
      </c>
      <c r="AM84">
        <f t="shared" si="100"/>
        <v>0</v>
      </c>
      <c r="AN84">
        <f t="shared" si="101"/>
        <v>0</v>
      </c>
      <c r="AO84">
        <f t="shared" si="68"/>
        <v>0</v>
      </c>
      <c r="AP84">
        <f t="shared" si="69"/>
        <v>0</v>
      </c>
      <c r="AQ84">
        <f t="shared" si="70"/>
        <v>0</v>
      </c>
      <c r="AR84">
        <f t="shared" si="71"/>
        <v>0</v>
      </c>
      <c r="AS84">
        <f t="shared" si="72"/>
        <v>0</v>
      </c>
      <c r="AT84">
        <f t="shared" si="73"/>
        <v>0</v>
      </c>
      <c r="AU84">
        <f t="shared" si="74"/>
        <v>0</v>
      </c>
      <c r="AV84">
        <f t="shared" si="75"/>
        <v>0</v>
      </c>
      <c r="AW84">
        <f t="shared" si="76"/>
        <v>0</v>
      </c>
      <c r="AX84">
        <f t="shared" si="77"/>
        <v>0</v>
      </c>
      <c r="AY84">
        <f t="shared" si="78"/>
        <v>0</v>
      </c>
      <c r="AZ84">
        <f t="shared" si="79"/>
        <v>0</v>
      </c>
      <c r="BA84">
        <f t="shared" si="80"/>
        <v>0</v>
      </c>
      <c r="BC84">
        <f t="shared" si="81"/>
        <v>0</v>
      </c>
      <c r="BD84">
        <f t="shared" si="82"/>
        <v>0</v>
      </c>
      <c r="BE84">
        <f t="shared" si="83"/>
        <v>0</v>
      </c>
      <c r="BF84">
        <f t="shared" si="84"/>
        <v>0</v>
      </c>
      <c r="BG84">
        <f t="shared" si="85"/>
        <v>0</v>
      </c>
      <c r="BH84">
        <f t="shared" si="86"/>
        <v>0</v>
      </c>
      <c r="BI84">
        <f t="shared" si="87"/>
        <v>0</v>
      </c>
      <c r="BJ84">
        <f t="shared" si="88"/>
        <v>0</v>
      </c>
      <c r="BK84">
        <f t="shared" si="89"/>
        <v>0</v>
      </c>
      <c r="BL84">
        <f t="shared" si="90"/>
        <v>0</v>
      </c>
      <c r="BM84">
        <f t="shared" si="91"/>
        <v>0</v>
      </c>
      <c r="BN84">
        <f t="shared" si="92"/>
        <v>0</v>
      </c>
      <c r="BO84">
        <f t="shared" si="93"/>
        <v>0</v>
      </c>
      <c r="BP84">
        <f t="shared" si="94"/>
        <v>0</v>
      </c>
      <c r="BQ84">
        <f t="shared" si="95"/>
        <v>0</v>
      </c>
      <c r="BR84">
        <f t="shared" si="96"/>
        <v>0</v>
      </c>
    </row>
    <row r="85" spans="1:70">
      <c r="A85" t="str">
        <f>'time 1'!B84</f>
        <v>&lt;test.TIFFFaxDecoder: int nextLesserThan8Bits(int)&gt;</v>
      </c>
      <c r="B85">
        <f>AVERAGE('time 1'!D84/'time 1'!C84,'time 2'!D84/'time 2'!C84,'time 3'!D84/'time 3'!C84)</f>
        <v>1.0324661477550925</v>
      </c>
      <c r="C85">
        <f>AVERAGE('time 1'!F84/'time 1'!E84,'time 2'!F84/'time 2'!E84,'time 3'!F84/'time 3'!E84)</f>
        <v>1.1070144117940341</v>
      </c>
      <c r="D85">
        <f>AVERAGE('time 1'!H84/'time 1'!G84,'time 2'!H84/'time 2'!G84,'time 3'!H84/'time 3'!G84)</f>
        <v>1.0304507948918973</v>
      </c>
      <c r="E85">
        <f>AVERAGE('time 1'!J84/'time 2'!I84,'time 2'!J84/'time 2'!I84,'time 3'!J84/'time 3'!I84)</f>
        <v>1.1713138778281624</v>
      </c>
      <c r="F85">
        <f>AVERAGE('time 1'!L84/'time 1'!K84,'time 2'!L84/'time 2'!K84,'time 3'!L84/'time 3'!K84)</f>
        <v>1.0752796243390041</v>
      </c>
      <c r="G85">
        <f>AVERAGE('time 1'!N84/'time 1'!M84,'time 2'!N84/'time 2'!M84,'time 3'!N84/'time 3'!M84)</f>
        <v>1.0484534645981627</v>
      </c>
      <c r="H85">
        <f>AVERAGE('time 1'!P84/'time 1'!O84,'time 2'!P84/'time 2'!O84,'time 3'!P84/'time 3'!O84)</f>
        <v>1.0643509682855929</v>
      </c>
      <c r="I85">
        <f>AVERAGE('time 1'!R84/'time 1'!Q84,'time 2'!R84/'time 2'!Q84,'time 3'!R84/'time 3'!Q84)</f>
        <v>1.0146509425803834</v>
      </c>
      <c r="J85">
        <f>AVERAGE('time 1'!T84/'time 1'!S84,'time 2'!T84/'time 2'!S84,'time 3'!T84/'time 3'!S84)</f>
        <v>1.0238689071853884</v>
      </c>
      <c r="K85">
        <f t="shared" si="53"/>
        <v>0</v>
      </c>
      <c r="L85">
        <f t="shared" si="54"/>
        <v>9</v>
      </c>
      <c r="M85">
        <f t="shared" si="55"/>
        <v>0</v>
      </c>
      <c r="N85">
        <f t="shared" si="56"/>
        <v>0</v>
      </c>
      <c r="O85">
        <f t="shared" si="57"/>
        <v>0</v>
      </c>
      <c r="P85">
        <f t="shared" si="97"/>
        <v>3</v>
      </c>
      <c r="Q85">
        <f t="shared" si="98"/>
        <v>0</v>
      </c>
      <c r="R85">
        <f t="shared" si="58"/>
        <v>0</v>
      </c>
      <c r="S85">
        <f t="shared" si="59"/>
        <v>0</v>
      </c>
      <c r="T85">
        <f t="shared" si="60"/>
        <v>3</v>
      </c>
      <c r="U85">
        <f t="shared" si="61"/>
        <v>0</v>
      </c>
      <c r="V85">
        <f t="shared" si="62"/>
        <v>0</v>
      </c>
      <c r="W85">
        <f t="shared" si="63"/>
        <v>0</v>
      </c>
      <c r="X85">
        <f t="shared" si="64"/>
        <v>3</v>
      </c>
      <c r="Y85">
        <f t="shared" si="65"/>
        <v>0</v>
      </c>
      <c r="Z85">
        <f t="shared" si="66"/>
        <v>0</v>
      </c>
      <c r="AB85">
        <f>AVERAGE('accuracy dom5dom4'!$C85,'accuracy dom51dom41'!$C85,'accuracy dom52dom42'!$C85)</f>
        <v>0.66666666666666663</v>
      </c>
      <c r="AC85">
        <f>AVERAGE('accuracy dom5dom4'!$G85,'accuracy dom51dom41'!$G85,'accuracy dom52dom42'!$G85)</f>
        <v>0.66666666666666663</v>
      </c>
      <c r="AD85">
        <f>AVERAGE('accuracy dom5dom4'!$AB85,'accuracy dom51dom41'!$AB85,'accuracy dom52dom42'!$AB85)</f>
        <v>0.66666666666666663</v>
      </c>
      <c r="AE85">
        <f>AVERAGE('accuracy dom7dom6'!$C85,'accuracy dom71dom61'!$C85,'accuracy dom72dom62'!$C85)</f>
        <v>1</v>
      </c>
      <c r="AF85">
        <f>AVERAGE('accuracy dom7dom6'!$G85,'accuracy dom71dom61'!$G85,'accuracy dom72dom62'!$G85)</f>
        <v>1</v>
      </c>
      <c r="AG85">
        <f>AVERAGE('accuracy dom7dom6'!$AB85,'accuracy dom71dom61'!$AB85,'accuracy dom72dom62'!$AB85)</f>
        <v>1</v>
      </c>
      <c r="AH85">
        <f>AVERAGE('accuracy dom9dom8'!$C85,'accuracy dom91dom81'!$C85,'accuracy dom92dom82'!$C85)</f>
        <v>1</v>
      </c>
      <c r="AI85">
        <f>AVERAGE('accuracy dom9dom8'!$G85,'accuracy dom91dom81'!$G85,'accuracy dom92dom82'!$G85)</f>
        <v>1</v>
      </c>
      <c r="AJ85">
        <f>AVERAGE('accuracy dom9dom8'!$AB85,'accuracy dom91dom81'!$AB85,'accuracy dom92dom82'!$AB85)</f>
        <v>1</v>
      </c>
      <c r="AK85">
        <f t="shared" si="67"/>
        <v>9</v>
      </c>
      <c r="AL85">
        <f t="shared" si="99"/>
        <v>0</v>
      </c>
      <c r="AM85">
        <f t="shared" si="100"/>
        <v>8</v>
      </c>
      <c r="AN85">
        <f t="shared" si="101"/>
        <v>0</v>
      </c>
      <c r="AO85">
        <f t="shared" si="68"/>
        <v>0</v>
      </c>
      <c r="AP85">
        <f t="shared" si="69"/>
        <v>0</v>
      </c>
      <c r="AQ85">
        <f t="shared" si="70"/>
        <v>2.6666666666666665</v>
      </c>
      <c r="AR85">
        <f t="shared" si="71"/>
        <v>0</v>
      </c>
      <c r="AS85">
        <f t="shared" si="72"/>
        <v>0</v>
      </c>
      <c r="AT85">
        <f t="shared" si="73"/>
        <v>0</v>
      </c>
      <c r="AU85">
        <f t="shared" si="74"/>
        <v>2.6666666666666665</v>
      </c>
      <c r="AV85">
        <f t="shared" si="75"/>
        <v>0</v>
      </c>
      <c r="AW85">
        <f t="shared" si="76"/>
        <v>0</v>
      </c>
      <c r="AX85">
        <f t="shared" si="77"/>
        <v>0</v>
      </c>
      <c r="AY85">
        <f t="shared" si="78"/>
        <v>2.6666666666666665</v>
      </c>
      <c r="AZ85">
        <f t="shared" si="79"/>
        <v>0</v>
      </c>
      <c r="BA85">
        <f t="shared" si="80"/>
        <v>0</v>
      </c>
      <c r="BC85">
        <f t="shared" si="81"/>
        <v>0</v>
      </c>
      <c r="BD85">
        <f t="shared" si="82"/>
        <v>9</v>
      </c>
      <c r="BE85">
        <f t="shared" si="83"/>
        <v>0</v>
      </c>
      <c r="BF85">
        <f t="shared" si="84"/>
        <v>0</v>
      </c>
      <c r="BG85">
        <f t="shared" si="85"/>
        <v>0</v>
      </c>
      <c r="BH85">
        <f t="shared" si="86"/>
        <v>3</v>
      </c>
      <c r="BI85">
        <f t="shared" si="87"/>
        <v>0</v>
      </c>
      <c r="BJ85">
        <f t="shared" si="88"/>
        <v>0</v>
      </c>
      <c r="BK85">
        <f t="shared" si="89"/>
        <v>0</v>
      </c>
      <c r="BL85">
        <f t="shared" si="90"/>
        <v>3</v>
      </c>
      <c r="BM85">
        <f t="shared" si="91"/>
        <v>0</v>
      </c>
      <c r="BN85">
        <f t="shared" si="92"/>
        <v>0</v>
      </c>
      <c r="BO85">
        <f t="shared" si="93"/>
        <v>0</v>
      </c>
      <c r="BP85">
        <f t="shared" si="94"/>
        <v>3</v>
      </c>
      <c r="BQ85">
        <f t="shared" si="95"/>
        <v>0</v>
      </c>
      <c r="BR85">
        <f t="shared" si="96"/>
        <v>0</v>
      </c>
    </row>
    <row r="86" spans="1:70">
      <c r="A86" t="str">
        <f>'time 1'!B85</f>
        <v>&lt;test.TIFFFaxDecoder: int nextNBits(int)&gt;</v>
      </c>
      <c r="B86">
        <f>AVERAGE('time 1'!D85/'time 1'!C85,'time 2'!D85/'time 2'!C85,'time 3'!D85/'time 3'!C85)</f>
        <v>1.0090775063779989</v>
      </c>
      <c r="C86">
        <f>AVERAGE('time 1'!F85/'time 1'!E85,'time 2'!F85/'time 2'!E85,'time 3'!F85/'time 3'!E85)</f>
        <v>1.0184274783846607</v>
      </c>
      <c r="D86">
        <f>AVERAGE('time 1'!H85/'time 1'!G85,'time 2'!H85/'time 2'!G85,'time 3'!H85/'time 3'!G85)</f>
        <v>1.0166323096512933</v>
      </c>
      <c r="E86">
        <f>AVERAGE('time 1'!J85/'time 2'!I85,'time 2'!J85/'time 2'!I85,'time 3'!J85/'time 3'!I85)</f>
        <v>1.0764944204235503</v>
      </c>
      <c r="F86">
        <f>AVERAGE('time 1'!L85/'time 1'!K85,'time 2'!L85/'time 2'!K85,'time 3'!L85/'time 3'!K85)</f>
        <v>0.99884169653552568</v>
      </c>
      <c r="G86">
        <f>AVERAGE('time 1'!N85/'time 1'!M85,'time 2'!N85/'time 2'!M85,'time 3'!N85/'time 3'!M85)</f>
        <v>1.0029278904497307</v>
      </c>
      <c r="H86">
        <f>AVERAGE('time 1'!P85/'time 1'!O85,'time 2'!P85/'time 2'!O85,'time 3'!P85/'time 3'!O85)</f>
        <v>1.0545994305804633</v>
      </c>
      <c r="I86">
        <f>AVERAGE('time 1'!R85/'time 1'!Q85,'time 2'!R85/'time 2'!Q85,'time 3'!R85/'time 3'!Q85)</f>
        <v>0.96275378578163051</v>
      </c>
      <c r="J86">
        <f>AVERAGE('time 1'!T85/'time 1'!S85,'time 2'!T85/'time 2'!S85,'time 3'!T85/'time 3'!S85)</f>
        <v>1.0140380714375394</v>
      </c>
      <c r="K86">
        <f t="shared" si="53"/>
        <v>2</v>
      </c>
      <c r="L86">
        <f t="shared" si="54"/>
        <v>7</v>
      </c>
      <c r="M86">
        <f t="shared" si="55"/>
        <v>0</v>
      </c>
      <c r="N86">
        <f t="shared" si="56"/>
        <v>0</v>
      </c>
      <c r="O86">
        <f t="shared" si="57"/>
        <v>0</v>
      </c>
      <c r="P86">
        <f t="shared" si="97"/>
        <v>3</v>
      </c>
      <c r="Q86">
        <f t="shared" si="98"/>
        <v>0</v>
      </c>
      <c r="R86">
        <f t="shared" si="58"/>
        <v>0</v>
      </c>
      <c r="S86">
        <f t="shared" si="59"/>
        <v>2</v>
      </c>
      <c r="T86">
        <f t="shared" si="60"/>
        <v>1</v>
      </c>
      <c r="U86">
        <f t="shared" si="61"/>
        <v>0</v>
      </c>
      <c r="V86">
        <f t="shared" si="62"/>
        <v>0</v>
      </c>
      <c r="W86">
        <f t="shared" si="63"/>
        <v>0</v>
      </c>
      <c r="X86">
        <f t="shared" si="64"/>
        <v>3</v>
      </c>
      <c r="Y86">
        <f t="shared" si="65"/>
        <v>0</v>
      </c>
      <c r="Z86">
        <f t="shared" si="66"/>
        <v>0</v>
      </c>
      <c r="AB86">
        <f>AVERAGE('accuracy dom5dom4'!$C86,'accuracy dom51dom41'!$C86,'accuracy dom52dom42'!$C86)</f>
        <v>2.3333333333333335</v>
      </c>
      <c r="AC86">
        <f>AVERAGE('accuracy dom5dom4'!$G86,'accuracy dom51dom41'!$G86,'accuracy dom52dom42'!$G86)</f>
        <v>2.3333333333333335</v>
      </c>
      <c r="AD86">
        <f>AVERAGE('accuracy dom5dom4'!$AB86,'accuracy dom51dom41'!$AB86,'accuracy dom52dom42'!$AB86)</f>
        <v>2.3333333333333335</v>
      </c>
      <c r="AE86">
        <f>AVERAGE('accuracy dom7dom6'!$C86,'accuracy dom71dom61'!$C86,'accuracy dom72dom62'!$C86)</f>
        <v>2.6666666666666665</v>
      </c>
      <c r="AF86">
        <f>AVERAGE('accuracy dom7dom6'!$G86,'accuracy dom71dom61'!$G86,'accuracy dom72dom62'!$G86)</f>
        <v>2.6666666666666665</v>
      </c>
      <c r="AG86">
        <f>AVERAGE('accuracy dom7dom6'!$AB86,'accuracy dom71dom61'!$AB86,'accuracy dom72dom62'!$AB86)</f>
        <v>2.6666666666666665</v>
      </c>
      <c r="AH86">
        <f>AVERAGE('accuracy dom9dom8'!$C86,'accuracy dom91dom81'!$C86,'accuracy dom92dom82'!$C86)</f>
        <v>1.6666666666666667</v>
      </c>
      <c r="AI86">
        <f>AVERAGE('accuracy dom9dom8'!$G86,'accuracy dom91dom81'!$G86,'accuracy dom92dom82'!$G86)</f>
        <v>1.6666666666666667</v>
      </c>
      <c r="AJ86">
        <f>AVERAGE('accuracy dom9dom8'!$AB86,'accuracy dom91dom81'!$AB86,'accuracy dom92dom82'!$AB86)</f>
        <v>1.6666666666666667</v>
      </c>
      <c r="AK86">
        <f t="shared" si="67"/>
        <v>9</v>
      </c>
      <c r="AL86">
        <f t="shared" si="99"/>
        <v>4.333333333333333</v>
      </c>
      <c r="AM86">
        <f t="shared" si="100"/>
        <v>15.666666666666668</v>
      </c>
      <c r="AN86">
        <f t="shared" si="101"/>
        <v>0</v>
      </c>
      <c r="AO86">
        <f t="shared" si="68"/>
        <v>0</v>
      </c>
      <c r="AP86">
        <f t="shared" si="69"/>
        <v>0</v>
      </c>
      <c r="AQ86">
        <f t="shared" si="70"/>
        <v>6.666666666666667</v>
      </c>
      <c r="AR86">
        <f t="shared" si="71"/>
        <v>0</v>
      </c>
      <c r="AS86">
        <f t="shared" si="72"/>
        <v>0</v>
      </c>
      <c r="AT86">
        <f t="shared" si="73"/>
        <v>4.333333333333333</v>
      </c>
      <c r="AU86">
        <f t="shared" si="74"/>
        <v>2.3333333333333339</v>
      </c>
      <c r="AV86">
        <f t="shared" si="75"/>
        <v>0</v>
      </c>
      <c r="AW86">
        <f t="shared" si="76"/>
        <v>0</v>
      </c>
      <c r="AX86">
        <f t="shared" si="77"/>
        <v>0</v>
      </c>
      <c r="AY86">
        <f t="shared" si="78"/>
        <v>6.666666666666667</v>
      </c>
      <c r="AZ86">
        <f t="shared" si="79"/>
        <v>0</v>
      </c>
      <c r="BA86">
        <f t="shared" si="80"/>
        <v>0</v>
      </c>
      <c r="BC86">
        <f t="shared" si="81"/>
        <v>2</v>
      </c>
      <c r="BD86">
        <f t="shared" si="82"/>
        <v>7</v>
      </c>
      <c r="BE86">
        <f t="shared" si="83"/>
        <v>0</v>
      </c>
      <c r="BF86">
        <f t="shared" si="84"/>
        <v>0</v>
      </c>
      <c r="BG86">
        <f t="shared" si="85"/>
        <v>0</v>
      </c>
      <c r="BH86">
        <f t="shared" si="86"/>
        <v>3</v>
      </c>
      <c r="BI86">
        <f t="shared" si="87"/>
        <v>0</v>
      </c>
      <c r="BJ86">
        <f t="shared" si="88"/>
        <v>0</v>
      </c>
      <c r="BK86">
        <f t="shared" si="89"/>
        <v>2</v>
      </c>
      <c r="BL86">
        <f t="shared" si="90"/>
        <v>1</v>
      </c>
      <c r="BM86">
        <f t="shared" si="91"/>
        <v>0</v>
      </c>
      <c r="BN86">
        <f t="shared" si="92"/>
        <v>0</v>
      </c>
      <c r="BO86">
        <f t="shared" si="93"/>
        <v>0</v>
      </c>
      <c r="BP86">
        <f t="shared" si="94"/>
        <v>3</v>
      </c>
      <c r="BQ86">
        <f t="shared" si="95"/>
        <v>0</v>
      </c>
      <c r="BR86">
        <f t="shared" si="96"/>
        <v>0</v>
      </c>
    </row>
    <row r="87" spans="1:70">
      <c r="A87" t="str">
        <f>'time 1'!B86</f>
        <v>&lt;test.TIFFFaxDecoder: int readEOL(boolean)&gt;</v>
      </c>
      <c r="B87">
        <f>AVERAGE('time 1'!D86/'time 1'!C86,'time 2'!D86/'time 2'!C86,'time 3'!D86/'time 3'!C86)</f>
        <v>1.050501480348822</v>
      </c>
      <c r="C87">
        <f>AVERAGE('time 1'!F86/'time 1'!E86,'time 2'!F86/'time 2'!E86,'time 3'!F86/'time 3'!E86)</f>
        <v>0.96580441883917423</v>
      </c>
      <c r="D87">
        <f>AVERAGE('time 1'!H86/'time 1'!G86,'time 2'!H86/'time 2'!G86,'time 3'!H86/'time 3'!G86)</f>
        <v>1.1042661707911789</v>
      </c>
      <c r="E87">
        <f>AVERAGE('time 1'!J86/'time 2'!I86,'time 2'!J86/'time 2'!I86,'time 3'!J86/'time 3'!I86)</f>
        <v>1.1129752878144639</v>
      </c>
      <c r="F87">
        <f>AVERAGE('time 1'!L86/'time 1'!K86,'time 2'!L86/'time 2'!K86,'time 3'!L86/'time 3'!K86)</f>
        <v>1.0801477448945074</v>
      </c>
      <c r="G87">
        <f>AVERAGE('time 1'!N86/'time 1'!M86,'time 2'!N86/'time 2'!M86,'time 3'!N86/'time 3'!M86)</f>
        <v>1.195324835079113</v>
      </c>
      <c r="H87">
        <f>AVERAGE('time 1'!P86/'time 1'!O86,'time 2'!P86/'time 2'!O86,'time 3'!P86/'time 3'!O86)</f>
        <v>1.0563407460004621</v>
      </c>
      <c r="I87">
        <f>AVERAGE('time 1'!R86/'time 1'!Q86,'time 2'!R86/'time 2'!Q86,'time 3'!R86/'time 3'!Q86)</f>
        <v>0.99009766679769129</v>
      </c>
      <c r="J87">
        <f>AVERAGE('time 1'!T86/'time 1'!S86,'time 2'!T86/'time 2'!S86,'time 3'!T86/'time 3'!S86)</f>
        <v>1.0853552924461758</v>
      </c>
      <c r="K87">
        <f t="shared" si="53"/>
        <v>2</v>
      </c>
      <c r="L87">
        <f t="shared" si="54"/>
        <v>7</v>
      </c>
      <c r="M87">
        <f t="shared" si="55"/>
        <v>0</v>
      </c>
      <c r="N87">
        <f t="shared" si="56"/>
        <v>0</v>
      </c>
      <c r="O87">
        <f t="shared" si="57"/>
        <v>0</v>
      </c>
      <c r="P87">
        <f t="shared" si="97"/>
        <v>3</v>
      </c>
      <c r="Q87">
        <f t="shared" si="98"/>
        <v>0</v>
      </c>
      <c r="R87">
        <f t="shared" si="58"/>
        <v>0</v>
      </c>
      <c r="S87">
        <f t="shared" si="59"/>
        <v>2</v>
      </c>
      <c r="T87">
        <f t="shared" si="60"/>
        <v>1</v>
      </c>
      <c r="U87">
        <f t="shared" si="61"/>
        <v>0</v>
      </c>
      <c r="V87">
        <f t="shared" si="62"/>
        <v>0</v>
      </c>
      <c r="W87">
        <f t="shared" si="63"/>
        <v>0</v>
      </c>
      <c r="X87">
        <f t="shared" si="64"/>
        <v>3</v>
      </c>
      <c r="Y87">
        <f t="shared" si="65"/>
        <v>0</v>
      </c>
      <c r="Z87">
        <f t="shared" si="66"/>
        <v>0</v>
      </c>
      <c r="AB87">
        <f>AVERAGE('accuracy dom5dom4'!$C87,'accuracy dom51dom41'!$C87,'accuracy dom52dom42'!$C87)</f>
        <v>1</v>
      </c>
      <c r="AC87">
        <f>AVERAGE('accuracy dom5dom4'!$G87,'accuracy dom51dom41'!$G87,'accuracy dom52dom42'!$G87)</f>
        <v>1</v>
      </c>
      <c r="AD87">
        <f>AVERAGE('accuracy dom5dom4'!$AB87,'accuracy dom51dom41'!$AB87,'accuracy dom52dom42'!$AB87)</f>
        <v>1</v>
      </c>
      <c r="AE87">
        <f>AVERAGE('accuracy dom7dom6'!$C87,'accuracy dom71dom61'!$C87,'accuracy dom72dom62'!$C87)</f>
        <v>1</v>
      </c>
      <c r="AF87">
        <f>AVERAGE('accuracy dom7dom6'!$G87,'accuracy dom71dom61'!$G87,'accuracy dom72dom62'!$G87)</f>
        <v>1</v>
      </c>
      <c r="AG87">
        <f>AVERAGE('accuracy dom7dom6'!$AB87,'accuracy dom71dom61'!$AB87,'accuracy dom72dom62'!$AB87)</f>
        <v>1</v>
      </c>
      <c r="AH87">
        <f>AVERAGE('accuracy dom9dom8'!$C87,'accuracy dom91dom81'!$C87,'accuracy dom92dom82'!$C87)</f>
        <v>1</v>
      </c>
      <c r="AI87">
        <f>AVERAGE('accuracy dom9dom8'!$G87,'accuracy dom91dom81'!$G87,'accuracy dom92dom82'!$G87)</f>
        <v>1</v>
      </c>
      <c r="AJ87">
        <f>AVERAGE('accuracy dom9dom8'!$AB87,'accuracy dom91dom81'!$AB87,'accuracy dom92dom82'!$AB87)</f>
        <v>1</v>
      </c>
      <c r="AK87">
        <f t="shared" si="67"/>
        <v>9</v>
      </c>
      <c r="AL87">
        <f t="shared" si="99"/>
        <v>2</v>
      </c>
      <c r="AM87">
        <f t="shared" si="100"/>
        <v>7</v>
      </c>
      <c r="AN87">
        <f t="shared" si="101"/>
        <v>0</v>
      </c>
      <c r="AO87">
        <f t="shared" si="68"/>
        <v>0</v>
      </c>
      <c r="AP87">
        <f t="shared" si="69"/>
        <v>0</v>
      </c>
      <c r="AQ87">
        <f t="shared" si="70"/>
        <v>3</v>
      </c>
      <c r="AR87">
        <f t="shared" si="71"/>
        <v>0</v>
      </c>
      <c r="AS87">
        <f t="shared" si="72"/>
        <v>0</v>
      </c>
      <c r="AT87">
        <f t="shared" si="73"/>
        <v>2</v>
      </c>
      <c r="AU87">
        <f t="shared" si="74"/>
        <v>1</v>
      </c>
      <c r="AV87">
        <f t="shared" si="75"/>
        <v>0</v>
      </c>
      <c r="AW87">
        <f t="shared" si="76"/>
        <v>0</v>
      </c>
      <c r="AX87">
        <f t="shared" si="77"/>
        <v>0</v>
      </c>
      <c r="AY87">
        <f t="shared" si="78"/>
        <v>3</v>
      </c>
      <c r="AZ87">
        <f t="shared" si="79"/>
        <v>0</v>
      </c>
      <c r="BA87">
        <f t="shared" si="80"/>
        <v>0</v>
      </c>
      <c r="BC87">
        <f t="shared" si="81"/>
        <v>2</v>
      </c>
      <c r="BD87">
        <f t="shared" si="82"/>
        <v>7</v>
      </c>
      <c r="BE87">
        <f t="shared" si="83"/>
        <v>0</v>
      </c>
      <c r="BF87">
        <f t="shared" si="84"/>
        <v>0</v>
      </c>
      <c r="BG87">
        <f t="shared" si="85"/>
        <v>0</v>
      </c>
      <c r="BH87">
        <f t="shared" si="86"/>
        <v>3</v>
      </c>
      <c r="BI87">
        <f t="shared" si="87"/>
        <v>0</v>
      </c>
      <c r="BJ87">
        <f t="shared" si="88"/>
        <v>0</v>
      </c>
      <c r="BK87">
        <f t="shared" si="89"/>
        <v>2</v>
      </c>
      <c r="BL87">
        <f t="shared" si="90"/>
        <v>1</v>
      </c>
      <c r="BM87">
        <f t="shared" si="91"/>
        <v>0</v>
      </c>
      <c r="BN87">
        <f t="shared" si="92"/>
        <v>0</v>
      </c>
      <c r="BO87">
        <f t="shared" si="93"/>
        <v>0</v>
      </c>
      <c r="BP87">
        <f t="shared" si="94"/>
        <v>3</v>
      </c>
      <c r="BQ87">
        <f t="shared" si="95"/>
        <v>0</v>
      </c>
      <c r="BR87">
        <f t="shared" si="96"/>
        <v>0</v>
      </c>
    </row>
    <row r="88" spans="1:70">
      <c r="A88" t="str">
        <f>'time 1'!B87</f>
        <v>&lt;test.TIFFFaxDecoder: void decode1D(byte[],byte[],int,int)&gt;</v>
      </c>
      <c r="B88">
        <f>AVERAGE('time 1'!D87/'time 1'!C87,'time 2'!D87/'time 2'!C87,'time 3'!D87/'time 3'!C87)</f>
        <v>1.0496605422804854</v>
      </c>
      <c r="C88">
        <f>AVERAGE('time 1'!F87/'time 1'!E87,'time 2'!F87/'time 2'!E87,'time 3'!F87/'time 3'!E87)</f>
        <v>0.99659822523756825</v>
      </c>
      <c r="D88">
        <f>AVERAGE('time 1'!H87/'time 1'!G87,'time 2'!H87/'time 2'!G87,'time 3'!H87/'time 3'!G87)</f>
        <v>1.1206266680569659</v>
      </c>
      <c r="E88">
        <f>AVERAGE('time 1'!J87/'time 2'!I87,'time 2'!J87/'time 2'!I87,'time 3'!J87/'time 3'!I87)</f>
        <v>1.1994344740031162</v>
      </c>
      <c r="F88">
        <f>AVERAGE('time 1'!L87/'time 1'!K87,'time 2'!L87/'time 2'!K87,'time 3'!L87/'time 3'!K87)</f>
        <v>1.033076041408939</v>
      </c>
      <c r="G88">
        <f>AVERAGE('time 1'!N87/'time 1'!M87,'time 2'!N87/'time 2'!M87,'time 3'!N87/'time 3'!M87)</f>
        <v>1.0973426074059078</v>
      </c>
      <c r="H88">
        <f>AVERAGE('time 1'!P87/'time 1'!O87,'time 2'!P87/'time 2'!O87,'time 3'!P87/'time 3'!O87)</f>
        <v>1.1843534750936038</v>
      </c>
      <c r="I88">
        <f>AVERAGE('time 1'!R87/'time 1'!Q87,'time 2'!R87/'time 2'!Q87,'time 3'!R87/'time 3'!Q87)</f>
        <v>0.99930720024634556</v>
      </c>
      <c r="J88">
        <f>AVERAGE('time 1'!T87/'time 1'!S87,'time 2'!T87/'time 2'!S87,'time 3'!T87/'time 3'!S87)</f>
        <v>1.1726045165661156</v>
      </c>
      <c r="K88">
        <f t="shared" si="53"/>
        <v>2</v>
      </c>
      <c r="L88">
        <f t="shared" si="54"/>
        <v>7</v>
      </c>
      <c r="M88">
        <f t="shared" si="55"/>
        <v>0</v>
      </c>
      <c r="N88">
        <f t="shared" si="56"/>
        <v>0</v>
      </c>
      <c r="O88">
        <f t="shared" si="57"/>
        <v>0</v>
      </c>
      <c r="P88">
        <f t="shared" si="97"/>
        <v>3</v>
      </c>
      <c r="Q88">
        <f t="shared" si="98"/>
        <v>0</v>
      </c>
      <c r="R88">
        <f t="shared" si="58"/>
        <v>0</v>
      </c>
      <c r="S88">
        <f t="shared" si="59"/>
        <v>2</v>
      </c>
      <c r="T88">
        <f t="shared" si="60"/>
        <v>1</v>
      </c>
      <c r="U88">
        <f t="shared" si="61"/>
        <v>0</v>
      </c>
      <c r="V88">
        <f t="shared" si="62"/>
        <v>0</v>
      </c>
      <c r="W88">
        <f t="shared" si="63"/>
        <v>0</v>
      </c>
      <c r="X88">
        <f t="shared" si="64"/>
        <v>3</v>
      </c>
      <c r="Y88">
        <f t="shared" si="65"/>
        <v>0</v>
      </c>
      <c r="Z88">
        <f t="shared" si="66"/>
        <v>0</v>
      </c>
      <c r="AB88">
        <f>AVERAGE('accuracy dom5dom4'!$C88,'accuracy dom51dom41'!$C88,'accuracy dom52dom42'!$C88)</f>
        <v>0</v>
      </c>
      <c r="AC88">
        <f>AVERAGE('accuracy dom5dom4'!$G88,'accuracy dom51dom41'!$G88,'accuracy dom52dom42'!$G88)</f>
        <v>0</v>
      </c>
      <c r="AD88">
        <f>AVERAGE('accuracy dom5dom4'!$AB88,'accuracy dom51dom41'!$AB88,'accuracy dom52dom42'!$AB88)</f>
        <v>0</v>
      </c>
      <c r="AE88">
        <f>AVERAGE('accuracy dom7dom6'!$C88,'accuracy dom71dom61'!$C88,'accuracy dom72dom62'!$C88)</f>
        <v>0</v>
      </c>
      <c r="AF88">
        <f>AVERAGE('accuracy dom7dom6'!$G88,'accuracy dom71dom61'!$G88,'accuracy dom72dom62'!$G88)</f>
        <v>0</v>
      </c>
      <c r="AG88">
        <f>AVERAGE('accuracy dom7dom6'!$AB88,'accuracy dom71dom61'!$AB88,'accuracy dom72dom62'!$AB88)</f>
        <v>0</v>
      </c>
      <c r="AH88">
        <f>AVERAGE('accuracy dom9dom8'!$C88,'accuracy dom91dom81'!$C88,'accuracy dom92dom82'!$C88)</f>
        <v>0</v>
      </c>
      <c r="AI88">
        <f>AVERAGE('accuracy dom9dom8'!$G88,'accuracy dom91dom81'!$G88,'accuracy dom92dom82'!$G88)</f>
        <v>0</v>
      </c>
      <c r="AJ88">
        <f>AVERAGE('accuracy dom9dom8'!$AB88,'accuracy dom91dom81'!$AB88,'accuracy dom92dom82'!$AB88)</f>
        <v>0</v>
      </c>
      <c r="AK88">
        <f t="shared" si="67"/>
        <v>0</v>
      </c>
      <c r="AL88">
        <f t="shared" si="99"/>
        <v>0</v>
      </c>
      <c r="AM88">
        <f t="shared" si="100"/>
        <v>0</v>
      </c>
      <c r="AN88">
        <f t="shared" si="101"/>
        <v>0</v>
      </c>
      <c r="AO88">
        <f t="shared" si="68"/>
        <v>0</v>
      </c>
      <c r="AP88">
        <f t="shared" si="69"/>
        <v>0</v>
      </c>
      <c r="AQ88">
        <f t="shared" si="70"/>
        <v>0</v>
      </c>
      <c r="AR88">
        <f t="shared" si="71"/>
        <v>0</v>
      </c>
      <c r="AS88">
        <f t="shared" si="72"/>
        <v>0</v>
      </c>
      <c r="AT88">
        <f t="shared" si="73"/>
        <v>0</v>
      </c>
      <c r="AU88">
        <f t="shared" si="74"/>
        <v>0</v>
      </c>
      <c r="AV88">
        <f t="shared" si="75"/>
        <v>0</v>
      </c>
      <c r="AW88">
        <f t="shared" si="76"/>
        <v>0</v>
      </c>
      <c r="AX88">
        <f t="shared" si="77"/>
        <v>0</v>
      </c>
      <c r="AY88">
        <f t="shared" si="78"/>
        <v>0</v>
      </c>
      <c r="AZ88">
        <f t="shared" si="79"/>
        <v>0</v>
      </c>
      <c r="BA88">
        <f t="shared" si="80"/>
        <v>0</v>
      </c>
      <c r="BC88">
        <f t="shared" si="81"/>
        <v>0</v>
      </c>
      <c r="BD88">
        <f t="shared" si="82"/>
        <v>0</v>
      </c>
      <c r="BE88">
        <f t="shared" si="83"/>
        <v>0</v>
      </c>
      <c r="BF88">
        <f t="shared" si="84"/>
        <v>0</v>
      </c>
      <c r="BG88">
        <f t="shared" si="85"/>
        <v>0</v>
      </c>
      <c r="BH88">
        <f t="shared" si="86"/>
        <v>0</v>
      </c>
      <c r="BI88">
        <f t="shared" si="87"/>
        <v>0</v>
      </c>
      <c r="BJ88">
        <f t="shared" si="88"/>
        <v>0</v>
      </c>
      <c r="BK88">
        <f t="shared" si="89"/>
        <v>0</v>
      </c>
      <c r="BL88">
        <f t="shared" si="90"/>
        <v>0</v>
      </c>
      <c r="BM88">
        <f t="shared" si="91"/>
        <v>0</v>
      </c>
      <c r="BN88">
        <f t="shared" si="92"/>
        <v>0</v>
      </c>
      <c r="BO88">
        <f t="shared" si="93"/>
        <v>0</v>
      </c>
      <c r="BP88">
        <f t="shared" si="94"/>
        <v>0</v>
      </c>
      <c r="BQ88">
        <f t="shared" si="95"/>
        <v>0</v>
      </c>
      <c r="BR88">
        <f t="shared" si="96"/>
        <v>0</v>
      </c>
    </row>
    <row r="89" spans="1:70">
      <c r="A89" t="str">
        <f>'time 1'!B88</f>
        <v>&lt;test.TIFFFaxDecoder: void decode2D(byte[],byte[],int,int,long)&gt;</v>
      </c>
      <c r="B89">
        <f>AVERAGE('time 1'!D88/'time 1'!C88,'time 2'!D88/'time 2'!C88,'time 3'!D88/'time 3'!C88)</f>
        <v>1.219150207132115</v>
      </c>
      <c r="C89">
        <f>AVERAGE('time 1'!F88/'time 1'!E88,'time 2'!F88/'time 2'!E88,'time 3'!F88/'time 3'!E88)</f>
        <v>1.0797669525411469</v>
      </c>
      <c r="D89">
        <f>AVERAGE('time 1'!H88/'time 1'!G88,'time 2'!H88/'time 2'!G88,'time 3'!H88/'time 3'!G88)</f>
        <v>1.1810931003337313</v>
      </c>
      <c r="E89">
        <f>AVERAGE('time 1'!J88/'time 2'!I88,'time 2'!J88/'time 2'!I88,'time 3'!J88/'time 3'!I88)</f>
        <v>1.368592442590959</v>
      </c>
      <c r="F89">
        <f>AVERAGE('time 1'!L88/'time 1'!K88,'time 2'!L88/'time 2'!K88,'time 3'!L88/'time 3'!K88)</f>
        <v>1.4906611059197818</v>
      </c>
      <c r="G89">
        <f>AVERAGE('time 1'!N88/'time 1'!M88,'time 2'!N88/'time 2'!M88,'time 3'!N88/'time 3'!M88)</f>
        <v>1.1496590802933453</v>
      </c>
      <c r="H89">
        <f>AVERAGE('time 1'!P88/'time 1'!O88,'time 2'!P88/'time 2'!O88,'time 3'!P88/'time 3'!O88)</f>
        <v>1.3150141787096643</v>
      </c>
      <c r="I89">
        <f>AVERAGE('time 1'!R88/'time 1'!Q88,'time 2'!R88/'time 2'!Q88,'time 3'!R88/'time 3'!Q88)</f>
        <v>1.1866870571584873</v>
      </c>
      <c r="J89">
        <f>AVERAGE('time 1'!T88/'time 1'!S88,'time 2'!T88/'time 2'!S88,'time 3'!T88/'time 3'!S88)</f>
        <v>1.2674146186487325</v>
      </c>
      <c r="K89">
        <f t="shared" si="53"/>
        <v>0</v>
      </c>
      <c r="L89">
        <f t="shared" si="54"/>
        <v>9</v>
      </c>
      <c r="M89">
        <f t="shared" si="55"/>
        <v>0</v>
      </c>
      <c r="N89">
        <f t="shared" si="56"/>
        <v>0</v>
      </c>
      <c r="O89">
        <f t="shared" si="57"/>
        <v>0</v>
      </c>
      <c r="P89">
        <f t="shared" si="97"/>
        <v>3</v>
      </c>
      <c r="Q89">
        <f t="shared" si="98"/>
        <v>0</v>
      </c>
      <c r="R89">
        <f t="shared" si="58"/>
        <v>0</v>
      </c>
      <c r="S89">
        <f t="shared" si="59"/>
        <v>0</v>
      </c>
      <c r="T89">
        <f t="shared" si="60"/>
        <v>3</v>
      </c>
      <c r="U89">
        <f t="shared" si="61"/>
        <v>0</v>
      </c>
      <c r="V89">
        <f t="shared" si="62"/>
        <v>0</v>
      </c>
      <c r="W89">
        <f t="shared" si="63"/>
        <v>0</v>
      </c>
      <c r="X89">
        <f t="shared" si="64"/>
        <v>3</v>
      </c>
      <c r="Y89">
        <f t="shared" si="65"/>
        <v>0</v>
      </c>
      <c r="Z89">
        <f t="shared" si="66"/>
        <v>0</v>
      </c>
      <c r="AB89">
        <f>AVERAGE('accuracy dom5dom4'!$C89,'accuracy dom51dom41'!$C89,'accuracy dom52dom42'!$C89)</f>
        <v>0.33333333333333331</v>
      </c>
      <c r="AC89">
        <f>AVERAGE('accuracy dom5dom4'!$G89,'accuracy dom51dom41'!$G89,'accuracy dom52dom42'!$G89)</f>
        <v>0.33333333333333331</v>
      </c>
      <c r="AD89">
        <f>AVERAGE('accuracy dom5dom4'!$AB89,'accuracy dom51dom41'!$AB89,'accuracy dom52dom42'!$AB89)</f>
        <v>0.33333333333333331</v>
      </c>
      <c r="AE89">
        <f>AVERAGE('accuracy dom7dom6'!$C89,'accuracy dom71dom61'!$C89,'accuracy dom72dom62'!$C89)</f>
        <v>0.33333333333333331</v>
      </c>
      <c r="AF89">
        <f>AVERAGE('accuracy dom7dom6'!$G89,'accuracy dom71dom61'!$G89,'accuracy dom72dom62'!$G89)</f>
        <v>0.33333333333333331</v>
      </c>
      <c r="AG89">
        <f>AVERAGE('accuracy dom7dom6'!$AB89,'accuracy dom71dom61'!$AB89,'accuracy dom72dom62'!$AB89)</f>
        <v>0.33333333333333331</v>
      </c>
      <c r="AH89">
        <f>AVERAGE('accuracy dom9dom8'!$C89,'accuracy dom91dom81'!$C89,'accuracy dom92dom82'!$C89)</f>
        <v>0.33333333333333331</v>
      </c>
      <c r="AI89">
        <f>AVERAGE('accuracy dom9dom8'!$G89,'accuracy dom91dom81'!$G89,'accuracy dom92dom82'!$G89)</f>
        <v>0.33333333333333331</v>
      </c>
      <c r="AJ89">
        <f>AVERAGE('accuracy dom9dom8'!$AB89,'accuracy dom91dom81'!$AB89,'accuracy dom92dom82'!$AB89)</f>
        <v>0.33333333333333331</v>
      </c>
      <c r="AK89">
        <f t="shared" si="67"/>
        <v>9</v>
      </c>
      <c r="AL89">
        <f t="shared" si="99"/>
        <v>0</v>
      </c>
      <c r="AM89">
        <f t="shared" si="100"/>
        <v>3</v>
      </c>
      <c r="AN89">
        <f t="shared" si="101"/>
        <v>0</v>
      </c>
      <c r="AO89">
        <f t="shared" si="68"/>
        <v>0</v>
      </c>
      <c r="AP89">
        <f t="shared" si="69"/>
        <v>0</v>
      </c>
      <c r="AQ89">
        <f t="shared" si="70"/>
        <v>1</v>
      </c>
      <c r="AR89">
        <f t="shared" si="71"/>
        <v>0</v>
      </c>
      <c r="AS89">
        <f t="shared" si="72"/>
        <v>0</v>
      </c>
      <c r="AT89">
        <f t="shared" si="73"/>
        <v>0</v>
      </c>
      <c r="AU89">
        <f t="shared" si="74"/>
        <v>1</v>
      </c>
      <c r="AV89">
        <f t="shared" si="75"/>
        <v>0</v>
      </c>
      <c r="AW89">
        <f t="shared" si="76"/>
        <v>0</v>
      </c>
      <c r="AX89">
        <f t="shared" si="77"/>
        <v>0</v>
      </c>
      <c r="AY89">
        <f t="shared" si="78"/>
        <v>1</v>
      </c>
      <c r="AZ89">
        <f t="shared" si="79"/>
        <v>0</v>
      </c>
      <c r="BA89">
        <f t="shared" si="80"/>
        <v>0</v>
      </c>
      <c r="BC89">
        <f t="shared" si="81"/>
        <v>0</v>
      </c>
      <c r="BD89">
        <f t="shared" si="82"/>
        <v>9</v>
      </c>
      <c r="BE89">
        <f t="shared" si="83"/>
        <v>0</v>
      </c>
      <c r="BF89">
        <f t="shared" si="84"/>
        <v>0</v>
      </c>
      <c r="BG89">
        <f t="shared" si="85"/>
        <v>0</v>
      </c>
      <c r="BH89">
        <f t="shared" si="86"/>
        <v>3</v>
      </c>
      <c r="BI89">
        <f t="shared" si="87"/>
        <v>0</v>
      </c>
      <c r="BJ89">
        <f t="shared" si="88"/>
        <v>0</v>
      </c>
      <c r="BK89">
        <f t="shared" si="89"/>
        <v>0</v>
      </c>
      <c r="BL89">
        <f t="shared" si="90"/>
        <v>3</v>
      </c>
      <c r="BM89">
        <f t="shared" si="91"/>
        <v>0</v>
      </c>
      <c r="BN89">
        <f t="shared" si="92"/>
        <v>0</v>
      </c>
      <c r="BO89">
        <f t="shared" si="93"/>
        <v>0</v>
      </c>
      <c r="BP89">
        <f t="shared" si="94"/>
        <v>3</v>
      </c>
      <c r="BQ89">
        <f t="shared" si="95"/>
        <v>0</v>
      </c>
      <c r="BR89">
        <f t="shared" si="96"/>
        <v>0</v>
      </c>
    </row>
    <row r="90" spans="1:70">
      <c r="A90" t="str">
        <f>'time 1'!B89</f>
        <v>&lt;test.TIFFFaxDecoder: void decodeT6(byte[],byte[],int,int,long)&gt;</v>
      </c>
      <c r="B90">
        <f>AVERAGE('time 1'!D89/'time 1'!C89,'time 2'!D89/'time 2'!C89,'time 3'!D89/'time 3'!C89)</f>
        <v>1.3866479945007155</v>
      </c>
      <c r="C90">
        <f>AVERAGE('time 1'!F89/'time 1'!E89,'time 2'!F89/'time 2'!E89,'time 3'!F89/'time 3'!E89)</f>
        <v>1.201320659742436</v>
      </c>
      <c r="D90">
        <f>AVERAGE('time 1'!H89/'time 1'!G89,'time 2'!H89/'time 2'!G89,'time 3'!H89/'time 3'!G89)</f>
        <v>1.2843326616545838</v>
      </c>
      <c r="E90">
        <f>AVERAGE('time 1'!J89/'time 2'!I89,'time 2'!J89/'time 2'!I89,'time 3'!J89/'time 3'!I89)</f>
        <v>1.4542169245853074</v>
      </c>
      <c r="F90">
        <f>AVERAGE('time 1'!L89/'time 1'!K89,'time 2'!L89/'time 2'!K89,'time 3'!L89/'time 3'!K89)</f>
        <v>1.4856419739523545</v>
      </c>
      <c r="G90">
        <f>AVERAGE('time 1'!N89/'time 1'!M89,'time 2'!N89/'time 2'!M89,'time 3'!N89/'time 3'!M89)</f>
        <v>1.3770495533529523</v>
      </c>
      <c r="H90">
        <f>AVERAGE('time 1'!P89/'time 1'!O89,'time 2'!P89/'time 2'!O89,'time 3'!P89/'time 3'!O89)</f>
        <v>1.3000670365289171</v>
      </c>
      <c r="I90">
        <f>AVERAGE('time 1'!R89/'time 1'!Q89,'time 2'!R89/'time 2'!Q89,'time 3'!R89/'time 3'!Q89)</f>
        <v>1.3977564498439905</v>
      </c>
      <c r="J90">
        <f>AVERAGE('time 1'!T89/'time 1'!S89,'time 2'!T89/'time 2'!S89,'time 3'!T89/'time 3'!S89)</f>
        <v>1.3892318311022847</v>
      </c>
      <c r="K90">
        <f t="shared" si="53"/>
        <v>0</v>
      </c>
      <c r="L90">
        <f t="shared" si="54"/>
        <v>9</v>
      </c>
      <c r="M90">
        <f t="shared" si="55"/>
        <v>0</v>
      </c>
      <c r="N90">
        <f t="shared" si="56"/>
        <v>0</v>
      </c>
      <c r="O90">
        <f t="shared" si="57"/>
        <v>0</v>
      </c>
      <c r="P90">
        <f t="shared" si="97"/>
        <v>3</v>
      </c>
      <c r="Q90">
        <f t="shared" si="98"/>
        <v>0</v>
      </c>
      <c r="R90">
        <f t="shared" si="58"/>
        <v>0</v>
      </c>
      <c r="S90">
        <f t="shared" si="59"/>
        <v>0</v>
      </c>
      <c r="T90">
        <f t="shared" si="60"/>
        <v>3</v>
      </c>
      <c r="U90">
        <f t="shared" si="61"/>
        <v>0</v>
      </c>
      <c r="V90">
        <f t="shared" si="62"/>
        <v>0</v>
      </c>
      <c r="W90">
        <f t="shared" si="63"/>
        <v>0</v>
      </c>
      <c r="X90">
        <f t="shared" si="64"/>
        <v>3</v>
      </c>
      <c r="Y90">
        <f t="shared" si="65"/>
        <v>0</v>
      </c>
      <c r="Z90">
        <f t="shared" si="66"/>
        <v>0</v>
      </c>
      <c r="AB90">
        <f>AVERAGE('accuracy dom5dom4'!$C90,'accuracy dom51dom41'!$C90,'accuracy dom52dom42'!$C90)</f>
        <v>6.333333333333333</v>
      </c>
      <c r="AC90">
        <f>AVERAGE('accuracy dom5dom4'!$G90,'accuracy dom51dom41'!$G90,'accuracy dom52dom42'!$G90)</f>
        <v>6.333333333333333</v>
      </c>
      <c r="AD90">
        <f>AVERAGE('accuracy dom5dom4'!$AB90,'accuracy dom51dom41'!$AB90,'accuracy dom52dom42'!$AB90)</f>
        <v>6.333333333333333</v>
      </c>
      <c r="AE90">
        <f>AVERAGE('accuracy dom7dom6'!$C90,'accuracy dom71dom61'!$C90,'accuracy dom72dom62'!$C90)</f>
        <v>6.333333333333333</v>
      </c>
      <c r="AF90">
        <f>AVERAGE('accuracy dom7dom6'!$G90,'accuracy dom71dom61'!$G90,'accuracy dom72dom62'!$G90)</f>
        <v>6.333333333333333</v>
      </c>
      <c r="AG90">
        <f>AVERAGE('accuracy dom7dom6'!$AB90,'accuracy dom71dom61'!$AB90,'accuracy dom72dom62'!$AB90)</f>
        <v>6.333333333333333</v>
      </c>
      <c r="AH90">
        <f>AVERAGE('accuracy dom9dom8'!$C90,'accuracy dom91dom81'!$C90,'accuracy dom92dom82'!$C90)</f>
        <v>6.333333333333333</v>
      </c>
      <c r="AI90">
        <f>AVERAGE('accuracy dom9dom8'!$G90,'accuracy dom91dom81'!$G90,'accuracy dom92dom82'!$G90)</f>
        <v>6.333333333333333</v>
      </c>
      <c r="AJ90">
        <f>AVERAGE('accuracy dom9dom8'!$AB90,'accuracy dom91dom81'!$AB90,'accuracy dom92dom82'!$AB90)</f>
        <v>6.333333333333333</v>
      </c>
      <c r="AK90">
        <f t="shared" si="67"/>
        <v>9</v>
      </c>
      <c r="AL90">
        <f t="shared" si="99"/>
        <v>0</v>
      </c>
      <c r="AM90">
        <f t="shared" si="100"/>
        <v>57.000000000000007</v>
      </c>
      <c r="AN90">
        <f t="shared" si="101"/>
        <v>0</v>
      </c>
      <c r="AO90">
        <f t="shared" si="68"/>
        <v>0</v>
      </c>
      <c r="AP90">
        <f t="shared" si="69"/>
        <v>0</v>
      </c>
      <c r="AQ90">
        <f t="shared" si="70"/>
        <v>19</v>
      </c>
      <c r="AR90">
        <f t="shared" si="71"/>
        <v>0</v>
      </c>
      <c r="AS90">
        <f t="shared" si="72"/>
        <v>0</v>
      </c>
      <c r="AT90">
        <f t="shared" si="73"/>
        <v>0</v>
      </c>
      <c r="AU90">
        <f t="shared" si="74"/>
        <v>19</v>
      </c>
      <c r="AV90">
        <f t="shared" si="75"/>
        <v>0</v>
      </c>
      <c r="AW90">
        <f t="shared" si="76"/>
        <v>0</v>
      </c>
      <c r="AX90">
        <f t="shared" si="77"/>
        <v>0</v>
      </c>
      <c r="AY90">
        <f t="shared" si="78"/>
        <v>19</v>
      </c>
      <c r="AZ90">
        <f t="shared" si="79"/>
        <v>0</v>
      </c>
      <c r="BA90">
        <f t="shared" si="80"/>
        <v>0</v>
      </c>
      <c r="BC90">
        <f t="shared" si="81"/>
        <v>0</v>
      </c>
      <c r="BD90">
        <f t="shared" si="82"/>
        <v>9</v>
      </c>
      <c r="BE90">
        <f t="shared" si="83"/>
        <v>0</v>
      </c>
      <c r="BF90">
        <f t="shared" si="84"/>
        <v>0</v>
      </c>
      <c r="BG90">
        <f t="shared" si="85"/>
        <v>0</v>
      </c>
      <c r="BH90">
        <f t="shared" si="86"/>
        <v>3</v>
      </c>
      <c r="BI90">
        <f t="shared" si="87"/>
        <v>0</v>
      </c>
      <c r="BJ90">
        <f t="shared" si="88"/>
        <v>0</v>
      </c>
      <c r="BK90">
        <f t="shared" si="89"/>
        <v>0</v>
      </c>
      <c r="BL90">
        <f t="shared" si="90"/>
        <v>3</v>
      </c>
      <c r="BM90">
        <f t="shared" si="91"/>
        <v>0</v>
      </c>
      <c r="BN90">
        <f t="shared" si="92"/>
        <v>0</v>
      </c>
      <c r="BO90">
        <f t="shared" si="93"/>
        <v>0</v>
      </c>
      <c r="BP90">
        <f t="shared" si="94"/>
        <v>3</v>
      </c>
      <c r="BQ90">
        <f t="shared" si="95"/>
        <v>0</v>
      </c>
      <c r="BR90">
        <f t="shared" si="96"/>
        <v>0</v>
      </c>
    </row>
    <row r="91" spans="1:70">
      <c r="A91" t="str">
        <f>'time 1'!B90</f>
        <v>&lt;test.TIFFFaxDecoder: void getNextChangingElement(int,boolean,int[])&gt;</v>
      </c>
      <c r="B91">
        <f>AVERAGE('time 1'!D90/'time 1'!C90,'time 2'!D90/'time 2'!C90,'time 3'!D90/'time 3'!C90)</f>
        <v>1.1340318874748254</v>
      </c>
      <c r="C91">
        <f>AVERAGE('time 1'!F90/'time 1'!E90,'time 2'!F90/'time 2'!E90,'time 3'!F90/'time 3'!E90)</f>
        <v>1.0736388559697805</v>
      </c>
      <c r="D91">
        <f>AVERAGE('time 1'!H90/'time 1'!G90,'time 2'!H90/'time 2'!G90,'time 3'!H90/'time 3'!G90)</f>
        <v>1.1331739001115497</v>
      </c>
      <c r="E91">
        <f>AVERAGE('time 1'!J90/'time 2'!I90,'time 2'!J90/'time 2'!I90,'time 3'!J90/'time 3'!I90)</f>
        <v>1.2784327003564611</v>
      </c>
      <c r="F91">
        <f>AVERAGE('time 1'!L90/'time 1'!K90,'time 2'!L90/'time 2'!K90,'time 3'!L90/'time 3'!K90)</f>
        <v>0.99138880774390881</v>
      </c>
      <c r="G91">
        <f>AVERAGE('time 1'!N90/'time 1'!M90,'time 2'!N90/'time 2'!M90,'time 3'!N90/'time 3'!M90)</f>
        <v>1.2229967357212335</v>
      </c>
      <c r="H91">
        <f>AVERAGE('time 1'!P90/'time 1'!O90,'time 2'!P90/'time 2'!O90,'time 3'!P90/'time 3'!O90)</f>
        <v>1.1742811081254991</v>
      </c>
      <c r="I91">
        <f>AVERAGE('time 1'!R90/'time 1'!Q90,'time 2'!R90/'time 2'!Q90,'time 3'!R90/'time 3'!Q90)</f>
        <v>1.0714486424640974</v>
      </c>
      <c r="J91">
        <f>AVERAGE('time 1'!T90/'time 1'!S90,'time 2'!T90/'time 2'!S90,'time 3'!T90/'time 3'!S90)</f>
        <v>1.2997278042412546</v>
      </c>
      <c r="K91">
        <f t="shared" si="53"/>
        <v>1</v>
      </c>
      <c r="L91">
        <f t="shared" si="54"/>
        <v>8</v>
      </c>
      <c r="M91">
        <f t="shared" si="55"/>
        <v>0</v>
      </c>
      <c r="N91">
        <f t="shared" si="56"/>
        <v>0</v>
      </c>
      <c r="O91">
        <f t="shared" si="57"/>
        <v>0</v>
      </c>
      <c r="P91">
        <f t="shared" si="97"/>
        <v>3</v>
      </c>
      <c r="Q91">
        <f t="shared" si="98"/>
        <v>0</v>
      </c>
      <c r="R91">
        <f t="shared" si="58"/>
        <v>0</v>
      </c>
      <c r="S91">
        <f t="shared" si="59"/>
        <v>1</v>
      </c>
      <c r="T91">
        <f t="shared" si="60"/>
        <v>2</v>
      </c>
      <c r="U91">
        <f t="shared" si="61"/>
        <v>0</v>
      </c>
      <c r="V91">
        <f t="shared" si="62"/>
        <v>0</v>
      </c>
      <c r="W91">
        <f t="shared" si="63"/>
        <v>0</v>
      </c>
      <c r="X91">
        <f t="shared" si="64"/>
        <v>3</v>
      </c>
      <c r="Y91">
        <f t="shared" si="65"/>
        <v>0</v>
      </c>
      <c r="Z91">
        <f t="shared" si="66"/>
        <v>0</v>
      </c>
      <c r="AB91">
        <f>AVERAGE('accuracy dom5dom4'!$C91,'accuracy dom51dom41'!$C91,'accuracy dom52dom42'!$C91)</f>
        <v>0</v>
      </c>
      <c r="AC91">
        <f>AVERAGE('accuracy dom5dom4'!$G91,'accuracy dom51dom41'!$G91,'accuracy dom52dom42'!$G91)</f>
        <v>0</v>
      </c>
      <c r="AD91">
        <f>AVERAGE('accuracy dom5dom4'!$AB91,'accuracy dom51dom41'!$AB91,'accuracy dom52dom42'!$AB91)</f>
        <v>0</v>
      </c>
      <c r="AE91">
        <f>AVERAGE('accuracy dom7dom6'!$C91,'accuracy dom71dom61'!$C91,'accuracy dom72dom62'!$C91)</f>
        <v>0</v>
      </c>
      <c r="AF91">
        <f>AVERAGE('accuracy dom7dom6'!$G91,'accuracy dom71dom61'!$G91,'accuracy dom72dom62'!$G91)</f>
        <v>0</v>
      </c>
      <c r="AG91">
        <f>AVERAGE('accuracy dom7dom6'!$AB91,'accuracy dom71dom61'!$AB91,'accuracy dom72dom62'!$AB91)</f>
        <v>0</v>
      </c>
      <c r="AH91">
        <f>AVERAGE('accuracy dom9dom8'!$C91,'accuracy dom91dom81'!$C91,'accuracy dom92dom82'!$C91)</f>
        <v>0</v>
      </c>
      <c r="AI91">
        <f>AVERAGE('accuracy dom9dom8'!$G91,'accuracy dom91dom81'!$G91,'accuracy dom92dom82'!$G91)</f>
        <v>0</v>
      </c>
      <c r="AJ91">
        <f>AVERAGE('accuracy dom9dom8'!$AB91,'accuracy dom91dom81'!$AB91,'accuracy dom92dom82'!$AB91)</f>
        <v>0</v>
      </c>
      <c r="AK91">
        <f t="shared" si="67"/>
        <v>0</v>
      </c>
      <c r="AL91">
        <f t="shared" si="99"/>
        <v>0</v>
      </c>
      <c r="AM91">
        <f t="shared" si="100"/>
        <v>0</v>
      </c>
      <c r="AN91">
        <f t="shared" si="101"/>
        <v>0</v>
      </c>
      <c r="AO91">
        <f t="shared" si="68"/>
        <v>0</v>
      </c>
      <c r="AP91">
        <f t="shared" si="69"/>
        <v>0</v>
      </c>
      <c r="AQ91">
        <f t="shared" si="70"/>
        <v>0</v>
      </c>
      <c r="AR91">
        <f t="shared" si="71"/>
        <v>0</v>
      </c>
      <c r="AS91">
        <f t="shared" si="72"/>
        <v>0</v>
      </c>
      <c r="AT91">
        <f t="shared" si="73"/>
        <v>0</v>
      </c>
      <c r="AU91">
        <f t="shared" si="74"/>
        <v>0</v>
      </c>
      <c r="AV91">
        <f t="shared" si="75"/>
        <v>0</v>
      </c>
      <c r="AW91">
        <f t="shared" si="76"/>
        <v>0</v>
      </c>
      <c r="AX91">
        <f t="shared" si="77"/>
        <v>0</v>
      </c>
      <c r="AY91">
        <f t="shared" si="78"/>
        <v>0</v>
      </c>
      <c r="AZ91">
        <f t="shared" si="79"/>
        <v>0</v>
      </c>
      <c r="BA91">
        <f t="shared" si="80"/>
        <v>0</v>
      </c>
      <c r="BC91">
        <f t="shared" si="81"/>
        <v>0</v>
      </c>
      <c r="BD91">
        <f t="shared" si="82"/>
        <v>0</v>
      </c>
      <c r="BE91">
        <f t="shared" si="83"/>
        <v>0</v>
      </c>
      <c r="BF91">
        <f t="shared" si="84"/>
        <v>0</v>
      </c>
      <c r="BG91">
        <f t="shared" si="85"/>
        <v>0</v>
      </c>
      <c r="BH91">
        <f t="shared" si="86"/>
        <v>0</v>
      </c>
      <c r="BI91">
        <f t="shared" si="87"/>
        <v>0</v>
      </c>
      <c r="BJ91">
        <f t="shared" si="88"/>
        <v>0</v>
      </c>
      <c r="BK91">
        <f t="shared" si="89"/>
        <v>0</v>
      </c>
      <c r="BL91">
        <f t="shared" si="90"/>
        <v>0</v>
      </c>
      <c r="BM91">
        <f t="shared" si="91"/>
        <v>0</v>
      </c>
      <c r="BN91">
        <f t="shared" si="92"/>
        <v>0</v>
      </c>
      <c r="BO91">
        <f t="shared" si="93"/>
        <v>0</v>
      </c>
      <c r="BP91">
        <f t="shared" si="94"/>
        <v>0</v>
      </c>
      <c r="BQ91">
        <f t="shared" si="95"/>
        <v>0</v>
      </c>
      <c r="BR91">
        <f t="shared" si="96"/>
        <v>0</v>
      </c>
    </row>
    <row r="92" spans="1:70">
      <c r="A92" t="str">
        <f>'time 1'!B91</f>
        <v>&lt;test.TIFFFaxDecoder: void setToBlack(byte[],int,int,int)&gt;</v>
      </c>
      <c r="B92">
        <f>AVERAGE('time 1'!D91/'time 1'!C91,'time 2'!D91/'time 2'!C91,'time 3'!D91/'time 3'!C91)</f>
        <v>1.5694958591678114</v>
      </c>
      <c r="C92">
        <f>AVERAGE('time 1'!F91/'time 1'!E91,'time 2'!F91/'time 2'!E91,'time 3'!F91/'time 3'!E91)</f>
        <v>1.1766303008194345</v>
      </c>
      <c r="D92">
        <f>AVERAGE('time 1'!H91/'time 1'!G91,'time 2'!H91/'time 2'!G91,'time 3'!H91/'time 3'!G91)</f>
        <v>1.5371211257296278</v>
      </c>
      <c r="E92">
        <f>AVERAGE('time 1'!J91/'time 2'!I91,'time 2'!J91/'time 2'!I91,'time 3'!J91/'time 3'!I91)</f>
        <v>1.4686844262864607</v>
      </c>
      <c r="F92">
        <f>AVERAGE('time 1'!L91/'time 1'!K91,'time 2'!L91/'time 2'!K91,'time 3'!L91/'time 3'!K91)</f>
        <v>1.3446954575456893</v>
      </c>
      <c r="G92">
        <f>AVERAGE('time 1'!N91/'time 1'!M91,'time 2'!N91/'time 2'!M91,'time 3'!N91/'time 3'!M91)</f>
        <v>1.4550696960356151</v>
      </c>
      <c r="H92">
        <f>AVERAGE('time 1'!P91/'time 1'!O91,'time 2'!P91/'time 2'!O91,'time 3'!P91/'time 3'!O91)</f>
        <v>1.5053052385314476</v>
      </c>
      <c r="I92">
        <f>AVERAGE('time 1'!R91/'time 1'!Q91,'time 2'!R91/'time 2'!Q91,'time 3'!R91/'time 3'!Q91)</f>
        <v>1.2760220291616815</v>
      </c>
      <c r="J92">
        <f>AVERAGE('time 1'!T91/'time 1'!S91,'time 2'!T91/'time 2'!S91,'time 3'!T91/'time 3'!S91)</f>
        <v>1.4794787777849672</v>
      </c>
      <c r="K92">
        <f t="shared" si="53"/>
        <v>0</v>
      </c>
      <c r="L92">
        <f t="shared" si="54"/>
        <v>9</v>
      </c>
      <c r="M92">
        <f t="shared" si="55"/>
        <v>0</v>
      </c>
      <c r="N92">
        <f t="shared" si="56"/>
        <v>0</v>
      </c>
      <c r="O92">
        <f t="shared" si="57"/>
        <v>0</v>
      </c>
      <c r="P92">
        <f t="shared" si="97"/>
        <v>3</v>
      </c>
      <c r="Q92">
        <f t="shared" si="98"/>
        <v>0</v>
      </c>
      <c r="R92">
        <f t="shared" si="58"/>
        <v>0</v>
      </c>
      <c r="S92">
        <f t="shared" si="59"/>
        <v>0</v>
      </c>
      <c r="T92">
        <f t="shared" si="60"/>
        <v>3</v>
      </c>
      <c r="U92">
        <f t="shared" si="61"/>
        <v>0</v>
      </c>
      <c r="V92">
        <f t="shared" si="62"/>
        <v>0</v>
      </c>
      <c r="W92">
        <f t="shared" si="63"/>
        <v>0</v>
      </c>
      <c r="X92">
        <f t="shared" si="64"/>
        <v>3</v>
      </c>
      <c r="Y92">
        <f t="shared" si="65"/>
        <v>0</v>
      </c>
      <c r="Z92">
        <f t="shared" si="66"/>
        <v>0</v>
      </c>
      <c r="AB92">
        <f>AVERAGE('accuracy dom5dom4'!$C92,'accuracy dom51dom41'!$C92,'accuracy dom52dom42'!$C92)</f>
        <v>0</v>
      </c>
      <c r="AC92">
        <f>AVERAGE('accuracy dom5dom4'!$G92,'accuracy dom51dom41'!$G92,'accuracy dom52dom42'!$G92)</f>
        <v>0</v>
      </c>
      <c r="AD92">
        <f>AVERAGE('accuracy dom5dom4'!$AB92,'accuracy dom51dom41'!$AB92,'accuracy dom52dom42'!$AB92)</f>
        <v>0</v>
      </c>
      <c r="AE92">
        <f>AVERAGE('accuracy dom7dom6'!$C92,'accuracy dom71dom61'!$C92,'accuracy dom72dom62'!$C92)</f>
        <v>0</v>
      </c>
      <c r="AF92">
        <f>AVERAGE('accuracy dom7dom6'!$G92,'accuracy dom71dom61'!$G92,'accuracy dom72dom62'!$G92)</f>
        <v>0</v>
      </c>
      <c r="AG92">
        <f>AVERAGE('accuracy dom7dom6'!$AB92,'accuracy dom71dom61'!$AB92,'accuracy dom72dom62'!$AB92)</f>
        <v>0</v>
      </c>
      <c r="AH92">
        <f>AVERAGE('accuracy dom9dom8'!$C92,'accuracy dom91dom81'!$C92,'accuracy dom92dom82'!$C92)</f>
        <v>0</v>
      </c>
      <c r="AI92">
        <f>AVERAGE('accuracy dom9dom8'!$G92,'accuracy dom91dom81'!$G92,'accuracy dom92dom82'!$G92)</f>
        <v>0</v>
      </c>
      <c r="AJ92">
        <f>AVERAGE('accuracy dom9dom8'!$AB92,'accuracy dom91dom81'!$AB92,'accuracy dom92dom82'!$AB92)</f>
        <v>0</v>
      </c>
      <c r="AK92">
        <f t="shared" si="67"/>
        <v>0</v>
      </c>
      <c r="AL92">
        <f t="shared" si="99"/>
        <v>0</v>
      </c>
      <c r="AM92">
        <f t="shared" si="100"/>
        <v>0</v>
      </c>
      <c r="AN92">
        <f t="shared" si="101"/>
        <v>0</v>
      </c>
      <c r="AO92">
        <f t="shared" si="68"/>
        <v>0</v>
      </c>
      <c r="AP92">
        <f t="shared" si="69"/>
        <v>0</v>
      </c>
      <c r="AQ92">
        <f t="shared" si="70"/>
        <v>0</v>
      </c>
      <c r="AR92">
        <f t="shared" si="71"/>
        <v>0</v>
      </c>
      <c r="AS92">
        <f t="shared" si="72"/>
        <v>0</v>
      </c>
      <c r="AT92">
        <f t="shared" si="73"/>
        <v>0</v>
      </c>
      <c r="AU92">
        <f t="shared" si="74"/>
        <v>0</v>
      </c>
      <c r="AV92">
        <f t="shared" si="75"/>
        <v>0</v>
      </c>
      <c r="AW92">
        <f t="shared" si="76"/>
        <v>0</v>
      </c>
      <c r="AX92">
        <f t="shared" si="77"/>
        <v>0</v>
      </c>
      <c r="AY92">
        <f t="shared" si="78"/>
        <v>0</v>
      </c>
      <c r="AZ92">
        <f t="shared" si="79"/>
        <v>0</v>
      </c>
      <c r="BA92">
        <f t="shared" si="80"/>
        <v>0</v>
      </c>
      <c r="BC92">
        <f t="shared" si="81"/>
        <v>0</v>
      </c>
      <c r="BD92">
        <f t="shared" si="82"/>
        <v>0</v>
      </c>
      <c r="BE92">
        <f t="shared" si="83"/>
        <v>0</v>
      </c>
      <c r="BF92">
        <f t="shared" si="84"/>
        <v>0</v>
      </c>
      <c r="BG92">
        <f t="shared" si="85"/>
        <v>0</v>
      </c>
      <c r="BH92">
        <f t="shared" si="86"/>
        <v>0</v>
      </c>
      <c r="BI92">
        <f t="shared" si="87"/>
        <v>0</v>
      </c>
      <c r="BJ92">
        <f t="shared" si="88"/>
        <v>0</v>
      </c>
      <c r="BK92">
        <f t="shared" si="89"/>
        <v>0</v>
      </c>
      <c r="BL92">
        <f t="shared" si="90"/>
        <v>0</v>
      </c>
      <c r="BM92">
        <f t="shared" si="91"/>
        <v>0</v>
      </c>
      <c r="BN92">
        <f t="shared" si="92"/>
        <v>0</v>
      </c>
      <c r="BO92">
        <f t="shared" si="93"/>
        <v>0</v>
      </c>
      <c r="BP92">
        <f t="shared" si="94"/>
        <v>0</v>
      </c>
      <c r="BQ92">
        <f t="shared" si="95"/>
        <v>0</v>
      </c>
      <c r="BR92">
        <f t="shared" si="96"/>
        <v>0</v>
      </c>
    </row>
    <row r="93" spans="1:70">
      <c r="A93" t="str">
        <f>'time 1'!B92</f>
        <v>&lt;test.TIFFFaxDecoder: void updatePointer(int)&gt;</v>
      </c>
      <c r="B93">
        <f>AVERAGE('time 1'!D92/'time 1'!C92,'time 2'!D92/'time 2'!C92,'time 3'!D92/'time 3'!C92)</f>
        <v>0.85773155416012559</v>
      </c>
      <c r="C93">
        <f>AVERAGE('time 1'!F92/'time 1'!E92,'time 2'!F92/'time 2'!E92,'time 3'!F92/'time 3'!E92)</f>
        <v>0.98890824979658376</v>
      </c>
      <c r="D93">
        <f>AVERAGE('time 1'!H92/'time 1'!G92,'time 2'!H92/'time 2'!G92,'time 3'!H92/'time 3'!G92)</f>
        <v>0.96344178697119875</v>
      </c>
      <c r="E93">
        <f>AVERAGE('time 1'!J92/'time 2'!I92,'time 2'!J92/'time 2'!I92,'time 3'!J92/'time 3'!I92)</f>
        <v>1.086868686868687</v>
      </c>
      <c r="F93">
        <f>AVERAGE('time 1'!L92/'time 1'!K92,'time 2'!L92/'time 2'!K92,'time 3'!L92/'time 3'!K92)</f>
        <v>1.0425793858444277</v>
      </c>
      <c r="G93">
        <f>AVERAGE('time 1'!N92/'time 1'!M92,'time 2'!N92/'time 2'!M92,'time 3'!N92/'time 3'!M92)</f>
        <v>1.0060606060606061</v>
      </c>
      <c r="H93">
        <f>AVERAGE('time 1'!P92/'time 1'!O92,'time 2'!P92/'time 2'!O92,'time 3'!P92/'time 3'!O92)</f>
        <v>1.0619855967078189</v>
      </c>
      <c r="I93">
        <f>AVERAGE('time 1'!R92/'time 1'!Q92,'time 2'!R92/'time 2'!Q92,'time 3'!R92/'time 3'!Q92)</f>
        <v>1.0289680400930277</v>
      </c>
      <c r="J93">
        <f>AVERAGE('time 1'!T92/'time 1'!S92,'time 2'!T92/'time 2'!S92,'time 3'!T92/'time 3'!S92)</f>
        <v>1.0319220430107527</v>
      </c>
      <c r="K93">
        <f t="shared" si="53"/>
        <v>3</v>
      </c>
      <c r="L93">
        <f t="shared" si="54"/>
        <v>6</v>
      </c>
      <c r="M93">
        <f t="shared" si="55"/>
        <v>0</v>
      </c>
      <c r="N93">
        <f t="shared" si="56"/>
        <v>0</v>
      </c>
      <c r="O93">
        <f t="shared" si="57"/>
        <v>1</v>
      </c>
      <c r="P93">
        <f t="shared" si="97"/>
        <v>2</v>
      </c>
      <c r="Q93">
        <f t="shared" si="98"/>
        <v>0</v>
      </c>
      <c r="R93">
        <f t="shared" si="58"/>
        <v>0</v>
      </c>
      <c r="S93">
        <f t="shared" si="59"/>
        <v>1</v>
      </c>
      <c r="T93">
        <f t="shared" si="60"/>
        <v>2</v>
      </c>
      <c r="U93">
        <f t="shared" si="61"/>
        <v>0</v>
      </c>
      <c r="V93">
        <f t="shared" si="62"/>
        <v>0</v>
      </c>
      <c r="W93">
        <f t="shared" si="63"/>
        <v>1</v>
      </c>
      <c r="X93">
        <f t="shared" si="64"/>
        <v>2</v>
      </c>
      <c r="Y93">
        <f t="shared" si="65"/>
        <v>0</v>
      </c>
      <c r="Z93">
        <f t="shared" si="66"/>
        <v>0</v>
      </c>
      <c r="AB93">
        <f>AVERAGE('accuracy dom5dom4'!$C93,'accuracy dom51dom41'!$C93,'accuracy dom52dom42'!$C93)</f>
        <v>0</v>
      </c>
      <c r="AC93">
        <f>AVERAGE('accuracy dom5dom4'!$G93,'accuracy dom51dom41'!$G93,'accuracy dom52dom42'!$G93)</f>
        <v>0</v>
      </c>
      <c r="AD93">
        <f>AVERAGE('accuracy dom5dom4'!$AB93,'accuracy dom51dom41'!$AB93,'accuracy dom52dom42'!$AB93)</f>
        <v>0</v>
      </c>
      <c r="AE93">
        <f>AVERAGE('accuracy dom7dom6'!$C93,'accuracy dom71dom61'!$C93,'accuracy dom72dom62'!$C93)</f>
        <v>0</v>
      </c>
      <c r="AF93">
        <f>AVERAGE('accuracy dom7dom6'!$G93,'accuracy dom71dom61'!$G93,'accuracy dom72dom62'!$G93)</f>
        <v>0</v>
      </c>
      <c r="AG93">
        <f>AVERAGE('accuracy dom7dom6'!$AB93,'accuracy dom71dom61'!$AB93,'accuracy dom72dom62'!$AB93)</f>
        <v>0</v>
      </c>
      <c r="AH93">
        <f>AVERAGE('accuracy dom9dom8'!$C93,'accuracy dom91dom81'!$C93,'accuracy dom92dom82'!$C93)</f>
        <v>0</v>
      </c>
      <c r="AI93">
        <f>AVERAGE('accuracy dom9dom8'!$G93,'accuracy dom91dom81'!$G93,'accuracy dom92dom82'!$G93)</f>
        <v>0</v>
      </c>
      <c r="AJ93">
        <f>AVERAGE('accuracy dom9dom8'!$AB93,'accuracy dom91dom81'!$AB93,'accuracy dom92dom82'!$AB93)</f>
        <v>0</v>
      </c>
      <c r="AK93">
        <f t="shared" si="67"/>
        <v>0</v>
      </c>
      <c r="AL93">
        <f t="shared" si="99"/>
        <v>0</v>
      </c>
      <c r="AM93">
        <f t="shared" si="100"/>
        <v>0</v>
      </c>
      <c r="AN93">
        <f t="shared" si="101"/>
        <v>0</v>
      </c>
      <c r="AO93">
        <f t="shared" si="68"/>
        <v>0</v>
      </c>
      <c r="AP93">
        <f t="shared" si="69"/>
        <v>0</v>
      </c>
      <c r="AQ93">
        <f t="shared" si="70"/>
        <v>0</v>
      </c>
      <c r="AR93">
        <f t="shared" si="71"/>
        <v>0</v>
      </c>
      <c r="AS93">
        <f t="shared" si="72"/>
        <v>0</v>
      </c>
      <c r="AT93">
        <f t="shared" si="73"/>
        <v>0</v>
      </c>
      <c r="AU93">
        <f t="shared" si="74"/>
        <v>0</v>
      </c>
      <c r="AV93">
        <f t="shared" si="75"/>
        <v>0</v>
      </c>
      <c r="AW93">
        <f t="shared" si="76"/>
        <v>0</v>
      </c>
      <c r="AX93">
        <f t="shared" si="77"/>
        <v>0</v>
      </c>
      <c r="AY93">
        <f t="shared" si="78"/>
        <v>0</v>
      </c>
      <c r="AZ93">
        <f t="shared" si="79"/>
        <v>0</v>
      </c>
      <c r="BA93">
        <f t="shared" si="80"/>
        <v>0</v>
      </c>
      <c r="BC93">
        <f t="shared" si="81"/>
        <v>0</v>
      </c>
      <c r="BD93">
        <f t="shared" si="82"/>
        <v>0</v>
      </c>
      <c r="BE93">
        <f t="shared" si="83"/>
        <v>0</v>
      </c>
      <c r="BF93">
        <f t="shared" si="84"/>
        <v>0</v>
      </c>
      <c r="BG93">
        <f t="shared" si="85"/>
        <v>0</v>
      </c>
      <c r="BH93">
        <f t="shared" si="86"/>
        <v>0</v>
      </c>
      <c r="BI93">
        <f t="shared" si="87"/>
        <v>0</v>
      </c>
      <c r="BJ93">
        <f t="shared" si="88"/>
        <v>0</v>
      </c>
      <c r="BK93">
        <f t="shared" si="89"/>
        <v>0</v>
      </c>
      <c r="BL93">
        <f t="shared" si="90"/>
        <v>0</v>
      </c>
      <c r="BM93">
        <f t="shared" si="91"/>
        <v>0</v>
      </c>
      <c r="BN93">
        <f t="shared" si="92"/>
        <v>0</v>
      </c>
      <c r="BO93">
        <f t="shared" si="93"/>
        <v>0</v>
      </c>
      <c r="BP93">
        <f t="shared" si="94"/>
        <v>0</v>
      </c>
      <c r="BQ93">
        <f t="shared" si="95"/>
        <v>0</v>
      </c>
      <c r="BR93">
        <f t="shared" si="96"/>
        <v>0</v>
      </c>
    </row>
    <row r="94" spans="1:70">
      <c r="A94" t="str">
        <f>'time 1'!B93</f>
        <v>&lt;test.TIFFFaxEncoder: int add1DBits(byte[],int,int,int)&gt;</v>
      </c>
      <c r="B94">
        <f>AVERAGE('time 1'!D93/'time 1'!C93,'time 2'!D93/'time 2'!C93,'time 3'!D93/'time 3'!C93)</f>
        <v>1.5483460191258187</v>
      </c>
      <c r="C94">
        <f>AVERAGE('time 1'!F93/'time 1'!E93,'time 2'!F93/'time 2'!E93,'time 3'!F93/'time 3'!E93)</f>
        <v>1.1619703441433049</v>
      </c>
      <c r="D94">
        <f>AVERAGE('time 1'!H93/'time 1'!G93,'time 2'!H93/'time 2'!G93,'time 3'!H93/'time 3'!G93)</f>
        <v>1.5667939350382305</v>
      </c>
      <c r="E94">
        <f>AVERAGE('time 1'!J93/'time 2'!I93,'time 2'!J93/'time 2'!I93,'time 3'!J93/'time 3'!I93)</f>
        <v>1.5533661561698944</v>
      </c>
      <c r="F94">
        <f>AVERAGE('time 1'!L93/'time 1'!K93,'time 2'!L93/'time 2'!K93,'time 3'!L93/'time 3'!K93)</f>
        <v>1.503660564092925</v>
      </c>
      <c r="G94">
        <f>AVERAGE('time 1'!N93/'time 1'!M93,'time 2'!N93/'time 2'!M93,'time 3'!N93/'time 3'!M93)</f>
        <v>1.6411889268833637</v>
      </c>
      <c r="H94">
        <f>AVERAGE('time 1'!P93/'time 1'!O93,'time 2'!P93/'time 2'!O93,'time 3'!P93/'time 3'!O93)</f>
        <v>1.5141469533459029</v>
      </c>
      <c r="I94">
        <f>AVERAGE('time 1'!R93/'time 1'!Q93,'time 2'!R93/'time 2'!Q93,'time 3'!R93/'time 3'!Q93)</f>
        <v>1.1285990782367532</v>
      </c>
      <c r="J94">
        <f>AVERAGE('time 1'!T93/'time 1'!S93,'time 2'!T93/'time 2'!S93,'time 3'!T93/'time 3'!S93)</f>
        <v>1.4515887412720552</v>
      </c>
      <c r="K94">
        <f t="shared" si="53"/>
        <v>0</v>
      </c>
      <c r="L94">
        <f t="shared" si="54"/>
        <v>9</v>
      </c>
      <c r="M94">
        <f t="shared" si="55"/>
        <v>0</v>
      </c>
      <c r="N94">
        <f t="shared" si="56"/>
        <v>0</v>
      </c>
      <c r="O94">
        <f t="shared" si="57"/>
        <v>0</v>
      </c>
      <c r="P94">
        <f t="shared" si="97"/>
        <v>3</v>
      </c>
      <c r="Q94">
        <f t="shared" si="98"/>
        <v>0</v>
      </c>
      <c r="R94">
        <f t="shared" si="58"/>
        <v>0</v>
      </c>
      <c r="S94">
        <f t="shared" si="59"/>
        <v>0</v>
      </c>
      <c r="T94">
        <f t="shared" si="60"/>
        <v>3</v>
      </c>
      <c r="U94">
        <f t="shared" si="61"/>
        <v>0</v>
      </c>
      <c r="V94">
        <f t="shared" si="62"/>
        <v>0</v>
      </c>
      <c r="W94">
        <f t="shared" si="63"/>
        <v>0</v>
      </c>
      <c r="X94">
        <f t="shared" si="64"/>
        <v>3</v>
      </c>
      <c r="Y94">
        <f t="shared" si="65"/>
        <v>0</v>
      </c>
      <c r="Z94">
        <f t="shared" si="66"/>
        <v>0</v>
      </c>
      <c r="AB94">
        <f>AVERAGE('accuracy dom5dom4'!$C94,'accuracy dom51dom41'!$C94,'accuracy dom52dom42'!$C94)</f>
        <v>5</v>
      </c>
      <c r="AC94">
        <f>AVERAGE('accuracy dom5dom4'!$G94,'accuracy dom51dom41'!$G94,'accuracy dom52dom42'!$G94)</f>
        <v>5</v>
      </c>
      <c r="AD94">
        <f>AVERAGE('accuracy dom5dom4'!$AB94,'accuracy dom51dom41'!$AB94,'accuracy dom52dom42'!$AB94)</f>
        <v>5</v>
      </c>
      <c r="AE94">
        <f>AVERAGE('accuracy dom7dom6'!$C94,'accuracy dom71dom61'!$C94,'accuracy dom72dom62'!$C94)</f>
        <v>5</v>
      </c>
      <c r="AF94">
        <f>AVERAGE('accuracy dom7dom6'!$G94,'accuracy dom71dom61'!$G94,'accuracy dom72dom62'!$G94)</f>
        <v>5</v>
      </c>
      <c r="AG94">
        <f>AVERAGE('accuracy dom7dom6'!$AB94,'accuracy dom71dom61'!$AB94,'accuracy dom72dom62'!$AB94)</f>
        <v>5</v>
      </c>
      <c r="AH94">
        <f>AVERAGE('accuracy dom9dom8'!$C94,'accuracy dom91dom81'!$C94,'accuracy dom92dom82'!$C94)</f>
        <v>5</v>
      </c>
      <c r="AI94">
        <f>AVERAGE('accuracy dom9dom8'!$G94,'accuracy dom91dom81'!$G94,'accuracy dom92dom82'!$G94)</f>
        <v>5</v>
      </c>
      <c r="AJ94">
        <f>AVERAGE('accuracy dom9dom8'!$AB94,'accuracy dom91dom81'!$AB94,'accuracy dom92dom82'!$AB94)</f>
        <v>5</v>
      </c>
      <c r="AK94">
        <f t="shared" si="67"/>
        <v>9</v>
      </c>
      <c r="AL94">
        <f t="shared" si="99"/>
        <v>0</v>
      </c>
      <c r="AM94">
        <f t="shared" si="100"/>
        <v>45</v>
      </c>
      <c r="AN94">
        <f t="shared" si="101"/>
        <v>0</v>
      </c>
      <c r="AO94">
        <f t="shared" si="68"/>
        <v>0</v>
      </c>
      <c r="AP94">
        <f t="shared" si="69"/>
        <v>0</v>
      </c>
      <c r="AQ94">
        <f t="shared" si="70"/>
        <v>15</v>
      </c>
      <c r="AR94">
        <f t="shared" si="71"/>
        <v>0</v>
      </c>
      <c r="AS94">
        <f t="shared" si="72"/>
        <v>0</v>
      </c>
      <c r="AT94">
        <f t="shared" si="73"/>
        <v>0</v>
      </c>
      <c r="AU94">
        <f t="shared" si="74"/>
        <v>15</v>
      </c>
      <c r="AV94">
        <f t="shared" si="75"/>
        <v>0</v>
      </c>
      <c r="AW94">
        <f t="shared" si="76"/>
        <v>0</v>
      </c>
      <c r="AX94">
        <f t="shared" si="77"/>
        <v>0</v>
      </c>
      <c r="AY94">
        <f t="shared" si="78"/>
        <v>15</v>
      </c>
      <c r="AZ94">
        <f t="shared" si="79"/>
        <v>0</v>
      </c>
      <c r="BA94">
        <f t="shared" si="80"/>
        <v>0</v>
      </c>
      <c r="BC94">
        <f t="shared" si="81"/>
        <v>0</v>
      </c>
      <c r="BD94">
        <f t="shared" si="82"/>
        <v>9</v>
      </c>
      <c r="BE94">
        <f t="shared" si="83"/>
        <v>0</v>
      </c>
      <c r="BF94">
        <f t="shared" si="84"/>
        <v>0</v>
      </c>
      <c r="BG94">
        <f t="shared" si="85"/>
        <v>0</v>
      </c>
      <c r="BH94">
        <f t="shared" si="86"/>
        <v>3</v>
      </c>
      <c r="BI94">
        <f t="shared" si="87"/>
        <v>0</v>
      </c>
      <c r="BJ94">
        <f t="shared" si="88"/>
        <v>0</v>
      </c>
      <c r="BK94">
        <f t="shared" si="89"/>
        <v>0</v>
      </c>
      <c r="BL94">
        <f t="shared" si="90"/>
        <v>3</v>
      </c>
      <c r="BM94">
        <f t="shared" si="91"/>
        <v>0</v>
      </c>
      <c r="BN94">
        <f t="shared" si="92"/>
        <v>0</v>
      </c>
      <c r="BO94">
        <f t="shared" si="93"/>
        <v>0</v>
      </c>
      <c r="BP94">
        <f t="shared" si="94"/>
        <v>3</v>
      </c>
      <c r="BQ94">
        <f t="shared" si="95"/>
        <v>0</v>
      </c>
      <c r="BR94">
        <f t="shared" si="96"/>
        <v>0</v>
      </c>
    </row>
    <row r="95" spans="1:70">
      <c r="A95" t="str">
        <f>'time 1'!B94</f>
        <v>&lt;test.TIFFFaxEncoder: int add2DBits(byte[],int,int[][],int)&gt;</v>
      </c>
      <c r="B95">
        <f>AVERAGE('time 1'!D94/'time 1'!C94,'time 2'!D94/'time 2'!C94,'time 3'!D94/'time 3'!C94)</f>
        <v>1.3518763213530656</v>
      </c>
      <c r="C95">
        <f>AVERAGE('time 1'!F94/'time 1'!E94,'time 2'!F94/'time 2'!E94,'time 3'!F94/'time 3'!E94)</f>
        <v>1.0506139115744504</v>
      </c>
      <c r="D95">
        <f>AVERAGE('time 1'!H94/'time 1'!G94,'time 2'!H94/'time 2'!G94,'time 3'!H94/'time 3'!G94)</f>
        <v>1.2171061062150172</v>
      </c>
      <c r="E95">
        <f>AVERAGE('time 1'!J94/'time 2'!I94,'time 2'!J94/'time 2'!I94,'time 3'!J94/'time 3'!I94)</f>
        <v>1.4716613992687613</v>
      </c>
      <c r="F95">
        <f>AVERAGE('time 1'!L94/'time 1'!K94,'time 2'!L94/'time 2'!K94,'time 3'!L94/'time 3'!K94)</f>
        <v>1.2157592663932386</v>
      </c>
      <c r="G95">
        <f>AVERAGE('time 1'!N94/'time 1'!M94,'time 2'!N94/'time 2'!M94,'time 3'!N94/'time 3'!M94)</f>
        <v>1.4090113735783028</v>
      </c>
      <c r="H95">
        <f>AVERAGE('time 1'!P94/'time 1'!O94,'time 2'!P94/'time 2'!O94,'time 3'!P94/'time 3'!O94)</f>
        <v>1.3418873116438725</v>
      </c>
      <c r="I95">
        <f>AVERAGE('time 1'!R94/'time 1'!Q94,'time 2'!R94/'time 2'!Q94,'time 3'!R94/'time 3'!Q94)</f>
        <v>1.010642137891723</v>
      </c>
      <c r="J95">
        <f>AVERAGE('time 1'!T94/'time 1'!S94,'time 2'!T94/'time 2'!S94,'time 3'!T94/'time 3'!S94)</f>
        <v>1.3398293029871977</v>
      </c>
      <c r="K95">
        <f t="shared" si="53"/>
        <v>0</v>
      </c>
      <c r="L95">
        <f t="shared" si="54"/>
        <v>9</v>
      </c>
      <c r="M95">
        <f t="shared" si="55"/>
        <v>0</v>
      </c>
      <c r="N95">
        <f t="shared" si="56"/>
        <v>0</v>
      </c>
      <c r="O95">
        <f t="shared" si="57"/>
        <v>0</v>
      </c>
      <c r="P95">
        <f t="shared" si="97"/>
        <v>3</v>
      </c>
      <c r="Q95">
        <f t="shared" si="98"/>
        <v>0</v>
      </c>
      <c r="R95">
        <f t="shared" si="58"/>
        <v>0</v>
      </c>
      <c r="S95">
        <f t="shared" si="59"/>
        <v>0</v>
      </c>
      <c r="T95">
        <f t="shared" si="60"/>
        <v>3</v>
      </c>
      <c r="U95">
        <f t="shared" si="61"/>
        <v>0</v>
      </c>
      <c r="V95">
        <f t="shared" si="62"/>
        <v>0</v>
      </c>
      <c r="W95">
        <f t="shared" si="63"/>
        <v>0</v>
      </c>
      <c r="X95">
        <f t="shared" si="64"/>
        <v>3</v>
      </c>
      <c r="Y95">
        <f t="shared" si="65"/>
        <v>0</v>
      </c>
      <c r="Z95">
        <f t="shared" si="66"/>
        <v>0</v>
      </c>
      <c r="AB95">
        <f>AVERAGE('accuracy dom5dom4'!$C95,'accuracy dom51dom41'!$C95,'accuracy dom52dom42'!$C95)</f>
        <v>1</v>
      </c>
      <c r="AC95">
        <f>AVERAGE('accuracy dom5dom4'!$G95,'accuracy dom51dom41'!$G95,'accuracy dom52dom42'!$G95)</f>
        <v>1</v>
      </c>
      <c r="AD95">
        <f>AVERAGE('accuracy dom5dom4'!$AB95,'accuracy dom51dom41'!$AB95,'accuracy dom52dom42'!$AB95)</f>
        <v>1</v>
      </c>
      <c r="AE95">
        <f>AVERAGE('accuracy dom7dom6'!$C95,'accuracy dom71dom61'!$C95,'accuracy dom72dom62'!$C95)</f>
        <v>1</v>
      </c>
      <c r="AF95">
        <f>AVERAGE('accuracy dom7dom6'!$G95,'accuracy dom71dom61'!$G95,'accuracy dom72dom62'!$G95)</f>
        <v>1</v>
      </c>
      <c r="AG95">
        <f>AVERAGE('accuracy dom7dom6'!$AB95,'accuracy dom71dom61'!$AB95,'accuracy dom72dom62'!$AB95)</f>
        <v>1</v>
      </c>
      <c r="AH95">
        <f>AVERAGE('accuracy dom9dom8'!$C95,'accuracy dom91dom81'!$C95,'accuracy dom92dom82'!$C95)</f>
        <v>1</v>
      </c>
      <c r="AI95">
        <f>AVERAGE('accuracy dom9dom8'!$G95,'accuracy dom91dom81'!$G95,'accuracy dom92dom82'!$G95)</f>
        <v>1</v>
      </c>
      <c r="AJ95">
        <f>AVERAGE('accuracy dom9dom8'!$AB95,'accuracy dom91dom81'!$AB95,'accuracy dom92dom82'!$AB95)</f>
        <v>1</v>
      </c>
      <c r="AK95">
        <f t="shared" si="67"/>
        <v>9</v>
      </c>
      <c r="AL95">
        <f t="shared" si="99"/>
        <v>0</v>
      </c>
      <c r="AM95">
        <f t="shared" si="100"/>
        <v>9</v>
      </c>
      <c r="AN95">
        <f t="shared" si="101"/>
        <v>0</v>
      </c>
      <c r="AO95">
        <f t="shared" si="68"/>
        <v>0</v>
      </c>
      <c r="AP95">
        <f t="shared" si="69"/>
        <v>0</v>
      </c>
      <c r="AQ95">
        <f t="shared" si="70"/>
        <v>3</v>
      </c>
      <c r="AR95">
        <f t="shared" si="71"/>
        <v>0</v>
      </c>
      <c r="AS95">
        <f t="shared" si="72"/>
        <v>0</v>
      </c>
      <c r="AT95">
        <f t="shared" si="73"/>
        <v>0</v>
      </c>
      <c r="AU95">
        <f t="shared" si="74"/>
        <v>3</v>
      </c>
      <c r="AV95">
        <f t="shared" si="75"/>
        <v>0</v>
      </c>
      <c r="AW95">
        <f t="shared" si="76"/>
        <v>0</v>
      </c>
      <c r="AX95">
        <f t="shared" si="77"/>
        <v>0</v>
      </c>
      <c r="AY95">
        <f t="shared" si="78"/>
        <v>3</v>
      </c>
      <c r="AZ95">
        <f t="shared" si="79"/>
        <v>0</v>
      </c>
      <c r="BA95">
        <f t="shared" si="80"/>
        <v>0</v>
      </c>
      <c r="BC95">
        <f t="shared" si="81"/>
        <v>0</v>
      </c>
      <c r="BD95">
        <f t="shared" si="82"/>
        <v>9</v>
      </c>
      <c r="BE95">
        <f t="shared" si="83"/>
        <v>0</v>
      </c>
      <c r="BF95">
        <f t="shared" si="84"/>
        <v>0</v>
      </c>
      <c r="BG95">
        <f t="shared" si="85"/>
        <v>0</v>
      </c>
      <c r="BH95">
        <f t="shared" si="86"/>
        <v>3</v>
      </c>
      <c r="BI95">
        <f t="shared" si="87"/>
        <v>0</v>
      </c>
      <c r="BJ95">
        <f t="shared" si="88"/>
        <v>0</v>
      </c>
      <c r="BK95">
        <f t="shared" si="89"/>
        <v>0</v>
      </c>
      <c r="BL95">
        <f t="shared" si="90"/>
        <v>3</v>
      </c>
      <c r="BM95">
        <f t="shared" si="91"/>
        <v>0</v>
      </c>
      <c r="BN95">
        <f t="shared" si="92"/>
        <v>0</v>
      </c>
      <c r="BO95">
        <f t="shared" si="93"/>
        <v>0</v>
      </c>
      <c r="BP95">
        <f t="shared" si="94"/>
        <v>3</v>
      </c>
      <c r="BQ95">
        <f t="shared" si="95"/>
        <v>0</v>
      </c>
      <c r="BR95">
        <f t="shared" si="96"/>
        <v>0</v>
      </c>
    </row>
    <row r="96" spans="1:70">
      <c r="A96" t="str">
        <f>'time 1'!B95</f>
        <v>&lt;test.TIFFFaxEncoder: int addEOFB(byte[],int)&gt;</v>
      </c>
      <c r="B96">
        <f>AVERAGE('time 1'!D95/'time 1'!C95,'time 2'!D95/'time 2'!C95,'time 3'!D95/'time 3'!C95)</f>
        <v>1.2066354612020245</v>
      </c>
      <c r="C96">
        <f>AVERAGE('time 1'!F95/'time 1'!E95,'time 2'!F95/'time 2'!E95,'time 3'!F95/'time 3'!E95)</f>
        <v>1.0120638898734364</v>
      </c>
      <c r="D96">
        <f>AVERAGE('time 1'!H95/'time 1'!G95,'time 2'!H95/'time 2'!G95,'time 3'!H95/'time 3'!G95)</f>
        <v>1.5793670615099187</v>
      </c>
      <c r="E96">
        <f>AVERAGE('time 1'!J95/'time 2'!I95,'time 2'!J95/'time 2'!I95,'time 3'!J95/'time 3'!I95)</f>
        <v>1.3553741496598637</v>
      </c>
      <c r="F96">
        <f>AVERAGE('time 1'!L95/'time 1'!K95,'time 2'!L95/'time 2'!K95,'time 3'!L95/'time 3'!K95)</f>
        <v>1.4049271235459748</v>
      </c>
      <c r="G96">
        <f>AVERAGE('time 1'!N95/'time 1'!M95,'time 2'!N95/'time 2'!M95,'time 3'!N95/'time 3'!M95)</f>
        <v>1.2205512652606541</v>
      </c>
      <c r="H96">
        <f>AVERAGE('time 1'!P95/'time 1'!O95,'time 2'!P95/'time 2'!O95,'time 3'!P95/'time 3'!O95)</f>
        <v>1.3050032653935855</v>
      </c>
      <c r="I96">
        <f>AVERAGE('time 1'!R95/'time 1'!Q95,'time 2'!R95/'time 2'!Q95,'time 3'!R95/'time 3'!Q95)</f>
        <v>1.1033434086729954</v>
      </c>
      <c r="J96">
        <f>AVERAGE('time 1'!T95/'time 1'!S95,'time 2'!T95/'time 2'!S95,'time 3'!T95/'time 3'!S95)</f>
        <v>1.3567590729562562</v>
      </c>
      <c r="K96">
        <f t="shared" si="53"/>
        <v>0</v>
      </c>
      <c r="L96">
        <f t="shared" si="54"/>
        <v>9</v>
      </c>
      <c r="M96">
        <f t="shared" si="55"/>
        <v>0</v>
      </c>
      <c r="N96">
        <f t="shared" si="56"/>
        <v>0</v>
      </c>
      <c r="O96">
        <f t="shared" si="57"/>
        <v>0</v>
      </c>
      <c r="P96">
        <f t="shared" si="97"/>
        <v>3</v>
      </c>
      <c r="Q96">
        <f t="shared" si="98"/>
        <v>0</v>
      </c>
      <c r="R96">
        <f t="shared" si="58"/>
        <v>0</v>
      </c>
      <c r="S96">
        <f t="shared" si="59"/>
        <v>0</v>
      </c>
      <c r="T96">
        <f t="shared" si="60"/>
        <v>3</v>
      </c>
      <c r="U96">
        <f t="shared" si="61"/>
        <v>0</v>
      </c>
      <c r="V96">
        <f t="shared" si="62"/>
        <v>0</v>
      </c>
      <c r="W96">
        <f t="shared" si="63"/>
        <v>0</v>
      </c>
      <c r="X96">
        <f t="shared" si="64"/>
        <v>3</v>
      </c>
      <c r="Y96">
        <f t="shared" si="65"/>
        <v>0</v>
      </c>
      <c r="Z96">
        <f t="shared" si="66"/>
        <v>0</v>
      </c>
      <c r="AB96">
        <f>AVERAGE('accuracy dom5dom4'!$C96,'accuracy dom51dom41'!$C96,'accuracy dom52dom42'!$C96)</f>
        <v>0</v>
      </c>
      <c r="AC96">
        <f>AVERAGE('accuracy dom5dom4'!$G96,'accuracy dom51dom41'!$G96,'accuracy dom52dom42'!$G96)</f>
        <v>0</v>
      </c>
      <c r="AD96">
        <f>AVERAGE('accuracy dom5dom4'!$AB96,'accuracy dom51dom41'!$AB96,'accuracy dom52dom42'!$AB96)</f>
        <v>0</v>
      </c>
      <c r="AE96">
        <f>AVERAGE('accuracy dom7dom6'!$C96,'accuracy dom71dom61'!$C96,'accuracy dom72dom62'!$C96)</f>
        <v>0</v>
      </c>
      <c r="AF96">
        <f>AVERAGE('accuracy dom7dom6'!$G96,'accuracy dom71dom61'!$G96,'accuracy dom72dom62'!$G96)</f>
        <v>0</v>
      </c>
      <c r="AG96">
        <f>AVERAGE('accuracy dom7dom6'!$AB96,'accuracy dom71dom61'!$AB96,'accuracy dom72dom62'!$AB96)</f>
        <v>0</v>
      </c>
      <c r="AH96">
        <f>AVERAGE('accuracy dom9dom8'!$C96,'accuracy dom91dom81'!$C96,'accuracy dom92dom82'!$C96)</f>
        <v>0</v>
      </c>
      <c r="AI96">
        <f>AVERAGE('accuracy dom9dom8'!$G96,'accuracy dom91dom81'!$G96,'accuracy dom92dom82'!$G96)</f>
        <v>0</v>
      </c>
      <c r="AJ96">
        <f>AVERAGE('accuracy dom9dom8'!$AB96,'accuracy dom91dom81'!$AB96,'accuracy dom92dom82'!$AB96)</f>
        <v>0</v>
      </c>
      <c r="AK96">
        <f t="shared" si="67"/>
        <v>0</v>
      </c>
      <c r="AL96">
        <f t="shared" si="99"/>
        <v>0</v>
      </c>
      <c r="AM96">
        <f t="shared" si="100"/>
        <v>0</v>
      </c>
      <c r="AN96">
        <f t="shared" si="101"/>
        <v>0</v>
      </c>
      <c r="AO96">
        <f t="shared" si="68"/>
        <v>0</v>
      </c>
      <c r="AP96">
        <f t="shared" si="69"/>
        <v>0</v>
      </c>
      <c r="AQ96">
        <f t="shared" si="70"/>
        <v>0</v>
      </c>
      <c r="AR96">
        <f t="shared" si="71"/>
        <v>0</v>
      </c>
      <c r="AS96">
        <f t="shared" si="72"/>
        <v>0</v>
      </c>
      <c r="AT96">
        <f t="shared" si="73"/>
        <v>0</v>
      </c>
      <c r="AU96">
        <f t="shared" si="74"/>
        <v>0</v>
      </c>
      <c r="AV96">
        <f t="shared" si="75"/>
        <v>0</v>
      </c>
      <c r="AW96">
        <f t="shared" si="76"/>
        <v>0</v>
      </c>
      <c r="AX96">
        <f t="shared" si="77"/>
        <v>0</v>
      </c>
      <c r="AY96">
        <f t="shared" si="78"/>
        <v>0</v>
      </c>
      <c r="AZ96">
        <f t="shared" si="79"/>
        <v>0</v>
      </c>
      <c r="BA96">
        <f t="shared" si="80"/>
        <v>0</v>
      </c>
      <c r="BC96">
        <f t="shared" si="81"/>
        <v>0</v>
      </c>
      <c r="BD96">
        <f t="shared" si="82"/>
        <v>0</v>
      </c>
      <c r="BE96">
        <f t="shared" si="83"/>
        <v>0</v>
      </c>
      <c r="BF96">
        <f t="shared" si="84"/>
        <v>0</v>
      </c>
      <c r="BG96">
        <f t="shared" si="85"/>
        <v>0</v>
      </c>
      <c r="BH96">
        <f t="shared" si="86"/>
        <v>0</v>
      </c>
      <c r="BI96">
        <f t="shared" si="87"/>
        <v>0</v>
      </c>
      <c r="BJ96">
        <f t="shared" si="88"/>
        <v>0</v>
      </c>
      <c r="BK96">
        <f t="shared" si="89"/>
        <v>0</v>
      </c>
      <c r="BL96">
        <f t="shared" si="90"/>
        <v>0</v>
      </c>
      <c r="BM96">
        <f t="shared" si="91"/>
        <v>0</v>
      </c>
      <c r="BN96">
        <f t="shared" si="92"/>
        <v>0</v>
      </c>
      <c r="BO96">
        <f t="shared" si="93"/>
        <v>0</v>
      </c>
      <c r="BP96">
        <f t="shared" si="94"/>
        <v>0</v>
      </c>
      <c r="BQ96">
        <f t="shared" si="95"/>
        <v>0</v>
      </c>
      <c r="BR96">
        <f t="shared" si="96"/>
        <v>0</v>
      </c>
    </row>
    <row r="97" spans="1:70">
      <c r="A97" t="str">
        <f>'time 1'!B96</f>
        <v>&lt;test.TIFFFaxEncoder: int addEOL(boolean,boolean,boolean,byte[],int)&gt;</v>
      </c>
      <c r="B97">
        <f>AVERAGE('time 1'!D96/'time 1'!C96,'time 2'!D96/'time 2'!C96,'time 3'!D96/'time 3'!C96)</f>
        <v>1.0947440280739764</v>
      </c>
      <c r="C97">
        <f>AVERAGE('time 1'!F96/'time 1'!E96,'time 2'!F96/'time 2'!E96,'time 3'!F96/'time 3'!E96)</f>
        <v>0.95209459889036019</v>
      </c>
      <c r="D97">
        <f>AVERAGE('time 1'!H96/'time 1'!G96,'time 2'!H96/'time 2'!G96,'time 3'!H96/'time 3'!G96)</f>
        <v>1.0311855338577558</v>
      </c>
      <c r="E97">
        <f>AVERAGE('time 1'!J96/'time 2'!I96,'time 2'!J96/'time 2'!I96,'time 3'!J96/'time 3'!I96)</f>
        <v>1.1233011174871639</v>
      </c>
      <c r="F97">
        <f>AVERAGE('time 1'!L96/'time 1'!K96,'time 2'!L96/'time 2'!K96,'time 3'!L96/'time 3'!K96)</f>
        <v>1.1510819949661577</v>
      </c>
      <c r="G97">
        <f>AVERAGE('time 1'!N96/'time 1'!M96,'time 2'!N96/'time 2'!M96,'time 3'!N96/'time 3'!M96)</f>
        <v>1.0993918296176359</v>
      </c>
      <c r="H97">
        <f>AVERAGE('time 1'!P96/'time 1'!O96,'time 2'!P96/'time 2'!O96,'time 3'!P96/'time 3'!O96)</f>
        <v>1.0100288512133144</v>
      </c>
      <c r="I97">
        <f>AVERAGE('time 1'!R96/'time 1'!Q96,'time 2'!R96/'time 2'!Q96,'time 3'!R96/'time 3'!Q96)</f>
        <v>1.0549875466332779</v>
      </c>
      <c r="J97">
        <f>AVERAGE('time 1'!T96/'time 1'!S96,'time 2'!T96/'time 2'!S96,'time 3'!T96/'time 3'!S96)</f>
        <v>1.092812847380924</v>
      </c>
      <c r="K97">
        <f t="shared" si="53"/>
        <v>1</v>
      </c>
      <c r="L97">
        <f t="shared" si="54"/>
        <v>8</v>
      </c>
      <c r="M97">
        <f t="shared" si="55"/>
        <v>0</v>
      </c>
      <c r="N97">
        <f t="shared" si="56"/>
        <v>0</v>
      </c>
      <c r="O97">
        <f t="shared" si="57"/>
        <v>0</v>
      </c>
      <c r="P97">
        <f t="shared" si="97"/>
        <v>3</v>
      </c>
      <c r="Q97">
        <f t="shared" si="98"/>
        <v>0</v>
      </c>
      <c r="R97">
        <f t="shared" si="58"/>
        <v>0</v>
      </c>
      <c r="S97">
        <f t="shared" si="59"/>
        <v>1</v>
      </c>
      <c r="T97">
        <f t="shared" si="60"/>
        <v>2</v>
      </c>
      <c r="U97">
        <f t="shared" si="61"/>
        <v>0</v>
      </c>
      <c r="V97">
        <f t="shared" si="62"/>
        <v>0</v>
      </c>
      <c r="W97">
        <f t="shared" si="63"/>
        <v>0</v>
      </c>
      <c r="X97">
        <f t="shared" si="64"/>
        <v>3</v>
      </c>
      <c r="Y97">
        <f t="shared" si="65"/>
        <v>0</v>
      </c>
      <c r="Z97">
        <f t="shared" si="66"/>
        <v>0</v>
      </c>
      <c r="AB97">
        <f>AVERAGE('accuracy dom5dom4'!$C97,'accuracy dom51dom41'!$C97,'accuracy dom52dom42'!$C97)</f>
        <v>1.6666666666666667</v>
      </c>
      <c r="AC97">
        <f>AVERAGE('accuracy dom5dom4'!$G97,'accuracy dom51dom41'!$G97,'accuracy dom52dom42'!$G97)</f>
        <v>1.6666666666666667</v>
      </c>
      <c r="AD97">
        <f>AVERAGE('accuracy dom5dom4'!$AB97,'accuracy dom51dom41'!$AB97,'accuracy dom52dom42'!$AB97)</f>
        <v>1.6666666666666667</v>
      </c>
      <c r="AE97">
        <f>AVERAGE('accuracy dom7dom6'!$C97,'accuracy dom71dom61'!$C97,'accuracy dom72dom62'!$C97)</f>
        <v>2</v>
      </c>
      <c r="AF97">
        <f>AVERAGE('accuracy dom7dom6'!$G97,'accuracy dom71dom61'!$G97,'accuracy dom72dom62'!$G97)</f>
        <v>2</v>
      </c>
      <c r="AG97">
        <f>AVERAGE('accuracy dom7dom6'!$AB97,'accuracy dom71dom61'!$AB97,'accuracy dom72dom62'!$AB97)</f>
        <v>2</v>
      </c>
      <c r="AH97">
        <f>AVERAGE('accuracy dom9dom8'!$C97,'accuracy dom91dom81'!$C97,'accuracy dom92dom82'!$C97)</f>
        <v>2.3333333333333335</v>
      </c>
      <c r="AI97">
        <f>AVERAGE('accuracy dom9dom8'!$G97,'accuracy dom91dom81'!$G97,'accuracy dom92dom82'!$G97)</f>
        <v>2.3333333333333335</v>
      </c>
      <c r="AJ97">
        <f>AVERAGE('accuracy dom9dom8'!$AB97,'accuracy dom91dom81'!$AB97,'accuracy dom92dom82'!$AB97)</f>
        <v>2.3333333333333335</v>
      </c>
      <c r="AK97">
        <f t="shared" si="67"/>
        <v>9</v>
      </c>
      <c r="AL97">
        <f t="shared" si="99"/>
        <v>1.6666666666666667</v>
      </c>
      <c r="AM97">
        <f t="shared" si="100"/>
        <v>16.333333333333332</v>
      </c>
      <c r="AN97">
        <f t="shared" si="101"/>
        <v>0</v>
      </c>
      <c r="AO97">
        <f t="shared" si="68"/>
        <v>0</v>
      </c>
      <c r="AP97">
        <f t="shared" si="69"/>
        <v>0</v>
      </c>
      <c r="AQ97">
        <f t="shared" si="70"/>
        <v>6</v>
      </c>
      <c r="AR97">
        <f t="shared" si="71"/>
        <v>0</v>
      </c>
      <c r="AS97">
        <f t="shared" si="72"/>
        <v>0</v>
      </c>
      <c r="AT97">
        <f t="shared" si="73"/>
        <v>1.6666666666666667</v>
      </c>
      <c r="AU97">
        <f t="shared" si="74"/>
        <v>4.333333333333333</v>
      </c>
      <c r="AV97">
        <f t="shared" si="75"/>
        <v>0</v>
      </c>
      <c r="AW97">
        <f t="shared" si="76"/>
        <v>0</v>
      </c>
      <c r="AX97">
        <f t="shared" si="77"/>
        <v>0</v>
      </c>
      <c r="AY97">
        <f t="shared" si="78"/>
        <v>6</v>
      </c>
      <c r="AZ97">
        <f t="shared" si="79"/>
        <v>0</v>
      </c>
      <c r="BA97">
        <f t="shared" si="80"/>
        <v>0</v>
      </c>
      <c r="BC97">
        <f t="shared" si="81"/>
        <v>1</v>
      </c>
      <c r="BD97">
        <f t="shared" si="82"/>
        <v>8</v>
      </c>
      <c r="BE97">
        <f t="shared" si="83"/>
        <v>0</v>
      </c>
      <c r="BF97">
        <f t="shared" si="84"/>
        <v>0</v>
      </c>
      <c r="BG97">
        <f t="shared" si="85"/>
        <v>0</v>
      </c>
      <c r="BH97">
        <f t="shared" si="86"/>
        <v>3</v>
      </c>
      <c r="BI97">
        <f t="shared" si="87"/>
        <v>0</v>
      </c>
      <c r="BJ97">
        <f t="shared" si="88"/>
        <v>0</v>
      </c>
      <c r="BK97">
        <f t="shared" si="89"/>
        <v>1</v>
      </c>
      <c r="BL97">
        <f t="shared" si="90"/>
        <v>2</v>
      </c>
      <c r="BM97">
        <f t="shared" si="91"/>
        <v>0</v>
      </c>
      <c r="BN97">
        <f t="shared" si="92"/>
        <v>0</v>
      </c>
      <c r="BO97">
        <f t="shared" si="93"/>
        <v>0</v>
      </c>
      <c r="BP97">
        <f t="shared" si="94"/>
        <v>3</v>
      </c>
      <c r="BQ97">
        <f t="shared" si="95"/>
        <v>0</v>
      </c>
      <c r="BR97">
        <f t="shared" si="96"/>
        <v>0</v>
      </c>
    </row>
    <row r="98" spans="1:70">
      <c r="A98" t="str">
        <f>'time 1'!B97</f>
        <v>&lt;test.TIFFFaxEncoder: int encode1D(byte[],int,int,int,byte[],int)&gt;</v>
      </c>
      <c r="B98">
        <f>AVERAGE('time 1'!D97/'time 1'!C97,'time 2'!D97/'time 2'!C97,'time 3'!D97/'time 3'!C97)</f>
        <v>1.0066390811914803</v>
      </c>
      <c r="C98">
        <f>AVERAGE('time 1'!F97/'time 1'!E97,'time 2'!F97/'time 2'!E97,'time 3'!F97/'time 3'!E97)</f>
        <v>0.99684647344398203</v>
      </c>
      <c r="D98">
        <f>AVERAGE('time 1'!H97/'time 1'!G97,'time 2'!H97/'time 2'!G97,'time 3'!H97/'time 3'!G97)</f>
        <v>1.1071374162540335</v>
      </c>
      <c r="E98">
        <f>AVERAGE('time 1'!J97/'time 2'!I97,'time 2'!J97/'time 2'!I97,'time 3'!J97/'time 3'!I97)</f>
        <v>1.0901332603139833</v>
      </c>
      <c r="F98">
        <f>AVERAGE('time 1'!L97/'time 1'!K97,'time 2'!L97/'time 2'!K97,'time 3'!L97/'time 3'!K97)</f>
        <v>1.1460231905357836</v>
      </c>
      <c r="G98">
        <f>AVERAGE('time 1'!N97/'time 1'!M97,'time 2'!N97/'time 2'!M97,'time 3'!N97/'time 3'!M97)</f>
        <v>0.9277461013645224</v>
      </c>
      <c r="H98">
        <f>AVERAGE('time 1'!P97/'time 1'!O97,'time 2'!P97/'time 2'!O97,'time 3'!P97/'time 3'!O97)</f>
        <v>1.0480024584091063</v>
      </c>
      <c r="I98">
        <f>AVERAGE('time 1'!R97/'time 1'!Q97,'time 2'!R97/'time 2'!Q97,'time 3'!R97/'time 3'!Q97)</f>
        <v>0.94797770114555557</v>
      </c>
      <c r="J98">
        <f>AVERAGE('time 1'!T97/'time 1'!S97,'time 2'!T97/'time 2'!S97,'time 3'!T97/'time 3'!S97)</f>
        <v>0.97604316713858674</v>
      </c>
      <c r="K98">
        <f t="shared" si="53"/>
        <v>4</v>
      </c>
      <c r="L98">
        <f t="shared" si="54"/>
        <v>5</v>
      </c>
      <c r="M98">
        <f t="shared" si="55"/>
        <v>0</v>
      </c>
      <c r="N98">
        <f t="shared" si="56"/>
        <v>0</v>
      </c>
      <c r="O98">
        <f t="shared" si="57"/>
        <v>0</v>
      </c>
      <c r="P98">
        <f t="shared" si="97"/>
        <v>3</v>
      </c>
      <c r="Q98">
        <f t="shared" si="98"/>
        <v>0</v>
      </c>
      <c r="R98">
        <f t="shared" si="58"/>
        <v>0</v>
      </c>
      <c r="S98">
        <f t="shared" si="59"/>
        <v>2</v>
      </c>
      <c r="T98">
        <f t="shared" si="60"/>
        <v>1</v>
      </c>
      <c r="U98">
        <f t="shared" si="61"/>
        <v>0</v>
      </c>
      <c r="V98">
        <f t="shared" si="62"/>
        <v>0</v>
      </c>
      <c r="W98">
        <f t="shared" si="63"/>
        <v>2</v>
      </c>
      <c r="X98">
        <f t="shared" si="64"/>
        <v>1</v>
      </c>
      <c r="Y98">
        <f t="shared" si="65"/>
        <v>0</v>
      </c>
      <c r="Z98">
        <f t="shared" si="66"/>
        <v>0</v>
      </c>
      <c r="AB98">
        <f>AVERAGE('accuracy dom5dom4'!$C98,'accuracy dom51dom41'!$C98,'accuracy dom52dom42'!$C98)</f>
        <v>0</v>
      </c>
      <c r="AC98">
        <f>AVERAGE('accuracy dom5dom4'!$G98,'accuracy dom51dom41'!$G98,'accuracy dom52dom42'!$G98)</f>
        <v>0</v>
      </c>
      <c r="AD98">
        <f>AVERAGE('accuracy dom5dom4'!$AB98,'accuracy dom51dom41'!$AB98,'accuracy dom52dom42'!$AB98)</f>
        <v>0</v>
      </c>
      <c r="AE98">
        <f>AVERAGE('accuracy dom7dom6'!$C98,'accuracy dom71dom61'!$C98,'accuracy dom72dom62'!$C98)</f>
        <v>0</v>
      </c>
      <c r="AF98">
        <f>AVERAGE('accuracy dom7dom6'!$G98,'accuracy dom71dom61'!$G98,'accuracy dom72dom62'!$G98)</f>
        <v>0</v>
      </c>
      <c r="AG98">
        <f>AVERAGE('accuracy dom7dom6'!$AB98,'accuracy dom71dom61'!$AB98,'accuracy dom72dom62'!$AB98)</f>
        <v>0</v>
      </c>
      <c r="AH98">
        <f>AVERAGE('accuracy dom9dom8'!$C98,'accuracy dom91dom81'!$C98,'accuracy dom92dom82'!$C98)</f>
        <v>0</v>
      </c>
      <c r="AI98">
        <f>AVERAGE('accuracy dom9dom8'!$G98,'accuracy dom91dom81'!$G98,'accuracy dom92dom82'!$G98)</f>
        <v>0</v>
      </c>
      <c r="AJ98">
        <f>AVERAGE('accuracy dom9dom8'!$AB98,'accuracy dom91dom81'!$AB98,'accuracy dom92dom82'!$AB98)</f>
        <v>0</v>
      </c>
      <c r="AK98">
        <f t="shared" si="67"/>
        <v>0</v>
      </c>
      <c r="AL98">
        <f t="shared" si="99"/>
        <v>0</v>
      </c>
      <c r="AM98">
        <f t="shared" si="100"/>
        <v>0</v>
      </c>
      <c r="AN98">
        <f t="shared" si="101"/>
        <v>0</v>
      </c>
      <c r="AO98">
        <f t="shared" si="68"/>
        <v>0</v>
      </c>
      <c r="AP98">
        <f t="shared" si="69"/>
        <v>0</v>
      </c>
      <c r="AQ98">
        <f t="shared" si="70"/>
        <v>0</v>
      </c>
      <c r="AR98">
        <f t="shared" si="71"/>
        <v>0</v>
      </c>
      <c r="AS98">
        <f t="shared" si="72"/>
        <v>0</v>
      </c>
      <c r="AT98">
        <f t="shared" si="73"/>
        <v>0</v>
      </c>
      <c r="AU98">
        <f t="shared" si="74"/>
        <v>0</v>
      </c>
      <c r="AV98">
        <f t="shared" si="75"/>
        <v>0</v>
      </c>
      <c r="AW98">
        <f t="shared" si="76"/>
        <v>0</v>
      </c>
      <c r="AX98">
        <f t="shared" si="77"/>
        <v>0</v>
      </c>
      <c r="AY98">
        <f t="shared" si="78"/>
        <v>0</v>
      </c>
      <c r="AZ98">
        <f t="shared" si="79"/>
        <v>0</v>
      </c>
      <c r="BA98">
        <f t="shared" si="80"/>
        <v>0</v>
      </c>
      <c r="BC98">
        <f t="shared" si="81"/>
        <v>0</v>
      </c>
      <c r="BD98">
        <f t="shared" si="82"/>
        <v>0</v>
      </c>
      <c r="BE98">
        <f t="shared" si="83"/>
        <v>0</v>
      </c>
      <c r="BF98">
        <f t="shared" si="84"/>
        <v>0</v>
      </c>
      <c r="BG98">
        <f t="shared" si="85"/>
        <v>0</v>
      </c>
      <c r="BH98">
        <f t="shared" si="86"/>
        <v>0</v>
      </c>
      <c r="BI98">
        <f t="shared" si="87"/>
        <v>0</v>
      </c>
      <c r="BJ98">
        <f t="shared" si="88"/>
        <v>0</v>
      </c>
      <c r="BK98">
        <f t="shared" si="89"/>
        <v>0</v>
      </c>
      <c r="BL98">
        <f t="shared" si="90"/>
        <v>0</v>
      </c>
      <c r="BM98">
        <f t="shared" si="91"/>
        <v>0</v>
      </c>
      <c r="BN98">
        <f t="shared" si="92"/>
        <v>0</v>
      </c>
      <c r="BO98">
        <f t="shared" si="93"/>
        <v>0</v>
      </c>
      <c r="BP98">
        <f t="shared" si="94"/>
        <v>0</v>
      </c>
      <c r="BQ98">
        <f t="shared" si="95"/>
        <v>0</v>
      </c>
      <c r="BR98">
        <f t="shared" si="96"/>
        <v>0</v>
      </c>
    </row>
    <row r="99" spans="1:70">
      <c r="A99" t="str">
        <f>'time 1'!B98</f>
        <v>&lt;test.TIFFFaxEncoder: int encodeRLE(byte[],int,int,int,byte[],boolean)&gt;</v>
      </c>
      <c r="B99">
        <f>AVERAGE('time 1'!D98/'time 1'!C98,'time 2'!D98/'time 2'!C98,'time 3'!D98/'time 3'!C98)</f>
        <v>1.0076096756568083</v>
      </c>
      <c r="C99">
        <f>AVERAGE('time 1'!F98/'time 1'!E98,'time 2'!F98/'time 2'!E98,'time 3'!F98/'time 3'!E98)</f>
        <v>0.94595807074538707</v>
      </c>
      <c r="D99">
        <f>AVERAGE('time 1'!H98/'time 1'!G98,'time 2'!H98/'time 2'!G98,'time 3'!H98/'time 3'!G98)</f>
        <v>1.072475321826815</v>
      </c>
      <c r="E99">
        <f>AVERAGE('time 1'!J98/'time 2'!I98,'time 2'!J98/'time 2'!I98,'time 3'!J98/'time 3'!I98)</f>
        <v>1.0296224812566841</v>
      </c>
      <c r="F99">
        <f>AVERAGE('time 1'!L98/'time 1'!K98,'time 2'!L98/'time 2'!K98,'time 3'!L98/'time 3'!K98)</f>
        <v>1.073029424741567</v>
      </c>
      <c r="G99">
        <f>AVERAGE('time 1'!N98/'time 1'!M98,'time 2'!N98/'time 2'!M98,'time 3'!N98/'time 3'!M98)</f>
        <v>1.0039958984187787</v>
      </c>
      <c r="H99">
        <f>AVERAGE('time 1'!P98/'time 1'!O98,'time 2'!P98/'time 2'!O98,'time 3'!P98/'time 3'!O98)</f>
        <v>1.0464757786246033</v>
      </c>
      <c r="I99">
        <f>AVERAGE('time 1'!R98/'time 1'!Q98,'time 2'!R98/'time 2'!Q98,'time 3'!R98/'time 3'!Q98)</f>
        <v>1.0181582970603926</v>
      </c>
      <c r="J99">
        <f>AVERAGE('time 1'!T98/'time 1'!S98,'time 2'!T98/'time 2'!S98,'time 3'!T98/'time 3'!S98)</f>
        <v>0.93700468328383313</v>
      </c>
      <c r="K99">
        <f t="shared" si="53"/>
        <v>2</v>
      </c>
      <c r="L99">
        <f t="shared" si="54"/>
        <v>7</v>
      </c>
      <c r="M99">
        <f t="shared" si="55"/>
        <v>0</v>
      </c>
      <c r="N99">
        <f t="shared" si="56"/>
        <v>0</v>
      </c>
      <c r="O99">
        <f t="shared" si="57"/>
        <v>0</v>
      </c>
      <c r="P99">
        <f t="shared" si="97"/>
        <v>3</v>
      </c>
      <c r="Q99">
        <f t="shared" si="98"/>
        <v>0</v>
      </c>
      <c r="R99">
        <f t="shared" si="58"/>
        <v>0</v>
      </c>
      <c r="S99">
        <f t="shared" si="59"/>
        <v>1</v>
      </c>
      <c r="T99">
        <f t="shared" si="60"/>
        <v>2</v>
      </c>
      <c r="U99">
        <f t="shared" si="61"/>
        <v>0</v>
      </c>
      <c r="V99">
        <f t="shared" si="62"/>
        <v>0</v>
      </c>
      <c r="W99">
        <f t="shared" si="63"/>
        <v>1</v>
      </c>
      <c r="X99">
        <f t="shared" si="64"/>
        <v>2</v>
      </c>
      <c r="Y99">
        <f t="shared" si="65"/>
        <v>0</v>
      </c>
      <c r="Z99">
        <f t="shared" si="66"/>
        <v>0</v>
      </c>
      <c r="AB99">
        <f>AVERAGE('accuracy dom5dom4'!$C99,'accuracy dom51dom41'!$C99,'accuracy dom52dom42'!$C99)</f>
        <v>0</v>
      </c>
      <c r="AC99">
        <f>AVERAGE('accuracy dom5dom4'!$G99,'accuracy dom51dom41'!$G99,'accuracy dom52dom42'!$G99)</f>
        <v>0</v>
      </c>
      <c r="AD99">
        <f>AVERAGE('accuracy dom5dom4'!$AB99,'accuracy dom51dom41'!$AB99,'accuracy dom52dom42'!$AB99)</f>
        <v>0</v>
      </c>
      <c r="AE99">
        <f>AVERAGE('accuracy dom7dom6'!$C99,'accuracy dom71dom61'!$C99,'accuracy dom72dom62'!$C99)</f>
        <v>0</v>
      </c>
      <c r="AF99">
        <f>AVERAGE('accuracy dom7dom6'!$G99,'accuracy dom71dom61'!$G99,'accuracy dom72dom62'!$G99)</f>
        <v>0</v>
      </c>
      <c r="AG99">
        <f>AVERAGE('accuracy dom7dom6'!$AB99,'accuracy dom71dom61'!$AB99,'accuracy dom72dom62'!$AB99)</f>
        <v>0</v>
      </c>
      <c r="AH99">
        <f>AVERAGE('accuracy dom9dom8'!$C99,'accuracy dom91dom81'!$C99,'accuracy dom92dom82'!$C99)</f>
        <v>0</v>
      </c>
      <c r="AI99">
        <f>AVERAGE('accuracy dom9dom8'!$G99,'accuracy dom91dom81'!$G99,'accuracy dom92dom82'!$G99)</f>
        <v>0</v>
      </c>
      <c r="AJ99">
        <f>AVERAGE('accuracy dom9dom8'!$AB99,'accuracy dom91dom81'!$AB99,'accuracy dom92dom82'!$AB99)</f>
        <v>0</v>
      </c>
      <c r="AK99">
        <f t="shared" si="67"/>
        <v>0</v>
      </c>
      <c r="AL99">
        <f t="shared" si="99"/>
        <v>0</v>
      </c>
      <c r="AM99">
        <f t="shared" si="100"/>
        <v>0</v>
      </c>
      <c r="AN99">
        <f t="shared" si="101"/>
        <v>0</v>
      </c>
      <c r="AO99">
        <f t="shared" si="68"/>
        <v>0</v>
      </c>
      <c r="AP99">
        <f t="shared" si="69"/>
        <v>0</v>
      </c>
      <c r="AQ99">
        <f t="shared" si="70"/>
        <v>0</v>
      </c>
      <c r="AR99">
        <f t="shared" si="71"/>
        <v>0</v>
      </c>
      <c r="AS99">
        <f t="shared" si="72"/>
        <v>0</v>
      </c>
      <c r="AT99">
        <f t="shared" si="73"/>
        <v>0</v>
      </c>
      <c r="AU99">
        <f t="shared" si="74"/>
        <v>0</v>
      </c>
      <c r="AV99">
        <f t="shared" si="75"/>
        <v>0</v>
      </c>
      <c r="AW99">
        <f t="shared" si="76"/>
        <v>0</v>
      </c>
      <c r="AX99">
        <f t="shared" si="77"/>
        <v>0</v>
      </c>
      <c r="AY99">
        <f t="shared" si="78"/>
        <v>0</v>
      </c>
      <c r="AZ99">
        <f t="shared" si="79"/>
        <v>0</v>
      </c>
      <c r="BA99">
        <f t="shared" si="80"/>
        <v>0</v>
      </c>
      <c r="BC99">
        <f t="shared" si="81"/>
        <v>0</v>
      </c>
      <c r="BD99">
        <f t="shared" si="82"/>
        <v>0</v>
      </c>
      <c r="BE99">
        <f t="shared" si="83"/>
        <v>0</v>
      </c>
      <c r="BF99">
        <f t="shared" si="84"/>
        <v>0</v>
      </c>
      <c r="BG99">
        <f t="shared" si="85"/>
        <v>0</v>
      </c>
      <c r="BH99">
        <f t="shared" si="86"/>
        <v>0</v>
      </c>
      <c r="BI99">
        <f t="shared" si="87"/>
        <v>0</v>
      </c>
      <c r="BJ99">
        <f t="shared" si="88"/>
        <v>0</v>
      </c>
      <c r="BK99">
        <f t="shared" si="89"/>
        <v>0</v>
      </c>
      <c r="BL99">
        <f t="shared" si="90"/>
        <v>0</v>
      </c>
      <c r="BM99">
        <f t="shared" si="91"/>
        <v>0</v>
      </c>
      <c r="BN99">
        <f t="shared" si="92"/>
        <v>0</v>
      </c>
      <c r="BO99">
        <f t="shared" si="93"/>
        <v>0</v>
      </c>
      <c r="BP99">
        <f t="shared" si="94"/>
        <v>0</v>
      </c>
      <c r="BQ99">
        <f t="shared" si="95"/>
        <v>0</v>
      </c>
      <c r="BR99">
        <f t="shared" si="96"/>
        <v>0</v>
      </c>
    </row>
    <row r="100" spans="1:70">
      <c r="A100" t="str">
        <f>'time 1'!B99</f>
        <v>&lt;test.TIFFFaxEncoder: int encodeT4(boolean,boolean,byte[],int,int,int,int,byte[])&gt;</v>
      </c>
      <c r="B100">
        <f>AVERAGE('time 1'!D99/'time 1'!C99,'time 2'!D99/'time 2'!C99,'time 3'!D99/'time 3'!C99)</f>
        <v>1.1611932720325739</v>
      </c>
      <c r="C100">
        <f>AVERAGE('time 1'!F99/'time 1'!E99,'time 2'!F99/'time 2'!E99,'time 3'!F99/'time 3'!E99)</f>
        <v>1.0607111308408905</v>
      </c>
      <c r="D100">
        <f>AVERAGE('time 1'!H99/'time 1'!G99,'time 2'!H99/'time 2'!G99,'time 3'!H99/'time 3'!G99)</f>
        <v>1.1510189046445352</v>
      </c>
      <c r="E100">
        <f>AVERAGE('time 1'!J99/'time 2'!I99,'time 2'!J99/'time 2'!I99,'time 3'!J99/'time 3'!I99)</f>
        <v>1.2439991204810248</v>
      </c>
      <c r="F100">
        <f>AVERAGE('time 1'!L99/'time 1'!K99,'time 2'!L99/'time 2'!K99,'time 3'!L99/'time 3'!K99)</f>
        <v>1.2228853042903718</v>
      </c>
      <c r="G100">
        <f>AVERAGE('time 1'!N99/'time 1'!M99,'time 2'!N99/'time 2'!M99,'time 3'!N99/'time 3'!M99)</f>
        <v>1.1822310471930619</v>
      </c>
      <c r="H100">
        <f>AVERAGE('time 1'!P99/'time 1'!O99,'time 2'!P99/'time 2'!O99,'time 3'!P99/'time 3'!O99)</f>
        <v>1.1107984280199334</v>
      </c>
      <c r="I100">
        <f>AVERAGE('time 1'!R99/'time 1'!Q99,'time 2'!R99/'time 2'!Q99,'time 3'!R99/'time 3'!Q99)</f>
        <v>0.92157492939055696</v>
      </c>
      <c r="J100">
        <f>AVERAGE('time 1'!T99/'time 1'!S99,'time 2'!T99/'time 2'!S99,'time 3'!T99/'time 3'!S99)</f>
        <v>1.1847682287524524</v>
      </c>
      <c r="K100">
        <f t="shared" si="53"/>
        <v>1</v>
      </c>
      <c r="L100">
        <f t="shared" si="54"/>
        <v>8</v>
      </c>
      <c r="M100">
        <f t="shared" si="55"/>
        <v>0</v>
      </c>
      <c r="N100">
        <f t="shared" si="56"/>
        <v>0</v>
      </c>
      <c r="O100">
        <f t="shared" si="57"/>
        <v>0</v>
      </c>
      <c r="P100">
        <f t="shared" si="97"/>
        <v>3</v>
      </c>
      <c r="Q100">
        <f t="shared" si="98"/>
        <v>0</v>
      </c>
      <c r="R100">
        <f t="shared" si="58"/>
        <v>0</v>
      </c>
      <c r="S100">
        <f t="shared" si="59"/>
        <v>1</v>
      </c>
      <c r="T100">
        <f t="shared" si="60"/>
        <v>2</v>
      </c>
      <c r="U100">
        <f t="shared" si="61"/>
        <v>0</v>
      </c>
      <c r="V100">
        <f t="shared" si="62"/>
        <v>0</v>
      </c>
      <c r="W100">
        <f t="shared" si="63"/>
        <v>0</v>
      </c>
      <c r="X100">
        <f t="shared" si="64"/>
        <v>3</v>
      </c>
      <c r="Y100">
        <f t="shared" si="65"/>
        <v>0</v>
      </c>
      <c r="Z100">
        <f t="shared" si="66"/>
        <v>0</v>
      </c>
      <c r="AB100">
        <f>AVERAGE('accuracy dom5dom4'!$C100,'accuracy dom51dom41'!$C100,'accuracy dom52dom42'!$C100)</f>
        <v>3.3333333333333335</v>
      </c>
      <c r="AC100">
        <f>AVERAGE('accuracy dom5dom4'!$G100,'accuracy dom51dom41'!$G100,'accuracy dom52dom42'!$G100)</f>
        <v>3.3333333333333335</v>
      </c>
      <c r="AD100">
        <f>AVERAGE('accuracy dom5dom4'!$AB100,'accuracy dom51dom41'!$AB100,'accuracy dom52dom42'!$AB100)</f>
        <v>3.3333333333333335</v>
      </c>
      <c r="AE100">
        <f>AVERAGE('accuracy dom7dom6'!$C100,'accuracy dom71dom61'!$C100,'accuracy dom72dom62'!$C100)</f>
        <v>4</v>
      </c>
      <c r="AF100">
        <f>AVERAGE('accuracy dom7dom6'!$G100,'accuracy dom71dom61'!$G100,'accuracy dom72dom62'!$G100)</f>
        <v>4</v>
      </c>
      <c r="AG100">
        <f>AVERAGE('accuracy dom7dom6'!$AB100,'accuracy dom71dom61'!$AB100,'accuracy dom72dom62'!$AB100)</f>
        <v>4</v>
      </c>
      <c r="AH100">
        <f>AVERAGE('accuracy dom9dom8'!$C100,'accuracy dom91dom81'!$C100,'accuracy dom92dom82'!$C100)</f>
        <v>4</v>
      </c>
      <c r="AI100">
        <f>AVERAGE('accuracy dom9dom8'!$G100,'accuracy dom91dom81'!$G100,'accuracy dom92dom82'!$G100)</f>
        <v>4</v>
      </c>
      <c r="AJ100">
        <f>AVERAGE('accuracy dom9dom8'!$AB100,'accuracy dom91dom81'!$AB100,'accuracy dom92dom82'!$AB100)</f>
        <v>4</v>
      </c>
      <c r="AK100">
        <f t="shared" si="67"/>
        <v>9</v>
      </c>
      <c r="AL100">
        <f t="shared" si="99"/>
        <v>4</v>
      </c>
      <c r="AM100">
        <f t="shared" si="100"/>
        <v>30</v>
      </c>
      <c r="AN100">
        <f t="shared" si="101"/>
        <v>0</v>
      </c>
      <c r="AO100">
        <f t="shared" si="68"/>
        <v>0</v>
      </c>
      <c r="AP100">
        <f t="shared" si="69"/>
        <v>0</v>
      </c>
      <c r="AQ100">
        <f t="shared" si="70"/>
        <v>11.333333333333334</v>
      </c>
      <c r="AR100">
        <f t="shared" si="71"/>
        <v>0</v>
      </c>
      <c r="AS100">
        <f t="shared" si="72"/>
        <v>0</v>
      </c>
      <c r="AT100">
        <f t="shared" si="73"/>
        <v>4</v>
      </c>
      <c r="AU100">
        <f t="shared" si="74"/>
        <v>7.3333333333333339</v>
      </c>
      <c r="AV100">
        <f t="shared" si="75"/>
        <v>0</v>
      </c>
      <c r="AW100">
        <f t="shared" si="76"/>
        <v>0</v>
      </c>
      <c r="AX100">
        <f t="shared" si="77"/>
        <v>0</v>
      </c>
      <c r="AY100">
        <f t="shared" si="78"/>
        <v>11.333333333333334</v>
      </c>
      <c r="AZ100">
        <f t="shared" si="79"/>
        <v>0</v>
      </c>
      <c r="BA100">
        <f t="shared" si="80"/>
        <v>0</v>
      </c>
      <c r="BC100">
        <f t="shared" si="81"/>
        <v>1</v>
      </c>
      <c r="BD100">
        <f t="shared" si="82"/>
        <v>8</v>
      </c>
      <c r="BE100">
        <f t="shared" si="83"/>
        <v>0</v>
      </c>
      <c r="BF100">
        <f t="shared" si="84"/>
        <v>0</v>
      </c>
      <c r="BG100">
        <f t="shared" si="85"/>
        <v>0</v>
      </c>
      <c r="BH100">
        <f t="shared" si="86"/>
        <v>3</v>
      </c>
      <c r="BI100">
        <f t="shared" si="87"/>
        <v>0</v>
      </c>
      <c r="BJ100">
        <f t="shared" si="88"/>
        <v>0</v>
      </c>
      <c r="BK100">
        <f t="shared" si="89"/>
        <v>1</v>
      </c>
      <c r="BL100">
        <f t="shared" si="90"/>
        <v>2</v>
      </c>
      <c r="BM100">
        <f t="shared" si="91"/>
        <v>0</v>
      </c>
      <c r="BN100">
        <f t="shared" si="92"/>
        <v>0</v>
      </c>
      <c r="BO100">
        <f t="shared" si="93"/>
        <v>0</v>
      </c>
      <c r="BP100">
        <f t="shared" si="94"/>
        <v>3</v>
      </c>
      <c r="BQ100">
        <f t="shared" si="95"/>
        <v>0</v>
      </c>
      <c r="BR100">
        <f t="shared" si="96"/>
        <v>0</v>
      </c>
    </row>
    <row r="101" spans="1:70">
      <c r="A101" t="str">
        <f>'time 1'!B100</f>
        <v>&lt;test.TIFFFaxEncoder: int encodeT6(byte[],int,int,int,int,byte[])&gt;</v>
      </c>
      <c r="B101">
        <f>AVERAGE('time 1'!D100/'time 1'!C100,'time 2'!D100/'time 2'!C100,'time 3'!D100/'time 3'!C100)</f>
        <v>1.0959363210766433</v>
      </c>
      <c r="C101">
        <f>AVERAGE('time 1'!F100/'time 1'!E100,'time 2'!F100/'time 2'!E100,'time 3'!F100/'time 3'!E100)</f>
        <v>1.1013882312966148</v>
      </c>
      <c r="D101">
        <f>AVERAGE('time 1'!H100/'time 1'!G100,'time 2'!H100/'time 2'!G100,'time 3'!H100/'time 3'!G100)</f>
        <v>1.0944266317166207</v>
      </c>
      <c r="E101">
        <f>AVERAGE('time 1'!J100/'time 2'!I100,'time 2'!J100/'time 2'!I100,'time 3'!J100/'time 3'!I100)</f>
        <v>1.1119886318030068</v>
      </c>
      <c r="F101">
        <f>AVERAGE('time 1'!L100/'time 1'!K100,'time 2'!L100/'time 2'!K100,'time 3'!L100/'time 3'!K100)</f>
        <v>1.156615503557606</v>
      </c>
      <c r="G101">
        <f>AVERAGE('time 1'!N100/'time 1'!M100,'time 2'!N100/'time 2'!M100,'time 3'!N100/'time 3'!M100)</f>
        <v>1.0610547050053734</v>
      </c>
      <c r="H101">
        <f>AVERAGE('time 1'!P100/'time 1'!O100,'time 2'!P100/'time 2'!O100,'time 3'!P100/'time 3'!O100)</f>
        <v>1.1348174359629362</v>
      </c>
      <c r="I101">
        <f>AVERAGE('time 1'!R100/'time 1'!Q100,'time 2'!R100/'time 2'!Q100,'time 3'!R100/'time 3'!Q100)</f>
        <v>0.94256558540664548</v>
      </c>
      <c r="J101">
        <f>AVERAGE('time 1'!T100/'time 1'!S100,'time 2'!T100/'time 2'!S100,'time 3'!T100/'time 3'!S100)</f>
        <v>1.0673812916156613</v>
      </c>
      <c r="K101">
        <f t="shared" si="53"/>
        <v>1</v>
      </c>
      <c r="L101">
        <f t="shared" si="54"/>
        <v>8</v>
      </c>
      <c r="M101">
        <f t="shared" si="55"/>
        <v>0</v>
      </c>
      <c r="N101">
        <f t="shared" si="56"/>
        <v>0</v>
      </c>
      <c r="O101">
        <f t="shared" si="57"/>
        <v>0</v>
      </c>
      <c r="P101">
        <f t="shared" si="97"/>
        <v>3</v>
      </c>
      <c r="Q101">
        <f t="shared" si="98"/>
        <v>0</v>
      </c>
      <c r="R101">
        <f t="shared" si="58"/>
        <v>0</v>
      </c>
      <c r="S101">
        <f t="shared" si="59"/>
        <v>1</v>
      </c>
      <c r="T101">
        <f t="shared" si="60"/>
        <v>2</v>
      </c>
      <c r="U101">
        <f t="shared" si="61"/>
        <v>0</v>
      </c>
      <c r="V101">
        <f t="shared" si="62"/>
        <v>0</v>
      </c>
      <c r="W101">
        <f t="shared" si="63"/>
        <v>0</v>
      </c>
      <c r="X101">
        <f t="shared" si="64"/>
        <v>3</v>
      </c>
      <c r="Y101">
        <f t="shared" si="65"/>
        <v>0</v>
      </c>
      <c r="Z101">
        <f t="shared" si="66"/>
        <v>0</v>
      </c>
      <c r="AB101">
        <f>AVERAGE('accuracy dom5dom4'!$C101,'accuracy dom51dom41'!$C101,'accuracy dom52dom42'!$C101)</f>
        <v>0</v>
      </c>
      <c r="AC101">
        <f>AVERAGE('accuracy dom5dom4'!$G101,'accuracy dom51dom41'!$G101,'accuracy dom52dom42'!$G101)</f>
        <v>0</v>
      </c>
      <c r="AD101">
        <f>AVERAGE('accuracy dom5dom4'!$AB101,'accuracy dom51dom41'!$AB101,'accuracy dom52dom42'!$AB101)</f>
        <v>0</v>
      </c>
      <c r="AE101">
        <f>AVERAGE('accuracy dom7dom6'!$C101,'accuracy dom71dom61'!$C101,'accuracy dom72dom62'!$C101)</f>
        <v>0</v>
      </c>
      <c r="AF101">
        <f>AVERAGE('accuracy dom7dom6'!$G101,'accuracy dom71dom61'!$G101,'accuracy dom72dom62'!$G101)</f>
        <v>0</v>
      </c>
      <c r="AG101">
        <f>AVERAGE('accuracy dom7dom6'!$AB101,'accuracy dom71dom61'!$AB101,'accuracy dom72dom62'!$AB101)</f>
        <v>0</v>
      </c>
      <c r="AH101">
        <f>AVERAGE('accuracy dom9dom8'!$C101,'accuracy dom91dom81'!$C101,'accuracy dom92dom82'!$C101)</f>
        <v>0</v>
      </c>
      <c r="AI101">
        <f>AVERAGE('accuracy dom9dom8'!$G101,'accuracy dom91dom81'!$G101,'accuracy dom92dom82'!$G101)</f>
        <v>0</v>
      </c>
      <c r="AJ101">
        <f>AVERAGE('accuracy dom9dom8'!$AB101,'accuracy dom91dom81'!$AB101,'accuracy dom92dom82'!$AB101)</f>
        <v>0</v>
      </c>
      <c r="AK101">
        <f t="shared" si="67"/>
        <v>0</v>
      </c>
      <c r="AL101">
        <f t="shared" si="99"/>
        <v>0</v>
      </c>
      <c r="AM101">
        <f t="shared" si="100"/>
        <v>0</v>
      </c>
      <c r="AN101">
        <f t="shared" si="101"/>
        <v>0</v>
      </c>
      <c r="AO101">
        <f t="shared" si="68"/>
        <v>0</v>
      </c>
      <c r="AP101">
        <f t="shared" si="69"/>
        <v>0</v>
      </c>
      <c r="AQ101">
        <f t="shared" si="70"/>
        <v>0</v>
      </c>
      <c r="AR101">
        <f t="shared" si="71"/>
        <v>0</v>
      </c>
      <c r="AS101">
        <f t="shared" si="72"/>
        <v>0</v>
      </c>
      <c r="AT101">
        <f t="shared" si="73"/>
        <v>0</v>
      </c>
      <c r="AU101">
        <f t="shared" si="74"/>
        <v>0</v>
      </c>
      <c r="AV101">
        <f t="shared" si="75"/>
        <v>0</v>
      </c>
      <c r="AW101">
        <f t="shared" si="76"/>
        <v>0</v>
      </c>
      <c r="AX101">
        <f t="shared" si="77"/>
        <v>0</v>
      </c>
      <c r="AY101">
        <f t="shared" si="78"/>
        <v>0</v>
      </c>
      <c r="AZ101">
        <f t="shared" si="79"/>
        <v>0</v>
      </c>
      <c r="BA101">
        <f t="shared" si="80"/>
        <v>0</v>
      </c>
      <c r="BC101">
        <f t="shared" si="81"/>
        <v>0</v>
      </c>
      <c r="BD101">
        <f t="shared" si="82"/>
        <v>0</v>
      </c>
      <c r="BE101">
        <f t="shared" si="83"/>
        <v>0</v>
      </c>
      <c r="BF101">
        <f t="shared" si="84"/>
        <v>0</v>
      </c>
      <c r="BG101">
        <f t="shared" si="85"/>
        <v>0</v>
      </c>
      <c r="BH101">
        <f t="shared" si="86"/>
        <v>0</v>
      </c>
      <c r="BI101">
        <f t="shared" si="87"/>
        <v>0</v>
      </c>
      <c r="BJ101">
        <f t="shared" si="88"/>
        <v>0</v>
      </c>
      <c r="BK101">
        <f t="shared" si="89"/>
        <v>0</v>
      </c>
      <c r="BL101">
        <f t="shared" si="90"/>
        <v>0</v>
      </c>
      <c r="BM101">
        <f t="shared" si="91"/>
        <v>0</v>
      </c>
      <c r="BN101">
        <f t="shared" si="92"/>
        <v>0</v>
      </c>
      <c r="BO101">
        <f t="shared" si="93"/>
        <v>0</v>
      </c>
      <c r="BP101">
        <f t="shared" si="94"/>
        <v>0</v>
      </c>
      <c r="BQ101">
        <f t="shared" si="95"/>
        <v>0</v>
      </c>
      <c r="BR101">
        <f t="shared" si="96"/>
        <v>0</v>
      </c>
    </row>
    <row r="102" spans="1:70">
      <c r="A102" t="str">
        <f>'time 1'!B101</f>
        <v>&lt;test.TIFFFaxEncoder: int nextState(byte[],int,int,int)&gt;</v>
      </c>
      <c r="B102">
        <f>AVERAGE('time 1'!D101/'time 1'!C101,'time 2'!D101/'time 2'!C101,'time 3'!D101/'time 3'!C101)</f>
        <v>1.1173787917982272</v>
      </c>
      <c r="C102">
        <f>AVERAGE('time 1'!F101/'time 1'!E101,'time 2'!F101/'time 2'!E101,'time 3'!F101/'time 3'!E101)</f>
        <v>1.1426644450540133</v>
      </c>
      <c r="D102">
        <f>AVERAGE('time 1'!H101/'time 1'!G101,'time 2'!H101/'time 2'!G101,'time 3'!H101/'time 3'!G101)</f>
        <v>1.3979106247528561</v>
      </c>
      <c r="E102">
        <f>AVERAGE('time 1'!J101/'time 2'!I101,'time 2'!J101/'time 2'!I101,'time 3'!J101/'time 3'!I101)</f>
        <v>1.1769745204272153</v>
      </c>
      <c r="F102">
        <f>AVERAGE('time 1'!L101/'time 1'!K101,'time 2'!L101/'time 2'!K101,'time 3'!L101/'time 3'!K101)</f>
        <v>1.1150986394965718</v>
      </c>
      <c r="G102">
        <f>AVERAGE('time 1'!N101/'time 1'!M101,'time 2'!N101/'time 2'!M101,'time 3'!N101/'time 3'!M101)</f>
        <v>1.1436932463279159</v>
      </c>
      <c r="H102">
        <f>AVERAGE('time 1'!P101/'time 1'!O101,'time 2'!P101/'time 2'!O101,'time 3'!P101/'time 3'!O101)</f>
        <v>1.1641744921965438</v>
      </c>
      <c r="I102">
        <f>AVERAGE('time 1'!R101/'time 1'!Q101,'time 2'!R101/'time 2'!Q101,'time 3'!R101/'time 3'!Q101)</f>
        <v>0.99373017669641761</v>
      </c>
      <c r="J102">
        <f>AVERAGE('time 1'!T101/'time 1'!S101,'time 2'!T101/'time 2'!S101,'time 3'!T101/'time 3'!S101)</f>
        <v>1.0833436658428839</v>
      </c>
      <c r="K102">
        <f t="shared" si="53"/>
        <v>1</v>
      </c>
      <c r="L102">
        <f t="shared" si="54"/>
        <v>8</v>
      </c>
      <c r="M102">
        <f t="shared" si="55"/>
        <v>0</v>
      </c>
      <c r="N102">
        <f t="shared" si="56"/>
        <v>0</v>
      </c>
      <c r="O102">
        <f t="shared" si="57"/>
        <v>0</v>
      </c>
      <c r="P102">
        <f t="shared" si="97"/>
        <v>3</v>
      </c>
      <c r="Q102">
        <f t="shared" si="98"/>
        <v>0</v>
      </c>
      <c r="R102">
        <f t="shared" si="58"/>
        <v>0</v>
      </c>
      <c r="S102">
        <f t="shared" si="59"/>
        <v>1</v>
      </c>
      <c r="T102">
        <f t="shared" si="60"/>
        <v>2</v>
      </c>
      <c r="U102">
        <f t="shared" si="61"/>
        <v>0</v>
      </c>
      <c r="V102">
        <f t="shared" si="62"/>
        <v>0</v>
      </c>
      <c r="W102">
        <f t="shared" si="63"/>
        <v>0</v>
      </c>
      <c r="X102">
        <f t="shared" si="64"/>
        <v>3</v>
      </c>
      <c r="Y102">
        <f t="shared" si="65"/>
        <v>0</v>
      </c>
      <c r="Z102">
        <f t="shared" si="66"/>
        <v>0</v>
      </c>
      <c r="AB102">
        <f>AVERAGE('accuracy dom5dom4'!$C102,'accuracy dom51dom41'!$C102,'accuracy dom52dom42'!$C102)</f>
        <v>0</v>
      </c>
      <c r="AC102">
        <f>AVERAGE('accuracy dom5dom4'!$G102,'accuracy dom51dom41'!$G102,'accuracy dom52dom42'!$G102)</f>
        <v>0</v>
      </c>
      <c r="AD102">
        <f>AVERAGE('accuracy dom5dom4'!$AB102,'accuracy dom51dom41'!$AB102,'accuracy dom52dom42'!$AB102)</f>
        <v>0</v>
      </c>
      <c r="AE102">
        <f>AVERAGE('accuracy dom7dom6'!$C102,'accuracy dom71dom61'!$C102,'accuracy dom72dom62'!$C102)</f>
        <v>0</v>
      </c>
      <c r="AF102">
        <f>AVERAGE('accuracy dom7dom6'!$G102,'accuracy dom71dom61'!$G102,'accuracy dom72dom62'!$G102)</f>
        <v>0</v>
      </c>
      <c r="AG102">
        <f>AVERAGE('accuracy dom7dom6'!$AB102,'accuracy dom71dom61'!$AB102,'accuracy dom72dom62'!$AB102)</f>
        <v>0</v>
      </c>
      <c r="AH102">
        <f>AVERAGE('accuracy dom9dom8'!$C102,'accuracy dom91dom81'!$C102,'accuracy dom92dom82'!$C102)</f>
        <v>0</v>
      </c>
      <c r="AI102">
        <f>AVERAGE('accuracy dom9dom8'!$G102,'accuracy dom91dom81'!$G102,'accuracy dom92dom82'!$G102)</f>
        <v>0</v>
      </c>
      <c r="AJ102">
        <f>AVERAGE('accuracy dom9dom8'!$AB102,'accuracy dom91dom81'!$AB102,'accuracy dom92dom82'!$AB102)</f>
        <v>0</v>
      </c>
      <c r="AK102">
        <f t="shared" si="67"/>
        <v>0</v>
      </c>
      <c r="AL102">
        <f t="shared" si="99"/>
        <v>0</v>
      </c>
      <c r="AM102">
        <f t="shared" si="100"/>
        <v>0</v>
      </c>
      <c r="AN102">
        <f t="shared" si="101"/>
        <v>0</v>
      </c>
      <c r="AO102">
        <f t="shared" si="68"/>
        <v>0</v>
      </c>
      <c r="AP102">
        <f t="shared" si="69"/>
        <v>0</v>
      </c>
      <c r="AQ102">
        <f t="shared" si="70"/>
        <v>0</v>
      </c>
      <c r="AR102">
        <f t="shared" si="71"/>
        <v>0</v>
      </c>
      <c r="AS102">
        <f t="shared" si="72"/>
        <v>0</v>
      </c>
      <c r="AT102">
        <f t="shared" si="73"/>
        <v>0</v>
      </c>
      <c r="AU102">
        <f t="shared" si="74"/>
        <v>0</v>
      </c>
      <c r="AV102">
        <f t="shared" si="75"/>
        <v>0</v>
      </c>
      <c r="AW102">
        <f t="shared" si="76"/>
        <v>0</v>
      </c>
      <c r="AX102">
        <f t="shared" si="77"/>
        <v>0</v>
      </c>
      <c r="AY102">
        <f t="shared" si="78"/>
        <v>0</v>
      </c>
      <c r="AZ102">
        <f t="shared" si="79"/>
        <v>0</v>
      </c>
      <c r="BA102">
        <f t="shared" si="80"/>
        <v>0</v>
      </c>
      <c r="BC102">
        <f t="shared" si="81"/>
        <v>0</v>
      </c>
      <c r="BD102">
        <f t="shared" si="82"/>
        <v>0</v>
      </c>
      <c r="BE102">
        <f t="shared" si="83"/>
        <v>0</v>
      </c>
      <c r="BF102">
        <f t="shared" si="84"/>
        <v>0</v>
      </c>
      <c r="BG102">
        <f t="shared" si="85"/>
        <v>0</v>
      </c>
      <c r="BH102">
        <f t="shared" si="86"/>
        <v>0</v>
      </c>
      <c r="BI102">
        <f t="shared" si="87"/>
        <v>0</v>
      </c>
      <c r="BJ102">
        <f t="shared" si="88"/>
        <v>0</v>
      </c>
      <c r="BK102">
        <f t="shared" si="89"/>
        <v>0</v>
      </c>
      <c r="BL102">
        <f t="shared" si="90"/>
        <v>0</v>
      </c>
      <c r="BM102">
        <f t="shared" si="91"/>
        <v>0</v>
      </c>
      <c r="BN102">
        <f t="shared" si="92"/>
        <v>0</v>
      </c>
      <c r="BO102">
        <f t="shared" si="93"/>
        <v>0</v>
      </c>
      <c r="BP102">
        <f t="shared" si="94"/>
        <v>0</v>
      </c>
      <c r="BQ102">
        <f t="shared" si="95"/>
        <v>0</v>
      </c>
      <c r="BR102">
        <f t="shared" si="96"/>
        <v>0</v>
      </c>
    </row>
    <row r="103" spans="1:70">
      <c r="A103" t="str">
        <f>'time 1'!B102</f>
        <v>&lt;test.TileRenderor: void &lt;init&gt;()&gt;</v>
      </c>
      <c r="B103">
        <f>AVERAGE('time 1'!D102/'time 1'!C102,'time 2'!D102/'time 2'!C102,'time 3'!D102/'time 3'!C102)</f>
        <v>1.06815895155345</v>
      </c>
      <c r="C103">
        <f>AVERAGE('time 1'!F102/'time 1'!E102,'time 2'!F102/'time 2'!E102,'time 3'!F102/'time 3'!E102)</f>
        <v>1.0766215930321292</v>
      </c>
      <c r="D103">
        <f>AVERAGE('time 1'!H102/'time 1'!G102,'time 2'!H102/'time 2'!G102,'time 3'!H102/'time 3'!G102)</f>
        <v>1.16673363276747</v>
      </c>
      <c r="E103">
        <f>AVERAGE('time 1'!J102/'time 2'!I102,'time 2'!J102/'time 2'!I102,'time 3'!J102/'time 3'!I102)</f>
        <v>1.1904149362343344</v>
      </c>
      <c r="F103">
        <f>AVERAGE('time 1'!L102/'time 1'!K102,'time 2'!L102/'time 2'!K102,'time 3'!L102/'time 3'!K102)</f>
        <v>1.1306995346228634</v>
      </c>
      <c r="G103">
        <f>AVERAGE('time 1'!N102/'time 1'!M102,'time 2'!N102/'time 2'!M102,'time 3'!N102/'time 3'!M102)</f>
        <v>1.1911764705882353</v>
      </c>
      <c r="H103">
        <f>AVERAGE('time 1'!P102/'time 1'!O102,'time 2'!P102/'time 2'!O102,'time 3'!P102/'time 3'!O102)</f>
        <v>1.227904905743392</v>
      </c>
      <c r="I103">
        <f>AVERAGE('time 1'!R102/'time 1'!Q102,'time 2'!R102/'time 2'!Q102,'time 3'!R102/'time 3'!Q102)</f>
        <v>1.0415036556390493</v>
      </c>
      <c r="J103">
        <f>AVERAGE('time 1'!T102/'time 1'!S102,'time 2'!T102/'time 2'!S102,'time 3'!T102/'time 3'!S102)</f>
        <v>1.1226296731935701</v>
      </c>
      <c r="K103">
        <f t="shared" si="53"/>
        <v>0</v>
      </c>
      <c r="L103">
        <f t="shared" si="54"/>
        <v>9</v>
      </c>
      <c r="M103">
        <f t="shared" si="55"/>
        <v>0</v>
      </c>
      <c r="N103">
        <f t="shared" si="56"/>
        <v>0</v>
      </c>
      <c r="O103">
        <f t="shared" si="57"/>
        <v>0</v>
      </c>
      <c r="P103">
        <f t="shared" si="97"/>
        <v>3</v>
      </c>
      <c r="Q103">
        <f t="shared" si="98"/>
        <v>0</v>
      </c>
      <c r="R103">
        <f t="shared" si="58"/>
        <v>0</v>
      </c>
      <c r="S103">
        <f t="shared" si="59"/>
        <v>0</v>
      </c>
      <c r="T103">
        <f t="shared" si="60"/>
        <v>3</v>
      </c>
      <c r="U103">
        <f t="shared" si="61"/>
        <v>0</v>
      </c>
      <c r="V103">
        <f t="shared" si="62"/>
        <v>0</v>
      </c>
      <c r="W103">
        <f t="shared" si="63"/>
        <v>0</v>
      </c>
      <c r="X103">
        <f t="shared" si="64"/>
        <v>3</v>
      </c>
      <c r="Y103">
        <f t="shared" si="65"/>
        <v>0</v>
      </c>
      <c r="Z103">
        <f t="shared" si="66"/>
        <v>0</v>
      </c>
      <c r="AB103">
        <f>AVERAGE('accuracy dom5dom4'!$C103,'accuracy dom51dom41'!$C103,'accuracy dom52dom42'!$C103)</f>
        <v>0</v>
      </c>
      <c r="AC103">
        <f>AVERAGE('accuracy dom5dom4'!$G103,'accuracy dom51dom41'!$G103,'accuracy dom52dom42'!$G103)</f>
        <v>0</v>
      </c>
      <c r="AD103">
        <f>AVERAGE('accuracy dom5dom4'!$AB103,'accuracy dom51dom41'!$AB103,'accuracy dom52dom42'!$AB103)</f>
        <v>0</v>
      </c>
      <c r="AE103">
        <f>AVERAGE('accuracy dom7dom6'!$C103,'accuracy dom71dom61'!$C103,'accuracy dom72dom62'!$C103)</f>
        <v>0</v>
      </c>
      <c r="AF103">
        <f>AVERAGE('accuracy dom7dom6'!$G103,'accuracy dom71dom61'!$G103,'accuracy dom72dom62'!$G103)</f>
        <v>0</v>
      </c>
      <c r="AG103">
        <f>AVERAGE('accuracy dom7dom6'!$AB103,'accuracy dom71dom61'!$AB103,'accuracy dom72dom62'!$AB103)</f>
        <v>0</v>
      </c>
      <c r="AH103">
        <f>AVERAGE('accuracy dom9dom8'!$C103,'accuracy dom91dom81'!$C103,'accuracy dom92dom82'!$C103)</f>
        <v>0</v>
      </c>
      <c r="AI103">
        <f>AVERAGE('accuracy dom9dom8'!$G103,'accuracy dom91dom81'!$G103,'accuracy dom92dom82'!$G103)</f>
        <v>0</v>
      </c>
      <c r="AJ103">
        <f>AVERAGE('accuracy dom9dom8'!$AB103,'accuracy dom91dom81'!$AB103,'accuracy dom92dom82'!$AB103)</f>
        <v>0</v>
      </c>
      <c r="AK103">
        <f t="shared" si="67"/>
        <v>0</v>
      </c>
      <c r="AL103">
        <f t="shared" si="99"/>
        <v>0</v>
      </c>
      <c r="AM103">
        <f t="shared" si="100"/>
        <v>0</v>
      </c>
      <c r="AN103">
        <f t="shared" si="101"/>
        <v>0</v>
      </c>
      <c r="AO103">
        <f t="shared" si="68"/>
        <v>0</v>
      </c>
      <c r="AP103">
        <f t="shared" si="69"/>
        <v>0</v>
      </c>
      <c r="AQ103">
        <f t="shared" si="70"/>
        <v>0</v>
      </c>
      <c r="AR103">
        <f t="shared" si="71"/>
        <v>0</v>
      </c>
      <c r="AS103">
        <f t="shared" si="72"/>
        <v>0</v>
      </c>
      <c r="AT103">
        <f t="shared" si="73"/>
        <v>0</v>
      </c>
      <c r="AU103">
        <f t="shared" si="74"/>
        <v>0</v>
      </c>
      <c r="AV103">
        <f t="shared" si="75"/>
        <v>0</v>
      </c>
      <c r="AW103">
        <f t="shared" si="76"/>
        <v>0</v>
      </c>
      <c r="AX103">
        <f t="shared" si="77"/>
        <v>0</v>
      </c>
      <c r="AY103">
        <f t="shared" si="78"/>
        <v>0</v>
      </c>
      <c r="AZ103">
        <f t="shared" si="79"/>
        <v>0</v>
      </c>
      <c r="BA103">
        <f t="shared" si="80"/>
        <v>0</v>
      </c>
      <c r="BC103">
        <f t="shared" si="81"/>
        <v>0</v>
      </c>
      <c r="BD103">
        <f t="shared" si="82"/>
        <v>0</v>
      </c>
      <c r="BE103">
        <f t="shared" si="83"/>
        <v>0</v>
      </c>
      <c r="BF103">
        <f t="shared" si="84"/>
        <v>0</v>
      </c>
      <c r="BG103">
        <f t="shared" si="85"/>
        <v>0</v>
      </c>
      <c r="BH103">
        <f t="shared" si="86"/>
        <v>0</v>
      </c>
      <c r="BI103">
        <f t="shared" si="87"/>
        <v>0</v>
      </c>
      <c r="BJ103">
        <f t="shared" si="88"/>
        <v>0</v>
      </c>
      <c r="BK103">
        <f t="shared" si="89"/>
        <v>0</v>
      </c>
      <c r="BL103">
        <f t="shared" si="90"/>
        <v>0</v>
      </c>
      <c r="BM103">
        <f t="shared" si="91"/>
        <v>0</v>
      </c>
      <c r="BN103">
        <f t="shared" si="92"/>
        <v>0</v>
      </c>
      <c r="BO103">
        <f t="shared" si="93"/>
        <v>0</v>
      </c>
      <c r="BP103">
        <f t="shared" si="94"/>
        <v>0</v>
      </c>
      <c r="BQ103">
        <f t="shared" si="95"/>
        <v>0</v>
      </c>
      <c r="BR103">
        <f t="shared" si="96"/>
        <v>0</v>
      </c>
    </row>
    <row r="104" spans="1:70">
      <c r="A104" t="str">
        <f>'time 1'!B103</f>
        <v>&lt;test.TileRenderor: void createRotatedImage(java.awt.Graphics,java.lang.String,java.awt.Color,java.awt.Color,int)&gt;</v>
      </c>
      <c r="B104">
        <f>AVERAGE('time 1'!D103/'time 1'!C103,'time 2'!D103/'time 2'!C103,'time 3'!D103/'time 3'!C103)</f>
        <v>1.02367715924173</v>
      </c>
      <c r="C104">
        <f>AVERAGE('time 1'!F103/'time 1'!E103,'time 2'!F103/'time 2'!E103,'time 3'!F103/'time 3'!E103)</f>
        <v>0.94435342789598098</v>
      </c>
      <c r="D104">
        <f>AVERAGE('time 1'!H103/'time 1'!G103,'time 2'!H103/'time 2'!G103,'time 3'!H103/'time 3'!G103)</f>
        <v>1.0101010101010102</v>
      </c>
      <c r="E104">
        <f>AVERAGE('time 1'!J103/'time 2'!I103,'time 2'!J103/'time 2'!I103,'time 3'!J103/'time 3'!I103)</f>
        <v>1.1136500754147811</v>
      </c>
      <c r="F104">
        <f>AVERAGE('time 1'!L103/'time 1'!K103,'time 2'!L103/'time 2'!K103,'time 3'!L103/'time 3'!K103)</f>
        <v>1.1103313259984608</v>
      </c>
      <c r="G104">
        <f>AVERAGE('time 1'!N103/'time 1'!M103,'time 2'!N103/'time 2'!M103,'time 3'!N103/'time 3'!M103)</f>
        <v>0.93198653198653192</v>
      </c>
      <c r="H104">
        <f>AVERAGE('time 1'!P103/'time 1'!O103,'time 2'!P103/'time 2'!O103,'time 3'!P103/'time 3'!O103)</f>
        <v>1.0483503679621484</v>
      </c>
      <c r="I104">
        <f>AVERAGE('time 1'!R103/'time 1'!Q103,'time 2'!R103/'time 2'!Q103,'time 3'!R103/'time 3'!Q103)</f>
        <v>0.9895034460618094</v>
      </c>
      <c r="J104">
        <f>AVERAGE('time 1'!T103/'time 1'!S103,'time 2'!T103/'time 2'!S103,'time 3'!T103/'time 3'!S103)</f>
        <v>1.0598566308243729</v>
      </c>
      <c r="K104">
        <f t="shared" si="53"/>
        <v>3</v>
      </c>
      <c r="L104">
        <f t="shared" si="54"/>
        <v>6</v>
      </c>
      <c r="M104">
        <f t="shared" si="55"/>
        <v>0</v>
      </c>
      <c r="N104">
        <f t="shared" si="56"/>
        <v>0</v>
      </c>
      <c r="O104">
        <f t="shared" si="57"/>
        <v>0</v>
      </c>
      <c r="P104">
        <f t="shared" si="97"/>
        <v>3</v>
      </c>
      <c r="Q104">
        <f t="shared" si="98"/>
        <v>0</v>
      </c>
      <c r="R104">
        <f t="shared" si="58"/>
        <v>0</v>
      </c>
      <c r="S104">
        <f t="shared" si="59"/>
        <v>2</v>
      </c>
      <c r="T104">
        <f t="shared" si="60"/>
        <v>1</v>
      </c>
      <c r="U104">
        <f t="shared" si="61"/>
        <v>0</v>
      </c>
      <c r="V104">
        <f t="shared" si="62"/>
        <v>0</v>
      </c>
      <c r="W104">
        <f t="shared" si="63"/>
        <v>1</v>
      </c>
      <c r="X104">
        <f t="shared" si="64"/>
        <v>2</v>
      </c>
      <c r="Y104">
        <f t="shared" si="65"/>
        <v>0</v>
      </c>
      <c r="Z104">
        <f t="shared" si="66"/>
        <v>0</v>
      </c>
      <c r="AB104">
        <f>AVERAGE('accuracy dom5dom4'!$C104,'accuracy dom51dom41'!$C104,'accuracy dom52dom42'!$C104)</f>
        <v>0</v>
      </c>
      <c r="AC104">
        <f>AVERAGE('accuracy dom5dom4'!$G104,'accuracy dom51dom41'!$G104,'accuracy dom52dom42'!$G104)</f>
        <v>0</v>
      </c>
      <c r="AD104">
        <f>AVERAGE('accuracy dom5dom4'!$AB104,'accuracy dom51dom41'!$AB104,'accuracy dom52dom42'!$AB104)</f>
        <v>0</v>
      </c>
      <c r="AE104">
        <f>AVERAGE('accuracy dom7dom6'!$C104,'accuracy dom71dom61'!$C104,'accuracy dom72dom62'!$C104)</f>
        <v>0</v>
      </c>
      <c r="AF104">
        <f>AVERAGE('accuracy dom7dom6'!$G104,'accuracy dom71dom61'!$G104,'accuracy dom72dom62'!$G104)</f>
        <v>0</v>
      </c>
      <c r="AG104">
        <f>AVERAGE('accuracy dom7dom6'!$AB104,'accuracy dom71dom61'!$AB104,'accuracy dom72dom62'!$AB104)</f>
        <v>0</v>
      </c>
      <c r="AH104">
        <f>AVERAGE('accuracy dom9dom8'!$C104,'accuracy dom91dom81'!$C104,'accuracy dom92dom82'!$C104)</f>
        <v>0</v>
      </c>
      <c r="AI104">
        <f>AVERAGE('accuracy dom9dom8'!$G104,'accuracy dom91dom81'!$G104,'accuracy dom92dom82'!$G104)</f>
        <v>0</v>
      </c>
      <c r="AJ104">
        <f>AVERAGE('accuracy dom9dom8'!$AB104,'accuracy dom91dom81'!$AB104,'accuracy dom92dom82'!$AB104)</f>
        <v>0</v>
      </c>
      <c r="AK104">
        <f t="shared" si="67"/>
        <v>0</v>
      </c>
      <c r="AL104">
        <f t="shared" si="99"/>
        <v>0</v>
      </c>
      <c r="AM104">
        <f t="shared" si="100"/>
        <v>0</v>
      </c>
      <c r="AN104">
        <f t="shared" si="101"/>
        <v>0</v>
      </c>
      <c r="AO104">
        <f t="shared" si="68"/>
        <v>0</v>
      </c>
      <c r="AP104">
        <f t="shared" si="69"/>
        <v>0</v>
      </c>
      <c r="AQ104">
        <f t="shared" si="70"/>
        <v>0</v>
      </c>
      <c r="AR104">
        <f t="shared" si="71"/>
        <v>0</v>
      </c>
      <c r="AS104">
        <f t="shared" si="72"/>
        <v>0</v>
      </c>
      <c r="AT104">
        <f t="shared" si="73"/>
        <v>0</v>
      </c>
      <c r="AU104">
        <f t="shared" si="74"/>
        <v>0</v>
      </c>
      <c r="AV104">
        <f t="shared" si="75"/>
        <v>0</v>
      </c>
      <c r="AW104">
        <f t="shared" si="76"/>
        <v>0</v>
      </c>
      <c r="AX104">
        <f t="shared" si="77"/>
        <v>0</v>
      </c>
      <c r="AY104">
        <f t="shared" si="78"/>
        <v>0</v>
      </c>
      <c r="AZ104">
        <f t="shared" si="79"/>
        <v>0</v>
      </c>
      <c r="BA104">
        <f t="shared" si="80"/>
        <v>0</v>
      </c>
      <c r="BC104">
        <f t="shared" si="81"/>
        <v>0</v>
      </c>
      <c r="BD104">
        <f t="shared" si="82"/>
        <v>0</v>
      </c>
      <c r="BE104">
        <f t="shared" si="83"/>
        <v>0</v>
      </c>
      <c r="BF104">
        <f t="shared" si="84"/>
        <v>0</v>
      </c>
      <c r="BG104">
        <f t="shared" si="85"/>
        <v>0</v>
      </c>
      <c r="BH104">
        <f t="shared" si="86"/>
        <v>0</v>
      </c>
      <c r="BI104">
        <f t="shared" si="87"/>
        <v>0</v>
      </c>
      <c r="BJ104">
        <f t="shared" si="88"/>
        <v>0</v>
      </c>
      <c r="BK104">
        <f t="shared" si="89"/>
        <v>0</v>
      </c>
      <c r="BL104">
        <f t="shared" si="90"/>
        <v>0</v>
      </c>
      <c r="BM104">
        <f t="shared" si="91"/>
        <v>0</v>
      </c>
      <c r="BN104">
        <f t="shared" si="92"/>
        <v>0</v>
      </c>
      <c r="BO104">
        <f t="shared" si="93"/>
        <v>0</v>
      </c>
      <c r="BP104">
        <f t="shared" si="94"/>
        <v>0</v>
      </c>
      <c r="BQ104">
        <f t="shared" si="95"/>
        <v>0</v>
      </c>
      <c r="BR104">
        <f t="shared" si="96"/>
        <v>0</v>
      </c>
    </row>
    <row r="105" spans="1:70">
      <c r="A105" t="str">
        <f>'time 1'!B104</f>
        <v>&lt;test.TileRenderor: void drawRoute(java.awt.Graphics,int,int,java.awt.Color)&gt;</v>
      </c>
      <c r="B105">
        <f>AVERAGE('time 1'!D104/'time 1'!C104,'time 2'!D104/'time 2'!C104,'time 3'!D104/'time 3'!C104)</f>
        <v>1.1635512784858102</v>
      </c>
      <c r="C105">
        <f>AVERAGE('time 1'!F104/'time 1'!E104,'time 2'!F104/'time 2'!E104,'time 3'!F104/'time 3'!E104)</f>
        <v>1.0605399981679555</v>
      </c>
      <c r="D105">
        <f>AVERAGE('time 1'!H104/'time 1'!G104,'time 2'!H104/'time 2'!G104,'time 3'!H104/'time 3'!G104)</f>
        <v>1.1084778183385231</v>
      </c>
      <c r="E105">
        <f>AVERAGE('time 1'!J104/'time 2'!I104,'time 2'!J104/'time 2'!I104,'time 3'!J104/'time 3'!I104)</f>
        <v>1.1891467433321867</v>
      </c>
      <c r="F105">
        <f>AVERAGE('time 1'!L104/'time 1'!K104,'time 2'!L104/'time 2'!K104,'time 3'!L104/'time 3'!K104)</f>
        <v>1.2500844597886067</v>
      </c>
      <c r="G105">
        <f>AVERAGE('time 1'!N104/'time 1'!M104,'time 2'!N104/'time 2'!M104,'time 3'!N104/'time 3'!M104)</f>
        <v>1.1489394554345262</v>
      </c>
      <c r="H105">
        <f>AVERAGE('time 1'!P104/'time 1'!O104,'time 2'!P104/'time 2'!O104,'time 3'!P104/'time 3'!O104)</f>
        <v>1.1976744124879999</v>
      </c>
      <c r="I105">
        <f>AVERAGE('time 1'!R104/'time 1'!Q104,'time 2'!R104/'time 2'!Q104,'time 3'!R104/'time 3'!Q104)</f>
        <v>0.90287948542905339</v>
      </c>
      <c r="J105">
        <f>AVERAGE('time 1'!T104/'time 1'!S104,'time 2'!T104/'time 2'!S104,'time 3'!T104/'time 3'!S104)</f>
        <v>1.1626296544321206</v>
      </c>
      <c r="K105">
        <f t="shared" si="53"/>
        <v>1</v>
      </c>
      <c r="L105">
        <f t="shared" si="54"/>
        <v>8</v>
      </c>
      <c r="M105">
        <f t="shared" si="55"/>
        <v>0</v>
      </c>
      <c r="N105">
        <f t="shared" si="56"/>
        <v>0</v>
      </c>
      <c r="O105">
        <f t="shared" si="57"/>
        <v>0</v>
      </c>
      <c r="P105">
        <f t="shared" si="97"/>
        <v>3</v>
      </c>
      <c r="Q105">
        <f t="shared" si="98"/>
        <v>0</v>
      </c>
      <c r="R105">
        <f t="shared" si="58"/>
        <v>0</v>
      </c>
      <c r="S105">
        <f t="shared" si="59"/>
        <v>1</v>
      </c>
      <c r="T105">
        <f t="shared" si="60"/>
        <v>2</v>
      </c>
      <c r="U105">
        <f t="shared" si="61"/>
        <v>0</v>
      </c>
      <c r="V105">
        <f t="shared" si="62"/>
        <v>0</v>
      </c>
      <c r="W105">
        <f xml:space="preserve"> IF($D105&lt;K$1,1,0)+IF($G105&lt;K$1,1,0)+ IF($J105&lt;K$1,1,0)</f>
        <v>0</v>
      </c>
      <c r="X105">
        <f t="shared" si="64"/>
        <v>3</v>
      </c>
      <c r="Y105">
        <f t="shared" si="65"/>
        <v>0</v>
      </c>
      <c r="Z105">
        <f t="shared" si="66"/>
        <v>0</v>
      </c>
      <c r="AB105">
        <f>AVERAGE('accuracy dom5dom4'!$C105,'accuracy dom51dom41'!$C105,'accuracy dom52dom42'!$C105)</f>
        <v>13</v>
      </c>
      <c r="AC105">
        <f>AVERAGE('accuracy dom5dom4'!$G105,'accuracy dom51dom41'!$G105,'accuracy dom52dom42'!$G105)</f>
        <v>13</v>
      </c>
      <c r="AD105">
        <f>AVERAGE('accuracy dom5dom4'!$AB105,'accuracy dom51dom41'!$AB105,'accuracy dom52dom42'!$AB105)</f>
        <v>13</v>
      </c>
      <c r="AE105">
        <f>AVERAGE('accuracy dom7dom6'!$C105,'accuracy dom71dom61'!$C105,'accuracy dom72dom62'!$C105)</f>
        <v>10.333333333333334</v>
      </c>
      <c r="AF105">
        <f>AVERAGE('accuracy dom7dom6'!$G105,'accuracy dom71dom61'!$G105,'accuracy dom72dom62'!$G105)</f>
        <v>10.333333333333334</v>
      </c>
      <c r="AG105">
        <f>AVERAGE('accuracy dom7dom6'!$AB105,'accuracy dom71dom61'!$AB105,'accuracy dom72dom62'!$AB105)</f>
        <v>10.333333333333334</v>
      </c>
      <c r="AH105">
        <f>AVERAGE('accuracy dom9dom8'!$C105,'accuracy dom91dom81'!$C105,'accuracy dom92dom82'!$C105)</f>
        <v>12.666666666666666</v>
      </c>
      <c r="AI105">
        <f>AVERAGE('accuracy dom9dom8'!$G105,'accuracy dom91dom81'!$G105,'accuracy dom92dom82'!$G105)</f>
        <v>12.666666666666666</v>
      </c>
      <c r="AJ105">
        <f>AVERAGE('accuracy dom9dom8'!$AB105,'accuracy dom91dom81'!$AB105,'accuracy dom92dom82'!$AB105)</f>
        <v>12.666666666666666</v>
      </c>
      <c r="AK105">
        <f t="shared" si="67"/>
        <v>9</v>
      </c>
      <c r="AL105">
        <f>IF($B105&lt;AL$1,$AB105,0)+IF($C105&lt;AL$1,$AC105,0)+ IF($D105&lt;AL$1,$AD105,0)+IF($E105&lt;AL$1,$AE105,0)+IF($F105&lt;AL$1,$AF105,0)+ IF($G105&lt;AL$1,$AG105,0)+IF($H105&lt;AL$1,$AH105,0)+IF($I105&lt;AL$1,$AI105,0)+ IF($J105&lt;AL$1,$AJ105,0)</f>
        <v>12.666666666666666</v>
      </c>
      <c r="AM105">
        <f t="shared" si="100"/>
        <v>95.333333333333343</v>
      </c>
      <c r="AN105">
        <f t="shared" si="101"/>
        <v>0</v>
      </c>
      <c r="AO105">
        <f t="shared" si="68"/>
        <v>0</v>
      </c>
      <c r="AP105">
        <f>IF($B105&lt;AL$1,AB105,0)+IF($E105&lt;AL$1,AE105,0)+IF($H105&lt;AL$1,AH105,0)</f>
        <v>0</v>
      </c>
      <c r="AQ105">
        <f t="shared" si="70"/>
        <v>36</v>
      </c>
      <c r="AR105">
        <f t="shared" si="71"/>
        <v>0</v>
      </c>
      <c r="AS105">
        <f t="shared" si="72"/>
        <v>0</v>
      </c>
      <c r="AT105">
        <f t="shared" si="73"/>
        <v>12.666666666666666</v>
      </c>
      <c r="AU105">
        <f t="shared" si="74"/>
        <v>23.333333333333336</v>
      </c>
      <c r="AV105">
        <f t="shared" si="75"/>
        <v>0</v>
      </c>
      <c r="AW105">
        <f t="shared" si="76"/>
        <v>0</v>
      </c>
      <c r="AX105">
        <f t="shared" si="77"/>
        <v>0</v>
      </c>
      <c r="AY105">
        <f t="shared" si="78"/>
        <v>36</v>
      </c>
      <c r="AZ105">
        <f t="shared" si="79"/>
        <v>0</v>
      </c>
      <c r="BA105">
        <f t="shared" si="80"/>
        <v>0</v>
      </c>
      <c r="BC105">
        <f t="shared" si="81"/>
        <v>1</v>
      </c>
      <c r="BD105">
        <f t="shared" si="82"/>
        <v>8</v>
      </c>
      <c r="BE105">
        <f t="shared" si="83"/>
        <v>0</v>
      </c>
      <c r="BF105">
        <f t="shared" si="84"/>
        <v>0</v>
      </c>
      <c r="BG105">
        <f t="shared" si="85"/>
        <v>0</v>
      </c>
      <c r="BH105">
        <f t="shared" si="86"/>
        <v>3</v>
      </c>
      <c r="BI105">
        <f t="shared" si="87"/>
        <v>0</v>
      </c>
      <c r="BJ105">
        <f t="shared" si="88"/>
        <v>0</v>
      </c>
      <c r="BK105">
        <f t="shared" si="89"/>
        <v>1</v>
      </c>
      <c r="BL105">
        <f t="shared" si="90"/>
        <v>2</v>
      </c>
      <c r="BM105">
        <f t="shared" si="91"/>
        <v>0</v>
      </c>
      <c r="BN105">
        <f t="shared" si="92"/>
        <v>0</v>
      </c>
      <c r="BO105">
        <f t="shared" si="93"/>
        <v>0</v>
      </c>
      <c r="BP105">
        <f t="shared" si="94"/>
        <v>3</v>
      </c>
      <c r="BQ105">
        <f t="shared" si="95"/>
        <v>0</v>
      </c>
      <c r="BR105">
        <f t="shared" si="96"/>
        <v>0</v>
      </c>
    </row>
    <row r="106" spans="1:70">
      <c r="A106" t="str">
        <f>'time 1'!B105</f>
        <v>&lt;test.TileRenderor: void drawTile(java.awt.Graphics,int,int,int,int)&gt;</v>
      </c>
      <c r="B106">
        <f>AVERAGE('time 1'!D105/'time 1'!C105,'time 2'!D105/'time 2'!C105,'time 3'!D105/'time 3'!C105)</f>
        <v>1.2235369526337205</v>
      </c>
      <c r="C106">
        <f>AVERAGE('time 1'!F105/'time 1'!E105,'time 2'!F105/'time 2'!E105,'time 3'!F105/'time 3'!E105)</f>
        <v>1.1804868836352711</v>
      </c>
      <c r="D106">
        <f>AVERAGE('time 1'!H105/'time 1'!G105,'time 2'!H105/'time 2'!G105,'time 3'!H105/'time 3'!G105)</f>
        <v>1.2126293937172188</v>
      </c>
      <c r="E106">
        <f>AVERAGE('time 1'!J105/'time 2'!I105,'time 2'!J105/'time 2'!I105,'time 3'!J105/'time 3'!I105)</f>
        <v>1.3772212022793313</v>
      </c>
      <c r="F106">
        <f>AVERAGE('time 1'!L105/'time 1'!K105,'time 2'!L105/'time 2'!K105,'time 3'!L105/'time 3'!K105)</f>
        <v>1.1604567949097764</v>
      </c>
      <c r="G106">
        <f>AVERAGE('time 1'!N105/'time 1'!M105,'time 2'!N105/'time 2'!M105,'time 3'!N105/'time 3'!M105)</f>
        <v>1.2500207461209663</v>
      </c>
      <c r="H106">
        <f>AVERAGE('time 1'!P105/'time 1'!O105,'time 2'!P105/'time 2'!O105,'time 3'!P105/'time 3'!O105)</f>
        <v>1.2729769086797911</v>
      </c>
      <c r="I106">
        <f>AVERAGE('time 1'!R105/'time 1'!Q105,'time 2'!R105/'time 2'!Q105,'time 3'!R105/'time 3'!Q105)</f>
        <v>1.2287197288537366</v>
      </c>
      <c r="J106">
        <f>AVERAGE('time 1'!T105/'time 1'!S105,'time 2'!T105/'time 2'!S105,'time 3'!T105/'time 3'!S105)</f>
        <v>1.2900230611218166</v>
      </c>
      <c r="K106">
        <f t="shared" si="53"/>
        <v>0</v>
      </c>
      <c r="L106">
        <f t="shared" si="54"/>
        <v>9</v>
      </c>
      <c r="M106">
        <f t="shared" si="55"/>
        <v>0</v>
      </c>
      <c r="N106">
        <f t="shared" si="56"/>
        <v>0</v>
      </c>
      <c r="O106">
        <f t="shared" si="57"/>
        <v>0</v>
      </c>
      <c r="P106">
        <f t="shared" si="97"/>
        <v>3</v>
      </c>
      <c r="Q106">
        <f t="shared" si="98"/>
        <v>0</v>
      </c>
      <c r="R106">
        <f t="shared" si="58"/>
        <v>0</v>
      </c>
      <c r="S106">
        <f t="shared" si="59"/>
        <v>0</v>
      </c>
      <c r="T106">
        <f t="shared" si="60"/>
        <v>3</v>
      </c>
      <c r="U106">
        <f t="shared" si="61"/>
        <v>0</v>
      </c>
      <c r="V106">
        <f t="shared" si="62"/>
        <v>0</v>
      </c>
      <c r="W106">
        <f t="shared" si="63"/>
        <v>0</v>
      </c>
      <c r="X106">
        <f t="shared" si="64"/>
        <v>3</v>
      </c>
      <c r="Y106">
        <f t="shared" si="65"/>
        <v>0</v>
      </c>
      <c r="Z106">
        <f t="shared" si="66"/>
        <v>0</v>
      </c>
      <c r="AB106">
        <f>AVERAGE('accuracy dom5dom4'!$C106,'accuracy dom51dom41'!$C106,'accuracy dom52dom42'!$C106)</f>
        <v>22.333333333333332</v>
      </c>
      <c r="AC106">
        <f>AVERAGE('accuracy dom5dom4'!$G106,'accuracy dom51dom41'!$G106,'accuracy dom52dom42'!$G106)</f>
        <v>22.333333333333332</v>
      </c>
      <c r="AD106">
        <f>AVERAGE('accuracy dom5dom4'!$AB106,'accuracy dom51dom41'!$AB106,'accuracy dom52dom42'!$AB106)</f>
        <v>22.333333333333332</v>
      </c>
      <c r="AE106">
        <f>AVERAGE('accuracy dom7dom6'!$C106,'accuracy dom71dom61'!$C106,'accuracy dom72dom62'!$C106)</f>
        <v>20.333333333333332</v>
      </c>
      <c r="AF106">
        <f>AVERAGE('accuracy dom7dom6'!$G106,'accuracy dom71dom61'!$G106,'accuracy dom72dom62'!$G106)</f>
        <v>20.333333333333332</v>
      </c>
      <c r="AG106">
        <f>AVERAGE('accuracy dom7dom6'!$AB106,'accuracy dom71dom61'!$AB106,'accuracy dom72dom62'!$AB106)</f>
        <v>20.333333333333332</v>
      </c>
      <c r="AH106">
        <f>AVERAGE('accuracy dom9dom8'!$C106,'accuracy dom91dom81'!$C106,'accuracy dom92dom82'!$C106)</f>
        <v>21</v>
      </c>
      <c r="AI106">
        <f>AVERAGE('accuracy dom9dom8'!$G106,'accuracy dom91dom81'!$G106,'accuracy dom92dom82'!$G106)</f>
        <v>21</v>
      </c>
      <c r="AJ106">
        <f>AVERAGE('accuracy dom9dom8'!$AB106,'accuracy dom91dom81'!$AB106,'accuracy dom92dom82'!$AB106)</f>
        <v>21</v>
      </c>
      <c r="AK106">
        <f t="shared" si="67"/>
        <v>9</v>
      </c>
      <c r="AL106">
        <f t="shared" si="99"/>
        <v>0</v>
      </c>
      <c r="AM106">
        <f t="shared" si="100"/>
        <v>191</v>
      </c>
      <c r="AN106">
        <f t="shared" si="101"/>
        <v>0</v>
      </c>
      <c r="AO106">
        <f t="shared" si="68"/>
        <v>0</v>
      </c>
      <c r="AP106">
        <f t="shared" si="69"/>
        <v>0</v>
      </c>
      <c r="AQ106">
        <f t="shared" si="70"/>
        <v>63.666666666666664</v>
      </c>
      <c r="AR106">
        <f t="shared" si="71"/>
        <v>0</v>
      </c>
      <c r="AS106">
        <f t="shared" si="72"/>
        <v>0</v>
      </c>
      <c r="AT106">
        <f t="shared" si="73"/>
        <v>0</v>
      </c>
      <c r="AU106">
        <f t="shared" si="74"/>
        <v>63.666666666666664</v>
      </c>
      <c r="AV106">
        <f t="shared" si="75"/>
        <v>0</v>
      </c>
      <c r="AW106">
        <f t="shared" si="76"/>
        <v>0</v>
      </c>
      <c r="AX106">
        <f t="shared" si="77"/>
        <v>0</v>
      </c>
      <c r="AY106">
        <f t="shared" si="78"/>
        <v>63.666666666666664</v>
      </c>
      <c r="AZ106">
        <f t="shared" si="79"/>
        <v>0</v>
      </c>
      <c r="BA106">
        <f t="shared" si="80"/>
        <v>0</v>
      </c>
      <c r="BC106">
        <f t="shared" si="81"/>
        <v>0</v>
      </c>
      <c r="BD106">
        <f t="shared" si="82"/>
        <v>9</v>
      </c>
      <c r="BE106">
        <f t="shared" si="83"/>
        <v>0</v>
      </c>
      <c r="BF106">
        <f t="shared" si="84"/>
        <v>0</v>
      </c>
      <c r="BG106">
        <f t="shared" si="85"/>
        <v>0</v>
      </c>
      <c r="BH106">
        <f t="shared" si="86"/>
        <v>3</v>
      </c>
      <c r="BI106">
        <f t="shared" si="87"/>
        <v>0</v>
      </c>
      <c r="BJ106">
        <f t="shared" si="88"/>
        <v>0</v>
      </c>
      <c r="BK106">
        <f t="shared" si="89"/>
        <v>0</v>
      </c>
      <c r="BL106">
        <f t="shared" si="90"/>
        <v>3</v>
      </c>
      <c r="BM106">
        <f t="shared" si="91"/>
        <v>0</v>
      </c>
      <c r="BN106">
        <f t="shared" si="92"/>
        <v>0</v>
      </c>
      <c r="BO106">
        <f t="shared" si="93"/>
        <v>0</v>
      </c>
      <c r="BP106">
        <f t="shared" si="94"/>
        <v>3</v>
      </c>
      <c r="BQ106">
        <f t="shared" si="95"/>
        <v>0</v>
      </c>
      <c r="BR106">
        <f t="shared" si="96"/>
        <v>0</v>
      </c>
    </row>
    <row r="107" spans="1:70">
      <c r="A107" t="str">
        <f>'time 1'!B106</f>
        <v>&lt;test.WorldController: boolean method324(int,int,int,int)&gt;</v>
      </c>
      <c r="B107">
        <f>AVERAGE('time 1'!D106/'time 1'!C106,'time 2'!D106/'time 2'!C106,'time 3'!D106/'time 3'!C106)</f>
        <v>1.2652160946686386</v>
      </c>
      <c r="C107">
        <f>AVERAGE('time 1'!F106/'time 1'!E106,'time 2'!F106/'time 2'!E106,'time 3'!F106/'time 3'!E106)</f>
        <v>1.0281853643734165</v>
      </c>
      <c r="D107">
        <f>AVERAGE('time 1'!H106/'time 1'!G106,'time 2'!H106/'time 2'!G106,'time 3'!H106/'time 3'!G106)</f>
        <v>1.2422449710194698</v>
      </c>
      <c r="E107">
        <f>AVERAGE('time 1'!J106/'time 2'!I106,'time 2'!J106/'time 2'!I106,'time 3'!J106/'time 3'!I106)</f>
        <v>1.4008484340325111</v>
      </c>
      <c r="F107">
        <f>AVERAGE('time 1'!L106/'time 1'!K106,'time 2'!L106/'time 2'!K106,'time 3'!L106/'time 3'!K106)</f>
        <v>1.0936588346544713</v>
      </c>
      <c r="G107">
        <f>AVERAGE('time 1'!N106/'time 1'!M106,'time 2'!N106/'time 2'!M106,'time 3'!N106/'time 3'!M106)</f>
        <v>1.319675778363391</v>
      </c>
      <c r="H107">
        <f>AVERAGE('time 1'!P106/'time 1'!O106,'time 2'!P106/'time 2'!O106,'time 3'!P106/'time 3'!O106)</f>
        <v>1.3048279175930586</v>
      </c>
      <c r="I107">
        <f>AVERAGE('time 1'!R106/'time 1'!Q106,'time 2'!R106/'time 2'!Q106,'time 3'!R106/'time 3'!Q106)</f>
        <v>0.93360287263201347</v>
      </c>
      <c r="J107">
        <f>AVERAGE('time 1'!T106/'time 1'!S106,'time 2'!T106/'time 2'!S106,'time 3'!T106/'time 3'!S106)</f>
        <v>1.3026484940253102</v>
      </c>
      <c r="K107">
        <f t="shared" si="53"/>
        <v>1</v>
      </c>
      <c r="L107">
        <f t="shared" si="54"/>
        <v>8</v>
      </c>
      <c r="M107">
        <f t="shared" si="55"/>
        <v>0</v>
      </c>
      <c r="N107">
        <f t="shared" si="56"/>
        <v>0</v>
      </c>
      <c r="O107">
        <f t="shared" si="57"/>
        <v>0</v>
      </c>
      <c r="P107">
        <f t="shared" si="97"/>
        <v>3</v>
      </c>
      <c r="Q107">
        <f t="shared" si="98"/>
        <v>0</v>
      </c>
      <c r="R107">
        <f t="shared" si="58"/>
        <v>0</v>
      </c>
      <c r="S107">
        <f t="shared" si="59"/>
        <v>1</v>
      </c>
      <c r="T107">
        <f t="shared" si="60"/>
        <v>2</v>
      </c>
      <c r="U107">
        <f t="shared" si="61"/>
        <v>0</v>
      </c>
      <c r="V107">
        <f t="shared" si="62"/>
        <v>0</v>
      </c>
      <c r="W107">
        <f t="shared" si="63"/>
        <v>0</v>
      </c>
      <c r="X107">
        <f t="shared" si="64"/>
        <v>3</v>
      </c>
      <c r="Y107">
        <f t="shared" si="65"/>
        <v>0</v>
      </c>
      <c r="Z107">
        <f t="shared" si="66"/>
        <v>0</v>
      </c>
      <c r="AB107">
        <f>AVERAGE('accuracy dom5dom4'!$C107,'accuracy dom51dom41'!$C107,'accuracy dom52dom42'!$C107)</f>
        <v>20.666666666666668</v>
      </c>
      <c r="AC107">
        <f>AVERAGE('accuracy dom5dom4'!$G107,'accuracy dom51dom41'!$G107,'accuracy dom52dom42'!$G107)</f>
        <v>20.666666666666668</v>
      </c>
      <c r="AD107">
        <f>AVERAGE('accuracy dom5dom4'!$AB107,'accuracy dom51dom41'!$AB107,'accuracy dom52dom42'!$AB107)</f>
        <v>20.666666666666668</v>
      </c>
      <c r="AE107">
        <f>AVERAGE('accuracy dom7dom6'!$C107,'accuracy dom71dom61'!$C107,'accuracy dom72dom62'!$C107)</f>
        <v>20.666666666666668</v>
      </c>
      <c r="AF107">
        <f>AVERAGE('accuracy dom7dom6'!$G107,'accuracy dom71dom61'!$G107,'accuracy dom72dom62'!$G107)</f>
        <v>20.666666666666668</v>
      </c>
      <c r="AG107">
        <f>AVERAGE('accuracy dom7dom6'!$AB107,'accuracy dom71dom61'!$AB107,'accuracy dom72dom62'!$AB107)</f>
        <v>20.666666666666668</v>
      </c>
      <c r="AH107">
        <f>AVERAGE('accuracy dom9dom8'!$C107,'accuracy dom91dom81'!$C107,'accuracy dom92dom82'!$C107)</f>
        <v>21</v>
      </c>
      <c r="AI107">
        <f>AVERAGE('accuracy dom9dom8'!$G107,'accuracy dom91dom81'!$G107,'accuracy dom92dom82'!$G107)</f>
        <v>21</v>
      </c>
      <c r="AJ107">
        <f>AVERAGE('accuracy dom9dom8'!$AB107,'accuracy dom91dom81'!$AB107,'accuracy dom92dom82'!$AB107)</f>
        <v>21</v>
      </c>
      <c r="AK107">
        <f t="shared" si="67"/>
        <v>9</v>
      </c>
      <c r="AL107">
        <f t="shared" si="99"/>
        <v>21</v>
      </c>
      <c r="AM107">
        <f>IF($B107&lt;AM$1,$AB107,0)+IF($C107&lt;AM$1,$AC107,0)+ IF($D107&lt;AM$1,$AD107,0)+IF($E107&lt;AM$1,$AE107,0)+IF($F107&lt;AM$1,$AF107,0)+ IF($G107&lt;AM$1,$AG107,0)+IF($H107&lt;AM$1,$AH107,0)+IF($I107&lt;AM$1,$AI107,0)+ IF($J107&lt;AM$1,$AJ107,0)-AL107</f>
        <v>166</v>
      </c>
      <c r="AN107">
        <f t="shared" si="101"/>
        <v>0</v>
      </c>
      <c r="AO107">
        <f t="shared" si="68"/>
        <v>0</v>
      </c>
      <c r="AP107">
        <f t="shared" si="69"/>
        <v>0</v>
      </c>
      <c r="AQ107">
        <f t="shared" si="70"/>
        <v>62.333333333333336</v>
      </c>
      <c r="AR107">
        <f t="shared" si="71"/>
        <v>0</v>
      </c>
      <c r="AS107">
        <f t="shared" si="72"/>
        <v>0</v>
      </c>
      <c r="AT107">
        <f t="shared" si="73"/>
        <v>21</v>
      </c>
      <c r="AU107">
        <f t="shared" si="74"/>
        <v>41.333333333333336</v>
      </c>
      <c r="AV107">
        <f t="shared" si="75"/>
        <v>0</v>
      </c>
      <c r="AW107">
        <f t="shared" si="76"/>
        <v>0</v>
      </c>
      <c r="AX107">
        <f t="shared" si="77"/>
        <v>0</v>
      </c>
      <c r="AY107">
        <f t="shared" si="78"/>
        <v>62.333333333333336</v>
      </c>
      <c r="AZ107">
        <f t="shared" si="79"/>
        <v>0</v>
      </c>
      <c r="BA107">
        <f t="shared" si="80"/>
        <v>0</v>
      </c>
      <c r="BC107">
        <f t="shared" si="81"/>
        <v>1</v>
      </c>
      <c r="BD107">
        <f t="shared" si="82"/>
        <v>8</v>
      </c>
      <c r="BE107">
        <f t="shared" si="83"/>
        <v>0</v>
      </c>
      <c r="BF107">
        <f t="shared" si="84"/>
        <v>0</v>
      </c>
      <c r="BG107">
        <f t="shared" si="85"/>
        <v>0</v>
      </c>
      <c r="BH107">
        <f t="shared" si="86"/>
        <v>3</v>
      </c>
      <c r="BI107">
        <f t="shared" si="87"/>
        <v>0</v>
      </c>
      <c r="BJ107">
        <f t="shared" si="88"/>
        <v>0</v>
      </c>
      <c r="BK107">
        <f t="shared" si="89"/>
        <v>1</v>
      </c>
      <c r="BL107">
        <f t="shared" si="90"/>
        <v>2</v>
      </c>
      <c r="BM107">
        <f t="shared" si="91"/>
        <v>0</v>
      </c>
      <c r="BN107">
        <f t="shared" si="92"/>
        <v>0</v>
      </c>
      <c r="BO107">
        <f t="shared" si="93"/>
        <v>0</v>
      </c>
      <c r="BP107">
        <f t="shared" si="94"/>
        <v>3</v>
      </c>
      <c r="BQ107">
        <f t="shared" si="95"/>
        <v>0</v>
      </c>
      <c r="BR107">
        <f t="shared" si="96"/>
        <v>0</v>
      </c>
    </row>
    <row r="108" spans="1:70">
      <c r="K108">
        <f>SUM(K3:K107)</f>
        <v>159</v>
      </c>
      <c r="L108">
        <f>SUM(L3:L107)</f>
        <v>697</v>
      </c>
      <c r="M108">
        <f t="shared" ref="M108:N108" si="102">SUM(M3:M107)</f>
        <v>53</v>
      </c>
      <c r="N108">
        <f t="shared" si="102"/>
        <v>36</v>
      </c>
      <c r="O108">
        <f>SUM(O3:O107)</f>
        <v>29</v>
      </c>
      <c r="P108">
        <f t="shared" ref="O108:P108" si="103">SUM(P3:P107)</f>
        <v>250</v>
      </c>
      <c r="Q108">
        <f t="shared" ref="Q108" si="104">SUM(Q3:Q107)</f>
        <v>21</v>
      </c>
      <c r="R108">
        <f t="shared" ref="R108" si="105">SUM(R3:R107)</f>
        <v>15</v>
      </c>
      <c r="S108">
        <f t="shared" ref="S108:T108" si="106">SUM(S3:S107)</f>
        <v>82</v>
      </c>
      <c r="T108">
        <f t="shared" si="106"/>
        <v>214</v>
      </c>
      <c r="U108">
        <f t="shared" ref="U108" si="107">SUM(U3:U107)</f>
        <v>12</v>
      </c>
      <c r="V108">
        <f t="shared" ref="V108" si="108">SUM(V3:V107)</f>
        <v>7</v>
      </c>
      <c r="W108">
        <f t="shared" ref="W108:X108" si="109">SUM(W3:W107)</f>
        <v>48</v>
      </c>
      <c r="X108">
        <f t="shared" si="109"/>
        <v>233</v>
      </c>
      <c r="Y108">
        <f t="shared" ref="Y108" si="110">SUM(Y3:Y107)</f>
        <v>20</v>
      </c>
      <c r="Z108">
        <f t="shared" ref="Z108:AN108" si="111">SUM(Z3:Z107)</f>
        <v>14</v>
      </c>
      <c r="AB108" s="14">
        <f t="shared" si="111"/>
        <v>419.66666666666663</v>
      </c>
      <c r="AC108" s="14">
        <f t="shared" si="111"/>
        <v>425.66666666666663</v>
      </c>
      <c r="AD108" s="14">
        <f t="shared" si="111"/>
        <v>425.66666666666663</v>
      </c>
      <c r="AE108" s="14">
        <f t="shared" si="111"/>
        <v>421.33333333333326</v>
      </c>
      <c r="AF108" s="14">
        <f t="shared" si="111"/>
        <v>423.99999999999994</v>
      </c>
      <c r="AG108" s="14">
        <f t="shared" si="111"/>
        <v>425.66666666666663</v>
      </c>
      <c r="AH108" s="14">
        <f t="shared" si="111"/>
        <v>433.66666666666663</v>
      </c>
      <c r="AI108" s="14">
        <f t="shared" si="111"/>
        <v>437.66666666666663</v>
      </c>
      <c r="AJ108" s="14">
        <f t="shared" si="111"/>
        <v>439</v>
      </c>
      <c r="AL108">
        <f t="shared" si="111"/>
        <v>590</v>
      </c>
      <c r="AM108">
        <f t="shared" si="111"/>
        <v>2401</v>
      </c>
      <c r="AN108">
        <f t="shared" si="111"/>
        <v>372.33333333333331</v>
      </c>
      <c r="AO108">
        <f>SUM(AO3:AO107)</f>
        <v>535.33333333333337</v>
      </c>
      <c r="AP108">
        <f t="shared" ref="AP108:BC108" si="112">SUM(AP3:AP107)</f>
        <v>69</v>
      </c>
      <c r="AQ108">
        <f t="shared" si="112"/>
        <v>906</v>
      </c>
      <c r="AR108">
        <f t="shared" si="112"/>
        <v>97.333333333333343</v>
      </c>
      <c r="AS108">
        <f t="shared" si="112"/>
        <v>216.66666666666669</v>
      </c>
      <c r="AT108">
        <f t="shared" si="112"/>
        <v>429.66666666666669</v>
      </c>
      <c r="AU108">
        <f t="shared" si="112"/>
        <v>613.66666666666674</v>
      </c>
      <c r="AV108">
        <f t="shared" si="112"/>
        <v>155.66666666666666</v>
      </c>
      <c r="AW108">
        <f t="shared" si="112"/>
        <v>120.33333333333333</v>
      </c>
      <c r="AX108">
        <f t="shared" si="112"/>
        <v>91.333333333333343</v>
      </c>
      <c r="AY108">
        <f t="shared" si="112"/>
        <v>881.33333333333348</v>
      </c>
      <c r="AZ108">
        <f t="shared" si="112"/>
        <v>119.33333333333334</v>
      </c>
      <c r="BA108">
        <f t="shared" si="112"/>
        <v>198.33333333333331</v>
      </c>
      <c r="BC108">
        <f t="shared" si="112"/>
        <v>57</v>
      </c>
      <c r="BD108">
        <f t="shared" ref="BD108" si="113">SUM(BD3:BD107)</f>
        <v>332</v>
      </c>
      <c r="BE108">
        <f t="shared" ref="BE108" si="114">SUM(BE3:BE107)</f>
        <v>42</v>
      </c>
      <c r="BF108">
        <f t="shared" ref="BF108" si="115">SUM(BF3:BF107)</f>
        <v>36</v>
      </c>
      <c r="BG108">
        <f t="shared" ref="BG108" si="116">SUM(BG3:BG107)</f>
        <v>8</v>
      </c>
      <c r="BH108">
        <f t="shared" ref="BH108" si="117">SUM(BH3:BH107)</f>
        <v>118</v>
      </c>
      <c r="BI108">
        <f t="shared" ref="BI108" si="118">SUM(BI3:BI107)</f>
        <v>15</v>
      </c>
      <c r="BJ108">
        <f t="shared" ref="BJ108" si="119">SUM(BJ3:BJ107)</f>
        <v>12</v>
      </c>
      <c r="BK108">
        <f t="shared" ref="BK108" si="120">SUM(BK3:BK107)</f>
        <v>38</v>
      </c>
      <c r="BL108">
        <f t="shared" ref="BL108" si="121">SUM(BL3:BL107)</f>
        <v>98</v>
      </c>
      <c r="BM108">
        <f t="shared" ref="BM108" si="122">SUM(BM3:BM107)</f>
        <v>12</v>
      </c>
      <c r="BN108">
        <f t="shared" ref="BN108" si="123">SUM(BN3:BN107)</f>
        <v>7</v>
      </c>
      <c r="BO108">
        <f t="shared" ref="BO108" si="124">SUM(BO3:BO107)</f>
        <v>11</v>
      </c>
      <c r="BP108">
        <f t="shared" ref="BP108" si="125">SUM(BP3:BP107)</f>
        <v>116</v>
      </c>
      <c r="BQ108">
        <f t="shared" ref="BQ108" si="126">SUM(BQ3:BQ107)</f>
        <v>15</v>
      </c>
      <c r="BR108">
        <f t="shared" ref="BR108" si="127">SUM(BR3:BR107)</f>
        <v>14</v>
      </c>
    </row>
    <row r="109" spans="1:70">
      <c r="K109" s="10">
        <f>K108/$L$110</f>
        <v>0.16825396825396827</v>
      </c>
      <c r="L109" s="10">
        <f t="shared" ref="L109:N109" si="128">L108/$L$110</f>
        <v>0.73756613756613754</v>
      </c>
      <c r="M109" s="10">
        <f t="shared" si="128"/>
        <v>5.6084656084656084E-2</v>
      </c>
      <c r="N109" s="10">
        <f t="shared" si="128"/>
        <v>3.8095238095238099E-2</v>
      </c>
      <c r="O109" s="10">
        <f>ROUND(O108/$P$110,4)</f>
        <v>9.2100000000000001E-2</v>
      </c>
      <c r="P109" s="10">
        <f>ROUND(P108/$P$110,4)</f>
        <v>0.79369999999999996</v>
      </c>
      <c r="Q109" s="10">
        <f>ROUND(Q108/$P$110,4)</f>
        <v>6.6699999999999995E-2</v>
      </c>
      <c r="R109" s="10">
        <f>ROUND(R108/$P$110,4)</f>
        <v>4.7600000000000003E-2</v>
      </c>
      <c r="S109" s="10">
        <f>ROUND(S108/$T$110,4)</f>
        <v>0.26029999999999998</v>
      </c>
      <c r="T109" s="10">
        <f>ROUND(T108/$T$110,4)</f>
        <v>0.6794</v>
      </c>
      <c r="U109" s="10">
        <f t="shared" ref="U109:V109" si="129">ROUND(U108/$T$110,4)</f>
        <v>3.8100000000000002E-2</v>
      </c>
      <c r="V109" s="10">
        <f t="shared" si="129"/>
        <v>2.2200000000000001E-2</v>
      </c>
      <c r="W109" s="10">
        <f>W108/$X$110</f>
        <v>0.15238095238095239</v>
      </c>
      <c r="X109" s="10">
        <f>X108/$X$110</f>
        <v>0.73968253968253972</v>
      </c>
      <c r="Y109" s="10">
        <f t="shared" ref="Y109:Z109" si="130">Y108/$X$110</f>
        <v>6.3492063492063489E-2</v>
      </c>
      <c r="Z109" s="10">
        <f t="shared" si="130"/>
        <v>4.4444444444444446E-2</v>
      </c>
      <c r="AB109" s="19">
        <f>COUNTIF(AB3:AB107,"&lt;&gt;0")</f>
        <v>49</v>
      </c>
      <c r="AC109" s="19">
        <f t="shared" ref="AC109:AJ109" si="131">COUNTIF(AC3:AC107,"&lt;&gt;0")</f>
        <v>49</v>
      </c>
      <c r="AD109" s="19">
        <f t="shared" si="131"/>
        <v>49</v>
      </c>
      <c r="AE109" s="19">
        <f t="shared" si="131"/>
        <v>49</v>
      </c>
      <c r="AF109" s="19">
        <f t="shared" si="131"/>
        <v>49</v>
      </c>
      <c r="AG109" s="19">
        <f t="shared" si="131"/>
        <v>49</v>
      </c>
      <c r="AH109" s="19">
        <f t="shared" si="131"/>
        <v>51</v>
      </c>
      <c r="AI109" s="19">
        <f t="shared" si="131"/>
        <v>52</v>
      </c>
      <c r="AJ109" s="19">
        <f t="shared" si="131"/>
        <v>52</v>
      </c>
      <c r="AL109" s="10">
        <f>AL108/BC108</f>
        <v>10.350877192982455</v>
      </c>
      <c r="AM109" s="10">
        <f t="shared" ref="AM109:BA109" si="132">AM108/BD108</f>
        <v>7.2319277108433733</v>
      </c>
      <c r="AN109" s="10">
        <f t="shared" si="132"/>
        <v>8.8650793650793638</v>
      </c>
      <c r="AO109" s="10">
        <f t="shared" si="132"/>
        <v>14.870370370370372</v>
      </c>
      <c r="AP109" s="10">
        <f t="shared" si="132"/>
        <v>8.625</v>
      </c>
      <c r="AQ109" s="10">
        <f t="shared" si="132"/>
        <v>7.6779661016949152</v>
      </c>
      <c r="AR109" s="10">
        <f t="shared" si="132"/>
        <v>6.4888888888888898</v>
      </c>
      <c r="AS109" s="10">
        <f t="shared" si="132"/>
        <v>18.055555555555557</v>
      </c>
      <c r="AT109" s="10">
        <f t="shared" si="132"/>
        <v>11.307017543859649</v>
      </c>
      <c r="AU109" s="10">
        <f t="shared" si="132"/>
        <v>6.2619047619047628</v>
      </c>
      <c r="AV109" s="10">
        <f t="shared" si="132"/>
        <v>12.972222222222221</v>
      </c>
      <c r="AW109" s="10">
        <f t="shared" si="132"/>
        <v>17.19047619047619</v>
      </c>
      <c r="AX109" s="10">
        <f t="shared" si="132"/>
        <v>8.3030303030303045</v>
      </c>
      <c r="AY109" s="10">
        <f t="shared" si="132"/>
        <v>7.5977011494252888</v>
      </c>
      <c r="AZ109" s="10">
        <f t="shared" si="132"/>
        <v>7.9555555555555566</v>
      </c>
      <c r="BA109" s="10">
        <f t="shared" si="132"/>
        <v>14.166666666666666</v>
      </c>
    </row>
    <row r="110" spans="1:70">
      <c r="L110">
        <f>SUM(K108:N108)</f>
        <v>945</v>
      </c>
      <c r="P110">
        <f>SUM(O108:R108)</f>
        <v>315</v>
      </c>
      <c r="T110">
        <f>SUM(S108:V108)</f>
        <v>315</v>
      </c>
      <c r="X110">
        <f>SUM(W108:Z108)</f>
        <v>315</v>
      </c>
    </row>
    <row r="112" spans="1:70">
      <c r="K112" s="10">
        <v>10.350877192982455</v>
      </c>
      <c r="L112" s="10">
        <v>7.2319277108433733</v>
      </c>
      <c r="M112" s="10">
        <v>8.8650793650793638</v>
      </c>
      <c r="N112" s="10">
        <v>14.870370370370372</v>
      </c>
      <c r="O112" s="22">
        <v>8.625</v>
      </c>
      <c r="P112" s="22">
        <v>7.6779661016949152</v>
      </c>
      <c r="Q112" s="22">
        <v>6.4888888888888898</v>
      </c>
      <c r="R112" s="22">
        <v>18.055555555555557</v>
      </c>
      <c r="S112" s="22">
        <v>11.307017543859649</v>
      </c>
      <c r="T112" s="22">
        <v>6.2619047619047628</v>
      </c>
      <c r="U112" s="22">
        <v>12.972222222222221</v>
      </c>
      <c r="V112" s="22">
        <v>17.19047619047619</v>
      </c>
      <c r="W112" s="22">
        <v>8.3030303030303045</v>
      </c>
      <c r="X112" s="22">
        <v>7.5977011494252888</v>
      </c>
      <c r="Y112" s="22">
        <v>7.9555555555555566</v>
      </c>
      <c r="Z112" s="22">
        <v>14.166666666666666</v>
      </c>
    </row>
    <row r="113" spans="11:26">
      <c r="K113" s="18">
        <v>57</v>
      </c>
      <c r="L113" s="18">
        <v>332</v>
      </c>
      <c r="M113" s="18">
        <v>42</v>
      </c>
      <c r="N113" s="18">
        <v>36</v>
      </c>
      <c r="O113" s="18">
        <v>8</v>
      </c>
      <c r="P113" s="18">
        <v>118</v>
      </c>
      <c r="Q113" s="18">
        <v>15</v>
      </c>
      <c r="R113" s="18">
        <v>12</v>
      </c>
      <c r="S113" s="18">
        <v>38</v>
      </c>
      <c r="T113" s="18">
        <v>98</v>
      </c>
      <c r="U113" s="18">
        <v>12</v>
      </c>
      <c r="V113" s="18">
        <v>7</v>
      </c>
      <c r="W113" s="18">
        <v>11</v>
      </c>
      <c r="X113" s="18">
        <v>116</v>
      </c>
      <c r="Y113" s="18">
        <v>15</v>
      </c>
      <c r="Z113" s="18">
        <v>14</v>
      </c>
    </row>
    <row r="114" spans="11:26">
      <c r="K114" s="20">
        <f t="shared" ref="K114:N114" si="133">K113/K108</f>
        <v>0.35849056603773582</v>
      </c>
      <c r="L114" s="20">
        <f t="shared" si="133"/>
        <v>0.47632711621233859</v>
      </c>
      <c r="M114" s="20">
        <f t="shared" si="133"/>
        <v>0.79245283018867929</v>
      </c>
      <c r="N114" s="20">
        <f t="shared" si="133"/>
        <v>1</v>
      </c>
      <c r="O114" s="20">
        <f>O113/O108</f>
        <v>0.27586206896551724</v>
      </c>
      <c r="P114" s="20">
        <f t="shared" ref="P114:Z114" si="134">P113/P108</f>
        <v>0.47199999999999998</v>
      </c>
      <c r="Q114" s="20">
        <f t="shared" si="134"/>
        <v>0.7142857142857143</v>
      </c>
      <c r="R114" s="20">
        <f t="shared" si="134"/>
        <v>0.8</v>
      </c>
      <c r="S114" s="20">
        <f t="shared" si="134"/>
        <v>0.46341463414634149</v>
      </c>
      <c r="T114" s="20">
        <f t="shared" si="134"/>
        <v>0.45794392523364486</v>
      </c>
      <c r="U114" s="20">
        <f t="shared" si="134"/>
        <v>1</v>
      </c>
      <c r="V114" s="20">
        <f t="shared" si="134"/>
        <v>1</v>
      </c>
      <c r="W114" s="20">
        <f t="shared" si="134"/>
        <v>0.22916666666666666</v>
      </c>
      <c r="X114" s="20">
        <f t="shared" si="134"/>
        <v>0.4978540772532189</v>
      </c>
      <c r="Y114" s="20">
        <f t="shared" si="134"/>
        <v>0.75</v>
      </c>
      <c r="Z114" s="20">
        <f t="shared" si="134"/>
        <v>1</v>
      </c>
    </row>
    <row r="115" spans="11:26">
      <c r="K115" s="18"/>
      <c r="L115" s="18"/>
      <c r="M115" s="18"/>
      <c r="N115" s="18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</row>
    <row r="116" spans="11:26">
      <c r="K116" s="18"/>
      <c r="L116" s="18"/>
      <c r="M116" s="18"/>
      <c r="N116" s="18"/>
      <c r="O116" s="18"/>
      <c r="P116" s="23"/>
      <c r="Q116" s="18"/>
      <c r="R116" s="18"/>
      <c r="S116" s="18"/>
      <c r="T116" s="23"/>
      <c r="U116" s="18"/>
      <c r="V116" s="18"/>
      <c r="W116" s="18"/>
      <c r="X116" s="23"/>
      <c r="Y116" s="18"/>
      <c r="Z116" s="18"/>
    </row>
  </sheetData>
  <mergeCells count="15">
    <mergeCell ref="O1:R1"/>
    <mergeCell ref="S1:V1"/>
    <mergeCell ref="W1:Z1"/>
    <mergeCell ref="AP1:AS1"/>
    <mergeCell ref="AT1:AW1"/>
    <mergeCell ref="AB1:AD1"/>
    <mergeCell ref="AE1:AG1"/>
    <mergeCell ref="AH1:AJ1"/>
    <mergeCell ref="AX1:BA1"/>
    <mergeCell ref="BG1:BJ1"/>
    <mergeCell ref="B1:D1"/>
    <mergeCell ref="E1:G1"/>
    <mergeCell ref="H1:J1"/>
    <mergeCell ref="BK1:BN1"/>
    <mergeCell ref="BO1:BR1"/>
  </mergeCells>
  <pageMargins left="0.75" right="0.75" top="1" bottom="1" header="0.5" footer="0.5"/>
  <pageSetup orientation="portrait" horizontalDpi="4294967292" verticalDpi="4294967292"/>
  <drawing r:id="rId1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D220"/>
  <sheetViews>
    <sheetView topLeftCell="H1" workbookViewId="0">
      <selection activeCell="D54" sqref="D54"/>
    </sheetView>
  </sheetViews>
  <sheetFormatPr baseColWidth="10" defaultRowHeight="15" x14ac:dyDescent="0"/>
  <cols>
    <col min="2" max="2" width="64.1640625" customWidth="1"/>
    <col min="3" max="3" width="11" bestFit="1" customWidth="1"/>
  </cols>
  <sheetData>
    <row r="1" spans="1:56">
      <c r="A1" s="2"/>
      <c r="B1" s="2"/>
      <c r="C1" s="2" t="s">
        <v>152</v>
      </c>
      <c r="D1" s="2" t="s">
        <v>153</v>
      </c>
      <c r="E1" s="2" t="s">
        <v>148</v>
      </c>
      <c r="F1" s="2" t="s">
        <v>149</v>
      </c>
      <c r="G1" s="2" t="s">
        <v>150</v>
      </c>
      <c r="H1" s="2" t="s">
        <v>151</v>
      </c>
      <c r="I1" s="2" t="s">
        <v>158</v>
      </c>
      <c r="J1" s="2" t="s">
        <v>159</v>
      </c>
      <c r="K1" s="2" t="s">
        <v>154</v>
      </c>
      <c r="L1" s="2" t="s">
        <v>155</v>
      </c>
      <c r="M1" s="2" t="s">
        <v>156</v>
      </c>
      <c r="N1" s="2" t="s">
        <v>157</v>
      </c>
      <c r="O1" s="2" t="s">
        <v>164</v>
      </c>
      <c r="P1" s="2" t="s">
        <v>165</v>
      </c>
      <c r="Q1" s="2" t="s">
        <v>160</v>
      </c>
      <c r="R1" s="2" t="s">
        <v>163</v>
      </c>
      <c r="S1" s="2" t="s">
        <v>161</v>
      </c>
      <c r="T1" s="2" t="s">
        <v>162</v>
      </c>
      <c r="U1" s="2"/>
      <c r="V1" s="5" t="s">
        <v>293</v>
      </c>
      <c r="W1" s="5" t="s">
        <v>294</v>
      </c>
      <c r="X1" s="5" t="s">
        <v>292</v>
      </c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</row>
    <row r="2" spans="1:56">
      <c r="A2" s="2" t="s">
        <v>147</v>
      </c>
      <c r="B2" s="2" t="s">
        <v>32</v>
      </c>
      <c r="C2" s="2">
        <v>106</v>
      </c>
      <c r="D2" s="2">
        <v>106</v>
      </c>
      <c r="E2" s="2">
        <v>233</v>
      </c>
      <c r="F2" s="2">
        <v>261</v>
      </c>
      <c r="G2" s="2">
        <v>89</v>
      </c>
      <c r="H2" s="2">
        <v>72</v>
      </c>
      <c r="I2" s="2">
        <v>166</v>
      </c>
      <c r="J2" s="2">
        <v>166</v>
      </c>
      <c r="K2" s="2">
        <v>1491</v>
      </c>
      <c r="L2" s="2">
        <v>927</v>
      </c>
      <c r="M2" s="2">
        <v>138</v>
      </c>
      <c r="N2" s="2">
        <v>120</v>
      </c>
      <c r="O2" s="2">
        <v>186</v>
      </c>
      <c r="P2" s="2">
        <v>172</v>
      </c>
      <c r="Q2" s="2">
        <v>4557</v>
      </c>
      <c r="R2" s="2">
        <v>4649</v>
      </c>
      <c r="S2" s="2">
        <v>129</v>
      </c>
      <c r="T2" s="2">
        <v>132</v>
      </c>
      <c r="U2" s="2"/>
      <c r="V2" s="5">
        <f>E2/G2</f>
        <v>2.6179775280898876</v>
      </c>
      <c r="W2" s="5">
        <f>K2/M2</f>
        <v>10.804347826086957</v>
      </c>
      <c r="X2" s="5">
        <f>Q2/S2</f>
        <v>35.325581395348834</v>
      </c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</row>
    <row r="3" spans="1:56">
      <c r="A3" s="2" t="s">
        <v>147</v>
      </c>
      <c r="B3" s="2" t="s">
        <v>58</v>
      </c>
      <c r="C3" s="2">
        <v>117</v>
      </c>
      <c r="D3" s="2">
        <v>114</v>
      </c>
      <c r="E3" s="2">
        <v>229</v>
      </c>
      <c r="F3" s="2">
        <v>302</v>
      </c>
      <c r="G3" s="2">
        <v>68</v>
      </c>
      <c r="H3" s="2">
        <v>69</v>
      </c>
      <c r="I3" s="2">
        <v>157</v>
      </c>
      <c r="J3" s="2">
        <v>163</v>
      </c>
      <c r="K3" s="2">
        <v>1197</v>
      </c>
      <c r="L3" s="2">
        <v>938</v>
      </c>
      <c r="M3" s="2">
        <v>119</v>
      </c>
      <c r="N3" s="2">
        <v>125</v>
      </c>
      <c r="O3" s="2">
        <v>178</v>
      </c>
      <c r="P3" s="2">
        <v>188</v>
      </c>
      <c r="Q3" s="2">
        <v>4291</v>
      </c>
      <c r="R3" s="2">
        <v>4745</v>
      </c>
      <c r="S3" s="2">
        <v>128</v>
      </c>
      <c r="T3" s="2">
        <v>137</v>
      </c>
      <c r="U3" s="2"/>
      <c r="V3" s="5">
        <f t="shared" ref="V3:V66" si="0">E3/G3</f>
        <v>3.3676470588235294</v>
      </c>
      <c r="W3" s="5">
        <f t="shared" ref="W3:W66" si="1">K3/M3</f>
        <v>10.058823529411764</v>
      </c>
      <c r="X3" s="5">
        <f t="shared" ref="X3:X66" si="2">Q3/S3</f>
        <v>33.5234375</v>
      </c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</row>
    <row r="4" spans="1:56">
      <c r="A4" s="2" t="s">
        <v>147</v>
      </c>
      <c r="B4" s="2" t="s">
        <v>14</v>
      </c>
      <c r="C4" s="2">
        <v>146</v>
      </c>
      <c r="D4" s="2">
        <v>166</v>
      </c>
      <c r="E4" s="2">
        <v>293</v>
      </c>
      <c r="F4" s="2">
        <v>303</v>
      </c>
      <c r="G4" s="2">
        <v>106</v>
      </c>
      <c r="H4" s="2">
        <v>105</v>
      </c>
      <c r="I4" s="2">
        <v>203</v>
      </c>
      <c r="J4" s="2">
        <v>221</v>
      </c>
      <c r="K4" s="2">
        <v>2171</v>
      </c>
      <c r="L4" s="2">
        <v>2705</v>
      </c>
      <c r="M4" s="2">
        <v>172</v>
      </c>
      <c r="N4" s="2">
        <v>169</v>
      </c>
      <c r="O4" s="2">
        <v>245</v>
      </c>
      <c r="P4" s="2">
        <v>233</v>
      </c>
      <c r="Q4" s="2">
        <v>4999</v>
      </c>
      <c r="R4" s="2">
        <v>3754</v>
      </c>
      <c r="S4" s="2">
        <v>182</v>
      </c>
      <c r="T4" s="2">
        <v>193</v>
      </c>
      <c r="U4" s="2"/>
      <c r="V4" s="5">
        <f t="shared" si="0"/>
        <v>2.7641509433962264</v>
      </c>
      <c r="W4" s="5">
        <f t="shared" si="1"/>
        <v>12.622093023255815</v>
      </c>
      <c r="X4" s="5">
        <f t="shared" si="2"/>
        <v>27.467032967032967</v>
      </c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</row>
    <row r="5" spans="1:56">
      <c r="A5" s="2" t="s">
        <v>147</v>
      </c>
      <c r="B5" s="2" t="s">
        <v>39</v>
      </c>
      <c r="C5" s="2">
        <v>273</v>
      </c>
      <c r="D5" s="2">
        <v>278</v>
      </c>
      <c r="E5" s="2">
        <v>538</v>
      </c>
      <c r="F5" s="2">
        <v>548</v>
      </c>
      <c r="G5" s="2">
        <v>212</v>
      </c>
      <c r="H5" s="2">
        <v>220</v>
      </c>
      <c r="I5" s="2">
        <v>355</v>
      </c>
      <c r="J5" s="2">
        <v>380</v>
      </c>
      <c r="K5" s="2">
        <v>2969</v>
      </c>
      <c r="L5" s="2">
        <v>3117</v>
      </c>
      <c r="M5" s="2">
        <v>304</v>
      </c>
      <c r="N5" s="2">
        <v>304</v>
      </c>
      <c r="O5" s="2">
        <v>380</v>
      </c>
      <c r="P5" s="2">
        <v>420</v>
      </c>
      <c r="Q5" s="2">
        <v>9894</v>
      </c>
      <c r="R5" s="2">
        <v>7193</v>
      </c>
      <c r="S5" s="2">
        <v>317</v>
      </c>
      <c r="T5" s="2">
        <v>345</v>
      </c>
      <c r="U5" s="2"/>
      <c r="V5" s="5">
        <f t="shared" si="0"/>
        <v>2.5377358490566038</v>
      </c>
      <c r="W5" s="5">
        <f t="shared" si="1"/>
        <v>9.7664473684210531</v>
      </c>
      <c r="X5" s="5">
        <f t="shared" si="2"/>
        <v>31.211356466876971</v>
      </c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</row>
    <row r="6" spans="1:56">
      <c r="A6" s="2" t="s">
        <v>147</v>
      </c>
      <c r="B6" s="2" t="s">
        <v>51</v>
      </c>
      <c r="C6" s="2">
        <v>119</v>
      </c>
      <c r="D6" s="2">
        <v>66</v>
      </c>
      <c r="E6" s="2">
        <v>159</v>
      </c>
      <c r="F6" s="2">
        <v>158</v>
      </c>
      <c r="G6" s="2">
        <v>72</v>
      </c>
      <c r="H6" s="2">
        <v>47</v>
      </c>
      <c r="I6" s="2">
        <v>99</v>
      </c>
      <c r="J6" s="2">
        <v>102</v>
      </c>
      <c r="K6" s="2">
        <v>1353</v>
      </c>
      <c r="L6" s="2">
        <v>1378</v>
      </c>
      <c r="M6" s="2">
        <v>91</v>
      </c>
      <c r="N6" s="2">
        <v>79</v>
      </c>
      <c r="O6" s="2">
        <v>111</v>
      </c>
      <c r="P6" s="2">
        <v>109</v>
      </c>
      <c r="Q6" s="2">
        <v>1458</v>
      </c>
      <c r="R6" s="2">
        <v>1779</v>
      </c>
      <c r="S6" s="2">
        <v>82</v>
      </c>
      <c r="T6" s="2">
        <v>82</v>
      </c>
      <c r="U6" s="2"/>
      <c r="V6" s="5">
        <f t="shared" si="0"/>
        <v>2.2083333333333335</v>
      </c>
      <c r="W6" s="5">
        <f t="shared" si="1"/>
        <v>14.868131868131869</v>
      </c>
      <c r="X6" s="5">
        <f t="shared" si="2"/>
        <v>17.780487804878049</v>
      </c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</row>
    <row r="7" spans="1:56">
      <c r="A7" s="2" t="s">
        <v>147</v>
      </c>
      <c r="B7" s="2" t="s">
        <v>55</v>
      </c>
      <c r="C7" s="2">
        <v>247</v>
      </c>
      <c r="D7" s="2">
        <v>270</v>
      </c>
      <c r="E7" s="2">
        <v>406</v>
      </c>
      <c r="F7" s="2">
        <v>420</v>
      </c>
      <c r="G7" s="2">
        <v>169</v>
      </c>
      <c r="H7" s="2">
        <v>215</v>
      </c>
      <c r="I7" s="2">
        <v>328</v>
      </c>
      <c r="J7" s="2">
        <v>367</v>
      </c>
      <c r="K7" s="2">
        <v>4359</v>
      </c>
      <c r="L7" s="2">
        <v>3990</v>
      </c>
      <c r="M7" s="2">
        <v>254</v>
      </c>
      <c r="N7" s="2">
        <v>280</v>
      </c>
      <c r="O7" s="2">
        <v>337</v>
      </c>
      <c r="P7" s="2">
        <v>407</v>
      </c>
      <c r="Q7" s="2">
        <v>4464</v>
      </c>
      <c r="R7" s="2">
        <v>5956</v>
      </c>
      <c r="S7" s="2">
        <v>289</v>
      </c>
      <c r="T7" s="2">
        <v>341</v>
      </c>
      <c r="U7" s="2"/>
      <c r="V7" s="5">
        <f t="shared" si="0"/>
        <v>2.4023668639053253</v>
      </c>
      <c r="W7" s="5">
        <f t="shared" si="1"/>
        <v>17.161417322834644</v>
      </c>
      <c r="X7" s="5">
        <f t="shared" si="2"/>
        <v>15.446366782006921</v>
      </c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</row>
    <row r="8" spans="1:56">
      <c r="A8" s="2" t="s">
        <v>147</v>
      </c>
      <c r="B8" s="2" t="s">
        <v>85</v>
      </c>
      <c r="C8" s="2">
        <v>975</v>
      </c>
      <c r="D8" s="2">
        <v>2062</v>
      </c>
      <c r="E8" s="2">
        <v>3074</v>
      </c>
      <c r="F8" s="2">
        <v>4662</v>
      </c>
      <c r="G8" s="2">
        <v>680</v>
      </c>
      <c r="H8" s="2">
        <v>1616</v>
      </c>
      <c r="I8" s="2">
        <v>1311</v>
      </c>
      <c r="J8" s="2">
        <v>2810</v>
      </c>
      <c r="K8" s="2">
        <v>21756</v>
      </c>
      <c r="L8" s="2">
        <v>40943</v>
      </c>
      <c r="M8" s="2">
        <v>1206</v>
      </c>
      <c r="N8" s="2">
        <v>2117</v>
      </c>
      <c r="O8" s="2">
        <v>1378</v>
      </c>
      <c r="P8" s="2">
        <v>3040</v>
      </c>
      <c r="Q8" s="2">
        <v>64753</v>
      </c>
      <c r="R8" s="2">
        <v>89533</v>
      </c>
      <c r="S8" s="2">
        <v>1211</v>
      </c>
      <c r="T8" s="2">
        <v>2608</v>
      </c>
      <c r="U8" s="2"/>
      <c r="V8" s="5">
        <f t="shared" si="0"/>
        <v>4.5205882352941176</v>
      </c>
      <c r="W8" s="5">
        <f t="shared" si="1"/>
        <v>18.039800995024876</v>
      </c>
      <c r="X8" s="5">
        <f t="shared" si="2"/>
        <v>53.470685383980182</v>
      </c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</row>
    <row r="9" spans="1:56">
      <c r="A9" s="2" t="s">
        <v>147</v>
      </c>
      <c r="B9" s="2" t="s">
        <v>30</v>
      </c>
      <c r="C9" s="2">
        <v>452</v>
      </c>
      <c r="D9" s="2">
        <v>482</v>
      </c>
      <c r="E9" s="2">
        <v>884</v>
      </c>
      <c r="F9" s="2">
        <v>900</v>
      </c>
      <c r="G9" s="2">
        <v>324</v>
      </c>
      <c r="H9" s="2">
        <v>539</v>
      </c>
      <c r="I9" s="2">
        <v>590</v>
      </c>
      <c r="J9" s="2">
        <v>607</v>
      </c>
      <c r="K9" s="2">
        <v>8639</v>
      </c>
      <c r="L9" s="2">
        <v>8603</v>
      </c>
      <c r="M9" s="2">
        <v>456</v>
      </c>
      <c r="N9" s="2">
        <v>483</v>
      </c>
      <c r="O9" s="2">
        <v>621</v>
      </c>
      <c r="P9" s="2">
        <v>663</v>
      </c>
      <c r="Q9" s="2">
        <v>13140</v>
      </c>
      <c r="R9" s="2">
        <v>12932</v>
      </c>
      <c r="S9" s="2">
        <v>527</v>
      </c>
      <c r="T9" s="2">
        <v>556</v>
      </c>
      <c r="U9" s="2"/>
      <c r="V9" s="5">
        <f t="shared" si="0"/>
        <v>2.7283950617283952</v>
      </c>
      <c r="W9" s="5">
        <f t="shared" si="1"/>
        <v>18.94517543859649</v>
      </c>
      <c r="X9" s="5">
        <f t="shared" si="2"/>
        <v>24.933586337760911</v>
      </c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</row>
    <row r="10" spans="1:56">
      <c r="A10" s="2" t="s">
        <v>147</v>
      </c>
      <c r="B10" s="2" t="s">
        <v>89</v>
      </c>
      <c r="C10" s="2">
        <v>997</v>
      </c>
      <c r="D10" s="2">
        <v>1248</v>
      </c>
      <c r="E10" s="2">
        <v>1961</v>
      </c>
      <c r="F10" s="2">
        <v>2332</v>
      </c>
      <c r="G10" s="2">
        <v>679</v>
      </c>
      <c r="H10" s="2">
        <v>847</v>
      </c>
      <c r="I10" s="2">
        <v>2052</v>
      </c>
      <c r="J10" s="2">
        <v>2647</v>
      </c>
      <c r="K10" s="2">
        <v>14445</v>
      </c>
      <c r="L10" s="2">
        <v>29349</v>
      </c>
      <c r="M10" s="2">
        <v>1784</v>
      </c>
      <c r="N10" s="2">
        <v>1958</v>
      </c>
      <c r="O10" s="2">
        <v>2455</v>
      </c>
      <c r="P10" s="2">
        <v>3061</v>
      </c>
      <c r="Q10" s="2">
        <v>57023</v>
      </c>
      <c r="R10" s="2">
        <v>61990</v>
      </c>
      <c r="S10" s="2">
        <v>2083</v>
      </c>
      <c r="T10" s="2">
        <v>2751</v>
      </c>
      <c r="U10" s="2"/>
      <c r="V10" s="5">
        <f t="shared" si="0"/>
        <v>2.8880706921944035</v>
      </c>
      <c r="W10" s="5">
        <f t="shared" si="1"/>
        <v>8.0969730941704032</v>
      </c>
      <c r="X10" s="5">
        <f t="shared" si="2"/>
        <v>27.375420067210754</v>
      </c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</row>
    <row r="11" spans="1:56">
      <c r="A11" s="2" t="s">
        <v>166</v>
      </c>
      <c r="B11" s="2" t="s">
        <v>2</v>
      </c>
      <c r="C11" s="2">
        <v>22</v>
      </c>
      <c r="D11" s="2">
        <v>20</v>
      </c>
      <c r="E11" s="2">
        <v>29</v>
      </c>
      <c r="F11" s="2">
        <v>28</v>
      </c>
      <c r="G11" s="2">
        <v>23</v>
      </c>
      <c r="H11" s="2">
        <v>14</v>
      </c>
      <c r="I11" s="2">
        <v>31</v>
      </c>
      <c r="J11" s="2">
        <v>27</v>
      </c>
      <c r="K11" s="2">
        <v>419</v>
      </c>
      <c r="L11" s="2">
        <v>421</v>
      </c>
      <c r="M11" s="2">
        <v>20</v>
      </c>
      <c r="N11" s="2">
        <v>23</v>
      </c>
      <c r="O11" s="2">
        <v>30</v>
      </c>
      <c r="P11" s="2">
        <v>30</v>
      </c>
      <c r="Q11" s="2">
        <v>494</v>
      </c>
      <c r="R11" s="2">
        <v>486</v>
      </c>
      <c r="S11" s="2">
        <v>24</v>
      </c>
      <c r="T11" s="2">
        <v>24</v>
      </c>
      <c r="U11" s="2"/>
      <c r="V11" s="5">
        <f t="shared" si="0"/>
        <v>1.2608695652173914</v>
      </c>
      <c r="W11" s="5">
        <f t="shared" si="1"/>
        <v>20.95</v>
      </c>
      <c r="X11" s="5">
        <f t="shared" si="2"/>
        <v>20.583333333333332</v>
      </c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</row>
    <row r="12" spans="1:56">
      <c r="A12" s="2" t="s">
        <v>166</v>
      </c>
      <c r="B12" s="2" t="s">
        <v>37</v>
      </c>
      <c r="C12" s="2">
        <v>19</v>
      </c>
      <c r="D12" s="2">
        <v>30</v>
      </c>
      <c r="E12" s="2">
        <v>36</v>
      </c>
      <c r="F12" s="2">
        <v>42</v>
      </c>
      <c r="G12" s="2">
        <v>25</v>
      </c>
      <c r="H12" s="2">
        <v>18</v>
      </c>
      <c r="I12" s="2">
        <v>28</v>
      </c>
      <c r="J12" s="2">
        <v>40</v>
      </c>
      <c r="K12" s="2">
        <v>440</v>
      </c>
      <c r="L12" s="2">
        <v>443</v>
      </c>
      <c r="M12" s="2">
        <v>23</v>
      </c>
      <c r="N12" s="2">
        <v>22</v>
      </c>
      <c r="O12" s="2">
        <v>30</v>
      </c>
      <c r="P12" s="2">
        <v>30</v>
      </c>
      <c r="Q12" s="2">
        <v>912</v>
      </c>
      <c r="R12" s="2">
        <v>946</v>
      </c>
      <c r="S12" s="2">
        <v>23</v>
      </c>
      <c r="T12" s="2">
        <v>39</v>
      </c>
      <c r="U12" s="2"/>
      <c r="V12" s="5">
        <f t="shared" si="0"/>
        <v>1.44</v>
      </c>
      <c r="W12" s="5">
        <f t="shared" si="1"/>
        <v>19.130434782608695</v>
      </c>
      <c r="X12" s="5">
        <f t="shared" si="2"/>
        <v>39.652173913043477</v>
      </c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</row>
    <row r="13" spans="1:56">
      <c r="A13" s="2" t="s">
        <v>166</v>
      </c>
      <c r="B13" s="2" t="s">
        <v>72</v>
      </c>
      <c r="C13" s="2">
        <v>73</v>
      </c>
      <c r="D13" s="2">
        <v>79</v>
      </c>
      <c r="E13" s="2">
        <v>146</v>
      </c>
      <c r="F13" s="2">
        <v>158</v>
      </c>
      <c r="G13" s="2">
        <v>60</v>
      </c>
      <c r="H13" s="2">
        <v>50</v>
      </c>
      <c r="I13" s="2">
        <v>137</v>
      </c>
      <c r="J13" s="2">
        <v>120</v>
      </c>
      <c r="K13" s="2">
        <v>757</v>
      </c>
      <c r="L13" s="2">
        <v>685</v>
      </c>
      <c r="M13" s="2">
        <v>85</v>
      </c>
      <c r="N13" s="2">
        <v>82</v>
      </c>
      <c r="O13" s="2">
        <v>126</v>
      </c>
      <c r="P13" s="2">
        <v>123</v>
      </c>
      <c r="Q13" s="2">
        <v>2171</v>
      </c>
      <c r="R13" s="2">
        <v>1657</v>
      </c>
      <c r="S13" s="2">
        <v>150</v>
      </c>
      <c r="T13" s="2">
        <v>91</v>
      </c>
      <c r="U13" s="2"/>
      <c r="V13" s="5">
        <f t="shared" si="0"/>
        <v>2.4333333333333331</v>
      </c>
      <c r="W13" s="5">
        <f t="shared" si="1"/>
        <v>8.9058823529411768</v>
      </c>
      <c r="X13" s="5">
        <f t="shared" si="2"/>
        <v>14.473333333333333</v>
      </c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</row>
    <row r="14" spans="1:56">
      <c r="A14" s="2" t="s">
        <v>166</v>
      </c>
      <c r="B14" s="2" t="s">
        <v>8</v>
      </c>
      <c r="C14" s="2">
        <v>20</v>
      </c>
      <c r="D14" s="2">
        <v>19</v>
      </c>
      <c r="E14" s="2">
        <v>35</v>
      </c>
      <c r="F14" s="2">
        <v>36</v>
      </c>
      <c r="G14" s="2">
        <v>19</v>
      </c>
      <c r="H14" s="2">
        <v>14</v>
      </c>
      <c r="I14" s="2">
        <v>27</v>
      </c>
      <c r="J14" s="2">
        <v>28</v>
      </c>
      <c r="K14" s="2">
        <v>431</v>
      </c>
      <c r="L14" s="2">
        <v>418</v>
      </c>
      <c r="M14" s="2">
        <v>21</v>
      </c>
      <c r="N14" s="2">
        <v>20</v>
      </c>
      <c r="O14" s="2">
        <v>30</v>
      </c>
      <c r="P14" s="2">
        <v>31</v>
      </c>
      <c r="Q14" s="2">
        <v>525</v>
      </c>
      <c r="R14" s="2">
        <v>561</v>
      </c>
      <c r="S14" s="2">
        <v>25</v>
      </c>
      <c r="T14" s="2">
        <v>24</v>
      </c>
      <c r="U14" s="2"/>
      <c r="V14" s="5">
        <f t="shared" si="0"/>
        <v>1.8421052631578947</v>
      </c>
      <c r="W14" s="5">
        <f t="shared" si="1"/>
        <v>20.523809523809526</v>
      </c>
      <c r="X14" s="5">
        <f t="shared" si="2"/>
        <v>21</v>
      </c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</row>
    <row r="15" spans="1:56">
      <c r="A15" s="2" t="s">
        <v>166</v>
      </c>
      <c r="B15" s="2" t="s">
        <v>101</v>
      </c>
      <c r="C15" s="2">
        <v>1488</v>
      </c>
      <c r="D15" s="2">
        <v>1844</v>
      </c>
      <c r="E15" s="2">
        <v>2353</v>
      </c>
      <c r="F15" s="2">
        <v>2666</v>
      </c>
      <c r="G15" s="2">
        <v>1040</v>
      </c>
      <c r="H15" s="2">
        <v>1273</v>
      </c>
      <c r="I15" s="2">
        <v>3070</v>
      </c>
      <c r="J15" s="2">
        <v>3958</v>
      </c>
      <c r="K15" s="2">
        <v>28333</v>
      </c>
      <c r="L15" s="2">
        <v>29787</v>
      </c>
      <c r="M15" s="2">
        <v>2437</v>
      </c>
      <c r="N15" s="2">
        <v>2951</v>
      </c>
      <c r="O15" s="2">
        <v>3607</v>
      </c>
      <c r="P15" s="2">
        <v>4638</v>
      </c>
      <c r="Q15" s="2">
        <v>44822</v>
      </c>
      <c r="R15" s="2">
        <v>58407</v>
      </c>
      <c r="S15" s="2">
        <v>3158</v>
      </c>
      <c r="T15" s="2">
        <v>3905</v>
      </c>
      <c r="U15" s="2"/>
      <c r="V15" s="5">
        <f>E15/G15</f>
        <v>2.2625000000000002</v>
      </c>
      <c r="W15" s="5">
        <f t="shared" si="1"/>
        <v>11.626179729175215</v>
      </c>
      <c r="X15" s="5">
        <f t="shared" si="2"/>
        <v>14.193160227992401</v>
      </c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</row>
    <row r="16" spans="1:56">
      <c r="A16" s="2" t="s">
        <v>166</v>
      </c>
      <c r="B16" s="2" t="s">
        <v>3</v>
      </c>
      <c r="C16" s="2">
        <v>239</v>
      </c>
      <c r="D16" s="2">
        <v>296</v>
      </c>
      <c r="E16" s="2">
        <v>467</v>
      </c>
      <c r="F16" s="2">
        <v>489</v>
      </c>
      <c r="G16" s="2">
        <v>160</v>
      </c>
      <c r="H16" s="2">
        <v>205</v>
      </c>
      <c r="I16" s="2">
        <v>323</v>
      </c>
      <c r="J16" s="2">
        <v>379</v>
      </c>
      <c r="K16" s="2">
        <v>3002</v>
      </c>
      <c r="L16" s="2">
        <v>3687</v>
      </c>
      <c r="M16" s="2">
        <v>383</v>
      </c>
      <c r="N16" s="2">
        <v>294</v>
      </c>
      <c r="O16" s="2">
        <v>370</v>
      </c>
      <c r="P16" s="2">
        <v>403</v>
      </c>
      <c r="Q16" s="2">
        <v>5871</v>
      </c>
      <c r="R16" s="2">
        <v>6145</v>
      </c>
      <c r="S16" s="2">
        <v>279</v>
      </c>
      <c r="T16" s="2">
        <v>344</v>
      </c>
      <c r="U16" s="2"/>
      <c r="V16" s="5">
        <f t="shared" si="0"/>
        <v>2.9187500000000002</v>
      </c>
      <c r="W16" s="5">
        <f t="shared" si="1"/>
        <v>7.8381201044386426</v>
      </c>
      <c r="X16" s="5">
        <f t="shared" si="2"/>
        <v>21.043010752688172</v>
      </c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</row>
    <row r="17" spans="1:56">
      <c r="A17" s="2" t="s">
        <v>166</v>
      </c>
      <c r="B17" s="2" t="s">
        <v>76</v>
      </c>
      <c r="C17" s="2">
        <v>241</v>
      </c>
      <c r="D17" s="2">
        <v>295</v>
      </c>
      <c r="E17" s="2">
        <v>439</v>
      </c>
      <c r="F17" s="2">
        <v>475</v>
      </c>
      <c r="G17" s="2">
        <v>180</v>
      </c>
      <c r="H17" s="2">
        <v>201</v>
      </c>
      <c r="I17" s="2">
        <v>323</v>
      </c>
      <c r="J17" s="2">
        <v>400</v>
      </c>
      <c r="K17" s="2">
        <v>2737</v>
      </c>
      <c r="L17" s="2">
        <v>3591</v>
      </c>
      <c r="M17" s="2">
        <v>326</v>
      </c>
      <c r="N17" s="2">
        <v>291</v>
      </c>
      <c r="O17" s="2">
        <v>347</v>
      </c>
      <c r="P17" s="2">
        <v>403</v>
      </c>
      <c r="Q17" s="2">
        <v>5804</v>
      </c>
      <c r="R17" s="2">
        <v>7143</v>
      </c>
      <c r="S17" s="2">
        <v>290</v>
      </c>
      <c r="T17" s="2">
        <v>330</v>
      </c>
      <c r="U17" s="2"/>
      <c r="V17" s="5">
        <f t="shared" si="0"/>
        <v>2.4388888888888891</v>
      </c>
      <c r="W17" s="5">
        <f t="shared" si="1"/>
        <v>8.3957055214723919</v>
      </c>
      <c r="X17" s="5">
        <f t="shared" si="2"/>
        <v>20.013793103448275</v>
      </c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</row>
    <row r="18" spans="1:56">
      <c r="A18" s="2" t="s">
        <v>166</v>
      </c>
      <c r="B18" s="2" t="s">
        <v>29</v>
      </c>
      <c r="C18" s="2">
        <v>302</v>
      </c>
      <c r="D18" s="2">
        <v>305</v>
      </c>
      <c r="E18" s="2">
        <v>504</v>
      </c>
      <c r="F18" s="2">
        <v>502</v>
      </c>
      <c r="G18" s="2">
        <v>216</v>
      </c>
      <c r="H18" s="2">
        <v>213</v>
      </c>
      <c r="I18" s="2">
        <v>713</v>
      </c>
      <c r="J18" s="2">
        <v>732</v>
      </c>
      <c r="K18" s="2">
        <v>4349</v>
      </c>
      <c r="L18" s="2">
        <v>5021</v>
      </c>
      <c r="M18" s="2">
        <v>517</v>
      </c>
      <c r="N18" s="2">
        <v>531</v>
      </c>
      <c r="O18" s="2">
        <v>818</v>
      </c>
      <c r="P18" s="2">
        <v>824</v>
      </c>
      <c r="Q18" s="2">
        <v>4224</v>
      </c>
      <c r="R18" s="2">
        <v>4372</v>
      </c>
      <c r="S18" s="2">
        <v>677</v>
      </c>
      <c r="T18" s="2">
        <v>679</v>
      </c>
      <c r="U18" s="2"/>
      <c r="V18" s="5">
        <f t="shared" si="0"/>
        <v>2.3333333333333335</v>
      </c>
      <c r="W18" s="5">
        <f t="shared" si="1"/>
        <v>8.4119922630560922</v>
      </c>
      <c r="X18" s="5">
        <f t="shared" si="2"/>
        <v>6.2392909896602662</v>
      </c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</row>
    <row r="19" spans="1:56">
      <c r="A19" s="2" t="s">
        <v>166</v>
      </c>
      <c r="B19" s="2" t="s">
        <v>98</v>
      </c>
      <c r="C19" s="2">
        <v>2598</v>
      </c>
      <c r="D19" s="2">
        <v>3408</v>
      </c>
      <c r="E19" s="2">
        <v>4686</v>
      </c>
      <c r="F19" s="2">
        <v>5219</v>
      </c>
      <c r="G19" s="2">
        <v>1840</v>
      </c>
      <c r="H19" s="2">
        <v>2312</v>
      </c>
      <c r="I19" s="2">
        <v>5880</v>
      </c>
      <c r="J19" s="2">
        <v>7712</v>
      </c>
      <c r="K19" s="2">
        <v>49540</v>
      </c>
      <c r="L19" s="2">
        <v>57351</v>
      </c>
      <c r="M19" s="2">
        <v>4362</v>
      </c>
      <c r="N19" s="2">
        <v>7213</v>
      </c>
      <c r="O19" s="2">
        <v>6842</v>
      </c>
      <c r="P19" s="2">
        <v>9189</v>
      </c>
      <c r="Q19" s="2">
        <v>94538</v>
      </c>
      <c r="R19" s="2">
        <v>137356</v>
      </c>
      <c r="S19" s="2">
        <v>6058</v>
      </c>
      <c r="T19" s="2">
        <v>7958</v>
      </c>
      <c r="U19" s="2"/>
      <c r="V19" s="5">
        <f t="shared" si="0"/>
        <v>2.5467391304347826</v>
      </c>
      <c r="W19" s="5">
        <f t="shared" si="1"/>
        <v>11.357175607519487</v>
      </c>
      <c r="X19" s="5">
        <f t="shared" si="2"/>
        <v>15.605480356553318</v>
      </c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</row>
    <row r="20" spans="1:56">
      <c r="A20" s="2" t="s">
        <v>166</v>
      </c>
      <c r="B20" s="2" t="s">
        <v>43</v>
      </c>
      <c r="C20" s="2">
        <v>1286</v>
      </c>
      <c r="D20" s="2">
        <v>1565</v>
      </c>
      <c r="E20" s="2">
        <v>2071</v>
      </c>
      <c r="F20" s="2">
        <v>2303</v>
      </c>
      <c r="G20" s="2">
        <v>917</v>
      </c>
      <c r="H20" s="2">
        <v>1082</v>
      </c>
      <c r="I20" s="2">
        <v>2671</v>
      </c>
      <c r="J20" s="2">
        <v>3261</v>
      </c>
      <c r="K20" s="2">
        <v>26706</v>
      </c>
      <c r="L20" s="2">
        <v>21985</v>
      </c>
      <c r="M20" s="2">
        <v>2013</v>
      </c>
      <c r="N20" s="2">
        <v>2365</v>
      </c>
      <c r="O20" s="2">
        <v>3179</v>
      </c>
      <c r="P20" s="2">
        <v>3819</v>
      </c>
      <c r="Q20" s="2">
        <v>40025</v>
      </c>
      <c r="R20" s="2">
        <v>43048</v>
      </c>
      <c r="S20" s="2">
        <v>2691</v>
      </c>
      <c r="T20" s="2">
        <v>3508</v>
      </c>
      <c r="U20" s="2"/>
      <c r="V20" s="5">
        <f t="shared" si="0"/>
        <v>2.25845147219193</v>
      </c>
      <c r="W20" s="5">
        <f t="shared" si="1"/>
        <v>13.266766020864381</v>
      </c>
      <c r="X20" s="5">
        <f t="shared" si="2"/>
        <v>14.873652917131178</v>
      </c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</row>
    <row r="21" spans="1:56">
      <c r="A21" s="2" t="s">
        <v>166</v>
      </c>
      <c r="B21" s="2" t="s">
        <v>28</v>
      </c>
      <c r="C21" s="2">
        <v>857</v>
      </c>
      <c r="D21" s="2">
        <v>906</v>
      </c>
      <c r="E21" s="2">
        <v>1847</v>
      </c>
      <c r="F21" s="2">
        <v>1880</v>
      </c>
      <c r="G21" s="2">
        <v>621</v>
      </c>
      <c r="H21" s="2">
        <v>645</v>
      </c>
      <c r="I21" s="2">
        <v>1764</v>
      </c>
      <c r="J21" s="2">
        <v>1898</v>
      </c>
      <c r="K21" s="2">
        <v>21388</v>
      </c>
      <c r="L21" s="2">
        <v>27366</v>
      </c>
      <c r="M21" s="2">
        <v>1357</v>
      </c>
      <c r="N21" s="2">
        <v>1468</v>
      </c>
      <c r="O21" s="2">
        <v>2134</v>
      </c>
      <c r="P21" s="2">
        <v>2212</v>
      </c>
      <c r="Q21" s="2">
        <v>31898</v>
      </c>
      <c r="R21" s="2">
        <v>31615</v>
      </c>
      <c r="S21" s="2">
        <v>1780</v>
      </c>
      <c r="T21" s="2">
        <v>2010</v>
      </c>
      <c r="U21" s="2"/>
      <c r="V21" s="5">
        <f t="shared" si="0"/>
        <v>2.9742351046698872</v>
      </c>
      <c r="W21" s="5">
        <f t="shared" si="1"/>
        <v>15.761238025055269</v>
      </c>
      <c r="X21" s="5">
        <f t="shared" si="2"/>
        <v>17.920224719101125</v>
      </c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</row>
    <row r="22" spans="1:56">
      <c r="A22" s="2" t="s">
        <v>166</v>
      </c>
      <c r="B22" s="2" t="s">
        <v>40</v>
      </c>
      <c r="C22" s="2">
        <v>20</v>
      </c>
      <c r="D22" s="2">
        <v>24</v>
      </c>
      <c r="E22" s="2">
        <v>42</v>
      </c>
      <c r="F22" s="2">
        <v>39</v>
      </c>
      <c r="G22" s="2">
        <v>14</v>
      </c>
      <c r="H22" s="2">
        <v>14</v>
      </c>
      <c r="I22" s="2">
        <v>46</v>
      </c>
      <c r="J22" s="2">
        <v>27</v>
      </c>
      <c r="K22" s="2">
        <v>436</v>
      </c>
      <c r="L22" s="2">
        <v>499</v>
      </c>
      <c r="M22" s="2">
        <v>21</v>
      </c>
      <c r="N22" s="2">
        <v>21</v>
      </c>
      <c r="O22" s="2">
        <v>32</v>
      </c>
      <c r="P22" s="2">
        <v>32</v>
      </c>
      <c r="Q22" s="2">
        <v>368</v>
      </c>
      <c r="R22" s="2">
        <v>371</v>
      </c>
      <c r="S22" s="2">
        <v>25</v>
      </c>
      <c r="T22" s="2">
        <v>25</v>
      </c>
      <c r="U22" s="2"/>
      <c r="V22" s="5">
        <f t="shared" si="0"/>
        <v>3</v>
      </c>
      <c r="W22" s="5">
        <f t="shared" si="1"/>
        <v>20.761904761904763</v>
      </c>
      <c r="X22" s="5">
        <f t="shared" si="2"/>
        <v>14.72</v>
      </c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</row>
    <row r="23" spans="1:56">
      <c r="A23" s="2" t="s">
        <v>167</v>
      </c>
      <c r="B23" s="2" t="s">
        <v>56</v>
      </c>
      <c r="C23" s="2">
        <v>3277</v>
      </c>
      <c r="D23" s="2">
        <v>3585</v>
      </c>
      <c r="E23" s="2">
        <v>6811</v>
      </c>
      <c r="F23" s="2">
        <v>7103</v>
      </c>
      <c r="G23" s="2">
        <v>2296</v>
      </c>
      <c r="H23" s="2">
        <v>2453</v>
      </c>
      <c r="I23" s="2">
        <v>4498</v>
      </c>
      <c r="J23" s="2">
        <v>4900</v>
      </c>
      <c r="K23" s="2">
        <v>70096</v>
      </c>
      <c r="L23" s="2">
        <v>75473</v>
      </c>
      <c r="M23" s="2">
        <v>3462</v>
      </c>
      <c r="N23" s="2">
        <v>3691</v>
      </c>
      <c r="O23" s="2">
        <v>4831</v>
      </c>
      <c r="P23" s="2">
        <v>5403</v>
      </c>
      <c r="Q23" s="2">
        <v>139032</v>
      </c>
      <c r="R23" s="2">
        <v>135752</v>
      </c>
      <c r="S23" s="2">
        <v>4131</v>
      </c>
      <c r="T23" s="2">
        <v>4803</v>
      </c>
      <c r="U23" s="2"/>
      <c r="V23" s="5">
        <f t="shared" si="0"/>
        <v>2.9664634146341462</v>
      </c>
      <c r="W23" s="5">
        <f t="shared" si="1"/>
        <v>20.247255921432696</v>
      </c>
      <c r="X23" s="5">
        <f t="shared" si="2"/>
        <v>33.655773420479299</v>
      </c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</row>
    <row r="24" spans="1:56">
      <c r="A24" s="2" t="s">
        <v>167</v>
      </c>
      <c r="B24" s="2" t="s">
        <v>18</v>
      </c>
      <c r="C24" s="2">
        <v>1505</v>
      </c>
      <c r="D24" s="2">
        <v>1554</v>
      </c>
      <c r="E24" s="2">
        <v>2975</v>
      </c>
      <c r="F24" s="2">
        <v>3092</v>
      </c>
      <c r="G24" s="2">
        <v>1026</v>
      </c>
      <c r="H24" s="2">
        <v>1088</v>
      </c>
      <c r="I24" s="2">
        <v>2027</v>
      </c>
      <c r="J24" s="2">
        <v>2165</v>
      </c>
      <c r="K24" s="2">
        <v>30071</v>
      </c>
      <c r="L24" s="2">
        <v>30602</v>
      </c>
      <c r="M24" s="2">
        <v>1546</v>
      </c>
      <c r="N24" s="2">
        <v>1609</v>
      </c>
      <c r="O24" s="2">
        <v>2173</v>
      </c>
      <c r="P24" s="2">
        <v>2282</v>
      </c>
      <c r="Q24" s="2">
        <v>59749</v>
      </c>
      <c r="R24" s="2">
        <v>59485</v>
      </c>
      <c r="S24" s="2">
        <v>1804</v>
      </c>
      <c r="T24" s="2">
        <v>1960</v>
      </c>
      <c r="U24" s="2"/>
      <c r="V24" s="5">
        <f t="shared" si="0"/>
        <v>2.8996101364522415</v>
      </c>
      <c r="W24" s="5">
        <f t="shared" si="1"/>
        <v>19.450840879689522</v>
      </c>
      <c r="X24" s="5">
        <f t="shared" si="2"/>
        <v>33.120288248337026</v>
      </c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</row>
    <row r="25" spans="1:56">
      <c r="A25" s="2" t="s">
        <v>167</v>
      </c>
      <c r="B25" s="2" t="s">
        <v>27</v>
      </c>
      <c r="C25" s="2">
        <v>938</v>
      </c>
      <c r="D25" s="2">
        <v>1008</v>
      </c>
      <c r="E25" s="2">
        <v>1822</v>
      </c>
      <c r="F25" s="2">
        <v>1917</v>
      </c>
      <c r="G25" s="2">
        <v>653</v>
      </c>
      <c r="H25" s="2">
        <v>691</v>
      </c>
      <c r="I25" s="2">
        <v>1398</v>
      </c>
      <c r="J25" s="2">
        <v>1383</v>
      </c>
      <c r="K25" s="2">
        <v>19676</v>
      </c>
      <c r="L25" s="2">
        <v>20335</v>
      </c>
      <c r="M25" s="2">
        <v>1042</v>
      </c>
      <c r="N25" s="2">
        <v>1038</v>
      </c>
      <c r="O25" s="2">
        <v>1386</v>
      </c>
      <c r="P25" s="2">
        <v>1485</v>
      </c>
      <c r="Q25" s="2">
        <v>40701</v>
      </c>
      <c r="R25" s="2">
        <v>37659</v>
      </c>
      <c r="S25" s="2">
        <v>1211</v>
      </c>
      <c r="T25" s="2">
        <v>1249</v>
      </c>
      <c r="U25" s="2"/>
      <c r="V25" s="5">
        <f t="shared" si="0"/>
        <v>2.7901990811638591</v>
      </c>
      <c r="W25" s="5">
        <f t="shared" si="1"/>
        <v>18.882917466410749</v>
      </c>
      <c r="X25" s="5">
        <f t="shared" si="2"/>
        <v>33.6094137076796</v>
      </c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</row>
    <row r="26" spans="1:56">
      <c r="A26" s="2" t="s">
        <v>167</v>
      </c>
      <c r="B26" s="2" t="s">
        <v>69</v>
      </c>
      <c r="C26" s="2">
        <v>705</v>
      </c>
      <c r="D26" s="2">
        <v>737</v>
      </c>
      <c r="E26" s="2">
        <v>1247</v>
      </c>
      <c r="F26" s="2">
        <v>1287</v>
      </c>
      <c r="G26" s="2">
        <v>486</v>
      </c>
      <c r="H26" s="2">
        <v>492</v>
      </c>
      <c r="I26" s="2">
        <v>1850</v>
      </c>
      <c r="J26" s="2">
        <v>1942</v>
      </c>
      <c r="K26" s="2">
        <v>13753</v>
      </c>
      <c r="L26" s="2">
        <v>13900</v>
      </c>
      <c r="M26" s="2">
        <v>1382</v>
      </c>
      <c r="N26" s="2">
        <v>1440</v>
      </c>
      <c r="O26" s="2">
        <v>2211</v>
      </c>
      <c r="P26" s="2">
        <v>2285</v>
      </c>
      <c r="Q26" s="2">
        <v>22368</v>
      </c>
      <c r="R26" s="2">
        <v>21560</v>
      </c>
      <c r="S26" s="2">
        <v>1899</v>
      </c>
      <c r="T26" s="2">
        <v>1914</v>
      </c>
      <c r="U26" s="2"/>
      <c r="V26" s="5">
        <f t="shared" si="0"/>
        <v>2.5658436213991771</v>
      </c>
      <c r="W26" s="5">
        <f t="shared" si="1"/>
        <v>9.9515195369030387</v>
      </c>
      <c r="X26" s="5">
        <f t="shared" si="2"/>
        <v>11.778830963665087</v>
      </c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</row>
    <row r="27" spans="1:56">
      <c r="A27" s="2" t="s">
        <v>167</v>
      </c>
      <c r="B27" s="2" t="s">
        <v>71</v>
      </c>
      <c r="C27" s="2">
        <v>940</v>
      </c>
      <c r="D27" s="2">
        <v>998</v>
      </c>
      <c r="E27" s="2">
        <v>1726</v>
      </c>
      <c r="F27" s="2">
        <v>1738</v>
      </c>
      <c r="G27" s="2">
        <v>674</v>
      </c>
      <c r="H27" s="2">
        <v>691</v>
      </c>
      <c r="I27" s="2">
        <v>1295</v>
      </c>
      <c r="J27" s="2">
        <v>1328</v>
      </c>
      <c r="K27" s="2">
        <v>13622</v>
      </c>
      <c r="L27" s="2">
        <v>15236</v>
      </c>
      <c r="M27" s="2">
        <v>981</v>
      </c>
      <c r="N27" s="2">
        <v>997</v>
      </c>
      <c r="O27" s="2">
        <v>1428</v>
      </c>
      <c r="P27" s="2">
        <v>1421</v>
      </c>
      <c r="Q27" s="2">
        <v>30153</v>
      </c>
      <c r="R27" s="2">
        <v>34515</v>
      </c>
      <c r="S27" s="2">
        <v>1151</v>
      </c>
      <c r="T27" s="2">
        <v>1275</v>
      </c>
      <c r="U27" s="2"/>
      <c r="V27" s="5">
        <f t="shared" si="0"/>
        <v>2.5608308605341246</v>
      </c>
      <c r="W27" s="5">
        <f t="shared" si="1"/>
        <v>13.885830784913354</v>
      </c>
      <c r="X27" s="5">
        <f t="shared" si="2"/>
        <v>26.19721980886186</v>
      </c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</row>
    <row r="28" spans="1:56">
      <c r="A28" s="2" t="s">
        <v>167</v>
      </c>
      <c r="B28" s="2" t="s">
        <v>22</v>
      </c>
      <c r="C28" s="2">
        <v>382</v>
      </c>
      <c r="D28" s="2">
        <v>798</v>
      </c>
      <c r="E28" s="2">
        <v>1040</v>
      </c>
      <c r="F28" s="2">
        <v>1370</v>
      </c>
      <c r="G28" s="2">
        <v>275</v>
      </c>
      <c r="H28" s="2">
        <v>550</v>
      </c>
      <c r="I28" s="2">
        <v>554</v>
      </c>
      <c r="J28" s="2">
        <v>1165</v>
      </c>
      <c r="K28" s="2">
        <v>5812</v>
      </c>
      <c r="L28" s="2">
        <v>14531</v>
      </c>
      <c r="M28" s="2">
        <v>405</v>
      </c>
      <c r="N28" s="2">
        <v>871</v>
      </c>
      <c r="O28" s="2">
        <v>567</v>
      </c>
      <c r="P28" s="2">
        <v>1192</v>
      </c>
      <c r="Q28" s="2">
        <v>19424</v>
      </c>
      <c r="R28" s="2">
        <v>21416</v>
      </c>
      <c r="S28" s="2">
        <v>472</v>
      </c>
      <c r="T28" s="2">
        <v>1074</v>
      </c>
      <c r="U28" s="2"/>
      <c r="V28" s="5">
        <f t="shared" si="0"/>
        <v>3.7818181818181817</v>
      </c>
      <c r="W28" s="5">
        <f t="shared" si="1"/>
        <v>14.350617283950617</v>
      </c>
      <c r="X28" s="5">
        <f t="shared" si="2"/>
        <v>41.152542372881356</v>
      </c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</row>
    <row r="29" spans="1:56">
      <c r="A29" s="2" t="s">
        <v>167</v>
      </c>
      <c r="B29" s="2" t="s">
        <v>94</v>
      </c>
      <c r="C29" s="2">
        <v>24</v>
      </c>
      <c r="D29" s="2">
        <v>25</v>
      </c>
      <c r="E29" s="2">
        <v>81</v>
      </c>
      <c r="F29" s="2">
        <v>62</v>
      </c>
      <c r="G29" s="2">
        <v>22</v>
      </c>
      <c r="H29" s="2">
        <v>20</v>
      </c>
      <c r="I29" s="2">
        <v>38</v>
      </c>
      <c r="J29" s="2">
        <v>37</v>
      </c>
      <c r="K29" s="2">
        <v>280</v>
      </c>
      <c r="L29" s="2">
        <v>326</v>
      </c>
      <c r="M29" s="2">
        <v>27</v>
      </c>
      <c r="N29" s="2">
        <v>29</v>
      </c>
      <c r="O29" s="2">
        <v>43</v>
      </c>
      <c r="P29" s="2">
        <v>44</v>
      </c>
      <c r="Q29" s="2">
        <v>772</v>
      </c>
      <c r="R29" s="2">
        <v>794</v>
      </c>
      <c r="S29" s="2">
        <v>32</v>
      </c>
      <c r="T29" s="2">
        <v>32</v>
      </c>
      <c r="U29" s="2"/>
      <c r="V29" s="5">
        <f t="shared" si="0"/>
        <v>3.6818181818181817</v>
      </c>
      <c r="W29" s="5">
        <f t="shared" si="1"/>
        <v>10.37037037037037</v>
      </c>
      <c r="X29" s="5">
        <f t="shared" si="2"/>
        <v>24.125</v>
      </c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</row>
    <row r="30" spans="1:56">
      <c r="A30" s="2" t="s">
        <v>167</v>
      </c>
      <c r="B30" s="2" t="s">
        <v>20</v>
      </c>
      <c r="C30" s="2">
        <v>918</v>
      </c>
      <c r="D30" s="2">
        <v>979</v>
      </c>
      <c r="E30" s="2">
        <v>1718</v>
      </c>
      <c r="F30" s="2">
        <v>1669</v>
      </c>
      <c r="G30" s="2">
        <v>659</v>
      </c>
      <c r="H30" s="2">
        <v>724</v>
      </c>
      <c r="I30" s="2">
        <v>1305</v>
      </c>
      <c r="J30" s="2">
        <v>1334</v>
      </c>
      <c r="K30" s="2">
        <v>13269</v>
      </c>
      <c r="L30" s="2">
        <v>15024</v>
      </c>
      <c r="M30" s="2">
        <v>1011</v>
      </c>
      <c r="N30" s="2">
        <v>1052</v>
      </c>
      <c r="O30" s="2">
        <v>1403</v>
      </c>
      <c r="P30" s="2">
        <v>1467</v>
      </c>
      <c r="Q30" s="2">
        <v>31739</v>
      </c>
      <c r="R30" s="2">
        <v>33736</v>
      </c>
      <c r="S30" s="2">
        <v>1199</v>
      </c>
      <c r="T30" s="2">
        <v>1251</v>
      </c>
      <c r="U30" s="2"/>
      <c r="V30" s="5">
        <f t="shared" si="0"/>
        <v>2.6069802731411231</v>
      </c>
      <c r="W30" s="5">
        <f t="shared" si="1"/>
        <v>13.124629080118694</v>
      </c>
      <c r="X30" s="5">
        <f t="shared" si="2"/>
        <v>26.471226021684739</v>
      </c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</row>
    <row r="31" spans="1:56">
      <c r="A31" s="2" t="s">
        <v>167</v>
      </c>
      <c r="B31" s="2" t="s">
        <v>24</v>
      </c>
      <c r="C31" s="2">
        <v>365</v>
      </c>
      <c r="D31" s="2">
        <v>715</v>
      </c>
      <c r="E31" s="2">
        <v>988</v>
      </c>
      <c r="F31" s="2">
        <v>1242</v>
      </c>
      <c r="G31" s="2">
        <v>257</v>
      </c>
      <c r="H31" s="2">
        <v>508</v>
      </c>
      <c r="I31" s="2">
        <v>511</v>
      </c>
      <c r="J31" s="2">
        <v>1050</v>
      </c>
      <c r="K31" s="2">
        <v>5457</v>
      </c>
      <c r="L31" s="2">
        <v>9688</v>
      </c>
      <c r="M31" s="2">
        <v>403</v>
      </c>
      <c r="N31" s="2">
        <v>779</v>
      </c>
      <c r="O31" s="2">
        <v>552</v>
      </c>
      <c r="P31" s="2">
        <v>1125</v>
      </c>
      <c r="Q31" s="2">
        <v>20771</v>
      </c>
      <c r="R31" s="2">
        <v>22458</v>
      </c>
      <c r="S31" s="2">
        <v>518</v>
      </c>
      <c r="T31" s="2">
        <v>905</v>
      </c>
      <c r="U31" s="2"/>
      <c r="V31" s="5">
        <f t="shared" si="0"/>
        <v>3.8443579766536966</v>
      </c>
      <c r="W31" s="5">
        <f t="shared" si="1"/>
        <v>13.540942928039703</v>
      </c>
      <c r="X31" s="5">
        <f t="shared" si="2"/>
        <v>40.098455598455601</v>
      </c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</row>
    <row r="32" spans="1:56">
      <c r="A32" s="2" t="s">
        <v>167</v>
      </c>
      <c r="B32" s="2" t="s">
        <v>26</v>
      </c>
      <c r="C32" s="2">
        <v>38</v>
      </c>
      <c r="D32" s="2">
        <v>28</v>
      </c>
      <c r="E32" s="2">
        <v>83</v>
      </c>
      <c r="F32" s="2">
        <v>71</v>
      </c>
      <c r="G32" s="2">
        <v>29</v>
      </c>
      <c r="H32" s="2">
        <v>20</v>
      </c>
      <c r="I32" s="2">
        <v>33</v>
      </c>
      <c r="J32" s="2">
        <v>41</v>
      </c>
      <c r="K32" s="2">
        <v>478</v>
      </c>
      <c r="L32" s="2">
        <v>596</v>
      </c>
      <c r="M32" s="2">
        <v>28</v>
      </c>
      <c r="N32" s="2">
        <v>37</v>
      </c>
      <c r="O32" s="2">
        <v>37</v>
      </c>
      <c r="P32" s="2">
        <v>47</v>
      </c>
      <c r="Q32" s="2">
        <v>485</v>
      </c>
      <c r="R32" s="2">
        <v>454</v>
      </c>
      <c r="S32" s="2">
        <v>30</v>
      </c>
      <c r="T32" s="2">
        <v>39</v>
      </c>
      <c r="U32" s="2"/>
      <c r="V32" s="5">
        <f t="shared" si="0"/>
        <v>2.8620689655172415</v>
      </c>
      <c r="W32" s="5">
        <f t="shared" si="1"/>
        <v>17.071428571428573</v>
      </c>
      <c r="X32" s="5">
        <f t="shared" si="2"/>
        <v>16.166666666666668</v>
      </c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</row>
    <row r="33" spans="1:56">
      <c r="A33" s="2" t="s">
        <v>167</v>
      </c>
      <c r="B33" s="2" t="s">
        <v>104</v>
      </c>
      <c r="C33" s="2">
        <v>36</v>
      </c>
      <c r="D33" s="2">
        <v>41</v>
      </c>
      <c r="E33" s="2">
        <v>109</v>
      </c>
      <c r="F33" s="2">
        <v>104</v>
      </c>
      <c r="G33" s="2">
        <v>28</v>
      </c>
      <c r="H33" s="2">
        <v>40</v>
      </c>
      <c r="I33" s="2">
        <v>95</v>
      </c>
      <c r="J33" s="2">
        <v>56</v>
      </c>
      <c r="K33" s="2">
        <v>375</v>
      </c>
      <c r="L33" s="2">
        <v>359</v>
      </c>
      <c r="M33" s="2">
        <v>42</v>
      </c>
      <c r="N33" s="2">
        <v>45</v>
      </c>
      <c r="O33" s="2">
        <v>64</v>
      </c>
      <c r="P33" s="2">
        <v>65</v>
      </c>
      <c r="Q33" s="2">
        <v>787</v>
      </c>
      <c r="R33" s="2">
        <v>775</v>
      </c>
      <c r="S33" s="2">
        <v>51</v>
      </c>
      <c r="T33" s="2">
        <v>49</v>
      </c>
      <c r="U33" s="2"/>
      <c r="V33" s="5">
        <f t="shared" si="0"/>
        <v>3.8928571428571428</v>
      </c>
      <c r="W33" s="5">
        <f t="shared" si="1"/>
        <v>8.9285714285714288</v>
      </c>
      <c r="X33" s="5">
        <f t="shared" si="2"/>
        <v>15.431372549019608</v>
      </c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</row>
    <row r="34" spans="1:56">
      <c r="A34" s="2" t="s">
        <v>168</v>
      </c>
      <c r="B34" s="2" t="s">
        <v>16</v>
      </c>
      <c r="C34" s="2">
        <v>676</v>
      </c>
      <c r="D34" s="2">
        <v>1041</v>
      </c>
      <c r="E34" s="2">
        <v>2911</v>
      </c>
      <c r="F34" s="2">
        <v>4671</v>
      </c>
      <c r="G34" s="2">
        <v>478</v>
      </c>
      <c r="H34" s="2">
        <v>731</v>
      </c>
      <c r="I34" s="2">
        <v>899</v>
      </c>
      <c r="J34" s="2">
        <v>1458</v>
      </c>
      <c r="K34" s="2">
        <v>24352</v>
      </c>
      <c r="L34" s="2">
        <v>46271</v>
      </c>
      <c r="M34" s="2">
        <v>774</v>
      </c>
      <c r="N34" s="2">
        <v>1127</v>
      </c>
      <c r="O34" s="2">
        <v>963</v>
      </c>
      <c r="P34" s="2">
        <v>1525</v>
      </c>
      <c r="Q34" s="2">
        <v>51569</v>
      </c>
      <c r="R34" s="2">
        <v>87068</v>
      </c>
      <c r="S34" s="2">
        <v>818</v>
      </c>
      <c r="T34" s="2">
        <v>1442</v>
      </c>
      <c r="U34" s="2"/>
      <c r="V34" s="5">
        <f t="shared" si="0"/>
        <v>6.0899581589958158</v>
      </c>
      <c r="W34" s="5">
        <f t="shared" si="1"/>
        <v>31.462532299741603</v>
      </c>
      <c r="X34" s="5">
        <f t="shared" si="2"/>
        <v>63.042787286063572</v>
      </c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</row>
    <row r="35" spans="1:56">
      <c r="A35" s="2" t="s">
        <v>168</v>
      </c>
      <c r="B35" s="2" t="s">
        <v>91</v>
      </c>
      <c r="C35" s="2">
        <v>1256</v>
      </c>
      <c r="D35" s="2">
        <v>1495</v>
      </c>
      <c r="E35" s="2">
        <v>2136</v>
      </c>
      <c r="F35" s="2">
        <v>2525</v>
      </c>
      <c r="G35" s="2">
        <v>852</v>
      </c>
      <c r="H35" s="2">
        <v>1119</v>
      </c>
      <c r="I35" s="2">
        <v>2239</v>
      </c>
      <c r="J35" s="2">
        <v>2574</v>
      </c>
      <c r="K35" s="2">
        <v>23713</v>
      </c>
      <c r="L35" s="2">
        <v>28099</v>
      </c>
      <c r="M35" s="2">
        <v>1731</v>
      </c>
      <c r="N35" s="2">
        <v>1911</v>
      </c>
      <c r="O35" s="2">
        <v>2593</v>
      </c>
      <c r="P35" s="2">
        <v>2839</v>
      </c>
      <c r="Q35" s="2">
        <v>50603</v>
      </c>
      <c r="R35" s="2">
        <v>54869</v>
      </c>
      <c r="S35" s="2">
        <v>2184</v>
      </c>
      <c r="T35" s="2">
        <v>2476</v>
      </c>
      <c r="U35" s="2"/>
      <c r="V35" s="5">
        <f t="shared" si="0"/>
        <v>2.507042253521127</v>
      </c>
      <c r="W35" s="5">
        <f t="shared" si="1"/>
        <v>13.699017908723281</v>
      </c>
      <c r="X35" s="5">
        <f t="shared" si="2"/>
        <v>23.169871794871796</v>
      </c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</row>
    <row r="36" spans="1:56">
      <c r="A36" s="2" t="s">
        <v>169</v>
      </c>
      <c r="B36" s="2" t="s">
        <v>64</v>
      </c>
      <c r="C36" s="2">
        <v>4618</v>
      </c>
      <c r="D36" s="2">
        <v>6084</v>
      </c>
      <c r="E36" s="2">
        <v>24988</v>
      </c>
      <c r="F36" s="2">
        <v>34801</v>
      </c>
      <c r="G36" s="2">
        <v>3190</v>
      </c>
      <c r="H36" s="2">
        <v>4068</v>
      </c>
      <c r="I36" s="2">
        <v>7393</v>
      </c>
      <c r="J36" s="2">
        <v>9221</v>
      </c>
      <c r="K36" s="2">
        <v>230057</v>
      </c>
      <c r="L36" s="2">
        <v>394793</v>
      </c>
      <c r="M36" s="2">
        <v>5624</v>
      </c>
      <c r="N36" s="2">
        <v>7176</v>
      </c>
      <c r="O36" s="2">
        <v>8382</v>
      </c>
      <c r="P36" s="2">
        <v>10488</v>
      </c>
      <c r="Q36" s="2">
        <v>400538</v>
      </c>
      <c r="R36" s="2">
        <v>611808</v>
      </c>
      <c r="S36" s="2">
        <v>7025</v>
      </c>
      <c r="T36" s="2">
        <v>8984</v>
      </c>
      <c r="U36" s="2"/>
      <c r="V36" s="5">
        <f t="shared" si="0"/>
        <v>7.8332288401253916</v>
      </c>
      <c r="W36" s="5">
        <f t="shared" si="1"/>
        <v>40.906294452347083</v>
      </c>
      <c r="X36" s="5">
        <f t="shared" si="2"/>
        <v>57.016085409252668</v>
      </c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</row>
    <row r="37" spans="1:56">
      <c r="A37" s="2" t="s">
        <v>169</v>
      </c>
      <c r="B37" s="2" t="s">
        <v>25</v>
      </c>
      <c r="C37" s="2">
        <v>2414</v>
      </c>
      <c r="D37" s="2">
        <v>2710</v>
      </c>
      <c r="E37" s="2">
        <v>4619</v>
      </c>
      <c r="F37" s="2">
        <v>4683</v>
      </c>
      <c r="G37" s="2">
        <v>1955</v>
      </c>
      <c r="H37" s="2">
        <v>1806</v>
      </c>
      <c r="I37" s="2">
        <v>4468</v>
      </c>
      <c r="J37" s="2">
        <v>4720</v>
      </c>
      <c r="K37" s="2">
        <v>43387</v>
      </c>
      <c r="L37" s="2">
        <v>54023</v>
      </c>
      <c r="M37" s="2">
        <v>3296</v>
      </c>
      <c r="N37" s="2">
        <v>3535</v>
      </c>
      <c r="O37" s="2">
        <v>4985</v>
      </c>
      <c r="P37" s="2">
        <v>5452</v>
      </c>
      <c r="Q37" s="2">
        <v>144190</v>
      </c>
      <c r="R37" s="2">
        <v>118316</v>
      </c>
      <c r="S37" s="2">
        <v>4205</v>
      </c>
      <c r="T37" s="2">
        <v>4709</v>
      </c>
      <c r="U37" s="2"/>
      <c r="V37" s="5">
        <f t="shared" si="0"/>
        <v>2.3626598465473148</v>
      </c>
      <c r="W37" s="5">
        <f t="shared" si="1"/>
        <v>13.163531553398059</v>
      </c>
      <c r="X37" s="5">
        <f t="shared" si="2"/>
        <v>34.290130796670631</v>
      </c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</row>
    <row r="38" spans="1:56">
      <c r="A38" s="2" t="s">
        <v>169</v>
      </c>
      <c r="B38" s="2" t="s">
        <v>36</v>
      </c>
      <c r="C38" s="2">
        <v>1534</v>
      </c>
      <c r="D38" s="2">
        <v>2887</v>
      </c>
      <c r="E38" s="2">
        <v>4171</v>
      </c>
      <c r="F38" s="2">
        <v>6264</v>
      </c>
      <c r="G38" s="2">
        <v>1073</v>
      </c>
      <c r="H38" s="2">
        <v>1913</v>
      </c>
      <c r="I38" s="2">
        <v>2087</v>
      </c>
      <c r="J38" s="2">
        <v>3880</v>
      </c>
      <c r="K38" s="2">
        <v>33940</v>
      </c>
      <c r="L38" s="2">
        <v>50506</v>
      </c>
      <c r="M38" s="2">
        <v>1603</v>
      </c>
      <c r="N38" s="2">
        <v>2950</v>
      </c>
      <c r="O38" s="2">
        <v>2183</v>
      </c>
      <c r="P38" s="2">
        <v>3961</v>
      </c>
      <c r="Q38" s="2">
        <v>118616</v>
      </c>
      <c r="R38" s="2">
        <v>107675</v>
      </c>
      <c r="S38" s="2">
        <v>1897</v>
      </c>
      <c r="T38" s="2">
        <v>3546</v>
      </c>
      <c r="U38" s="2"/>
      <c r="V38" s="5">
        <f t="shared" si="0"/>
        <v>3.8872320596458527</v>
      </c>
      <c r="W38" s="5">
        <f t="shared" si="1"/>
        <v>21.172800998128508</v>
      </c>
      <c r="X38" s="5">
        <f t="shared" si="2"/>
        <v>62.528202424881393</v>
      </c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</row>
    <row r="39" spans="1:56">
      <c r="A39" s="2" t="s">
        <v>169</v>
      </c>
      <c r="B39" s="2" t="s">
        <v>100</v>
      </c>
      <c r="C39" s="2">
        <v>1597</v>
      </c>
      <c r="D39" s="2">
        <v>1888</v>
      </c>
      <c r="E39" s="2">
        <v>3009</v>
      </c>
      <c r="F39" s="2">
        <v>3072</v>
      </c>
      <c r="G39" s="2">
        <v>1206</v>
      </c>
      <c r="H39" s="2">
        <v>1571</v>
      </c>
      <c r="I39" s="2">
        <v>2275</v>
      </c>
      <c r="J39" s="2">
        <v>2699</v>
      </c>
      <c r="K39" s="2">
        <v>22824</v>
      </c>
      <c r="L39" s="2">
        <v>26580</v>
      </c>
      <c r="M39" s="2">
        <v>2078</v>
      </c>
      <c r="N39" s="2">
        <v>2061</v>
      </c>
      <c r="O39" s="2">
        <v>2580</v>
      </c>
      <c r="P39" s="2">
        <v>3118</v>
      </c>
      <c r="Q39" s="2">
        <v>57784</v>
      </c>
      <c r="R39" s="2">
        <v>49497</v>
      </c>
      <c r="S39" s="2">
        <v>2126</v>
      </c>
      <c r="T39" s="2">
        <v>2579</v>
      </c>
      <c r="U39" s="2"/>
      <c r="V39" s="5">
        <f t="shared" si="0"/>
        <v>2.4950248756218905</v>
      </c>
      <c r="W39" s="5">
        <f t="shared" si="1"/>
        <v>10.983638113570741</v>
      </c>
      <c r="X39" s="5">
        <f t="shared" si="2"/>
        <v>27.179680150517402</v>
      </c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</row>
    <row r="40" spans="1:56">
      <c r="A40" s="2" t="s">
        <v>169</v>
      </c>
      <c r="B40" s="2" t="s">
        <v>66</v>
      </c>
      <c r="C40" s="2">
        <v>1396</v>
      </c>
      <c r="D40" s="2">
        <v>1637</v>
      </c>
      <c r="E40" s="2">
        <v>2381</v>
      </c>
      <c r="F40" s="2">
        <v>2468</v>
      </c>
      <c r="G40" s="2">
        <v>945</v>
      </c>
      <c r="H40" s="2">
        <v>1143</v>
      </c>
      <c r="I40" s="2">
        <v>2211</v>
      </c>
      <c r="J40" s="2">
        <v>2634</v>
      </c>
      <c r="K40" s="2">
        <v>26387</v>
      </c>
      <c r="L40" s="2">
        <v>24358</v>
      </c>
      <c r="M40" s="2">
        <v>2059</v>
      </c>
      <c r="N40" s="2">
        <v>2078</v>
      </c>
      <c r="O40" s="2">
        <v>2490</v>
      </c>
      <c r="P40" s="2">
        <v>2918</v>
      </c>
      <c r="Q40" s="2">
        <v>49506</v>
      </c>
      <c r="R40" s="2">
        <v>44573</v>
      </c>
      <c r="S40" s="2">
        <v>2058</v>
      </c>
      <c r="T40" s="2">
        <v>2507</v>
      </c>
      <c r="U40" s="2"/>
      <c r="V40" s="5">
        <f t="shared" si="0"/>
        <v>2.5195767195767194</v>
      </c>
      <c r="W40" s="5">
        <f t="shared" si="1"/>
        <v>12.815444390480815</v>
      </c>
      <c r="X40" s="5">
        <f t="shared" si="2"/>
        <v>24.055393586005831</v>
      </c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</row>
    <row r="41" spans="1:56">
      <c r="A41" s="2" t="s">
        <v>169</v>
      </c>
      <c r="B41" s="2" t="s">
        <v>60</v>
      </c>
      <c r="C41" s="2">
        <v>1133</v>
      </c>
      <c r="D41" s="2">
        <v>1442</v>
      </c>
      <c r="E41" s="2">
        <v>2080</v>
      </c>
      <c r="F41" s="2">
        <v>2281</v>
      </c>
      <c r="G41" s="2">
        <v>772</v>
      </c>
      <c r="H41" s="2">
        <v>995</v>
      </c>
      <c r="I41" s="2">
        <v>1548</v>
      </c>
      <c r="J41" s="2">
        <v>2070</v>
      </c>
      <c r="K41" s="2">
        <v>14053</v>
      </c>
      <c r="L41" s="2">
        <v>15892</v>
      </c>
      <c r="M41" s="2">
        <v>1185</v>
      </c>
      <c r="N41" s="2">
        <v>1543</v>
      </c>
      <c r="O41" s="2">
        <v>1844</v>
      </c>
      <c r="P41" s="2">
        <v>2793</v>
      </c>
      <c r="Q41" s="2">
        <v>34114</v>
      </c>
      <c r="R41" s="2">
        <v>40387</v>
      </c>
      <c r="S41" s="2">
        <v>1570</v>
      </c>
      <c r="T41" s="2">
        <v>2318</v>
      </c>
      <c r="U41" s="2"/>
      <c r="V41" s="5">
        <f t="shared" si="0"/>
        <v>2.6943005181347148</v>
      </c>
      <c r="W41" s="5">
        <f t="shared" si="1"/>
        <v>11.859071729957806</v>
      </c>
      <c r="X41" s="5">
        <f t="shared" si="2"/>
        <v>21.728662420382165</v>
      </c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</row>
    <row r="42" spans="1:56">
      <c r="A42" s="2" t="s">
        <v>169</v>
      </c>
      <c r="B42" s="2" t="s">
        <v>12</v>
      </c>
      <c r="C42" s="2">
        <v>319</v>
      </c>
      <c r="D42" s="2">
        <v>462</v>
      </c>
      <c r="E42" s="2">
        <v>470</v>
      </c>
      <c r="F42" s="2">
        <v>466</v>
      </c>
      <c r="G42" s="2">
        <v>215</v>
      </c>
      <c r="H42" s="2">
        <v>322</v>
      </c>
      <c r="I42" s="2">
        <v>414</v>
      </c>
      <c r="J42" s="2">
        <v>443</v>
      </c>
      <c r="K42" s="2">
        <v>3138</v>
      </c>
      <c r="L42" s="2">
        <v>3169</v>
      </c>
      <c r="M42" s="2">
        <v>320</v>
      </c>
      <c r="N42" s="2">
        <v>345</v>
      </c>
      <c r="O42" s="2">
        <v>443</v>
      </c>
      <c r="P42" s="2">
        <v>466</v>
      </c>
      <c r="Q42" s="2">
        <v>4188</v>
      </c>
      <c r="R42" s="2">
        <v>6010</v>
      </c>
      <c r="S42" s="2">
        <v>375</v>
      </c>
      <c r="T42" s="2">
        <v>416</v>
      </c>
      <c r="U42" s="2"/>
      <c r="V42" s="5">
        <f t="shared" si="0"/>
        <v>2.1860465116279069</v>
      </c>
      <c r="W42" s="5">
        <f t="shared" si="1"/>
        <v>9.8062500000000004</v>
      </c>
      <c r="X42" s="5">
        <f t="shared" si="2"/>
        <v>11.167999999999999</v>
      </c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</row>
    <row r="43" spans="1:56">
      <c r="A43" s="2" t="s">
        <v>183</v>
      </c>
      <c r="B43" s="2" t="s">
        <v>21</v>
      </c>
      <c r="C43" s="2">
        <v>4462</v>
      </c>
      <c r="D43" s="2">
        <v>5835</v>
      </c>
      <c r="E43" s="2">
        <v>10231</v>
      </c>
      <c r="F43" s="2">
        <v>9850</v>
      </c>
      <c r="G43" s="2">
        <v>3017</v>
      </c>
      <c r="H43" s="2">
        <v>3883</v>
      </c>
      <c r="I43" s="2">
        <v>11734</v>
      </c>
      <c r="J43" s="2">
        <v>15938</v>
      </c>
      <c r="K43" s="2">
        <v>90201</v>
      </c>
      <c r="L43" s="2">
        <v>152196</v>
      </c>
      <c r="M43" s="2">
        <v>8800</v>
      </c>
      <c r="N43" s="2">
        <v>11992</v>
      </c>
      <c r="O43" s="2">
        <v>14743</v>
      </c>
      <c r="P43" s="2">
        <v>18776</v>
      </c>
      <c r="Q43" s="2">
        <v>311979</v>
      </c>
      <c r="R43" s="2">
        <v>346050</v>
      </c>
      <c r="S43" s="2">
        <v>16127</v>
      </c>
      <c r="T43" s="2">
        <v>22133</v>
      </c>
      <c r="U43" s="2"/>
      <c r="V43" s="5">
        <f t="shared" si="0"/>
        <v>3.3911170036460061</v>
      </c>
      <c r="W43" s="5">
        <f t="shared" si="1"/>
        <v>10.250113636363636</v>
      </c>
      <c r="X43" s="5">
        <f t="shared" si="2"/>
        <v>19.345135487071371</v>
      </c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</row>
    <row r="44" spans="1:56">
      <c r="A44" s="2" t="s">
        <v>171</v>
      </c>
      <c r="B44" s="2" t="s">
        <v>44</v>
      </c>
      <c r="C44" s="2">
        <v>560</v>
      </c>
      <c r="D44" s="2">
        <v>648</v>
      </c>
      <c r="E44" s="2">
        <v>1073</v>
      </c>
      <c r="F44" s="2">
        <v>971</v>
      </c>
      <c r="G44" s="2">
        <v>386</v>
      </c>
      <c r="H44" s="2">
        <v>459</v>
      </c>
      <c r="I44" s="2">
        <v>861</v>
      </c>
      <c r="J44" s="2">
        <v>885</v>
      </c>
      <c r="K44" s="2">
        <v>9822</v>
      </c>
      <c r="L44" s="2">
        <v>10065</v>
      </c>
      <c r="M44" s="2">
        <v>614</v>
      </c>
      <c r="N44" s="2">
        <v>699</v>
      </c>
      <c r="O44" s="2">
        <v>929</v>
      </c>
      <c r="P44" s="2">
        <v>923</v>
      </c>
      <c r="Q44" s="2">
        <v>22624</v>
      </c>
      <c r="R44" s="2">
        <v>18198</v>
      </c>
      <c r="S44" s="2">
        <v>968</v>
      </c>
      <c r="T44" s="2">
        <v>825</v>
      </c>
      <c r="U44" s="2"/>
      <c r="V44" s="5">
        <f t="shared" si="0"/>
        <v>2.7797927461139897</v>
      </c>
      <c r="W44" s="5">
        <f t="shared" si="1"/>
        <v>15.996742671009772</v>
      </c>
      <c r="X44" s="5">
        <f t="shared" si="2"/>
        <v>23.371900826446282</v>
      </c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</row>
    <row r="45" spans="1:56">
      <c r="A45" s="2" t="s">
        <v>170</v>
      </c>
      <c r="B45" s="2" t="s">
        <v>5</v>
      </c>
      <c r="C45" s="2">
        <v>260</v>
      </c>
      <c r="D45" s="2">
        <v>419</v>
      </c>
      <c r="E45" s="2">
        <v>534</v>
      </c>
      <c r="F45" s="2">
        <v>488</v>
      </c>
      <c r="G45" s="2">
        <v>186</v>
      </c>
      <c r="H45" s="2">
        <v>181</v>
      </c>
      <c r="I45" s="2">
        <v>340</v>
      </c>
      <c r="J45" s="2">
        <v>344</v>
      </c>
      <c r="K45" s="2">
        <v>5076</v>
      </c>
      <c r="L45" s="2">
        <v>5137</v>
      </c>
      <c r="M45" s="2">
        <v>261</v>
      </c>
      <c r="N45" s="2">
        <v>268</v>
      </c>
      <c r="O45" s="2">
        <v>359</v>
      </c>
      <c r="P45" s="2">
        <v>378</v>
      </c>
      <c r="Q45" s="2">
        <v>8735</v>
      </c>
      <c r="R45" s="2">
        <v>6752</v>
      </c>
      <c r="S45" s="2">
        <v>308</v>
      </c>
      <c r="T45" s="2">
        <v>304</v>
      </c>
      <c r="U45" s="2"/>
      <c r="V45" s="5">
        <f t="shared" si="0"/>
        <v>2.870967741935484</v>
      </c>
      <c r="W45" s="5">
        <f t="shared" si="1"/>
        <v>19.448275862068964</v>
      </c>
      <c r="X45" s="5">
        <f t="shared" si="2"/>
        <v>28.36038961038961</v>
      </c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</row>
    <row r="46" spans="1:56">
      <c r="A46" s="2" t="s">
        <v>170</v>
      </c>
      <c r="B46" s="2" t="s">
        <v>62</v>
      </c>
      <c r="C46" s="2">
        <v>809</v>
      </c>
      <c r="D46" s="2">
        <v>10419</v>
      </c>
      <c r="E46" s="2">
        <v>1425</v>
      </c>
      <c r="F46" s="2">
        <v>7389</v>
      </c>
      <c r="G46" s="2">
        <v>579</v>
      </c>
      <c r="H46" s="2">
        <v>4001</v>
      </c>
      <c r="I46" s="2">
        <v>1162</v>
      </c>
      <c r="J46" s="2">
        <v>9612</v>
      </c>
      <c r="K46" s="2">
        <v>12965</v>
      </c>
      <c r="L46" s="2">
        <v>23155</v>
      </c>
      <c r="M46" s="2">
        <v>853</v>
      </c>
      <c r="N46" s="2">
        <v>6593</v>
      </c>
      <c r="O46" s="2">
        <v>1235</v>
      </c>
      <c r="P46" s="2">
        <v>10513</v>
      </c>
      <c r="Q46" s="2">
        <v>22597</v>
      </c>
      <c r="R46" s="2">
        <v>32425</v>
      </c>
      <c r="S46" s="2">
        <v>1107</v>
      </c>
      <c r="T46" s="2">
        <v>9627</v>
      </c>
      <c r="U46" s="2"/>
      <c r="V46" s="5">
        <f t="shared" si="0"/>
        <v>2.4611398963730569</v>
      </c>
      <c r="W46" s="5">
        <f t="shared" si="1"/>
        <v>15.199296600234467</v>
      </c>
      <c r="X46" s="5">
        <f t="shared" si="2"/>
        <v>20.41282746160795</v>
      </c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</row>
    <row r="47" spans="1:56">
      <c r="A47" s="2" t="s">
        <v>170</v>
      </c>
      <c r="B47" s="2" t="s">
        <v>6</v>
      </c>
      <c r="C47" s="2">
        <v>660</v>
      </c>
      <c r="D47" s="2">
        <v>80033</v>
      </c>
      <c r="E47" s="2">
        <v>1258</v>
      </c>
      <c r="F47" s="2">
        <v>3356</v>
      </c>
      <c r="G47" s="2">
        <v>469</v>
      </c>
      <c r="H47" s="2">
        <v>1407</v>
      </c>
      <c r="I47" s="2">
        <v>1672</v>
      </c>
      <c r="J47" s="2">
        <v>4688</v>
      </c>
      <c r="K47" s="2">
        <v>21407</v>
      </c>
      <c r="L47" s="2">
        <v>40847</v>
      </c>
      <c r="M47" s="2">
        <v>1239</v>
      </c>
      <c r="N47" s="2">
        <v>77793</v>
      </c>
      <c r="O47" s="2">
        <v>1850</v>
      </c>
      <c r="P47" s="2">
        <v>6276</v>
      </c>
      <c r="Q47" s="2">
        <v>39567</v>
      </c>
      <c r="R47" s="2">
        <v>36252</v>
      </c>
      <c r="S47" s="2">
        <v>1701</v>
      </c>
      <c r="T47" s="2">
        <v>40882</v>
      </c>
      <c r="U47" s="2"/>
      <c r="V47" s="5">
        <f t="shared" si="0"/>
        <v>2.6823027718550105</v>
      </c>
      <c r="W47" s="5">
        <f t="shared" si="1"/>
        <v>17.277643260694109</v>
      </c>
      <c r="X47" s="5">
        <f t="shared" si="2"/>
        <v>23.261022927689595</v>
      </c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</row>
    <row r="48" spans="1:56">
      <c r="A48" s="2" t="s">
        <v>170</v>
      </c>
      <c r="B48" s="2" t="s">
        <v>82</v>
      </c>
      <c r="C48" s="2">
        <v>23</v>
      </c>
      <c r="D48" s="2">
        <v>29</v>
      </c>
      <c r="E48" s="2">
        <v>49</v>
      </c>
      <c r="F48" s="2">
        <v>49</v>
      </c>
      <c r="G48" s="2">
        <v>17</v>
      </c>
      <c r="H48" s="2">
        <v>18</v>
      </c>
      <c r="I48" s="2">
        <v>32</v>
      </c>
      <c r="J48" s="2">
        <v>34</v>
      </c>
      <c r="K48" s="2">
        <v>154</v>
      </c>
      <c r="L48" s="2">
        <v>182</v>
      </c>
      <c r="M48" s="2">
        <v>47</v>
      </c>
      <c r="N48" s="2">
        <v>28</v>
      </c>
      <c r="O48" s="2">
        <v>35</v>
      </c>
      <c r="P48" s="2">
        <v>36</v>
      </c>
      <c r="Q48" s="2">
        <v>514</v>
      </c>
      <c r="R48" s="2">
        <v>431</v>
      </c>
      <c r="S48" s="2">
        <v>30</v>
      </c>
      <c r="T48" s="2">
        <v>31</v>
      </c>
      <c r="U48" s="2"/>
      <c r="V48" s="5">
        <f t="shared" si="0"/>
        <v>2.8823529411764706</v>
      </c>
      <c r="W48" s="5">
        <f t="shared" si="1"/>
        <v>3.2765957446808511</v>
      </c>
      <c r="X48" s="5">
        <f t="shared" si="2"/>
        <v>17.133333333333333</v>
      </c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</row>
    <row r="49" spans="1:56">
      <c r="A49" s="2" t="s">
        <v>170</v>
      </c>
      <c r="B49" s="2" t="s">
        <v>92</v>
      </c>
      <c r="C49" s="2">
        <v>13</v>
      </c>
      <c r="D49" s="2">
        <v>12</v>
      </c>
      <c r="E49" s="2">
        <v>17</v>
      </c>
      <c r="F49" s="2">
        <v>28</v>
      </c>
      <c r="G49" s="2">
        <v>12</v>
      </c>
      <c r="H49" s="2">
        <v>10</v>
      </c>
      <c r="I49" s="2">
        <v>17</v>
      </c>
      <c r="J49" s="2">
        <v>17</v>
      </c>
      <c r="K49" s="2">
        <v>23</v>
      </c>
      <c r="L49" s="2">
        <v>37</v>
      </c>
      <c r="M49" s="2">
        <v>13</v>
      </c>
      <c r="N49" s="2">
        <v>13</v>
      </c>
      <c r="O49" s="2">
        <v>18</v>
      </c>
      <c r="P49" s="2">
        <v>17</v>
      </c>
      <c r="Q49" s="2">
        <v>17</v>
      </c>
      <c r="R49" s="2">
        <v>17</v>
      </c>
      <c r="S49" s="2">
        <v>15</v>
      </c>
      <c r="T49" s="2">
        <v>20</v>
      </c>
      <c r="U49" s="2"/>
      <c r="V49" s="5">
        <f t="shared" si="0"/>
        <v>1.4166666666666667</v>
      </c>
      <c r="W49" s="5">
        <f t="shared" si="1"/>
        <v>1.7692307692307692</v>
      </c>
      <c r="X49" s="5">
        <f t="shared" si="2"/>
        <v>1.1333333333333333</v>
      </c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</row>
    <row r="50" spans="1:56">
      <c r="A50" s="2" t="s">
        <v>170</v>
      </c>
      <c r="B50" s="2" t="s">
        <v>53</v>
      </c>
      <c r="C50" s="2">
        <v>870</v>
      </c>
      <c r="D50" s="2">
        <v>36733</v>
      </c>
      <c r="E50" s="2">
        <v>1355</v>
      </c>
      <c r="F50" s="2">
        <v>26141</v>
      </c>
      <c r="G50" s="2">
        <v>590</v>
      </c>
      <c r="H50" s="2">
        <v>32879</v>
      </c>
      <c r="I50" s="2">
        <v>1790</v>
      </c>
      <c r="J50" s="2">
        <v>64171</v>
      </c>
      <c r="K50" s="2">
        <v>14505</v>
      </c>
      <c r="L50" s="2">
        <v>52576</v>
      </c>
      <c r="M50" s="2">
        <v>1304</v>
      </c>
      <c r="N50" s="2">
        <v>42022</v>
      </c>
      <c r="O50" s="2">
        <v>2101</v>
      </c>
      <c r="P50" s="2">
        <v>56083</v>
      </c>
      <c r="Q50" s="2">
        <v>28399</v>
      </c>
      <c r="R50" s="2">
        <v>90992</v>
      </c>
      <c r="S50" s="2">
        <v>1864</v>
      </c>
      <c r="T50" s="2">
        <v>50790</v>
      </c>
      <c r="U50" s="2"/>
      <c r="V50" s="5">
        <f t="shared" si="0"/>
        <v>2.2966101694915255</v>
      </c>
      <c r="W50" s="5">
        <f t="shared" si="1"/>
        <v>11.123466257668712</v>
      </c>
      <c r="X50" s="5">
        <f t="shared" si="2"/>
        <v>15.235515021459227</v>
      </c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</row>
    <row r="51" spans="1:56">
      <c r="A51" s="2" t="s">
        <v>170</v>
      </c>
      <c r="B51" s="2" t="s">
        <v>11</v>
      </c>
      <c r="C51" s="2">
        <v>64</v>
      </c>
      <c r="D51" s="2">
        <v>75</v>
      </c>
      <c r="E51" s="2">
        <v>156</v>
      </c>
      <c r="F51" s="2">
        <v>154</v>
      </c>
      <c r="G51" s="2">
        <v>47</v>
      </c>
      <c r="H51" s="2">
        <v>80</v>
      </c>
      <c r="I51" s="2">
        <v>90</v>
      </c>
      <c r="J51" s="2">
        <v>98</v>
      </c>
      <c r="K51" s="2">
        <v>934</v>
      </c>
      <c r="L51" s="2">
        <v>1330</v>
      </c>
      <c r="M51" s="2">
        <v>70</v>
      </c>
      <c r="N51" s="2">
        <v>79</v>
      </c>
      <c r="O51" s="2">
        <v>101</v>
      </c>
      <c r="P51" s="2">
        <v>107</v>
      </c>
      <c r="Q51" s="2">
        <v>2068</v>
      </c>
      <c r="R51" s="2">
        <v>2064</v>
      </c>
      <c r="S51" s="2">
        <v>82</v>
      </c>
      <c r="T51" s="2">
        <v>91</v>
      </c>
      <c r="U51" s="2"/>
      <c r="V51" s="5">
        <f t="shared" si="0"/>
        <v>3.3191489361702127</v>
      </c>
      <c r="W51" s="5">
        <f t="shared" si="1"/>
        <v>13.342857142857143</v>
      </c>
      <c r="X51" s="5">
        <f t="shared" si="2"/>
        <v>25.219512195121951</v>
      </c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</row>
    <row r="52" spans="1:56">
      <c r="A52" s="2" t="s">
        <v>170</v>
      </c>
      <c r="B52" s="2" t="s">
        <v>84</v>
      </c>
      <c r="C52" s="2">
        <v>478</v>
      </c>
      <c r="D52" s="2">
        <v>2099</v>
      </c>
      <c r="E52" s="2">
        <v>872</v>
      </c>
      <c r="F52" s="2">
        <v>2459</v>
      </c>
      <c r="G52" s="2">
        <v>358</v>
      </c>
      <c r="H52" s="2">
        <v>1504</v>
      </c>
      <c r="I52" s="2">
        <v>745</v>
      </c>
      <c r="J52" s="2">
        <v>3254</v>
      </c>
      <c r="K52" s="2">
        <v>8118</v>
      </c>
      <c r="L52" s="2">
        <v>10817</v>
      </c>
      <c r="M52" s="2">
        <v>549</v>
      </c>
      <c r="N52" s="2">
        <v>2039</v>
      </c>
      <c r="O52" s="2">
        <v>811</v>
      </c>
      <c r="P52" s="2">
        <v>3221</v>
      </c>
      <c r="Q52" s="2">
        <v>14908</v>
      </c>
      <c r="R52" s="2">
        <v>18946</v>
      </c>
      <c r="S52" s="2">
        <v>774</v>
      </c>
      <c r="T52" s="2">
        <v>3044</v>
      </c>
      <c r="U52" s="2"/>
      <c r="V52" s="5">
        <f t="shared" si="0"/>
        <v>2.435754189944134</v>
      </c>
      <c r="W52" s="5">
        <f t="shared" si="1"/>
        <v>14.78688524590164</v>
      </c>
      <c r="X52" s="5">
        <f t="shared" si="2"/>
        <v>19.260981912144704</v>
      </c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</row>
    <row r="53" spans="1:56">
      <c r="A53" s="2" t="s">
        <v>182</v>
      </c>
      <c r="B53" s="2" t="s">
        <v>50</v>
      </c>
      <c r="C53" s="2">
        <v>465</v>
      </c>
      <c r="D53" s="2">
        <v>595</v>
      </c>
      <c r="E53" s="2">
        <v>842</v>
      </c>
      <c r="F53" s="2">
        <v>920</v>
      </c>
      <c r="G53" s="2">
        <v>322</v>
      </c>
      <c r="H53" s="2">
        <v>370</v>
      </c>
      <c r="I53" s="2">
        <v>891</v>
      </c>
      <c r="J53" s="2">
        <v>1110</v>
      </c>
      <c r="K53" s="2">
        <v>9986</v>
      </c>
      <c r="L53" s="2">
        <v>9744</v>
      </c>
      <c r="M53" s="2">
        <v>641</v>
      </c>
      <c r="N53" s="2">
        <v>843</v>
      </c>
      <c r="O53" s="2">
        <v>1062</v>
      </c>
      <c r="P53" s="2">
        <v>1260</v>
      </c>
      <c r="Q53" s="2">
        <v>21291</v>
      </c>
      <c r="R53" s="2">
        <v>20696</v>
      </c>
      <c r="S53" s="2">
        <v>902</v>
      </c>
      <c r="T53" s="2">
        <v>1073</v>
      </c>
      <c r="U53" s="2"/>
      <c r="V53" s="5">
        <f t="shared" si="0"/>
        <v>2.6149068322981366</v>
      </c>
      <c r="W53" s="5">
        <f t="shared" si="1"/>
        <v>15.578783151326054</v>
      </c>
      <c r="X53" s="5">
        <f t="shared" si="2"/>
        <v>23.604212860310422</v>
      </c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</row>
    <row r="54" spans="1:56">
      <c r="A54" s="2" t="s">
        <v>182</v>
      </c>
      <c r="B54" s="2" t="s">
        <v>47</v>
      </c>
      <c r="C54" s="2">
        <v>941</v>
      </c>
      <c r="D54" s="2">
        <v>505906</v>
      </c>
      <c r="E54" s="2">
        <v>1391</v>
      </c>
      <c r="F54" s="2">
        <v>569171</v>
      </c>
      <c r="G54" s="2">
        <v>668</v>
      </c>
      <c r="H54" s="2">
        <v>400907</v>
      </c>
      <c r="I54" s="2">
        <v>2267</v>
      </c>
      <c r="J54" s="2">
        <v>1018534</v>
      </c>
      <c r="K54" s="2">
        <v>10193</v>
      </c>
      <c r="L54" s="2">
        <v>1087619</v>
      </c>
      <c r="M54" s="2">
        <v>1860</v>
      </c>
      <c r="N54" s="2">
        <v>843575</v>
      </c>
      <c r="O54" s="2">
        <v>2965</v>
      </c>
      <c r="P54" s="2">
        <v>1114997</v>
      </c>
      <c r="Q54" s="2">
        <v>25202</v>
      </c>
      <c r="R54" s="2">
        <v>1110169</v>
      </c>
      <c r="S54" s="2">
        <v>3038</v>
      </c>
      <c r="T54" s="2">
        <v>956642</v>
      </c>
      <c r="U54" s="2"/>
      <c r="V54" s="5">
        <f t="shared" si="0"/>
        <v>2.0823353293413174</v>
      </c>
      <c r="W54" s="5">
        <f t="shared" si="1"/>
        <v>5.4801075268817208</v>
      </c>
      <c r="X54" s="5">
        <f t="shared" si="2"/>
        <v>8.2955892034233045</v>
      </c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</row>
    <row r="55" spans="1:56">
      <c r="A55" s="2" t="s">
        <v>182</v>
      </c>
      <c r="B55" s="2" t="s">
        <v>57</v>
      </c>
      <c r="C55" s="2">
        <v>155</v>
      </c>
      <c r="D55" s="2">
        <v>165</v>
      </c>
      <c r="E55" s="2">
        <v>263</v>
      </c>
      <c r="F55" s="2">
        <v>269</v>
      </c>
      <c r="G55" s="2">
        <v>106</v>
      </c>
      <c r="H55" s="2">
        <v>105</v>
      </c>
      <c r="I55" s="2">
        <v>371</v>
      </c>
      <c r="J55" s="2">
        <v>321</v>
      </c>
      <c r="K55" s="2">
        <v>2796</v>
      </c>
      <c r="L55" s="2">
        <v>2510</v>
      </c>
      <c r="M55" s="2">
        <v>278</v>
      </c>
      <c r="N55" s="2">
        <v>240</v>
      </c>
      <c r="O55" s="2">
        <v>273</v>
      </c>
      <c r="P55" s="2">
        <v>230</v>
      </c>
      <c r="Q55" s="2">
        <v>1323</v>
      </c>
      <c r="R55" s="2">
        <v>1278</v>
      </c>
      <c r="S55" s="2">
        <v>206</v>
      </c>
      <c r="T55" s="2">
        <v>178</v>
      </c>
      <c r="U55" s="2"/>
      <c r="V55" s="5">
        <f t="shared" si="0"/>
        <v>2.4811320754716979</v>
      </c>
      <c r="W55" s="5">
        <f t="shared" si="1"/>
        <v>10.057553956834532</v>
      </c>
      <c r="X55" s="5">
        <f t="shared" si="2"/>
        <v>6.4223300970873787</v>
      </c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</row>
    <row r="56" spans="1:56">
      <c r="A56" s="2" t="s">
        <v>182</v>
      </c>
      <c r="B56" s="2" t="s">
        <v>95</v>
      </c>
      <c r="C56" s="2">
        <v>84</v>
      </c>
      <c r="D56" s="2">
        <v>136</v>
      </c>
      <c r="E56" s="2">
        <v>210</v>
      </c>
      <c r="F56" s="2">
        <v>324</v>
      </c>
      <c r="G56" s="2">
        <v>58</v>
      </c>
      <c r="H56" s="2">
        <v>93</v>
      </c>
      <c r="I56" s="2">
        <v>133</v>
      </c>
      <c r="J56" s="2">
        <v>207</v>
      </c>
      <c r="K56" s="2">
        <v>1280</v>
      </c>
      <c r="L56" s="2">
        <v>1797</v>
      </c>
      <c r="M56" s="2">
        <v>94</v>
      </c>
      <c r="N56" s="2">
        <v>281</v>
      </c>
      <c r="O56" s="2">
        <v>139</v>
      </c>
      <c r="P56" s="2">
        <v>219</v>
      </c>
      <c r="Q56" s="2">
        <v>1295</v>
      </c>
      <c r="R56" s="2">
        <v>1523</v>
      </c>
      <c r="S56" s="2">
        <v>111</v>
      </c>
      <c r="T56" s="2">
        <v>168</v>
      </c>
      <c r="U56" s="2"/>
      <c r="V56" s="5">
        <f t="shared" si="0"/>
        <v>3.6206896551724137</v>
      </c>
      <c r="W56" s="5">
        <f t="shared" si="1"/>
        <v>13.617021276595745</v>
      </c>
      <c r="X56" s="5">
        <f t="shared" si="2"/>
        <v>11.666666666666666</v>
      </c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</row>
    <row r="57" spans="1:56">
      <c r="A57" s="2" t="s">
        <v>182</v>
      </c>
      <c r="B57" s="2" t="s">
        <v>41</v>
      </c>
      <c r="C57" s="2">
        <v>160</v>
      </c>
      <c r="D57" s="2">
        <v>184</v>
      </c>
      <c r="E57" s="2">
        <v>294</v>
      </c>
      <c r="F57" s="2">
        <v>332</v>
      </c>
      <c r="G57" s="2">
        <v>110</v>
      </c>
      <c r="H57" s="2">
        <v>132</v>
      </c>
      <c r="I57" s="2">
        <v>320</v>
      </c>
      <c r="J57" s="2">
        <v>354</v>
      </c>
      <c r="K57" s="2">
        <v>1952</v>
      </c>
      <c r="L57" s="2">
        <v>2976</v>
      </c>
      <c r="M57" s="2">
        <v>246</v>
      </c>
      <c r="N57" s="2">
        <v>279</v>
      </c>
      <c r="O57" s="2">
        <v>222</v>
      </c>
      <c r="P57" s="2">
        <v>283</v>
      </c>
      <c r="Q57" s="2">
        <v>1227</v>
      </c>
      <c r="R57" s="2">
        <v>1123</v>
      </c>
      <c r="S57" s="2">
        <v>216</v>
      </c>
      <c r="T57" s="2">
        <v>211</v>
      </c>
      <c r="U57" s="2"/>
      <c r="V57" s="5">
        <f t="shared" si="0"/>
        <v>2.6727272727272728</v>
      </c>
      <c r="W57" s="5">
        <f t="shared" si="1"/>
        <v>7.9349593495934956</v>
      </c>
      <c r="X57" s="5">
        <f t="shared" si="2"/>
        <v>5.6805555555555554</v>
      </c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</row>
    <row r="58" spans="1:56">
      <c r="A58" s="2" t="s">
        <v>182</v>
      </c>
      <c r="B58" s="2" t="s">
        <v>81</v>
      </c>
      <c r="C58" s="2">
        <v>785</v>
      </c>
      <c r="D58" s="2">
        <v>938</v>
      </c>
      <c r="E58" s="2">
        <v>1415</v>
      </c>
      <c r="F58" s="2">
        <v>1496</v>
      </c>
      <c r="G58" s="2">
        <v>564</v>
      </c>
      <c r="H58" s="2">
        <v>631</v>
      </c>
      <c r="I58" s="2">
        <v>1131</v>
      </c>
      <c r="J58" s="2">
        <v>1344</v>
      </c>
      <c r="K58" s="2">
        <v>10787</v>
      </c>
      <c r="L58" s="2">
        <v>12046</v>
      </c>
      <c r="M58" s="2">
        <v>838</v>
      </c>
      <c r="N58" s="2">
        <v>1029</v>
      </c>
      <c r="O58" s="2">
        <v>1230</v>
      </c>
      <c r="P58" s="2">
        <v>1470</v>
      </c>
      <c r="Q58" s="2">
        <v>24169</v>
      </c>
      <c r="R58" s="2">
        <v>22219</v>
      </c>
      <c r="S58" s="2">
        <v>1057</v>
      </c>
      <c r="T58" s="2">
        <v>1388</v>
      </c>
      <c r="U58" s="2"/>
      <c r="V58" s="5">
        <f t="shared" si="0"/>
        <v>2.5088652482269502</v>
      </c>
      <c r="W58" s="5">
        <f t="shared" si="1"/>
        <v>12.872315035799522</v>
      </c>
      <c r="X58" s="5">
        <f t="shared" si="2"/>
        <v>22.865657521286661</v>
      </c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</row>
    <row r="59" spans="1:56">
      <c r="A59" s="2" t="s">
        <v>182</v>
      </c>
      <c r="B59" s="2" t="s">
        <v>45</v>
      </c>
      <c r="C59" s="2">
        <v>10845</v>
      </c>
      <c r="D59" s="2">
        <v>1061388</v>
      </c>
      <c r="E59" s="2">
        <v>43367</v>
      </c>
      <c r="F59" s="2">
        <v>1155434</v>
      </c>
      <c r="G59" s="2">
        <v>7584</v>
      </c>
      <c r="H59" s="2">
        <v>678900</v>
      </c>
      <c r="I59" s="2">
        <v>19132</v>
      </c>
      <c r="J59" s="2">
        <v>2047061</v>
      </c>
      <c r="K59" s="2">
        <v>284175</v>
      </c>
      <c r="L59" s="2">
        <v>2443366</v>
      </c>
      <c r="M59" s="2">
        <v>14533</v>
      </c>
      <c r="N59" s="2">
        <v>1465696</v>
      </c>
      <c r="O59" s="2">
        <v>24301</v>
      </c>
      <c r="P59" s="2">
        <v>2644011</v>
      </c>
      <c r="Q59" s="2">
        <v>693013</v>
      </c>
      <c r="R59" s="2">
        <v>3321075</v>
      </c>
      <c r="S59" s="2">
        <v>20308</v>
      </c>
      <c r="T59" s="2">
        <v>1901020</v>
      </c>
      <c r="U59" s="2"/>
      <c r="V59" s="5">
        <f t="shared" si="0"/>
        <v>5.7182225738396628</v>
      </c>
      <c r="W59" s="5">
        <f t="shared" si="1"/>
        <v>19.553774169132321</v>
      </c>
      <c r="X59" s="5">
        <f t="shared" si="2"/>
        <v>34.125123104195389</v>
      </c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</row>
    <row r="60" spans="1:56">
      <c r="A60" s="2" t="s">
        <v>182</v>
      </c>
      <c r="B60" s="2" t="s">
        <v>54</v>
      </c>
      <c r="C60" s="2">
        <v>3527</v>
      </c>
      <c r="D60" s="2">
        <v>25399</v>
      </c>
      <c r="E60" s="2">
        <v>11256</v>
      </c>
      <c r="F60" s="2">
        <v>34562</v>
      </c>
      <c r="G60" s="2">
        <v>2679</v>
      </c>
      <c r="H60" s="2">
        <v>25927</v>
      </c>
      <c r="I60" s="2">
        <v>5457</v>
      </c>
      <c r="J60" s="2">
        <v>36937</v>
      </c>
      <c r="K60" s="2">
        <v>85384</v>
      </c>
      <c r="L60" s="2">
        <v>152775</v>
      </c>
      <c r="M60" s="2">
        <v>4192</v>
      </c>
      <c r="N60" s="2">
        <v>34299</v>
      </c>
      <c r="O60" s="2">
        <v>6470</v>
      </c>
      <c r="P60" s="2">
        <v>41257</v>
      </c>
      <c r="Q60" s="2">
        <v>199416</v>
      </c>
      <c r="R60" s="2">
        <v>264053</v>
      </c>
      <c r="S60" s="2">
        <v>6777</v>
      </c>
      <c r="T60" s="2">
        <v>35390</v>
      </c>
      <c r="U60" s="2"/>
      <c r="V60" s="5">
        <f t="shared" si="0"/>
        <v>4.2015677491601346</v>
      </c>
      <c r="W60" s="5">
        <f t="shared" si="1"/>
        <v>20.368320610687022</v>
      </c>
      <c r="X60" s="5">
        <f t="shared" si="2"/>
        <v>29.425409473218238</v>
      </c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</row>
    <row r="61" spans="1:56">
      <c r="A61" s="2" t="s">
        <v>182</v>
      </c>
      <c r="B61" s="2" t="s">
        <v>79</v>
      </c>
      <c r="C61" s="2">
        <v>6264</v>
      </c>
      <c r="D61" s="2">
        <v>512762</v>
      </c>
      <c r="E61" s="2">
        <v>19084</v>
      </c>
      <c r="F61" s="2">
        <v>450033</v>
      </c>
      <c r="G61" s="2">
        <v>4492</v>
      </c>
      <c r="H61" s="2">
        <v>378872</v>
      </c>
      <c r="I61" s="2">
        <v>10097</v>
      </c>
      <c r="J61" s="2">
        <v>1058802</v>
      </c>
      <c r="K61" s="2">
        <v>150001</v>
      </c>
      <c r="L61" s="2">
        <v>1520972</v>
      </c>
      <c r="M61" s="2">
        <v>7780</v>
      </c>
      <c r="N61" s="2">
        <v>770425</v>
      </c>
      <c r="O61" s="2">
        <v>11962</v>
      </c>
      <c r="P61" s="2">
        <v>1183274</v>
      </c>
      <c r="Q61" s="2">
        <v>344317</v>
      </c>
      <c r="R61" s="2">
        <v>1802252</v>
      </c>
      <c r="S61" s="2">
        <v>12499</v>
      </c>
      <c r="T61" s="2">
        <v>1410464</v>
      </c>
      <c r="U61" s="2"/>
      <c r="V61" s="5">
        <f t="shared" si="0"/>
        <v>4.2484416740872666</v>
      </c>
      <c r="W61" s="5">
        <f t="shared" si="1"/>
        <v>19.280334190231361</v>
      </c>
      <c r="X61" s="5">
        <f t="shared" si="2"/>
        <v>27.54756380510441</v>
      </c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</row>
    <row r="62" spans="1:56">
      <c r="A62" s="2" t="s">
        <v>182</v>
      </c>
      <c r="B62" s="2" t="s">
        <v>9</v>
      </c>
      <c r="C62" s="2">
        <v>5177</v>
      </c>
      <c r="D62" s="2">
        <v>27446</v>
      </c>
      <c r="E62" s="2">
        <v>19357</v>
      </c>
      <c r="F62" s="2">
        <v>45582</v>
      </c>
      <c r="G62" s="2">
        <v>3784</v>
      </c>
      <c r="H62" s="2">
        <v>23081</v>
      </c>
      <c r="I62" s="2">
        <v>7464</v>
      </c>
      <c r="J62" s="2">
        <v>36495</v>
      </c>
      <c r="K62" s="2">
        <v>117171</v>
      </c>
      <c r="L62" s="2">
        <v>245584</v>
      </c>
      <c r="M62" s="2">
        <v>5741</v>
      </c>
      <c r="N62" s="2">
        <v>35144</v>
      </c>
      <c r="O62" s="2">
        <v>8407</v>
      </c>
      <c r="P62" s="2">
        <v>48209</v>
      </c>
      <c r="Q62" s="2">
        <v>364306</v>
      </c>
      <c r="R62" s="2">
        <v>393014</v>
      </c>
      <c r="S62" s="2">
        <v>9476</v>
      </c>
      <c r="T62" s="2">
        <v>42075</v>
      </c>
      <c r="U62" s="2"/>
      <c r="V62" s="5">
        <f t="shared" si="0"/>
        <v>5.1154862579281186</v>
      </c>
      <c r="W62" s="5">
        <f t="shared" si="1"/>
        <v>20.409510538233757</v>
      </c>
      <c r="X62" s="5">
        <f t="shared" si="2"/>
        <v>38.445124525116086</v>
      </c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</row>
    <row r="63" spans="1:56">
      <c r="A63" s="2" t="s">
        <v>182</v>
      </c>
      <c r="B63" s="2" t="s">
        <v>7</v>
      </c>
      <c r="C63" s="2">
        <v>1812</v>
      </c>
      <c r="D63" s="2">
        <v>2276</v>
      </c>
      <c r="E63" s="2">
        <v>3121</v>
      </c>
      <c r="F63" s="2">
        <v>3508</v>
      </c>
      <c r="G63" s="2">
        <v>1274</v>
      </c>
      <c r="H63" s="2">
        <v>1571</v>
      </c>
      <c r="I63" s="2">
        <v>4487</v>
      </c>
      <c r="J63" s="2">
        <v>5789</v>
      </c>
      <c r="K63" s="2">
        <v>39630</v>
      </c>
      <c r="L63" s="2">
        <v>53161</v>
      </c>
      <c r="M63" s="2">
        <v>3438</v>
      </c>
      <c r="N63" s="2">
        <v>4334</v>
      </c>
      <c r="O63" s="2">
        <v>5503</v>
      </c>
      <c r="P63" s="2">
        <v>6976</v>
      </c>
      <c r="Q63" s="2">
        <v>99865</v>
      </c>
      <c r="R63" s="2">
        <v>107656</v>
      </c>
      <c r="S63" s="2">
        <v>4562</v>
      </c>
      <c r="T63" s="2">
        <v>7236</v>
      </c>
      <c r="U63" s="2"/>
      <c r="V63" s="5">
        <f t="shared" si="0"/>
        <v>2.4497645211930927</v>
      </c>
      <c r="W63" s="5">
        <f t="shared" si="1"/>
        <v>11.527050610820245</v>
      </c>
      <c r="X63" s="5">
        <f t="shared" si="2"/>
        <v>21.890618149934241</v>
      </c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</row>
    <row r="64" spans="1:56">
      <c r="A64" s="2" t="s">
        <v>182</v>
      </c>
      <c r="B64" s="2" t="s">
        <v>46</v>
      </c>
      <c r="C64" s="2">
        <v>552</v>
      </c>
      <c r="D64" s="2">
        <v>612</v>
      </c>
      <c r="E64" s="2">
        <v>886</v>
      </c>
      <c r="F64" s="2">
        <v>1225</v>
      </c>
      <c r="G64" s="2">
        <v>381</v>
      </c>
      <c r="H64" s="2">
        <v>658</v>
      </c>
      <c r="I64" s="2">
        <v>1218</v>
      </c>
      <c r="J64" s="2">
        <v>8755</v>
      </c>
      <c r="K64" s="2">
        <v>10436</v>
      </c>
      <c r="L64" s="2">
        <v>10862</v>
      </c>
      <c r="M64" s="2">
        <v>924</v>
      </c>
      <c r="N64" s="2">
        <v>1097</v>
      </c>
      <c r="O64" s="2">
        <v>1425</v>
      </c>
      <c r="P64" s="2">
        <v>1821</v>
      </c>
      <c r="Q64" s="2">
        <v>19847</v>
      </c>
      <c r="R64" s="2">
        <v>0</v>
      </c>
      <c r="S64" s="2">
        <v>1172</v>
      </c>
      <c r="T64" s="2">
        <v>1428</v>
      </c>
      <c r="U64" s="2"/>
      <c r="V64" s="5">
        <f t="shared" si="0"/>
        <v>2.325459317585302</v>
      </c>
      <c r="W64" s="5">
        <f t="shared" si="1"/>
        <v>11.294372294372295</v>
      </c>
      <c r="X64" s="5">
        <f t="shared" si="2"/>
        <v>16.934300341296929</v>
      </c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</row>
    <row r="65" spans="1:56">
      <c r="A65" s="2" t="s">
        <v>182</v>
      </c>
      <c r="B65" s="2" t="s">
        <v>99</v>
      </c>
      <c r="C65" s="2">
        <v>1827</v>
      </c>
      <c r="D65" s="2">
        <v>3107</v>
      </c>
      <c r="E65" s="2">
        <v>3432</v>
      </c>
      <c r="F65" s="2">
        <v>5252</v>
      </c>
      <c r="G65" s="2">
        <v>1276</v>
      </c>
      <c r="H65" s="2">
        <v>2011</v>
      </c>
      <c r="I65" s="2">
        <v>3098</v>
      </c>
      <c r="J65" s="2">
        <v>5237</v>
      </c>
      <c r="K65" s="2">
        <v>29653</v>
      </c>
      <c r="L65" s="2">
        <v>66744</v>
      </c>
      <c r="M65" s="2">
        <v>2407</v>
      </c>
      <c r="N65" s="2">
        <v>3792</v>
      </c>
      <c r="O65" s="2">
        <v>3652</v>
      </c>
      <c r="P65" s="2">
        <v>5796</v>
      </c>
      <c r="Q65" s="2">
        <v>88005</v>
      </c>
      <c r="R65" s="2">
        <v>119039</v>
      </c>
      <c r="S65" s="2">
        <v>3396</v>
      </c>
      <c r="T65" s="2">
        <v>5128</v>
      </c>
      <c r="U65" s="2"/>
      <c r="V65" s="5">
        <f t="shared" si="0"/>
        <v>2.6896551724137931</v>
      </c>
      <c r="W65" s="5">
        <f t="shared" si="1"/>
        <v>12.319484835895306</v>
      </c>
      <c r="X65" s="5">
        <f t="shared" si="2"/>
        <v>25.914310954063605</v>
      </c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</row>
    <row r="66" spans="1:56">
      <c r="A66" s="2" t="s">
        <v>182</v>
      </c>
      <c r="B66" s="2" t="s">
        <v>96</v>
      </c>
      <c r="C66" s="2">
        <v>4179</v>
      </c>
      <c r="D66" s="2">
        <v>5592</v>
      </c>
      <c r="E66" s="2">
        <v>7731</v>
      </c>
      <c r="F66" s="2">
        <v>10167</v>
      </c>
      <c r="G66" s="2">
        <v>2707</v>
      </c>
      <c r="H66" s="2">
        <v>3874</v>
      </c>
      <c r="I66" s="2">
        <v>8280</v>
      </c>
      <c r="J66" s="2">
        <v>12096</v>
      </c>
      <c r="K66" s="2">
        <v>85876</v>
      </c>
      <c r="L66" s="2">
        <v>163980</v>
      </c>
      <c r="M66" s="2">
        <v>6104</v>
      </c>
      <c r="N66" s="2">
        <v>8813</v>
      </c>
      <c r="O66" s="2">
        <v>10495</v>
      </c>
      <c r="P66" s="2">
        <v>14301</v>
      </c>
      <c r="Q66" s="2">
        <v>254107</v>
      </c>
      <c r="R66" s="2">
        <v>307424</v>
      </c>
      <c r="S66" s="2">
        <v>9265</v>
      </c>
      <c r="T66" s="2">
        <v>13360</v>
      </c>
      <c r="U66" s="2"/>
      <c r="V66" s="5">
        <f t="shared" si="0"/>
        <v>2.855929072774289</v>
      </c>
      <c r="W66" s="5">
        <f t="shared" si="1"/>
        <v>14.068807339449542</v>
      </c>
      <c r="X66" s="5">
        <f t="shared" si="2"/>
        <v>27.426551538046411</v>
      </c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</row>
    <row r="67" spans="1:56">
      <c r="A67" s="2" t="s">
        <v>182</v>
      </c>
      <c r="B67" s="2" t="s">
        <v>13</v>
      </c>
      <c r="C67" s="2">
        <v>209</v>
      </c>
      <c r="D67" s="2">
        <v>215</v>
      </c>
      <c r="E67" s="2">
        <v>441</v>
      </c>
      <c r="F67" s="2">
        <v>432</v>
      </c>
      <c r="G67" s="2">
        <v>137</v>
      </c>
      <c r="H67" s="2">
        <v>140</v>
      </c>
      <c r="I67" s="2">
        <v>333</v>
      </c>
      <c r="J67" s="2">
        <v>357</v>
      </c>
      <c r="K67" s="2">
        <v>3800</v>
      </c>
      <c r="L67" s="2">
        <v>3621</v>
      </c>
      <c r="M67" s="2">
        <v>233</v>
      </c>
      <c r="N67" s="2">
        <v>303</v>
      </c>
      <c r="O67" s="2">
        <v>369</v>
      </c>
      <c r="P67" s="2">
        <v>391</v>
      </c>
      <c r="Q67" s="2">
        <v>4865</v>
      </c>
      <c r="R67" s="2">
        <v>4906</v>
      </c>
      <c r="S67" s="2">
        <v>386</v>
      </c>
      <c r="T67" s="2">
        <v>334</v>
      </c>
      <c r="U67" s="2"/>
      <c r="V67" s="5">
        <f t="shared" ref="V67:V106" si="3">E67/G67</f>
        <v>3.218978102189781</v>
      </c>
      <c r="W67" s="5">
        <f t="shared" ref="W67:W106" si="4">K67/M67</f>
        <v>16.309012875536482</v>
      </c>
      <c r="X67" s="5">
        <f t="shared" ref="X67:X106" si="5">Q67/S67</f>
        <v>12.603626943005182</v>
      </c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</row>
    <row r="68" spans="1:56">
      <c r="A68" s="2" t="s">
        <v>182</v>
      </c>
      <c r="B68" s="2" t="s">
        <v>93</v>
      </c>
      <c r="C68" s="2">
        <v>214</v>
      </c>
      <c r="D68" s="2">
        <v>227</v>
      </c>
      <c r="E68" s="2">
        <v>419</v>
      </c>
      <c r="F68" s="2">
        <v>454</v>
      </c>
      <c r="G68" s="2">
        <v>143</v>
      </c>
      <c r="H68" s="2">
        <v>147</v>
      </c>
      <c r="I68" s="2">
        <v>344</v>
      </c>
      <c r="J68" s="2">
        <v>366</v>
      </c>
      <c r="K68" s="2">
        <v>3431</v>
      </c>
      <c r="L68" s="2">
        <v>3627</v>
      </c>
      <c r="M68" s="2">
        <v>244</v>
      </c>
      <c r="N68" s="2">
        <v>290</v>
      </c>
      <c r="O68" s="2">
        <v>396</v>
      </c>
      <c r="P68" s="2">
        <v>422</v>
      </c>
      <c r="Q68" s="2">
        <v>5742</v>
      </c>
      <c r="R68" s="2">
        <v>5287</v>
      </c>
      <c r="S68" s="2">
        <v>389</v>
      </c>
      <c r="T68" s="2">
        <v>333</v>
      </c>
      <c r="U68" s="2"/>
      <c r="V68" s="5">
        <f t="shared" si="3"/>
        <v>2.93006993006993</v>
      </c>
      <c r="W68" s="5">
        <f t="shared" si="4"/>
        <v>14.061475409836065</v>
      </c>
      <c r="X68" s="5">
        <f t="shared" si="5"/>
        <v>14.760925449871465</v>
      </c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</row>
    <row r="69" spans="1:56">
      <c r="A69" s="2" t="s">
        <v>182</v>
      </c>
      <c r="B69" s="2" t="s">
        <v>48</v>
      </c>
      <c r="C69" s="2">
        <v>732</v>
      </c>
      <c r="D69" s="2">
        <v>773</v>
      </c>
      <c r="E69" s="2">
        <v>1313</v>
      </c>
      <c r="F69" s="2">
        <v>1646</v>
      </c>
      <c r="G69" s="2">
        <v>512</v>
      </c>
      <c r="H69" s="2">
        <v>541</v>
      </c>
      <c r="I69" s="2">
        <v>1043</v>
      </c>
      <c r="J69" s="2">
        <v>1130</v>
      </c>
      <c r="K69" s="2">
        <v>10238</v>
      </c>
      <c r="L69" s="2">
        <v>11180</v>
      </c>
      <c r="M69" s="2">
        <v>823</v>
      </c>
      <c r="N69" s="2">
        <v>918</v>
      </c>
      <c r="O69" s="2">
        <v>1243</v>
      </c>
      <c r="P69" s="2">
        <v>1348</v>
      </c>
      <c r="Q69" s="2">
        <v>22866</v>
      </c>
      <c r="R69" s="2">
        <v>21694</v>
      </c>
      <c r="S69" s="2">
        <v>1345</v>
      </c>
      <c r="T69" s="2">
        <v>1196</v>
      </c>
      <c r="U69" s="2"/>
      <c r="V69" s="5">
        <f t="shared" si="3"/>
        <v>2.564453125</v>
      </c>
      <c r="W69" s="5">
        <f t="shared" si="4"/>
        <v>12.439854191980558</v>
      </c>
      <c r="X69" s="5">
        <f t="shared" si="5"/>
        <v>17.000743494423791</v>
      </c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</row>
    <row r="70" spans="1:56">
      <c r="A70" s="2" t="s">
        <v>182</v>
      </c>
      <c r="B70" s="2" t="s">
        <v>103</v>
      </c>
      <c r="C70" s="2">
        <v>1833</v>
      </c>
      <c r="D70" s="2">
        <v>3035</v>
      </c>
      <c r="E70" s="2">
        <v>3394</v>
      </c>
      <c r="F70" s="2">
        <v>5036</v>
      </c>
      <c r="G70" s="2">
        <v>1223</v>
      </c>
      <c r="H70" s="2">
        <v>2082</v>
      </c>
      <c r="I70" s="2">
        <v>3171</v>
      </c>
      <c r="J70" s="2">
        <v>5054</v>
      </c>
      <c r="K70" s="2">
        <v>28487</v>
      </c>
      <c r="L70" s="2">
        <v>63897</v>
      </c>
      <c r="M70" s="2">
        <v>2305</v>
      </c>
      <c r="N70" s="2">
        <v>3747</v>
      </c>
      <c r="O70" s="2">
        <v>3476</v>
      </c>
      <c r="P70" s="2">
        <v>5792</v>
      </c>
      <c r="Q70" s="2">
        <v>81270</v>
      </c>
      <c r="R70" s="2">
        <v>115934</v>
      </c>
      <c r="S70" s="2">
        <v>3993</v>
      </c>
      <c r="T70" s="2">
        <v>5022</v>
      </c>
      <c r="U70" s="2"/>
      <c r="V70" s="5">
        <f t="shared" si="3"/>
        <v>2.7751430907604253</v>
      </c>
      <c r="W70" s="5">
        <f t="shared" si="4"/>
        <v>12.3587852494577</v>
      </c>
      <c r="X70" s="5">
        <f t="shared" si="5"/>
        <v>20.353117956423741</v>
      </c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</row>
    <row r="71" spans="1:56">
      <c r="A71" s="2" t="s">
        <v>182</v>
      </c>
      <c r="B71" s="2" t="s">
        <v>31</v>
      </c>
      <c r="C71" s="2">
        <v>3939</v>
      </c>
      <c r="D71" s="2">
        <v>5522</v>
      </c>
      <c r="E71" s="2">
        <v>8055</v>
      </c>
      <c r="F71" s="2">
        <v>10474</v>
      </c>
      <c r="G71" s="2">
        <v>2689</v>
      </c>
      <c r="H71" s="2">
        <v>3757</v>
      </c>
      <c r="I71" s="2">
        <v>8250</v>
      </c>
      <c r="J71" s="2">
        <v>11910</v>
      </c>
      <c r="K71" s="2">
        <v>86399</v>
      </c>
      <c r="L71" s="2">
        <v>206396</v>
      </c>
      <c r="M71" s="2">
        <v>6000</v>
      </c>
      <c r="N71" s="2">
        <v>8654</v>
      </c>
      <c r="O71" s="2">
        <v>9955</v>
      </c>
      <c r="P71" s="2">
        <v>14157</v>
      </c>
      <c r="Q71" s="2">
        <v>272227</v>
      </c>
      <c r="R71" s="2">
        <v>329859</v>
      </c>
      <c r="S71" s="2">
        <v>9027</v>
      </c>
      <c r="T71" s="2">
        <v>12640</v>
      </c>
      <c r="U71" s="2"/>
      <c r="V71" s="5">
        <f t="shared" si="3"/>
        <v>2.9955373744886575</v>
      </c>
      <c r="W71" s="5">
        <f t="shared" si="4"/>
        <v>14.399833333333333</v>
      </c>
      <c r="X71" s="5">
        <f t="shared" si="5"/>
        <v>30.156973523872825</v>
      </c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</row>
    <row r="72" spans="1:56">
      <c r="A72" s="2" t="s">
        <v>177</v>
      </c>
      <c r="B72" s="2" t="s">
        <v>33</v>
      </c>
      <c r="C72" s="2">
        <v>2572</v>
      </c>
      <c r="D72" s="2">
        <v>4600</v>
      </c>
      <c r="E72" s="2">
        <v>30012</v>
      </c>
      <c r="F72" s="2">
        <v>32917</v>
      </c>
      <c r="G72" s="2">
        <v>1794</v>
      </c>
      <c r="H72" s="2">
        <v>3164</v>
      </c>
      <c r="I72" s="2">
        <v>3568</v>
      </c>
      <c r="J72" s="2">
        <v>6953</v>
      </c>
      <c r="K72" s="2">
        <v>207655</v>
      </c>
      <c r="L72" s="2">
        <v>341597</v>
      </c>
      <c r="M72" s="2">
        <v>2716</v>
      </c>
      <c r="N72" s="2">
        <v>5111</v>
      </c>
      <c r="O72" s="2">
        <v>3914</v>
      </c>
      <c r="P72" s="2">
        <v>7774</v>
      </c>
      <c r="Q72" s="2">
        <v>548331</v>
      </c>
      <c r="R72" s="2">
        <v>611999</v>
      </c>
      <c r="S72" s="2">
        <v>3551</v>
      </c>
      <c r="T72" s="2">
        <v>6526</v>
      </c>
      <c r="U72" s="2"/>
      <c r="V72" s="5">
        <f t="shared" si="3"/>
        <v>16.729096989966557</v>
      </c>
      <c r="W72" s="5">
        <f t="shared" si="4"/>
        <v>76.456185567010309</v>
      </c>
      <c r="X72" s="5">
        <f t="shared" si="5"/>
        <v>154.41593917206421</v>
      </c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</row>
    <row r="73" spans="1:56">
      <c r="A73" s="2" t="s">
        <v>178</v>
      </c>
      <c r="B73" s="2" t="s">
        <v>75</v>
      </c>
      <c r="C73" s="2">
        <v>2719</v>
      </c>
      <c r="D73" s="2">
        <v>5108</v>
      </c>
      <c r="E73" s="2">
        <v>36328</v>
      </c>
      <c r="F73" s="2">
        <v>37798</v>
      </c>
      <c r="G73" s="2">
        <v>1921</v>
      </c>
      <c r="H73" s="2">
        <v>3601</v>
      </c>
      <c r="I73" s="2">
        <v>3967</v>
      </c>
      <c r="J73" s="2">
        <v>7618</v>
      </c>
      <c r="K73" s="2">
        <v>334572</v>
      </c>
      <c r="L73" s="2">
        <v>383542</v>
      </c>
      <c r="M73" s="2">
        <v>2936</v>
      </c>
      <c r="N73" s="2">
        <v>5463</v>
      </c>
      <c r="O73" s="2">
        <v>4508</v>
      </c>
      <c r="P73" s="2">
        <v>7993</v>
      </c>
      <c r="Q73" s="2">
        <v>654172</v>
      </c>
      <c r="R73" s="2">
        <v>655209</v>
      </c>
      <c r="S73" s="2">
        <v>3754</v>
      </c>
      <c r="T73" s="2">
        <v>6807</v>
      </c>
      <c r="U73" s="2"/>
      <c r="V73" s="5">
        <f t="shared" si="3"/>
        <v>18.910983862571577</v>
      </c>
      <c r="W73" s="5">
        <f t="shared" si="4"/>
        <v>113.9550408719346</v>
      </c>
      <c r="X73" s="5">
        <f t="shared" si="5"/>
        <v>174.25998934469899</v>
      </c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</row>
    <row r="74" spans="1:56">
      <c r="A74" s="2" t="s">
        <v>176</v>
      </c>
      <c r="B74" s="2" t="s">
        <v>23</v>
      </c>
      <c r="C74" s="2">
        <v>8247</v>
      </c>
      <c r="D74" s="2">
        <v>1478</v>
      </c>
      <c r="E74" s="2">
        <v>21586</v>
      </c>
      <c r="F74" s="2">
        <v>2512</v>
      </c>
      <c r="G74" s="2">
        <v>5798</v>
      </c>
      <c r="H74" s="2">
        <v>1069</v>
      </c>
      <c r="I74" s="2">
        <v>18570</v>
      </c>
      <c r="J74" s="2">
        <v>2988</v>
      </c>
      <c r="K74" s="2">
        <v>256868</v>
      </c>
      <c r="L74" s="2">
        <v>27041</v>
      </c>
      <c r="M74" s="2">
        <v>13633</v>
      </c>
      <c r="N74" s="2">
        <v>2057</v>
      </c>
      <c r="O74" s="2">
        <v>24724</v>
      </c>
      <c r="P74" s="2">
        <v>3044</v>
      </c>
      <c r="Q74" s="2">
        <v>635381</v>
      </c>
      <c r="R74" s="2">
        <v>41003</v>
      </c>
      <c r="S74" s="2">
        <v>21038</v>
      </c>
      <c r="T74" s="2">
        <v>2504</v>
      </c>
      <c r="U74" s="2"/>
      <c r="V74" s="5">
        <f t="shared" si="3"/>
        <v>3.7230079337702655</v>
      </c>
      <c r="W74" s="5">
        <f t="shared" si="4"/>
        <v>18.841634269786546</v>
      </c>
      <c r="X74" s="5">
        <f t="shared" si="5"/>
        <v>30.20158760338435</v>
      </c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</row>
    <row r="75" spans="1:56">
      <c r="A75" s="2" t="s">
        <v>175</v>
      </c>
      <c r="B75" s="2" t="s">
        <v>102</v>
      </c>
      <c r="C75" s="2">
        <v>1961</v>
      </c>
      <c r="D75" s="2">
        <v>2526</v>
      </c>
      <c r="E75" s="2">
        <v>3406</v>
      </c>
      <c r="F75" s="2">
        <v>3461</v>
      </c>
      <c r="G75" s="2">
        <v>1318</v>
      </c>
      <c r="H75" s="2">
        <v>1546</v>
      </c>
      <c r="I75" s="2">
        <v>4873</v>
      </c>
      <c r="J75" s="2">
        <v>5409</v>
      </c>
      <c r="K75" s="2">
        <v>46420</v>
      </c>
      <c r="L75" s="2">
        <v>44437</v>
      </c>
      <c r="M75" s="2">
        <v>3669</v>
      </c>
      <c r="N75" s="2">
        <v>4146</v>
      </c>
      <c r="O75" s="2">
        <v>5963</v>
      </c>
      <c r="P75" s="2">
        <v>6607</v>
      </c>
      <c r="Q75" s="2">
        <v>99997</v>
      </c>
      <c r="R75" s="2">
        <v>130009</v>
      </c>
      <c r="S75" s="2">
        <v>5308</v>
      </c>
      <c r="T75" s="2">
        <v>5664</v>
      </c>
      <c r="U75" s="2"/>
      <c r="V75" s="5">
        <f t="shared" si="3"/>
        <v>2.5842185128983308</v>
      </c>
      <c r="W75" s="5">
        <f t="shared" si="4"/>
        <v>12.651948759880076</v>
      </c>
      <c r="X75" s="5">
        <f t="shared" si="5"/>
        <v>18.838922381311228</v>
      </c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</row>
    <row r="76" spans="1:56">
      <c r="A76" s="2" t="s">
        <v>175</v>
      </c>
      <c r="B76" s="2" t="s">
        <v>67</v>
      </c>
      <c r="C76" s="2">
        <v>4599</v>
      </c>
      <c r="D76" s="2">
        <v>5081</v>
      </c>
      <c r="E76" s="2">
        <v>19507</v>
      </c>
      <c r="F76" s="2">
        <v>21924</v>
      </c>
      <c r="G76" s="2">
        <v>3157</v>
      </c>
      <c r="H76" s="2">
        <v>3470</v>
      </c>
      <c r="I76" s="2">
        <v>11872</v>
      </c>
      <c r="J76" s="2">
        <v>11980</v>
      </c>
      <c r="K76" s="2">
        <v>238511</v>
      </c>
      <c r="L76" s="2">
        <v>272240</v>
      </c>
      <c r="M76" s="2">
        <v>8153</v>
      </c>
      <c r="N76" s="2">
        <v>9048</v>
      </c>
      <c r="O76" s="2">
        <v>13361</v>
      </c>
      <c r="P76" s="2">
        <v>14844</v>
      </c>
      <c r="Q76" s="2">
        <v>694879</v>
      </c>
      <c r="R76" s="2">
        <v>605000</v>
      </c>
      <c r="S76" s="2">
        <v>11566</v>
      </c>
      <c r="T76" s="2">
        <v>12834</v>
      </c>
      <c r="U76" s="2"/>
      <c r="V76" s="5">
        <f t="shared" si="3"/>
        <v>6.1789673740893249</v>
      </c>
      <c r="W76" s="5">
        <f t="shared" si="4"/>
        <v>29.254384888997915</v>
      </c>
      <c r="X76" s="5">
        <f t="shared" si="5"/>
        <v>60.079457029223583</v>
      </c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</row>
    <row r="77" spans="1:56">
      <c r="A77" s="2" t="s">
        <v>172</v>
      </c>
      <c r="B77" s="2" t="s">
        <v>52</v>
      </c>
      <c r="C77" s="2">
        <v>1449</v>
      </c>
      <c r="D77" s="2">
        <v>1585</v>
      </c>
      <c r="E77" s="2">
        <v>2672</v>
      </c>
      <c r="F77" s="2">
        <v>2557</v>
      </c>
      <c r="G77" s="2">
        <v>990</v>
      </c>
      <c r="H77" s="2">
        <v>1078</v>
      </c>
      <c r="I77" s="2">
        <v>3037</v>
      </c>
      <c r="J77" s="2">
        <v>2776</v>
      </c>
      <c r="K77" s="2">
        <v>25607</v>
      </c>
      <c r="L77" s="2">
        <v>24991</v>
      </c>
      <c r="M77" s="2">
        <v>2782</v>
      </c>
      <c r="N77" s="2">
        <v>2098</v>
      </c>
      <c r="O77" s="2">
        <v>3422</v>
      </c>
      <c r="P77" s="2">
        <v>3032</v>
      </c>
      <c r="Q77" s="2">
        <v>72588</v>
      </c>
      <c r="R77" s="2">
        <v>45637</v>
      </c>
      <c r="S77" s="2">
        <v>2922</v>
      </c>
      <c r="T77" s="2">
        <v>2542</v>
      </c>
      <c r="U77" s="2"/>
      <c r="V77" s="5">
        <f t="shared" si="3"/>
        <v>2.6989898989898991</v>
      </c>
      <c r="W77" s="5">
        <f t="shared" si="4"/>
        <v>9.2045291157440694</v>
      </c>
      <c r="X77" s="5">
        <f t="shared" si="5"/>
        <v>24.84188911704312</v>
      </c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</row>
    <row r="78" spans="1:56">
      <c r="A78" s="2" t="s">
        <v>172</v>
      </c>
      <c r="B78" s="2" t="s">
        <v>74</v>
      </c>
      <c r="C78" s="2">
        <v>146</v>
      </c>
      <c r="D78" s="2">
        <v>264</v>
      </c>
      <c r="E78" s="2">
        <v>451</v>
      </c>
      <c r="F78" s="2">
        <v>355</v>
      </c>
      <c r="G78" s="2">
        <v>108</v>
      </c>
      <c r="H78" s="2">
        <v>189</v>
      </c>
      <c r="I78" s="2">
        <v>201</v>
      </c>
      <c r="J78" s="2">
        <v>372</v>
      </c>
      <c r="K78" s="2">
        <v>4361</v>
      </c>
      <c r="L78" s="2">
        <v>1930</v>
      </c>
      <c r="M78" s="2">
        <v>185</v>
      </c>
      <c r="N78" s="2">
        <v>272</v>
      </c>
      <c r="O78" s="2">
        <v>209</v>
      </c>
      <c r="P78" s="2">
        <v>377</v>
      </c>
      <c r="Q78" s="2">
        <v>6104</v>
      </c>
      <c r="R78" s="2">
        <v>4280</v>
      </c>
      <c r="S78" s="2">
        <v>175</v>
      </c>
      <c r="T78" s="2">
        <v>343</v>
      </c>
      <c r="U78" s="2"/>
      <c r="V78" s="5">
        <f t="shared" si="3"/>
        <v>4.1759259259259256</v>
      </c>
      <c r="W78" s="5">
        <f t="shared" si="4"/>
        <v>23.572972972972973</v>
      </c>
      <c r="X78" s="5">
        <f t="shared" si="5"/>
        <v>34.880000000000003</v>
      </c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</row>
    <row r="79" spans="1:56">
      <c r="A79" s="2" t="s">
        <v>172</v>
      </c>
      <c r="B79" s="2" t="s">
        <v>1</v>
      </c>
      <c r="C79" s="2">
        <v>60</v>
      </c>
      <c r="D79" s="2">
        <v>33</v>
      </c>
      <c r="E79" s="2">
        <v>84</v>
      </c>
      <c r="F79" s="2">
        <v>80</v>
      </c>
      <c r="G79" s="2">
        <v>22</v>
      </c>
      <c r="H79" s="2">
        <v>29</v>
      </c>
      <c r="I79" s="2">
        <v>62</v>
      </c>
      <c r="J79" s="2">
        <v>59</v>
      </c>
      <c r="K79" s="2">
        <v>138</v>
      </c>
      <c r="L79" s="2">
        <v>142</v>
      </c>
      <c r="M79" s="2">
        <v>49</v>
      </c>
      <c r="N79" s="2">
        <v>49</v>
      </c>
      <c r="O79" s="2">
        <v>80</v>
      </c>
      <c r="P79" s="2">
        <v>75</v>
      </c>
      <c r="Q79" s="2">
        <v>194</v>
      </c>
      <c r="R79" s="2">
        <v>180</v>
      </c>
      <c r="S79" s="2">
        <v>65</v>
      </c>
      <c r="T79" s="2">
        <v>64</v>
      </c>
      <c r="U79" s="2"/>
      <c r="V79" s="5">
        <f t="shared" si="3"/>
        <v>3.8181818181818183</v>
      </c>
      <c r="W79" s="5">
        <f t="shared" si="4"/>
        <v>2.8163265306122449</v>
      </c>
      <c r="X79" s="5">
        <f t="shared" si="5"/>
        <v>2.9846153846153847</v>
      </c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</row>
    <row r="80" spans="1:56">
      <c r="A80" s="2" t="s">
        <v>174</v>
      </c>
      <c r="B80" s="2" t="s">
        <v>0</v>
      </c>
      <c r="C80" s="2">
        <v>801</v>
      </c>
      <c r="D80" s="2">
        <v>960</v>
      </c>
      <c r="E80" s="2">
        <v>1313</v>
      </c>
      <c r="F80" s="2">
        <v>1093</v>
      </c>
      <c r="G80" s="2">
        <v>575</v>
      </c>
      <c r="H80" s="2">
        <v>650</v>
      </c>
      <c r="I80" s="2">
        <v>1221</v>
      </c>
      <c r="J80" s="2">
        <v>1441</v>
      </c>
      <c r="K80" s="2">
        <v>8505</v>
      </c>
      <c r="L80" s="2">
        <v>6984</v>
      </c>
      <c r="M80" s="2">
        <v>987</v>
      </c>
      <c r="N80" s="2">
        <v>1029</v>
      </c>
      <c r="O80" s="2">
        <v>1261</v>
      </c>
      <c r="P80" s="2">
        <v>1674</v>
      </c>
      <c r="Q80" s="2">
        <v>22102</v>
      </c>
      <c r="R80" s="2">
        <v>13300</v>
      </c>
      <c r="S80" s="2">
        <v>1127</v>
      </c>
      <c r="T80" s="2">
        <v>1437</v>
      </c>
      <c r="U80" s="2"/>
      <c r="V80" s="5">
        <f t="shared" si="3"/>
        <v>2.2834782608695652</v>
      </c>
      <c r="W80" s="5">
        <f t="shared" si="4"/>
        <v>8.6170212765957448</v>
      </c>
      <c r="X80" s="5">
        <f t="shared" si="5"/>
        <v>19.611357586512867</v>
      </c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</row>
    <row r="81" spans="1:56">
      <c r="A81" s="2" t="s">
        <v>180</v>
      </c>
      <c r="B81" s="2" t="s">
        <v>90</v>
      </c>
      <c r="C81" s="2">
        <v>28</v>
      </c>
      <c r="D81" s="2">
        <v>35</v>
      </c>
      <c r="E81" s="2">
        <v>67</v>
      </c>
      <c r="F81" s="2">
        <v>66</v>
      </c>
      <c r="G81" s="2">
        <v>20</v>
      </c>
      <c r="H81" s="2">
        <v>19</v>
      </c>
      <c r="I81" s="2">
        <v>42</v>
      </c>
      <c r="J81" s="2">
        <v>42</v>
      </c>
      <c r="K81" s="2">
        <v>982</v>
      </c>
      <c r="L81" s="2">
        <v>990</v>
      </c>
      <c r="M81" s="2">
        <v>33</v>
      </c>
      <c r="N81" s="2">
        <v>31</v>
      </c>
      <c r="O81" s="2">
        <v>46</v>
      </c>
      <c r="P81" s="2">
        <v>46</v>
      </c>
      <c r="Q81" s="2">
        <v>969</v>
      </c>
      <c r="R81" s="2">
        <v>913</v>
      </c>
      <c r="S81" s="2">
        <v>35</v>
      </c>
      <c r="T81" s="2">
        <v>37</v>
      </c>
      <c r="U81" s="2"/>
      <c r="V81" s="5">
        <f t="shared" si="3"/>
        <v>3.35</v>
      </c>
      <c r="W81" s="5">
        <f t="shared" si="4"/>
        <v>29.757575757575758</v>
      </c>
      <c r="X81" s="5">
        <f t="shared" si="5"/>
        <v>27.685714285714287</v>
      </c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</row>
    <row r="82" spans="1:56">
      <c r="A82" s="2" t="s">
        <v>180</v>
      </c>
      <c r="B82" s="2" t="s">
        <v>65</v>
      </c>
      <c r="C82" s="2">
        <v>336</v>
      </c>
      <c r="D82" s="2">
        <v>362</v>
      </c>
      <c r="E82" s="2">
        <v>1431</v>
      </c>
      <c r="F82" s="2">
        <v>1386</v>
      </c>
      <c r="G82" s="2">
        <v>214</v>
      </c>
      <c r="H82" s="2">
        <v>255</v>
      </c>
      <c r="I82" s="2">
        <v>445</v>
      </c>
      <c r="J82" s="2">
        <v>511</v>
      </c>
      <c r="K82" s="2">
        <v>10268</v>
      </c>
      <c r="L82" s="2">
        <v>11924</v>
      </c>
      <c r="M82" s="2">
        <v>329</v>
      </c>
      <c r="N82" s="2">
        <v>364</v>
      </c>
      <c r="O82" s="2">
        <v>490</v>
      </c>
      <c r="P82" s="2">
        <v>550</v>
      </c>
      <c r="Q82" s="2">
        <v>25742</v>
      </c>
      <c r="R82" s="2">
        <v>29765</v>
      </c>
      <c r="S82" s="2">
        <v>370</v>
      </c>
      <c r="T82" s="2">
        <v>405</v>
      </c>
      <c r="U82" s="2"/>
      <c r="V82" s="5">
        <f t="shared" si="3"/>
        <v>6.6869158878504669</v>
      </c>
      <c r="W82" s="5">
        <f t="shared" si="4"/>
        <v>31.209726443768997</v>
      </c>
      <c r="X82" s="5">
        <f t="shared" si="5"/>
        <v>69.572972972972977</v>
      </c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</row>
    <row r="83" spans="1:56">
      <c r="A83" s="2" t="s">
        <v>180</v>
      </c>
      <c r="B83" s="2" t="s">
        <v>86</v>
      </c>
      <c r="C83" s="2">
        <v>246</v>
      </c>
      <c r="D83" s="2">
        <v>412</v>
      </c>
      <c r="E83" s="2">
        <v>798</v>
      </c>
      <c r="F83" s="2">
        <v>947</v>
      </c>
      <c r="G83" s="2">
        <v>158</v>
      </c>
      <c r="H83" s="2">
        <v>343</v>
      </c>
      <c r="I83" s="2">
        <v>347</v>
      </c>
      <c r="J83" s="2">
        <v>550</v>
      </c>
      <c r="K83" s="2">
        <v>6327</v>
      </c>
      <c r="L83" s="2">
        <v>7418</v>
      </c>
      <c r="M83" s="2">
        <v>262</v>
      </c>
      <c r="N83" s="2">
        <v>404</v>
      </c>
      <c r="O83" s="2">
        <v>381</v>
      </c>
      <c r="P83" s="2">
        <v>582</v>
      </c>
      <c r="Q83" s="2">
        <v>9321</v>
      </c>
      <c r="R83" s="2">
        <v>10936</v>
      </c>
      <c r="S83" s="2">
        <v>270</v>
      </c>
      <c r="T83" s="2">
        <v>440</v>
      </c>
      <c r="U83" s="2"/>
      <c r="V83" s="5">
        <f t="shared" si="3"/>
        <v>5.0506329113924053</v>
      </c>
      <c r="W83" s="5">
        <f t="shared" si="4"/>
        <v>24.148854961832061</v>
      </c>
      <c r="X83" s="5">
        <f t="shared" si="5"/>
        <v>34.522222222222226</v>
      </c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</row>
    <row r="84" spans="1:56">
      <c r="A84" s="2" t="s">
        <v>180</v>
      </c>
      <c r="B84" s="2" t="s">
        <v>88</v>
      </c>
      <c r="C84" s="2">
        <v>325</v>
      </c>
      <c r="D84" s="2">
        <v>358</v>
      </c>
      <c r="E84" s="2">
        <v>718</v>
      </c>
      <c r="F84" s="2">
        <v>728</v>
      </c>
      <c r="G84" s="2">
        <v>268</v>
      </c>
      <c r="H84" s="2">
        <v>243</v>
      </c>
      <c r="I84" s="2">
        <v>471</v>
      </c>
      <c r="J84" s="2">
        <v>510</v>
      </c>
      <c r="K84" s="2">
        <v>5084</v>
      </c>
      <c r="L84" s="2">
        <v>5513</v>
      </c>
      <c r="M84" s="2">
        <v>345</v>
      </c>
      <c r="N84" s="2">
        <v>374</v>
      </c>
      <c r="O84" s="2">
        <v>531</v>
      </c>
      <c r="P84" s="2">
        <v>568</v>
      </c>
      <c r="Q84" s="2">
        <v>9362</v>
      </c>
      <c r="R84" s="2">
        <v>8363</v>
      </c>
      <c r="S84" s="2">
        <v>385</v>
      </c>
      <c r="T84" s="2">
        <v>418</v>
      </c>
      <c r="U84" s="2"/>
      <c r="V84" s="5">
        <f t="shared" si="3"/>
        <v>2.6791044776119404</v>
      </c>
      <c r="W84" s="5">
        <f t="shared" si="4"/>
        <v>14.736231884057972</v>
      </c>
      <c r="X84" s="5">
        <f t="shared" si="5"/>
        <v>24.316883116883115</v>
      </c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</row>
    <row r="85" spans="1:56">
      <c r="A85" s="2" t="s">
        <v>180</v>
      </c>
      <c r="B85" s="2" t="s">
        <v>77</v>
      </c>
      <c r="C85" s="2">
        <v>576</v>
      </c>
      <c r="D85" s="2">
        <v>595</v>
      </c>
      <c r="E85" s="2">
        <v>1041</v>
      </c>
      <c r="F85" s="2">
        <v>1029</v>
      </c>
      <c r="G85" s="2">
        <v>426</v>
      </c>
      <c r="H85" s="2">
        <v>421</v>
      </c>
      <c r="I85" s="2">
        <v>770</v>
      </c>
      <c r="J85" s="2">
        <v>800</v>
      </c>
      <c r="K85" s="2">
        <v>7462</v>
      </c>
      <c r="L85" s="2">
        <v>7786</v>
      </c>
      <c r="M85" s="2">
        <v>707</v>
      </c>
      <c r="N85" s="2">
        <v>615</v>
      </c>
      <c r="O85" s="2">
        <v>835</v>
      </c>
      <c r="P85" s="2">
        <v>865</v>
      </c>
      <c r="Q85" s="2">
        <v>15663</v>
      </c>
      <c r="R85" s="2">
        <v>14791</v>
      </c>
      <c r="S85" s="2">
        <v>669</v>
      </c>
      <c r="T85" s="2">
        <v>695</v>
      </c>
      <c r="U85" s="2"/>
      <c r="V85" s="5">
        <f t="shared" si="3"/>
        <v>2.443661971830986</v>
      </c>
      <c r="W85" s="5">
        <f t="shared" si="4"/>
        <v>10.554455445544555</v>
      </c>
      <c r="X85" s="5">
        <f t="shared" si="5"/>
        <v>23.412556053811659</v>
      </c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</row>
    <row r="86" spans="1:56">
      <c r="A86" s="2" t="s">
        <v>180</v>
      </c>
      <c r="B86" s="2" t="s">
        <v>17</v>
      </c>
      <c r="C86" s="2">
        <v>246</v>
      </c>
      <c r="D86" s="2">
        <v>277</v>
      </c>
      <c r="E86" s="2">
        <v>555</v>
      </c>
      <c r="F86" s="2">
        <v>555</v>
      </c>
      <c r="G86" s="2">
        <v>161</v>
      </c>
      <c r="H86" s="2">
        <v>169</v>
      </c>
      <c r="I86" s="2">
        <v>362</v>
      </c>
      <c r="J86" s="2">
        <v>380</v>
      </c>
      <c r="K86" s="2">
        <v>3321</v>
      </c>
      <c r="L86" s="2">
        <v>3152</v>
      </c>
      <c r="M86" s="2">
        <v>273</v>
      </c>
      <c r="N86" s="2">
        <v>280</v>
      </c>
      <c r="O86" s="2">
        <v>395</v>
      </c>
      <c r="P86" s="2">
        <v>423</v>
      </c>
      <c r="Q86" s="2">
        <v>4800</v>
      </c>
      <c r="R86" s="2">
        <v>4612</v>
      </c>
      <c r="S86" s="2">
        <v>301</v>
      </c>
      <c r="T86" s="2">
        <v>315</v>
      </c>
      <c r="U86" s="2"/>
      <c r="V86" s="5">
        <f t="shared" si="3"/>
        <v>3.4472049689440993</v>
      </c>
      <c r="W86" s="5">
        <f t="shared" si="4"/>
        <v>12.164835164835164</v>
      </c>
      <c r="X86" s="5">
        <f t="shared" si="5"/>
        <v>15.946843853820598</v>
      </c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</row>
    <row r="87" spans="1:56">
      <c r="A87" s="2" t="s">
        <v>180</v>
      </c>
      <c r="B87" s="2" t="s">
        <v>35</v>
      </c>
      <c r="C87" s="2">
        <v>257</v>
      </c>
      <c r="D87" s="2">
        <v>274</v>
      </c>
      <c r="E87" s="2">
        <v>590</v>
      </c>
      <c r="F87" s="2">
        <v>607</v>
      </c>
      <c r="G87" s="2">
        <v>161</v>
      </c>
      <c r="H87" s="2">
        <v>177</v>
      </c>
      <c r="I87" s="2">
        <v>599</v>
      </c>
      <c r="J87" s="2">
        <v>654</v>
      </c>
      <c r="K87" s="2">
        <v>3899</v>
      </c>
      <c r="L87" s="2">
        <v>4135</v>
      </c>
      <c r="M87" s="2">
        <v>440</v>
      </c>
      <c r="N87" s="2">
        <v>483</v>
      </c>
      <c r="O87" s="2">
        <v>699</v>
      </c>
      <c r="P87" s="2">
        <v>751</v>
      </c>
      <c r="Q87" s="2">
        <v>8456</v>
      </c>
      <c r="R87" s="2">
        <v>8826</v>
      </c>
      <c r="S87" s="2">
        <v>587</v>
      </c>
      <c r="T87" s="2">
        <v>607</v>
      </c>
      <c r="U87" s="2"/>
      <c r="V87" s="5">
        <f t="shared" si="3"/>
        <v>3.6645962732919255</v>
      </c>
      <c r="W87" s="5">
        <f t="shared" si="4"/>
        <v>8.8613636363636363</v>
      </c>
      <c r="X87" s="5">
        <f t="shared" si="5"/>
        <v>14.405451448040886</v>
      </c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</row>
    <row r="88" spans="1:56">
      <c r="A88" s="2" t="s">
        <v>180</v>
      </c>
      <c r="B88" s="2" t="s">
        <v>83</v>
      </c>
      <c r="C88" s="2">
        <v>1965</v>
      </c>
      <c r="D88" s="2">
        <v>2356</v>
      </c>
      <c r="E88" s="2">
        <v>4822</v>
      </c>
      <c r="F88" s="2">
        <v>5512</v>
      </c>
      <c r="G88" s="2">
        <v>1434</v>
      </c>
      <c r="H88" s="2">
        <v>1645</v>
      </c>
      <c r="I88" s="2">
        <v>5028</v>
      </c>
      <c r="J88" s="2">
        <v>6299</v>
      </c>
      <c r="K88" s="2">
        <v>50115</v>
      </c>
      <c r="L88" s="2">
        <v>92201</v>
      </c>
      <c r="M88" s="2">
        <v>3799</v>
      </c>
      <c r="N88" s="2">
        <v>4742</v>
      </c>
      <c r="O88" s="2">
        <v>6545</v>
      </c>
      <c r="P88" s="2">
        <v>8169</v>
      </c>
      <c r="Q88" s="2">
        <v>163509</v>
      </c>
      <c r="R88" s="2">
        <v>174175</v>
      </c>
      <c r="S88" s="2">
        <v>5444</v>
      </c>
      <c r="T88" s="2">
        <v>6785</v>
      </c>
      <c r="U88" s="2"/>
      <c r="V88" s="5">
        <f t="shared" si="3"/>
        <v>3.3626220362622035</v>
      </c>
      <c r="W88" s="5">
        <f t="shared" si="4"/>
        <v>13.191629376151619</v>
      </c>
      <c r="X88" s="5">
        <f t="shared" si="5"/>
        <v>30.034717119764878</v>
      </c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</row>
    <row r="89" spans="1:56">
      <c r="A89" s="2" t="s">
        <v>180</v>
      </c>
      <c r="B89" s="2" t="s">
        <v>80</v>
      </c>
      <c r="C89" s="2">
        <v>4120</v>
      </c>
      <c r="D89" s="2">
        <v>5588</v>
      </c>
      <c r="E89" s="2">
        <v>9376</v>
      </c>
      <c r="F89" s="2">
        <v>10764</v>
      </c>
      <c r="G89" s="2">
        <v>3009</v>
      </c>
      <c r="H89" s="2">
        <v>3662</v>
      </c>
      <c r="I89" s="2">
        <v>9266</v>
      </c>
      <c r="J89" s="2">
        <v>12452</v>
      </c>
      <c r="K89" s="2">
        <v>76322</v>
      </c>
      <c r="L89" s="2">
        <v>144127</v>
      </c>
      <c r="M89" s="2">
        <v>6624</v>
      </c>
      <c r="N89" s="2">
        <v>9102</v>
      </c>
      <c r="O89" s="2">
        <v>10962</v>
      </c>
      <c r="P89" s="2">
        <v>14522</v>
      </c>
      <c r="Q89" s="2">
        <v>200134</v>
      </c>
      <c r="R89" s="2">
        <v>276394</v>
      </c>
      <c r="S89" s="2">
        <v>9045</v>
      </c>
      <c r="T89" s="2">
        <v>12675</v>
      </c>
      <c r="U89" s="2"/>
      <c r="V89" s="5">
        <f t="shared" si="3"/>
        <v>3.1159853772017283</v>
      </c>
      <c r="W89" s="5">
        <f t="shared" si="4"/>
        <v>11.522041062801932</v>
      </c>
      <c r="X89" s="5">
        <f t="shared" si="5"/>
        <v>22.126478717523494</v>
      </c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</row>
    <row r="90" spans="1:56">
      <c r="A90" s="2" t="s">
        <v>180</v>
      </c>
      <c r="B90" s="2" t="s">
        <v>10</v>
      </c>
      <c r="C90" s="2">
        <v>319</v>
      </c>
      <c r="D90" s="2">
        <v>392</v>
      </c>
      <c r="E90" s="2">
        <v>803</v>
      </c>
      <c r="F90" s="2">
        <v>847</v>
      </c>
      <c r="G90" s="2">
        <v>282</v>
      </c>
      <c r="H90" s="2">
        <v>238</v>
      </c>
      <c r="I90" s="2">
        <v>449</v>
      </c>
      <c r="J90" s="2">
        <v>551</v>
      </c>
      <c r="K90" s="2">
        <v>6397</v>
      </c>
      <c r="L90" s="2">
        <v>6369</v>
      </c>
      <c r="M90" s="2">
        <v>347</v>
      </c>
      <c r="N90" s="2">
        <v>418</v>
      </c>
      <c r="O90" s="2">
        <v>524</v>
      </c>
      <c r="P90" s="2">
        <v>607</v>
      </c>
      <c r="Q90" s="2">
        <v>12828</v>
      </c>
      <c r="R90" s="2">
        <v>13615</v>
      </c>
      <c r="S90" s="2">
        <v>382</v>
      </c>
      <c r="T90" s="2">
        <v>459</v>
      </c>
      <c r="U90" s="2"/>
      <c r="V90" s="5">
        <f t="shared" si="3"/>
        <v>2.8475177304964538</v>
      </c>
      <c r="W90" s="5">
        <f t="shared" si="4"/>
        <v>18.435158501440924</v>
      </c>
      <c r="X90" s="5">
        <f t="shared" si="5"/>
        <v>33.581151832460733</v>
      </c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</row>
    <row r="91" spans="1:56">
      <c r="A91" s="2" t="s">
        <v>180</v>
      </c>
      <c r="B91" s="2" t="s">
        <v>97</v>
      </c>
      <c r="C91" s="2">
        <v>424</v>
      </c>
      <c r="D91" s="2">
        <v>654</v>
      </c>
      <c r="E91" s="2">
        <v>1020</v>
      </c>
      <c r="F91" s="2">
        <v>1208</v>
      </c>
      <c r="G91" s="2">
        <v>287</v>
      </c>
      <c r="H91" s="2">
        <v>452</v>
      </c>
      <c r="I91" s="2">
        <v>619</v>
      </c>
      <c r="J91" s="2">
        <v>875</v>
      </c>
      <c r="K91" s="2">
        <v>5531</v>
      </c>
      <c r="L91" s="2">
        <v>9091</v>
      </c>
      <c r="M91" s="2">
        <v>486</v>
      </c>
      <c r="N91" s="2">
        <v>689</v>
      </c>
      <c r="O91" s="2">
        <v>671</v>
      </c>
      <c r="P91" s="2">
        <v>954</v>
      </c>
      <c r="Q91" s="2">
        <v>16778</v>
      </c>
      <c r="R91" s="2">
        <v>20839</v>
      </c>
      <c r="S91" s="2">
        <v>545</v>
      </c>
      <c r="T91" s="2">
        <v>789</v>
      </c>
      <c r="U91" s="2"/>
      <c r="V91" s="5">
        <f t="shared" si="3"/>
        <v>3.5540069686411151</v>
      </c>
      <c r="W91" s="5">
        <f t="shared" si="4"/>
        <v>11.380658436213992</v>
      </c>
      <c r="X91" s="5">
        <f t="shared" si="5"/>
        <v>30.785321100917432</v>
      </c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</row>
    <row r="92" spans="1:56">
      <c r="A92" s="2" t="s">
        <v>180</v>
      </c>
      <c r="B92" s="2" t="s">
        <v>15</v>
      </c>
      <c r="C92" s="2">
        <v>49</v>
      </c>
      <c r="D92" s="2">
        <v>54</v>
      </c>
      <c r="E92" s="2">
        <v>122</v>
      </c>
      <c r="F92" s="2">
        <v>121</v>
      </c>
      <c r="G92" s="2">
        <v>34</v>
      </c>
      <c r="H92" s="2">
        <v>36</v>
      </c>
      <c r="I92" s="2">
        <v>73</v>
      </c>
      <c r="J92" s="2">
        <v>80</v>
      </c>
      <c r="K92" s="2">
        <v>854</v>
      </c>
      <c r="L92" s="2">
        <v>814</v>
      </c>
      <c r="M92" s="2">
        <v>56</v>
      </c>
      <c r="N92" s="2">
        <v>56</v>
      </c>
      <c r="O92" s="2">
        <v>80</v>
      </c>
      <c r="P92" s="2">
        <v>85</v>
      </c>
      <c r="Q92" s="2">
        <v>1169</v>
      </c>
      <c r="R92" s="2">
        <v>1076</v>
      </c>
      <c r="S92" s="2">
        <v>62</v>
      </c>
      <c r="T92" s="2">
        <v>65</v>
      </c>
      <c r="U92" s="2"/>
      <c r="V92" s="5">
        <f t="shared" si="3"/>
        <v>3.5882352941176472</v>
      </c>
      <c r="W92" s="5">
        <f t="shared" si="4"/>
        <v>15.25</v>
      </c>
      <c r="X92" s="5">
        <f t="shared" si="5"/>
        <v>18.85483870967742</v>
      </c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</row>
    <row r="93" spans="1:56">
      <c r="A93" s="2" t="s">
        <v>181</v>
      </c>
      <c r="B93" s="2" t="s">
        <v>61</v>
      </c>
      <c r="C93" s="2">
        <v>341</v>
      </c>
      <c r="D93" s="2">
        <v>552</v>
      </c>
      <c r="E93" s="2">
        <v>767</v>
      </c>
      <c r="F93" s="2">
        <v>916</v>
      </c>
      <c r="G93" s="2">
        <v>236</v>
      </c>
      <c r="H93" s="2">
        <v>374</v>
      </c>
      <c r="I93" s="2">
        <v>461</v>
      </c>
      <c r="J93" s="2">
        <v>709</v>
      </c>
      <c r="K93" s="2">
        <v>3390</v>
      </c>
      <c r="L93" s="2">
        <v>6558</v>
      </c>
      <c r="M93" s="2">
        <v>353</v>
      </c>
      <c r="N93" s="2">
        <v>657</v>
      </c>
      <c r="O93" s="2">
        <v>494</v>
      </c>
      <c r="P93" s="2">
        <v>752</v>
      </c>
      <c r="Q93" s="2">
        <v>8812</v>
      </c>
      <c r="R93" s="2">
        <v>9039</v>
      </c>
      <c r="S93" s="2">
        <v>589</v>
      </c>
      <c r="T93" s="2">
        <v>622</v>
      </c>
      <c r="U93" s="2"/>
      <c r="V93" s="5">
        <f t="shared" si="3"/>
        <v>3.25</v>
      </c>
      <c r="W93" s="5">
        <f t="shared" si="4"/>
        <v>9.6033994334277626</v>
      </c>
      <c r="X93" s="5">
        <f t="shared" si="5"/>
        <v>14.960950764006791</v>
      </c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</row>
    <row r="94" spans="1:56">
      <c r="A94" s="2" t="s">
        <v>181</v>
      </c>
      <c r="B94" s="2" t="s">
        <v>49</v>
      </c>
      <c r="C94" s="2">
        <v>128</v>
      </c>
      <c r="D94" s="2">
        <v>168</v>
      </c>
      <c r="E94" s="2">
        <v>283</v>
      </c>
      <c r="F94" s="2">
        <v>295</v>
      </c>
      <c r="G94" s="2">
        <v>130</v>
      </c>
      <c r="H94" s="2">
        <v>120</v>
      </c>
      <c r="I94" s="2">
        <v>182</v>
      </c>
      <c r="J94" s="2">
        <v>230</v>
      </c>
      <c r="K94" s="2">
        <v>1537</v>
      </c>
      <c r="L94" s="2">
        <v>2370</v>
      </c>
      <c r="M94" s="2">
        <v>132</v>
      </c>
      <c r="N94" s="2">
        <v>190</v>
      </c>
      <c r="O94" s="2">
        <v>187</v>
      </c>
      <c r="P94" s="2">
        <v>253</v>
      </c>
      <c r="Q94" s="2">
        <v>3250</v>
      </c>
      <c r="R94" s="2">
        <v>3128</v>
      </c>
      <c r="S94" s="2">
        <v>185</v>
      </c>
      <c r="T94" s="2">
        <v>249</v>
      </c>
      <c r="U94" s="2"/>
      <c r="V94" s="5">
        <f t="shared" si="3"/>
        <v>2.1769230769230767</v>
      </c>
      <c r="W94" s="5">
        <f t="shared" si="4"/>
        <v>11.643939393939394</v>
      </c>
      <c r="X94" s="5">
        <f t="shared" si="5"/>
        <v>17.567567567567568</v>
      </c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</row>
    <row r="95" spans="1:56">
      <c r="A95" s="2" t="s">
        <v>181</v>
      </c>
      <c r="B95" s="2" t="s">
        <v>78</v>
      </c>
      <c r="C95" s="2">
        <v>190</v>
      </c>
      <c r="D95" s="2">
        <v>160</v>
      </c>
      <c r="E95" s="2">
        <v>318</v>
      </c>
      <c r="F95" s="2">
        <v>366</v>
      </c>
      <c r="G95" s="2">
        <v>77</v>
      </c>
      <c r="H95" s="2">
        <v>167</v>
      </c>
      <c r="I95" s="2">
        <v>160</v>
      </c>
      <c r="J95" s="2">
        <v>216</v>
      </c>
      <c r="K95" s="2">
        <v>1026</v>
      </c>
      <c r="L95" s="2">
        <v>2004</v>
      </c>
      <c r="M95" s="2">
        <v>122</v>
      </c>
      <c r="N95" s="2">
        <v>166</v>
      </c>
      <c r="O95" s="2">
        <v>176</v>
      </c>
      <c r="P95" s="2">
        <v>239</v>
      </c>
      <c r="Q95" s="2">
        <v>3156</v>
      </c>
      <c r="R95" s="2">
        <v>3319</v>
      </c>
      <c r="S95" s="2">
        <v>142</v>
      </c>
      <c r="T95" s="2">
        <v>185</v>
      </c>
      <c r="U95" s="2"/>
      <c r="V95" s="5">
        <f t="shared" si="3"/>
        <v>4.1298701298701301</v>
      </c>
      <c r="W95" s="5">
        <f t="shared" si="4"/>
        <v>8.4098360655737707</v>
      </c>
      <c r="X95" s="5">
        <f t="shared" si="5"/>
        <v>22.225352112676056</v>
      </c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</row>
    <row r="96" spans="1:56">
      <c r="A96" s="2" t="s">
        <v>181</v>
      </c>
      <c r="B96" s="2" t="s">
        <v>73</v>
      </c>
      <c r="C96" s="2">
        <v>229</v>
      </c>
      <c r="D96" s="2">
        <v>279</v>
      </c>
      <c r="E96" s="2">
        <v>438</v>
      </c>
      <c r="F96" s="2">
        <v>428</v>
      </c>
      <c r="G96" s="2">
        <v>237</v>
      </c>
      <c r="H96" s="2">
        <v>214</v>
      </c>
      <c r="I96" s="2">
        <v>321</v>
      </c>
      <c r="J96" s="2">
        <v>351</v>
      </c>
      <c r="K96" s="2">
        <v>2771</v>
      </c>
      <c r="L96" s="2">
        <v>3371</v>
      </c>
      <c r="M96" s="2">
        <v>259</v>
      </c>
      <c r="N96" s="2">
        <v>277</v>
      </c>
      <c r="O96" s="2">
        <v>432</v>
      </c>
      <c r="P96" s="2">
        <v>407</v>
      </c>
      <c r="Q96" s="2">
        <v>5315</v>
      </c>
      <c r="R96" s="2">
        <v>5424</v>
      </c>
      <c r="S96" s="2">
        <v>290</v>
      </c>
      <c r="T96" s="2">
        <v>314</v>
      </c>
      <c r="U96" s="2"/>
      <c r="V96" s="5">
        <f t="shared" si="3"/>
        <v>1.8481012658227849</v>
      </c>
      <c r="W96" s="5">
        <f t="shared" si="4"/>
        <v>10.698841698841699</v>
      </c>
      <c r="X96" s="5">
        <f t="shared" si="5"/>
        <v>18.327586206896552</v>
      </c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</row>
    <row r="97" spans="1:56">
      <c r="A97" s="2" t="s">
        <v>181</v>
      </c>
      <c r="B97" s="2" t="s">
        <v>63</v>
      </c>
      <c r="C97" s="2">
        <v>284</v>
      </c>
      <c r="D97" s="2">
        <v>298</v>
      </c>
      <c r="E97" s="2">
        <v>547</v>
      </c>
      <c r="F97" s="2">
        <v>528</v>
      </c>
      <c r="G97" s="2">
        <v>188</v>
      </c>
      <c r="H97" s="2">
        <v>209</v>
      </c>
      <c r="I97" s="2">
        <v>390</v>
      </c>
      <c r="J97" s="2">
        <v>392</v>
      </c>
      <c r="K97" s="2">
        <v>3776</v>
      </c>
      <c r="L97" s="2">
        <v>5211</v>
      </c>
      <c r="M97" s="2">
        <v>475</v>
      </c>
      <c r="N97" s="2">
        <v>309</v>
      </c>
      <c r="O97" s="2">
        <v>404</v>
      </c>
      <c r="P97" s="2">
        <v>407</v>
      </c>
      <c r="Q97" s="2">
        <v>11348</v>
      </c>
      <c r="R97" s="2">
        <v>10629</v>
      </c>
      <c r="S97" s="2">
        <v>321</v>
      </c>
      <c r="T97" s="2">
        <v>346</v>
      </c>
      <c r="U97" s="2"/>
      <c r="V97" s="5">
        <f t="shared" si="3"/>
        <v>2.9095744680851063</v>
      </c>
      <c r="W97" s="5">
        <f t="shared" si="4"/>
        <v>7.9494736842105267</v>
      </c>
      <c r="X97" s="5">
        <f t="shared" si="5"/>
        <v>35.352024922118382</v>
      </c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</row>
    <row r="98" spans="1:56">
      <c r="A98" s="2" t="s">
        <v>181</v>
      </c>
      <c r="B98" s="2" t="s">
        <v>59</v>
      </c>
      <c r="C98" s="2">
        <v>264</v>
      </c>
      <c r="D98" s="2">
        <v>270</v>
      </c>
      <c r="E98" s="2">
        <v>540</v>
      </c>
      <c r="F98" s="2">
        <v>443</v>
      </c>
      <c r="G98" s="2">
        <v>171</v>
      </c>
      <c r="H98" s="2">
        <v>180</v>
      </c>
      <c r="I98" s="2">
        <v>521</v>
      </c>
      <c r="J98" s="2">
        <v>517</v>
      </c>
      <c r="K98" s="2">
        <v>2636</v>
      </c>
      <c r="L98" s="2">
        <v>3137</v>
      </c>
      <c r="M98" s="2">
        <v>457</v>
      </c>
      <c r="N98" s="2">
        <v>390</v>
      </c>
      <c r="O98" s="2">
        <v>564</v>
      </c>
      <c r="P98" s="2">
        <v>592</v>
      </c>
      <c r="Q98" s="2">
        <v>4170</v>
      </c>
      <c r="R98" s="2">
        <v>4048</v>
      </c>
      <c r="S98" s="2">
        <v>475</v>
      </c>
      <c r="T98" s="2">
        <v>486</v>
      </c>
      <c r="U98" s="2"/>
      <c r="V98" s="5">
        <f t="shared" si="3"/>
        <v>3.1578947368421053</v>
      </c>
      <c r="W98" s="5">
        <f t="shared" si="4"/>
        <v>5.7680525164113785</v>
      </c>
      <c r="X98" s="5">
        <f t="shared" si="5"/>
        <v>8.7789473684210524</v>
      </c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</row>
    <row r="99" spans="1:56">
      <c r="A99" s="2" t="s">
        <v>181</v>
      </c>
      <c r="B99" s="2" t="s">
        <v>68</v>
      </c>
      <c r="C99" s="2">
        <v>2412</v>
      </c>
      <c r="D99" s="2">
        <v>2883</v>
      </c>
      <c r="E99" s="2">
        <v>4794</v>
      </c>
      <c r="F99" s="2">
        <v>5087</v>
      </c>
      <c r="G99" s="2">
        <v>2057</v>
      </c>
      <c r="H99" s="2">
        <v>2298</v>
      </c>
      <c r="I99" s="2">
        <v>5735</v>
      </c>
      <c r="J99" s="2">
        <v>6605</v>
      </c>
      <c r="K99" s="2">
        <v>56152</v>
      </c>
      <c r="L99" s="2">
        <v>84430</v>
      </c>
      <c r="M99" s="2">
        <v>4220</v>
      </c>
      <c r="N99" s="2">
        <v>4959</v>
      </c>
      <c r="O99" s="2">
        <v>7167</v>
      </c>
      <c r="P99" s="2">
        <v>7887</v>
      </c>
      <c r="Q99" s="2">
        <v>203306</v>
      </c>
      <c r="R99" s="2">
        <v>169050</v>
      </c>
      <c r="S99" s="2">
        <v>5885</v>
      </c>
      <c r="T99" s="2">
        <v>6892</v>
      </c>
      <c r="U99" s="2"/>
      <c r="V99" s="5">
        <f t="shared" si="3"/>
        <v>2.330578512396694</v>
      </c>
      <c r="W99" s="5">
        <f t="shared" si="4"/>
        <v>13.306161137440759</v>
      </c>
      <c r="X99" s="5">
        <f t="shared" si="5"/>
        <v>34.546474086661</v>
      </c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</row>
    <row r="100" spans="1:56">
      <c r="A100" s="2" t="s">
        <v>181</v>
      </c>
      <c r="B100" s="2" t="s">
        <v>34</v>
      </c>
      <c r="C100" s="2">
        <v>2002</v>
      </c>
      <c r="D100" s="2">
        <v>2249</v>
      </c>
      <c r="E100" s="2">
        <v>4176</v>
      </c>
      <c r="F100" s="2">
        <v>4172</v>
      </c>
      <c r="G100" s="2">
        <v>1498</v>
      </c>
      <c r="H100" s="2">
        <v>1603</v>
      </c>
      <c r="I100" s="2">
        <v>2852</v>
      </c>
      <c r="J100" s="2">
        <v>2998</v>
      </c>
      <c r="K100" s="2">
        <v>32846</v>
      </c>
      <c r="L100" s="2">
        <v>41372</v>
      </c>
      <c r="M100" s="2">
        <v>2181</v>
      </c>
      <c r="N100" s="2">
        <v>2289</v>
      </c>
      <c r="O100" s="2">
        <v>3086</v>
      </c>
      <c r="P100" s="2">
        <v>3241</v>
      </c>
      <c r="Q100" s="2">
        <v>90661</v>
      </c>
      <c r="R100" s="2">
        <v>80973</v>
      </c>
      <c r="S100" s="2">
        <v>2618</v>
      </c>
      <c r="T100" s="2">
        <v>2767</v>
      </c>
      <c r="U100" s="2"/>
      <c r="V100" s="5">
        <f t="shared" si="3"/>
        <v>2.7877169559412551</v>
      </c>
      <c r="W100" s="5">
        <f t="shared" si="4"/>
        <v>15.060064190738194</v>
      </c>
      <c r="X100" s="5">
        <f t="shared" si="5"/>
        <v>34.629870129870127</v>
      </c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</row>
    <row r="101" spans="1:56">
      <c r="A101" s="2" t="s">
        <v>181</v>
      </c>
      <c r="B101" s="2" t="s">
        <v>4</v>
      </c>
      <c r="C101" s="2">
        <v>618</v>
      </c>
      <c r="D101" s="2">
        <v>674</v>
      </c>
      <c r="E101" s="2">
        <v>1168</v>
      </c>
      <c r="F101" s="2">
        <v>1540</v>
      </c>
      <c r="G101" s="2">
        <v>395</v>
      </c>
      <c r="H101" s="2">
        <v>740</v>
      </c>
      <c r="I101" s="2">
        <v>772</v>
      </c>
      <c r="J101" s="2">
        <v>879</v>
      </c>
      <c r="K101" s="2">
        <v>9108</v>
      </c>
      <c r="L101" s="2">
        <v>10617</v>
      </c>
      <c r="M101" s="2">
        <v>610</v>
      </c>
      <c r="N101" s="2">
        <v>680</v>
      </c>
      <c r="O101" s="2">
        <v>825</v>
      </c>
      <c r="P101" s="2">
        <v>962</v>
      </c>
      <c r="Q101" s="2">
        <v>24570</v>
      </c>
      <c r="R101" s="2">
        <v>23036</v>
      </c>
      <c r="S101" s="2">
        <v>695</v>
      </c>
      <c r="T101" s="2">
        <v>816</v>
      </c>
      <c r="U101" s="2"/>
      <c r="V101" s="5">
        <f t="shared" si="3"/>
        <v>2.9569620253164559</v>
      </c>
      <c r="W101" s="5">
        <f t="shared" si="4"/>
        <v>14.931147540983607</v>
      </c>
      <c r="X101" s="5">
        <f t="shared" si="5"/>
        <v>35.352517985611513</v>
      </c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</row>
    <row r="102" spans="1:56">
      <c r="A102" s="2" t="s">
        <v>173</v>
      </c>
      <c r="B102" s="2" t="s">
        <v>70</v>
      </c>
      <c r="C102" s="2">
        <v>202</v>
      </c>
      <c r="D102" s="2">
        <v>168</v>
      </c>
      <c r="E102" s="2">
        <v>427</v>
      </c>
      <c r="F102" s="2">
        <v>400</v>
      </c>
      <c r="G102" s="2">
        <v>89</v>
      </c>
      <c r="H102" s="2">
        <v>108</v>
      </c>
      <c r="I102" s="2">
        <v>182</v>
      </c>
      <c r="J102" s="2">
        <v>207</v>
      </c>
      <c r="K102" s="2">
        <v>1913</v>
      </c>
      <c r="L102" s="2">
        <v>2228</v>
      </c>
      <c r="M102" s="2">
        <v>136</v>
      </c>
      <c r="N102" s="2">
        <v>161</v>
      </c>
      <c r="O102" s="2">
        <v>192</v>
      </c>
      <c r="P102" s="2">
        <v>222</v>
      </c>
      <c r="Q102" s="2">
        <v>3564</v>
      </c>
      <c r="R102" s="2">
        <v>3511</v>
      </c>
      <c r="S102" s="2">
        <v>149</v>
      </c>
      <c r="T102" s="2">
        <v>184</v>
      </c>
      <c r="U102" s="2"/>
      <c r="V102" s="5">
        <f t="shared" si="3"/>
        <v>4.797752808988764</v>
      </c>
      <c r="W102" s="5">
        <f t="shared" si="4"/>
        <v>14.066176470588236</v>
      </c>
      <c r="X102" s="5">
        <f t="shared" si="5"/>
        <v>23.919463087248321</v>
      </c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</row>
    <row r="103" spans="1:56">
      <c r="A103" s="2" t="s">
        <v>173</v>
      </c>
      <c r="B103" s="2" t="s">
        <v>87</v>
      </c>
      <c r="C103" s="2">
        <v>58</v>
      </c>
      <c r="D103" s="2">
        <v>51</v>
      </c>
      <c r="E103" s="2">
        <v>141</v>
      </c>
      <c r="F103" s="2">
        <v>129</v>
      </c>
      <c r="G103" s="2">
        <v>33</v>
      </c>
      <c r="H103" s="2">
        <v>34</v>
      </c>
      <c r="I103" s="2">
        <v>74</v>
      </c>
      <c r="J103" s="2">
        <v>85</v>
      </c>
      <c r="K103" s="2">
        <v>773</v>
      </c>
      <c r="L103" s="2">
        <v>1014</v>
      </c>
      <c r="M103" s="2">
        <v>72</v>
      </c>
      <c r="N103" s="2">
        <v>56</v>
      </c>
      <c r="O103" s="2">
        <v>81</v>
      </c>
      <c r="P103" s="2">
        <v>85</v>
      </c>
      <c r="Q103" s="2">
        <v>2503</v>
      </c>
      <c r="R103" s="2">
        <v>2565</v>
      </c>
      <c r="S103" s="2">
        <v>62</v>
      </c>
      <c r="T103" s="2">
        <v>64</v>
      </c>
      <c r="U103" s="2"/>
      <c r="V103" s="5">
        <f t="shared" si="3"/>
        <v>4.2727272727272725</v>
      </c>
      <c r="W103" s="5">
        <f t="shared" si="4"/>
        <v>10.736111111111111</v>
      </c>
      <c r="X103" s="5">
        <f t="shared" si="5"/>
        <v>40.37096774193548</v>
      </c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</row>
    <row r="104" spans="1:56">
      <c r="A104" s="2" t="s">
        <v>173</v>
      </c>
      <c r="B104" s="2" t="s">
        <v>19</v>
      </c>
      <c r="C104" s="2">
        <v>1077</v>
      </c>
      <c r="D104" s="2">
        <v>1222</v>
      </c>
      <c r="E104" s="2">
        <v>1834</v>
      </c>
      <c r="F104" s="2">
        <v>1931</v>
      </c>
      <c r="G104" s="2">
        <v>790</v>
      </c>
      <c r="H104" s="2">
        <v>894</v>
      </c>
      <c r="I104" s="2">
        <v>1417</v>
      </c>
      <c r="J104" s="2">
        <v>1688</v>
      </c>
      <c r="K104" s="2">
        <v>10509</v>
      </c>
      <c r="L104" s="2">
        <v>16402</v>
      </c>
      <c r="M104" s="2">
        <v>1109</v>
      </c>
      <c r="N104" s="2">
        <v>1261</v>
      </c>
      <c r="O104" s="2">
        <v>1496</v>
      </c>
      <c r="P104" s="2">
        <v>1760</v>
      </c>
      <c r="Q104" s="2">
        <v>33012</v>
      </c>
      <c r="R104" s="2">
        <v>27972</v>
      </c>
      <c r="S104" s="2">
        <v>1289</v>
      </c>
      <c r="T104" s="2">
        <v>1623</v>
      </c>
      <c r="U104" s="2"/>
      <c r="V104" s="5">
        <f t="shared" si="3"/>
        <v>2.3215189873417721</v>
      </c>
      <c r="W104" s="5">
        <f t="shared" si="4"/>
        <v>9.4761045987376011</v>
      </c>
      <c r="X104" s="5">
        <f t="shared" si="5"/>
        <v>25.610550814584951</v>
      </c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</row>
    <row r="105" spans="1:56">
      <c r="A105" s="2" t="s">
        <v>173</v>
      </c>
      <c r="B105" s="2" t="s">
        <v>38</v>
      </c>
      <c r="C105" s="2">
        <v>9035</v>
      </c>
      <c r="D105" s="2">
        <v>10991</v>
      </c>
      <c r="E105" s="2">
        <v>19886</v>
      </c>
      <c r="F105" s="2">
        <v>22323</v>
      </c>
      <c r="G105" s="2">
        <v>6239</v>
      </c>
      <c r="H105" s="2">
        <v>7508</v>
      </c>
      <c r="I105" s="2">
        <v>17628</v>
      </c>
      <c r="J105" s="2">
        <v>22151</v>
      </c>
      <c r="K105" s="2">
        <v>142243</v>
      </c>
      <c r="L105" s="2">
        <v>170498</v>
      </c>
      <c r="M105" s="2">
        <v>13208</v>
      </c>
      <c r="N105" s="2">
        <v>16584</v>
      </c>
      <c r="O105" s="2">
        <v>21451</v>
      </c>
      <c r="P105" s="2">
        <v>25637</v>
      </c>
      <c r="Q105" s="2">
        <v>316843</v>
      </c>
      <c r="R105" s="2">
        <v>357167</v>
      </c>
      <c r="S105" s="2">
        <v>17845</v>
      </c>
      <c r="T105" s="2">
        <v>23114</v>
      </c>
      <c r="U105" s="2"/>
      <c r="V105" s="5">
        <f t="shared" si="3"/>
        <v>3.187369770796602</v>
      </c>
      <c r="W105" s="5">
        <f t="shared" si="4"/>
        <v>10.769457904300424</v>
      </c>
      <c r="X105" s="5">
        <f t="shared" si="5"/>
        <v>17.755281591482209</v>
      </c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</row>
    <row r="106" spans="1:56">
      <c r="A106" s="2" t="s">
        <v>179</v>
      </c>
      <c r="B106" s="2" t="s">
        <v>42</v>
      </c>
      <c r="C106" s="2">
        <v>4015</v>
      </c>
      <c r="D106" s="2">
        <v>5040</v>
      </c>
      <c r="E106" s="2">
        <v>5749</v>
      </c>
      <c r="F106" s="2">
        <v>6625</v>
      </c>
      <c r="G106" s="2">
        <v>2887</v>
      </c>
      <c r="H106" s="2">
        <v>3338</v>
      </c>
      <c r="I106" s="2">
        <v>9310</v>
      </c>
      <c r="J106" s="2">
        <v>12342</v>
      </c>
      <c r="K106" s="2">
        <v>38412</v>
      </c>
      <c r="L106" s="2">
        <v>48996</v>
      </c>
      <c r="M106" s="2">
        <v>6818</v>
      </c>
      <c r="N106" s="2">
        <v>9038</v>
      </c>
      <c r="O106" s="2">
        <v>11593</v>
      </c>
      <c r="P106" s="2">
        <v>14994</v>
      </c>
      <c r="Q106" s="2">
        <v>106364</v>
      </c>
      <c r="R106" s="2">
        <v>96201</v>
      </c>
      <c r="S106" s="2">
        <v>9263</v>
      </c>
      <c r="T106" s="2">
        <v>12096</v>
      </c>
      <c r="U106" s="2"/>
      <c r="V106" s="5">
        <f t="shared" si="3"/>
        <v>1.9913404918600623</v>
      </c>
      <c r="W106" s="5">
        <f t="shared" si="4"/>
        <v>5.6339102376063366</v>
      </c>
      <c r="X106" s="5">
        <f t="shared" si="5"/>
        <v>11.482673000107956</v>
      </c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</row>
    <row r="107" spans="1:56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8">
        <f>AVERAGE(V2:V106)</f>
        <v>3.3751359208833551</v>
      </c>
      <c r="W107" s="8">
        <f t="shared" ref="W107:X107" si="6">AVERAGE(W2:W106)</f>
        <v>15.657177513349479</v>
      </c>
      <c r="X107" s="8">
        <f t="shared" si="6"/>
        <v>27.685042869343896</v>
      </c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</row>
    <row r="108" spans="1:56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</row>
    <row r="109" spans="1:56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3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</row>
    <row r="110" spans="1:56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</row>
    <row r="111" spans="1:56">
      <c r="A111" s="6"/>
      <c r="B111" s="3"/>
      <c r="C111" s="3"/>
      <c r="D111" s="3"/>
      <c r="E111" s="3"/>
      <c r="F111" s="6"/>
      <c r="G111" s="6"/>
      <c r="H111" s="6"/>
      <c r="I111" s="6"/>
      <c r="J111" s="6"/>
      <c r="K111" s="6"/>
      <c r="L111" s="6"/>
      <c r="M111" s="6"/>
      <c r="N111" s="6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</row>
    <row r="112" spans="1:56">
      <c r="A112" s="6"/>
      <c r="B112" s="3"/>
      <c r="C112" s="3"/>
      <c r="D112" s="3"/>
      <c r="E112" s="3"/>
      <c r="F112" s="3"/>
      <c r="G112" s="3"/>
      <c r="H112" s="3"/>
      <c r="I112" s="3"/>
      <c r="J112" s="3"/>
      <c r="K112" s="6"/>
      <c r="L112" s="6"/>
      <c r="M112" s="6"/>
      <c r="N112" s="3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</row>
    <row r="113" spans="1:56">
      <c r="A113" s="6"/>
      <c r="B113" s="3"/>
      <c r="C113" s="3"/>
      <c r="D113" s="3"/>
      <c r="E113" s="3"/>
      <c r="F113" s="3"/>
      <c r="G113" s="3"/>
      <c r="H113" s="3"/>
      <c r="I113" s="3"/>
      <c r="J113" s="3"/>
      <c r="K113" s="6"/>
      <c r="L113" s="3"/>
      <c r="M113" s="6"/>
      <c r="N113" s="3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</row>
    <row r="114" spans="1:56">
      <c r="A114" s="6"/>
      <c r="B114" s="6"/>
      <c r="C114" s="3"/>
      <c r="D114" s="3"/>
      <c r="E114" s="3"/>
      <c r="F114" s="3"/>
      <c r="G114" s="3"/>
      <c r="H114" s="3"/>
      <c r="I114" s="3"/>
      <c r="J114" s="3"/>
      <c r="K114" s="6"/>
      <c r="L114" s="3"/>
      <c r="M114" s="6"/>
      <c r="N114" s="3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</row>
    <row r="115" spans="1:56">
      <c r="A115" s="6"/>
      <c r="B115" s="6"/>
      <c r="C115" s="6"/>
      <c r="D115" s="6"/>
      <c r="E115" s="6"/>
      <c r="F115" s="6"/>
      <c r="G115" s="6"/>
      <c r="H115" s="6"/>
      <c r="I115" s="3"/>
      <c r="J115" s="3"/>
      <c r="K115" s="6"/>
      <c r="L115" s="3"/>
      <c r="M115" s="6"/>
      <c r="N115" s="3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</row>
    <row r="116" spans="1:56">
      <c r="A116" s="6"/>
      <c r="B116" s="3"/>
      <c r="C116" s="3"/>
      <c r="D116" s="6"/>
      <c r="E116" s="6"/>
      <c r="F116" s="6"/>
      <c r="G116" s="3"/>
      <c r="H116" s="6"/>
      <c r="I116" s="3"/>
      <c r="J116" s="3"/>
      <c r="K116" s="6"/>
      <c r="L116" s="3"/>
      <c r="M116" s="6"/>
      <c r="N116" s="3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</row>
    <row r="117" spans="1:56">
      <c r="A117" s="6"/>
      <c r="B117" s="3"/>
      <c r="C117" s="3"/>
      <c r="D117" s="3"/>
      <c r="E117" s="3"/>
      <c r="F117" s="3"/>
      <c r="G117" s="3"/>
      <c r="H117" s="3"/>
      <c r="I117" s="3"/>
      <c r="J117" s="3"/>
      <c r="K117" s="6"/>
      <c r="L117" s="3"/>
      <c r="M117" s="6"/>
      <c r="N117" s="3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</row>
    <row r="118" spans="1:56">
      <c r="A118" s="6"/>
      <c r="B118" s="6"/>
      <c r="C118" s="3"/>
      <c r="D118" s="3"/>
      <c r="E118" s="3"/>
      <c r="F118" s="3"/>
      <c r="G118" s="3"/>
      <c r="H118" s="3"/>
      <c r="I118" s="3"/>
      <c r="J118" s="3"/>
      <c r="K118" s="6"/>
      <c r="L118" s="3"/>
      <c r="M118" s="6"/>
      <c r="N118" s="3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</row>
    <row r="119" spans="1:56">
      <c r="A119" s="6"/>
      <c r="B119" s="6"/>
      <c r="C119" s="6"/>
      <c r="D119" s="6"/>
      <c r="E119" s="6"/>
      <c r="F119" s="6"/>
      <c r="G119" s="3"/>
      <c r="H119" s="3"/>
      <c r="I119" s="3"/>
      <c r="J119" s="3"/>
      <c r="K119" s="6"/>
      <c r="L119" s="3"/>
      <c r="M119" s="6"/>
      <c r="N119" s="3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</row>
    <row r="120" spans="1:56">
      <c r="A120" s="6"/>
      <c r="B120" s="6"/>
      <c r="C120" s="6"/>
      <c r="D120" s="6"/>
      <c r="E120" s="6"/>
      <c r="F120" s="6"/>
      <c r="G120" s="6"/>
      <c r="H120" s="6"/>
      <c r="I120" s="6"/>
      <c r="J120" s="3"/>
      <c r="K120" s="6"/>
      <c r="L120" s="3"/>
      <c r="M120" s="6"/>
      <c r="N120" s="3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</row>
    <row r="121" spans="1:56">
      <c r="A121" s="6"/>
      <c r="B121" s="3"/>
      <c r="C121" s="3"/>
      <c r="D121" s="6"/>
      <c r="E121" s="6"/>
      <c r="F121" s="6"/>
      <c r="G121" s="3"/>
      <c r="H121" s="3"/>
      <c r="I121" s="6"/>
      <c r="J121" s="3"/>
      <c r="K121" s="6"/>
      <c r="L121" s="3"/>
      <c r="M121" s="6"/>
      <c r="N121" s="3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</row>
    <row r="122" spans="1:56">
      <c r="A122" s="6"/>
      <c r="B122" s="3"/>
      <c r="C122" s="3"/>
      <c r="D122" s="3"/>
      <c r="E122" s="3"/>
      <c r="F122" s="3"/>
      <c r="G122" s="3"/>
      <c r="H122" s="3"/>
      <c r="I122" s="6"/>
      <c r="J122" s="3"/>
      <c r="K122" s="6"/>
      <c r="L122" s="3"/>
      <c r="M122" s="6"/>
      <c r="N122" s="3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</row>
    <row r="123" spans="1:56">
      <c r="A123" s="6"/>
      <c r="B123" s="3"/>
      <c r="C123" s="3"/>
      <c r="D123" s="3"/>
      <c r="E123" s="3"/>
      <c r="F123" s="3"/>
      <c r="G123" s="3"/>
      <c r="H123" s="3"/>
      <c r="I123" s="3"/>
      <c r="J123" s="3"/>
      <c r="K123" s="6"/>
      <c r="L123" s="3"/>
      <c r="M123" s="6"/>
      <c r="N123" s="3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</row>
    <row r="124" spans="1:56">
      <c r="A124" s="6"/>
      <c r="B124" s="6"/>
      <c r="C124" s="3"/>
      <c r="D124" s="3"/>
      <c r="E124" s="3"/>
      <c r="F124" s="3"/>
      <c r="G124" s="3"/>
      <c r="H124" s="3"/>
      <c r="I124" s="3"/>
      <c r="J124" s="3"/>
      <c r="K124" s="6"/>
      <c r="L124" s="3"/>
      <c r="M124" s="6"/>
      <c r="N124" s="3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</row>
    <row r="125" spans="1:56">
      <c r="A125" s="6"/>
      <c r="B125" s="6"/>
      <c r="C125" s="6"/>
      <c r="D125" s="6"/>
      <c r="E125" s="6"/>
      <c r="F125" s="6"/>
      <c r="G125" s="3"/>
      <c r="H125" s="3"/>
      <c r="I125" s="3"/>
      <c r="J125" s="3"/>
      <c r="K125" s="6"/>
      <c r="L125" s="3"/>
      <c r="M125" s="6"/>
      <c r="N125" s="3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</row>
    <row r="126" spans="1:56">
      <c r="A126" s="6"/>
      <c r="B126" s="6"/>
      <c r="C126" s="6"/>
      <c r="D126" s="6"/>
      <c r="E126" s="6"/>
      <c r="F126" s="6"/>
      <c r="G126" s="6"/>
      <c r="H126" s="6"/>
      <c r="I126" s="6"/>
      <c r="J126" s="3"/>
      <c r="K126" s="6"/>
      <c r="L126" s="3"/>
      <c r="M126" s="6"/>
      <c r="N126" s="3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</row>
    <row r="127" spans="1:56">
      <c r="A127" s="6"/>
      <c r="B127" s="3"/>
      <c r="C127" s="3"/>
      <c r="D127" s="6"/>
      <c r="E127" s="6"/>
      <c r="F127" s="6"/>
      <c r="G127" s="3"/>
      <c r="H127" s="3"/>
      <c r="I127" s="6"/>
      <c r="J127" s="3"/>
      <c r="K127" s="6"/>
      <c r="L127" s="3"/>
      <c r="M127" s="6"/>
      <c r="N127" s="3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</row>
    <row r="128" spans="1:56">
      <c r="A128" s="6"/>
      <c r="B128" s="3"/>
      <c r="C128" s="3"/>
      <c r="D128" s="3"/>
      <c r="E128" s="3"/>
      <c r="F128" s="3"/>
      <c r="G128" s="3"/>
      <c r="H128" s="3"/>
      <c r="I128" s="6"/>
      <c r="J128" s="3"/>
      <c r="K128" s="6"/>
      <c r="L128" s="3"/>
      <c r="M128" s="6"/>
      <c r="N128" s="3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</row>
    <row r="129" spans="1:56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</row>
    <row r="130" spans="1:56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</row>
    <row r="131" spans="1:56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</row>
    <row r="132" spans="1:56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</row>
    <row r="133" spans="1:56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</row>
    <row r="134" spans="1:56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</row>
    <row r="135" spans="1:56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5"/>
      <c r="W135" s="5"/>
      <c r="X135" s="5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</row>
    <row r="136" spans="1:5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5"/>
      <c r="W136" s="5"/>
      <c r="X136" s="5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</row>
    <row r="137" spans="1:56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5"/>
      <c r="W137" s="5"/>
      <c r="X137" s="5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</row>
    <row r="138" spans="1:56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5"/>
      <c r="W138" s="5"/>
      <c r="X138" s="5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</row>
    <row r="139" spans="1:56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5"/>
      <c r="W139" s="5"/>
      <c r="X139" s="5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</row>
    <row r="140" spans="1:56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5"/>
      <c r="W140" s="5"/>
      <c r="X140" s="5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</row>
    <row r="141" spans="1:56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5"/>
      <c r="W141" s="5"/>
      <c r="X141" s="5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</row>
    <row r="142" spans="1:56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5"/>
      <c r="W142" s="5"/>
      <c r="X142" s="5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</row>
    <row r="143" spans="1:56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5"/>
      <c r="W143" s="5"/>
      <c r="X143" s="5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</row>
    <row r="144" spans="1:56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5"/>
      <c r="W144" s="5"/>
      <c r="X144" s="5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</row>
    <row r="145" spans="1:56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5"/>
      <c r="W145" s="5"/>
      <c r="X145" s="5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</row>
    <row r="146" spans="1:5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5"/>
      <c r="W146" s="5"/>
      <c r="X146" s="5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</row>
    <row r="147" spans="1:56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5"/>
      <c r="W147" s="5"/>
      <c r="X147" s="5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</row>
    <row r="148" spans="1:56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5"/>
      <c r="W148" s="5"/>
      <c r="X148" s="5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</row>
    <row r="149" spans="1:56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5"/>
      <c r="W149" s="5"/>
      <c r="X149" s="5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</row>
    <row r="150" spans="1:56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5"/>
      <c r="W150" s="5"/>
      <c r="X150" s="5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</row>
    <row r="151" spans="1:56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5"/>
      <c r="W151" s="5"/>
      <c r="X151" s="5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</row>
    <row r="152" spans="1:56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5"/>
      <c r="W152" s="5"/>
      <c r="X152" s="5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</row>
    <row r="153" spans="1:56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5"/>
      <c r="W153" s="5"/>
      <c r="X153" s="5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</row>
    <row r="154" spans="1:56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5"/>
      <c r="W154" s="5"/>
      <c r="X154" s="5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</row>
    <row r="155" spans="1:56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5"/>
      <c r="W155" s="5"/>
      <c r="X155" s="5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</row>
    <row r="156" spans="1: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5"/>
      <c r="W156" s="5"/>
      <c r="X156" s="5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</row>
    <row r="157" spans="1:56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5"/>
      <c r="W157" s="5"/>
      <c r="X157" s="5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</row>
    <row r="158" spans="1:56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5"/>
      <c r="W158" s="5"/>
      <c r="X158" s="5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</row>
    <row r="159" spans="1:56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5"/>
      <c r="W159" s="5"/>
      <c r="X159" s="5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</row>
    <row r="160" spans="1:56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5"/>
      <c r="W160" s="5"/>
      <c r="X160" s="5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</row>
    <row r="161" spans="1:56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5"/>
      <c r="W161" s="5"/>
      <c r="X161" s="5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</row>
    <row r="162" spans="1:56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5"/>
      <c r="W162" s="5"/>
      <c r="X162" s="5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</row>
    <row r="163" spans="1:56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5"/>
      <c r="W163" s="5"/>
      <c r="X163" s="5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</row>
    <row r="164" spans="1:56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5"/>
      <c r="W164" s="5"/>
      <c r="X164" s="5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</row>
    <row r="165" spans="1:56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5"/>
      <c r="W165" s="5"/>
      <c r="X165" s="5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</row>
    <row r="166" spans="1:5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5"/>
      <c r="W166" s="5"/>
      <c r="X166" s="5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</row>
    <row r="167" spans="1:56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5"/>
      <c r="W167" s="5"/>
      <c r="X167" s="5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</row>
    <row r="168" spans="1:56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5"/>
      <c r="W168" s="5"/>
      <c r="X168" s="5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</row>
    <row r="169" spans="1:56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5"/>
      <c r="W169" s="5"/>
      <c r="X169" s="5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</row>
    <row r="170" spans="1:56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5"/>
      <c r="W170" s="5"/>
      <c r="X170" s="5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</row>
    <row r="171" spans="1:56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5"/>
      <c r="W171" s="5"/>
      <c r="X171" s="5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</row>
    <row r="172" spans="1:56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5"/>
      <c r="W172" s="5"/>
      <c r="X172" s="5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</row>
    <row r="173" spans="1:56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5"/>
      <c r="W173" s="5"/>
      <c r="X173" s="5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</row>
    <row r="174" spans="1:56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5"/>
      <c r="W174" s="5"/>
      <c r="X174" s="5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</row>
    <row r="175" spans="1:56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5"/>
      <c r="W175" s="5"/>
      <c r="X175" s="5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</row>
    <row r="176" spans="1:5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5"/>
      <c r="W176" s="5"/>
      <c r="X176" s="5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</row>
    <row r="177" spans="1:56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5"/>
      <c r="W177" s="5"/>
      <c r="X177" s="5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</row>
    <row r="178" spans="1:56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5"/>
      <c r="W178" s="5"/>
      <c r="X178" s="5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</row>
    <row r="179" spans="1:56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5"/>
      <c r="W179" s="5"/>
      <c r="X179" s="5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</row>
    <row r="180" spans="1:56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5"/>
      <c r="W180" s="5"/>
      <c r="X180" s="5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</row>
    <row r="181" spans="1:56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5"/>
      <c r="W181" s="5"/>
      <c r="X181" s="5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</row>
    <row r="182" spans="1:56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5"/>
      <c r="W182" s="5"/>
      <c r="X182" s="5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</row>
    <row r="183" spans="1:56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5"/>
      <c r="W183" s="5"/>
      <c r="X183" s="5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</row>
    <row r="184" spans="1:56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5"/>
      <c r="W184" s="5"/>
      <c r="X184" s="5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</row>
    <row r="185" spans="1:56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5"/>
      <c r="W185" s="5"/>
      <c r="X185" s="5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</row>
    <row r="186" spans="1:5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5"/>
      <c r="W186" s="5"/>
      <c r="X186" s="5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</row>
    <row r="187" spans="1:56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5"/>
      <c r="W187" s="5"/>
      <c r="X187" s="5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</row>
    <row r="188" spans="1:56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5"/>
      <c r="W188" s="5"/>
      <c r="X188" s="5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</row>
    <row r="189" spans="1:56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5"/>
      <c r="W189" s="5"/>
      <c r="X189" s="5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</row>
    <row r="190" spans="1:56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5"/>
      <c r="W190" s="5"/>
      <c r="X190" s="5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</row>
    <row r="191" spans="1:56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5"/>
      <c r="W191" s="5"/>
      <c r="X191" s="5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</row>
    <row r="192" spans="1:56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5"/>
      <c r="W192" s="5"/>
      <c r="X192" s="5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</row>
    <row r="193" spans="1:56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5"/>
      <c r="W193" s="5"/>
      <c r="X193" s="5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</row>
    <row r="194" spans="1:56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5"/>
      <c r="W194" s="5"/>
      <c r="X194" s="5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</row>
    <row r="195" spans="1:56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5"/>
      <c r="W195" s="5"/>
      <c r="X195" s="5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</row>
    <row r="196" spans="1:5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5"/>
      <c r="W196" s="5"/>
      <c r="X196" s="5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</row>
    <row r="197" spans="1:56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5"/>
      <c r="W197" s="5"/>
      <c r="X197" s="5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</row>
    <row r="198" spans="1:56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5"/>
      <c r="W198" s="5"/>
      <c r="X198" s="5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</row>
    <row r="199" spans="1:56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5"/>
      <c r="W199" s="5"/>
      <c r="X199" s="5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</row>
    <row r="200" spans="1:56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5"/>
      <c r="W200" s="5"/>
      <c r="X200" s="5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</row>
    <row r="201" spans="1:56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5"/>
      <c r="W201" s="5"/>
      <c r="X201" s="5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</row>
    <row r="202" spans="1:56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5"/>
      <c r="W202" s="5"/>
      <c r="X202" s="5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</row>
    <row r="203" spans="1:56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5"/>
      <c r="W203" s="5"/>
      <c r="X203" s="5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</row>
    <row r="204" spans="1:56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5"/>
      <c r="W204" s="5"/>
      <c r="X204" s="5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</row>
    <row r="205" spans="1:56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5"/>
      <c r="W205" s="5"/>
      <c r="X205" s="5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</row>
    <row r="206" spans="1:5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5"/>
      <c r="W206" s="5"/>
      <c r="X206" s="5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</row>
    <row r="207" spans="1:56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5"/>
      <c r="W207" s="5"/>
      <c r="X207" s="5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</row>
    <row r="208" spans="1:56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5"/>
      <c r="W208" s="5"/>
      <c r="X208" s="5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</row>
    <row r="209" spans="1:56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5"/>
      <c r="W209" s="5"/>
      <c r="X209" s="5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</row>
    <row r="210" spans="1:56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5"/>
      <c r="W210" s="5"/>
      <c r="X210" s="5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</row>
    <row r="211" spans="1:56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5"/>
      <c r="W211" s="5"/>
      <c r="X211" s="5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</row>
    <row r="212" spans="1:56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5"/>
      <c r="W212" s="5"/>
      <c r="X212" s="5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</row>
    <row r="213" spans="1:56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5"/>
      <c r="W213" s="5"/>
      <c r="X213" s="5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</row>
    <row r="214" spans="1:56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5"/>
      <c r="W214" s="5"/>
      <c r="X214" s="5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</row>
    <row r="215" spans="1:56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5"/>
      <c r="W215" s="5"/>
      <c r="X215" s="5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</row>
    <row r="216" spans="1:5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5"/>
      <c r="W216" s="5"/>
      <c r="X216" s="5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</row>
    <row r="217" spans="1:56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5"/>
      <c r="W217" s="5"/>
      <c r="X217" s="5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</row>
    <row r="218" spans="1:56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5"/>
      <c r="W218" s="5"/>
      <c r="X218" s="5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</row>
    <row r="219" spans="1:56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5"/>
      <c r="W219" s="5"/>
      <c r="X219" s="5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</row>
    <row r="220" spans="1:56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5"/>
      <c r="W220" s="5"/>
      <c r="X220" s="5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K108"/>
  <sheetViews>
    <sheetView workbookViewId="0">
      <pane ySplit="2" topLeftCell="A3" activePane="bottomLeft" state="frozen"/>
      <selection pane="bottomLeft" activeCell="A76" sqref="A76"/>
    </sheetView>
  </sheetViews>
  <sheetFormatPr baseColWidth="10" defaultRowHeight="15" x14ac:dyDescent="0"/>
  <cols>
    <col min="1" max="1" width="61.83203125" customWidth="1"/>
    <col min="22" max="22" width="0" hidden="1" customWidth="1"/>
    <col min="43" max="43" width="0" hidden="1" customWidth="1"/>
  </cols>
  <sheetData>
    <row r="1" spans="1:63">
      <c r="B1" s="12" t="s">
        <v>109</v>
      </c>
      <c r="C1" s="12"/>
      <c r="D1" s="12"/>
      <c r="E1" s="12"/>
      <c r="F1" s="12" t="s">
        <v>110</v>
      </c>
      <c r="G1" s="12"/>
      <c r="H1" s="12"/>
      <c r="I1" s="12"/>
      <c r="J1" s="12" t="s">
        <v>111</v>
      </c>
      <c r="K1" s="12"/>
      <c r="L1" s="12"/>
      <c r="M1" s="12"/>
      <c r="N1" s="12" t="s">
        <v>112</v>
      </c>
      <c r="O1" s="12"/>
      <c r="P1" s="12"/>
      <c r="Q1" s="12"/>
      <c r="R1" s="12" t="s">
        <v>113</v>
      </c>
      <c r="S1" s="12"/>
      <c r="T1" s="12"/>
      <c r="U1" s="12"/>
      <c r="W1" s="12" t="s">
        <v>109</v>
      </c>
      <c r="X1" s="12"/>
      <c r="Y1" s="12"/>
      <c r="Z1" s="12"/>
      <c r="AA1" s="12" t="s">
        <v>115</v>
      </c>
      <c r="AB1" s="12"/>
      <c r="AC1" s="12"/>
      <c r="AD1" s="12"/>
      <c r="AE1" s="12" t="s">
        <v>116</v>
      </c>
      <c r="AF1" s="12"/>
      <c r="AG1" s="12"/>
      <c r="AH1" s="12"/>
      <c r="AI1" s="12" t="s">
        <v>117</v>
      </c>
      <c r="AJ1" s="12"/>
      <c r="AK1" s="12"/>
      <c r="AL1" s="12"/>
      <c r="AM1" s="12" t="s">
        <v>118</v>
      </c>
      <c r="AN1" s="12"/>
      <c r="AO1" s="12"/>
      <c r="AP1" s="12"/>
      <c r="AR1" s="12" t="s">
        <v>110</v>
      </c>
      <c r="AS1" s="12"/>
      <c r="AT1" s="12"/>
      <c r="AU1" s="12"/>
      <c r="AV1" s="12" t="s">
        <v>115</v>
      </c>
      <c r="AW1" s="12"/>
      <c r="AX1" s="12"/>
      <c r="AY1" s="12"/>
      <c r="AZ1" s="12" t="s">
        <v>119</v>
      </c>
      <c r="BA1" s="12"/>
      <c r="BB1" s="12"/>
      <c r="BC1" s="12"/>
      <c r="BD1" s="12" t="s">
        <v>120</v>
      </c>
      <c r="BE1" s="12"/>
      <c r="BF1" s="12"/>
      <c r="BG1" s="12"/>
      <c r="BH1" s="12" t="s">
        <v>121</v>
      </c>
      <c r="BI1" s="12"/>
      <c r="BJ1" s="12"/>
      <c r="BK1" s="12"/>
    </row>
    <row r="2" spans="1:63">
      <c r="A2" t="s">
        <v>114</v>
      </c>
      <c r="B2" t="s">
        <v>105</v>
      </c>
      <c r="C2" t="s">
        <v>106</v>
      </c>
      <c r="D2" t="s">
        <v>107</v>
      </c>
      <c r="E2" t="s">
        <v>108</v>
      </c>
      <c r="F2" t="s">
        <v>105</v>
      </c>
      <c r="G2" t="s">
        <v>106</v>
      </c>
      <c r="H2" t="s">
        <v>107</v>
      </c>
      <c r="I2" t="s">
        <v>108</v>
      </c>
      <c r="J2" t="s">
        <v>105</v>
      </c>
      <c r="K2" t="s">
        <v>106</v>
      </c>
      <c r="L2" t="s">
        <v>107</v>
      </c>
      <c r="M2" t="s">
        <v>108</v>
      </c>
      <c r="N2" t="s">
        <v>105</v>
      </c>
      <c r="O2" t="s">
        <v>106</v>
      </c>
      <c r="P2" t="s">
        <v>107</v>
      </c>
      <c r="Q2" t="s">
        <v>108</v>
      </c>
      <c r="R2" t="s">
        <v>105</v>
      </c>
      <c r="S2" t="s">
        <v>106</v>
      </c>
      <c r="T2" t="s">
        <v>107</v>
      </c>
      <c r="U2" t="s">
        <v>108</v>
      </c>
      <c r="W2" t="s">
        <v>105</v>
      </c>
      <c r="X2" t="s">
        <v>106</v>
      </c>
      <c r="Y2" t="s">
        <v>107</v>
      </c>
      <c r="Z2" t="s">
        <v>108</v>
      </c>
      <c r="AA2" t="s">
        <v>105</v>
      </c>
      <c r="AB2" t="s">
        <v>106</v>
      </c>
      <c r="AC2" t="s">
        <v>107</v>
      </c>
      <c r="AD2" t="s">
        <v>108</v>
      </c>
      <c r="AE2" t="s">
        <v>105</v>
      </c>
      <c r="AF2" t="s">
        <v>106</v>
      </c>
      <c r="AG2" t="s">
        <v>107</v>
      </c>
      <c r="AH2" t="s">
        <v>108</v>
      </c>
      <c r="AI2" t="s">
        <v>105</v>
      </c>
      <c r="AJ2" t="s">
        <v>106</v>
      </c>
      <c r="AK2" t="s">
        <v>107</v>
      </c>
      <c r="AL2" t="s">
        <v>108</v>
      </c>
      <c r="AM2" t="s">
        <v>105</v>
      </c>
      <c r="AN2" t="s">
        <v>106</v>
      </c>
      <c r="AO2" t="s">
        <v>107</v>
      </c>
      <c r="AP2" t="s">
        <v>108</v>
      </c>
      <c r="AR2" t="s">
        <v>105</v>
      </c>
      <c r="AS2" t="s">
        <v>106</v>
      </c>
      <c r="AT2" t="s">
        <v>107</v>
      </c>
      <c r="AU2" t="s">
        <v>108</v>
      </c>
      <c r="AV2" t="s">
        <v>105</v>
      </c>
      <c r="AW2" t="s">
        <v>106</v>
      </c>
      <c r="AX2" t="s">
        <v>107</v>
      </c>
      <c r="AY2" t="s">
        <v>108</v>
      </c>
      <c r="AZ2" t="s">
        <v>105</v>
      </c>
      <c r="BA2" t="s">
        <v>106</v>
      </c>
      <c r="BB2" t="s">
        <v>107</v>
      </c>
      <c r="BC2" t="s">
        <v>108</v>
      </c>
      <c r="BD2" t="s">
        <v>105</v>
      </c>
      <c r="BE2" t="s">
        <v>106</v>
      </c>
      <c r="BF2" t="s">
        <v>107</v>
      </c>
      <c r="BG2" t="s">
        <v>108</v>
      </c>
      <c r="BH2" t="s">
        <v>105</v>
      </c>
      <c r="BI2" t="s">
        <v>106</v>
      </c>
      <c r="BJ2" t="s">
        <v>107</v>
      </c>
      <c r="BK2" t="s">
        <v>108</v>
      </c>
    </row>
    <row r="3" spans="1:63">
      <c r="A3" t="s">
        <v>32</v>
      </c>
      <c r="B3">
        <v>14</v>
      </c>
      <c r="C3">
        <v>0</v>
      </c>
      <c r="D3">
        <v>0</v>
      </c>
      <c r="E3">
        <v>0</v>
      </c>
      <c r="F3">
        <v>14</v>
      </c>
      <c r="G3">
        <v>0</v>
      </c>
      <c r="H3">
        <v>0</v>
      </c>
      <c r="I3">
        <v>0</v>
      </c>
      <c r="J3">
        <v>14</v>
      </c>
      <c r="K3">
        <v>0</v>
      </c>
      <c r="L3">
        <v>0</v>
      </c>
      <c r="M3">
        <v>0</v>
      </c>
      <c r="N3">
        <v>14</v>
      </c>
      <c r="O3">
        <v>0</v>
      </c>
      <c r="P3">
        <v>0</v>
      </c>
      <c r="Q3">
        <v>0</v>
      </c>
      <c r="R3">
        <v>14</v>
      </c>
      <c r="S3">
        <v>0</v>
      </c>
      <c r="T3">
        <v>0</v>
      </c>
      <c r="U3">
        <v>0</v>
      </c>
      <c r="V3" t="s">
        <v>32</v>
      </c>
      <c r="W3">
        <v>14</v>
      </c>
      <c r="X3">
        <v>0</v>
      </c>
      <c r="Y3">
        <v>0</v>
      </c>
      <c r="Z3">
        <v>0</v>
      </c>
      <c r="AA3">
        <v>14</v>
      </c>
      <c r="AB3">
        <v>0</v>
      </c>
      <c r="AC3">
        <v>0</v>
      </c>
      <c r="AD3">
        <v>0</v>
      </c>
      <c r="AE3">
        <v>14</v>
      </c>
      <c r="AF3">
        <v>0</v>
      </c>
      <c r="AG3">
        <v>0</v>
      </c>
      <c r="AH3">
        <v>0</v>
      </c>
      <c r="AI3">
        <v>14</v>
      </c>
      <c r="AJ3">
        <v>0</v>
      </c>
      <c r="AK3">
        <v>0</v>
      </c>
      <c r="AL3">
        <v>0</v>
      </c>
      <c r="AM3">
        <v>14</v>
      </c>
      <c r="AN3">
        <v>0</v>
      </c>
      <c r="AO3">
        <v>0</v>
      </c>
      <c r="AP3">
        <v>0</v>
      </c>
      <c r="AQ3" t="s">
        <v>32</v>
      </c>
      <c r="AR3">
        <v>14</v>
      </c>
      <c r="AS3">
        <v>0</v>
      </c>
      <c r="AT3">
        <v>0</v>
      </c>
      <c r="AU3">
        <v>0</v>
      </c>
      <c r="AV3">
        <v>14</v>
      </c>
      <c r="AW3">
        <v>0</v>
      </c>
      <c r="AX3">
        <v>0</v>
      </c>
      <c r="AY3">
        <v>0</v>
      </c>
      <c r="AZ3">
        <v>14</v>
      </c>
      <c r="BA3">
        <v>0</v>
      </c>
      <c r="BB3">
        <v>0</v>
      </c>
      <c r="BC3">
        <v>0</v>
      </c>
      <c r="BD3">
        <v>14</v>
      </c>
      <c r="BE3">
        <v>0</v>
      </c>
      <c r="BF3">
        <v>0</v>
      </c>
      <c r="BG3">
        <v>0</v>
      </c>
      <c r="BH3">
        <v>14</v>
      </c>
      <c r="BI3">
        <v>0</v>
      </c>
      <c r="BJ3">
        <v>0</v>
      </c>
      <c r="BK3">
        <v>0</v>
      </c>
    </row>
    <row r="4" spans="1:63">
      <c r="A4" t="s">
        <v>58</v>
      </c>
      <c r="B4">
        <v>14</v>
      </c>
      <c r="C4">
        <v>0</v>
      </c>
      <c r="D4">
        <v>0</v>
      </c>
      <c r="E4">
        <v>0</v>
      </c>
      <c r="F4">
        <v>14</v>
      </c>
      <c r="G4">
        <v>0</v>
      </c>
      <c r="H4">
        <v>0</v>
      </c>
      <c r="I4">
        <v>0</v>
      </c>
      <c r="J4">
        <v>14</v>
      </c>
      <c r="K4">
        <v>0</v>
      </c>
      <c r="L4">
        <v>0</v>
      </c>
      <c r="M4">
        <v>0</v>
      </c>
      <c r="N4">
        <v>14</v>
      </c>
      <c r="O4">
        <v>0</v>
      </c>
      <c r="P4">
        <v>0</v>
      </c>
      <c r="Q4">
        <v>0</v>
      </c>
      <c r="R4">
        <v>14</v>
      </c>
      <c r="S4">
        <v>0</v>
      </c>
      <c r="T4">
        <v>0</v>
      </c>
      <c r="U4">
        <v>0</v>
      </c>
      <c r="V4" t="s">
        <v>58</v>
      </c>
      <c r="W4">
        <v>14</v>
      </c>
      <c r="X4">
        <v>0</v>
      </c>
      <c r="Y4">
        <v>0</v>
      </c>
      <c r="Z4">
        <v>0</v>
      </c>
      <c r="AA4">
        <v>14</v>
      </c>
      <c r="AB4">
        <v>0</v>
      </c>
      <c r="AC4">
        <v>0</v>
      </c>
      <c r="AD4">
        <v>0</v>
      </c>
      <c r="AE4">
        <v>14</v>
      </c>
      <c r="AF4">
        <v>0</v>
      </c>
      <c r="AG4">
        <v>0</v>
      </c>
      <c r="AH4">
        <v>0</v>
      </c>
      <c r="AI4">
        <v>14</v>
      </c>
      <c r="AJ4">
        <v>0</v>
      </c>
      <c r="AK4">
        <v>0</v>
      </c>
      <c r="AL4">
        <v>0</v>
      </c>
      <c r="AM4">
        <v>14</v>
      </c>
      <c r="AN4">
        <v>0</v>
      </c>
      <c r="AO4">
        <v>0</v>
      </c>
      <c r="AP4">
        <v>0</v>
      </c>
      <c r="AQ4" t="s">
        <v>58</v>
      </c>
      <c r="AR4">
        <v>14</v>
      </c>
      <c r="AS4">
        <v>0</v>
      </c>
      <c r="AT4">
        <v>0</v>
      </c>
      <c r="AU4">
        <v>0</v>
      </c>
      <c r="AV4">
        <v>14</v>
      </c>
      <c r="AW4">
        <v>0</v>
      </c>
      <c r="AX4">
        <v>0</v>
      </c>
      <c r="AY4">
        <v>0</v>
      </c>
      <c r="AZ4">
        <v>14</v>
      </c>
      <c r="BA4">
        <v>0</v>
      </c>
      <c r="BB4">
        <v>0</v>
      </c>
      <c r="BC4">
        <v>0</v>
      </c>
      <c r="BD4">
        <v>14</v>
      </c>
      <c r="BE4">
        <v>0</v>
      </c>
      <c r="BF4">
        <v>0</v>
      </c>
      <c r="BG4">
        <v>0</v>
      </c>
      <c r="BH4">
        <v>14</v>
      </c>
      <c r="BI4">
        <v>0</v>
      </c>
      <c r="BJ4">
        <v>0</v>
      </c>
      <c r="BK4">
        <v>0</v>
      </c>
    </row>
    <row r="5" spans="1:63">
      <c r="A5" t="s">
        <v>14</v>
      </c>
      <c r="B5">
        <v>18</v>
      </c>
      <c r="C5">
        <v>0</v>
      </c>
      <c r="D5">
        <v>0</v>
      </c>
      <c r="E5">
        <v>0</v>
      </c>
      <c r="F5">
        <v>18</v>
      </c>
      <c r="G5">
        <v>0</v>
      </c>
      <c r="H5">
        <v>0</v>
      </c>
      <c r="I5">
        <v>0</v>
      </c>
      <c r="J5">
        <v>18</v>
      </c>
      <c r="K5">
        <v>0</v>
      </c>
      <c r="L5">
        <v>0</v>
      </c>
      <c r="M5">
        <v>0</v>
      </c>
      <c r="N5">
        <v>18</v>
      </c>
      <c r="O5">
        <v>0</v>
      </c>
      <c r="P5">
        <v>0</v>
      </c>
      <c r="Q5">
        <v>0</v>
      </c>
      <c r="R5">
        <v>18</v>
      </c>
      <c r="S5">
        <v>0</v>
      </c>
      <c r="T5">
        <v>0</v>
      </c>
      <c r="U5">
        <v>0</v>
      </c>
      <c r="V5" t="s">
        <v>14</v>
      </c>
      <c r="W5">
        <v>18</v>
      </c>
      <c r="X5">
        <v>0</v>
      </c>
      <c r="Y5">
        <v>0</v>
      </c>
      <c r="Z5">
        <v>0</v>
      </c>
      <c r="AA5">
        <v>18</v>
      </c>
      <c r="AB5">
        <v>0</v>
      </c>
      <c r="AC5">
        <v>0</v>
      </c>
      <c r="AD5">
        <v>0</v>
      </c>
      <c r="AE5">
        <v>18</v>
      </c>
      <c r="AF5">
        <v>0</v>
      </c>
      <c r="AG5">
        <v>0</v>
      </c>
      <c r="AH5">
        <v>0</v>
      </c>
      <c r="AI5">
        <v>18</v>
      </c>
      <c r="AJ5">
        <v>0</v>
      </c>
      <c r="AK5">
        <v>0</v>
      </c>
      <c r="AL5">
        <v>0</v>
      </c>
      <c r="AM5">
        <v>18</v>
      </c>
      <c r="AN5">
        <v>0</v>
      </c>
      <c r="AO5">
        <v>0</v>
      </c>
      <c r="AP5">
        <v>0</v>
      </c>
      <c r="AQ5" t="s">
        <v>14</v>
      </c>
      <c r="AR5">
        <v>18</v>
      </c>
      <c r="AS5">
        <v>0</v>
      </c>
      <c r="AT5">
        <v>0</v>
      </c>
      <c r="AU5">
        <v>0</v>
      </c>
      <c r="AV5">
        <v>18</v>
      </c>
      <c r="AW5">
        <v>0</v>
      </c>
      <c r="AX5">
        <v>0</v>
      </c>
      <c r="AY5">
        <v>0</v>
      </c>
      <c r="AZ5">
        <v>18</v>
      </c>
      <c r="BA5">
        <v>0</v>
      </c>
      <c r="BB5">
        <v>0</v>
      </c>
      <c r="BC5">
        <v>0</v>
      </c>
      <c r="BD5">
        <v>18</v>
      </c>
      <c r="BE5">
        <v>0</v>
      </c>
      <c r="BF5">
        <v>0</v>
      </c>
      <c r="BG5">
        <v>0</v>
      </c>
      <c r="BH5">
        <v>18</v>
      </c>
      <c r="BI5">
        <v>0</v>
      </c>
      <c r="BJ5">
        <v>0</v>
      </c>
      <c r="BK5">
        <v>0</v>
      </c>
    </row>
    <row r="6" spans="1:63">
      <c r="A6" t="s">
        <v>39</v>
      </c>
      <c r="B6">
        <v>60</v>
      </c>
      <c r="C6">
        <v>0</v>
      </c>
      <c r="D6">
        <v>0</v>
      </c>
      <c r="E6">
        <v>0</v>
      </c>
      <c r="F6">
        <v>60</v>
      </c>
      <c r="G6">
        <v>0</v>
      </c>
      <c r="H6">
        <v>0</v>
      </c>
      <c r="I6">
        <v>0</v>
      </c>
      <c r="J6">
        <v>60</v>
      </c>
      <c r="K6">
        <v>0</v>
      </c>
      <c r="L6">
        <v>0</v>
      </c>
      <c r="M6">
        <v>0</v>
      </c>
      <c r="N6">
        <v>60</v>
      </c>
      <c r="O6">
        <v>0</v>
      </c>
      <c r="P6">
        <v>0</v>
      </c>
      <c r="Q6">
        <v>0</v>
      </c>
      <c r="R6">
        <v>60</v>
      </c>
      <c r="S6">
        <v>0</v>
      </c>
      <c r="T6">
        <v>0</v>
      </c>
      <c r="U6">
        <v>0</v>
      </c>
      <c r="V6" t="s">
        <v>39</v>
      </c>
      <c r="W6">
        <v>60</v>
      </c>
      <c r="X6">
        <v>0</v>
      </c>
      <c r="Y6">
        <v>0</v>
      </c>
      <c r="Z6">
        <v>0</v>
      </c>
      <c r="AA6">
        <v>60</v>
      </c>
      <c r="AB6">
        <v>0</v>
      </c>
      <c r="AC6">
        <v>0</v>
      </c>
      <c r="AD6">
        <v>0</v>
      </c>
      <c r="AE6">
        <v>60</v>
      </c>
      <c r="AF6">
        <v>0</v>
      </c>
      <c r="AG6">
        <v>0</v>
      </c>
      <c r="AH6">
        <v>0</v>
      </c>
      <c r="AI6">
        <v>60</v>
      </c>
      <c r="AJ6">
        <v>0</v>
      </c>
      <c r="AK6">
        <v>0</v>
      </c>
      <c r="AL6">
        <v>0</v>
      </c>
      <c r="AM6">
        <v>60</v>
      </c>
      <c r="AN6">
        <v>0</v>
      </c>
      <c r="AO6">
        <v>0</v>
      </c>
      <c r="AP6">
        <v>0</v>
      </c>
      <c r="AQ6" t="s">
        <v>39</v>
      </c>
      <c r="AR6">
        <v>60</v>
      </c>
      <c r="AS6">
        <v>0</v>
      </c>
      <c r="AT6">
        <v>0</v>
      </c>
      <c r="AU6">
        <v>0</v>
      </c>
      <c r="AV6">
        <v>60</v>
      </c>
      <c r="AW6">
        <v>0</v>
      </c>
      <c r="AX6">
        <v>0</v>
      </c>
      <c r="AY6">
        <v>0</v>
      </c>
      <c r="AZ6">
        <v>60</v>
      </c>
      <c r="BA6">
        <v>0</v>
      </c>
      <c r="BB6">
        <v>0</v>
      </c>
      <c r="BC6">
        <v>0</v>
      </c>
      <c r="BD6">
        <v>60</v>
      </c>
      <c r="BE6">
        <v>0</v>
      </c>
      <c r="BF6">
        <v>0</v>
      </c>
      <c r="BG6">
        <v>0</v>
      </c>
      <c r="BH6">
        <v>60</v>
      </c>
      <c r="BI6">
        <v>0</v>
      </c>
      <c r="BJ6">
        <v>0</v>
      </c>
      <c r="BK6">
        <v>0</v>
      </c>
    </row>
    <row r="7" spans="1:63">
      <c r="A7" t="s">
        <v>51</v>
      </c>
      <c r="B7">
        <v>11</v>
      </c>
      <c r="C7">
        <v>0</v>
      </c>
      <c r="D7">
        <v>0</v>
      </c>
      <c r="E7">
        <v>0</v>
      </c>
      <c r="F7">
        <v>11</v>
      </c>
      <c r="G7">
        <v>0</v>
      </c>
      <c r="H7">
        <v>0</v>
      </c>
      <c r="I7">
        <v>0</v>
      </c>
      <c r="J7">
        <v>11</v>
      </c>
      <c r="K7">
        <v>0</v>
      </c>
      <c r="L7">
        <v>0</v>
      </c>
      <c r="M7">
        <v>0</v>
      </c>
      <c r="N7">
        <v>11</v>
      </c>
      <c r="O7">
        <v>0</v>
      </c>
      <c r="P7">
        <v>0</v>
      </c>
      <c r="Q7">
        <v>0</v>
      </c>
      <c r="R7">
        <v>11</v>
      </c>
      <c r="S7">
        <v>0</v>
      </c>
      <c r="T7">
        <v>0</v>
      </c>
      <c r="U7">
        <v>0</v>
      </c>
      <c r="V7" t="s">
        <v>51</v>
      </c>
      <c r="W7">
        <v>11</v>
      </c>
      <c r="X7">
        <v>0</v>
      </c>
      <c r="Y7">
        <v>0</v>
      </c>
      <c r="Z7">
        <v>0</v>
      </c>
      <c r="AA7">
        <v>11</v>
      </c>
      <c r="AB7">
        <v>0</v>
      </c>
      <c r="AC7">
        <v>0</v>
      </c>
      <c r="AD7">
        <v>0</v>
      </c>
      <c r="AE7">
        <v>11</v>
      </c>
      <c r="AF7">
        <v>0</v>
      </c>
      <c r="AG7">
        <v>0</v>
      </c>
      <c r="AH7">
        <v>0</v>
      </c>
      <c r="AI7">
        <v>11</v>
      </c>
      <c r="AJ7">
        <v>0</v>
      </c>
      <c r="AK7">
        <v>0</v>
      </c>
      <c r="AL7">
        <v>0</v>
      </c>
      <c r="AM7">
        <v>11</v>
      </c>
      <c r="AN7">
        <v>0</v>
      </c>
      <c r="AO7">
        <v>0</v>
      </c>
      <c r="AP7">
        <v>0</v>
      </c>
      <c r="AQ7" t="s">
        <v>51</v>
      </c>
      <c r="AR7">
        <v>11</v>
      </c>
      <c r="AS7">
        <v>0</v>
      </c>
      <c r="AT7">
        <v>0</v>
      </c>
      <c r="AU7">
        <v>0</v>
      </c>
      <c r="AV7">
        <v>11</v>
      </c>
      <c r="AW7">
        <v>0</v>
      </c>
      <c r="AX7">
        <v>0</v>
      </c>
      <c r="AY7">
        <v>0</v>
      </c>
      <c r="AZ7">
        <v>11</v>
      </c>
      <c r="BA7">
        <v>0</v>
      </c>
      <c r="BB7">
        <v>0</v>
      </c>
      <c r="BC7">
        <v>0</v>
      </c>
      <c r="BD7">
        <v>11</v>
      </c>
      <c r="BE7">
        <v>0</v>
      </c>
      <c r="BF7">
        <v>0</v>
      </c>
      <c r="BG7">
        <v>0</v>
      </c>
      <c r="BH7">
        <v>11</v>
      </c>
      <c r="BI7">
        <v>0</v>
      </c>
      <c r="BJ7">
        <v>0</v>
      </c>
      <c r="BK7">
        <v>0</v>
      </c>
    </row>
    <row r="8" spans="1:63">
      <c r="A8" t="s">
        <v>55</v>
      </c>
      <c r="B8">
        <v>33</v>
      </c>
      <c r="C8">
        <v>0</v>
      </c>
      <c r="D8">
        <v>0</v>
      </c>
      <c r="E8">
        <v>0</v>
      </c>
      <c r="F8">
        <v>33</v>
      </c>
      <c r="G8">
        <v>0</v>
      </c>
      <c r="H8">
        <v>0</v>
      </c>
      <c r="I8">
        <v>0</v>
      </c>
      <c r="J8">
        <v>33</v>
      </c>
      <c r="K8">
        <v>0</v>
      </c>
      <c r="L8">
        <v>0</v>
      </c>
      <c r="M8">
        <v>0</v>
      </c>
      <c r="N8">
        <v>33</v>
      </c>
      <c r="O8">
        <v>0</v>
      </c>
      <c r="P8">
        <v>0</v>
      </c>
      <c r="Q8">
        <v>0</v>
      </c>
      <c r="R8">
        <v>33</v>
      </c>
      <c r="S8">
        <v>0</v>
      </c>
      <c r="T8">
        <v>0</v>
      </c>
      <c r="U8">
        <v>0</v>
      </c>
      <c r="V8" t="s">
        <v>55</v>
      </c>
      <c r="W8">
        <v>33</v>
      </c>
      <c r="X8">
        <v>0</v>
      </c>
      <c r="Y8">
        <v>0</v>
      </c>
      <c r="Z8">
        <v>0</v>
      </c>
      <c r="AA8">
        <v>33</v>
      </c>
      <c r="AB8">
        <v>0</v>
      </c>
      <c r="AC8">
        <v>0</v>
      </c>
      <c r="AD8">
        <v>0</v>
      </c>
      <c r="AE8">
        <v>33</v>
      </c>
      <c r="AF8">
        <v>0</v>
      </c>
      <c r="AG8">
        <v>0</v>
      </c>
      <c r="AH8">
        <v>0</v>
      </c>
      <c r="AI8">
        <v>33</v>
      </c>
      <c r="AJ8">
        <v>0</v>
      </c>
      <c r="AK8">
        <v>0</v>
      </c>
      <c r="AL8">
        <v>0</v>
      </c>
      <c r="AM8">
        <v>33</v>
      </c>
      <c r="AN8">
        <v>0</v>
      </c>
      <c r="AO8">
        <v>0</v>
      </c>
      <c r="AP8">
        <v>0</v>
      </c>
      <c r="AQ8" t="s">
        <v>55</v>
      </c>
      <c r="AR8">
        <v>33</v>
      </c>
      <c r="AS8">
        <v>0</v>
      </c>
      <c r="AT8">
        <v>0</v>
      </c>
      <c r="AU8">
        <v>0</v>
      </c>
      <c r="AV8">
        <v>33</v>
      </c>
      <c r="AW8">
        <v>0</v>
      </c>
      <c r="AX8">
        <v>0</v>
      </c>
      <c r="AY8">
        <v>0</v>
      </c>
      <c r="AZ8">
        <v>33</v>
      </c>
      <c r="BA8">
        <v>0</v>
      </c>
      <c r="BB8">
        <v>0</v>
      </c>
      <c r="BC8">
        <v>0</v>
      </c>
      <c r="BD8">
        <v>33</v>
      </c>
      <c r="BE8">
        <v>0</v>
      </c>
      <c r="BF8">
        <v>0</v>
      </c>
      <c r="BG8">
        <v>0</v>
      </c>
      <c r="BH8">
        <v>33</v>
      </c>
      <c r="BI8">
        <v>0</v>
      </c>
      <c r="BJ8">
        <v>0</v>
      </c>
      <c r="BK8">
        <v>0</v>
      </c>
    </row>
    <row r="9" spans="1:63">
      <c r="A9" t="s">
        <v>85</v>
      </c>
      <c r="B9">
        <v>132</v>
      </c>
      <c r="C9">
        <v>0</v>
      </c>
      <c r="D9">
        <v>0</v>
      </c>
      <c r="E9">
        <v>0</v>
      </c>
      <c r="F9">
        <v>132</v>
      </c>
      <c r="G9">
        <v>0</v>
      </c>
      <c r="H9">
        <v>0</v>
      </c>
      <c r="I9">
        <v>0</v>
      </c>
      <c r="J9">
        <v>132</v>
      </c>
      <c r="K9">
        <v>0</v>
      </c>
      <c r="L9">
        <v>0</v>
      </c>
      <c r="M9">
        <v>0</v>
      </c>
      <c r="N9">
        <v>132</v>
      </c>
      <c r="O9">
        <v>0</v>
      </c>
      <c r="P9">
        <v>0</v>
      </c>
      <c r="Q9">
        <v>0</v>
      </c>
      <c r="R9">
        <v>132</v>
      </c>
      <c r="S9">
        <v>0</v>
      </c>
      <c r="T9">
        <v>0</v>
      </c>
      <c r="U9">
        <v>0</v>
      </c>
      <c r="V9" t="s">
        <v>85</v>
      </c>
      <c r="W9">
        <v>132</v>
      </c>
      <c r="X9">
        <v>0</v>
      </c>
      <c r="Y9">
        <v>0</v>
      </c>
      <c r="Z9">
        <v>0</v>
      </c>
      <c r="AA9">
        <v>132</v>
      </c>
      <c r="AB9">
        <v>0</v>
      </c>
      <c r="AC9">
        <v>0</v>
      </c>
      <c r="AD9">
        <v>0</v>
      </c>
      <c r="AE9">
        <v>132</v>
      </c>
      <c r="AF9">
        <v>0</v>
      </c>
      <c r="AG9">
        <v>0</v>
      </c>
      <c r="AH9">
        <v>0</v>
      </c>
      <c r="AI9">
        <v>132</v>
      </c>
      <c r="AJ9">
        <v>0</v>
      </c>
      <c r="AK9">
        <v>0</v>
      </c>
      <c r="AL9">
        <v>0</v>
      </c>
      <c r="AM9">
        <v>132</v>
      </c>
      <c r="AN9">
        <v>0</v>
      </c>
      <c r="AO9">
        <v>0</v>
      </c>
      <c r="AP9">
        <v>0</v>
      </c>
      <c r="AQ9" t="s">
        <v>85</v>
      </c>
      <c r="AR9">
        <v>132</v>
      </c>
      <c r="AS9">
        <v>0</v>
      </c>
      <c r="AT9">
        <v>0</v>
      </c>
      <c r="AU9">
        <v>0</v>
      </c>
      <c r="AV9">
        <v>132</v>
      </c>
      <c r="AW9">
        <v>0</v>
      </c>
      <c r="AX9">
        <v>0</v>
      </c>
      <c r="AY9">
        <v>0</v>
      </c>
      <c r="AZ9">
        <v>132</v>
      </c>
      <c r="BA9">
        <v>0</v>
      </c>
      <c r="BB9">
        <v>0</v>
      </c>
      <c r="BC9">
        <v>0</v>
      </c>
      <c r="BD9">
        <v>132</v>
      </c>
      <c r="BE9">
        <v>0</v>
      </c>
      <c r="BF9">
        <v>0</v>
      </c>
      <c r="BG9">
        <v>0</v>
      </c>
      <c r="BH9">
        <v>132</v>
      </c>
      <c r="BI9">
        <v>0</v>
      </c>
      <c r="BJ9">
        <v>0</v>
      </c>
      <c r="BK9">
        <v>0</v>
      </c>
    </row>
    <row r="10" spans="1:63">
      <c r="A10" t="s">
        <v>30</v>
      </c>
      <c r="B10">
        <v>52</v>
      </c>
      <c r="C10">
        <v>2</v>
      </c>
      <c r="D10">
        <v>0</v>
      </c>
      <c r="E10">
        <v>0</v>
      </c>
      <c r="F10">
        <v>52</v>
      </c>
      <c r="G10">
        <v>2</v>
      </c>
      <c r="H10">
        <v>0</v>
      </c>
      <c r="I10">
        <v>0</v>
      </c>
      <c r="J10">
        <v>54</v>
      </c>
      <c r="K10">
        <v>0</v>
      </c>
      <c r="L10">
        <v>0</v>
      </c>
      <c r="M10">
        <v>0</v>
      </c>
      <c r="N10">
        <v>52</v>
      </c>
      <c r="O10">
        <v>0</v>
      </c>
      <c r="P10">
        <v>2</v>
      </c>
      <c r="Q10">
        <v>0</v>
      </c>
      <c r="R10">
        <v>54</v>
      </c>
      <c r="S10">
        <v>0</v>
      </c>
      <c r="T10">
        <v>0</v>
      </c>
      <c r="U10">
        <v>0</v>
      </c>
      <c r="V10" t="s">
        <v>30</v>
      </c>
      <c r="W10">
        <v>52</v>
      </c>
      <c r="X10">
        <v>2</v>
      </c>
      <c r="Y10">
        <v>0</v>
      </c>
      <c r="Z10">
        <v>0</v>
      </c>
      <c r="AA10">
        <v>52</v>
      </c>
      <c r="AB10">
        <v>2</v>
      </c>
      <c r="AC10">
        <v>0</v>
      </c>
      <c r="AD10">
        <v>0</v>
      </c>
      <c r="AE10">
        <v>54</v>
      </c>
      <c r="AF10">
        <v>0</v>
      </c>
      <c r="AG10">
        <v>0</v>
      </c>
      <c r="AH10">
        <v>0</v>
      </c>
      <c r="AI10">
        <v>52</v>
      </c>
      <c r="AJ10">
        <v>0</v>
      </c>
      <c r="AK10">
        <v>2</v>
      </c>
      <c r="AL10">
        <v>0</v>
      </c>
      <c r="AM10">
        <v>54</v>
      </c>
      <c r="AN10">
        <v>0</v>
      </c>
      <c r="AO10">
        <v>0</v>
      </c>
      <c r="AP10">
        <v>0</v>
      </c>
      <c r="AQ10" t="s">
        <v>30</v>
      </c>
      <c r="AR10">
        <v>52</v>
      </c>
      <c r="AS10">
        <v>2</v>
      </c>
      <c r="AT10">
        <v>0</v>
      </c>
      <c r="AU10">
        <v>0</v>
      </c>
      <c r="AV10">
        <v>52</v>
      </c>
      <c r="AW10">
        <v>2</v>
      </c>
      <c r="AX10">
        <v>0</v>
      </c>
      <c r="AY10">
        <v>0</v>
      </c>
      <c r="AZ10">
        <v>54</v>
      </c>
      <c r="BA10">
        <v>0</v>
      </c>
      <c r="BB10">
        <v>0</v>
      </c>
      <c r="BC10">
        <v>0</v>
      </c>
      <c r="BD10">
        <v>52</v>
      </c>
      <c r="BE10">
        <v>0</v>
      </c>
      <c r="BF10">
        <v>2</v>
      </c>
      <c r="BG10">
        <v>0</v>
      </c>
      <c r="BH10">
        <v>54</v>
      </c>
      <c r="BI10">
        <v>0</v>
      </c>
      <c r="BJ10">
        <v>0</v>
      </c>
      <c r="BK10">
        <v>0</v>
      </c>
    </row>
    <row r="11" spans="1:63">
      <c r="A11" t="s">
        <v>89</v>
      </c>
      <c r="B11">
        <v>51</v>
      </c>
      <c r="C11">
        <v>0</v>
      </c>
      <c r="D11">
        <v>0</v>
      </c>
      <c r="E11">
        <v>0</v>
      </c>
      <c r="F11">
        <v>51</v>
      </c>
      <c r="G11">
        <v>0</v>
      </c>
      <c r="H11">
        <v>0</v>
      </c>
      <c r="I11">
        <v>0</v>
      </c>
      <c r="J11">
        <v>51</v>
      </c>
      <c r="K11">
        <v>0</v>
      </c>
      <c r="L11">
        <v>0</v>
      </c>
      <c r="M11">
        <v>0</v>
      </c>
      <c r="N11">
        <v>51</v>
      </c>
      <c r="O11">
        <v>0</v>
      </c>
      <c r="P11">
        <v>0</v>
      </c>
      <c r="Q11">
        <v>0</v>
      </c>
      <c r="R11">
        <v>51</v>
      </c>
      <c r="S11">
        <v>0</v>
      </c>
      <c r="T11">
        <v>0</v>
      </c>
      <c r="U11">
        <v>0</v>
      </c>
      <c r="V11" t="s">
        <v>89</v>
      </c>
      <c r="W11">
        <v>51</v>
      </c>
      <c r="X11">
        <v>0</v>
      </c>
      <c r="Y11">
        <v>0</v>
      </c>
      <c r="Z11">
        <v>0</v>
      </c>
      <c r="AA11">
        <v>51</v>
      </c>
      <c r="AB11">
        <v>0</v>
      </c>
      <c r="AC11">
        <v>0</v>
      </c>
      <c r="AD11">
        <v>0</v>
      </c>
      <c r="AE11">
        <v>51</v>
      </c>
      <c r="AF11">
        <v>0</v>
      </c>
      <c r="AG11">
        <v>0</v>
      </c>
      <c r="AH11">
        <v>0</v>
      </c>
      <c r="AI11">
        <v>51</v>
      </c>
      <c r="AJ11">
        <v>0</v>
      </c>
      <c r="AK11">
        <v>0</v>
      </c>
      <c r="AL11">
        <v>0</v>
      </c>
      <c r="AM11">
        <v>51</v>
      </c>
      <c r="AN11">
        <v>0</v>
      </c>
      <c r="AO11">
        <v>0</v>
      </c>
      <c r="AP11">
        <v>0</v>
      </c>
      <c r="AQ11" t="s">
        <v>89</v>
      </c>
      <c r="AR11">
        <v>51</v>
      </c>
      <c r="AS11">
        <v>0</v>
      </c>
      <c r="AT11">
        <v>0</v>
      </c>
      <c r="AU11">
        <v>0</v>
      </c>
      <c r="AV11">
        <v>51</v>
      </c>
      <c r="AW11">
        <v>0</v>
      </c>
      <c r="AX11">
        <v>0</v>
      </c>
      <c r="AY11">
        <v>0</v>
      </c>
      <c r="AZ11">
        <v>51</v>
      </c>
      <c r="BA11">
        <v>0</v>
      </c>
      <c r="BB11">
        <v>0</v>
      </c>
      <c r="BC11">
        <v>0</v>
      </c>
      <c r="BD11">
        <v>51</v>
      </c>
      <c r="BE11">
        <v>0</v>
      </c>
      <c r="BF11">
        <v>0</v>
      </c>
      <c r="BG11">
        <v>0</v>
      </c>
      <c r="BH11">
        <v>51</v>
      </c>
      <c r="BI11">
        <v>0</v>
      </c>
      <c r="BJ11">
        <v>0</v>
      </c>
      <c r="BK11">
        <v>0</v>
      </c>
    </row>
    <row r="12" spans="1:63">
      <c r="A12" t="s">
        <v>2</v>
      </c>
      <c r="B12">
        <v>3</v>
      </c>
      <c r="C12">
        <v>0</v>
      </c>
      <c r="D12">
        <v>0</v>
      </c>
      <c r="E12">
        <v>0</v>
      </c>
      <c r="F12">
        <v>3</v>
      </c>
      <c r="G12">
        <v>0</v>
      </c>
      <c r="H12">
        <v>0</v>
      </c>
      <c r="I12">
        <v>0</v>
      </c>
      <c r="J12">
        <v>3</v>
      </c>
      <c r="K12">
        <v>0</v>
      </c>
      <c r="L12">
        <v>0</v>
      </c>
      <c r="M12">
        <v>0</v>
      </c>
      <c r="N12">
        <v>3</v>
      </c>
      <c r="O12">
        <v>0</v>
      </c>
      <c r="P12">
        <v>0</v>
      </c>
      <c r="Q12">
        <v>0</v>
      </c>
      <c r="R12">
        <v>3</v>
      </c>
      <c r="S12">
        <v>0</v>
      </c>
      <c r="T12">
        <v>0</v>
      </c>
      <c r="U12">
        <v>0</v>
      </c>
      <c r="V12" t="s">
        <v>2</v>
      </c>
      <c r="W12">
        <v>3</v>
      </c>
      <c r="X12">
        <v>0</v>
      </c>
      <c r="Y12">
        <v>0</v>
      </c>
      <c r="Z12">
        <v>0</v>
      </c>
      <c r="AA12">
        <v>3</v>
      </c>
      <c r="AB12">
        <v>0</v>
      </c>
      <c r="AC12">
        <v>0</v>
      </c>
      <c r="AD12">
        <v>0</v>
      </c>
      <c r="AE12">
        <v>3</v>
      </c>
      <c r="AF12">
        <v>0</v>
      </c>
      <c r="AG12">
        <v>0</v>
      </c>
      <c r="AH12">
        <v>0</v>
      </c>
      <c r="AI12">
        <v>3</v>
      </c>
      <c r="AJ12">
        <v>0</v>
      </c>
      <c r="AK12">
        <v>0</v>
      </c>
      <c r="AL12">
        <v>0</v>
      </c>
      <c r="AM12">
        <v>3</v>
      </c>
      <c r="AN12">
        <v>0</v>
      </c>
      <c r="AO12">
        <v>0</v>
      </c>
      <c r="AP12">
        <v>0</v>
      </c>
      <c r="AQ12" t="s">
        <v>2</v>
      </c>
      <c r="AR12">
        <v>3</v>
      </c>
      <c r="AS12">
        <v>0</v>
      </c>
      <c r="AT12">
        <v>0</v>
      </c>
      <c r="AU12">
        <v>0</v>
      </c>
      <c r="AV12">
        <v>3</v>
      </c>
      <c r="AW12">
        <v>0</v>
      </c>
      <c r="AX12">
        <v>0</v>
      </c>
      <c r="AY12">
        <v>0</v>
      </c>
      <c r="AZ12">
        <v>3</v>
      </c>
      <c r="BA12">
        <v>0</v>
      </c>
      <c r="BB12">
        <v>0</v>
      </c>
      <c r="BC12">
        <v>0</v>
      </c>
      <c r="BD12">
        <v>3</v>
      </c>
      <c r="BE12">
        <v>0</v>
      </c>
      <c r="BF12">
        <v>0</v>
      </c>
      <c r="BG12">
        <v>0</v>
      </c>
      <c r="BH12">
        <v>3</v>
      </c>
      <c r="BI12">
        <v>0</v>
      </c>
      <c r="BJ12">
        <v>0</v>
      </c>
      <c r="BK12">
        <v>0</v>
      </c>
    </row>
    <row r="13" spans="1:63">
      <c r="A13" t="s">
        <v>37</v>
      </c>
      <c r="B13">
        <v>2</v>
      </c>
      <c r="C13">
        <v>0</v>
      </c>
      <c r="D13">
        <v>0</v>
      </c>
      <c r="E13">
        <v>0</v>
      </c>
      <c r="F13">
        <v>2</v>
      </c>
      <c r="G13">
        <v>0</v>
      </c>
      <c r="H13">
        <v>0</v>
      </c>
      <c r="I13">
        <v>0</v>
      </c>
      <c r="J13">
        <v>2</v>
      </c>
      <c r="K13">
        <v>0</v>
      </c>
      <c r="L13">
        <v>0</v>
      </c>
      <c r="M13">
        <v>0</v>
      </c>
      <c r="N13">
        <v>2</v>
      </c>
      <c r="O13">
        <v>0</v>
      </c>
      <c r="P13">
        <v>0</v>
      </c>
      <c r="Q13">
        <v>0</v>
      </c>
      <c r="R13">
        <v>2</v>
      </c>
      <c r="S13">
        <v>0</v>
      </c>
      <c r="T13">
        <v>0</v>
      </c>
      <c r="U13">
        <v>0</v>
      </c>
      <c r="V13" t="s">
        <v>37</v>
      </c>
      <c r="W13">
        <v>2</v>
      </c>
      <c r="X13">
        <v>0</v>
      </c>
      <c r="Y13">
        <v>0</v>
      </c>
      <c r="Z13">
        <v>0</v>
      </c>
      <c r="AA13">
        <v>2</v>
      </c>
      <c r="AB13">
        <v>0</v>
      </c>
      <c r="AC13">
        <v>0</v>
      </c>
      <c r="AD13">
        <v>0</v>
      </c>
      <c r="AE13">
        <v>2</v>
      </c>
      <c r="AF13">
        <v>0</v>
      </c>
      <c r="AG13">
        <v>0</v>
      </c>
      <c r="AH13">
        <v>0</v>
      </c>
      <c r="AI13">
        <v>2</v>
      </c>
      <c r="AJ13">
        <v>0</v>
      </c>
      <c r="AK13">
        <v>0</v>
      </c>
      <c r="AL13">
        <v>0</v>
      </c>
      <c r="AM13">
        <v>2</v>
      </c>
      <c r="AN13">
        <v>0</v>
      </c>
      <c r="AO13">
        <v>0</v>
      </c>
      <c r="AP13">
        <v>0</v>
      </c>
      <c r="AQ13" t="s">
        <v>37</v>
      </c>
      <c r="AR13">
        <v>2</v>
      </c>
      <c r="AS13">
        <v>0</v>
      </c>
      <c r="AT13">
        <v>0</v>
      </c>
      <c r="AU13">
        <v>0</v>
      </c>
      <c r="AV13">
        <v>2</v>
      </c>
      <c r="AW13">
        <v>0</v>
      </c>
      <c r="AX13">
        <v>0</v>
      </c>
      <c r="AY13">
        <v>0</v>
      </c>
      <c r="AZ13">
        <v>2</v>
      </c>
      <c r="BA13">
        <v>0</v>
      </c>
      <c r="BB13">
        <v>0</v>
      </c>
      <c r="BC13">
        <v>0</v>
      </c>
      <c r="BD13">
        <v>2</v>
      </c>
      <c r="BE13">
        <v>0</v>
      </c>
      <c r="BF13">
        <v>0</v>
      </c>
      <c r="BG13">
        <v>0</v>
      </c>
      <c r="BH13">
        <v>2</v>
      </c>
      <c r="BI13">
        <v>0</v>
      </c>
      <c r="BJ13">
        <v>0</v>
      </c>
      <c r="BK13">
        <v>0</v>
      </c>
    </row>
    <row r="14" spans="1:63">
      <c r="A14" t="s">
        <v>72</v>
      </c>
      <c r="B14">
        <v>8</v>
      </c>
      <c r="C14">
        <v>0</v>
      </c>
      <c r="D14">
        <v>0</v>
      </c>
      <c r="E14">
        <v>0</v>
      </c>
      <c r="F14">
        <v>8</v>
      </c>
      <c r="G14">
        <v>0</v>
      </c>
      <c r="H14">
        <v>0</v>
      </c>
      <c r="I14">
        <v>0</v>
      </c>
      <c r="J14">
        <v>8</v>
      </c>
      <c r="K14">
        <v>0</v>
      </c>
      <c r="L14">
        <v>0</v>
      </c>
      <c r="M14">
        <v>0</v>
      </c>
      <c r="N14">
        <v>8</v>
      </c>
      <c r="O14">
        <v>0</v>
      </c>
      <c r="P14">
        <v>0</v>
      </c>
      <c r="Q14">
        <v>0</v>
      </c>
      <c r="R14">
        <v>8</v>
      </c>
      <c r="S14">
        <v>0</v>
      </c>
      <c r="T14">
        <v>0</v>
      </c>
      <c r="U14">
        <v>0</v>
      </c>
      <c r="V14" t="s">
        <v>72</v>
      </c>
      <c r="W14">
        <v>8</v>
      </c>
      <c r="X14">
        <v>0</v>
      </c>
      <c r="Y14">
        <v>0</v>
      </c>
      <c r="Z14">
        <v>0</v>
      </c>
      <c r="AA14">
        <v>8</v>
      </c>
      <c r="AB14">
        <v>0</v>
      </c>
      <c r="AC14">
        <v>0</v>
      </c>
      <c r="AD14">
        <v>0</v>
      </c>
      <c r="AE14">
        <v>8</v>
      </c>
      <c r="AF14">
        <v>0</v>
      </c>
      <c r="AG14">
        <v>0</v>
      </c>
      <c r="AH14">
        <v>0</v>
      </c>
      <c r="AI14">
        <v>8</v>
      </c>
      <c r="AJ14">
        <v>0</v>
      </c>
      <c r="AK14">
        <v>0</v>
      </c>
      <c r="AL14">
        <v>0</v>
      </c>
      <c r="AM14">
        <v>8</v>
      </c>
      <c r="AN14">
        <v>0</v>
      </c>
      <c r="AO14">
        <v>0</v>
      </c>
      <c r="AP14">
        <v>0</v>
      </c>
      <c r="AQ14" t="s">
        <v>72</v>
      </c>
      <c r="AR14">
        <v>8</v>
      </c>
      <c r="AS14">
        <v>0</v>
      </c>
      <c r="AT14">
        <v>0</v>
      </c>
      <c r="AU14">
        <v>0</v>
      </c>
      <c r="AV14">
        <v>8</v>
      </c>
      <c r="AW14">
        <v>0</v>
      </c>
      <c r="AX14">
        <v>0</v>
      </c>
      <c r="AY14">
        <v>0</v>
      </c>
      <c r="AZ14">
        <v>8</v>
      </c>
      <c r="BA14">
        <v>0</v>
      </c>
      <c r="BB14">
        <v>0</v>
      </c>
      <c r="BC14">
        <v>0</v>
      </c>
      <c r="BD14">
        <v>8</v>
      </c>
      <c r="BE14">
        <v>0</v>
      </c>
      <c r="BF14">
        <v>0</v>
      </c>
      <c r="BG14">
        <v>0</v>
      </c>
      <c r="BH14">
        <v>8</v>
      </c>
      <c r="BI14">
        <v>0</v>
      </c>
      <c r="BJ14">
        <v>0</v>
      </c>
      <c r="BK14">
        <v>0</v>
      </c>
    </row>
    <row r="15" spans="1:63">
      <c r="A15" t="s">
        <v>8</v>
      </c>
      <c r="B15">
        <v>3</v>
      </c>
      <c r="C15">
        <v>0</v>
      </c>
      <c r="D15">
        <v>0</v>
      </c>
      <c r="E15">
        <v>0</v>
      </c>
      <c r="F15">
        <v>3</v>
      </c>
      <c r="G15">
        <v>0</v>
      </c>
      <c r="H15">
        <v>0</v>
      </c>
      <c r="I15">
        <v>0</v>
      </c>
      <c r="J15">
        <v>3</v>
      </c>
      <c r="K15">
        <v>0</v>
      </c>
      <c r="L15">
        <v>0</v>
      </c>
      <c r="M15">
        <v>0</v>
      </c>
      <c r="N15">
        <v>3</v>
      </c>
      <c r="O15">
        <v>0</v>
      </c>
      <c r="P15">
        <v>0</v>
      </c>
      <c r="Q15">
        <v>0</v>
      </c>
      <c r="R15">
        <v>3</v>
      </c>
      <c r="S15">
        <v>0</v>
      </c>
      <c r="T15">
        <v>0</v>
      </c>
      <c r="U15">
        <v>0</v>
      </c>
      <c r="V15" t="s">
        <v>8</v>
      </c>
      <c r="W15">
        <v>3</v>
      </c>
      <c r="X15">
        <v>0</v>
      </c>
      <c r="Y15">
        <v>0</v>
      </c>
      <c r="Z15">
        <v>0</v>
      </c>
      <c r="AA15">
        <v>3</v>
      </c>
      <c r="AB15">
        <v>0</v>
      </c>
      <c r="AC15">
        <v>0</v>
      </c>
      <c r="AD15">
        <v>0</v>
      </c>
      <c r="AE15">
        <v>3</v>
      </c>
      <c r="AF15">
        <v>0</v>
      </c>
      <c r="AG15">
        <v>0</v>
      </c>
      <c r="AH15">
        <v>0</v>
      </c>
      <c r="AI15">
        <v>3</v>
      </c>
      <c r="AJ15">
        <v>0</v>
      </c>
      <c r="AK15">
        <v>0</v>
      </c>
      <c r="AL15">
        <v>0</v>
      </c>
      <c r="AM15">
        <v>3</v>
      </c>
      <c r="AN15">
        <v>0</v>
      </c>
      <c r="AO15">
        <v>0</v>
      </c>
      <c r="AP15">
        <v>0</v>
      </c>
      <c r="AQ15" t="s">
        <v>8</v>
      </c>
      <c r="AR15">
        <v>3</v>
      </c>
      <c r="AS15">
        <v>0</v>
      </c>
      <c r="AT15">
        <v>0</v>
      </c>
      <c r="AU15">
        <v>0</v>
      </c>
      <c r="AV15">
        <v>3</v>
      </c>
      <c r="AW15">
        <v>0</v>
      </c>
      <c r="AX15">
        <v>0</v>
      </c>
      <c r="AY15">
        <v>0</v>
      </c>
      <c r="AZ15">
        <v>3</v>
      </c>
      <c r="BA15">
        <v>0</v>
      </c>
      <c r="BB15">
        <v>0</v>
      </c>
      <c r="BC15">
        <v>0</v>
      </c>
      <c r="BD15">
        <v>3</v>
      </c>
      <c r="BE15">
        <v>0</v>
      </c>
      <c r="BF15">
        <v>0</v>
      </c>
      <c r="BG15">
        <v>0</v>
      </c>
      <c r="BH15">
        <v>3</v>
      </c>
      <c r="BI15">
        <v>0</v>
      </c>
      <c r="BJ15">
        <v>0</v>
      </c>
      <c r="BK15">
        <v>0</v>
      </c>
    </row>
    <row r="16" spans="1:63">
      <c r="A16" t="s">
        <v>101</v>
      </c>
      <c r="B16">
        <v>134</v>
      </c>
      <c r="C16">
        <v>7</v>
      </c>
      <c r="D16">
        <v>0</v>
      </c>
      <c r="E16">
        <v>0</v>
      </c>
      <c r="F16">
        <v>134</v>
      </c>
      <c r="G16">
        <v>7</v>
      </c>
      <c r="H16">
        <v>0</v>
      </c>
      <c r="I16">
        <v>0</v>
      </c>
      <c r="J16">
        <v>141</v>
      </c>
      <c r="K16">
        <v>0</v>
      </c>
      <c r="L16">
        <v>0</v>
      </c>
      <c r="M16">
        <v>0</v>
      </c>
      <c r="N16">
        <v>134</v>
      </c>
      <c r="O16">
        <v>0</v>
      </c>
      <c r="P16">
        <v>7</v>
      </c>
      <c r="Q16">
        <v>0</v>
      </c>
      <c r="R16">
        <v>140</v>
      </c>
      <c r="S16">
        <v>1</v>
      </c>
      <c r="T16">
        <v>0</v>
      </c>
      <c r="U16">
        <v>0</v>
      </c>
      <c r="V16" t="s">
        <v>101</v>
      </c>
      <c r="W16">
        <v>134</v>
      </c>
      <c r="X16">
        <v>7</v>
      </c>
      <c r="Y16">
        <v>0</v>
      </c>
      <c r="Z16">
        <v>0</v>
      </c>
      <c r="AA16">
        <v>134</v>
      </c>
      <c r="AB16">
        <v>7</v>
      </c>
      <c r="AC16">
        <v>0</v>
      </c>
      <c r="AD16">
        <v>0</v>
      </c>
      <c r="AE16">
        <v>141</v>
      </c>
      <c r="AF16">
        <v>0</v>
      </c>
      <c r="AG16">
        <v>0</v>
      </c>
      <c r="AH16">
        <v>0</v>
      </c>
      <c r="AI16">
        <v>134</v>
      </c>
      <c r="AJ16">
        <v>0</v>
      </c>
      <c r="AK16">
        <v>7</v>
      </c>
      <c r="AL16">
        <v>0</v>
      </c>
      <c r="AM16">
        <v>140</v>
      </c>
      <c r="AN16">
        <v>1</v>
      </c>
      <c r="AO16">
        <v>0</v>
      </c>
      <c r="AP16">
        <v>0</v>
      </c>
      <c r="AQ16" t="s">
        <v>101</v>
      </c>
      <c r="AR16">
        <v>134</v>
      </c>
      <c r="AS16">
        <v>7</v>
      </c>
      <c r="AT16">
        <v>0</v>
      </c>
      <c r="AU16">
        <v>0</v>
      </c>
      <c r="AV16">
        <v>134</v>
      </c>
      <c r="AW16">
        <v>7</v>
      </c>
      <c r="AX16">
        <v>0</v>
      </c>
      <c r="AY16">
        <v>0</v>
      </c>
      <c r="AZ16">
        <v>141</v>
      </c>
      <c r="BA16">
        <v>0</v>
      </c>
      <c r="BB16">
        <v>0</v>
      </c>
      <c r="BC16">
        <v>0</v>
      </c>
      <c r="BD16">
        <v>134</v>
      </c>
      <c r="BE16">
        <v>0</v>
      </c>
      <c r="BF16">
        <v>7</v>
      </c>
      <c r="BG16">
        <v>0</v>
      </c>
      <c r="BH16">
        <v>141</v>
      </c>
      <c r="BI16">
        <v>0</v>
      </c>
      <c r="BJ16">
        <v>0</v>
      </c>
      <c r="BK16">
        <v>0</v>
      </c>
    </row>
    <row r="17" spans="1:63">
      <c r="A17" t="s">
        <v>3</v>
      </c>
      <c r="B17">
        <v>31</v>
      </c>
      <c r="C17">
        <v>0</v>
      </c>
      <c r="D17">
        <v>0</v>
      </c>
      <c r="E17">
        <v>0</v>
      </c>
      <c r="F17">
        <v>31</v>
      </c>
      <c r="G17">
        <v>0</v>
      </c>
      <c r="H17">
        <v>0</v>
      </c>
      <c r="I17">
        <v>0</v>
      </c>
      <c r="J17">
        <v>31</v>
      </c>
      <c r="K17">
        <v>0</v>
      </c>
      <c r="L17">
        <v>0</v>
      </c>
      <c r="M17">
        <v>0</v>
      </c>
      <c r="N17">
        <v>31</v>
      </c>
      <c r="O17">
        <v>0</v>
      </c>
      <c r="P17">
        <v>0</v>
      </c>
      <c r="Q17">
        <v>0</v>
      </c>
      <c r="R17">
        <v>31</v>
      </c>
      <c r="S17">
        <v>0</v>
      </c>
      <c r="T17">
        <v>0</v>
      </c>
      <c r="U17">
        <v>0</v>
      </c>
      <c r="V17" t="s">
        <v>3</v>
      </c>
      <c r="W17">
        <v>31</v>
      </c>
      <c r="X17">
        <v>0</v>
      </c>
      <c r="Y17">
        <v>0</v>
      </c>
      <c r="Z17">
        <v>0</v>
      </c>
      <c r="AA17">
        <v>31</v>
      </c>
      <c r="AB17">
        <v>0</v>
      </c>
      <c r="AC17">
        <v>0</v>
      </c>
      <c r="AD17">
        <v>0</v>
      </c>
      <c r="AE17">
        <v>31</v>
      </c>
      <c r="AF17">
        <v>0</v>
      </c>
      <c r="AG17">
        <v>0</v>
      </c>
      <c r="AH17">
        <v>0</v>
      </c>
      <c r="AI17">
        <v>31</v>
      </c>
      <c r="AJ17">
        <v>0</v>
      </c>
      <c r="AK17">
        <v>0</v>
      </c>
      <c r="AL17">
        <v>0</v>
      </c>
      <c r="AM17">
        <v>31</v>
      </c>
      <c r="AN17">
        <v>0</v>
      </c>
      <c r="AO17">
        <v>0</v>
      </c>
      <c r="AP17">
        <v>0</v>
      </c>
      <c r="AQ17" t="s">
        <v>3</v>
      </c>
      <c r="AR17">
        <v>31</v>
      </c>
      <c r="AS17">
        <v>0</v>
      </c>
      <c r="AT17">
        <v>0</v>
      </c>
      <c r="AU17">
        <v>0</v>
      </c>
      <c r="AV17">
        <v>31</v>
      </c>
      <c r="AW17">
        <v>0</v>
      </c>
      <c r="AX17">
        <v>0</v>
      </c>
      <c r="AY17">
        <v>0</v>
      </c>
      <c r="AZ17">
        <v>31</v>
      </c>
      <c r="BA17">
        <v>0</v>
      </c>
      <c r="BB17">
        <v>0</v>
      </c>
      <c r="BC17">
        <v>0</v>
      </c>
      <c r="BD17">
        <v>31</v>
      </c>
      <c r="BE17">
        <v>0</v>
      </c>
      <c r="BF17">
        <v>0</v>
      </c>
      <c r="BG17">
        <v>0</v>
      </c>
      <c r="BH17">
        <v>31</v>
      </c>
      <c r="BI17">
        <v>0</v>
      </c>
      <c r="BJ17">
        <v>0</v>
      </c>
      <c r="BK17">
        <v>0</v>
      </c>
    </row>
    <row r="18" spans="1:63">
      <c r="A18" t="s">
        <v>76</v>
      </c>
      <c r="B18">
        <v>31</v>
      </c>
      <c r="C18">
        <v>0</v>
      </c>
      <c r="D18">
        <v>0</v>
      </c>
      <c r="E18">
        <v>0</v>
      </c>
      <c r="F18">
        <v>31</v>
      </c>
      <c r="G18">
        <v>0</v>
      </c>
      <c r="H18">
        <v>0</v>
      </c>
      <c r="I18">
        <v>0</v>
      </c>
      <c r="J18">
        <v>31</v>
      </c>
      <c r="K18">
        <v>0</v>
      </c>
      <c r="L18">
        <v>0</v>
      </c>
      <c r="M18">
        <v>0</v>
      </c>
      <c r="N18">
        <v>31</v>
      </c>
      <c r="O18">
        <v>0</v>
      </c>
      <c r="P18">
        <v>0</v>
      </c>
      <c r="Q18">
        <v>0</v>
      </c>
      <c r="R18">
        <v>31</v>
      </c>
      <c r="S18">
        <v>0</v>
      </c>
      <c r="T18">
        <v>0</v>
      </c>
      <c r="U18">
        <v>0</v>
      </c>
      <c r="V18" t="s">
        <v>76</v>
      </c>
      <c r="W18">
        <v>31</v>
      </c>
      <c r="X18">
        <v>0</v>
      </c>
      <c r="Y18">
        <v>0</v>
      </c>
      <c r="Z18">
        <v>0</v>
      </c>
      <c r="AA18">
        <v>31</v>
      </c>
      <c r="AB18">
        <v>0</v>
      </c>
      <c r="AC18">
        <v>0</v>
      </c>
      <c r="AD18">
        <v>0</v>
      </c>
      <c r="AE18">
        <v>31</v>
      </c>
      <c r="AF18">
        <v>0</v>
      </c>
      <c r="AG18">
        <v>0</v>
      </c>
      <c r="AH18">
        <v>0</v>
      </c>
      <c r="AI18">
        <v>31</v>
      </c>
      <c r="AJ18">
        <v>0</v>
      </c>
      <c r="AK18">
        <v>0</v>
      </c>
      <c r="AL18">
        <v>0</v>
      </c>
      <c r="AM18">
        <v>31</v>
      </c>
      <c r="AN18">
        <v>0</v>
      </c>
      <c r="AO18">
        <v>0</v>
      </c>
      <c r="AP18">
        <v>0</v>
      </c>
      <c r="AQ18" t="s">
        <v>76</v>
      </c>
      <c r="AR18">
        <v>31</v>
      </c>
      <c r="AS18">
        <v>0</v>
      </c>
      <c r="AT18">
        <v>0</v>
      </c>
      <c r="AU18">
        <v>0</v>
      </c>
      <c r="AV18">
        <v>31</v>
      </c>
      <c r="AW18">
        <v>0</v>
      </c>
      <c r="AX18">
        <v>0</v>
      </c>
      <c r="AY18">
        <v>0</v>
      </c>
      <c r="AZ18">
        <v>31</v>
      </c>
      <c r="BA18">
        <v>0</v>
      </c>
      <c r="BB18">
        <v>0</v>
      </c>
      <c r="BC18">
        <v>0</v>
      </c>
      <c r="BD18">
        <v>31</v>
      </c>
      <c r="BE18">
        <v>0</v>
      </c>
      <c r="BF18">
        <v>0</v>
      </c>
      <c r="BG18">
        <v>0</v>
      </c>
      <c r="BH18">
        <v>31</v>
      </c>
      <c r="BI18">
        <v>0</v>
      </c>
      <c r="BJ18">
        <v>0</v>
      </c>
      <c r="BK18">
        <v>0</v>
      </c>
    </row>
    <row r="19" spans="1:63">
      <c r="A19" t="s">
        <v>29</v>
      </c>
      <c r="B19">
        <v>14</v>
      </c>
      <c r="C19">
        <v>0</v>
      </c>
      <c r="D19">
        <v>0</v>
      </c>
      <c r="E19">
        <v>0</v>
      </c>
      <c r="F19">
        <v>14</v>
      </c>
      <c r="G19">
        <v>0</v>
      </c>
      <c r="H19">
        <v>0</v>
      </c>
      <c r="I19">
        <v>0</v>
      </c>
      <c r="J19">
        <v>14</v>
      </c>
      <c r="K19">
        <v>0</v>
      </c>
      <c r="L19">
        <v>0</v>
      </c>
      <c r="M19">
        <v>0</v>
      </c>
      <c r="N19">
        <v>14</v>
      </c>
      <c r="O19">
        <v>0</v>
      </c>
      <c r="P19">
        <v>0</v>
      </c>
      <c r="Q19">
        <v>0</v>
      </c>
      <c r="R19">
        <v>14</v>
      </c>
      <c r="S19">
        <v>0</v>
      </c>
      <c r="T19">
        <v>0</v>
      </c>
      <c r="U19">
        <v>0</v>
      </c>
      <c r="V19" t="s">
        <v>29</v>
      </c>
      <c r="W19">
        <v>14</v>
      </c>
      <c r="X19">
        <v>0</v>
      </c>
      <c r="Y19">
        <v>0</v>
      </c>
      <c r="Z19">
        <v>0</v>
      </c>
      <c r="AA19">
        <v>14</v>
      </c>
      <c r="AB19">
        <v>0</v>
      </c>
      <c r="AC19">
        <v>0</v>
      </c>
      <c r="AD19">
        <v>0</v>
      </c>
      <c r="AE19">
        <v>14</v>
      </c>
      <c r="AF19">
        <v>0</v>
      </c>
      <c r="AG19">
        <v>0</v>
      </c>
      <c r="AH19">
        <v>0</v>
      </c>
      <c r="AI19">
        <v>14</v>
      </c>
      <c r="AJ19">
        <v>0</v>
      </c>
      <c r="AK19">
        <v>0</v>
      </c>
      <c r="AL19">
        <v>0</v>
      </c>
      <c r="AM19">
        <v>14</v>
      </c>
      <c r="AN19">
        <v>0</v>
      </c>
      <c r="AO19">
        <v>0</v>
      </c>
      <c r="AP19">
        <v>0</v>
      </c>
      <c r="AQ19" t="s">
        <v>29</v>
      </c>
      <c r="AR19">
        <v>14</v>
      </c>
      <c r="AS19">
        <v>0</v>
      </c>
      <c r="AT19">
        <v>0</v>
      </c>
      <c r="AU19">
        <v>0</v>
      </c>
      <c r="AV19">
        <v>14</v>
      </c>
      <c r="AW19">
        <v>0</v>
      </c>
      <c r="AX19">
        <v>0</v>
      </c>
      <c r="AY19">
        <v>0</v>
      </c>
      <c r="AZ19">
        <v>14</v>
      </c>
      <c r="BA19">
        <v>0</v>
      </c>
      <c r="BB19">
        <v>0</v>
      </c>
      <c r="BC19">
        <v>0</v>
      </c>
      <c r="BD19">
        <v>14</v>
      </c>
      <c r="BE19">
        <v>0</v>
      </c>
      <c r="BF19">
        <v>0</v>
      </c>
      <c r="BG19">
        <v>0</v>
      </c>
      <c r="BH19">
        <v>14</v>
      </c>
      <c r="BI19">
        <v>0</v>
      </c>
      <c r="BJ19">
        <v>0</v>
      </c>
      <c r="BK19">
        <v>0</v>
      </c>
    </row>
    <row r="20" spans="1:63">
      <c r="A20" t="s">
        <v>98</v>
      </c>
      <c r="B20">
        <v>178</v>
      </c>
      <c r="C20">
        <v>5</v>
      </c>
      <c r="D20">
        <v>0</v>
      </c>
      <c r="E20">
        <v>0</v>
      </c>
      <c r="F20">
        <v>178</v>
      </c>
      <c r="G20">
        <v>5</v>
      </c>
      <c r="H20">
        <v>0</v>
      </c>
      <c r="I20">
        <v>0</v>
      </c>
      <c r="J20">
        <v>183</v>
      </c>
      <c r="K20">
        <v>0</v>
      </c>
      <c r="L20">
        <v>0</v>
      </c>
      <c r="M20">
        <v>0</v>
      </c>
      <c r="N20">
        <v>178</v>
      </c>
      <c r="O20">
        <v>0</v>
      </c>
      <c r="P20">
        <v>5</v>
      </c>
      <c r="Q20">
        <v>0</v>
      </c>
      <c r="R20">
        <v>183</v>
      </c>
      <c r="S20">
        <v>0</v>
      </c>
      <c r="T20">
        <v>0</v>
      </c>
      <c r="U20">
        <v>0</v>
      </c>
      <c r="V20" t="s">
        <v>98</v>
      </c>
      <c r="W20">
        <v>178</v>
      </c>
      <c r="X20">
        <v>5</v>
      </c>
      <c r="Y20">
        <v>0</v>
      </c>
      <c r="Z20">
        <v>0</v>
      </c>
      <c r="AA20">
        <v>178</v>
      </c>
      <c r="AB20">
        <v>5</v>
      </c>
      <c r="AC20">
        <v>0</v>
      </c>
      <c r="AD20">
        <v>0</v>
      </c>
      <c r="AE20">
        <v>183</v>
      </c>
      <c r="AF20">
        <v>0</v>
      </c>
      <c r="AG20">
        <v>0</v>
      </c>
      <c r="AH20">
        <v>0</v>
      </c>
      <c r="AI20">
        <v>178</v>
      </c>
      <c r="AJ20">
        <v>0</v>
      </c>
      <c r="AK20">
        <v>5</v>
      </c>
      <c r="AL20">
        <v>0</v>
      </c>
      <c r="AM20">
        <v>183</v>
      </c>
      <c r="AN20">
        <v>0</v>
      </c>
      <c r="AO20">
        <v>0</v>
      </c>
      <c r="AP20">
        <v>0</v>
      </c>
      <c r="AQ20" t="s">
        <v>98</v>
      </c>
      <c r="AR20">
        <v>178</v>
      </c>
      <c r="AS20">
        <v>5</v>
      </c>
      <c r="AT20">
        <v>0</v>
      </c>
      <c r="AU20">
        <v>0</v>
      </c>
      <c r="AV20">
        <v>178</v>
      </c>
      <c r="AW20">
        <v>5</v>
      </c>
      <c r="AX20">
        <v>0</v>
      </c>
      <c r="AY20">
        <v>0</v>
      </c>
      <c r="AZ20">
        <v>183</v>
      </c>
      <c r="BA20">
        <v>0</v>
      </c>
      <c r="BB20">
        <v>0</v>
      </c>
      <c r="BC20">
        <v>0</v>
      </c>
      <c r="BD20">
        <v>178</v>
      </c>
      <c r="BE20">
        <v>0</v>
      </c>
      <c r="BF20">
        <v>5</v>
      </c>
      <c r="BG20">
        <v>0</v>
      </c>
      <c r="BH20">
        <v>183</v>
      </c>
      <c r="BI20">
        <v>0</v>
      </c>
      <c r="BJ20">
        <v>0</v>
      </c>
      <c r="BK20">
        <v>0</v>
      </c>
    </row>
    <row r="21" spans="1:63">
      <c r="A21" t="s">
        <v>43</v>
      </c>
      <c r="B21">
        <v>127</v>
      </c>
      <c r="C21">
        <v>0</v>
      </c>
      <c r="D21">
        <v>0</v>
      </c>
      <c r="E21">
        <v>0</v>
      </c>
      <c r="F21">
        <v>127</v>
      </c>
      <c r="G21">
        <v>0</v>
      </c>
      <c r="H21">
        <v>0</v>
      </c>
      <c r="I21">
        <v>0</v>
      </c>
      <c r="J21">
        <v>127</v>
      </c>
      <c r="K21">
        <v>0</v>
      </c>
      <c r="L21">
        <v>0</v>
      </c>
      <c r="M21">
        <v>0</v>
      </c>
      <c r="N21">
        <v>127</v>
      </c>
      <c r="O21">
        <v>0</v>
      </c>
      <c r="P21">
        <v>0</v>
      </c>
      <c r="Q21">
        <v>0</v>
      </c>
      <c r="R21">
        <v>127</v>
      </c>
      <c r="S21">
        <v>0</v>
      </c>
      <c r="T21">
        <v>0</v>
      </c>
      <c r="U21">
        <v>0</v>
      </c>
      <c r="V21" t="s">
        <v>43</v>
      </c>
      <c r="W21">
        <v>127</v>
      </c>
      <c r="X21">
        <v>0</v>
      </c>
      <c r="Y21">
        <v>0</v>
      </c>
      <c r="Z21">
        <v>0</v>
      </c>
      <c r="AA21">
        <v>127</v>
      </c>
      <c r="AB21">
        <v>0</v>
      </c>
      <c r="AC21">
        <v>0</v>
      </c>
      <c r="AD21">
        <v>0</v>
      </c>
      <c r="AE21">
        <v>127</v>
      </c>
      <c r="AF21">
        <v>0</v>
      </c>
      <c r="AG21">
        <v>0</v>
      </c>
      <c r="AH21">
        <v>0</v>
      </c>
      <c r="AI21">
        <v>127</v>
      </c>
      <c r="AJ21">
        <v>0</v>
      </c>
      <c r="AK21">
        <v>0</v>
      </c>
      <c r="AL21">
        <v>0</v>
      </c>
      <c r="AM21">
        <v>127</v>
      </c>
      <c r="AN21">
        <v>0</v>
      </c>
      <c r="AO21">
        <v>0</v>
      </c>
      <c r="AP21">
        <v>0</v>
      </c>
      <c r="AQ21" t="s">
        <v>43</v>
      </c>
      <c r="AR21">
        <v>127</v>
      </c>
      <c r="AS21">
        <v>0</v>
      </c>
      <c r="AT21">
        <v>0</v>
      </c>
      <c r="AU21">
        <v>0</v>
      </c>
      <c r="AV21">
        <v>127</v>
      </c>
      <c r="AW21">
        <v>0</v>
      </c>
      <c r="AX21">
        <v>0</v>
      </c>
      <c r="AY21">
        <v>0</v>
      </c>
      <c r="AZ21">
        <v>127</v>
      </c>
      <c r="BA21">
        <v>0</v>
      </c>
      <c r="BB21">
        <v>0</v>
      </c>
      <c r="BC21">
        <v>0</v>
      </c>
      <c r="BD21">
        <v>127</v>
      </c>
      <c r="BE21">
        <v>0</v>
      </c>
      <c r="BF21">
        <v>0</v>
      </c>
      <c r="BG21">
        <v>0</v>
      </c>
      <c r="BH21">
        <v>127</v>
      </c>
      <c r="BI21">
        <v>0</v>
      </c>
      <c r="BJ21">
        <v>0</v>
      </c>
      <c r="BK21">
        <v>0</v>
      </c>
    </row>
    <row r="22" spans="1:63">
      <c r="A22" t="s">
        <v>28</v>
      </c>
      <c r="B22">
        <v>106</v>
      </c>
      <c r="C22">
        <v>0</v>
      </c>
      <c r="D22">
        <v>0</v>
      </c>
      <c r="E22">
        <v>0</v>
      </c>
      <c r="F22">
        <v>106</v>
      </c>
      <c r="G22">
        <v>0</v>
      </c>
      <c r="H22">
        <v>0</v>
      </c>
      <c r="I22">
        <v>0</v>
      </c>
      <c r="J22">
        <v>106</v>
      </c>
      <c r="K22">
        <v>0</v>
      </c>
      <c r="L22">
        <v>0</v>
      </c>
      <c r="M22">
        <v>0</v>
      </c>
      <c r="N22">
        <v>106</v>
      </c>
      <c r="O22">
        <v>0</v>
      </c>
      <c r="P22">
        <v>0</v>
      </c>
      <c r="Q22">
        <v>0</v>
      </c>
      <c r="R22">
        <v>106</v>
      </c>
      <c r="S22">
        <v>0</v>
      </c>
      <c r="T22">
        <v>0</v>
      </c>
      <c r="U22">
        <v>0</v>
      </c>
      <c r="V22" t="s">
        <v>28</v>
      </c>
      <c r="W22">
        <v>106</v>
      </c>
      <c r="X22">
        <v>0</v>
      </c>
      <c r="Y22">
        <v>0</v>
      </c>
      <c r="Z22">
        <v>0</v>
      </c>
      <c r="AA22">
        <v>106</v>
      </c>
      <c r="AB22">
        <v>0</v>
      </c>
      <c r="AC22">
        <v>0</v>
      </c>
      <c r="AD22">
        <v>0</v>
      </c>
      <c r="AE22">
        <v>106</v>
      </c>
      <c r="AF22">
        <v>0</v>
      </c>
      <c r="AG22">
        <v>0</v>
      </c>
      <c r="AH22">
        <v>0</v>
      </c>
      <c r="AI22">
        <v>106</v>
      </c>
      <c r="AJ22">
        <v>0</v>
      </c>
      <c r="AK22">
        <v>0</v>
      </c>
      <c r="AL22">
        <v>0</v>
      </c>
      <c r="AM22">
        <v>106</v>
      </c>
      <c r="AN22">
        <v>0</v>
      </c>
      <c r="AO22">
        <v>0</v>
      </c>
      <c r="AP22">
        <v>0</v>
      </c>
      <c r="AQ22" t="s">
        <v>28</v>
      </c>
      <c r="AR22">
        <v>106</v>
      </c>
      <c r="AS22">
        <v>0</v>
      </c>
      <c r="AT22">
        <v>0</v>
      </c>
      <c r="AU22">
        <v>0</v>
      </c>
      <c r="AV22">
        <v>106</v>
      </c>
      <c r="AW22">
        <v>0</v>
      </c>
      <c r="AX22">
        <v>0</v>
      </c>
      <c r="AY22">
        <v>0</v>
      </c>
      <c r="AZ22">
        <v>106</v>
      </c>
      <c r="BA22">
        <v>0</v>
      </c>
      <c r="BB22">
        <v>0</v>
      </c>
      <c r="BC22">
        <v>0</v>
      </c>
      <c r="BD22">
        <v>106</v>
      </c>
      <c r="BE22">
        <v>0</v>
      </c>
      <c r="BF22">
        <v>0</v>
      </c>
      <c r="BG22">
        <v>0</v>
      </c>
      <c r="BH22">
        <v>106</v>
      </c>
      <c r="BI22">
        <v>0</v>
      </c>
      <c r="BJ22">
        <v>0</v>
      </c>
      <c r="BK22">
        <v>0</v>
      </c>
    </row>
    <row r="23" spans="1:63">
      <c r="A23" t="s">
        <v>40</v>
      </c>
      <c r="B23">
        <v>3</v>
      </c>
      <c r="C23">
        <v>0</v>
      </c>
      <c r="D23">
        <v>0</v>
      </c>
      <c r="E23">
        <v>0</v>
      </c>
      <c r="F23">
        <v>3</v>
      </c>
      <c r="G23">
        <v>0</v>
      </c>
      <c r="H23">
        <v>0</v>
      </c>
      <c r="I23">
        <v>0</v>
      </c>
      <c r="J23">
        <v>3</v>
      </c>
      <c r="K23">
        <v>0</v>
      </c>
      <c r="L23">
        <v>0</v>
      </c>
      <c r="M23">
        <v>0</v>
      </c>
      <c r="N23">
        <v>3</v>
      </c>
      <c r="O23">
        <v>0</v>
      </c>
      <c r="P23">
        <v>0</v>
      </c>
      <c r="Q23">
        <v>0</v>
      </c>
      <c r="R23">
        <v>3</v>
      </c>
      <c r="S23">
        <v>0</v>
      </c>
      <c r="T23">
        <v>0</v>
      </c>
      <c r="U23">
        <v>0</v>
      </c>
      <c r="V23" t="s">
        <v>40</v>
      </c>
      <c r="W23">
        <v>3</v>
      </c>
      <c r="X23">
        <v>0</v>
      </c>
      <c r="Y23">
        <v>0</v>
      </c>
      <c r="Z23">
        <v>0</v>
      </c>
      <c r="AA23">
        <v>3</v>
      </c>
      <c r="AB23">
        <v>0</v>
      </c>
      <c r="AC23">
        <v>0</v>
      </c>
      <c r="AD23">
        <v>0</v>
      </c>
      <c r="AE23">
        <v>3</v>
      </c>
      <c r="AF23">
        <v>0</v>
      </c>
      <c r="AG23">
        <v>0</v>
      </c>
      <c r="AH23">
        <v>0</v>
      </c>
      <c r="AI23">
        <v>3</v>
      </c>
      <c r="AJ23">
        <v>0</v>
      </c>
      <c r="AK23">
        <v>0</v>
      </c>
      <c r="AL23">
        <v>0</v>
      </c>
      <c r="AM23">
        <v>3</v>
      </c>
      <c r="AN23">
        <v>0</v>
      </c>
      <c r="AO23">
        <v>0</v>
      </c>
      <c r="AP23">
        <v>0</v>
      </c>
      <c r="AQ23" t="s">
        <v>40</v>
      </c>
      <c r="AR23">
        <v>3</v>
      </c>
      <c r="AS23">
        <v>0</v>
      </c>
      <c r="AT23">
        <v>0</v>
      </c>
      <c r="AU23">
        <v>0</v>
      </c>
      <c r="AV23">
        <v>3</v>
      </c>
      <c r="AW23">
        <v>0</v>
      </c>
      <c r="AX23">
        <v>0</v>
      </c>
      <c r="AY23">
        <v>0</v>
      </c>
      <c r="AZ23">
        <v>3</v>
      </c>
      <c r="BA23">
        <v>0</v>
      </c>
      <c r="BB23">
        <v>0</v>
      </c>
      <c r="BC23">
        <v>0</v>
      </c>
      <c r="BD23">
        <v>3</v>
      </c>
      <c r="BE23">
        <v>0</v>
      </c>
      <c r="BF23">
        <v>0</v>
      </c>
      <c r="BG23">
        <v>0</v>
      </c>
      <c r="BH23">
        <v>3</v>
      </c>
      <c r="BI23">
        <v>0</v>
      </c>
      <c r="BJ23">
        <v>0</v>
      </c>
      <c r="BK23">
        <v>0</v>
      </c>
    </row>
    <row r="24" spans="1:63">
      <c r="A24" t="s">
        <v>56</v>
      </c>
      <c r="B24">
        <v>406</v>
      </c>
      <c r="C24">
        <v>0</v>
      </c>
      <c r="D24">
        <v>0</v>
      </c>
      <c r="E24">
        <v>0</v>
      </c>
      <c r="F24">
        <v>406</v>
      </c>
      <c r="G24">
        <v>0</v>
      </c>
      <c r="H24">
        <v>0</v>
      </c>
      <c r="I24">
        <v>0</v>
      </c>
      <c r="J24">
        <v>406</v>
      </c>
      <c r="K24">
        <v>0</v>
      </c>
      <c r="L24">
        <v>0</v>
      </c>
      <c r="M24">
        <v>0</v>
      </c>
      <c r="N24">
        <v>406</v>
      </c>
      <c r="O24">
        <v>0</v>
      </c>
      <c r="P24">
        <v>0</v>
      </c>
      <c r="Q24">
        <v>0</v>
      </c>
      <c r="R24">
        <v>406</v>
      </c>
      <c r="S24">
        <v>0</v>
      </c>
      <c r="T24">
        <v>0</v>
      </c>
      <c r="U24">
        <v>0</v>
      </c>
      <c r="V24" t="s">
        <v>56</v>
      </c>
      <c r="W24">
        <v>406</v>
      </c>
      <c r="X24">
        <v>0</v>
      </c>
      <c r="Y24">
        <v>0</v>
      </c>
      <c r="Z24">
        <v>0</v>
      </c>
      <c r="AA24">
        <v>406</v>
      </c>
      <c r="AB24">
        <v>0</v>
      </c>
      <c r="AC24">
        <v>0</v>
      </c>
      <c r="AD24">
        <v>0</v>
      </c>
      <c r="AE24">
        <v>406</v>
      </c>
      <c r="AF24">
        <v>0</v>
      </c>
      <c r="AG24">
        <v>0</v>
      </c>
      <c r="AH24">
        <v>0</v>
      </c>
      <c r="AI24">
        <v>406</v>
      </c>
      <c r="AJ24">
        <v>0</v>
      </c>
      <c r="AK24">
        <v>0</v>
      </c>
      <c r="AL24">
        <v>0</v>
      </c>
      <c r="AM24">
        <v>406</v>
      </c>
      <c r="AN24">
        <v>0</v>
      </c>
      <c r="AO24">
        <v>0</v>
      </c>
      <c r="AP24">
        <v>0</v>
      </c>
      <c r="AQ24" t="s">
        <v>56</v>
      </c>
      <c r="AR24">
        <v>406</v>
      </c>
      <c r="AS24">
        <v>0</v>
      </c>
      <c r="AT24">
        <v>0</v>
      </c>
      <c r="AU24">
        <v>0</v>
      </c>
      <c r="AV24">
        <v>406</v>
      </c>
      <c r="AW24">
        <v>0</v>
      </c>
      <c r="AX24">
        <v>0</v>
      </c>
      <c r="AY24">
        <v>0</v>
      </c>
      <c r="AZ24">
        <v>406</v>
      </c>
      <c r="BA24">
        <v>0</v>
      </c>
      <c r="BB24">
        <v>0</v>
      </c>
      <c r="BC24">
        <v>0</v>
      </c>
      <c r="BD24">
        <v>406</v>
      </c>
      <c r="BE24">
        <v>0</v>
      </c>
      <c r="BF24">
        <v>0</v>
      </c>
      <c r="BG24">
        <v>0</v>
      </c>
      <c r="BH24">
        <v>406</v>
      </c>
      <c r="BI24">
        <v>0</v>
      </c>
      <c r="BJ24">
        <v>0</v>
      </c>
      <c r="BK24">
        <v>0</v>
      </c>
    </row>
    <row r="25" spans="1:63">
      <c r="A25" t="s">
        <v>18</v>
      </c>
      <c r="B25">
        <v>192</v>
      </c>
      <c r="C25">
        <v>0</v>
      </c>
      <c r="D25">
        <v>0</v>
      </c>
      <c r="E25">
        <v>0</v>
      </c>
      <c r="F25">
        <v>192</v>
      </c>
      <c r="G25">
        <v>0</v>
      </c>
      <c r="H25">
        <v>0</v>
      </c>
      <c r="I25">
        <v>0</v>
      </c>
      <c r="J25">
        <v>192</v>
      </c>
      <c r="K25">
        <v>0</v>
      </c>
      <c r="L25">
        <v>0</v>
      </c>
      <c r="M25">
        <v>0</v>
      </c>
      <c r="N25">
        <v>192</v>
      </c>
      <c r="O25">
        <v>0</v>
      </c>
      <c r="P25">
        <v>0</v>
      </c>
      <c r="Q25">
        <v>0</v>
      </c>
      <c r="R25">
        <v>192</v>
      </c>
      <c r="S25">
        <v>0</v>
      </c>
      <c r="T25">
        <v>0</v>
      </c>
      <c r="U25">
        <v>0</v>
      </c>
      <c r="V25" t="s">
        <v>18</v>
      </c>
      <c r="W25">
        <v>192</v>
      </c>
      <c r="X25">
        <v>0</v>
      </c>
      <c r="Y25">
        <v>0</v>
      </c>
      <c r="Z25">
        <v>0</v>
      </c>
      <c r="AA25">
        <v>192</v>
      </c>
      <c r="AB25">
        <v>0</v>
      </c>
      <c r="AC25">
        <v>0</v>
      </c>
      <c r="AD25">
        <v>0</v>
      </c>
      <c r="AE25">
        <v>192</v>
      </c>
      <c r="AF25">
        <v>0</v>
      </c>
      <c r="AG25">
        <v>0</v>
      </c>
      <c r="AH25">
        <v>0</v>
      </c>
      <c r="AI25">
        <v>192</v>
      </c>
      <c r="AJ25">
        <v>0</v>
      </c>
      <c r="AK25">
        <v>0</v>
      </c>
      <c r="AL25">
        <v>0</v>
      </c>
      <c r="AM25">
        <v>192</v>
      </c>
      <c r="AN25">
        <v>0</v>
      </c>
      <c r="AO25">
        <v>0</v>
      </c>
      <c r="AP25">
        <v>0</v>
      </c>
      <c r="AQ25" t="s">
        <v>18</v>
      </c>
      <c r="AR25">
        <v>192</v>
      </c>
      <c r="AS25">
        <v>0</v>
      </c>
      <c r="AT25">
        <v>0</v>
      </c>
      <c r="AU25">
        <v>0</v>
      </c>
      <c r="AV25">
        <v>192</v>
      </c>
      <c r="AW25">
        <v>0</v>
      </c>
      <c r="AX25">
        <v>0</v>
      </c>
      <c r="AY25">
        <v>0</v>
      </c>
      <c r="AZ25">
        <v>192</v>
      </c>
      <c r="BA25">
        <v>0</v>
      </c>
      <c r="BB25">
        <v>0</v>
      </c>
      <c r="BC25">
        <v>0</v>
      </c>
      <c r="BD25">
        <v>192</v>
      </c>
      <c r="BE25">
        <v>0</v>
      </c>
      <c r="BF25">
        <v>0</v>
      </c>
      <c r="BG25">
        <v>0</v>
      </c>
      <c r="BH25">
        <v>192</v>
      </c>
      <c r="BI25">
        <v>0</v>
      </c>
      <c r="BJ25">
        <v>0</v>
      </c>
      <c r="BK25">
        <v>0</v>
      </c>
    </row>
    <row r="26" spans="1:63">
      <c r="A26" t="s">
        <v>27</v>
      </c>
      <c r="B26">
        <v>118</v>
      </c>
      <c r="C26">
        <v>0</v>
      </c>
      <c r="D26">
        <v>0</v>
      </c>
      <c r="E26">
        <v>0</v>
      </c>
      <c r="F26">
        <v>118</v>
      </c>
      <c r="G26">
        <v>0</v>
      </c>
      <c r="H26">
        <v>0</v>
      </c>
      <c r="I26">
        <v>0</v>
      </c>
      <c r="J26">
        <v>118</v>
      </c>
      <c r="K26">
        <v>0</v>
      </c>
      <c r="L26">
        <v>0</v>
      </c>
      <c r="M26">
        <v>0</v>
      </c>
      <c r="N26">
        <v>118</v>
      </c>
      <c r="O26">
        <v>0</v>
      </c>
      <c r="P26">
        <v>0</v>
      </c>
      <c r="Q26">
        <v>0</v>
      </c>
      <c r="R26">
        <v>118</v>
      </c>
      <c r="S26">
        <v>0</v>
      </c>
      <c r="T26">
        <v>0</v>
      </c>
      <c r="U26">
        <v>0</v>
      </c>
      <c r="V26" t="s">
        <v>27</v>
      </c>
      <c r="W26">
        <v>118</v>
      </c>
      <c r="X26">
        <v>0</v>
      </c>
      <c r="Y26">
        <v>0</v>
      </c>
      <c r="Z26">
        <v>0</v>
      </c>
      <c r="AA26">
        <v>118</v>
      </c>
      <c r="AB26">
        <v>0</v>
      </c>
      <c r="AC26">
        <v>0</v>
      </c>
      <c r="AD26">
        <v>0</v>
      </c>
      <c r="AE26">
        <v>118</v>
      </c>
      <c r="AF26">
        <v>0</v>
      </c>
      <c r="AG26">
        <v>0</v>
      </c>
      <c r="AH26">
        <v>0</v>
      </c>
      <c r="AI26">
        <v>118</v>
      </c>
      <c r="AJ26">
        <v>0</v>
      </c>
      <c r="AK26">
        <v>0</v>
      </c>
      <c r="AL26">
        <v>0</v>
      </c>
      <c r="AM26">
        <v>118</v>
      </c>
      <c r="AN26">
        <v>0</v>
      </c>
      <c r="AO26">
        <v>0</v>
      </c>
      <c r="AP26">
        <v>0</v>
      </c>
      <c r="AQ26" t="s">
        <v>27</v>
      </c>
      <c r="AR26">
        <v>118</v>
      </c>
      <c r="AS26">
        <v>0</v>
      </c>
      <c r="AT26">
        <v>0</v>
      </c>
      <c r="AU26">
        <v>0</v>
      </c>
      <c r="AV26">
        <v>118</v>
      </c>
      <c r="AW26">
        <v>0</v>
      </c>
      <c r="AX26">
        <v>0</v>
      </c>
      <c r="AY26">
        <v>0</v>
      </c>
      <c r="AZ26">
        <v>118</v>
      </c>
      <c r="BA26">
        <v>0</v>
      </c>
      <c r="BB26">
        <v>0</v>
      </c>
      <c r="BC26">
        <v>0</v>
      </c>
      <c r="BD26">
        <v>118</v>
      </c>
      <c r="BE26">
        <v>0</v>
      </c>
      <c r="BF26">
        <v>0</v>
      </c>
      <c r="BG26">
        <v>0</v>
      </c>
      <c r="BH26">
        <v>118</v>
      </c>
      <c r="BI26">
        <v>0</v>
      </c>
      <c r="BJ26">
        <v>0</v>
      </c>
      <c r="BK26">
        <v>0</v>
      </c>
    </row>
    <row r="27" spans="1:63">
      <c r="A27" t="s">
        <v>69</v>
      </c>
      <c r="B27">
        <v>30</v>
      </c>
      <c r="C27">
        <v>0</v>
      </c>
      <c r="D27">
        <v>0</v>
      </c>
      <c r="E27">
        <v>0</v>
      </c>
      <c r="F27">
        <v>30</v>
      </c>
      <c r="G27">
        <v>0</v>
      </c>
      <c r="H27">
        <v>0</v>
      </c>
      <c r="I27">
        <v>0</v>
      </c>
      <c r="J27">
        <v>30</v>
      </c>
      <c r="K27">
        <v>0</v>
      </c>
      <c r="L27">
        <v>0</v>
      </c>
      <c r="M27">
        <v>0</v>
      </c>
      <c r="N27">
        <v>30</v>
      </c>
      <c r="O27">
        <v>0</v>
      </c>
      <c r="P27">
        <v>0</v>
      </c>
      <c r="Q27">
        <v>0</v>
      </c>
      <c r="R27">
        <v>30</v>
      </c>
      <c r="S27">
        <v>0</v>
      </c>
      <c r="T27">
        <v>0</v>
      </c>
      <c r="U27">
        <v>0</v>
      </c>
      <c r="V27" t="s">
        <v>69</v>
      </c>
      <c r="W27">
        <v>30</v>
      </c>
      <c r="X27">
        <v>0</v>
      </c>
      <c r="Y27">
        <v>0</v>
      </c>
      <c r="Z27">
        <v>0</v>
      </c>
      <c r="AA27">
        <v>30</v>
      </c>
      <c r="AB27">
        <v>0</v>
      </c>
      <c r="AC27">
        <v>0</v>
      </c>
      <c r="AD27">
        <v>0</v>
      </c>
      <c r="AE27">
        <v>30</v>
      </c>
      <c r="AF27">
        <v>0</v>
      </c>
      <c r="AG27">
        <v>0</v>
      </c>
      <c r="AH27">
        <v>0</v>
      </c>
      <c r="AI27">
        <v>30</v>
      </c>
      <c r="AJ27">
        <v>0</v>
      </c>
      <c r="AK27">
        <v>0</v>
      </c>
      <c r="AL27">
        <v>0</v>
      </c>
      <c r="AM27">
        <v>30</v>
      </c>
      <c r="AN27">
        <v>0</v>
      </c>
      <c r="AO27">
        <v>0</v>
      </c>
      <c r="AP27">
        <v>0</v>
      </c>
      <c r="AQ27" t="s">
        <v>69</v>
      </c>
      <c r="AR27">
        <v>30</v>
      </c>
      <c r="AS27">
        <v>0</v>
      </c>
      <c r="AT27">
        <v>0</v>
      </c>
      <c r="AU27">
        <v>0</v>
      </c>
      <c r="AV27">
        <v>30</v>
      </c>
      <c r="AW27">
        <v>0</v>
      </c>
      <c r="AX27">
        <v>0</v>
      </c>
      <c r="AY27">
        <v>0</v>
      </c>
      <c r="AZ27">
        <v>30</v>
      </c>
      <c r="BA27">
        <v>0</v>
      </c>
      <c r="BB27">
        <v>0</v>
      </c>
      <c r="BC27">
        <v>0</v>
      </c>
      <c r="BD27">
        <v>30</v>
      </c>
      <c r="BE27">
        <v>0</v>
      </c>
      <c r="BF27">
        <v>0</v>
      </c>
      <c r="BG27">
        <v>0</v>
      </c>
      <c r="BH27">
        <v>30</v>
      </c>
      <c r="BI27">
        <v>0</v>
      </c>
      <c r="BJ27">
        <v>0</v>
      </c>
      <c r="BK27">
        <v>0</v>
      </c>
    </row>
    <row r="28" spans="1:63">
      <c r="A28" t="s">
        <v>71</v>
      </c>
      <c r="B28">
        <v>112</v>
      </c>
      <c r="C28">
        <v>0</v>
      </c>
      <c r="D28">
        <v>0</v>
      </c>
      <c r="E28">
        <v>0</v>
      </c>
      <c r="F28">
        <v>112</v>
      </c>
      <c r="G28">
        <v>0</v>
      </c>
      <c r="H28">
        <v>0</v>
      </c>
      <c r="I28">
        <v>0</v>
      </c>
      <c r="J28">
        <v>112</v>
      </c>
      <c r="K28">
        <v>0</v>
      </c>
      <c r="L28">
        <v>0</v>
      </c>
      <c r="M28">
        <v>0</v>
      </c>
      <c r="N28">
        <v>112</v>
      </c>
      <c r="O28">
        <v>0</v>
      </c>
      <c r="P28">
        <v>0</v>
      </c>
      <c r="Q28">
        <v>0</v>
      </c>
      <c r="R28">
        <v>112</v>
      </c>
      <c r="S28">
        <v>0</v>
      </c>
      <c r="T28">
        <v>0</v>
      </c>
      <c r="U28">
        <v>0</v>
      </c>
      <c r="V28" t="s">
        <v>71</v>
      </c>
      <c r="W28">
        <v>112</v>
      </c>
      <c r="X28">
        <v>0</v>
      </c>
      <c r="Y28">
        <v>0</v>
      </c>
      <c r="Z28">
        <v>0</v>
      </c>
      <c r="AA28">
        <v>112</v>
      </c>
      <c r="AB28">
        <v>0</v>
      </c>
      <c r="AC28">
        <v>0</v>
      </c>
      <c r="AD28">
        <v>0</v>
      </c>
      <c r="AE28">
        <v>112</v>
      </c>
      <c r="AF28">
        <v>0</v>
      </c>
      <c r="AG28">
        <v>0</v>
      </c>
      <c r="AH28">
        <v>0</v>
      </c>
      <c r="AI28">
        <v>112</v>
      </c>
      <c r="AJ28">
        <v>0</v>
      </c>
      <c r="AK28">
        <v>0</v>
      </c>
      <c r="AL28">
        <v>0</v>
      </c>
      <c r="AM28">
        <v>112</v>
      </c>
      <c r="AN28">
        <v>0</v>
      </c>
      <c r="AO28">
        <v>0</v>
      </c>
      <c r="AP28">
        <v>0</v>
      </c>
      <c r="AQ28" t="s">
        <v>71</v>
      </c>
      <c r="AR28">
        <v>112</v>
      </c>
      <c r="AS28">
        <v>0</v>
      </c>
      <c r="AT28">
        <v>0</v>
      </c>
      <c r="AU28">
        <v>0</v>
      </c>
      <c r="AV28">
        <v>112</v>
      </c>
      <c r="AW28">
        <v>0</v>
      </c>
      <c r="AX28">
        <v>0</v>
      </c>
      <c r="AY28">
        <v>0</v>
      </c>
      <c r="AZ28">
        <v>112</v>
      </c>
      <c r="BA28">
        <v>0</v>
      </c>
      <c r="BB28">
        <v>0</v>
      </c>
      <c r="BC28">
        <v>0</v>
      </c>
      <c r="BD28">
        <v>112</v>
      </c>
      <c r="BE28">
        <v>0</v>
      </c>
      <c r="BF28">
        <v>0</v>
      </c>
      <c r="BG28">
        <v>0</v>
      </c>
      <c r="BH28">
        <v>112</v>
      </c>
      <c r="BI28">
        <v>0</v>
      </c>
      <c r="BJ28">
        <v>0</v>
      </c>
      <c r="BK28">
        <v>0</v>
      </c>
    </row>
    <row r="29" spans="1:63">
      <c r="A29" t="s">
        <v>22</v>
      </c>
      <c r="B29">
        <v>44</v>
      </c>
      <c r="C29">
        <v>0</v>
      </c>
      <c r="D29">
        <v>0</v>
      </c>
      <c r="E29">
        <v>0</v>
      </c>
      <c r="F29">
        <v>44</v>
      </c>
      <c r="G29">
        <v>0</v>
      </c>
      <c r="H29">
        <v>0</v>
      </c>
      <c r="I29">
        <v>0</v>
      </c>
      <c r="J29">
        <v>44</v>
      </c>
      <c r="K29">
        <v>0</v>
      </c>
      <c r="L29">
        <v>0</v>
      </c>
      <c r="M29">
        <v>0</v>
      </c>
      <c r="N29">
        <v>44</v>
      </c>
      <c r="O29">
        <v>0</v>
      </c>
      <c r="P29">
        <v>0</v>
      </c>
      <c r="Q29">
        <v>0</v>
      </c>
      <c r="R29">
        <v>44</v>
      </c>
      <c r="S29">
        <v>0</v>
      </c>
      <c r="T29">
        <v>0</v>
      </c>
      <c r="U29">
        <v>0</v>
      </c>
      <c r="V29" t="s">
        <v>22</v>
      </c>
      <c r="W29">
        <v>44</v>
      </c>
      <c r="X29">
        <v>0</v>
      </c>
      <c r="Y29">
        <v>0</v>
      </c>
      <c r="Z29">
        <v>0</v>
      </c>
      <c r="AA29">
        <v>44</v>
      </c>
      <c r="AB29">
        <v>0</v>
      </c>
      <c r="AC29">
        <v>0</v>
      </c>
      <c r="AD29">
        <v>0</v>
      </c>
      <c r="AE29">
        <v>44</v>
      </c>
      <c r="AF29">
        <v>0</v>
      </c>
      <c r="AG29">
        <v>0</v>
      </c>
      <c r="AH29">
        <v>0</v>
      </c>
      <c r="AI29">
        <v>44</v>
      </c>
      <c r="AJ29">
        <v>0</v>
      </c>
      <c r="AK29">
        <v>0</v>
      </c>
      <c r="AL29">
        <v>0</v>
      </c>
      <c r="AM29">
        <v>44</v>
      </c>
      <c r="AN29">
        <v>0</v>
      </c>
      <c r="AO29">
        <v>0</v>
      </c>
      <c r="AP29">
        <v>0</v>
      </c>
      <c r="AQ29" t="s">
        <v>22</v>
      </c>
      <c r="AR29">
        <v>44</v>
      </c>
      <c r="AS29">
        <v>0</v>
      </c>
      <c r="AT29">
        <v>0</v>
      </c>
      <c r="AU29">
        <v>0</v>
      </c>
      <c r="AV29">
        <v>44</v>
      </c>
      <c r="AW29">
        <v>0</v>
      </c>
      <c r="AX29">
        <v>0</v>
      </c>
      <c r="AY29">
        <v>0</v>
      </c>
      <c r="AZ29">
        <v>44</v>
      </c>
      <c r="BA29">
        <v>0</v>
      </c>
      <c r="BB29">
        <v>0</v>
      </c>
      <c r="BC29">
        <v>0</v>
      </c>
      <c r="BD29">
        <v>44</v>
      </c>
      <c r="BE29">
        <v>0</v>
      </c>
      <c r="BF29">
        <v>0</v>
      </c>
      <c r="BG29">
        <v>0</v>
      </c>
      <c r="BH29">
        <v>44</v>
      </c>
      <c r="BI29">
        <v>0</v>
      </c>
      <c r="BJ29">
        <v>0</v>
      </c>
      <c r="BK29">
        <v>0</v>
      </c>
    </row>
    <row r="30" spans="1:63">
      <c r="A30" t="s">
        <v>94</v>
      </c>
      <c r="B30">
        <v>6</v>
      </c>
      <c r="C30">
        <v>0</v>
      </c>
      <c r="D30">
        <v>0</v>
      </c>
      <c r="E30">
        <v>0</v>
      </c>
      <c r="F30">
        <v>6</v>
      </c>
      <c r="G30">
        <v>0</v>
      </c>
      <c r="H30">
        <v>0</v>
      </c>
      <c r="I30">
        <v>0</v>
      </c>
      <c r="J30">
        <v>6</v>
      </c>
      <c r="K30">
        <v>0</v>
      </c>
      <c r="L30">
        <v>0</v>
      </c>
      <c r="M30">
        <v>0</v>
      </c>
      <c r="N30">
        <v>6</v>
      </c>
      <c r="O30">
        <v>0</v>
      </c>
      <c r="P30">
        <v>0</v>
      </c>
      <c r="Q30">
        <v>0</v>
      </c>
      <c r="R30">
        <v>6</v>
      </c>
      <c r="S30">
        <v>0</v>
      </c>
      <c r="T30">
        <v>0</v>
      </c>
      <c r="U30">
        <v>0</v>
      </c>
      <c r="V30" t="s">
        <v>94</v>
      </c>
      <c r="W30">
        <v>6</v>
      </c>
      <c r="X30">
        <v>0</v>
      </c>
      <c r="Y30">
        <v>0</v>
      </c>
      <c r="Z30">
        <v>0</v>
      </c>
      <c r="AA30">
        <v>6</v>
      </c>
      <c r="AB30">
        <v>0</v>
      </c>
      <c r="AC30">
        <v>0</v>
      </c>
      <c r="AD30">
        <v>0</v>
      </c>
      <c r="AE30">
        <v>6</v>
      </c>
      <c r="AF30">
        <v>0</v>
      </c>
      <c r="AG30">
        <v>0</v>
      </c>
      <c r="AH30">
        <v>0</v>
      </c>
      <c r="AI30">
        <v>6</v>
      </c>
      <c r="AJ30">
        <v>0</v>
      </c>
      <c r="AK30">
        <v>0</v>
      </c>
      <c r="AL30">
        <v>0</v>
      </c>
      <c r="AM30">
        <v>6</v>
      </c>
      <c r="AN30">
        <v>0</v>
      </c>
      <c r="AO30">
        <v>0</v>
      </c>
      <c r="AP30">
        <v>0</v>
      </c>
      <c r="AQ30" t="s">
        <v>94</v>
      </c>
      <c r="AR30">
        <v>6</v>
      </c>
      <c r="AS30">
        <v>0</v>
      </c>
      <c r="AT30">
        <v>0</v>
      </c>
      <c r="AU30">
        <v>0</v>
      </c>
      <c r="AV30">
        <v>6</v>
      </c>
      <c r="AW30">
        <v>0</v>
      </c>
      <c r="AX30">
        <v>0</v>
      </c>
      <c r="AY30">
        <v>0</v>
      </c>
      <c r="AZ30">
        <v>6</v>
      </c>
      <c r="BA30">
        <v>0</v>
      </c>
      <c r="BB30">
        <v>0</v>
      </c>
      <c r="BC30">
        <v>0</v>
      </c>
      <c r="BD30">
        <v>6</v>
      </c>
      <c r="BE30">
        <v>0</v>
      </c>
      <c r="BF30">
        <v>0</v>
      </c>
      <c r="BG30">
        <v>0</v>
      </c>
      <c r="BH30">
        <v>6</v>
      </c>
      <c r="BI30">
        <v>0</v>
      </c>
      <c r="BJ30">
        <v>0</v>
      </c>
      <c r="BK30">
        <v>0</v>
      </c>
    </row>
    <row r="31" spans="1:63">
      <c r="A31" t="s">
        <v>20</v>
      </c>
      <c r="B31">
        <v>112</v>
      </c>
      <c r="C31">
        <v>0</v>
      </c>
      <c r="D31">
        <v>0</v>
      </c>
      <c r="E31">
        <v>0</v>
      </c>
      <c r="F31">
        <v>112</v>
      </c>
      <c r="G31">
        <v>0</v>
      </c>
      <c r="H31">
        <v>0</v>
      </c>
      <c r="I31">
        <v>0</v>
      </c>
      <c r="J31">
        <v>112</v>
      </c>
      <c r="K31">
        <v>0</v>
      </c>
      <c r="L31">
        <v>0</v>
      </c>
      <c r="M31">
        <v>0</v>
      </c>
      <c r="N31">
        <v>112</v>
      </c>
      <c r="O31">
        <v>0</v>
      </c>
      <c r="P31">
        <v>0</v>
      </c>
      <c r="Q31">
        <v>0</v>
      </c>
      <c r="R31">
        <v>112</v>
      </c>
      <c r="S31">
        <v>0</v>
      </c>
      <c r="T31">
        <v>0</v>
      </c>
      <c r="U31">
        <v>0</v>
      </c>
      <c r="V31" t="s">
        <v>20</v>
      </c>
      <c r="W31">
        <v>112</v>
      </c>
      <c r="X31">
        <v>0</v>
      </c>
      <c r="Y31">
        <v>0</v>
      </c>
      <c r="Z31">
        <v>0</v>
      </c>
      <c r="AA31">
        <v>112</v>
      </c>
      <c r="AB31">
        <v>0</v>
      </c>
      <c r="AC31">
        <v>0</v>
      </c>
      <c r="AD31">
        <v>0</v>
      </c>
      <c r="AE31">
        <v>112</v>
      </c>
      <c r="AF31">
        <v>0</v>
      </c>
      <c r="AG31">
        <v>0</v>
      </c>
      <c r="AH31">
        <v>0</v>
      </c>
      <c r="AI31">
        <v>112</v>
      </c>
      <c r="AJ31">
        <v>0</v>
      </c>
      <c r="AK31">
        <v>0</v>
      </c>
      <c r="AL31">
        <v>0</v>
      </c>
      <c r="AM31">
        <v>112</v>
      </c>
      <c r="AN31">
        <v>0</v>
      </c>
      <c r="AO31">
        <v>0</v>
      </c>
      <c r="AP31">
        <v>0</v>
      </c>
      <c r="AQ31" t="s">
        <v>20</v>
      </c>
      <c r="AR31">
        <v>112</v>
      </c>
      <c r="AS31">
        <v>0</v>
      </c>
      <c r="AT31">
        <v>0</v>
      </c>
      <c r="AU31">
        <v>0</v>
      </c>
      <c r="AV31">
        <v>112</v>
      </c>
      <c r="AW31">
        <v>0</v>
      </c>
      <c r="AX31">
        <v>0</v>
      </c>
      <c r="AY31">
        <v>0</v>
      </c>
      <c r="AZ31">
        <v>112</v>
      </c>
      <c r="BA31">
        <v>0</v>
      </c>
      <c r="BB31">
        <v>0</v>
      </c>
      <c r="BC31">
        <v>0</v>
      </c>
      <c r="BD31">
        <v>112</v>
      </c>
      <c r="BE31">
        <v>0</v>
      </c>
      <c r="BF31">
        <v>0</v>
      </c>
      <c r="BG31">
        <v>0</v>
      </c>
      <c r="BH31">
        <v>112</v>
      </c>
      <c r="BI31">
        <v>0</v>
      </c>
      <c r="BJ31">
        <v>0</v>
      </c>
      <c r="BK31">
        <v>0</v>
      </c>
    </row>
    <row r="32" spans="1:63">
      <c r="A32" t="s">
        <v>24</v>
      </c>
      <c r="B32">
        <v>43</v>
      </c>
      <c r="C32">
        <v>0</v>
      </c>
      <c r="D32">
        <v>0</v>
      </c>
      <c r="E32">
        <v>0</v>
      </c>
      <c r="F32">
        <v>43</v>
      </c>
      <c r="G32">
        <v>0</v>
      </c>
      <c r="H32">
        <v>0</v>
      </c>
      <c r="I32">
        <v>0</v>
      </c>
      <c r="J32">
        <v>43</v>
      </c>
      <c r="K32">
        <v>0</v>
      </c>
      <c r="L32">
        <v>0</v>
      </c>
      <c r="M32">
        <v>0</v>
      </c>
      <c r="N32">
        <v>43</v>
      </c>
      <c r="O32">
        <v>0</v>
      </c>
      <c r="P32">
        <v>0</v>
      </c>
      <c r="Q32">
        <v>0</v>
      </c>
      <c r="R32">
        <v>43</v>
      </c>
      <c r="S32">
        <v>0</v>
      </c>
      <c r="T32">
        <v>0</v>
      </c>
      <c r="U32">
        <v>0</v>
      </c>
      <c r="V32" t="s">
        <v>24</v>
      </c>
      <c r="W32">
        <v>43</v>
      </c>
      <c r="X32">
        <v>0</v>
      </c>
      <c r="Y32">
        <v>0</v>
      </c>
      <c r="Z32">
        <v>0</v>
      </c>
      <c r="AA32">
        <v>43</v>
      </c>
      <c r="AB32">
        <v>0</v>
      </c>
      <c r="AC32">
        <v>0</v>
      </c>
      <c r="AD32">
        <v>0</v>
      </c>
      <c r="AE32">
        <v>43</v>
      </c>
      <c r="AF32">
        <v>0</v>
      </c>
      <c r="AG32">
        <v>0</v>
      </c>
      <c r="AH32">
        <v>0</v>
      </c>
      <c r="AI32">
        <v>43</v>
      </c>
      <c r="AJ32">
        <v>0</v>
      </c>
      <c r="AK32">
        <v>0</v>
      </c>
      <c r="AL32">
        <v>0</v>
      </c>
      <c r="AM32">
        <v>43</v>
      </c>
      <c r="AN32">
        <v>0</v>
      </c>
      <c r="AO32">
        <v>0</v>
      </c>
      <c r="AP32">
        <v>0</v>
      </c>
      <c r="AQ32" t="s">
        <v>24</v>
      </c>
      <c r="AR32">
        <v>43</v>
      </c>
      <c r="AS32">
        <v>0</v>
      </c>
      <c r="AT32">
        <v>0</v>
      </c>
      <c r="AU32">
        <v>0</v>
      </c>
      <c r="AV32">
        <v>43</v>
      </c>
      <c r="AW32">
        <v>0</v>
      </c>
      <c r="AX32">
        <v>0</v>
      </c>
      <c r="AY32">
        <v>0</v>
      </c>
      <c r="AZ32">
        <v>43</v>
      </c>
      <c r="BA32">
        <v>0</v>
      </c>
      <c r="BB32">
        <v>0</v>
      </c>
      <c r="BC32">
        <v>0</v>
      </c>
      <c r="BD32">
        <v>43</v>
      </c>
      <c r="BE32">
        <v>0</v>
      </c>
      <c r="BF32">
        <v>0</v>
      </c>
      <c r="BG32">
        <v>0</v>
      </c>
      <c r="BH32">
        <v>43</v>
      </c>
      <c r="BI32">
        <v>0</v>
      </c>
      <c r="BJ32">
        <v>0</v>
      </c>
      <c r="BK32">
        <v>0</v>
      </c>
    </row>
    <row r="33" spans="1:63">
      <c r="A33" t="s">
        <v>26</v>
      </c>
      <c r="B33">
        <v>4</v>
      </c>
      <c r="C33">
        <v>0</v>
      </c>
      <c r="D33">
        <v>0</v>
      </c>
      <c r="E33">
        <v>0</v>
      </c>
      <c r="F33">
        <v>4</v>
      </c>
      <c r="G33">
        <v>0</v>
      </c>
      <c r="H33">
        <v>0</v>
      </c>
      <c r="I33">
        <v>0</v>
      </c>
      <c r="J33">
        <v>4</v>
      </c>
      <c r="K33">
        <v>0</v>
      </c>
      <c r="L33">
        <v>0</v>
      </c>
      <c r="M33">
        <v>0</v>
      </c>
      <c r="N33">
        <v>4</v>
      </c>
      <c r="O33">
        <v>0</v>
      </c>
      <c r="P33">
        <v>0</v>
      </c>
      <c r="Q33">
        <v>0</v>
      </c>
      <c r="R33">
        <v>4</v>
      </c>
      <c r="S33">
        <v>0</v>
      </c>
      <c r="T33">
        <v>0</v>
      </c>
      <c r="U33">
        <v>0</v>
      </c>
      <c r="V33" t="s">
        <v>26</v>
      </c>
      <c r="W33">
        <v>4</v>
      </c>
      <c r="X33">
        <v>0</v>
      </c>
      <c r="Y33">
        <v>0</v>
      </c>
      <c r="Z33">
        <v>0</v>
      </c>
      <c r="AA33">
        <v>4</v>
      </c>
      <c r="AB33">
        <v>0</v>
      </c>
      <c r="AC33">
        <v>0</v>
      </c>
      <c r="AD33">
        <v>0</v>
      </c>
      <c r="AE33">
        <v>4</v>
      </c>
      <c r="AF33">
        <v>0</v>
      </c>
      <c r="AG33">
        <v>0</v>
      </c>
      <c r="AH33">
        <v>0</v>
      </c>
      <c r="AI33">
        <v>4</v>
      </c>
      <c r="AJ33">
        <v>0</v>
      </c>
      <c r="AK33">
        <v>0</v>
      </c>
      <c r="AL33">
        <v>0</v>
      </c>
      <c r="AM33">
        <v>4</v>
      </c>
      <c r="AN33">
        <v>0</v>
      </c>
      <c r="AO33">
        <v>0</v>
      </c>
      <c r="AP33">
        <v>0</v>
      </c>
      <c r="AQ33" t="s">
        <v>26</v>
      </c>
      <c r="AR33">
        <v>4</v>
      </c>
      <c r="AS33">
        <v>0</v>
      </c>
      <c r="AT33">
        <v>0</v>
      </c>
      <c r="AU33">
        <v>0</v>
      </c>
      <c r="AV33">
        <v>4</v>
      </c>
      <c r="AW33">
        <v>0</v>
      </c>
      <c r="AX33">
        <v>0</v>
      </c>
      <c r="AY33">
        <v>0</v>
      </c>
      <c r="AZ33">
        <v>4</v>
      </c>
      <c r="BA33">
        <v>0</v>
      </c>
      <c r="BB33">
        <v>0</v>
      </c>
      <c r="BC33">
        <v>0</v>
      </c>
      <c r="BD33">
        <v>4</v>
      </c>
      <c r="BE33">
        <v>0</v>
      </c>
      <c r="BF33">
        <v>0</v>
      </c>
      <c r="BG33">
        <v>0</v>
      </c>
      <c r="BH33">
        <v>4</v>
      </c>
      <c r="BI33">
        <v>0</v>
      </c>
      <c r="BJ33">
        <v>0</v>
      </c>
      <c r="BK33">
        <v>0</v>
      </c>
    </row>
    <row r="34" spans="1:63">
      <c r="A34" t="s">
        <v>104</v>
      </c>
      <c r="B34">
        <v>7</v>
      </c>
      <c r="C34">
        <v>0</v>
      </c>
      <c r="D34">
        <v>0</v>
      </c>
      <c r="E34">
        <v>0</v>
      </c>
      <c r="F34">
        <v>7</v>
      </c>
      <c r="G34">
        <v>0</v>
      </c>
      <c r="H34">
        <v>0</v>
      </c>
      <c r="I34">
        <v>0</v>
      </c>
      <c r="J34">
        <v>7</v>
      </c>
      <c r="K34">
        <v>0</v>
      </c>
      <c r="L34">
        <v>0</v>
      </c>
      <c r="M34">
        <v>0</v>
      </c>
      <c r="N34">
        <v>7</v>
      </c>
      <c r="O34">
        <v>0</v>
      </c>
      <c r="P34">
        <v>0</v>
      </c>
      <c r="Q34">
        <v>0</v>
      </c>
      <c r="R34">
        <v>7</v>
      </c>
      <c r="S34">
        <v>0</v>
      </c>
      <c r="T34">
        <v>0</v>
      </c>
      <c r="U34">
        <v>0</v>
      </c>
      <c r="V34" t="s">
        <v>104</v>
      </c>
      <c r="W34">
        <v>7</v>
      </c>
      <c r="X34">
        <v>0</v>
      </c>
      <c r="Y34">
        <v>0</v>
      </c>
      <c r="Z34">
        <v>0</v>
      </c>
      <c r="AA34">
        <v>7</v>
      </c>
      <c r="AB34">
        <v>0</v>
      </c>
      <c r="AC34">
        <v>0</v>
      </c>
      <c r="AD34">
        <v>0</v>
      </c>
      <c r="AE34">
        <v>7</v>
      </c>
      <c r="AF34">
        <v>0</v>
      </c>
      <c r="AG34">
        <v>0</v>
      </c>
      <c r="AH34">
        <v>0</v>
      </c>
      <c r="AI34">
        <v>7</v>
      </c>
      <c r="AJ34">
        <v>0</v>
      </c>
      <c r="AK34">
        <v>0</v>
      </c>
      <c r="AL34">
        <v>0</v>
      </c>
      <c r="AM34">
        <v>7</v>
      </c>
      <c r="AN34">
        <v>0</v>
      </c>
      <c r="AO34">
        <v>0</v>
      </c>
      <c r="AP34">
        <v>0</v>
      </c>
      <c r="AQ34" t="s">
        <v>104</v>
      </c>
      <c r="AR34">
        <v>7</v>
      </c>
      <c r="AS34">
        <v>0</v>
      </c>
      <c r="AT34">
        <v>0</v>
      </c>
      <c r="AU34">
        <v>0</v>
      </c>
      <c r="AV34">
        <v>7</v>
      </c>
      <c r="AW34">
        <v>0</v>
      </c>
      <c r="AX34">
        <v>0</v>
      </c>
      <c r="AY34">
        <v>0</v>
      </c>
      <c r="AZ34">
        <v>7</v>
      </c>
      <c r="BA34">
        <v>0</v>
      </c>
      <c r="BB34">
        <v>0</v>
      </c>
      <c r="BC34">
        <v>0</v>
      </c>
      <c r="BD34">
        <v>7</v>
      </c>
      <c r="BE34">
        <v>0</v>
      </c>
      <c r="BF34">
        <v>0</v>
      </c>
      <c r="BG34">
        <v>0</v>
      </c>
      <c r="BH34">
        <v>7</v>
      </c>
      <c r="BI34">
        <v>0</v>
      </c>
      <c r="BJ34">
        <v>0</v>
      </c>
      <c r="BK34">
        <v>0</v>
      </c>
    </row>
    <row r="35" spans="1:63">
      <c r="A35" t="s">
        <v>16</v>
      </c>
      <c r="B35">
        <v>88</v>
      </c>
      <c r="C35">
        <v>0</v>
      </c>
      <c r="D35">
        <v>0</v>
      </c>
      <c r="E35">
        <v>0</v>
      </c>
      <c r="F35">
        <v>88</v>
      </c>
      <c r="G35">
        <v>0</v>
      </c>
      <c r="H35">
        <v>0</v>
      </c>
      <c r="I35">
        <v>0</v>
      </c>
      <c r="J35">
        <v>88</v>
      </c>
      <c r="K35">
        <v>0</v>
      </c>
      <c r="L35">
        <v>0</v>
      </c>
      <c r="M35">
        <v>0</v>
      </c>
      <c r="N35">
        <v>88</v>
      </c>
      <c r="O35">
        <v>0</v>
      </c>
      <c r="P35">
        <v>0</v>
      </c>
      <c r="Q35">
        <v>0</v>
      </c>
      <c r="R35">
        <v>88</v>
      </c>
      <c r="S35">
        <v>0</v>
      </c>
      <c r="T35">
        <v>0</v>
      </c>
      <c r="U35">
        <v>0</v>
      </c>
      <c r="V35" t="s">
        <v>16</v>
      </c>
      <c r="W35">
        <v>88</v>
      </c>
      <c r="X35">
        <v>0</v>
      </c>
      <c r="Y35">
        <v>0</v>
      </c>
      <c r="Z35">
        <v>0</v>
      </c>
      <c r="AA35">
        <v>88</v>
      </c>
      <c r="AB35">
        <v>0</v>
      </c>
      <c r="AC35">
        <v>0</v>
      </c>
      <c r="AD35">
        <v>0</v>
      </c>
      <c r="AE35">
        <v>88</v>
      </c>
      <c r="AF35">
        <v>0</v>
      </c>
      <c r="AG35">
        <v>0</v>
      </c>
      <c r="AH35">
        <v>0</v>
      </c>
      <c r="AI35">
        <v>88</v>
      </c>
      <c r="AJ35">
        <v>0</v>
      </c>
      <c r="AK35">
        <v>0</v>
      </c>
      <c r="AL35">
        <v>0</v>
      </c>
      <c r="AM35">
        <v>88</v>
      </c>
      <c r="AN35">
        <v>0</v>
      </c>
      <c r="AO35">
        <v>0</v>
      </c>
      <c r="AP35">
        <v>0</v>
      </c>
      <c r="AQ35" t="s">
        <v>16</v>
      </c>
      <c r="AR35">
        <v>88</v>
      </c>
      <c r="AS35">
        <v>0</v>
      </c>
      <c r="AT35">
        <v>0</v>
      </c>
      <c r="AU35">
        <v>0</v>
      </c>
      <c r="AV35">
        <v>88</v>
      </c>
      <c r="AW35">
        <v>0</v>
      </c>
      <c r="AX35">
        <v>0</v>
      </c>
      <c r="AY35">
        <v>0</v>
      </c>
      <c r="AZ35">
        <v>88</v>
      </c>
      <c r="BA35">
        <v>0</v>
      </c>
      <c r="BB35">
        <v>0</v>
      </c>
      <c r="BC35">
        <v>0</v>
      </c>
      <c r="BD35">
        <v>88</v>
      </c>
      <c r="BE35">
        <v>0</v>
      </c>
      <c r="BF35">
        <v>0</v>
      </c>
      <c r="BG35">
        <v>0</v>
      </c>
      <c r="BH35">
        <v>88</v>
      </c>
      <c r="BI35">
        <v>0</v>
      </c>
      <c r="BJ35">
        <v>0</v>
      </c>
      <c r="BK35">
        <v>0</v>
      </c>
    </row>
    <row r="36" spans="1:63">
      <c r="A36" t="s">
        <v>91</v>
      </c>
      <c r="B36">
        <v>71</v>
      </c>
      <c r="C36">
        <v>0</v>
      </c>
      <c r="D36">
        <v>0</v>
      </c>
      <c r="E36">
        <v>0</v>
      </c>
      <c r="F36">
        <v>71</v>
      </c>
      <c r="G36">
        <v>0</v>
      </c>
      <c r="H36">
        <v>0</v>
      </c>
      <c r="I36">
        <v>0</v>
      </c>
      <c r="J36">
        <v>71</v>
      </c>
      <c r="K36">
        <v>0</v>
      </c>
      <c r="L36">
        <v>0</v>
      </c>
      <c r="M36">
        <v>0</v>
      </c>
      <c r="N36">
        <v>71</v>
      </c>
      <c r="O36">
        <v>0</v>
      </c>
      <c r="P36">
        <v>0</v>
      </c>
      <c r="Q36">
        <v>0</v>
      </c>
      <c r="R36">
        <v>71</v>
      </c>
      <c r="S36">
        <v>0</v>
      </c>
      <c r="T36">
        <v>0</v>
      </c>
      <c r="U36">
        <v>0</v>
      </c>
      <c r="V36" t="s">
        <v>91</v>
      </c>
      <c r="W36">
        <v>71</v>
      </c>
      <c r="X36">
        <v>0</v>
      </c>
      <c r="Y36">
        <v>0</v>
      </c>
      <c r="Z36">
        <v>0</v>
      </c>
      <c r="AA36">
        <v>71</v>
      </c>
      <c r="AB36">
        <v>0</v>
      </c>
      <c r="AC36">
        <v>0</v>
      </c>
      <c r="AD36">
        <v>0</v>
      </c>
      <c r="AE36">
        <v>71</v>
      </c>
      <c r="AF36">
        <v>0</v>
      </c>
      <c r="AG36">
        <v>0</v>
      </c>
      <c r="AH36">
        <v>0</v>
      </c>
      <c r="AI36">
        <v>71</v>
      </c>
      <c r="AJ36">
        <v>0</v>
      </c>
      <c r="AK36">
        <v>0</v>
      </c>
      <c r="AL36">
        <v>0</v>
      </c>
      <c r="AM36">
        <v>71</v>
      </c>
      <c r="AN36">
        <v>0</v>
      </c>
      <c r="AO36">
        <v>0</v>
      </c>
      <c r="AP36">
        <v>0</v>
      </c>
      <c r="AQ36" t="s">
        <v>91</v>
      </c>
      <c r="AR36">
        <v>71</v>
      </c>
      <c r="AS36">
        <v>0</v>
      </c>
      <c r="AT36">
        <v>0</v>
      </c>
      <c r="AU36">
        <v>0</v>
      </c>
      <c r="AV36">
        <v>71</v>
      </c>
      <c r="AW36">
        <v>0</v>
      </c>
      <c r="AX36">
        <v>0</v>
      </c>
      <c r="AY36">
        <v>0</v>
      </c>
      <c r="AZ36">
        <v>71</v>
      </c>
      <c r="BA36">
        <v>0</v>
      </c>
      <c r="BB36">
        <v>0</v>
      </c>
      <c r="BC36">
        <v>0</v>
      </c>
      <c r="BD36">
        <v>71</v>
      </c>
      <c r="BE36">
        <v>0</v>
      </c>
      <c r="BF36">
        <v>0</v>
      </c>
      <c r="BG36">
        <v>0</v>
      </c>
      <c r="BH36">
        <v>71</v>
      </c>
      <c r="BI36">
        <v>0</v>
      </c>
      <c r="BJ36">
        <v>0</v>
      </c>
      <c r="BK36">
        <v>0</v>
      </c>
    </row>
    <row r="37" spans="1:63">
      <c r="A37" t="s">
        <v>64</v>
      </c>
      <c r="B37">
        <v>336</v>
      </c>
      <c r="C37">
        <v>0</v>
      </c>
      <c r="D37">
        <v>0</v>
      </c>
      <c r="E37">
        <v>0</v>
      </c>
      <c r="F37">
        <v>336</v>
      </c>
      <c r="G37">
        <v>0</v>
      </c>
      <c r="H37">
        <v>0</v>
      </c>
      <c r="I37">
        <v>0</v>
      </c>
      <c r="J37">
        <v>336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336</v>
      </c>
      <c r="S37">
        <v>0</v>
      </c>
      <c r="T37">
        <v>0</v>
      </c>
      <c r="U37">
        <v>0</v>
      </c>
      <c r="V37" t="s">
        <v>64</v>
      </c>
      <c r="W37">
        <v>336</v>
      </c>
      <c r="X37">
        <v>0</v>
      </c>
      <c r="Y37">
        <v>0</v>
      </c>
      <c r="Z37">
        <v>0</v>
      </c>
      <c r="AA37">
        <v>336</v>
      </c>
      <c r="AB37">
        <v>0</v>
      </c>
      <c r="AC37">
        <v>0</v>
      </c>
      <c r="AD37">
        <v>0</v>
      </c>
      <c r="AE37">
        <v>336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336</v>
      </c>
      <c r="AN37">
        <v>0</v>
      </c>
      <c r="AO37">
        <v>0</v>
      </c>
      <c r="AP37">
        <v>0</v>
      </c>
      <c r="AQ37" t="s">
        <v>64</v>
      </c>
      <c r="AR37">
        <v>336</v>
      </c>
      <c r="AS37">
        <v>0</v>
      </c>
      <c r="AT37">
        <v>0</v>
      </c>
      <c r="AU37">
        <v>0</v>
      </c>
      <c r="AV37">
        <v>336</v>
      </c>
      <c r="AW37">
        <v>0</v>
      </c>
      <c r="AX37">
        <v>0</v>
      </c>
      <c r="AY37">
        <v>0</v>
      </c>
      <c r="AZ37">
        <v>336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336</v>
      </c>
      <c r="BI37">
        <v>0</v>
      </c>
      <c r="BJ37">
        <v>0</v>
      </c>
      <c r="BK37">
        <v>0</v>
      </c>
    </row>
    <row r="38" spans="1:63">
      <c r="A38" t="s">
        <v>25</v>
      </c>
      <c r="B38">
        <v>152</v>
      </c>
      <c r="C38">
        <v>2</v>
      </c>
      <c r="D38">
        <v>0</v>
      </c>
      <c r="E38">
        <v>0</v>
      </c>
      <c r="F38">
        <v>152</v>
      </c>
      <c r="G38">
        <v>2</v>
      </c>
      <c r="H38">
        <v>0</v>
      </c>
      <c r="I38">
        <v>0</v>
      </c>
      <c r="J38">
        <v>168</v>
      </c>
      <c r="K38">
        <v>0</v>
      </c>
      <c r="L38">
        <v>0</v>
      </c>
      <c r="M38">
        <v>0</v>
      </c>
      <c r="N38">
        <v>141</v>
      </c>
      <c r="O38">
        <v>0</v>
      </c>
      <c r="P38">
        <v>2</v>
      </c>
      <c r="Q38">
        <v>0</v>
      </c>
      <c r="R38">
        <v>154</v>
      </c>
      <c r="S38">
        <v>0</v>
      </c>
      <c r="T38">
        <v>0</v>
      </c>
      <c r="U38">
        <v>0</v>
      </c>
      <c r="V38" t="s">
        <v>25</v>
      </c>
      <c r="W38">
        <v>152</v>
      </c>
      <c r="X38">
        <v>2</v>
      </c>
      <c r="Y38">
        <v>0</v>
      </c>
      <c r="Z38">
        <v>0</v>
      </c>
      <c r="AA38">
        <v>152</v>
      </c>
      <c r="AB38">
        <v>2</v>
      </c>
      <c r="AC38">
        <v>0</v>
      </c>
      <c r="AD38">
        <v>0</v>
      </c>
      <c r="AE38">
        <v>168</v>
      </c>
      <c r="AF38">
        <v>0</v>
      </c>
      <c r="AG38">
        <v>0</v>
      </c>
      <c r="AH38">
        <v>0</v>
      </c>
      <c r="AI38">
        <v>141</v>
      </c>
      <c r="AJ38">
        <v>0</v>
      </c>
      <c r="AK38">
        <v>2</v>
      </c>
      <c r="AL38">
        <v>0</v>
      </c>
      <c r="AM38">
        <v>154</v>
      </c>
      <c r="AN38">
        <v>0</v>
      </c>
      <c r="AO38">
        <v>0</v>
      </c>
      <c r="AP38">
        <v>0</v>
      </c>
      <c r="AQ38" t="s">
        <v>25</v>
      </c>
      <c r="AR38">
        <v>152</v>
      </c>
      <c r="AS38">
        <v>2</v>
      </c>
      <c r="AT38">
        <v>0</v>
      </c>
      <c r="AU38">
        <v>0</v>
      </c>
      <c r="AV38">
        <v>152</v>
      </c>
      <c r="AW38">
        <v>2</v>
      </c>
      <c r="AX38">
        <v>0</v>
      </c>
      <c r="AY38">
        <v>0</v>
      </c>
      <c r="AZ38">
        <v>168</v>
      </c>
      <c r="BA38">
        <v>0</v>
      </c>
      <c r="BB38">
        <v>0</v>
      </c>
      <c r="BC38">
        <v>0</v>
      </c>
      <c r="BD38">
        <v>141</v>
      </c>
      <c r="BE38">
        <v>0</v>
      </c>
      <c r="BF38">
        <v>2</v>
      </c>
      <c r="BG38">
        <v>0</v>
      </c>
      <c r="BH38">
        <v>154</v>
      </c>
      <c r="BI38">
        <v>0</v>
      </c>
      <c r="BJ38">
        <v>0</v>
      </c>
      <c r="BK38">
        <v>0</v>
      </c>
    </row>
    <row r="39" spans="1:63">
      <c r="A39" t="s">
        <v>36</v>
      </c>
      <c r="B39">
        <v>102</v>
      </c>
      <c r="C39">
        <v>15</v>
      </c>
      <c r="D39">
        <v>0</v>
      </c>
      <c r="E39">
        <v>0</v>
      </c>
      <c r="F39">
        <v>102</v>
      </c>
      <c r="G39">
        <v>15</v>
      </c>
      <c r="H39">
        <v>0</v>
      </c>
      <c r="I39">
        <v>0</v>
      </c>
      <c r="J39">
        <v>121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117</v>
      </c>
      <c r="S39">
        <v>0</v>
      </c>
      <c r="T39">
        <v>0</v>
      </c>
      <c r="U39">
        <v>0</v>
      </c>
      <c r="V39" t="s">
        <v>36</v>
      </c>
      <c r="W39">
        <v>102</v>
      </c>
      <c r="X39">
        <v>15</v>
      </c>
      <c r="Y39">
        <v>0</v>
      </c>
      <c r="Z39">
        <v>0</v>
      </c>
      <c r="AA39">
        <v>102</v>
      </c>
      <c r="AB39">
        <v>15</v>
      </c>
      <c r="AC39">
        <v>0</v>
      </c>
      <c r="AD39">
        <v>0</v>
      </c>
      <c r="AE39">
        <v>121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117</v>
      </c>
      <c r="AN39">
        <v>0</v>
      </c>
      <c r="AO39">
        <v>0</v>
      </c>
      <c r="AP39">
        <v>0</v>
      </c>
      <c r="AQ39" t="s">
        <v>36</v>
      </c>
      <c r="AR39">
        <v>102</v>
      </c>
      <c r="AS39">
        <v>15</v>
      </c>
      <c r="AT39">
        <v>0</v>
      </c>
      <c r="AU39">
        <v>0</v>
      </c>
      <c r="AV39">
        <v>102</v>
      </c>
      <c r="AW39">
        <v>15</v>
      </c>
      <c r="AX39">
        <v>0</v>
      </c>
      <c r="AY39">
        <v>0</v>
      </c>
      <c r="AZ39">
        <v>121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117</v>
      </c>
      <c r="BI39">
        <v>0</v>
      </c>
      <c r="BJ39">
        <v>0</v>
      </c>
      <c r="BK39">
        <v>0</v>
      </c>
    </row>
    <row r="40" spans="1:63">
      <c r="A40" t="s">
        <v>100</v>
      </c>
      <c r="B40">
        <v>142</v>
      </c>
      <c r="C40">
        <v>32</v>
      </c>
      <c r="D40">
        <v>0</v>
      </c>
      <c r="E40">
        <v>0</v>
      </c>
      <c r="F40">
        <v>142</v>
      </c>
      <c r="G40">
        <v>32</v>
      </c>
      <c r="H40">
        <v>0</v>
      </c>
      <c r="I40">
        <v>0</v>
      </c>
      <c r="J40">
        <v>174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174</v>
      </c>
      <c r="S40">
        <v>0</v>
      </c>
      <c r="T40">
        <v>0</v>
      </c>
      <c r="U40">
        <v>0</v>
      </c>
      <c r="V40" t="s">
        <v>100</v>
      </c>
      <c r="W40">
        <v>142</v>
      </c>
      <c r="X40">
        <v>32</v>
      </c>
      <c r="Y40">
        <v>0</v>
      </c>
      <c r="Z40">
        <v>0</v>
      </c>
      <c r="AA40">
        <v>142</v>
      </c>
      <c r="AB40">
        <v>32</v>
      </c>
      <c r="AC40">
        <v>0</v>
      </c>
      <c r="AD40">
        <v>0</v>
      </c>
      <c r="AE40">
        <v>174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174</v>
      </c>
      <c r="AN40">
        <v>0</v>
      </c>
      <c r="AO40">
        <v>0</v>
      </c>
      <c r="AP40">
        <v>0</v>
      </c>
      <c r="AQ40" t="s">
        <v>100</v>
      </c>
      <c r="AR40">
        <v>142</v>
      </c>
      <c r="AS40">
        <v>32</v>
      </c>
      <c r="AT40">
        <v>0</v>
      </c>
      <c r="AU40">
        <v>0</v>
      </c>
      <c r="AV40">
        <v>142</v>
      </c>
      <c r="AW40">
        <v>32</v>
      </c>
      <c r="AX40">
        <v>0</v>
      </c>
      <c r="AY40">
        <v>0</v>
      </c>
      <c r="AZ40">
        <v>174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174</v>
      </c>
      <c r="BI40">
        <v>0</v>
      </c>
      <c r="BJ40">
        <v>0</v>
      </c>
      <c r="BK40">
        <v>0</v>
      </c>
    </row>
    <row r="41" spans="1:63">
      <c r="A41" t="s">
        <v>66</v>
      </c>
      <c r="B41">
        <v>130</v>
      </c>
      <c r="C41">
        <v>13</v>
      </c>
      <c r="D41">
        <v>0</v>
      </c>
      <c r="E41">
        <v>0</v>
      </c>
      <c r="F41">
        <v>130</v>
      </c>
      <c r="G41">
        <v>13</v>
      </c>
      <c r="H41">
        <v>0</v>
      </c>
      <c r="I41">
        <v>0</v>
      </c>
      <c r="J41">
        <v>148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143</v>
      </c>
      <c r="S41">
        <v>0</v>
      </c>
      <c r="T41">
        <v>0</v>
      </c>
      <c r="U41">
        <v>0</v>
      </c>
      <c r="V41" t="s">
        <v>66</v>
      </c>
      <c r="W41">
        <v>130</v>
      </c>
      <c r="X41">
        <v>13</v>
      </c>
      <c r="Y41">
        <v>0</v>
      </c>
      <c r="Z41">
        <v>0</v>
      </c>
      <c r="AA41">
        <v>130</v>
      </c>
      <c r="AB41">
        <v>13</v>
      </c>
      <c r="AC41">
        <v>0</v>
      </c>
      <c r="AD41">
        <v>0</v>
      </c>
      <c r="AE41">
        <v>148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143</v>
      </c>
      <c r="AN41">
        <v>0</v>
      </c>
      <c r="AO41">
        <v>0</v>
      </c>
      <c r="AP41">
        <v>0</v>
      </c>
      <c r="AQ41" t="s">
        <v>66</v>
      </c>
      <c r="AR41">
        <v>130</v>
      </c>
      <c r="AS41">
        <v>13</v>
      </c>
      <c r="AT41">
        <v>0</v>
      </c>
      <c r="AU41">
        <v>0</v>
      </c>
      <c r="AV41">
        <v>130</v>
      </c>
      <c r="AW41">
        <v>13</v>
      </c>
      <c r="AX41">
        <v>0</v>
      </c>
      <c r="AY41">
        <v>0</v>
      </c>
      <c r="AZ41">
        <v>148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143</v>
      </c>
      <c r="BI41">
        <v>0</v>
      </c>
      <c r="BJ41">
        <v>0</v>
      </c>
      <c r="BK41">
        <v>0</v>
      </c>
    </row>
    <row r="42" spans="1:63">
      <c r="A42" t="s">
        <v>60</v>
      </c>
      <c r="B42">
        <v>116</v>
      </c>
      <c r="C42">
        <v>13</v>
      </c>
      <c r="D42">
        <v>0</v>
      </c>
      <c r="E42">
        <v>0</v>
      </c>
      <c r="F42">
        <v>116</v>
      </c>
      <c r="G42">
        <v>13</v>
      </c>
      <c r="H42">
        <v>0</v>
      </c>
      <c r="I42">
        <v>0</v>
      </c>
      <c r="J42">
        <v>129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129</v>
      </c>
      <c r="S42">
        <v>0</v>
      </c>
      <c r="T42">
        <v>0</v>
      </c>
      <c r="U42">
        <v>0</v>
      </c>
      <c r="V42" t="s">
        <v>60</v>
      </c>
      <c r="W42">
        <v>116</v>
      </c>
      <c r="X42">
        <v>13</v>
      </c>
      <c r="Y42">
        <v>0</v>
      </c>
      <c r="Z42">
        <v>0</v>
      </c>
      <c r="AA42">
        <v>116</v>
      </c>
      <c r="AB42">
        <v>13</v>
      </c>
      <c r="AC42">
        <v>0</v>
      </c>
      <c r="AD42">
        <v>0</v>
      </c>
      <c r="AE42">
        <v>129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129</v>
      </c>
      <c r="AN42">
        <v>0</v>
      </c>
      <c r="AO42">
        <v>0</v>
      </c>
      <c r="AP42">
        <v>0</v>
      </c>
      <c r="AQ42" t="s">
        <v>60</v>
      </c>
      <c r="AR42">
        <v>116</v>
      </c>
      <c r="AS42">
        <v>13</v>
      </c>
      <c r="AT42">
        <v>0</v>
      </c>
      <c r="AU42">
        <v>0</v>
      </c>
      <c r="AV42">
        <v>116</v>
      </c>
      <c r="AW42">
        <v>13</v>
      </c>
      <c r="AX42">
        <v>0</v>
      </c>
      <c r="AY42">
        <v>0</v>
      </c>
      <c r="AZ42">
        <v>129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129</v>
      </c>
      <c r="BI42">
        <v>0</v>
      </c>
      <c r="BJ42">
        <v>0</v>
      </c>
      <c r="BK42">
        <v>0</v>
      </c>
    </row>
    <row r="43" spans="1:63">
      <c r="A43" t="s">
        <v>12</v>
      </c>
      <c r="B43">
        <v>43</v>
      </c>
      <c r="C43">
        <v>0</v>
      </c>
      <c r="D43">
        <v>0</v>
      </c>
      <c r="E43">
        <v>0</v>
      </c>
      <c r="F43">
        <v>43</v>
      </c>
      <c r="G43">
        <v>0</v>
      </c>
      <c r="H43">
        <v>0</v>
      </c>
      <c r="I43">
        <v>0</v>
      </c>
      <c r="J43">
        <v>43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43</v>
      </c>
      <c r="S43">
        <v>0</v>
      </c>
      <c r="T43">
        <v>0</v>
      </c>
      <c r="U43">
        <v>0</v>
      </c>
      <c r="V43" t="s">
        <v>12</v>
      </c>
      <c r="W43">
        <v>43</v>
      </c>
      <c r="X43">
        <v>0</v>
      </c>
      <c r="Y43">
        <v>0</v>
      </c>
      <c r="Z43">
        <v>0</v>
      </c>
      <c r="AA43">
        <v>43</v>
      </c>
      <c r="AB43">
        <v>0</v>
      </c>
      <c r="AC43">
        <v>0</v>
      </c>
      <c r="AD43">
        <v>0</v>
      </c>
      <c r="AE43">
        <v>43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43</v>
      </c>
      <c r="AN43">
        <v>0</v>
      </c>
      <c r="AO43">
        <v>0</v>
      </c>
      <c r="AP43">
        <v>0</v>
      </c>
      <c r="AQ43" t="s">
        <v>12</v>
      </c>
      <c r="AR43">
        <v>43</v>
      </c>
      <c r="AS43">
        <v>0</v>
      </c>
      <c r="AT43">
        <v>0</v>
      </c>
      <c r="AU43">
        <v>0</v>
      </c>
      <c r="AV43">
        <v>43</v>
      </c>
      <c r="AW43">
        <v>0</v>
      </c>
      <c r="AX43">
        <v>0</v>
      </c>
      <c r="AY43">
        <v>0</v>
      </c>
      <c r="AZ43">
        <v>43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43</v>
      </c>
      <c r="BI43">
        <v>0</v>
      </c>
      <c r="BJ43">
        <v>0</v>
      </c>
      <c r="BK43">
        <v>0</v>
      </c>
    </row>
    <row r="44" spans="1:63">
      <c r="A44" t="s">
        <v>21</v>
      </c>
      <c r="B44">
        <v>139</v>
      </c>
      <c r="C44">
        <v>0</v>
      </c>
      <c r="D44">
        <v>0</v>
      </c>
      <c r="E44">
        <v>0</v>
      </c>
      <c r="F44">
        <v>139</v>
      </c>
      <c r="G44">
        <v>0</v>
      </c>
      <c r="H44">
        <v>0</v>
      </c>
      <c r="I44">
        <v>0</v>
      </c>
      <c r="J44">
        <v>139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139</v>
      </c>
      <c r="S44">
        <v>0</v>
      </c>
      <c r="T44">
        <v>0</v>
      </c>
      <c r="U44">
        <v>0</v>
      </c>
      <c r="V44" t="s">
        <v>21</v>
      </c>
      <c r="W44">
        <v>139</v>
      </c>
      <c r="X44">
        <v>0</v>
      </c>
      <c r="Y44">
        <v>0</v>
      </c>
      <c r="Z44">
        <v>0</v>
      </c>
      <c r="AA44">
        <v>139</v>
      </c>
      <c r="AB44">
        <v>0</v>
      </c>
      <c r="AC44">
        <v>0</v>
      </c>
      <c r="AD44">
        <v>0</v>
      </c>
      <c r="AE44">
        <v>139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139</v>
      </c>
      <c r="AN44">
        <v>0</v>
      </c>
      <c r="AO44">
        <v>0</v>
      </c>
      <c r="AP44">
        <v>0</v>
      </c>
      <c r="AQ44" t="s">
        <v>21</v>
      </c>
      <c r="AR44">
        <v>139</v>
      </c>
      <c r="AS44">
        <v>0</v>
      </c>
      <c r="AT44">
        <v>0</v>
      </c>
      <c r="AU44">
        <v>0</v>
      </c>
      <c r="AV44">
        <v>139</v>
      </c>
      <c r="AW44">
        <v>0</v>
      </c>
      <c r="AX44">
        <v>0</v>
      </c>
      <c r="AY44">
        <v>0</v>
      </c>
      <c r="AZ44">
        <v>139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139</v>
      </c>
      <c r="BI44">
        <v>0</v>
      </c>
      <c r="BJ44">
        <v>0</v>
      </c>
      <c r="BK44">
        <v>0</v>
      </c>
    </row>
    <row r="45" spans="1:63">
      <c r="A45" t="s">
        <v>44</v>
      </c>
      <c r="B45">
        <v>50</v>
      </c>
      <c r="C45">
        <v>12</v>
      </c>
      <c r="D45">
        <v>0</v>
      </c>
      <c r="E45">
        <v>0</v>
      </c>
      <c r="F45">
        <v>50</v>
      </c>
      <c r="G45">
        <v>12</v>
      </c>
      <c r="H45">
        <v>0</v>
      </c>
      <c r="I45">
        <v>0</v>
      </c>
      <c r="J45">
        <v>62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62</v>
      </c>
      <c r="S45">
        <v>0</v>
      </c>
      <c r="T45">
        <v>0</v>
      </c>
      <c r="U45">
        <v>0</v>
      </c>
      <c r="V45" t="s">
        <v>44</v>
      </c>
      <c r="W45">
        <v>50</v>
      </c>
      <c r="X45">
        <v>12</v>
      </c>
      <c r="Y45">
        <v>0</v>
      </c>
      <c r="Z45">
        <v>0</v>
      </c>
      <c r="AA45">
        <v>50</v>
      </c>
      <c r="AB45">
        <v>12</v>
      </c>
      <c r="AC45">
        <v>0</v>
      </c>
      <c r="AD45">
        <v>0</v>
      </c>
      <c r="AE45">
        <v>62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62</v>
      </c>
      <c r="AN45">
        <v>0</v>
      </c>
      <c r="AO45">
        <v>0</v>
      </c>
      <c r="AP45">
        <v>0</v>
      </c>
      <c r="AQ45" t="s">
        <v>44</v>
      </c>
      <c r="AR45">
        <v>50</v>
      </c>
      <c r="AS45">
        <v>12</v>
      </c>
      <c r="AT45">
        <v>0</v>
      </c>
      <c r="AU45">
        <v>0</v>
      </c>
      <c r="AV45">
        <v>50</v>
      </c>
      <c r="AW45">
        <v>12</v>
      </c>
      <c r="AX45">
        <v>0</v>
      </c>
      <c r="AY45">
        <v>0</v>
      </c>
      <c r="AZ45">
        <v>62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62</v>
      </c>
      <c r="BI45">
        <v>0</v>
      </c>
      <c r="BJ45">
        <v>0</v>
      </c>
      <c r="BK45">
        <v>0</v>
      </c>
    </row>
    <row r="46" spans="1:63">
      <c r="A46" t="s">
        <v>5</v>
      </c>
      <c r="B46">
        <v>30</v>
      </c>
      <c r="C46">
        <v>0</v>
      </c>
      <c r="D46">
        <v>0</v>
      </c>
      <c r="E46">
        <v>0</v>
      </c>
      <c r="F46">
        <v>30</v>
      </c>
      <c r="G46">
        <v>0</v>
      </c>
      <c r="H46">
        <v>0</v>
      </c>
      <c r="I46">
        <v>0</v>
      </c>
      <c r="J46">
        <v>30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30</v>
      </c>
      <c r="S46">
        <v>0</v>
      </c>
      <c r="T46">
        <v>0</v>
      </c>
      <c r="U46">
        <v>0</v>
      </c>
      <c r="V46" t="s">
        <v>5</v>
      </c>
      <c r="W46">
        <v>30</v>
      </c>
      <c r="X46">
        <v>0</v>
      </c>
      <c r="Y46">
        <v>0</v>
      </c>
      <c r="Z46">
        <v>0</v>
      </c>
      <c r="AA46">
        <v>30</v>
      </c>
      <c r="AB46">
        <v>0</v>
      </c>
      <c r="AC46">
        <v>0</v>
      </c>
      <c r="AD46">
        <v>0</v>
      </c>
      <c r="AE46">
        <v>30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30</v>
      </c>
      <c r="AN46">
        <v>0</v>
      </c>
      <c r="AO46">
        <v>0</v>
      </c>
      <c r="AP46">
        <v>0</v>
      </c>
      <c r="AQ46" t="s">
        <v>5</v>
      </c>
      <c r="AR46">
        <v>30</v>
      </c>
      <c r="AS46">
        <v>0</v>
      </c>
      <c r="AT46">
        <v>0</v>
      </c>
      <c r="AU46">
        <v>0</v>
      </c>
      <c r="AV46">
        <v>30</v>
      </c>
      <c r="AW46">
        <v>0</v>
      </c>
      <c r="AX46">
        <v>0</v>
      </c>
      <c r="AY46">
        <v>0</v>
      </c>
      <c r="AZ46">
        <v>30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30</v>
      </c>
      <c r="BI46">
        <v>0</v>
      </c>
      <c r="BJ46">
        <v>0</v>
      </c>
      <c r="BK46">
        <v>0</v>
      </c>
    </row>
    <row r="47" spans="1:63">
      <c r="A47" t="s">
        <v>62</v>
      </c>
      <c r="B47">
        <v>73</v>
      </c>
      <c r="C47">
        <v>13</v>
      </c>
      <c r="D47">
        <v>0</v>
      </c>
      <c r="E47">
        <v>0</v>
      </c>
      <c r="F47">
        <v>73</v>
      </c>
      <c r="G47">
        <v>13</v>
      </c>
      <c r="H47">
        <v>0</v>
      </c>
      <c r="I47">
        <v>0</v>
      </c>
      <c r="J47">
        <v>86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86</v>
      </c>
      <c r="S47">
        <v>0</v>
      </c>
      <c r="T47">
        <v>0</v>
      </c>
      <c r="U47">
        <v>0</v>
      </c>
      <c r="V47" t="s">
        <v>62</v>
      </c>
      <c r="W47">
        <v>73</v>
      </c>
      <c r="X47">
        <v>13</v>
      </c>
      <c r="Y47">
        <v>0</v>
      </c>
      <c r="Z47">
        <v>0</v>
      </c>
      <c r="AA47">
        <v>73</v>
      </c>
      <c r="AB47">
        <v>13</v>
      </c>
      <c r="AC47">
        <v>0</v>
      </c>
      <c r="AD47">
        <v>0</v>
      </c>
      <c r="AE47">
        <v>86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86</v>
      </c>
      <c r="AN47">
        <v>0</v>
      </c>
      <c r="AO47">
        <v>0</v>
      </c>
      <c r="AP47">
        <v>0</v>
      </c>
      <c r="AQ47" t="s">
        <v>62</v>
      </c>
      <c r="AR47">
        <v>73</v>
      </c>
      <c r="AS47">
        <v>13</v>
      </c>
      <c r="AT47">
        <v>0</v>
      </c>
      <c r="AU47">
        <v>0</v>
      </c>
      <c r="AV47">
        <v>73</v>
      </c>
      <c r="AW47">
        <v>13</v>
      </c>
      <c r="AX47">
        <v>0</v>
      </c>
      <c r="AY47">
        <v>0</v>
      </c>
      <c r="AZ47">
        <v>86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86</v>
      </c>
      <c r="BI47">
        <v>0</v>
      </c>
      <c r="BJ47">
        <v>0</v>
      </c>
      <c r="BK47">
        <v>0</v>
      </c>
    </row>
    <row r="48" spans="1:63">
      <c r="A48" t="s">
        <v>6</v>
      </c>
      <c r="B48">
        <v>50</v>
      </c>
      <c r="C48">
        <v>6</v>
      </c>
      <c r="D48">
        <v>0</v>
      </c>
      <c r="E48">
        <v>0</v>
      </c>
      <c r="F48">
        <v>50</v>
      </c>
      <c r="G48">
        <v>6</v>
      </c>
      <c r="H48">
        <v>0</v>
      </c>
      <c r="I48">
        <v>0</v>
      </c>
      <c r="J48">
        <v>56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56</v>
      </c>
      <c r="S48">
        <v>0</v>
      </c>
      <c r="T48">
        <v>0</v>
      </c>
      <c r="U48">
        <v>0</v>
      </c>
      <c r="V48" t="s">
        <v>6</v>
      </c>
      <c r="W48">
        <v>50</v>
      </c>
      <c r="X48">
        <v>6</v>
      </c>
      <c r="Y48">
        <v>0</v>
      </c>
      <c r="Z48">
        <v>0</v>
      </c>
      <c r="AA48">
        <v>50</v>
      </c>
      <c r="AB48">
        <v>6</v>
      </c>
      <c r="AC48">
        <v>0</v>
      </c>
      <c r="AD48">
        <v>0</v>
      </c>
      <c r="AE48">
        <v>56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56</v>
      </c>
      <c r="AN48">
        <v>0</v>
      </c>
      <c r="AO48">
        <v>0</v>
      </c>
      <c r="AP48">
        <v>0</v>
      </c>
      <c r="AQ48" t="s">
        <v>6</v>
      </c>
      <c r="AR48">
        <v>50</v>
      </c>
      <c r="AS48">
        <v>6</v>
      </c>
      <c r="AT48">
        <v>0</v>
      </c>
      <c r="AU48">
        <v>0</v>
      </c>
      <c r="AV48">
        <v>50</v>
      </c>
      <c r="AW48">
        <v>6</v>
      </c>
      <c r="AX48">
        <v>0</v>
      </c>
      <c r="AY48">
        <v>0</v>
      </c>
      <c r="AZ48">
        <v>56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56</v>
      </c>
      <c r="BI48">
        <v>0</v>
      </c>
      <c r="BJ48">
        <v>0</v>
      </c>
      <c r="BK48">
        <v>0</v>
      </c>
    </row>
    <row r="49" spans="1:63">
      <c r="A49" t="s">
        <v>82</v>
      </c>
      <c r="B49">
        <v>2</v>
      </c>
      <c r="C49">
        <v>0</v>
      </c>
      <c r="D49">
        <v>0</v>
      </c>
      <c r="E49">
        <v>0</v>
      </c>
      <c r="F49">
        <v>2</v>
      </c>
      <c r="G49">
        <v>0</v>
      </c>
      <c r="H49">
        <v>0</v>
      </c>
      <c r="I49">
        <v>0</v>
      </c>
      <c r="J49">
        <v>2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2</v>
      </c>
      <c r="S49">
        <v>0</v>
      </c>
      <c r="T49">
        <v>0</v>
      </c>
      <c r="U49">
        <v>0</v>
      </c>
      <c r="V49" t="s">
        <v>82</v>
      </c>
      <c r="W49">
        <v>2</v>
      </c>
      <c r="X49">
        <v>0</v>
      </c>
      <c r="Y49">
        <v>0</v>
      </c>
      <c r="Z49">
        <v>0</v>
      </c>
      <c r="AA49">
        <v>2</v>
      </c>
      <c r="AB49">
        <v>0</v>
      </c>
      <c r="AC49">
        <v>0</v>
      </c>
      <c r="AD49">
        <v>0</v>
      </c>
      <c r="AE49">
        <v>2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2</v>
      </c>
      <c r="AN49">
        <v>0</v>
      </c>
      <c r="AO49">
        <v>0</v>
      </c>
      <c r="AP49">
        <v>0</v>
      </c>
      <c r="AQ49" t="s">
        <v>82</v>
      </c>
      <c r="AR49">
        <v>2</v>
      </c>
      <c r="AS49">
        <v>0</v>
      </c>
      <c r="AT49">
        <v>0</v>
      </c>
      <c r="AU49">
        <v>0</v>
      </c>
      <c r="AV49">
        <v>2</v>
      </c>
      <c r="AW49">
        <v>0</v>
      </c>
      <c r="AX49">
        <v>0</v>
      </c>
      <c r="AY49">
        <v>0</v>
      </c>
      <c r="AZ49">
        <v>2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2</v>
      </c>
      <c r="BI49">
        <v>0</v>
      </c>
      <c r="BJ49">
        <v>0</v>
      </c>
      <c r="BK49">
        <v>0</v>
      </c>
    </row>
    <row r="50" spans="1:63">
      <c r="A50" t="s">
        <v>92</v>
      </c>
      <c r="B50">
        <v>1</v>
      </c>
      <c r="C50">
        <v>0</v>
      </c>
      <c r="D50">
        <v>0</v>
      </c>
      <c r="E50">
        <v>0</v>
      </c>
      <c r="F50">
        <v>1</v>
      </c>
      <c r="G50">
        <v>0</v>
      </c>
      <c r="H50">
        <v>0</v>
      </c>
      <c r="I50">
        <v>0</v>
      </c>
      <c r="J50">
        <v>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1</v>
      </c>
      <c r="S50">
        <v>0</v>
      </c>
      <c r="T50">
        <v>0</v>
      </c>
      <c r="U50">
        <v>0</v>
      </c>
      <c r="V50" t="s">
        <v>92</v>
      </c>
      <c r="W50">
        <v>1</v>
      </c>
      <c r="X50">
        <v>0</v>
      </c>
      <c r="Y50">
        <v>0</v>
      </c>
      <c r="Z50">
        <v>0</v>
      </c>
      <c r="AA50">
        <v>1</v>
      </c>
      <c r="AB50">
        <v>0</v>
      </c>
      <c r="AC50">
        <v>0</v>
      </c>
      <c r="AD50">
        <v>0</v>
      </c>
      <c r="AE50">
        <v>1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1</v>
      </c>
      <c r="AN50">
        <v>0</v>
      </c>
      <c r="AO50">
        <v>0</v>
      </c>
      <c r="AP50">
        <v>0</v>
      </c>
      <c r="AQ50" t="s">
        <v>92</v>
      </c>
      <c r="AR50">
        <v>1</v>
      </c>
      <c r="AS50">
        <v>0</v>
      </c>
      <c r="AT50">
        <v>0</v>
      </c>
      <c r="AU50">
        <v>0</v>
      </c>
      <c r="AV50">
        <v>1</v>
      </c>
      <c r="AW50">
        <v>0</v>
      </c>
      <c r="AX50">
        <v>0</v>
      </c>
      <c r="AY50">
        <v>0</v>
      </c>
      <c r="AZ50">
        <v>1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1</v>
      </c>
      <c r="BI50">
        <v>0</v>
      </c>
      <c r="BJ50">
        <v>0</v>
      </c>
      <c r="BK50">
        <v>0</v>
      </c>
    </row>
    <row r="51" spans="1:63">
      <c r="A51" t="s">
        <v>53</v>
      </c>
      <c r="B51">
        <v>60</v>
      </c>
      <c r="C51">
        <v>2</v>
      </c>
      <c r="D51">
        <v>0</v>
      </c>
      <c r="E51">
        <v>0</v>
      </c>
      <c r="F51">
        <v>60</v>
      </c>
      <c r="G51">
        <v>2</v>
      </c>
      <c r="H51">
        <v>0</v>
      </c>
      <c r="I51">
        <v>0</v>
      </c>
      <c r="J51">
        <v>62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62</v>
      </c>
      <c r="S51">
        <v>0</v>
      </c>
      <c r="T51">
        <v>0</v>
      </c>
      <c r="U51">
        <v>0</v>
      </c>
      <c r="V51" t="s">
        <v>53</v>
      </c>
      <c r="W51">
        <v>60</v>
      </c>
      <c r="X51">
        <v>2</v>
      </c>
      <c r="Y51">
        <v>0</v>
      </c>
      <c r="Z51">
        <v>0</v>
      </c>
      <c r="AA51">
        <v>60</v>
      </c>
      <c r="AB51">
        <v>2</v>
      </c>
      <c r="AC51">
        <v>0</v>
      </c>
      <c r="AD51">
        <v>0</v>
      </c>
      <c r="AE51">
        <v>62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62</v>
      </c>
      <c r="AN51">
        <v>0</v>
      </c>
      <c r="AO51">
        <v>0</v>
      </c>
      <c r="AP51">
        <v>0</v>
      </c>
      <c r="AQ51" t="s">
        <v>53</v>
      </c>
      <c r="AR51">
        <v>60</v>
      </c>
      <c r="AS51">
        <v>2</v>
      </c>
      <c r="AT51">
        <v>0</v>
      </c>
      <c r="AU51">
        <v>0</v>
      </c>
      <c r="AV51">
        <v>60</v>
      </c>
      <c r="AW51">
        <v>2</v>
      </c>
      <c r="AX51">
        <v>0</v>
      </c>
      <c r="AY51">
        <v>0</v>
      </c>
      <c r="AZ51">
        <v>62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62</v>
      </c>
      <c r="BI51">
        <v>0</v>
      </c>
      <c r="BJ51">
        <v>0</v>
      </c>
      <c r="BK51">
        <v>0</v>
      </c>
    </row>
    <row r="52" spans="1:63">
      <c r="A52" t="s">
        <v>11</v>
      </c>
      <c r="B52">
        <v>7</v>
      </c>
      <c r="C52">
        <v>0</v>
      </c>
      <c r="D52">
        <v>0</v>
      </c>
      <c r="E52">
        <v>0</v>
      </c>
      <c r="F52">
        <v>7</v>
      </c>
      <c r="G52">
        <v>0</v>
      </c>
      <c r="H52">
        <v>0</v>
      </c>
      <c r="I52">
        <v>0</v>
      </c>
      <c r="J52">
        <v>7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7</v>
      </c>
      <c r="S52">
        <v>0</v>
      </c>
      <c r="T52">
        <v>0</v>
      </c>
      <c r="U52">
        <v>0</v>
      </c>
      <c r="V52" t="s">
        <v>11</v>
      </c>
      <c r="W52">
        <v>7</v>
      </c>
      <c r="X52">
        <v>0</v>
      </c>
      <c r="Y52">
        <v>0</v>
      </c>
      <c r="Z52">
        <v>0</v>
      </c>
      <c r="AA52">
        <v>7</v>
      </c>
      <c r="AB52">
        <v>0</v>
      </c>
      <c r="AC52">
        <v>0</v>
      </c>
      <c r="AD52">
        <v>0</v>
      </c>
      <c r="AE52">
        <v>7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7</v>
      </c>
      <c r="AN52">
        <v>0</v>
      </c>
      <c r="AO52">
        <v>0</v>
      </c>
      <c r="AP52">
        <v>0</v>
      </c>
      <c r="AQ52" t="s">
        <v>11</v>
      </c>
      <c r="AR52">
        <v>7</v>
      </c>
      <c r="AS52">
        <v>0</v>
      </c>
      <c r="AT52">
        <v>0</v>
      </c>
      <c r="AU52">
        <v>0</v>
      </c>
      <c r="AV52">
        <v>7</v>
      </c>
      <c r="AW52">
        <v>0</v>
      </c>
      <c r="AX52">
        <v>0</v>
      </c>
      <c r="AY52">
        <v>0</v>
      </c>
      <c r="AZ52">
        <v>7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7</v>
      </c>
      <c r="BI52">
        <v>0</v>
      </c>
      <c r="BJ52">
        <v>0</v>
      </c>
      <c r="BK52">
        <v>0</v>
      </c>
    </row>
    <row r="53" spans="1:63">
      <c r="A53" t="s">
        <v>84</v>
      </c>
      <c r="B53">
        <v>36</v>
      </c>
      <c r="C53">
        <v>10</v>
      </c>
      <c r="D53">
        <v>0</v>
      </c>
      <c r="E53">
        <v>0</v>
      </c>
      <c r="F53">
        <v>36</v>
      </c>
      <c r="G53">
        <v>10</v>
      </c>
      <c r="H53">
        <v>0</v>
      </c>
      <c r="I53">
        <v>0</v>
      </c>
      <c r="J53">
        <v>46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46</v>
      </c>
      <c r="S53">
        <v>0</v>
      </c>
      <c r="T53">
        <v>0</v>
      </c>
      <c r="U53">
        <v>0</v>
      </c>
      <c r="V53" t="s">
        <v>84</v>
      </c>
      <c r="W53">
        <v>36</v>
      </c>
      <c r="X53">
        <v>10</v>
      </c>
      <c r="Y53">
        <v>0</v>
      </c>
      <c r="Z53">
        <v>0</v>
      </c>
      <c r="AA53">
        <v>36</v>
      </c>
      <c r="AB53">
        <v>10</v>
      </c>
      <c r="AC53">
        <v>0</v>
      </c>
      <c r="AD53">
        <v>0</v>
      </c>
      <c r="AE53">
        <v>46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46</v>
      </c>
      <c r="AN53">
        <v>0</v>
      </c>
      <c r="AO53">
        <v>0</v>
      </c>
      <c r="AP53">
        <v>0</v>
      </c>
      <c r="AQ53" t="s">
        <v>84</v>
      </c>
      <c r="AR53">
        <v>36</v>
      </c>
      <c r="AS53">
        <v>10</v>
      </c>
      <c r="AT53">
        <v>0</v>
      </c>
      <c r="AU53">
        <v>0</v>
      </c>
      <c r="AV53">
        <v>36</v>
      </c>
      <c r="AW53">
        <v>10</v>
      </c>
      <c r="AX53">
        <v>0</v>
      </c>
      <c r="AY53">
        <v>0</v>
      </c>
      <c r="AZ53">
        <v>46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46</v>
      </c>
      <c r="BI53">
        <v>0</v>
      </c>
      <c r="BJ53">
        <v>0</v>
      </c>
      <c r="BK53">
        <v>0</v>
      </c>
    </row>
    <row r="54" spans="1:63">
      <c r="A54" t="s">
        <v>50</v>
      </c>
      <c r="B54">
        <v>26</v>
      </c>
      <c r="C54">
        <v>0</v>
      </c>
      <c r="D54">
        <v>0</v>
      </c>
      <c r="E54">
        <v>0</v>
      </c>
      <c r="F54">
        <v>26</v>
      </c>
      <c r="G54">
        <v>0</v>
      </c>
      <c r="H54">
        <v>0</v>
      </c>
      <c r="I54">
        <v>0</v>
      </c>
      <c r="J54">
        <v>26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26</v>
      </c>
      <c r="S54">
        <v>0</v>
      </c>
      <c r="T54">
        <v>0</v>
      </c>
      <c r="U54">
        <v>0</v>
      </c>
      <c r="V54" t="s">
        <v>50</v>
      </c>
      <c r="W54">
        <v>26</v>
      </c>
      <c r="X54">
        <v>0</v>
      </c>
      <c r="Y54">
        <v>0</v>
      </c>
      <c r="Z54">
        <v>0</v>
      </c>
      <c r="AA54">
        <v>26</v>
      </c>
      <c r="AB54">
        <v>0</v>
      </c>
      <c r="AC54">
        <v>0</v>
      </c>
      <c r="AD54">
        <v>0</v>
      </c>
      <c r="AE54">
        <v>26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26</v>
      </c>
      <c r="AN54">
        <v>0</v>
      </c>
      <c r="AO54">
        <v>0</v>
      </c>
      <c r="AP54">
        <v>0</v>
      </c>
      <c r="AQ54" t="s">
        <v>50</v>
      </c>
      <c r="AR54">
        <v>26</v>
      </c>
      <c r="AS54">
        <v>0</v>
      </c>
      <c r="AT54">
        <v>0</v>
      </c>
      <c r="AU54">
        <v>0</v>
      </c>
      <c r="AV54">
        <v>26</v>
      </c>
      <c r="AW54">
        <v>0</v>
      </c>
      <c r="AX54">
        <v>0</v>
      </c>
      <c r="AY54">
        <v>0</v>
      </c>
      <c r="AZ54">
        <v>26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26</v>
      </c>
      <c r="BI54">
        <v>0</v>
      </c>
      <c r="BJ54">
        <v>0</v>
      </c>
      <c r="BK54">
        <v>0</v>
      </c>
    </row>
    <row r="55" spans="1:63">
      <c r="A55" t="s">
        <v>47</v>
      </c>
      <c r="B55">
        <v>53</v>
      </c>
      <c r="C55">
        <v>0</v>
      </c>
      <c r="D55">
        <v>0</v>
      </c>
      <c r="E55">
        <v>0</v>
      </c>
      <c r="F55">
        <v>53</v>
      </c>
      <c r="G55">
        <v>0</v>
      </c>
      <c r="H55">
        <v>0</v>
      </c>
      <c r="I55">
        <v>0</v>
      </c>
      <c r="J55">
        <v>53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53</v>
      </c>
      <c r="S55">
        <v>0</v>
      </c>
      <c r="T55">
        <v>0</v>
      </c>
      <c r="U55">
        <v>0</v>
      </c>
      <c r="V55" t="s">
        <v>47</v>
      </c>
      <c r="W55">
        <v>53</v>
      </c>
      <c r="X55">
        <v>0</v>
      </c>
      <c r="Y55">
        <v>0</v>
      </c>
      <c r="Z55">
        <v>0</v>
      </c>
      <c r="AA55">
        <v>53</v>
      </c>
      <c r="AB55">
        <v>0</v>
      </c>
      <c r="AC55">
        <v>0</v>
      </c>
      <c r="AD55">
        <v>0</v>
      </c>
      <c r="AE55">
        <v>53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53</v>
      </c>
      <c r="AN55">
        <v>0</v>
      </c>
      <c r="AO55">
        <v>0</v>
      </c>
      <c r="AP55">
        <v>0</v>
      </c>
      <c r="AQ55" t="s">
        <v>47</v>
      </c>
      <c r="AR55">
        <v>53</v>
      </c>
      <c r="AS55">
        <v>0</v>
      </c>
      <c r="AT55">
        <v>0</v>
      </c>
      <c r="AU55">
        <v>0</v>
      </c>
      <c r="AV55">
        <v>53</v>
      </c>
      <c r="AW55">
        <v>0</v>
      </c>
      <c r="AX55">
        <v>0</v>
      </c>
      <c r="AY55">
        <v>0</v>
      </c>
      <c r="AZ55">
        <v>53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53</v>
      </c>
      <c r="BI55">
        <v>0</v>
      </c>
      <c r="BJ55">
        <v>0</v>
      </c>
      <c r="BK55">
        <v>0</v>
      </c>
    </row>
    <row r="56" spans="1:63">
      <c r="A56" t="s">
        <v>57</v>
      </c>
      <c r="B56">
        <v>10</v>
      </c>
      <c r="C56">
        <v>0</v>
      </c>
      <c r="D56">
        <v>0</v>
      </c>
      <c r="E56">
        <v>0</v>
      </c>
      <c r="F56">
        <v>10</v>
      </c>
      <c r="G56">
        <v>0</v>
      </c>
      <c r="H56">
        <v>0</v>
      </c>
      <c r="I56">
        <v>0</v>
      </c>
      <c r="J56">
        <v>10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10</v>
      </c>
      <c r="S56">
        <v>0</v>
      </c>
      <c r="T56">
        <v>0</v>
      </c>
      <c r="U56">
        <v>0</v>
      </c>
      <c r="V56" t="s">
        <v>57</v>
      </c>
      <c r="W56">
        <v>10</v>
      </c>
      <c r="X56">
        <v>0</v>
      </c>
      <c r="Y56">
        <v>0</v>
      </c>
      <c r="Z56">
        <v>0</v>
      </c>
      <c r="AA56">
        <v>10</v>
      </c>
      <c r="AB56">
        <v>0</v>
      </c>
      <c r="AC56">
        <v>0</v>
      </c>
      <c r="AD56">
        <v>0</v>
      </c>
      <c r="AE56">
        <v>10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10</v>
      </c>
      <c r="AN56">
        <v>0</v>
      </c>
      <c r="AO56">
        <v>0</v>
      </c>
      <c r="AP56">
        <v>0</v>
      </c>
      <c r="AQ56" t="s">
        <v>57</v>
      </c>
      <c r="AR56">
        <v>10</v>
      </c>
      <c r="AS56">
        <v>0</v>
      </c>
      <c r="AT56">
        <v>0</v>
      </c>
      <c r="AU56">
        <v>0</v>
      </c>
      <c r="AV56">
        <v>10</v>
      </c>
      <c r="AW56">
        <v>0</v>
      </c>
      <c r="AX56">
        <v>0</v>
      </c>
      <c r="AY56">
        <v>0</v>
      </c>
      <c r="AZ56">
        <v>10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10</v>
      </c>
      <c r="BI56">
        <v>0</v>
      </c>
      <c r="BJ56">
        <v>0</v>
      </c>
      <c r="BK56">
        <v>0</v>
      </c>
    </row>
    <row r="57" spans="1:63">
      <c r="A57" t="s">
        <v>95</v>
      </c>
      <c r="B57">
        <v>12</v>
      </c>
      <c r="C57">
        <v>0</v>
      </c>
      <c r="D57">
        <v>0</v>
      </c>
      <c r="E57">
        <v>0</v>
      </c>
      <c r="F57">
        <v>12</v>
      </c>
      <c r="G57">
        <v>0</v>
      </c>
      <c r="H57">
        <v>0</v>
      </c>
      <c r="I57">
        <v>0</v>
      </c>
      <c r="J57">
        <v>12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12</v>
      </c>
      <c r="S57">
        <v>0</v>
      </c>
      <c r="T57">
        <v>0</v>
      </c>
      <c r="U57">
        <v>0</v>
      </c>
      <c r="V57" t="s">
        <v>95</v>
      </c>
      <c r="W57">
        <v>12</v>
      </c>
      <c r="X57">
        <v>0</v>
      </c>
      <c r="Y57">
        <v>0</v>
      </c>
      <c r="Z57">
        <v>0</v>
      </c>
      <c r="AA57">
        <v>12</v>
      </c>
      <c r="AB57">
        <v>0</v>
      </c>
      <c r="AC57">
        <v>0</v>
      </c>
      <c r="AD57">
        <v>0</v>
      </c>
      <c r="AE57">
        <v>12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12</v>
      </c>
      <c r="AN57">
        <v>0</v>
      </c>
      <c r="AO57">
        <v>0</v>
      </c>
      <c r="AP57">
        <v>0</v>
      </c>
      <c r="AQ57" t="s">
        <v>95</v>
      </c>
      <c r="AR57">
        <v>12</v>
      </c>
      <c r="AS57">
        <v>0</v>
      </c>
      <c r="AT57">
        <v>0</v>
      </c>
      <c r="AU57">
        <v>0</v>
      </c>
      <c r="AV57">
        <v>12</v>
      </c>
      <c r="AW57">
        <v>0</v>
      </c>
      <c r="AX57">
        <v>0</v>
      </c>
      <c r="AY57">
        <v>0</v>
      </c>
      <c r="AZ57">
        <v>12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12</v>
      </c>
      <c r="BI57">
        <v>0</v>
      </c>
      <c r="BJ57">
        <v>0</v>
      </c>
      <c r="BK57">
        <v>0</v>
      </c>
    </row>
    <row r="58" spans="1:63">
      <c r="A58" t="s">
        <v>41</v>
      </c>
      <c r="B58">
        <v>9</v>
      </c>
      <c r="C58">
        <v>0</v>
      </c>
      <c r="D58">
        <v>0</v>
      </c>
      <c r="E58">
        <v>0</v>
      </c>
      <c r="F58">
        <v>9</v>
      </c>
      <c r="G58">
        <v>0</v>
      </c>
      <c r="H58">
        <v>0</v>
      </c>
      <c r="I58">
        <v>0</v>
      </c>
      <c r="J58">
        <v>9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9</v>
      </c>
      <c r="S58">
        <v>0</v>
      </c>
      <c r="T58">
        <v>0</v>
      </c>
      <c r="U58">
        <v>0</v>
      </c>
      <c r="V58" t="s">
        <v>41</v>
      </c>
      <c r="W58">
        <v>9</v>
      </c>
      <c r="X58">
        <v>0</v>
      </c>
      <c r="Y58">
        <v>0</v>
      </c>
      <c r="Z58">
        <v>0</v>
      </c>
      <c r="AA58">
        <v>9</v>
      </c>
      <c r="AB58">
        <v>0</v>
      </c>
      <c r="AC58">
        <v>0</v>
      </c>
      <c r="AD58">
        <v>0</v>
      </c>
      <c r="AE58">
        <v>9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9</v>
      </c>
      <c r="AN58">
        <v>0</v>
      </c>
      <c r="AO58">
        <v>0</v>
      </c>
      <c r="AP58">
        <v>0</v>
      </c>
      <c r="AQ58" t="s">
        <v>41</v>
      </c>
      <c r="AR58">
        <v>9</v>
      </c>
      <c r="AS58">
        <v>0</v>
      </c>
      <c r="AT58">
        <v>0</v>
      </c>
      <c r="AU58">
        <v>0</v>
      </c>
      <c r="AV58">
        <v>9</v>
      </c>
      <c r="AW58">
        <v>0</v>
      </c>
      <c r="AX58">
        <v>0</v>
      </c>
      <c r="AY58">
        <v>0</v>
      </c>
      <c r="AZ58">
        <v>9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9</v>
      </c>
      <c r="BI58">
        <v>0</v>
      </c>
      <c r="BJ58">
        <v>0</v>
      </c>
      <c r="BK58">
        <v>0</v>
      </c>
    </row>
    <row r="59" spans="1:63">
      <c r="A59" t="s">
        <v>81</v>
      </c>
      <c r="B59">
        <v>106</v>
      </c>
      <c r="C59">
        <v>6</v>
      </c>
      <c r="D59">
        <v>0</v>
      </c>
      <c r="E59">
        <v>0</v>
      </c>
      <c r="F59">
        <v>106</v>
      </c>
      <c r="G59">
        <v>6</v>
      </c>
      <c r="H59">
        <v>0</v>
      </c>
      <c r="I59">
        <v>0</v>
      </c>
      <c r="J59">
        <v>112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112</v>
      </c>
      <c r="S59">
        <v>0</v>
      </c>
      <c r="T59">
        <v>0</v>
      </c>
      <c r="U59">
        <v>0</v>
      </c>
      <c r="V59" t="s">
        <v>81</v>
      </c>
      <c r="W59">
        <v>106</v>
      </c>
      <c r="X59">
        <v>6</v>
      </c>
      <c r="Y59">
        <v>0</v>
      </c>
      <c r="Z59">
        <v>0</v>
      </c>
      <c r="AA59">
        <v>106</v>
      </c>
      <c r="AB59">
        <v>6</v>
      </c>
      <c r="AC59">
        <v>0</v>
      </c>
      <c r="AD59">
        <v>0</v>
      </c>
      <c r="AE59">
        <v>112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112</v>
      </c>
      <c r="AN59">
        <v>0</v>
      </c>
      <c r="AO59">
        <v>0</v>
      </c>
      <c r="AP59">
        <v>0</v>
      </c>
      <c r="AQ59" t="s">
        <v>81</v>
      </c>
      <c r="AR59">
        <v>106</v>
      </c>
      <c r="AS59">
        <v>6</v>
      </c>
      <c r="AT59">
        <v>0</v>
      </c>
      <c r="AU59">
        <v>0</v>
      </c>
      <c r="AV59">
        <v>106</v>
      </c>
      <c r="AW59">
        <v>6</v>
      </c>
      <c r="AX59">
        <v>0</v>
      </c>
      <c r="AY59">
        <v>0</v>
      </c>
      <c r="AZ59">
        <v>112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112</v>
      </c>
      <c r="BI59">
        <v>0</v>
      </c>
      <c r="BJ59">
        <v>0</v>
      </c>
      <c r="BK59">
        <v>0</v>
      </c>
    </row>
    <row r="60" spans="1:63">
      <c r="A60" t="s">
        <v>45</v>
      </c>
      <c r="B60">
        <v>926</v>
      </c>
      <c r="C60">
        <v>32</v>
      </c>
      <c r="D60">
        <v>0</v>
      </c>
      <c r="E60">
        <v>0</v>
      </c>
      <c r="F60">
        <v>926</v>
      </c>
      <c r="G60">
        <v>32</v>
      </c>
      <c r="H60">
        <v>0</v>
      </c>
      <c r="I60">
        <v>0</v>
      </c>
      <c r="J60">
        <v>958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958</v>
      </c>
      <c r="S60">
        <v>0</v>
      </c>
      <c r="T60">
        <v>0</v>
      </c>
      <c r="U60">
        <v>0</v>
      </c>
      <c r="V60" t="s">
        <v>45</v>
      </c>
      <c r="W60">
        <v>926</v>
      </c>
      <c r="X60">
        <v>32</v>
      </c>
      <c r="Y60">
        <v>0</v>
      </c>
      <c r="Z60">
        <v>0</v>
      </c>
      <c r="AA60">
        <v>926</v>
      </c>
      <c r="AB60">
        <v>32</v>
      </c>
      <c r="AC60">
        <v>0</v>
      </c>
      <c r="AD60">
        <v>0</v>
      </c>
      <c r="AE60">
        <v>958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958</v>
      </c>
      <c r="AN60">
        <v>0</v>
      </c>
      <c r="AO60">
        <v>0</v>
      </c>
      <c r="AP60">
        <v>0</v>
      </c>
      <c r="AQ60" t="s">
        <v>45</v>
      </c>
      <c r="AR60">
        <v>926</v>
      </c>
      <c r="AS60">
        <v>32</v>
      </c>
      <c r="AT60">
        <v>0</v>
      </c>
      <c r="AU60">
        <v>0</v>
      </c>
      <c r="AV60">
        <v>926</v>
      </c>
      <c r="AW60">
        <v>32</v>
      </c>
      <c r="AX60">
        <v>0</v>
      </c>
      <c r="AY60">
        <v>0</v>
      </c>
      <c r="AZ60">
        <v>958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958</v>
      </c>
      <c r="BI60">
        <v>0</v>
      </c>
      <c r="BJ60">
        <v>0</v>
      </c>
      <c r="BK60">
        <v>0</v>
      </c>
    </row>
    <row r="61" spans="1:63">
      <c r="A61" t="s">
        <v>54</v>
      </c>
      <c r="B61">
        <v>472</v>
      </c>
      <c r="C61">
        <v>4</v>
      </c>
      <c r="D61">
        <v>0</v>
      </c>
      <c r="E61">
        <v>0</v>
      </c>
      <c r="F61">
        <v>472</v>
      </c>
      <c r="G61">
        <v>4</v>
      </c>
      <c r="H61">
        <v>0</v>
      </c>
      <c r="I61">
        <v>0</v>
      </c>
      <c r="J61">
        <v>476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476</v>
      </c>
      <c r="S61">
        <v>0</v>
      </c>
      <c r="T61">
        <v>0</v>
      </c>
      <c r="U61">
        <v>0</v>
      </c>
      <c r="V61" t="s">
        <v>54</v>
      </c>
      <c r="W61">
        <v>472</v>
      </c>
      <c r="X61">
        <v>4</v>
      </c>
      <c r="Y61">
        <v>0</v>
      </c>
      <c r="Z61">
        <v>0</v>
      </c>
      <c r="AA61">
        <v>472</v>
      </c>
      <c r="AB61">
        <v>4</v>
      </c>
      <c r="AC61">
        <v>0</v>
      </c>
      <c r="AD61">
        <v>0</v>
      </c>
      <c r="AE61">
        <v>476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476</v>
      </c>
      <c r="AN61">
        <v>0</v>
      </c>
      <c r="AO61">
        <v>0</v>
      </c>
      <c r="AP61">
        <v>0</v>
      </c>
      <c r="AQ61" t="s">
        <v>54</v>
      </c>
      <c r="AR61">
        <v>472</v>
      </c>
      <c r="AS61">
        <v>4</v>
      </c>
      <c r="AT61">
        <v>0</v>
      </c>
      <c r="AU61">
        <v>0</v>
      </c>
      <c r="AV61">
        <v>472</v>
      </c>
      <c r="AW61">
        <v>4</v>
      </c>
      <c r="AX61">
        <v>0</v>
      </c>
      <c r="AY61">
        <v>0</v>
      </c>
      <c r="AZ61">
        <v>476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476</v>
      </c>
      <c r="BI61">
        <v>0</v>
      </c>
      <c r="BJ61">
        <v>0</v>
      </c>
      <c r="BK61">
        <v>0</v>
      </c>
    </row>
    <row r="62" spans="1:63">
      <c r="A62" t="s">
        <v>79</v>
      </c>
      <c r="B62">
        <v>580</v>
      </c>
      <c r="C62">
        <v>27</v>
      </c>
      <c r="D62">
        <v>0</v>
      </c>
      <c r="E62">
        <v>0</v>
      </c>
      <c r="F62">
        <v>580</v>
      </c>
      <c r="G62">
        <v>27</v>
      </c>
      <c r="H62">
        <v>0</v>
      </c>
      <c r="I62">
        <v>0</v>
      </c>
      <c r="J62">
        <v>607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607</v>
      </c>
      <c r="S62">
        <v>0</v>
      </c>
      <c r="T62">
        <v>0</v>
      </c>
      <c r="U62">
        <v>0</v>
      </c>
      <c r="V62" t="s">
        <v>79</v>
      </c>
      <c r="W62">
        <v>580</v>
      </c>
      <c r="X62">
        <v>27</v>
      </c>
      <c r="Y62">
        <v>0</v>
      </c>
      <c r="Z62">
        <v>0</v>
      </c>
      <c r="AA62">
        <v>580</v>
      </c>
      <c r="AB62">
        <v>27</v>
      </c>
      <c r="AC62">
        <v>0</v>
      </c>
      <c r="AD62">
        <v>0</v>
      </c>
      <c r="AE62">
        <v>607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607</v>
      </c>
      <c r="AN62">
        <v>0</v>
      </c>
      <c r="AO62">
        <v>0</v>
      </c>
      <c r="AP62">
        <v>0</v>
      </c>
      <c r="AQ62" t="s">
        <v>79</v>
      </c>
      <c r="AR62">
        <v>580</v>
      </c>
      <c r="AS62">
        <v>27</v>
      </c>
      <c r="AT62">
        <v>0</v>
      </c>
      <c r="AU62">
        <v>0</v>
      </c>
      <c r="AV62">
        <v>580</v>
      </c>
      <c r="AW62">
        <v>27</v>
      </c>
      <c r="AX62">
        <v>0</v>
      </c>
      <c r="AY62">
        <v>0</v>
      </c>
      <c r="AZ62">
        <v>607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607</v>
      </c>
      <c r="BI62">
        <v>0</v>
      </c>
      <c r="BJ62">
        <v>0</v>
      </c>
      <c r="BK62">
        <v>0</v>
      </c>
    </row>
    <row r="63" spans="1:63">
      <c r="A63" t="s">
        <v>9</v>
      </c>
      <c r="B63">
        <v>732</v>
      </c>
      <c r="C63">
        <v>5</v>
      </c>
      <c r="D63">
        <v>0</v>
      </c>
      <c r="E63">
        <v>0</v>
      </c>
      <c r="F63">
        <v>732</v>
      </c>
      <c r="G63">
        <v>5</v>
      </c>
      <c r="H63">
        <v>0</v>
      </c>
      <c r="I63">
        <v>0</v>
      </c>
      <c r="J63">
        <v>737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737</v>
      </c>
      <c r="S63">
        <v>0</v>
      </c>
      <c r="T63">
        <v>0</v>
      </c>
      <c r="U63">
        <v>0</v>
      </c>
      <c r="V63" t="s">
        <v>9</v>
      </c>
      <c r="W63">
        <v>732</v>
      </c>
      <c r="X63">
        <v>5</v>
      </c>
      <c r="Y63">
        <v>0</v>
      </c>
      <c r="Z63">
        <v>0</v>
      </c>
      <c r="AA63">
        <v>732</v>
      </c>
      <c r="AB63">
        <v>5</v>
      </c>
      <c r="AC63">
        <v>0</v>
      </c>
      <c r="AD63">
        <v>0</v>
      </c>
      <c r="AE63">
        <v>737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737</v>
      </c>
      <c r="AN63">
        <v>0</v>
      </c>
      <c r="AO63">
        <v>0</v>
      </c>
      <c r="AP63">
        <v>0</v>
      </c>
      <c r="AQ63" t="s">
        <v>9</v>
      </c>
      <c r="AR63">
        <v>732</v>
      </c>
      <c r="AS63">
        <v>5</v>
      </c>
      <c r="AT63">
        <v>0</v>
      </c>
      <c r="AU63">
        <v>0</v>
      </c>
      <c r="AV63">
        <v>732</v>
      </c>
      <c r="AW63">
        <v>5</v>
      </c>
      <c r="AX63">
        <v>0</v>
      </c>
      <c r="AY63">
        <v>0</v>
      </c>
      <c r="AZ63">
        <v>737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737</v>
      </c>
      <c r="BI63">
        <v>0</v>
      </c>
      <c r="BJ63">
        <v>0</v>
      </c>
      <c r="BK63">
        <v>0</v>
      </c>
    </row>
    <row r="64" spans="1:63">
      <c r="A64" t="s">
        <v>7</v>
      </c>
      <c r="B64">
        <v>56</v>
      </c>
      <c r="C64">
        <v>1</v>
      </c>
      <c r="D64">
        <v>0</v>
      </c>
      <c r="E64">
        <v>0</v>
      </c>
      <c r="F64">
        <v>56</v>
      </c>
      <c r="G64">
        <v>1</v>
      </c>
      <c r="H64">
        <v>0</v>
      </c>
      <c r="I64">
        <v>0</v>
      </c>
      <c r="J64">
        <v>57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57</v>
      </c>
      <c r="S64">
        <v>0</v>
      </c>
      <c r="T64">
        <v>0</v>
      </c>
      <c r="U64">
        <v>0</v>
      </c>
      <c r="V64" t="s">
        <v>7</v>
      </c>
      <c r="W64">
        <v>56</v>
      </c>
      <c r="X64">
        <v>1</v>
      </c>
      <c r="Y64">
        <v>0</v>
      </c>
      <c r="Z64">
        <v>0</v>
      </c>
      <c r="AA64">
        <v>56</v>
      </c>
      <c r="AB64">
        <v>1</v>
      </c>
      <c r="AC64">
        <v>0</v>
      </c>
      <c r="AD64">
        <v>0</v>
      </c>
      <c r="AE64">
        <v>57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57</v>
      </c>
      <c r="AN64">
        <v>0</v>
      </c>
      <c r="AO64">
        <v>0</v>
      </c>
      <c r="AP64">
        <v>0</v>
      </c>
      <c r="AQ64" t="s">
        <v>7</v>
      </c>
      <c r="AR64">
        <v>56</v>
      </c>
      <c r="AS64">
        <v>1</v>
      </c>
      <c r="AT64">
        <v>0</v>
      </c>
      <c r="AU64">
        <v>0</v>
      </c>
      <c r="AV64">
        <v>56</v>
      </c>
      <c r="AW64">
        <v>1</v>
      </c>
      <c r="AX64">
        <v>0</v>
      </c>
      <c r="AY64">
        <v>0</v>
      </c>
      <c r="AZ64">
        <v>57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57</v>
      </c>
      <c r="BI64">
        <v>0</v>
      </c>
      <c r="BJ64">
        <v>0</v>
      </c>
      <c r="BK64">
        <v>0</v>
      </c>
    </row>
    <row r="65" spans="1:63">
      <c r="A65" t="s">
        <v>46</v>
      </c>
      <c r="B65">
        <v>26</v>
      </c>
      <c r="C65">
        <v>1</v>
      </c>
      <c r="D65">
        <v>0</v>
      </c>
      <c r="E65">
        <v>0</v>
      </c>
      <c r="F65">
        <v>26</v>
      </c>
      <c r="G65">
        <v>1</v>
      </c>
      <c r="H65">
        <v>0</v>
      </c>
      <c r="I65">
        <v>0</v>
      </c>
      <c r="J65">
        <v>27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27</v>
      </c>
      <c r="S65">
        <v>0</v>
      </c>
      <c r="T65">
        <v>0</v>
      </c>
      <c r="U65">
        <v>0</v>
      </c>
      <c r="V65" t="s">
        <v>46</v>
      </c>
      <c r="W65">
        <v>26</v>
      </c>
      <c r="X65">
        <v>1</v>
      </c>
      <c r="Y65">
        <v>0</v>
      </c>
      <c r="Z65">
        <v>0</v>
      </c>
      <c r="AA65">
        <v>26</v>
      </c>
      <c r="AB65">
        <v>1</v>
      </c>
      <c r="AC65">
        <v>0</v>
      </c>
      <c r="AD65">
        <v>0</v>
      </c>
      <c r="AE65">
        <v>27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27</v>
      </c>
      <c r="AN65">
        <v>0</v>
      </c>
      <c r="AO65">
        <v>0</v>
      </c>
      <c r="AP65">
        <v>0</v>
      </c>
      <c r="AQ65" t="s">
        <v>46</v>
      </c>
      <c r="AR65">
        <v>26</v>
      </c>
      <c r="AS65">
        <v>1</v>
      </c>
      <c r="AT65">
        <v>0</v>
      </c>
      <c r="AU65">
        <v>0</v>
      </c>
      <c r="AV65">
        <v>26</v>
      </c>
      <c r="AW65">
        <v>1</v>
      </c>
      <c r="AX65">
        <v>0</v>
      </c>
      <c r="AY65">
        <v>0</v>
      </c>
      <c r="AZ65">
        <v>27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27</v>
      </c>
      <c r="BI65">
        <v>0</v>
      </c>
      <c r="BJ65">
        <v>0</v>
      </c>
      <c r="BK65">
        <v>0</v>
      </c>
    </row>
    <row r="66" spans="1:63">
      <c r="A66" t="s">
        <v>99</v>
      </c>
      <c r="B66">
        <v>171</v>
      </c>
      <c r="C66">
        <v>4</v>
      </c>
      <c r="D66">
        <v>0</v>
      </c>
      <c r="E66">
        <v>0</v>
      </c>
      <c r="F66">
        <v>171</v>
      </c>
      <c r="G66">
        <v>4</v>
      </c>
      <c r="H66">
        <v>0</v>
      </c>
      <c r="I66">
        <v>0</v>
      </c>
      <c r="J66">
        <v>175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175</v>
      </c>
      <c r="S66">
        <v>0</v>
      </c>
      <c r="T66">
        <v>0</v>
      </c>
      <c r="U66">
        <v>0</v>
      </c>
      <c r="V66" t="s">
        <v>99</v>
      </c>
      <c r="W66">
        <v>171</v>
      </c>
      <c r="X66">
        <v>4</v>
      </c>
      <c r="Y66">
        <v>0</v>
      </c>
      <c r="Z66">
        <v>0</v>
      </c>
      <c r="AA66">
        <v>171</v>
      </c>
      <c r="AB66">
        <v>4</v>
      </c>
      <c r="AC66">
        <v>0</v>
      </c>
      <c r="AD66">
        <v>0</v>
      </c>
      <c r="AE66">
        <v>175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175</v>
      </c>
      <c r="AN66">
        <v>0</v>
      </c>
      <c r="AO66">
        <v>0</v>
      </c>
      <c r="AP66">
        <v>0</v>
      </c>
      <c r="AQ66" t="s">
        <v>99</v>
      </c>
      <c r="AR66">
        <v>171</v>
      </c>
      <c r="AS66">
        <v>4</v>
      </c>
      <c r="AT66">
        <v>0</v>
      </c>
      <c r="AU66">
        <v>0</v>
      </c>
      <c r="AV66">
        <v>171</v>
      </c>
      <c r="AW66">
        <v>4</v>
      </c>
      <c r="AX66">
        <v>0</v>
      </c>
      <c r="AY66">
        <v>0</v>
      </c>
      <c r="AZ66">
        <v>175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175</v>
      </c>
      <c r="BI66">
        <v>0</v>
      </c>
      <c r="BJ66">
        <v>0</v>
      </c>
      <c r="BK66">
        <v>0</v>
      </c>
    </row>
    <row r="67" spans="1:63">
      <c r="A67" t="s">
        <v>96</v>
      </c>
      <c r="B67">
        <v>268</v>
      </c>
      <c r="C67">
        <v>4</v>
      </c>
      <c r="D67">
        <v>0</v>
      </c>
      <c r="E67">
        <v>0</v>
      </c>
      <c r="F67">
        <v>268</v>
      </c>
      <c r="G67">
        <v>4</v>
      </c>
      <c r="H67">
        <v>0</v>
      </c>
      <c r="I67">
        <v>0</v>
      </c>
      <c r="J67">
        <v>272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272</v>
      </c>
      <c r="S67">
        <v>0</v>
      </c>
      <c r="T67">
        <v>0</v>
      </c>
      <c r="U67">
        <v>0</v>
      </c>
      <c r="V67" t="s">
        <v>96</v>
      </c>
      <c r="W67">
        <v>268</v>
      </c>
      <c r="X67">
        <v>4</v>
      </c>
      <c r="Y67">
        <v>0</v>
      </c>
      <c r="Z67">
        <v>0</v>
      </c>
      <c r="AA67">
        <v>268</v>
      </c>
      <c r="AB67">
        <v>4</v>
      </c>
      <c r="AC67">
        <v>0</v>
      </c>
      <c r="AD67">
        <v>0</v>
      </c>
      <c r="AE67">
        <v>272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272</v>
      </c>
      <c r="AN67">
        <v>0</v>
      </c>
      <c r="AO67">
        <v>0</v>
      </c>
      <c r="AP67">
        <v>0</v>
      </c>
      <c r="AQ67" t="s">
        <v>96</v>
      </c>
      <c r="AR67">
        <v>268</v>
      </c>
      <c r="AS67">
        <v>4</v>
      </c>
      <c r="AT67">
        <v>0</v>
      </c>
      <c r="AU67">
        <v>0</v>
      </c>
      <c r="AV67">
        <v>268</v>
      </c>
      <c r="AW67">
        <v>4</v>
      </c>
      <c r="AX67">
        <v>0</v>
      </c>
      <c r="AY67">
        <v>0</v>
      </c>
      <c r="AZ67">
        <v>272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272</v>
      </c>
      <c r="BI67">
        <v>0</v>
      </c>
      <c r="BJ67">
        <v>0</v>
      </c>
      <c r="BK67">
        <v>0</v>
      </c>
    </row>
    <row r="68" spans="1:63">
      <c r="A68" t="s">
        <v>13</v>
      </c>
      <c r="B68">
        <v>22</v>
      </c>
      <c r="C68">
        <v>0</v>
      </c>
      <c r="D68">
        <v>0</v>
      </c>
      <c r="E68">
        <v>0</v>
      </c>
      <c r="F68">
        <v>22</v>
      </c>
      <c r="G68">
        <v>0</v>
      </c>
      <c r="H68">
        <v>0</v>
      </c>
      <c r="I68">
        <v>0</v>
      </c>
      <c r="J68">
        <v>22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22</v>
      </c>
      <c r="S68">
        <v>0</v>
      </c>
      <c r="T68">
        <v>0</v>
      </c>
      <c r="U68">
        <v>0</v>
      </c>
      <c r="V68" t="s">
        <v>13</v>
      </c>
      <c r="W68">
        <v>22</v>
      </c>
      <c r="X68">
        <v>0</v>
      </c>
      <c r="Y68">
        <v>0</v>
      </c>
      <c r="Z68">
        <v>0</v>
      </c>
      <c r="AA68">
        <v>22</v>
      </c>
      <c r="AB68">
        <v>0</v>
      </c>
      <c r="AC68">
        <v>0</v>
      </c>
      <c r="AD68">
        <v>0</v>
      </c>
      <c r="AE68">
        <v>22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22</v>
      </c>
      <c r="AN68">
        <v>0</v>
      </c>
      <c r="AO68">
        <v>0</v>
      </c>
      <c r="AP68">
        <v>0</v>
      </c>
      <c r="AQ68" t="s">
        <v>13</v>
      </c>
      <c r="AR68">
        <v>22</v>
      </c>
      <c r="AS68">
        <v>0</v>
      </c>
      <c r="AT68">
        <v>0</v>
      </c>
      <c r="AU68">
        <v>0</v>
      </c>
      <c r="AV68">
        <v>22</v>
      </c>
      <c r="AW68">
        <v>0</v>
      </c>
      <c r="AX68">
        <v>0</v>
      </c>
      <c r="AY68">
        <v>0</v>
      </c>
      <c r="AZ68">
        <v>22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22</v>
      </c>
      <c r="BI68">
        <v>0</v>
      </c>
      <c r="BJ68">
        <v>0</v>
      </c>
      <c r="BK68">
        <v>0</v>
      </c>
    </row>
    <row r="69" spans="1:63">
      <c r="A69" t="s">
        <v>93</v>
      </c>
      <c r="B69">
        <v>21</v>
      </c>
      <c r="C69">
        <v>0</v>
      </c>
      <c r="D69">
        <v>0</v>
      </c>
      <c r="E69">
        <v>0</v>
      </c>
      <c r="F69">
        <v>21</v>
      </c>
      <c r="G69">
        <v>0</v>
      </c>
      <c r="H69">
        <v>0</v>
      </c>
      <c r="I69">
        <v>0</v>
      </c>
      <c r="J69">
        <v>21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21</v>
      </c>
      <c r="S69">
        <v>0</v>
      </c>
      <c r="T69">
        <v>0</v>
      </c>
      <c r="U69">
        <v>0</v>
      </c>
      <c r="V69" t="s">
        <v>93</v>
      </c>
      <c r="W69">
        <v>21</v>
      </c>
      <c r="X69">
        <v>0</v>
      </c>
      <c r="Y69">
        <v>0</v>
      </c>
      <c r="Z69">
        <v>0</v>
      </c>
      <c r="AA69">
        <v>21</v>
      </c>
      <c r="AB69">
        <v>0</v>
      </c>
      <c r="AC69">
        <v>0</v>
      </c>
      <c r="AD69">
        <v>0</v>
      </c>
      <c r="AE69">
        <v>21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21</v>
      </c>
      <c r="AN69">
        <v>0</v>
      </c>
      <c r="AO69">
        <v>0</v>
      </c>
      <c r="AP69">
        <v>0</v>
      </c>
      <c r="AQ69" t="s">
        <v>93</v>
      </c>
      <c r="AR69">
        <v>21</v>
      </c>
      <c r="AS69">
        <v>0</v>
      </c>
      <c r="AT69">
        <v>0</v>
      </c>
      <c r="AU69">
        <v>0</v>
      </c>
      <c r="AV69">
        <v>21</v>
      </c>
      <c r="AW69">
        <v>0</v>
      </c>
      <c r="AX69">
        <v>0</v>
      </c>
      <c r="AY69">
        <v>0</v>
      </c>
      <c r="AZ69">
        <v>21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21</v>
      </c>
      <c r="BI69">
        <v>0</v>
      </c>
      <c r="BJ69">
        <v>0</v>
      </c>
      <c r="BK69">
        <v>0</v>
      </c>
    </row>
    <row r="70" spans="1:63">
      <c r="A70" t="s">
        <v>48</v>
      </c>
      <c r="B70">
        <v>117</v>
      </c>
      <c r="C70">
        <v>3</v>
      </c>
      <c r="D70">
        <v>0</v>
      </c>
      <c r="E70">
        <v>0</v>
      </c>
      <c r="F70">
        <v>117</v>
      </c>
      <c r="G70">
        <v>3</v>
      </c>
      <c r="H70">
        <v>0</v>
      </c>
      <c r="I70">
        <v>0</v>
      </c>
      <c r="J70">
        <v>120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120</v>
      </c>
      <c r="S70">
        <v>0</v>
      </c>
      <c r="T70">
        <v>0</v>
      </c>
      <c r="U70">
        <v>0</v>
      </c>
      <c r="V70" t="s">
        <v>48</v>
      </c>
      <c r="W70">
        <v>117</v>
      </c>
      <c r="X70">
        <v>3</v>
      </c>
      <c r="Y70">
        <v>0</v>
      </c>
      <c r="Z70">
        <v>0</v>
      </c>
      <c r="AA70">
        <v>117</v>
      </c>
      <c r="AB70">
        <v>3</v>
      </c>
      <c r="AC70">
        <v>0</v>
      </c>
      <c r="AD70">
        <v>0</v>
      </c>
      <c r="AE70">
        <v>120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120</v>
      </c>
      <c r="AN70">
        <v>0</v>
      </c>
      <c r="AO70">
        <v>0</v>
      </c>
      <c r="AP70">
        <v>0</v>
      </c>
      <c r="AQ70" t="s">
        <v>48</v>
      </c>
      <c r="AR70">
        <v>117</v>
      </c>
      <c r="AS70">
        <v>3</v>
      </c>
      <c r="AT70">
        <v>0</v>
      </c>
      <c r="AU70">
        <v>0</v>
      </c>
      <c r="AV70">
        <v>117</v>
      </c>
      <c r="AW70">
        <v>3</v>
      </c>
      <c r="AX70">
        <v>0</v>
      </c>
      <c r="AY70">
        <v>0</v>
      </c>
      <c r="AZ70">
        <v>120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120</v>
      </c>
      <c r="BI70">
        <v>0</v>
      </c>
      <c r="BJ70">
        <v>0</v>
      </c>
      <c r="BK70">
        <v>0</v>
      </c>
    </row>
    <row r="71" spans="1:63">
      <c r="A71" t="s">
        <v>103</v>
      </c>
      <c r="B71">
        <v>158</v>
      </c>
      <c r="C71">
        <v>4</v>
      </c>
      <c r="D71">
        <v>0</v>
      </c>
      <c r="E71">
        <v>0</v>
      </c>
      <c r="F71">
        <v>158</v>
      </c>
      <c r="G71">
        <v>4</v>
      </c>
      <c r="H71">
        <v>0</v>
      </c>
      <c r="I71">
        <v>0</v>
      </c>
      <c r="J71">
        <v>162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162</v>
      </c>
      <c r="S71">
        <v>0</v>
      </c>
      <c r="T71">
        <v>0</v>
      </c>
      <c r="U71">
        <v>0</v>
      </c>
      <c r="V71" t="s">
        <v>103</v>
      </c>
      <c r="W71">
        <v>158</v>
      </c>
      <c r="X71">
        <v>4</v>
      </c>
      <c r="Y71">
        <v>0</v>
      </c>
      <c r="Z71">
        <v>0</v>
      </c>
      <c r="AA71">
        <v>158</v>
      </c>
      <c r="AB71">
        <v>4</v>
      </c>
      <c r="AC71">
        <v>0</v>
      </c>
      <c r="AD71">
        <v>0</v>
      </c>
      <c r="AE71">
        <v>162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162</v>
      </c>
      <c r="AN71">
        <v>0</v>
      </c>
      <c r="AO71">
        <v>0</v>
      </c>
      <c r="AP71">
        <v>0</v>
      </c>
      <c r="AQ71" t="s">
        <v>103</v>
      </c>
      <c r="AR71">
        <v>158</v>
      </c>
      <c r="AS71">
        <v>4</v>
      </c>
      <c r="AT71">
        <v>0</v>
      </c>
      <c r="AU71">
        <v>0</v>
      </c>
      <c r="AV71">
        <v>158</v>
      </c>
      <c r="AW71">
        <v>4</v>
      </c>
      <c r="AX71">
        <v>0</v>
      </c>
      <c r="AY71">
        <v>0</v>
      </c>
      <c r="AZ71">
        <v>162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162</v>
      </c>
      <c r="BI71">
        <v>0</v>
      </c>
      <c r="BJ71">
        <v>0</v>
      </c>
      <c r="BK71">
        <v>0</v>
      </c>
    </row>
    <row r="72" spans="1:63">
      <c r="A72" t="s">
        <v>31</v>
      </c>
      <c r="B72">
        <v>254</v>
      </c>
      <c r="C72">
        <v>4</v>
      </c>
      <c r="D72">
        <v>0</v>
      </c>
      <c r="E72">
        <v>0</v>
      </c>
      <c r="F72">
        <v>254</v>
      </c>
      <c r="G72">
        <v>4</v>
      </c>
      <c r="H72">
        <v>0</v>
      </c>
      <c r="I72">
        <v>0</v>
      </c>
      <c r="J72">
        <v>258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258</v>
      </c>
      <c r="S72">
        <v>0</v>
      </c>
      <c r="T72">
        <v>0</v>
      </c>
      <c r="U72">
        <v>0</v>
      </c>
      <c r="V72" t="s">
        <v>31</v>
      </c>
      <c r="W72">
        <v>254</v>
      </c>
      <c r="X72">
        <v>4</v>
      </c>
      <c r="Y72">
        <v>0</v>
      </c>
      <c r="Z72">
        <v>0</v>
      </c>
      <c r="AA72">
        <v>254</v>
      </c>
      <c r="AB72">
        <v>4</v>
      </c>
      <c r="AC72">
        <v>0</v>
      </c>
      <c r="AD72">
        <v>0</v>
      </c>
      <c r="AE72">
        <v>258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258</v>
      </c>
      <c r="AN72">
        <v>0</v>
      </c>
      <c r="AO72">
        <v>0</v>
      </c>
      <c r="AP72">
        <v>0</v>
      </c>
      <c r="AQ72" t="s">
        <v>31</v>
      </c>
      <c r="AR72">
        <v>254</v>
      </c>
      <c r="AS72">
        <v>4</v>
      </c>
      <c r="AT72">
        <v>0</v>
      </c>
      <c r="AU72">
        <v>0</v>
      </c>
      <c r="AV72">
        <v>254</v>
      </c>
      <c r="AW72">
        <v>4</v>
      </c>
      <c r="AX72">
        <v>0</v>
      </c>
      <c r="AY72">
        <v>0</v>
      </c>
      <c r="AZ72">
        <v>258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258</v>
      </c>
      <c r="BI72">
        <v>0</v>
      </c>
      <c r="BJ72">
        <v>0</v>
      </c>
      <c r="BK72">
        <v>0</v>
      </c>
    </row>
    <row r="73" spans="1:63">
      <c r="A73" t="s">
        <v>33</v>
      </c>
      <c r="B73">
        <v>299</v>
      </c>
      <c r="C73">
        <v>15</v>
      </c>
      <c r="D73">
        <v>0</v>
      </c>
      <c r="E73">
        <v>0</v>
      </c>
      <c r="F73">
        <v>299</v>
      </c>
      <c r="G73">
        <v>15</v>
      </c>
      <c r="H73">
        <v>0</v>
      </c>
      <c r="I73">
        <v>0</v>
      </c>
      <c r="J73">
        <v>314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314</v>
      </c>
      <c r="S73">
        <v>0</v>
      </c>
      <c r="T73">
        <v>0</v>
      </c>
      <c r="U73">
        <v>0</v>
      </c>
      <c r="V73" t="s">
        <v>33</v>
      </c>
      <c r="W73">
        <v>299</v>
      </c>
      <c r="X73">
        <v>15</v>
      </c>
      <c r="Y73">
        <v>0</v>
      </c>
      <c r="Z73">
        <v>0</v>
      </c>
      <c r="AA73">
        <v>299</v>
      </c>
      <c r="AB73">
        <v>15</v>
      </c>
      <c r="AC73">
        <v>0</v>
      </c>
      <c r="AD73">
        <v>0</v>
      </c>
      <c r="AE73">
        <v>314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314</v>
      </c>
      <c r="AN73">
        <v>0</v>
      </c>
      <c r="AO73">
        <v>0</v>
      </c>
      <c r="AP73">
        <v>0</v>
      </c>
      <c r="AQ73" t="s">
        <v>33</v>
      </c>
      <c r="AR73">
        <v>299</v>
      </c>
      <c r="AS73">
        <v>15</v>
      </c>
      <c r="AT73">
        <v>0</v>
      </c>
      <c r="AU73">
        <v>0</v>
      </c>
      <c r="AV73">
        <v>299</v>
      </c>
      <c r="AW73">
        <v>15</v>
      </c>
      <c r="AX73">
        <v>0</v>
      </c>
      <c r="AY73">
        <v>0</v>
      </c>
      <c r="AZ73">
        <v>314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314</v>
      </c>
      <c r="BI73">
        <v>0</v>
      </c>
      <c r="BJ73">
        <v>0</v>
      </c>
      <c r="BK73">
        <v>0</v>
      </c>
    </row>
    <row r="74" spans="1:63">
      <c r="A74" t="s">
        <v>75</v>
      </c>
      <c r="B74">
        <v>300</v>
      </c>
      <c r="C74">
        <v>12</v>
      </c>
      <c r="D74">
        <v>0</v>
      </c>
      <c r="E74">
        <v>0</v>
      </c>
      <c r="F74">
        <v>300</v>
      </c>
      <c r="G74">
        <v>12</v>
      </c>
      <c r="H74">
        <v>0</v>
      </c>
      <c r="I74">
        <v>0</v>
      </c>
      <c r="J74">
        <v>312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312</v>
      </c>
      <c r="S74">
        <v>0</v>
      </c>
      <c r="T74">
        <v>0</v>
      </c>
      <c r="U74">
        <v>0</v>
      </c>
      <c r="V74" t="s">
        <v>75</v>
      </c>
      <c r="W74">
        <v>300</v>
      </c>
      <c r="X74">
        <v>12</v>
      </c>
      <c r="Y74">
        <v>0</v>
      </c>
      <c r="Z74">
        <v>0</v>
      </c>
      <c r="AA74">
        <v>300</v>
      </c>
      <c r="AB74">
        <v>12</v>
      </c>
      <c r="AC74">
        <v>0</v>
      </c>
      <c r="AD74">
        <v>0</v>
      </c>
      <c r="AE74">
        <v>312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312</v>
      </c>
      <c r="AN74">
        <v>0</v>
      </c>
      <c r="AO74">
        <v>0</v>
      </c>
      <c r="AP74">
        <v>0</v>
      </c>
      <c r="AQ74" t="s">
        <v>75</v>
      </c>
      <c r="AR74">
        <v>300</v>
      </c>
      <c r="AS74">
        <v>12</v>
      </c>
      <c r="AT74">
        <v>0</v>
      </c>
      <c r="AU74">
        <v>0</v>
      </c>
      <c r="AV74">
        <v>300</v>
      </c>
      <c r="AW74">
        <v>12</v>
      </c>
      <c r="AX74">
        <v>0</v>
      </c>
      <c r="AY74">
        <v>0</v>
      </c>
      <c r="AZ74">
        <v>312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312</v>
      </c>
      <c r="BI74">
        <v>0</v>
      </c>
      <c r="BJ74">
        <v>0</v>
      </c>
      <c r="BK74">
        <v>0</v>
      </c>
    </row>
    <row r="75" spans="1:63">
      <c r="A75" t="s">
        <v>23</v>
      </c>
      <c r="B75">
        <v>97</v>
      </c>
      <c r="C75">
        <v>4</v>
      </c>
      <c r="D75">
        <v>0</v>
      </c>
      <c r="E75">
        <v>0</v>
      </c>
      <c r="F75">
        <v>97</v>
      </c>
      <c r="G75">
        <v>4</v>
      </c>
      <c r="H75">
        <v>0</v>
      </c>
      <c r="I75">
        <v>0</v>
      </c>
      <c r="J75">
        <v>240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101</v>
      </c>
      <c r="S75">
        <v>0</v>
      </c>
      <c r="T75">
        <v>0</v>
      </c>
      <c r="U75">
        <v>0</v>
      </c>
      <c r="V75" t="s">
        <v>23</v>
      </c>
      <c r="W75">
        <v>97</v>
      </c>
      <c r="X75">
        <v>4</v>
      </c>
      <c r="Y75">
        <v>0</v>
      </c>
      <c r="Z75">
        <v>0</v>
      </c>
      <c r="AA75">
        <v>97</v>
      </c>
      <c r="AB75">
        <v>4</v>
      </c>
      <c r="AC75">
        <v>0</v>
      </c>
      <c r="AD75">
        <v>0</v>
      </c>
      <c r="AE75">
        <v>240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101</v>
      </c>
      <c r="AN75">
        <v>0</v>
      </c>
      <c r="AO75">
        <v>0</v>
      </c>
      <c r="AP75">
        <v>0</v>
      </c>
      <c r="AQ75" t="s">
        <v>23</v>
      </c>
      <c r="AR75">
        <v>97</v>
      </c>
      <c r="AS75">
        <v>4</v>
      </c>
      <c r="AT75">
        <v>0</v>
      </c>
      <c r="AU75">
        <v>0</v>
      </c>
      <c r="AV75">
        <v>97</v>
      </c>
      <c r="AW75">
        <v>4</v>
      </c>
      <c r="AX75">
        <v>0</v>
      </c>
      <c r="AY75">
        <v>0</v>
      </c>
      <c r="AZ75">
        <v>240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101</v>
      </c>
      <c r="BI75">
        <v>0</v>
      </c>
      <c r="BJ75">
        <v>0</v>
      </c>
      <c r="BK75">
        <v>0</v>
      </c>
    </row>
    <row r="76" spans="1:63">
      <c r="A76" t="s">
        <v>102</v>
      </c>
      <c r="B76">
        <v>62</v>
      </c>
      <c r="C76">
        <v>8</v>
      </c>
      <c r="D76">
        <v>0</v>
      </c>
      <c r="E76">
        <v>0</v>
      </c>
      <c r="F76">
        <v>63</v>
      </c>
      <c r="G76">
        <v>7</v>
      </c>
      <c r="H76">
        <v>0</v>
      </c>
      <c r="I76">
        <v>0</v>
      </c>
      <c r="J76">
        <v>70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68</v>
      </c>
      <c r="S76">
        <v>1</v>
      </c>
      <c r="T76">
        <v>1</v>
      </c>
      <c r="U76">
        <v>0</v>
      </c>
      <c r="V76" t="s">
        <v>102</v>
      </c>
      <c r="W76">
        <v>62</v>
      </c>
      <c r="X76">
        <v>8</v>
      </c>
      <c r="Y76">
        <v>0</v>
      </c>
      <c r="Z76">
        <v>0</v>
      </c>
      <c r="AA76">
        <v>62</v>
      </c>
      <c r="AB76">
        <v>8</v>
      </c>
      <c r="AC76">
        <v>0</v>
      </c>
      <c r="AD76">
        <v>0</v>
      </c>
      <c r="AE76">
        <v>70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69</v>
      </c>
      <c r="AN76">
        <v>1</v>
      </c>
      <c r="AO76">
        <v>0</v>
      </c>
      <c r="AP76">
        <v>0</v>
      </c>
      <c r="AQ76" t="s">
        <v>102</v>
      </c>
      <c r="AR76">
        <v>63</v>
      </c>
      <c r="AS76">
        <v>7</v>
      </c>
      <c r="AT76">
        <v>0</v>
      </c>
      <c r="AU76">
        <v>0</v>
      </c>
      <c r="AV76">
        <v>62</v>
      </c>
      <c r="AW76">
        <v>8</v>
      </c>
      <c r="AX76">
        <v>0</v>
      </c>
      <c r="AY76">
        <v>0</v>
      </c>
      <c r="AZ76">
        <v>70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69</v>
      </c>
      <c r="BI76">
        <v>1</v>
      </c>
      <c r="BJ76">
        <v>0</v>
      </c>
      <c r="BK76">
        <v>0</v>
      </c>
    </row>
    <row r="77" spans="1:63">
      <c r="A77" t="s">
        <v>67</v>
      </c>
      <c r="B77">
        <v>147</v>
      </c>
      <c r="C77">
        <v>0</v>
      </c>
      <c r="D77">
        <v>0</v>
      </c>
      <c r="E77">
        <v>0</v>
      </c>
      <c r="F77">
        <v>147</v>
      </c>
      <c r="G77">
        <v>0</v>
      </c>
      <c r="H77">
        <v>0</v>
      </c>
      <c r="I77">
        <v>0</v>
      </c>
      <c r="J77">
        <v>147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147</v>
      </c>
      <c r="S77">
        <v>0</v>
      </c>
      <c r="T77">
        <v>0</v>
      </c>
      <c r="U77">
        <v>0</v>
      </c>
      <c r="V77" t="s">
        <v>67</v>
      </c>
      <c r="W77">
        <v>147</v>
      </c>
      <c r="X77">
        <v>0</v>
      </c>
      <c r="Y77">
        <v>0</v>
      </c>
      <c r="Z77">
        <v>0</v>
      </c>
      <c r="AA77">
        <v>147</v>
      </c>
      <c r="AB77">
        <v>0</v>
      </c>
      <c r="AC77">
        <v>0</v>
      </c>
      <c r="AD77">
        <v>0</v>
      </c>
      <c r="AE77">
        <v>147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147</v>
      </c>
      <c r="AN77">
        <v>0</v>
      </c>
      <c r="AO77">
        <v>0</v>
      </c>
      <c r="AP77">
        <v>0</v>
      </c>
      <c r="AQ77" t="s">
        <v>67</v>
      </c>
      <c r="AR77">
        <v>147</v>
      </c>
      <c r="AS77">
        <v>0</v>
      </c>
      <c r="AT77">
        <v>0</v>
      </c>
      <c r="AU77">
        <v>0</v>
      </c>
      <c r="AV77">
        <v>147</v>
      </c>
      <c r="AW77">
        <v>0</v>
      </c>
      <c r="AX77">
        <v>0</v>
      </c>
      <c r="AY77">
        <v>0</v>
      </c>
      <c r="AZ77">
        <v>147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147</v>
      </c>
      <c r="BI77">
        <v>0</v>
      </c>
      <c r="BJ77">
        <v>0</v>
      </c>
      <c r="BK77">
        <v>0</v>
      </c>
    </row>
    <row r="78" spans="1:63">
      <c r="A78" t="s">
        <v>52</v>
      </c>
      <c r="B78">
        <v>98</v>
      </c>
      <c r="C78">
        <v>15</v>
      </c>
      <c r="D78">
        <v>0</v>
      </c>
      <c r="E78">
        <v>0</v>
      </c>
      <c r="F78">
        <v>98</v>
      </c>
      <c r="G78">
        <v>15</v>
      </c>
      <c r="H78">
        <v>0</v>
      </c>
      <c r="I78">
        <v>0</v>
      </c>
      <c r="J78">
        <v>113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113</v>
      </c>
      <c r="S78">
        <v>0</v>
      </c>
      <c r="T78">
        <v>0</v>
      </c>
      <c r="U78">
        <v>0</v>
      </c>
      <c r="V78" t="s">
        <v>52</v>
      </c>
      <c r="W78">
        <v>98</v>
      </c>
      <c r="X78">
        <v>15</v>
      </c>
      <c r="Y78">
        <v>0</v>
      </c>
      <c r="Z78">
        <v>0</v>
      </c>
      <c r="AA78">
        <v>98</v>
      </c>
      <c r="AB78">
        <v>15</v>
      </c>
      <c r="AC78">
        <v>0</v>
      </c>
      <c r="AD78">
        <v>0</v>
      </c>
      <c r="AE78">
        <v>113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113</v>
      </c>
      <c r="AN78">
        <v>0</v>
      </c>
      <c r="AO78">
        <v>0</v>
      </c>
      <c r="AP78">
        <v>0</v>
      </c>
      <c r="AQ78" t="s">
        <v>52</v>
      </c>
      <c r="AR78">
        <v>98</v>
      </c>
      <c r="AS78">
        <v>15</v>
      </c>
      <c r="AT78">
        <v>0</v>
      </c>
      <c r="AU78">
        <v>0</v>
      </c>
      <c r="AV78">
        <v>98</v>
      </c>
      <c r="AW78">
        <v>15</v>
      </c>
      <c r="AX78">
        <v>0</v>
      </c>
      <c r="AY78">
        <v>0</v>
      </c>
      <c r="AZ78">
        <v>113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113</v>
      </c>
      <c r="BI78">
        <v>0</v>
      </c>
      <c r="BJ78">
        <v>0</v>
      </c>
      <c r="BK78">
        <v>0</v>
      </c>
    </row>
    <row r="79" spans="1:63">
      <c r="A79" t="s">
        <v>74</v>
      </c>
      <c r="B79">
        <v>13</v>
      </c>
      <c r="C79">
        <v>6</v>
      </c>
      <c r="D79">
        <v>0</v>
      </c>
      <c r="E79">
        <v>0</v>
      </c>
      <c r="F79">
        <v>13</v>
      </c>
      <c r="G79">
        <v>6</v>
      </c>
      <c r="H79">
        <v>0</v>
      </c>
      <c r="I79">
        <v>0</v>
      </c>
      <c r="J79">
        <v>19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19</v>
      </c>
      <c r="S79">
        <v>0</v>
      </c>
      <c r="T79">
        <v>0</v>
      </c>
      <c r="U79">
        <v>0</v>
      </c>
      <c r="V79" t="s">
        <v>74</v>
      </c>
      <c r="W79">
        <v>13</v>
      </c>
      <c r="X79">
        <v>6</v>
      </c>
      <c r="Y79">
        <v>0</v>
      </c>
      <c r="Z79">
        <v>0</v>
      </c>
      <c r="AA79">
        <v>13</v>
      </c>
      <c r="AB79">
        <v>6</v>
      </c>
      <c r="AC79">
        <v>0</v>
      </c>
      <c r="AD79">
        <v>0</v>
      </c>
      <c r="AE79">
        <v>19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19</v>
      </c>
      <c r="AN79">
        <v>0</v>
      </c>
      <c r="AO79">
        <v>0</v>
      </c>
      <c r="AP79">
        <v>0</v>
      </c>
      <c r="AQ79" t="s">
        <v>74</v>
      </c>
      <c r="AR79">
        <v>13</v>
      </c>
      <c r="AS79">
        <v>6</v>
      </c>
      <c r="AT79">
        <v>0</v>
      </c>
      <c r="AU79">
        <v>0</v>
      </c>
      <c r="AV79">
        <v>13</v>
      </c>
      <c r="AW79">
        <v>6</v>
      </c>
      <c r="AX79">
        <v>0</v>
      </c>
      <c r="AY79">
        <v>0</v>
      </c>
      <c r="AZ79">
        <v>19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19</v>
      </c>
      <c r="BI79">
        <v>0</v>
      </c>
      <c r="BJ79">
        <v>0</v>
      </c>
      <c r="BK79">
        <v>0</v>
      </c>
    </row>
    <row r="80" spans="1:63">
      <c r="A80" t="s">
        <v>1</v>
      </c>
      <c r="B80">
        <v>8</v>
      </c>
      <c r="C80">
        <v>0</v>
      </c>
      <c r="D80">
        <v>0</v>
      </c>
      <c r="E80">
        <v>0</v>
      </c>
      <c r="F80">
        <v>8</v>
      </c>
      <c r="G80">
        <v>0</v>
      </c>
      <c r="H80">
        <v>0</v>
      </c>
      <c r="I80">
        <v>0</v>
      </c>
      <c r="J80">
        <v>10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8</v>
      </c>
      <c r="S80">
        <v>0</v>
      </c>
      <c r="T80">
        <v>0</v>
      </c>
      <c r="U80">
        <v>0</v>
      </c>
      <c r="V80" t="s">
        <v>1</v>
      </c>
      <c r="W80">
        <v>8</v>
      </c>
      <c r="X80">
        <v>0</v>
      </c>
      <c r="Y80">
        <v>0</v>
      </c>
      <c r="Z80">
        <v>0</v>
      </c>
      <c r="AA80">
        <v>8</v>
      </c>
      <c r="AB80">
        <v>0</v>
      </c>
      <c r="AC80">
        <v>0</v>
      </c>
      <c r="AD80">
        <v>0</v>
      </c>
      <c r="AE80">
        <v>10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8</v>
      </c>
      <c r="AN80">
        <v>0</v>
      </c>
      <c r="AO80">
        <v>0</v>
      </c>
      <c r="AP80">
        <v>0</v>
      </c>
      <c r="AQ80" t="s">
        <v>1</v>
      </c>
      <c r="AR80">
        <v>8</v>
      </c>
      <c r="AS80">
        <v>0</v>
      </c>
      <c r="AT80">
        <v>0</v>
      </c>
      <c r="AU80">
        <v>0</v>
      </c>
      <c r="AV80">
        <v>8</v>
      </c>
      <c r="AW80">
        <v>0</v>
      </c>
      <c r="AX80">
        <v>0</v>
      </c>
      <c r="AY80">
        <v>0</v>
      </c>
      <c r="AZ80">
        <v>10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8</v>
      </c>
      <c r="BI80">
        <v>0</v>
      </c>
      <c r="BJ80">
        <v>0</v>
      </c>
      <c r="BK80">
        <v>0</v>
      </c>
    </row>
    <row r="81" spans="1:63">
      <c r="A81" t="s">
        <v>0</v>
      </c>
      <c r="B81">
        <v>64</v>
      </c>
      <c r="C81">
        <v>30</v>
      </c>
      <c r="D81">
        <v>0</v>
      </c>
      <c r="E81">
        <v>0</v>
      </c>
      <c r="F81">
        <v>64</v>
      </c>
      <c r="G81">
        <v>30</v>
      </c>
      <c r="H81">
        <v>0</v>
      </c>
      <c r="I81">
        <v>0</v>
      </c>
      <c r="J81">
        <v>94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94</v>
      </c>
      <c r="S81">
        <v>0</v>
      </c>
      <c r="T81">
        <v>0</v>
      </c>
      <c r="U81">
        <v>0</v>
      </c>
      <c r="V81" t="s">
        <v>0</v>
      </c>
      <c r="W81">
        <v>64</v>
      </c>
      <c r="X81">
        <v>30</v>
      </c>
      <c r="Y81">
        <v>0</v>
      </c>
      <c r="Z81">
        <v>0</v>
      </c>
      <c r="AA81">
        <v>64</v>
      </c>
      <c r="AB81">
        <v>30</v>
      </c>
      <c r="AC81">
        <v>0</v>
      </c>
      <c r="AD81">
        <v>0</v>
      </c>
      <c r="AE81">
        <v>94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94</v>
      </c>
      <c r="AN81">
        <v>0</v>
      </c>
      <c r="AO81">
        <v>0</v>
      </c>
      <c r="AP81">
        <v>0</v>
      </c>
      <c r="AQ81" t="s">
        <v>0</v>
      </c>
      <c r="AR81">
        <v>64</v>
      </c>
      <c r="AS81">
        <v>30</v>
      </c>
      <c r="AT81">
        <v>0</v>
      </c>
      <c r="AU81">
        <v>0</v>
      </c>
      <c r="AV81">
        <v>64</v>
      </c>
      <c r="AW81">
        <v>30</v>
      </c>
      <c r="AX81">
        <v>0</v>
      </c>
      <c r="AY81">
        <v>0</v>
      </c>
      <c r="AZ81">
        <v>94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94</v>
      </c>
      <c r="BI81">
        <v>0</v>
      </c>
      <c r="BJ81">
        <v>0</v>
      </c>
      <c r="BK81">
        <v>0</v>
      </c>
    </row>
    <row r="82" spans="1:63">
      <c r="A82" t="s">
        <v>90</v>
      </c>
      <c r="B82">
        <v>5</v>
      </c>
      <c r="C82">
        <v>0</v>
      </c>
      <c r="D82">
        <v>0</v>
      </c>
      <c r="E82">
        <v>0</v>
      </c>
      <c r="F82">
        <v>5</v>
      </c>
      <c r="G82">
        <v>0</v>
      </c>
      <c r="H82">
        <v>0</v>
      </c>
      <c r="I82">
        <v>0</v>
      </c>
      <c r="J82">
        <v>5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5</v>
      </c>
      <c r="S82">
        <v>0</v>
      </c>
      <c r="T82">
        <v>0</v>
      </c>
      <c r="U82">
        <v>0</v>
      </c>
      <c r="V82" t="s">
        <v>90</v>
      </c>
      <c r="W82">
        <v>5</v>
      </c>
      <c r="X82">
        <v>0</v>
      </c>
      <c r="Y82">
        <v>0</v>
      </c>
      <c r="Z82">
        <v>0</v>
      </c>
      <c r="AA82">
        <v>5</v>
      </c>
      <c r="AB82">
        <v>0</v>
      </c>
      <c r="AC82">
        <v>0</v>
      </c>
      <c r="AD82">
        <v>0</v>
      </c>
      <c r="AE82">
        <v>5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5</v>
      </c>
      <c r="AN82">
        <v>0</v>
      </c>
      <c r="AO82">
        <v>0</v>
      </c>
      <c r="AP82">
        <v>0</v>
      </c>
      <c r="AQ82" t="s">
        <v>90</v>
      </c>
      <c r="AR82">
        <v>5</v>
      </c>
      <c r="AS82">
        <v>0</v>
      </c>
      <c r="AT82">
        <v>0</v>
      </c>
      <c r="AU82">
        <v>0</v>
      </c>
      <c r="AV82">
        <v>5</v>
      </c>
      <c r="AW82">
        <v>0</v>
      </c>
      <c r="AX82">
        <v>0</v>
      </c>
      <c r="AY82">
        <v>0</v>
      </c>
      <c r="AZ82">
        <v>5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5</v>
      </c>
      <c r="BI82">
        <v>0</v>
      </c>
      <c r="BJ82">
        <v>0</v>
      </c>
      <c r="BK82">
        <v>0</v>
      </c>
    </row>
    <row r="83" spans="1:63">
      <c r="A83" t="s">
        <v>65</v>
      </c>
      <c r="B83">
        <v>50</v>
      </c>
      <c r="C83">
        <v>0</v>
      </c>
      <c r="D83">
        <v>0</v>
      </c>
      <c r="E83">
        <v>0</v>
      </c>
      <c r="F83">
        <v>50</v>
      </c>
      <c r="G83">
        <v>0</v>
      </c>
      <c r="H83">
        <v>0</v>
      </c>
      <c r="I83">
        <v>0</v>
      </c>
      <c r="J83">
        <v>50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50</v>
      </c>
      <c r="S83">
        <v>0</v>
      </c>
      <c r="T83">
        <v>0</v>
      </c>
      <c r="U83">
        <v>0</v>
      </c>
      <c r="V83" t="s">
        <v>65</v>
      </c>
      <c r="W83">
        <v>50</v>
      </c>
      <c r="X83">
        <v>0</v>
      </c>
      <c r="Y83">
        <v>0</v>
      </c>
      <c r="Z83">
        <v>0</v>
      </c>
      <c r="AA83">
        <v>50</v>
      </c>
      <c r="AB83">
        <v>0</v>
      </c>
      <c r="AC83">
        <v>0</v>
      </c>
      <c r="AD83">
        <v>0</v>
      </c>
      <c r="AE83">
        <v>50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50</v>
      </c>
      <c r="AN83">
        <v>0</v>
      </c>
      <c r="AO83">
        <v>0</v>
      </c>
      <c r="AP83">
        <v>0</v>
      </c>
      <c r="AQ83" t="s">
        <v>65</v>
      </c>
      <c r="AR83">
        <v>50</v>
      </c>
      <c r="AS83">
        <v>0</v>
      </c>
      <c r="AT83">
        <v>0</v>
      </c>
      <c r="AU83">
        <v>0</v>
      </c>
      <c r="AV83">
        <v>50</v>
      </c>
      <c r="AW83">
        <v>0</v>
      </c>
      <c r="AX83">
        <v>0</v>
      </c>
      <c r="AY83">
        <v>0</v>
      </c>
      <c r="AZ83">
        <v>50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50</v>
      </c>
      <c r="BI83">
        <v>0</v>
      </c>
      <c r="BJ83">
        <v>0</v>
      </c>
      <c r="BK83">
        <v>0</v>
      </c>
    </row>
    <row r="84" spans="1:63">
      <c r="A84" t="s">
        <v>86</v>
      </c>
      <c r="B84">
        <v>33</v>
      </c>
      <c r="C84">
        <v>0</v>
      </c>
      <c r="D84">
        <v>0</v>
      </c>
      <c r="E84">
        <v>0</v>
      </c>
      <c r="F84">
        <v>33</v>
      </c>
      <c r="G84">
        <v>0</v>
      </c>
      <c r="H84">
        <v>0</v>
      </c>
      <c r="I84">
        <v>0</v>
      </c>
      <c r="J84">
        <v>33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33</v>
      </c>
      <c r="S84">
        <v>0</v>
      </c>
      <c r="T84">
        <v>0</v>
      </c>
      <c r="U84">
        <v>0</v>
      </c>
      <c r="V84" t="s">
        <v>86</v>
      </c>
      <c r="W84">
        <v>33</v>
      </c>
      <c r="X84">
        <v>0</v>
      </c>
      <c r="Y84">
        <v>0</v>
      </c>
      <c r="Z84">
        <v>0</v>
      </c>
      <c r="AA84">
        <v>33</v>
      </c>
      <c r="AB84">
        <v>0</v>
      </c>
      <c r="AC84">
        <v>0</v>
      </c>
      <c r="AD84">
        <v>0</v>
      </c>
      <c r="AE84">
        <v>33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33</v>
      </c>
      <c r="AN84">
        <v>0</v>
      </c>
      <c r="AO84">
        <v>0</v>
      </c>
      <c r="AP84">
        <v>0</v>
      </c>
      <c r="AQ84" t="s">
        <v>86</v>
      </c>
      <c r="AR84">
        <v>33</v>
      </c>
      <c r="AS84">
        <v>0</v>
      </c>
      <c r="AT84">
        <v>0</v>
      </c>
      <c r="AU84">
        <v>0</v>
      </c>
      <c r="AV84">
        <v>33</v>
      </c>
      <c r="AW84">
        <v>0</v>
      </c>
      <c r="AX84">
        <v>0</v>
      </c>
      <c r="AY84">
        <v>0</v>
      </c>
      <c r="AZ84">
        <v>33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33</v>
      </c>
      <c r="BI84">
        <v>0</v>
      </c>
      <c r="BJ84">
        <v>0</v>
      </c>
      <c r="BK84">
        <v>0</v>
      </c>
    </row>
    <row r="85" spans="1:63">
      <c r="A85" t="s">
        <v>88</v>
      </c>
      <c r="B85">
        <v>56</v>
      </c>
      <c r="C85">
        <v>0</v>
      </c>
      <c r="D85">
        <v>0</v>
      </c>
      <c r="E85">
        <v>0</v>
      </c>
      <c r="F85">
        <v>56</v>
      </c>
      <c r="G85">
        <v>0</v>
      </c>
      <c r="H85">
        <v>0</v>
      </c>
      <c r="I85">
        <v>0</v>
      </c>
      <c r="J85">
        <v>56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56</v>
      </c>
      <c r="S85">
        <v>0</v>
      </c>
      <c r="T85">
        <v>0</v>
      </c>
      <c r="U85">
        <v>0</v>
      </c>
      <c r="V85" t="s">
        <v>88</v>
      </c>
      <c r="W85">
        <v>56</v>
      </c>
      <c r="X85">
        <v>0</v>
      </c>
      <c r="Y85">
        <v>0</v>
      </c>
      <c r="Z85">
        <v>0</v>
      </c>
      <c r="AA85">
        <v>56</v>
      </c>
      <c r="AB85">
        <v>0</v>
      </c>
      <c r="AC85">
        <v>0</v>
      </c>
      <c r="AD85">
        <v>0</v>
      </c>
      <c r="AE85">
        <v>56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56</v>
      </c>
      <c r="AN85">
        <v>0</v>
      </c>
      <c r="AO85">
        <v>0</v>
      </c>
      <c r="AP85">
        <v>0</v>
      </c>
      <c r="AQ85" t="s">
        <v>88</v>
      </c>
      <c r="AR85">
        <v>56</v>
      </c>
      <c r="AS85">
        <v>0</v>
      </c>
      <c r="AT85">
        <v>0</v>
      </c>
      <c r="AU85">
        <v>0</v>
      </c>
      <c r="AV85">
        <v>56</v>
      </c>
      <c r="AW85">
        <v>0</v>
      </c>
      <c r="AX85">
        <v>0</v>
      </c>
      <c r="AY85">
        <v>0</v>
      </c>
      <c r="AZ85">
        <v>56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56</v>
      </c>
      <c r="BI85">
        <v>0</v>
      </c>
      <c r="BJ85">
        <v>0</v>
      </c>
      <c r="BK85">
        <v>0</v>
      </c>
    </row>
    <row r="86" spans="1:63">
      <c r="A86" t="s">
        <v>77</v>
      </c>
      <c r="B86">
        <v>86</v>
      </c>
      <c r="C86">
        <v>2</v>
      </c>
      <c r="D86">
        <v>0</v>
      </c>
      <c r="E86">
        <v>0</v>
      </c>
      <c r="F86">
        <v>86</v>
      </c>
      <c r="G86">
        <v>2</v>
      </c>
      <c r="H86">
        <v>0</v>
      </c>
      <c r="I86">
        <v>0</v>
      </c>
      <c r="J86">
        <v>88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88</v>
      </c>
      <c r="S86">
        <v>0</v>
      </c>
      <c r="T86">
        <v>0</v>
      </c>
      <c r="U86">
        <v>0</v>
      </c>
      <c r="V86" t="s">
        <v>77</v>
      </c>
      <c r="W86">
        <v>86</v>
      </c>
      <c r="X86">
        <v>2</v>
      </c>
      <c r="Y86">
        <v>0</v>
      </c>
      <c r="Z86">
        <v>0</v>
      </c>
      <c r="AA86">
        <v>86</v>
      </c>
      <c r="AB86">
        <v>2</v>
      </c>
      <c r="AC86">
        <v>0</v>
      </c>
      <c r="AD86">
        <v>0</v>
      </c>
      <c r="AE86">
        <v>88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88</v>
      </c>
      <c r="AN86">
        <v>0</v>
      </c>
      <c r="AO86">
        <v>0</v>
      </c>
      <c r="AP86">
        <v>0</v>
      </c>
      <c r="AQ86" t="s">
        <v>77</v>
      </c>
      <c r="AR86">
        <v>86</v>
      </c>
      <c r="AS86">
        <v>2</v>
      </c>
      <c r="AT86">
        <v>0</v>
      </c>
      <c r="AU86">
        <v>0</v>
      </c>
      <c r="AV86">
        <v>86</v>
      </c>
      <c r="AW86">
        <v>2</v>
      </c>
      <c r="AX86">
        <v>0</v>
      </c>
      <c r="AY86">
        <v>0</v>
      </c>
      <c r="AZ86">
        <v>88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88</v>
      </c>
      <c r="BI86">
        <v>0</v>
      </c>
      <c r="BJ86">
        <v>0</v>
      </c>
      <c r="BK86">
        <v>0</v>
      </c>
    </row>
    <row r="87" spans="1:63">
      <c r="A87" t="s">
        <v>17</v>
      </c>
      <c r="B87">
        <v>35</v>
      </c>
      <c r="C87">
        <v>1</v>
      </c>
      <c r="D87">
        <v>0</v>
      </c>
      <c r="E87">
        <v>0</v>
      </c>
      <c r="F87">
        <v>35</v>
      </c>
      <c r="G87">
        <v>1</v>
      </c>
      <c r="H87">
        <v>0</v>
      </c>
      <c r="I87">
        <v>0</v>
      </c>
      <c r="J87">
        <v>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36</v>
      </c>
      <c r="S87">
        <v>0</v>
      </c>
      <c r="T87">
        <v>0</v>
      </c>
      <c r="U87">
        <v>0</v>
      </c>
      <c r="V87" t="s">
        <v>17</v>
      </c>
      <c r="W87">
        <v>35</v>
      </c>
      <c r="X87">
        <v>1</v>
      </c>
      <c r="Y87">
        <v>0</v>
      </c>
      <c r="Z87">
        <v>0</v>
      </c>
      <c r="AA87">
        <v>35</v>
      </c>
      <c r="AB87">
        <v>1</v>
      </c>
      <c r="AC87">
        <v>0</v>
      </c>
      <c r="AD87">
        <v>0</v>
      </c>
      <c r="AE87">
        <v>36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36</v>
      </c>
      <c r="AN87">
        <v>0</v>
      </c>
      <c r="AO87">
        <v>0</v>
      </c>
      <c r="AP87">
        <v>0</v>
      </c>
      <c r="AQ87" t="s">
        <v>17</v>
      </c>
      <c r="AR87">
        <v>35</v>
      </c>
      <c r="AS87">
        <v>1</v>
      </c>
      <c r="AT87">
        <v>0</v>
      </c>
      <c r="AU87">
        <v>0</v>
      </c>
      <c r="AV87">
        <v>35</v>
      </c>
      <c r="AW87">
        <v>1</v>
      </c>
      <c r="AX87">
        <v>0</v>
      </c>
      <c r="AY87">
        <v>0</v>
      </c>
      <c r="AZ87">
        <v>36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36</v>
      </c>
      <c r="BI87">
        <v>0</v>
      </c>
      <c r="BJ87">
        <v>0</v>
      </c>
      <c r="BK87">
        <v>0</v>
      </c>
    </row>
    <row r="88" spans="1:63">
      <c r="A88" t="s">
        <v>35</v>
      </c>
      <c r="B88">
        <v>11</v>
      </c>
      <c r="C88">
        <v>0</v>
      </c>
      <c r="D88">
        <v>0</v>
      </c>
      <c r="E88">
        <v>0</v>
      </c>
      <c r="F88">
        <v>11</v>
      </c>
      <c r="G88">
        <v>0</v>
      </c>
      <c r="H88">
        <v>0</v>
      </c>
      <c r="I88">
        <v>0</v>
      </c>
      <c r="J88">
        <v>11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11</v>
      </c>
      <c r="S88">
        <v>0</v>
      </c>
      <c r="T88">
        <v>0</v>
      </c>
      <c r="U88">
        <v>0</v>
      </c>
      <c r="V88" t="s">
        <v>35</v>
      </c>
      <c r="W88">
        <v>11</v>
      </c>
      <c r="X88">
        <v>0</v>
      </c>
      <c r="Y88">
        <v>0</v>
      </c>
      <c r="Z88">
        <v>0</v>
      </c>
      <c r="AA88">
        <v>11</v>
      </c>
      <c r="AB88">
        <v>0</v>
      </c>
      <c r="AC88">
        <v>0</v>
      </c>
      <c r="AD88">
        <v>0</v>
      </c>
      <c r="AE88">
        <v>11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11</v>
      </c>
      <c r="AN88">
        <v>0</v>
      </c>
      <c r="AO88">
        <v>0</v>
      </c>
      <c r="AP88">
        <v>0</v>
      </c>
      <c r="AQ88" t="s">
        <v>35</v>
      </c>
      <c r="AR88">
        <v>11</v>
      </c>
      <c r="AS88">
        <v>0</v>
      </c>
      <c r="AT88">
        <v>0</v>
      </c>
      <c r="AU88">
        <v>0</v>
      </c>
      <c r="AV88">
        <v>11</v>
      </c>
      <c r="AW88">
        <v>0</v>
      </c>
      <c r="AX88">
        <v>0</v>
      </c>
      <c r="AY88">
        <v>0</v>
      </c>
      <c r="AZ88">
        <v>11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11</v>
      </c>
      <c r="BI88">
        <v>0</v>
      </c>
      <c r="BJ88">
        <v>0</v>
      </c>
      <c r="BK88">
        <v>0</v>
      </c>
    </row>
    <row r="89" spans="1:63">
      <c r="A89" t="s">
        <v>83</v>
      </c>
      <c r="B89">
        <v>81</v>
      </c>
      <c r="C89">
        <v>1</v>
      </c>
      <c r="D89">
        <v>0</v>
      </c>
      <c r="E89">
        <v>0</v>
      </c>
      <c r="F89">
        <v>81</v>
      </c>
      <c r="G89">
        <v>1</v>
      </c>
      <c r="H89">
        <v>0</v>
      </c>
      <c r="I89">
        <v>0</v>
      </c>
      <c r="J89">
        <v>82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82</v>
      </c>
      <c r="S89">
        <v>0</v>
      </c>
      <c r="T89">
        <v>0</v>
      </c>
      <c r="U89">
        <v>0</v>
      </c>
      <c r="V89" t="s">
        <v>83</v>
      </c>
      <c r="W89">
        <v>81</v>
      </c>
      <c r="X89">
        <v>1</v>
      </c>
      <c r="Y89">
        <v>0</v>
      </c>
      <c r="Z89">
        <v>0</v>
      </c>
      <c r="AA89">
        <v>81</v>
      </c>
      <c r="AB89">
        <v>1</v>
      </c>
      <c r="AC89">
        <v>0</v>
      </c>
      <c r="AD89">
        <v>0</v>
      </c>
      <c r="AE89">
        <v>82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82</v>
      </c>
      <c r="AN89">
        <v>0</v>
      </c>
      <c r="AO89">
        <v>0</v>
      </c>
      <c r="AP89">
        <v>0</v>
      </c>
      <c r="AQ89" t="s">
        <v>83</v>
      </c>
      <c r="AR89">
        <v>81</v>
      </c>
      <c r="AS89">
        <v>1</v>
      </c>
      <c r="AT89">
        <v>0</v>
      </c>
      <c r="AU89">
        <v>0</v>
      </c>
      <c r="AV89">
        <v>81</v>
      </c>
      <c r="AW89">
        <v>1</v>
      </c>
      <c r="AX89">
        <v>0</v>
      </c>
      <c r="AY89">
        <v>0</v>
      </c>
      <c r="AZ89">
        <v>82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82</v>
      </c>
      <c r="BI89">
        <v>0</v>
      </c>
      <c r="BJ89">
        <v>0</v>
      </c>
      <c r="BK89">
        <v>0</v>
      </c>
    </row>
    <row r="90" spans="1:63">
      <c r="A90" t="s">
        <v>80</v>
      </c>
      <c r="B90">
        <v>125</v>
      </c>
      <c r="C90">
        <v>7</v>
      </c>
      <c r="D90">
        <v>0</v>
      </c>
      <c r="E90">
        <v>0</v>
      </c>
      <c r="F90">
        <v>125</v>
      </c>
      <c r="G90">
        <v>7</v>
      </c>
      <c r="H90">
        <v>0</v>
      </c>
      <c r="I90">
        <v>0</v>
      </c>
      <c r="J90">
        <v>132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132</v>
      </c>
      <c r="S90">
        <v>0</v>
      </c>
      <c r="T90">
        <v>0</v>
      </c>
      <c r="U90">
        <v>0</v>
      </c>
      <c r="V90" t="s">
        <v>80</v>
      </c>
      <c r="W90">
        <v>125</v>
      </c>
      <c r="X90">
        <v>7</v>
      </c>
      <c r="Y90">
        <v>0</v>
      </c>
      <c r="Z90">
        <v>0</v>
      </c>
      <c r="AA90">
        <v>125</v>
      </c>
      <c r="AB90">
        <v>7</v>
      </c>
      <c r="AC90">
        <v>0</v>
      </c>
      <c r="AD90">
        <v>0</v>
      </c>
      <c r="AE90">
        <v>132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132</v>
      </c>
      <c r="AN90">
        <v>0</v>
      </c>
      <c r="AO90">
        <v>0</v>
      </c>
      <c r="AP90">
        <v>0</v>
      </c>
      <c r="AQ90" t="s">
        <v>80</v>
      </c>
      <c r="AR90">
        <v>125</v>
      </c>
      <c r="AS90">
        <v>7</v>
      </c>
      <c r="AT90">
        <v>0</v>
      </c>
      <c r="AU90">
        <v>0</v>
      </c>
      <c r="AV90">
        <v>125</v>
      </c>
      <c r="AW90">
        <v>7</v>
      </c>
      <c r="AX90">
        <v>0</v>
      </c>
      <c r="AY90">
        <v>0</v>
      </c>
      <c r="AZ90">
        <v>132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132</v>
      </c>
      <c r="BI90">
        <v>0</v>
      </c>
      <c r="BJ90">
        <v>0</v>
      </c>
      <c r="BK90">
        <v>0</v>
      </c>
    </row>
    <row r="91" spans="1:63">
      <c r="A91" t="s">
        <v>10</v>
      </c>
      <c r="B91">
        <v>30</v>
      </c>
      <c r="C91">
        <v>0</v>
      </c>
      <c r="D91">
        <v>0</v>
      </c>
      <c r="E91">
        <v>0</v>
      </c>
      <c r="F91">
        <v>30</v>
      </c>
      <c r="G91">
        <v>0</v>
      </c>
      <c r="H91">
        <v>0</v>
      </c>
      <c r="I91">
        <v>0</v>
      </c>
      <c r="J91">
        <v>30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30</v>
      </c>
      <c r="S91">
        <v>0</v>
      </c>
      <c r="T91">
        <v>0</v>
      </c>
      <c r="U91">
        <v>0</v>
      </c>
      <c r="V91" t="s">
        <v>10</v>
      </c>
      <c r="W91">
        <v>30</v>
      </c>
      <c r="X91">
        <v>0</v>
      </c>
      <c r="Y91">
        <v>0</v>
      </c>
      <c r="Z91">
        <v>0</v>
      </c>
      <c r="AA91">
        <v>30</v>
      </c>
      <c r="AB91">
        <v>0</v>
      </c>
      <c r="AC91">
        <v>0</v>
      </c>
      <c r="AD91">
        <v>0</v>
      </c>
      <c r="AE91">
        <v>30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30</v>
      </c>
      <c r="AN91">
        <v>0</v>
      </c>
      <c r="AO91">
        <v>0</v>
      </c>
      <c r="AP91">
        <v>0</v>
      </c>
      <c r="AQ91" t="s">
        <v>10</v>
      </c>
      <c r="AR91">
        <v>30</v>
      </c>
      <c r="AS91">
        <v>0</v>
      </c>
      <c r="AT91">
        <v>0</v>
      </c>
      <c r="AU91">
        <v>0</v>
      </c>
      <c r="AV91">
        <v>30</v>
      </c>
      <c r="AW91">
        <v>0</v>
      </c>
      <c r="AX91">
        <v>0</v>
      </c>
      <c r="AY91">
        <v>0</v>
      </c>
      <c r="AZ91">
        <v>30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30</v>
      </c>
      <c r="BI91">
        <v>0</v>
      </c>
      <c r="BJ91">
        <v>0</v>
      </c>
      <c r="BK91">
        <v>0</v>
      </c>
    </row>
    <row r="92" spans="1:63">
      <c r="A92" t="s">
        <v>97</v>
      </c>
      <c r="B92">
        <v>41</v>
      </c>
      <c r="C92">
        <v>0</v>
      </c>
      <c r="D92">
        <v>0</v>
      </c>
      <c r="E92">
        <v>0</v>
      </c>
      <c r="F92">
        <v>41</v>
      </c>
      <c r="G92">
        <v>0</v>
      </c>
      <c r="H92">
        <v>0</v>
      </c>
      <c r="I92">
        <v>0</v>
      </c>
      <c r="J92">
        <v>41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41</v>
      </c>
      <c r="S92">
        <v>0</v>
      </c>
      <c r="T92">
        <v>0</v>
      </c>
      <c r="U92">
        <v>0</v>
      </c>
      <c r="V92" t="s">
        <v>97</v>
      </c>
      <c r="W92">
        <v>41</v>
      </c>
      <c r="X92">
        <v>0</v>
      </c>
      <c r="Y92">
        <v>0</v>
      </c>
      <c r="Z92">
        <v>0</v>
      </c>
      <c r="AA92">
        <v>41</v>
      </c>
      <c r="AB92">
        <v>0</v>
      </c>
      <c r="AC92">
        <v>0</v>
      </c>
      <c r="AD92">
        <v>0</v>
      </c>
      <c r="AE92">
        <v>41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41</v>
      </c>
      <c r="AN92">
        <v>0</v>
      </c>
      <c r="AO92">
        <v>0</v>
      </c>
      <c r="AP92">
        <v>0</v>
      </c>
      <c r="AQ92" t="s">
        <v>97</v>
      </c>
      <c r="AR92">
        <v>41</v>
      </c>
      <c r="AS92">
        <v>0</v>
      </c>
      <c r="AT92">
        <v>0</v>
      </c>
      <c r="AU92">
        <v>0</v>
      </c>
      <c r="AV92">
        <v>41</v>
      </c>
      <c r="AW92">
        <v>0</v>
      </c>
      <c r="AX92">
        <v>0</v>
      </c>
      <c r="AY92">
        <v>0</v>
      </c>
      <c r="AZ92">
        <v>41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41</v>
      </c>
      <c r="BI92">
        <v>0</v>
      </c>
      <c r="BJ92">
        <v>0</v>
      </c>
      <c r="BK92">
        <v>0</v>
      </c>
    </row>
    <row r="93" spans="1:63">
      <c r="A93" t="s">
        <v>15</v>
      </c>
      <c r="B93">
        <v>7</v>
      </c>
      <c r="C93">
        <v>0</v>
      </c>
      <c r="D93">
        <v>0</v>
      </c>
      <c r="E93">
        <v>0</v>
      </c>
      <c r="F93">
        <v>7</v>
      </c>
      <c r="G93">
        <v>0</v>
      </c>
      <c r="H93">
        <v>0</v>
      </c>
      <c r="I93">
        <v>0</v>
      </c>
      <c r="J93">
        <v>7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7</v>
      </c>
      <c r="S93">
        <v>0</v>
      </c>
      <c r="T93">
        <v>0</v>
      </c>
      <c r="U93">
        <v>0</v>
      </c>
      <c r="V93" t="s">
        <v>15</v>
      </c>
      <c r="W93">
        <v>7</v>
      </c>
      <c r="X93">
        <v>0</v>
      </c>
      <c r="Y93">
        <v>0</v>
      </c>
      <c r="Z93">
        <v>0</v>
      </c>
      <c r="AA93">
        <v>7</v>
      </c>
      <c r="AB93">
        <v>0</v>
      </c>
      <c r="AC93">
        <v>0</v>
      </c>
      <c r="AD93">
        <v>0</v>
      </c>
      <c r="AE93">
        <v>7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7</v>
      </c>
      <c r="AN93">
        <v>0</v>
      </c>
      <c r="AO93">
        <v>0</v>
      </c>
      <c r="AP93">
        <v>0</v>
      </c>
      <c r="AQ93" t="s">
        <v>15</v>
      </c>
      <c r="AR93">
        <v>7</v>
      </c>
      <c r="AS93">
        <v>0</v>
      </c>
      <c r="AT93">
        <v>0</v>
      </c>
      <c r="AU93">
        <v>0</v>
      </c>
      <c r="AV93">
        <v>7</v>
      </c>
      <c r="AW93">
        <v>0</v>
      </c>
      <c r="AX93">
        <v>0</v>
      </c>
      <c r="AY93">
        <v>0</v>
      </c>
      <c r="AZ93">
        <v>7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7</v>
      </c>
      <c r="BI93">
        <v>0</v>
      </c>
      <c r="BJ93">
        <v>0</v>
      </c>
      <c r="BK93">
        <v>0</v>
      </c>
    </row>
    <row r="94" spans="1:63">
      <c r="A94" t="s">
        <v>61</v>
      </c>
      <c r="B94">
        <v>48</v>
      </c>
      <c r="C94">
        <v>5</v>
      </c>
      <c r="D94">
        <v>0</v>
      </c>
      <c r="E94">
        <v>0</v>
      </c>
      <c r="F94">
        <v>48</v>
      </c>
      <c r="G94">
        <v>5</v>
      </c>
      <c r="H94">
        <v>0</v>
      </c>
      <c r="I94">
        <v>0</v>
      </c>
      <c r="J94">
        <v>53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53</v>
      </c>
      <c r="S94">
        <v>0</v>
      </c>
      <c r="T94">
        <v>0</v>
      </c>
      <c r="U94">
        <v>0</v>
      </c>
      <c r="V94" t="s">
        <v>61</v>
      </c>
      <c r="W94">
        <v>48</v>
      </c>
      <c r="X94">
        <v>5</v>
      </c>
      <c r="Y94">
        <v>0</v>
      </c>
      <c r="Z94">
        <v>0</v>
      </c>
      <c r="AA94">
        <v>48</v>
      </c>
      <c r="AB94">
        <v>5</v>
      </c>
      <c r="AC94">
        <v>0</v>
      </c>
      <c r="AD94">
        <v>0</v>
      </c>
      <c r="AE94">
        <v>53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53</v>
      </c>
      <c r="AN94">
        <v>0</v>
      </c>
      <c r="AO94">
        <v>0</v>
      </c>
      <c r="AP94">
        <v>0</v>
      </c>
      <c r="AQ94" t="s">
        <v>61</v>
      </c>
      <c r="AR94">
        <v>48</v>
      </c>
      <c r="AS94">
        <v>5</v>
      </c>
      <c r="AT94">
        <v>0</v>
      </c>
      <c r="AU94">
        <v>0</v>
      </c>
      <c r="AV94">
        <v>48</v>
      </c>
      <c r="AW94">
        <v>5</v>
      </c>
      <c r="AX94">
        <v>0</v>
      </c>
      <c r="AY94">
        <v>0</v>
      </c>
      <c r="AZ94">
        <v>53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53</v>
      </c>
      <c r="BI94">
        <v>0</v>
      </c>
      <c r="BJ94">
        <v>0</v>
      </c>
      <c r="BK94">
        <v>0</v>
      </c>
    </row>
    <row r="95" spans="1:63">
      <c r="A95" t="s">
        <v>49</v>
      </c>
      <c r="B95">
        <v>18</v>
      </c>
      <c r="C95">
        <v>1</v>
      </c>
      <c r="D95">
        <v>0</v>
      </c>
      <c r="E95">
        <v>0</v>
      </c>
      <c r="F95">
        <v>18</v>
      </c>
      <c r="G95">
        <v>1</v>
      </c>
      <c r="H95">
        <v>0</v>
      </c>
      <c r="I95">
        <v>0</v>
      </c>
      <c r="J95">
        <v>19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19</v>
      </c>
      <c r="S95">
        <v>0</v>
      </c>
      <c r="T95">
        <v>0</v>
      </c>
      <c r="U95">
        <v>0</v>
      </c>
      <c r="V95" t="s">
        <v>49</v>
      </c>
      <c r="W95">
        <v>18</v>
      </c>
      <c r="X95">
        <v>1</v>
      </c>
      <c r="Y95">
        <v>0</v>
      </c>
      <c r="Z95">
        <v>0</v>
      </c>
      <c r="AA95">
        <v>18</v>
      </c>
      <c r="AB95">
        <v>1</v>
      </c>
      <c r="AC95">
        <v>0</v>
      </c>
      <c r="AD95">
        <v>0</v>
      </c>
      <c r="AE95">
        <v>19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19</v>
      </c>
      <c r="AN95">
        <v>0</v>
      </c>
      <c r="AO95">
        <v>0</v>
      </c>
      <c r="AP95">
        <v>0</v>
      </c>
      <c r="AQ95" t="s">
        <v>49</v>
      </c>
      <c r="AR95">
        <v>18</v>
      </c>
      <c r="AS95">
        <v>1</v>
      </c>
      <c r="AT95">
        <v>0</v>
      </c>
      <c r="AU95">
        <v>0</v>
      </c>
      <c r="AV95">
        <v>18</v>
      </c>
      <c r="AW95">
        <v>1</v>
      </c>
      <c r="AX95">
        <v>0</v>
      </c>
      <c r="AY95">
        <v>0</v>
      </c>
      <c r="AZ95">
        <v>19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19</v>
      </c>
      <c r="BI95">
        <v>0</v>
      </c>
      <c r="BJ95">
        <v>0</v>
      </c>
      <c r="BK95">
        <v>0</v>
      </c>
    </row>
    <row r="96" spans="1:63">
      <c r="A96" t="s">
        <v>78</v>
      </c>
      <c r="B96">
        <v>15</v>
      </c>
      <c r="C96">
        <v>0</v>
      </c>
      <c r="D96">
        <v>0</v>
      </c>
      <c r="E96">
        <v>0</v>
      </c>
      <c r="F96">
        <v>15</v>
      </c>
      <c r="G96">
        <v>0</v>
      </c>
      <c r="H96">
        <v>0</v>
      </c>
      <c r="I96">
        <v>0</v>
      </c>
      <c r="J96">
        <v>15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15</v>
      </c>
      <c r="S96">
        <v>0</v>
      </c>
      <c r="T96">
        <v>0</v>
      </c>
      <c r="U96">
        <v>0</v>
      </c>
      <c r="V96" t="s">
        <v>78</v>
      </c>
      <c r="W96">
        <v>15</v>
      </c>
      <c r="X96">
        <v>0</v>
      </c>
      <c r="Y96">
        <v>0</v>
      </c>
      <c r="Z96">
        <v>0</v>
      </c>
      <c r="AA96">
        <v>15</v>
      </c>
      <c r="AB96">
        <v>0</v>
      </c>
      <c r="AC96">
        <v>0</v>
      </c>
      <c r="AD96">
        <v>0</v>
      </c>
      <c r="AE96">
        <v>15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15</v>
      </c>
      <c r="AN96">
        <v>0</v>
      </c>
      <c r="AO96">
        <v>0</v>
      </c>
      <c r="AP96">
        <v>0</v>
      </c>
      <c r="AQ96" t="s">
        <v>78</v>
      </c>
      <c r="AR96">
        <v>15</v>
      </c>
      <c r="AS96">
        <v>0</v>
      </c>
      <c r="AT96">
        <v>0</v>
      </c>
      <c r="AU96">
        <v>0</v>
      </c>
      <c r="AV96">
        <v>15</v>
      </c>
      <c r="AW96">
        <v>0</v>
      </c>
      <c r="AX96">
        <v>0</v>
      </c>
      <c r="AY96">
        <v>0</v>
      </c>
      <c r="AZ96">
        <v>15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15</v>
      </c>
      <c r="BI96">
        <v>0</v>
      </c>
      <c r="BJ96">
        <v>0</v>
      </c>
      <c r="BK96">
        <v>0</v>
      </c>
    </row>
    <row r="97" spans="1:63">
      <c r="A97" t="s">
        <v>73</v>
      </c>
      <c r="B97">
        <v>30</v>
      </c>
      <c r="C97">
        <v>1</v>
      </c>
      <c r="D97">
        <v>0</v>
      </c>
      <c r="E97">
        <v>0</v>
      </c>
      <c r="F97">
        <v>30</v>
      </c>
      <c r="G97">
        <v>1</v>
      </c>
      <c r="H97">
        <v>0</v>
      </c>
      <c r="I97">
        <v>0</v>
      </c>
      <c r="J97">
        <v>31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31</v>
      </c>
      <c r="S97">
        <v>0</v>
      </c>
      <c r="T97">
        <v>0</v>
      </c>
      <c r="U97">
        <v>0</v>
      </c>
      <c r="V97" t="s">
        <v>73</v>
      </c>
      <c r="W97">
        <v>30</v>
      </c>
      <c r="X97">
        <v>1</v>
      </c>
      <c r="Y97">
        <v>0</v>
      </c>
      <c r="Z97">
        <v>0</v>
      </c>
      <c r="AA97">
        <v>30</v>
      </c>
      <c r="AB97">
        <v>1</v>
      </c>
      <c r="AC97">
        <v>0</v>
      </c>
      <c r="AD97">
        <v>0</v>
      </c>
      <c r="AE97">
        <v>31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31</v>
      </c>
      <c r="AN97">
        <v>0</v>
      </c>
      <c r="AO97">
        <v>0</v>
      </c>
      <c r="AP97">
        <v>0</v>
      </c>
      <c r="AQ97" t="s">
        <v>73</v>
      </c>
      <c r="AR97">
        <v>30</v>
      </c>
      <c r="AS97">
        <v>1</v>
      </c>
      <c r="AT97">
        <v>0</v>
      </c>
      <c r="AU97">
        <v>0</v>
      </c>
      <c r="AV97">
        <v>30</v>
      </c>
      <c r="AW97">
        <v>1</v>
      </c>
      <c r="AX97">
        <v>0</v>
      </c>
      <c r="AY97">
        <v>0</v>
      </c>
      <c r="AZ97">
        <v>31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31</v>
      </c>
      <c r="BI97">
        <v>0</v>
      </c>
      <c r="BJ97">
        <v>0</v>
      </c>
      <c r="BK97">
        <v>0</v>
      </c>
    </row>
    <row r="98" spans="1:63">
      <c r="A98" t="s">
        <v>63</v>
      </c>
      <c r="B98">
        <v>29</v>
      </c>
      <c r="C98">
        <v>0</v>
      </c>
      <c r="D98">
        <v>0</v>
      </c>
      <c r="E98">
        <v>0</v>
      </c>
      <c r="F98">
        <v>29</v>
      </c>
      <c r="G98">
        <v>0</v>
      </c>
      <c r="H98">
        <v>0</v>
      </c>
      <c r="I98">
        <v>0</v>
      </c>
      <c r="J98">
        <v>29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29</v>
      </c>
      <c r="S98">
        <v>0</v>
      </c>
      <c r="T98">
        <v>0</v>
      </c>
      <c r="U98">
        <v>0</v>
      </c>
      <c r="V98" t="s">
        <v>63</v>
      </c>
      <c r="W98">
        <v>29</v>
      </c>
      <c r="X98">
        <v>0</v>
      </c>
      <c r="Y98">
        <v>0</v>
      </c>
      <c r="Z98">
        <v>0</v>
      </c>
      <c r="AA98">
        <v>29</v>
      </c>
      <c r="AB98">
        <v>0</v>
      </c>
      <c r="AC98">
        <v>0</v>
      </c>
      <c r="AD98">
        <v>0</v>
      </c>
      <c r="AE98">
        <v>29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29</v>
      </c>
      <c r="AN98">
        <v>0</v>
      </c>
      <c r="AO98">
        <v>0</v>
      </c>
      <c r="AP98">
        <v>0</v>
      </c>
      <c r="AQ98" t="s">
        <v>63</v>
      </c>
      <c r="AR98">
        <v>29</v>
      </c>
      <c r="AS98">
        <v>0</v>
      </c>
      <c r="AT98">
        <v>0</v>
      </c>
      <c r="AU98">
        <v>0</v>
      </c>
      <c r="AV98">
        <v>29</v>
      </c>
      <c r="AW98">
        <v>0</v>
      </c>
      <c r="AX98">
        <v>0</v>
      </c>
      <c r="AY98">
        <v>0</v>
      </c>
      <c r="AZ98">
        <v>29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29</v>
      </c>
      <c r="BI98">
        <v>0</v>
      </c>
      <c r="BJ98">
        <v>0</v>
      </c>
      <c r="BK98">
        <v>0</v>
      </c>
    </row>
    <row r="99" spans="1:63">
      <c r="A99" t="s">
        <v>59</v>
      </c>
      <c r="B99">
        <v>22</v>
      </c>
      <c r="C99">
        <v>0</v>
      </c>
      <c r="D99">
        <v>0</v>
      </c>
      <c r="E99">
        <v>0</v>
      </c>
      <c r="F99">
        <v>22</v>
      </c>
      <c r="G99">
        <v>0</v>
      </c>
      <c r="H99">
        <v>0</v>
      </c>
      <c r="I99">
        <v>0</v>
      </c>
      <c r="J99">
        <v>22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22</v>
      </c>
      <c r="S99">
        <v>0</v>
      </c>
      <c r="T99">
        <v>0</v>
      </c>
      <c r="U99">
        <v>0</v>
      </c>
      <c r="V99" t="s">
        <v>59</v>
      </c>
      <c r="W99">
        <v>22</v>
      </c>
      <c r="X99">
        <v>0</v>
      </c>
      <c r="Y99">
        <v>0</v>
      </c>
      <c r="Z99">
        <v>0</v>
      </c>
      <c r="AA99">
        <v>22</v>
      </c>
      <c r="AB99">
        <v>0</v>
      </c>
      <c r="AC99">
        <v>0</v>
      </c>
      <c r="AD99">
        <v>0</v>
      </c>
      <c r="AE99">
        <v>22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22</v>
      </c>
      <c r="AN99">
        <v>0</v>
      </c>
      <c r="AO99">
        <v>0</v>
      </c>
      <c r="AP99">
        <v>0</v>
      </c>
      <c r="AQ99" t="s">
        <v>59</v>
      </c>
      <c r="AR99">
        <v>22</v>
      </c>
      <c r="AS99">
        <v>0</v>
      </c>
      <c r="AT99">
        <v>0</v>
      </c>
      <c r="AU99">
        <v>0</v>
      </c>
      <c r="AV99">
        <v>22</v>
      </c>
      <c r="AW99">
        <v>0</v>
      </c>
      <c r="AX99">
        <v>0</v>
      </c>
      <c r="AY99">
        <v>0</v>
      </c>
      <c r="AZ99">
        <v>22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22</v>
      </c>
      <c r="BI99">
        <v>0</v>
      </c>
      <c r="BJ99">
        <v>0</v>
      </c>
      <c r="BK99">
        <v>0</v>
      </c>
    </row>
    <row r="100" spans="1:63">
      <c r="A100" t="s">
        <v>68</v>
      </c>
      <c r="B100">
        <v>132</v>
      </c>
      <c r="C100">
        <v>2</v>
      </c>
      <c r="D100">
        <v>0</v>
      </c>
      <c r="E100">
        <v>0</v>
      </c>
      <c r="F100">
        <v>132</v>
      </c>
      <c r="G100">
        <v>2</v>
      </c>
      <c r="H100">
        <v>0</v>
      </c>
      <c r="I100">
        <v>0</v>
      </c>
      <c r="J100">
        <v>134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134</v>
      </c>
      <c r="S100">
        <v>0</v>
      </c>
      <c r="T100">
        <v>0</v>
      </c>
      <c r="U100">
        <v>0</v>
      </c>
      <c r="V100" t="s">
        <v>68</v>
      </c>
      <c r="W100">
        <v>132</v>
      </c>
      <c r="X100">
        <v>2</v>
      </c>
      <c r="Y100">
        <v>0</v>
      </c>
      <c r="Z100">
        <v>0</v>
      </c>
      <c r="AA100">
        <v>132</v>
      </c>
      <c r="AB100">
        <v>2</v>
      </c>
      <c r="AC100">
        <v>0</v>
      </c>
      <c r="AD100">
        <v>0</v>
      </c>
      <c r="AE100">
        <v>134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134</v>
      </c>
      <c r="AN100">
        <v>0</v>
      </c>
      <c r="AO100">
        <v>0</v>
      </c>
      <c r="AP100">
        <v>0</v>
      </c>
      <c r="AQ100" t="s">
        <v>68</v>
      </c>
      <c r="AR100">
        <v>132</v>
      </c>
      <c r="AS100">
        <v>2</v>
      </c>
      <c r="AT100">
        <v>0</v>
      </c>
      <c r="AU100">
        <v>0</v>
      </c>
      <c r="AV100">
        <v>132</v>
      </c>
      <c r="AW100">
        <v>2</v>
      </c>
      <c r="AX100">
        <v>0</v>
      </c>
      <c r="AY100">
        <v>0</v>
      </c>
      <c r="AZ100">
        <v>134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134</v>
      </c>
      <c r="BI100">
        <v>0</v>
      </c>
      <c r="BJ100">
        <v>0</v>
      </c>
      <c r="BK100">
        <v>0</v>
      </c>
    </row>
    <row r="101" spans="1:63">
      <c r="A101" t="s">
        <v>34</v>
      </c>
      <c r="B101">
        <v>111</v>
      </c>
      <c r="C101">
        <v>0</v>
      </c>
      <c r="D101">
        <v>0</v>
      </c>
      <c r="E101">
        <v>0</v>
      </c>
      <c r="F101">
        <v>111</v>
      </c>
      <c r="G101">
        <v>0</v>
      </c>
      <c r="H101">
        <v>0</v>
      </c>
      <c r="I101">
        <v>0</v>
      </c>
      <c r="J101">
        <v>111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111</v>
      </c>
      <c r="S101">
        <v>0</v>
      </c>
      <c r="T101">
        <v>0</v>
      </c>
      <c r="U101">
        <v>0</v>
      </c>
      <c r="V101" t="s">
        <v>34</v>
      </c>
      <c r="W101">
        <v>111</v>
      </c>
      <c r="X101">
        <v>0</v>
      </c>
      <c r="Y101">
        <v>0</v>
      </c>
      <c r="Z101">
        <v>0</v>
      </c>
      <c r="AA101">
        <v>111</v>
      </c>
      <c r="AB101">
        <v>0</v>
      </c>
      <c r="AC101">
        <v>0</v>
      </c>
      <c r="AD101">
        <v>0</v>
      </c>
      <c r="AE101">
        <v>111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111</v>
      </c>
      <c r="AN101">
        <v>0</v>
      </c>
      <c r="AO101">
        <v>0</v>
      </c>
      <c r="AP101">
        <v>0</v>
      </c>
      <c r="AQ101" t="s">
        <v>34</v>
      </c>
      <c r="AR101">
        <v>111</v>
      </c>
      <c r="AS101">
        <v>0</v>
      </c>
      <c r="AT101">
        <v>0</v>
      </c>
      <c r="AU101">
        <v>0</v>
      </c>
      <c r="AV101">
        <v>111</v>
      </c>
      <c r="AW101">
        <v>0</v>
      </c>
      <c r="AX101">
        <v>0</v>
      </c>
      <c r="AY101">
        <v>0</v>
      </c>
      <c r="AZ101">
        <v>111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111</v>
      </c>
      <c r="BI101">
        <v>0</v>
      </c>
      <c r="BJ101">
        <v>0</v>
      </c>
      <c r="BK101">
        <v>0</v>
      </c>
    </row>
    <row r="102" spans="1:63">
      <c r="A102" t="s">
        <v>4</v>
      </c>
      <c r="B102">
        <v>71</v>
      </c>
      <c r="C102">
        <v>0</v>
      </c>
      <c r="D102">
        <v>0</v>
      </c>
      <c r="E102">
        <v>0</v>
      </c>
      <c r="F102">
        <v>71</v>
      </c>
      <c r="G102">
        <v>0</v>
      </c>
      <c r="H102">
        <v>0</v>
      </c>
      <c r="I102">
        <v>0</v>
      </c>
      <c r="J102">
        <v>71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71</v>
      </c>
      <c r="S102">
        <v>0</v>
      </c>
      <c r="T102">
        <v>0</v>
      </c>
      <c r="U102">
        <v>0</v>
      </c>
      <c r="V102" t="s">
        <v>4</v>
      </c>
      <c r="W102">
        <v>71</v>
      </c>
      <c r="X102">
        <v>0</v>
      </c>
      <c r="Y102">
        <v>0</v>
      </c>
      <c r="Z102">
        <v>0</v>
      </c>
      <c r="AA102">
        <v>71</v>
      </c>
      <c r="AB102">
        <v>0</v>
      </c>
      <c r="AC102">
        <v>0</v>
      </c>
      <c r="AD102">
        <v>0</v>
      </c>
      <c r="AE102">
        <v>71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71</v>
      </c>
      <c r="AN102">
        <v>0</v>
      </c>
      <c r="AO102">
        <v>0</v>
      </c>
      <c r="AP102">
        <v>0</v>
      </c>
      <c r="AQ102" t="s">
        <v>4</v>
      </c>
      <c r="AR102">
        <v>71</v>
      </c>
      <c r="AS102">
        <v>0</v>
      </c>
      <c r="AT102">
        <v>0</v>
      </c>
      <c r="AU102">
        <v>0</v>
      </c>
      <c r="AV102">
        <v>71</v>
      </c>
      <c r="AW102">
        <v>0</v>
      </c>
      <c r="AX102">
        <v>0</v>
      </c>
      <c r="AY102">
        <v>0</v>
      </c>
      <c r="AZ102">
        <v>71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71</v>
      </c>
      <c r="BI102">
        <v>0</v>
      </c>
      <c r="BJ102">
        <v>0</v>
      </c>
      <c r="BK102">
        <v>0</v>
      </c>
    </row>
    <row r="103" spans="1:63">
      <c r="A103" t="s">
        <v>70</v>
      </c>
      <c r="B103">
        <v>32</v>
      </c>
      <c r="C103">
        <v>0</v>
      </c>
      <c r="D103">
        <v>0</v>
      </c>
      <c r="E103">
        <v>0</v>
      </c>
      <c r="F103">
        <v>32</v>
      </c>
      <c r="G103">
        <v>0</v>
      </c>
      <c r="H103">
        <v>0</v>
      </c>
      <c r="I103">
        <v>0</v>
      </c>
      <c r="J103">
        <v>32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32</v>
      </c>
      <c r="S103">
        <v>0</v>
      </c>
      <c r="T103">
        <v>0</v>
      </c>
      <c r="U103">
        <v>0</v>
      </c>
      <c r="V103" t="s">
        <v>70</v>
      </c>
      <c r="W103">
        <v>32</v>
      </c>
      <c r="X103">
        <v>0</v>
      </c>
      <c r="Y103">
        <v>0</v>
      </c>
      <c r="Z103">
        <v>0</v>
      </c>
      <c r="AA103">
        <v>32</v>
      </c>
      <c r="AB103">
        <v>0</v>
      </c>
      <c r="AC103">
        <v>0</v>
      </c>
      <c r="AD103">
        <v>0</v>
      </c>
      <c r="AE103">
        <v>32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32</v>
      </c>
      <c r="AN103">
        <v>0</v>
      </c>
      <c r="AO103">
        <v>0</v>
      </c>
      <c r="AP103">
        <v>0</v>
      </c>
      <c r="AQ103" t="s">
        <v>70</v>
      </c>
      <c r="AR103">
        <v>32</v>
      </c>
      <c r="AS103">
        <v>0</v>
      </c>
      <c r="AT103">
        <v>0</v>
      </c>
      <c r="AU103">
        <v>0</v>
      </c>
      <c r="AV103">
        <v>32</v>
      </c>
      <c r="AW103">
        <v>0</v>
      </c>
      <c r="AX103">
        <v>0</v>
      </c>
      <c r="AY103">
        <v>0</v>
      </c>
      <c r="AZ103">
        <v>32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32</v>
      </c>
      <c r="BI103">
        <v>0</v>
      </c>
      <c r="BJ103">
        <v>0</v>
      </c>
      <c r="BK103">
        <v>0</v>
      </c>
    </row>
    <row r="104" spans="1:63">
      <c r="A104" t="s">
        <v>87</v>
      </c>
      <c r="B104">
        <v>7</v>
      </c>
      <c r="C104">
        <v>0</v>
      </c>
      <c r="D104">
        <v>0</v>
      </c>
      <c r="E104">
        <v>0</v>
      </c>
      <c r="F104">
        <v>7</v>
      </c>
      <c r="G104">
        <v>0</v>
      </c>
      <c r="H104">
        <v>0</v>
      </c>
      <c r="I104">
        <v>0</v>
      </c>
      <c r="J104">
        <v>7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7</v>
      </c>
      <c r="S104">
        <v>0</v>
      </c>
      <c r="T104">
        <v>0</v>
      </c>
      <c r="U104">
        <v>0</v>
      </c>
      <c r="V104" t="s">
        <v>87</v>
      </c>
      <c r="W104">
        <v>7</v>
      </c>
      <c r="X104">
        <v>0</v>
      </c>
      <c r="Y104">
        <v>0</v>
      </c>
      <c r="Z104">
        <v>0</v>
      </c>
      <c r="AA104">
        <v>7</v>
      </c>
      <c r="AB104">
        <v>0</v>
      </c>
      <c r="AC104">
        <v>0</v>
      </c>
      <c r="AD104">
        <v>0</v>
      </c>
      <c r="AE104">
        <v>7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7</v>
      </c>
      <c r="AN104">
        <v>0</v>
      </c>
      <c r="AO104">
        <v>0</v>
      </c>
      <c r="AP104">
        <v>0</v>
      </c>
      <c r="AQ104" t="s">
        <v>87</v>
      </c>
      <c r="AR104">
        <v>7</v>
      </c>
      <c r="AS104">
        <v>0</v>
      </c>
      <c r="AT104">
        <v>0</v>
      </c>
      <c r="AU104">
        <v>0</v>
      </c>
      <c r="AV104">
        <v>7</v>
      </c>
      <c r="AW104">
        <v>0</v>
      </c>
      <c r="AX104">
        <v>0</v>
      </c>
      <c r="AY104">
        <v>0</v>
      </c>
      <c r="AZ104">
        <v>7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7</v>
      </c>
      <c r="BI104">
        <v>0</v>
      </c>
      <c r="BJ104">
        <v>0</v>
      </c>
      <c r="BK104">
        <v>0</v>
      </c>
    </row>
    <row r="105" spans="1:63">
      <c r="A105" t="s">
        <v>19</v>
      </c>
      <c r="B105">
        <v>157</v>
      </c>
      <c r="C105">
        <v>11</v>
      </c>
      <c r="D105">
        <v>0</v>
      </c>
      <c r="E105">
        <v>0</v>
      </c>
      <c r="F105">
        <v>157</v>
      </c>
      <c r="G105">
        <v>11</v>
      </c>
      <c r="H105">
        <v>0</v>
      </c>
      <c r="I105">
        <v>0</v>
      </c>
      <c r="J105">
        <v>168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168</v>
      </c>
      <c r="S105">
        <v>0</v>
      </c>
      <c r="T105">
        <v>0</v>
      </c>
      <c r="U105">
        <v>0</v>
      </c>
      <c r="V105" t="s">
        <v>19</v>
      </c>
      <c r="W105">
        <v>157</v>
      </c>
      <c r="X105">
        <v>11</v>
      </c>
      <c r="Y105">
        <v>0</v>
      </c>
      <c r="Z105">
        <v>0</v>
      </c>
      <c r="AA105">
        <v>157</v>
      </c>
      <c r="AB105">
        <v>11</v>
      </c>
      <c r="AC105">
        <v>0</v>
      </c>
      <c r="AD105">
        <v>0</v>
      </c>
      <c r="AE105">
        <v>168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168</v>
      </c>
      <c r="AN105">
        <v>0</v>
      </c>
      <c r="AO105">
        <v>0</v>
      </c>
      <c r="AP105">
        <v>0</v>
      </c>
      <c r="AQ105" t="s">
        <v>19</v>
      </c>
      <c r="AR105">
        <v>157</v>
      </c>
      <c r="AS105">
        <v>11</v>
      </c>
      <c r="AT105">
        <v>0</v>
      </c>
      <c r="AU105">
        <v>0</v>
      </c>
      <c r="AV105">
        <v>157</v>
      </c>
      <c r="AW105">
        <v>11</v>
      </c>
      <c r="AX105">
        <v>0</v>
      </c>
      <c r="AY105">
        <v>0</v>
      </c>
      <c r="AZ105">
        <v>168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168</v>
      </c>
      <c r="BI105">
        <v>0</v>
      </c>
      <c r="BJ105">
        <v>0</v>
      </c>
      <c r="BK105">
        <v>0</v>
      </c>
    </row>
    <row r="106" spans="1:63">
      <c r="A106" t="s">
        <v>38</v>
      </c>
      <c r="B106">
        <v>628</v>
      </c>
      <c r="C106">
        <v>26</v>
      </c>
      <c r="D106">
        <v>0</v>
      </c>
      <c r="E106">
        <v>0</v>
      </c>
      <c r="F106">
        <v>628</v>
      </c>
      <c r="G106">
        <v>26</v>
      </c>
      <c r="H106">
        <v>0</v>
      </c>
      <c r="I106">
        <v>0</v>
      </c>
      <c r="J106">
        <v>654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654</v>
      </c>
      <c r="S106">
        <v>0</v>
      </c>
      <c r="T106">
        <v>0</v>
      </c>
      <c r="U106">
        <v>0</v>
      </c>
      <c r="V106" t="s">
        <v>38</v>
      </c>
      <c r="W106">
        <v>628</v>
      </c>
      <c r="X106">
        <v>26</v>
      </c>
      <c r="Y106">
        <v>0</v>
      </c>
      <c r="Z106">
        <v>0</v>
      </c>
      <c r="AA106">
        <v>628</v>
      </c>
      <c r="AB106">
        <v>26</v>
      </c>
      <c r="AC106">
        <v>0</v>
      </c>
      <c r="AD106">
        <v>0</v>
      </c>
      <c r="AE106">
        <v>654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654</v>
      </c>
      <c r="AN106">
        <v>0</v>
      </c>
      <c r="AO106">
        <v>0</v>
      </c>
      <c r="AP106">
        <v>0</v>
      </c>
      <c r="AQ106" t="s">
        <v>38</v>
      </c>
      <c r="AR106">
        <v>628</v>
      </c>
      <c r="AS106">
        <v>26</v>
      </c>
      <c r="AT106">
        <v>0</v>
      </c>
      <c r="AU106">
        <v>0</v>
      </c>
      <c r="AV106">
        <v>628</v>
      </c>
      <c r="AW106">
        <v>26</v>
      </c>
      <c r="AX106">
        <v>0</v>
      </c>
      <c r="AY106">
        <v>0</v>
      </c>
      <c r="AZ106">
        <v>654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654</v>
      </c>
      <c r="BI106">
        <v>0</v>
      </c>
      <c r="BJ106">
        <v>0</v>
      </c>
      <c r="BK106">
        <v>0</v>
      </c>
    </row>
    <row r="107" spans="1:63">
      <c r="A107" t="s">
        <v>42</v>
      </c>
      <c r="B107">
        <v>147</v>
      </c>
      <c r="C107">
        <v>22</v>
      </c>
      <c r="D107">
        <v>0</v>
      </c>
      <c r="E107">
        <v>0</v>
      </c>
      <c r="F107">
        <v>147</v>
      </c>
      <c r="G107">
        <v>22</v>
      </c>
      <c r="H107">
        <v>0</v>
      </c>
      <c r="I107">
        <v>0</v>
      </c>
      <c r="J107">
        <v>169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169</v>
      </c>
      <c r="S107">
        <v>0</v>
      </c>
      <c r="T107">
        <v>0</v>
      </c>
      <c r="U107">
        <v>0</v>
      </c>
      <c r="V107" t="s">
        <v>42</v>
      </c>
      <c r="W107">
        <v>147</v>
      </c>
      <c r="X107">
        <v>22</v>
      </c>
      <c r="Y107">
        <v>0</v>
      </c>
      <c r="Z107">
        <v>0</v>
      </c>
      <c r="AA107">
        <v>147</v>
      </c>
      <c r="AB107">
        <v>22</v>
      </c>
      <c r="AC107">
        <v>0</v>
      </c>
      <c r="AD107">
        <v>0</v>
      </c>
      <c r="AE107">
        <v>169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169</v>
      </c>
      <c r="AN107">
        <v>0</v>
      </c>
      <c r="AO107">
        <v>0</v>
      </c>
      <c r="AP107">
        <v>0</v>
      </c>
      <c r="AQ107" t="s">
        <v>42</v>
      </c>
      <c r="AR107">
        <v>147</v>
      </c>
      <c r="AS107">
        <v>22</v>
      </c>
      <c r="AT107">
        <v>0</v>
      </c>
      <c r="AU107">
        <v>0</v>
      </c>
      <c r="AV107">
        <v>147</v>
      </c>
      <c r="AW107">
        <v>22</v>
      </c>
      <c r="AX107">
        <v>0</v>
      </c>
      <c r="AY107">
        <v>0</v>
      </c>
      <c r="AZ107">
        <v>169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169</v>
      </c>
      <c r="BI107">
        <v>0</v>
      </c>
      <c r="BJ107">
        <v>0</v>
      </c>
      <c r="BK107">
        <v>0</v>
      </c>
    </row>
    <row r="108" spans="1:63" s="1" customFormat="1">
      <c r="A108" s="1" t="s">
        <v>122</v>
      </c>
      <c r="B108" s="1">
        <f>SUM(B3:B107)</f>
        <v>10841</v>
      </c>
      <c r="C108" s="1">
        <f t="shared" ref="C108:U108" si="0">SUM(C3:C107)</f>
        <v>396</v>
      </c>
      <c r="D108" s="1">
        <f t="shared" si="0"/>
        <v>0</v>
      </c>
      <c r="E108" s="1">
        <f t="shared" si="0"/>
        <v>0</v>
      </c>
      <c r="F108" s="1">
        <f t="shared" si="0"/>
        <v>10842</v>
      </c>
      <c r="G108" s="1">
        <f t="shared" si="0"/>
        <v>395</v>
      </c>
      <c r="H108" s="1">
        <f t="shared" si="0"/>
        <v>0</v>
      </c>
      <c r="I108" s="1">
        <f t="shared" si="0"/>
        <v>0</v>
      </c>
      <c r="J108" s="1">
        <f t="shared" si="0"/>
        <v>11401</v>
      </c>
      <c r="K108" s="1">
        <f t="shared" si="0"/>
        <v>0</v>
      </c>
      <c r="L108" s="1">
        <f t="shared" si="0"/>
        <v>0</v>
      </c>
      <c r="M108" s="1">
        <f t="shared" si="0"/>
        <v>0</v>
      </c>
      <c r="N108" s="1">
        <f t="shared" si="0"/>
        <v>2399</v>
      </c>
      <c r="O108" s="1">
        <f t="shared" si="0"/>
        <v>0</v>
      </c>
      <c r="P108" s="1">
        <f t="shared" si="0"/>
        <v>16</v>
      </c>
      <c r="Q108" s="1">
        <f t="shared" si="0"/>
        <v>0</v>
      </c>
      <c r="R108" s="1">
        <f t="shared" si="0"/>
        <v>11234</v>
      </c>
      <c r="S108" s="1">
        <f t="shared" si="0"/>
        <v>2</v>
      </c>
      <c r="T108" s="1">
        <f t="shared" si="0"/>
        <v>1</v>
      </c>
      <c r="U108" s="1">
        <f t="shared" si="0"/>
        <v>0</v>
      </c>
      <c r="V108" s="1">
        <f t="shared" ref="V108" si="1">SUM(V3:V107)</f>
        <v>0</v>
      </c>
      <c r="W108" s="1">
        <f t="shared" ref="W108" si="2">SUM(W3:W107)</f>
        <v>10841</v>
      </c>
      <c r="X108" s="1">
        <f t="shared" ref="X108" si="3">SUM(X3:X107)</f>
        <v>396</v>
      </c>
      <c r="Y108" s="1">
        <f t="shared" ref="Y108" si="4">SUM(Y3:Y107)</f>
        <v>0</v>
      </c>
      <c r="Z108" s="1">
        <f t="shared" ref="Z108" si="5">SUM(Z3:Z107)</f>
        <v>0</v>
      </c>
      <c r="AA108" s="1">
        <f t="shared" ref="AA108" si="6">SUM(AA3:AA107)</f>
        <v>10841</v>
      </c>
      <c r="AB108" s="1">
        <f t="shared" ref="AB108" si="7">SUM(AB3:AB107)</f>
        <v>396</v>
      </c>
      <c r="AC108" s="1">
        <f t="shared" ref="AC108" si="8">SUM(AC3:AC107)</f>
        <v>0</v>
      </c>
      <c r="AD108" s="1">
        <f t="shared" ref="AD108" si="9">SUM(AD3:AD107)</f>
        <v>0</v>
      </c>
      <c r="AE108" s="1">
        <f t="shared" ref="AE108" si="10">SUM(AE3:AE107)</f>
        <v>11401</v>
      </c>
      <c r="AF108" s="1">
        <f t="shared" ref="AF108" si="11">SUM(AF3:AF107)</f>
        <v>0</v>
      </c>
      <c r="AG108" s="1">
        <f t="shared" ref="AG108" si="12">SUM(AG3:AG107)</f>
        <v>0</v>
      </c>
      <c r="AH108" s="1">
        <f t="shared" ref="AH108" si="13">SUM(AH3:AH107)</f>
        <v>0</v>
      </c>
      <c r="AI108" s="1">
        <f t="shared" ref="AI108" si="14">SUM(AI3:AI107)</f>
        <v>2399</v>
      </c>
      <c r="AJ108" s="1">
        <f t="shared" ref="AJ108" si="15">SUM(AJ3:AJ107)</f>
        <v>0</v>
      </c>
      <c r="AK108" s="1">
        <f t="shared" ref="AK108" si="16">SUM(AK3:AK107)</f>
        <v>16</v>
      </c>
      <c r="AL108" s="1">
        <f t="shared" ref="AL108" si="17">SUM(AL3:AL107)</f>
        <v>0</v>
      </c>
      <c r="AM108" s="1">
        <f t="shared" ref="AM108" si="18">SUM(AM3:AM107)</f>
        <v>11235</v>
      </c>
      <c r="AN108" s="1">
        <f t="shared" ref="AN108" si="19">SUM(AN3:AN107)</f>
        <v>2</v>
      </c>
      <c r="AO108" s="1">
        <f t="shared" ref="AO108" si="20">SUM(AO3:AO107)</f>
        <v>0</v>
      </c>
      <c r="AP108" s="1">
        <f t="shared" ref="AP108" si="21">SUM(AP3:AP107)</f>
        <v>0</v>
      </c>
      <c r="AQ108" s="1">
        <f t="shared" ref="AQ108" si="22">SUM(AQ3:AQ107)</f>
        <v>0</v>
      </c>
      <c r="AR108" s="1">
        <f t="shared" ref="AR108" si="23">SUM(AR3:AR107)</f>
        <v>10842</v>
      </c>
      <c r="AS108" s="1">
        <f t="shared" ref="AS108" si="24">SUM(AS3:AS107)</f>
        <v>395</v>
      </c>
      <c r="AT108" s="1">
        <f t="shared" ref="AT108" si="25">SUM(AT3:AT107)</f>
        <v>0</v>
      </c>
      <c r="AU108" s="1">
        <f t="shared" ref="AU108" si="26">SUM(AU3:AU107)</f>
        <v>0</v>
      </c>
      <c r="AV108" s="1">
        <f t="shared" ref="AV108" si="27">SUM(AV3:AV107)</f>
        <v>10841</v>
      </c>
      <c r="AW108" s="1">
        <f t="shared" ref="AW108" si="28">SUM(AW3:AW107)</f>
        <v>396</v>
      </c>
      <c r="AX108" s="1">
        <f t="shared" ref="AX108" si="29">SUM(AX3:AX107)</f>
        <v>0</v>
      </c>
      <c r="AY108" s="1">
        <f t="shared" ref="AY108" si="30">SUM(AY3:AY107)</f>
        <v>0</v>
      </c>
      <c r="AZ108" s="1">
        <f t="shared" ref="AZ108" si="31">SUM(AZ3:AZ107)</f>
        <v>11401</v>
      </c>
      <c r="BA108" s="1">
        <f t="shared" ref="BA108" si="32">SUM(BA3:BA107)</f>
        <v>0</v>
      </c>
      <c r="BB108" s="1">
        <f t="shared" ref="BB108" si="33">SUM(BB3:BB107)</f>
        <v>0</v>
      </c>
      <c r="BC108" s="1">
        <f t="shared" ref="BC108" si="34">SUM(BC3:BC107)</f>
        <v>0</v>
      </c>
      <c r="BD108" s="1">
        <f t="shared" ref="BD108" si="35">SUM(BD3:BD107)</f>
        <v>2399</v>
      </c>
      <c r="BE108" s="1">
        <f t="shared" ref="BE108" si="36">SUM(BE3:BE107)</f>
        <v>0</v>
      </c>
      <c r="BF108" s="1">
        <f t="shared" ref="BF108" si="37">SUM(BF3:BF107)</f>
        <v>16</v>
      </c>
      <c r="BG108" s="1">
        <f t="shared" ref="BG108" si="38">SUM(BG3:BG107)</f>
        <v>0</v>
      </c>
      <c r="BH108" s="1">
        <f t="shared" ref="BH108" si="39">SUM(BH3:BH107)</f>
        <v>11236</v>
      </c>
      <c r="BI108" s="1">
        <f t="shared" ref="BI108" si="40">SUM(BI3:BI107)</f>
        <v>1</v>
      </c>
      <c r="BJ108" s="1">
        <f t="shared" ref="BJ108" si="41">SUM(BJ3:BJ107)</f>
        <v>0</v>
      </c>
      <c r="BK108" s="1">
        <f t="shared" ref="BK108" si="42">SUM(BK3:BK107)</f>
        <v>0</v>
      </c>
    </row>
  </sheetData>
  <sortState ref="AQ3:BK107">
    <sortCondition ref="AQ3:AQ107"/>
  </sortState>
  <mergeCells count="15">
    <mergeCell ref="W1:Z1"/>
    <mergeCell ref="B1:E1"/>
    <mergeCell ref="F1:I1"/>
    <mergeCell ref="J1:M1"/>
    <mergeCell ref="N1:Q1"/>
    <mergeCell ref="R1:U1"/>
    <mergeCell ref="AZ1:BC1"/>
    <mergeCell ref="BD1:BG1"/>
    <mergeCell ref="BH1:BK1"/>
    <mergeCell ref="AA1:AD1"/>
    <mergeCell ref="AE1:AH1"/>
    <mergeCell ref="AI1:AL1"/>
    <mergeCell ref="AM1:AP1"/>
    <mergeCell ref="AR1:AU1"/>
    <mergeCell ref="AV1:AY1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D108"/>
  <sheetViews>
    <sheetView topLeftCell="AI1" workbookViewId="0">
      <pane ySplit="2" topLeftCell="A38" activePane="bottomLeft" state="frozen"/>
      <selection pane="bottomLeft" activeCell="AH38" sqref="AH38"/>
    </sheetView>
  </sheetViews>
  <sheetFormatPr baseColWidth="10" defaultRowHeight="15" x14ac:dyDescent="0"/>
  <cols>
    <col min="1" max="1" width="19" customWidth="1"/>
    <col min="22" max="22" width="10.83203125" hidden="1" customWidth="1"/>
    <col min="43" max="43" width="10.83203125" hidden="1" customWidth="1"/>
  </cols>
  <sheetData>
    <row r="1" spans="1:63">
      <c r="B1" s="12" t="s">
        <v>123</v>
      </c>
      <c r="C1" s="12"/>
      <c r="D1" s="12"/>
      <c r="E1" s="12"/>
      <c r="F1" s="12" t="s">
        <v>124</v>
      </c>
      <c r="G1" s="12"/>
      <c r="H1" s="12"/>
      <c r="I1" s="12"/>
      <c r="J1" s="12" t="s">
        <v>125</v>
      </c>
      <c r="K1" s="12"/>
      <c r="L1" s="12"/>
      <c r="M1" s="12"/>
      <c r="N1" s="12" t="s">
        <v>126</v>
      </c>
      <c r="O1" s="12"/>
      <c r="P1" s="12"/>
      <c r="Q1" s="12"/>
      <c r="R1" s="12" t="s">
        <v>127</v>
      </c>
      <c r="S1" s="12"/>
      <c r="T1" s="12"/>
      <c r="U1" s="12"/>
      <c r="W1" s="12" t="s">
        <v>123</v>
      </c>
      <c r="X1" s="12"/>
      <c r="Y1" s="12"/>
      <c r="Z1" s="12"/>
      <c r="AA1" s="12" t="s">
        <v>128</v>
      </c>
      <c r="AB1" s="12"/>
      <c r="AC1" s="12"/>
      <c r="AD1" s="12"/>
      <c r="AE1" s="12" t="s">
        <v>129</v>
      </c>
      <c r="AF1" s="12"/>
      <c r="AG1" s="12"/>
      <c r="AH1" s="12"/>
      <c r="AI1" s="12" t="s">
        <v>130</v>
      </c>
      <c r="AJ1" s="12"/>
      <c r="AK1" s="12"/>
      <c r="AL1" s="12"/>
      <c r="AM1" s="12" t="s">
        <v>131</v>
      </c>
      <c r="AN1" s="12"/>
      <c r="AO1" s="12"/>
      <c r="AP1" s="12"/>
      <c r="AR1" s="12" t="s">
        <v>124</v>
      </c>
      <c r="AS1" s="12"/>
      <c r="AT1" s="12"/>
      <c r="AU1" s="12"/>
      <c r="AV1" s="12" t="s">
        <v>128</v>
      </c>
      <c r="AW1" s="12"/>
      <c r="AX1" s="12"/>
      <c r="AY1" s="12"/>
      <c r="AZ1" s="12" t="s">
        <v>132</v>
      </c>
      <c r="BA1" s="12"/>
      <c r="BB1" s="12"/>
      <c r="BC1" s="12"/>
      <c r="BD1" s="12" t="s">
        <v>133</v>
      </c>
      <c r="BE1" s="12"/>
      <c r="BF1" s="12"/>
      <c r="BG1" s="12"/>
      <c r="BH1" s="12" t="s">
        <v>134</v>
      </c>
      <c r="BI1" s="12"/>
      <c r="BJ1" s="12"/>
      <c r="BK1" s="12"/>
    </row>
    <row r="2" spans="1:63">
      <c r="A2" t="s">
        <v>114</v>
      </c>
      <c r="B2" t="s">
        <v>105</v>
      </c>
      <c r="C2" t="s">
        <v>106</v>
      </c>
      <c r="D2" t="s">
        <v>107</v>
      </c>
      <c r="E2" t="s">
        <v>108</v>
      </c>
      <c r="F2" t="s">
        <v>105</v>
      </c>
      <c r="G2" t="s">
        <v>106</v>
      </c>
      <c r="H2" t="s">
        <v>107</v>
      </c>
      <c r="I2" t="s">
        <v>108</v>
      </c>
      <c r="J2" t="s">
        <v>105</v>
      </c>
      <c r="K2" t="s">
        <v>106</v>
      </c>
      <c r="L2" t="s">
        <v>107</v>
      </c>
      <c r="M2" t="s">
        <v>108</v>
      </c>
      <c r="N2" t="s">
        <v>105</v>
      </c>
      <c r="O2" t="s">
        <v>106</v>
      </c>
      <c r="P2" t="s">
        <v>107</v>
      </c>
      <c r="Q2" t="s">
        <v>108</v>
      </c>
      <c r="R2" t="s">
        <v>105</v>
      </c>
      <c r="S2" t="s">
        <v>106</v>
      </c>
      <c r="T2" t="s">
        <v>107</v>
      </c>
      <c r="U2" t="s">
        <v>108</v>
      </c>
      <c r="V2" t="s">
        <v>114</v>
      </c>
      <c r="W2" t="s">
        <v>105</v>
      </c>
      <c r="X2" t="s">
        <v>106</v>
      </c>
      <c r="Y2" t="s">
        <v>107</v>
      </c>
      <c r="Z2" t="s">
        <v>108</v>
      </c>
      <c r="AA2" t="s">
        <v>105</v>
      </c>
      <c r="AB2" t="s">
        <v>106</v>
      </c>
      <c r="AC2" t="s">
        <v>107</v>
      </c>
      <c r="AD2" t="s">
        <v>108</v>
      </c>
      <c r="AE2" t="s">
        <v>105</v>
      </c>
      <c r="AF2" t="s">
        <v>106</v>
      </c>
      <c r="AG2" t="s">
        <v>107</v>
      </c>
      <c r="AH2" t="s">
        <v>108</v>
      </c>
      <c r="AI2" t="s">
        <v>105</v>
      </c>
      <c r="AJ2" t="s">
        <v>106</v>
      </c>
      <c r="AK2" t="s">
        <v>107</v>
      </c>
      <c r="AL2" t="s">
        <v>108</v>
      </c>
      <c r="AM2" t="s">
        <v>105</v>
      </c>
      <c r="AN2" t="s">
        <v>106</v>
      </c>
      <c r="AO2" t="s">
        <v>107</v>
      </c>
      <c r="AP2" t="s">
        <v>108</v>
      </c>
      <c r="AQ2" t="s">
        <v>114</v>
      </c>
      <c r="AR2" t="s">
        <v>105</v>
      </c>
      <c r="AS2" t="s">
        <v>106</v>
      </c>
      <c r="AT2" t="s">
        <v>107</v>
      </c>
      <c r="AU2" t="s">
        <v>108</v>
      </c>
      <c r="AV2" t="s">
        <v>105</v>
      </c>
      <c r="AW2" t="s">
        <v>106</v>
      </c>
      <c r="AX2" t="s">
        <v>107</v>
      </c>
      <c r="AY2" t="s">
        <v>108</v>
      </c>
      <c r="AZ2" t="s">
        <v>105</v>
      </c>
      <c r="BA2" t="s">
        <v>106</v>
      </c>
      <c r="BB2" t="s">
        <v>107</v>
      </c>
      <c r="BC2" t="s">
        <v>108</v>
      </c>
      <c r="BD2" t="s">
        <v>105</v>
      </c>
      <c r="BE2" t="s">
        <v>106</v>
      </c>
      <c r="BF2" t="s">
        <v>107</v>
      </c>
      <c r="BG2" t="s">
        <v>108</v>
      </c>
      <c r="BH2" t="s">
        <v>105</v>
      </c>
      <c r="BI2" t="s">
        <v>106</v>
      </c>
      <c r="BJ2" t="s">
        <v>107</v>
      </c>
      <c r="BK2" t="s">
        <v>108</v>
      </c>
    </row>
    <row r="3" spans="1:63">
      <c r="A3" t="s">
        <v>32</v>
      </c>
      <c r="B3">
        <v>14</v>
      </c>
      <c r="C3">
        <v>0</v>
      </c>
      <c r="D3">
        <v>0</v>
      </c>
      <c r="E3">
        <v>0</v>
      </c>
      <c r="F3">
        <v>14</v>
      </c>
      <c r="G3">
        <v>0</v>
      </c>
      <c r="H3">
        <v>0</v>
      </c>
      <c r="I3">
        <v>0</v>
      </c>
      <c r="J3">
        <v>14</v>
      </c>
      <c r="K3">
        <v>0</v>
      </c>
      <c r="L3">
        <v>0</v>
      </c>
      <c r="M3">
        <v>0</v>
      </c>
      <c r="N3">
        <v>14</v>
      </c>
      <c r="O3">
        <v>0</v>
      </c>
      <c r="P3">
        <v>0</v>
      </c>
      <c r="Q3">
        <v>0</v>
      </c>
      <c r="R3">
        <v>14</v>
      </c>
      <c r="S3">
        <v>0</v>
      </c>
      <c r="T3">
        <v>0</v>
      </c>
      <c r="U3">
        <v>0</v>
      </c>
      <c r="V3" t="s">
        <v>32</v>
      </c>
      <c r="W3">
        <v>14</v>
      </c>
      <c r="X3">
        <v>0</v>
      </c>
      <c r="Y3">
        <v>0</v>
      </c>
      <c r="Z3">
        <v>0</v>
      </c>
      <c r="AA3">
        <v>14</v>
      </c>
      <c r="AB3">
        <v>0</v>
      </c>
      <c r="AC3">
        <v>0</v>
      </c>
      <c r="AD3">
        <v>0</v>
      </c>
      <c r="AE3">
        <v>14</v>
      </c>
      <c r="AF3">
        <v>0</v>
      </c>
      <c r="AG3">
        <v>0</v>
      </c>
      <c r="AH3">
        <v>0</v>
      </c>
      <c r="AI3">
        <v>14</v>
      </c>
      <c r="AJ3">
        <v>0</v>
      </c>
      <c r="AK3">
        <v>0</v>
      </c>
      <c r="AL3">
        <v>0</v>
      </c>
      <c r="AM3">
        <v>14</v>
      </c>
      <c r="AN3">
        <v>0</v>
      </c>
      <c r="AO3">
        <v>0</v>
      </c>
      <c r="AP3">
        <v>0</v>
      </c>
      <c r="AQ3" t="s">
        <v>32</v>
      </c>
      <c r="AR3">
        <v>14</v>
      </c>
      <c r="AS3">
        <v>0</v>
      </c>
      <c r="AT3">
        <v>0</v>
      </c>
      <c r="AU3">
        <v>0</v>
      </c>
      <c r="AV3">
        <v>14</v>
      </c>
      <c r="AW3">
        <v>0</v>
      </c>
      <c r="AX3">
        <v>0</v>
      </c>
      <c r="AY3">
        <v>0</v>
      </c>
      <c r="AZ3">
        <v>14</v>
      </c>
      <c r="BA3">
        <v>0</v>
      </c>
      <c r="BB3">
        <v>0</v>
      </c>
      <c r="BC3">
        <v>0</v>
      </c>
      <c r="BD3">
        <v>14</v>
      </c>
      <c r="BE3">
        <v>0</v>
      </c>
      <c r="BF3">
        <v>0</v>
      </c>
      <c r="BG3">
        <v>0</v>
      </c>
      <c r="BH3">
        <v>14</v>
      </c>
      <c r="BI3">
        <v>0</v>
      </c>
      <c r="BJ3">
        <v>0</v>
      </c>
      <c r="BK3">
        <v>0</v>
      </c>
    </row>
    <row r="4" spans="1:63">
      <c r="A4" t="s">
        <v>58</v>
      </c>
      <c r="B4">
        <v>14</v>
      </c>
      <c r="C4">
        <v>0</v>
      </c>
      <c r="D4">
        <v>0</v>
      </c>
      <c r="E4">
        <v>0</v>
      </c>
      <c r="F4">
        <v>14</v>
      </c>
      <c r="G4">
        <v>0</v>
      </c>
      <c r="H4">
        <v>0</v>
      </c>
      <c r="I4">
        <v>0</v>
      </c>
      <c r="J4">
        <v>14</v>
      </c>
      <c r="K4">
        <v>0</v>
      </c>
      <c r="L4">
        <v>0</v>
      </c>
      <c r="M4">
        <v>0</v>
      </c>
      <c r="N4">
        <v>14</v>
      </c>
      <c r="O4">
        <v>0</v>
      </c>
      <c r="P4">
        <v>0</v>
      </c>
      <c r="Q4">
        <v>0</v>
      </c>
      <c r="R4">
        <v>14</v>
      </c>
      <c r="S4">
        <v>0</v>
      </c>
      <c r="T4">
        <v>0</v>
      </c>
      <c r="U4">
        <v>0</v>
      </c>
      <c r="V4" t="s">
        <v>58</v>
      </c>
      <c r="W4">
        <v>14</v>
      </c>
      <c r="X4">
        <v>0</v>
      </c>
      <c r="Y4">
        <v>0</v>
      </c>
      <c r="Z4">
        <v>0</v>
      </c>
      <c r="AA4">
        <v>14</v>
      </c>
      <c r="AB4">
        <v>0</v>
      </c>
      <c r="AC4">
        <v>0</v>
      </c>
      <c r="AD4">
        <v>0</v>
      </c>
      <c r="AE4">
        <v>14</v>
      </c>
      <c r="AF4">
        <v>0</v>
      </c>
      <c r="AG4">
        <v>0</v>
      </c>
      <c r="AH4">
        <v>0</v>
      </c>
      <c r="AI4">
        <v>14</v>
      </c>
      <c r="AJ4">
        <v>0</v>
      </c>
      <c r="AK4">
        <v>0</v>
      </c>
      <c r="AL4">
        <v>0</v>
      </c>
      <c r="AM4">
        <v>14</v>
      </c>
      <c r="AN4">
        <v>0</v>
      </c>
      <c r="AO4">
        <v>0</v>
      </c>
      <c r="AP4">
        <v>0</v>
      </c>
      <c r="AQ4" t="s">
        <v>58</v>
      </c>
      <c r="AR4">
        <v>14</v>
      </c>
      <c r="AS4">
        <v>0</v>
      </c>
      <c r="AT4">
        <v>0</v>
      </c>
      <c r="AU4">
        <v>0</v>
      </c>
      <c r="AV4">
        <v>14</v>
      </c>
      <c r="AW4">
        <v>0</v>
      </c>
      <c r="AX4">
        <v>0</v>
      </c>
      <c r="AY4">
        <v>0</v>
      </c>
      <c r="AZ4">
        <v>14</v>
      </c>
      <c r="BA4">
        <v>0</v>
      </c>
      <c r="BB4">
        <v>0</v>
      </c>
      <c r="BC4">
        <v>0</v>
      </c>
      <c r="BD4">
        <v>14</v>
      </c>
      <c r="BE4">
        <v>0</v>
      </c>
      <c r="BF4">
        <v>0</v>
      </c>
      <c r="BG4">
        <v>0</v>
      </c>
      <c r="BH4">
        <v>14</v>
      </c>
      <c r="BI4">
        <v>0</v>
      </c>
      <c r="BJ4">
        <v>0</v>
      </c>
      <c r="BK4">
        <v>0</v>
      </c>
    </row>
    <row r="5" spans="1:63">
      <c r="A5" t="s">
        <v>14</v>
      </c>
      <c r="B5">
        <v>18</v>
      </c>
      <c r="C5">
        <v>0</v>
      </c>
      <c r="D5">
        <v>0</v>
      </c>
      <c r="E5">
        <v>0</v>
      </c>
      <c r="F5">
        <v>18</v>
      </c>
      <c r="G5">
        <v>0</v>
      </c>
      <c r="H5">
        <v>0</v>
      </c>
      <c r="I5">
        <v>0</v>
      </c>
      <c r="J5">
        <v>18</v>
      </c>
      <c r="K5">
        <v>0</v>
      </c>
      <c r="L5">
        <v>0</v>
      </c>
      <c r="M5">
        <v>0</v>
      </c>
      <c r="N5">
        <v>18</v>
      </c>
      <c r="O5">
        <v>0</v>
      </c>
      <c r="P5">
        <v>0</v>
      </c>
      <c r="Q5">
        <v>0</v>
      </c>
      <c r="R5">
        <v>18</v>
      </c>
      <c r="S5">
        <v>0</v>
      </c>
      <c r="T5">
        <v>0</v>
      </c>
      <c r="U5">
        <v>0</v>
      </c>
      <c r="V5" t="s">
        <v>14</v>
      </c>
      <c r="W5">
        <v>18</v>
      </c>
      <c r="X5">
        <v>0</v>
      </c>
      <c r="Y5">
        <v>0</v>
      </c>
      <c r="Z5">
        <v>0</v>
      </c>
      <c r="AA5">
        <v>18</v>
      </c>
      <c r="AB5">
        <v>0</v>
      </c>
      <c r="AC5">
        <v>0</v>
      </c>
      <c r="AD5">
        <v>0</v>
      </c>
      <c r="AE5">
        <v>18</v>
      </c>
      <c r="AF5">
        <v>0</v>
      </c>
      <c r="AG5">
        <v>0</v>
      </c>
      <c r="AH5">
        <v>0</v>
      </c>
      <c r="AI5">
        <v>18</v>
      </c>
      <c r="AJ5">
        <v>0</v>
      </c>
      <c r="AK5">
        <v>0</v>
      </c>
      <c r="AL5">
        <v>0</v>
      </c>
      <c r="AM5">
        <v>18</v>
      </c>
      <c r="AN5">
        <v>0</v>
      </c>
      <c r="AO5">
        <v>0</v>
      </c>
      <c r="AP5">
        <v>0</v>
      </c>
      <c r="AQ5" t="s">
        <v>14</v>
      </c>
      <c r="AR5">
        <v>18</v>
      </c>
      <c r="AS5">
        <v>0</v>
      </c>
      <c r="AT5">
        <v>0</v>
      </c>
      <c r="AU5">
        <v>0</v>
      </c>
      <c r="AV5">
        <v>18</v>
      </c>
      <c r="AW5">
        <v>0</v>
      </c>
      <c r="AX5">
        <v>0</v>
      </c>
      <c r="AY5">
        <v>0</v>
      </c>
      <c r="AZ5">
        <v>18</v>
      </c>
      <c r="BA5">
        <v>0</v>
      </c>
      <c r="BB5">
        <v>0</v>
      </c>
      <c r="BC5">
        <v>0</v>
      </c>
      <c r="BD5">
        <v>18</v>
      </c>
      <c r="BE5">
        <v>0</v>
      </c>
      <c r="BF5">
        <v>0</v>
      </c>
      <c r="BG5">
        <v>0</v>
      </c>
      <c r="BH5">
        <v>18</v>
      </c>
      <c r="BI5">
        <v>0</v>
      </c>
      <c r="BJ5">
        <v>0</v>
      </c>
      <c r="BK5">
        <v>0</v>
      </c>
    </row>
    <row r="6" spans="1:63">
      <c r="A6" t="s">
        <v>39</v>
      </c>
      <c r="B6">
        <v>60</v>
      </c>
      <c r="C6">
        <v>0</v>
      </c>
      <c r="D6">
        <v>0</v>
      </c>
      <c r="E6">
        <v>0</v>
      </c>
      <c r="F6">
        <v>60</v>
      </c>
      <c r="G6">
        <v>0</v>
      </c>
      <c r="H6">
        <v>0</v>
      </c>
      <c r="I6">
        <v>0</v>
      </c>
      <c r="J6">
        <v>60</v>
      </c>
      <c r="K6">
        <v>0</v>
      </c>
      <c r="L6">
        <v>0</v>
      </c>
      <c r="M6">
        <v>0</v>
      </c>
      <c r="N6">
        <v>60</v>
      </c>
      <c r="O6">
        <v>0</v>
      </c>
      <c r="P6">
        <v>0</v>
      </c>
      <c r="Q6">
        <v>0</v>
      </c>
      <c r="R6">
        <v>60</v>
      </c>
      <c r="S6">
        <v>0</v>
      </c>
      <c r="T6">
        <v>0</v>
      </c>
      <c r="U6">
        <v>0</v>
      </c>
      <c r="V6" t="s">
        <v>39</v>
      </c>
      <c r="W6">
        <v>60</v>
      </c>
      <c r="X6">
        <v>0</v>
      </c>
      <c r="Y6">
        <v>0</v>
      </c>
      <c r="Z6">
        <v>0</v>
      </c>
      <c r="AA6">
        <v>60</v>
      </c>
      <c r="AB6">
        <v>0</v>
      </c>
      <c r="AC6">
        <v>0</v>
      </c>
      <c r="AD6">
        <v>0</v>
      </c>
      <c r="AE6">
        <v>60</v>
      </c>
      <c r="AF6">
        <v>0</v>
      </c>
      <c r="AG6">
        <v>0</v>
      </c>
      <c r="AH6">
        <v>0</v>
      </c>
      <c r="AI6">
        <v>60</v>
      </c>
      <c r="AJ6">
        <v>0</v>
      </c>
      <c r="AK6">
        <v>0</v>
      </c>
      <c r="AL6">
        <v>0</v>
      </c>
      <c r="AM6">
        <v>60</v>
      </c>
      <c r="AN6">
        <v>0</v>
      </c>
      <c r="AO6">
        <v>0</v>
      </c>
      <c r="AP6">
        <v>0</v>
      </c>
      <c r="AQ6" t="s">
        <v>39</v>
      </c>
      <c r="AR6">
        <v>60</v>
      </c>
      <c r="AS6">
        <v>0</v>
      </c>
      <c r="AT6">
        <v>0</v>
      </c>
      <c r="AU6">
        <v>0</v>
      </c>
      <c r="AV6">
        <v>60</v>
      </c>
      <c r="AW6">
        <v>0</v>
      </c>
      <c r="AX6">
        <v>0</v>
      </c>
      <c r="AY6">
        <v>0</v>
      </c>
      <c r="AZ6">
        <v>60</v>
      </c>
      <c r="BA6">
        <v>0</v>
      </c>
      <c r="BB6">
        <v>0</v>
      </c>
      <c r="BC6">
        <v>0</v>
      </c>
      <c r="BD6">
        <v>60</v>
      </c>
      <c r="BE6">
        <v>0</v>
      </c>
      <c r="BF6">
        <v>0</v>
      </c>
      <c r="BG6">
        <v>0</v>
      </c>
      <c r="BH6">
        <v>60</v>
      </c>
      <c r="BI6">
        <v>0</v>
      </c>
      <c r="BJ6">
        <v>0</v>
      </c>
      <c r="BK6">
        <v>0</v>
      </c>
    </row>
    <row r="7" spans="1:63">
      <c r="A7" t="s">
        <v>51</v>
      </c>
      <c r="B7">
        <v>9</v>
      </c>
      <c r="C7">
        <v>2</v>
      </c>
      <c r="D7">
        <v>0</v>
      </c>
      <c r="E7">
        <v>0</v>
      </c>
      <c r="F7">
        <v>9</v>
      </c>
      <c r="G7">
        <v>2</v>
      </c>
      <c r="H7">
        <v>0</v>
      </c>
      <c r="I7">
        <v>0</v>
      </c>
      <c r="J7">
        <v>11</v>
      </c>
      <c r="K7">
        <v>0</v>
      </c>
      <c r="L7">
        <v>0</v>
      </c>
      <c r="M7">
        <v>0</v>
      </c>
      <c r="N7">
        <v>9</v>
      </c>
      <c r="O7">
        <v>0</v>
      </c>
      <c r="P7">
        <v>2</v>
      </c>
      <c r="Q7">
        <v>0</v>
      </c>
      <c r="R7">
        <v>11</v>
      </c>
      <c r="S7">
        <v>0</v>
      </c>
      <c r="T7">
        <v>0</v>
      </c>
      <c r="U7">
        <v>0</v>
      </c>
      <c r="V7" t="s">
        <v>51</v>
      </c>
      <c r="W7">
        <v>9</v>
      </c>
      <c r="X7">
        <v>2</v>
      </c>
      <c r="Y7">
        <v>0</v>
      </c>
      <c r="Z7">
        <v>0</v>
      </c>
      <c r="AA7">
        <v>9</v>
      </c>
      <c r="AB7">
        <v>2</v>
      </c>
      <c r="AC7">
        <v>0</v>
      </c>
      <c r="AD7">
        <v>0</v>
      </c>
      <c r="AE7">
        <v>11</v>
      </c>
      <c r="AF7">
        <v>0</v>
      </c>
      <c r="AG7">
        <v>0</v>
      </c>
      <c r="AH7">
        <v>0</v>
      </c>
      <c r="AI7">
        <v>9</v>
      </c>
      <c r="AJ7">
        <v>0</v>
      </c>
      <c r="AK7">
        <v>2</v>
      </c>
      <c r="AL7">
        <v>0</v>
      </c>
      <c r="AM7">
        <v>11</v>
      </c>
      <c r="AN7">
        <v>0</v>
      </c>
      <c r="AO7">
        <v>0</v>
      </c>
      <c r="AP7">
        <v>0</v>
      </c>
      <c r="AQ7" t="s">
        <v>51</v>
      </c>
      <c r="AR7">
        <v>9</v>
      </c>
      <c r="AS7">
        <v>2</v>
      </c>
      <c r="AT7">
        <v>0</v>
      </c>
      <c r="AU7">
        <v>0</v>
      </c>
      <c r="AV7">
        <v>9</v>
      </c>
      <c r="AW7">
        <v>2</v>
      </c>
      <c r="AX7">
        <v>0</v>
      </c>
      <c r="AY7">
        <v>0</v>
      </c>
      <c r="AZ7">
        <v>11</v>
      </c>
      <c r="BA7">
        <v>0</v>
      </c>
      <c r="BB7">
        <v>0</v>
      </c>
      <c r="BC7">
        <v>0</v>
      </c>
      <c r="BD7">
        <v>9</v>
      </c>
      <c r="BE7">
        <v>0</v>
      </c>
      <c r="BF7">
        <v>2</v>
      </c>
      <c r="BG7">
        <v>0</v>
      </c>
      <c r="BH7">
        <v>11</v>
      </c>
      <c r="BI7">
        <v>0</v>
      </c>
      <c r="BJ7">
        <v>0</v>
      </c>
      <c r="BK7">
        <v>0</v>
      </c>
    </row>
    <row r="8" spans="1:63">
      <c r="A8" t="s">
        <v>55</v>
      </c>
      <c r="B8">
        <v>33</v>
      </c>
      <c r="C8">
        <v>0</v>
      </c>
      <c r="D8">
        <v>0</v>
      </c>
      <c r="E8">
        <v>0</v>
      </c>
      <c r="F8">
        <v>33</v>
      </c>
      <c r="G8">
        <v>0</v>
      </c>
      <c r="H8">
        <v>0</v>
      </c>
      <c r="I8">
        <v>0</v>
      </c>
      <c r="J8">
        <v>33</v>
      </c>
      <c r="K8">
        <v>0</v>
      </c>
      <c r="L8">
        <v>0</v>
      </c>
      <c r="M8">
        <v>0</v>
      </c>
      <c r="N8">
        <v>33</v>
      </c>
      <c r="O8">
        <v>0</v>
      </c>
      <c r="P8">
        <v>0</v>
      </c>
      <c r="Q8">
        <v>0</v>
      </c>
      <c r="R8">
        <v>33</v>
      </c>
      <c r="S8">
        <v>0</v>
      </c>
      <c r="T8">
        <v>0</v>
      </c>
      <c r="U8">
        <v>0</v>
      </c>
      <c r="V8" t="s">
        <v>55</v>
      </c>
      <c r="W8">
        <v>33</v>
      </c>
      <c r="X8">
        <v>0</v>
      </c>
      <c r="Y8">
        <v>0</v>
      </c>
      <c r="Z8">
        <v>0</v>
      </c>
      <c r="AA8">
        <v>33</v>
      </c>
      <c r="AB8">
        <v>0</v>
      </c>
      <c r="AC8">
        <v>0</v>
      </c>
      <c r="AD8">
        <v>0</v>
      </c>
      <c r="AE8">
        <v>33</v>
      </c>
      <c r="AF8">
        <v>0</v>
      </c>
      <c r="AG8">
        <v>0</v>
      </c>
      <c r="AH8">
        <v>0</v>
      </c>
      <c r="AI8">
        <v>33</v>
      </c>
      <c r="AJ8">
        <v>0</v>
      </c>
      <c r="AK8">
        <v>0</v>
      </c>
      <c r="AL8">
        <v>0</v>
      </c>
      <c r="AM8">
        <v>33</v>
      </c>
      <c r="AN8">
        <v>0</v>
      </c>
      <c r="AO8">
        <v>0</v>
      </c>
      <c r="AP8">
        <v>0</v>
      </c>
      <c r="AQ8" t="s">
        <v>55</v>
      </c>
      <c r="AR8">
        <v>33</v>
      </c>
      <c r="AS8">
        <v>0</v>
      </c>
      <c r="AT8">
        <v>0</v>
      </c>
      <c r="AU8">
        <v>0</v>
      </c>
      <c r="AV8">
        <v>33</v>
      </c>
      <c r="AW8">
        <v>0</v>
      </c>
      <c r="AX8">
        <v>0</v>
      </c>
      <c r="AY8">
        <v>0</v>
      </c>
      <c r="AZ8">
        <v>33</v>
      </c>
      <c r="BA8">
        <v>0</v>
      </c>
      <c r="BB8">
        <v>0</v>
      </c>
      <c r="BC8">
        <v>0</v>
      </c>
      <c r="BD8">
        <v>33</v>
      </c>
      <c r="BE8">
        <v>0</v>
      </c>
      <c r="BF8">
        <v>0</v>
      </c>
      <c r="BG8">
        <v>0</v>
      </c>
      <c r="BH8">
        <v>33</v>
      </c>
      <c r="BI8">
        <v>0</v>
      </c>
      <c r="BJ8">
        <v>0</v>
      </c>
      <c r="BK8">
        <v>0</v>
      </c>
    </row>
    <row r="9" spans="1:63">
      <c r="A9" t="s">
        <v>85</v>
      </c>
      <c r="B9">
        <v>132</v>
      </c>
      <c r="C9">
        <v>0</v>
      </c>
      <c r="D9">
        <v>0</v>
      </c>
      <c r="E9">
        <v>0</v>
      </c>
      <c r="F9">
        <v>132</v>
      </c>
      <c r="G9">
        <v>0</v>
      </c>
      <c r="H9">
        <v>0</v>
      </c>
      <c r="I9">
        <v>0</v>
      </c>
      <c r="J9">
        <v>132</v>
      </c>
      <c r="K9">
        <v>0</v>
      </c>
      <c r="L9">
        <v>0</v>
      </c>
      <c r="M9">
        <v>0</v>
      </c>
      <c r="N9">
        <v>132</v>
      </c>
      <c r="O9">
        <v>0</v>
      </c>
      <c r="P9">
        <v>0</v>
      </c>
      <c r="Q9">
        <v>0</v>
      </c>
      <c r="R9">
        <v>132</v>
      </c>
      <c r="S9">
        <v>0</v>
      </c>
      <c r="T9">
        <v>0</v>
      </c>
      <c r="U9">
        <v>0</v>
      </c>
      <c r="V9" t="s">
        <v>85</v>
      </c>
      <c r="W9">
        <v>132</v>
      </c>
      <c r="X9">
        <v>0</v>
      </c>
      <c r="Y9">
        <v>0</v>
      </c>
      <c r="Z9">
        <v>0</v>
      </c>
      <c r="AA9">
        <v>132</v>
      </c>
      <c r="AB9">
        <v>0</v>
      </c>
      <c r="AC9">
        <v>0</v>
      </c>
      <c r="AD9">
        <v>0</v>
      </c>
      <c r="AE9">
        <v>132</v>
      </c>
      <c r="AF9">
        <v>0</v>
      </c>
      <c r="AG9">
        <v>0</v>
      </c>
      <c r="AH9">
        <v>0</v>
      </c>
      <c r="AI9">
        <v>132</v>
      </c>
      <c r="AJ9">
        <v>0</v>
      </c>
      <c r="AK9">
        <v>0</v>
      </c>
      <c r="AL9">
        <v>0</v>
      </c>
      <c r="AM9">
        <v>132</v>
      </c>
      <c r="AN9">
        <v>0</v>
      </c>
      <c r="AO9">
        <v>0</v>
      </c>
      <c r="AP9">
        <v>0</v>
      </c>
      <c r="AQ9" t="s">
        <v>85</v>
      </c>
      <c r="AR9">
        <v>132</v>
      </c>
      <c r="AS9">
        <v>0</v>
      </c>
      <c r="AT9">
        <v>0</v>
      </c>
      <c r="AU9">
        <v>0</v>
      </c>
      <c r="AV9">
        <v>132</v>
      </c>
      <c r="AW9">
        <v>0</v>
      </c>
      <c r="AX9">
        <v>0</v>
      </c>
      <c r="AY9">
        <v>0</v>
      </c>
      <c r="AZ9">
        <v>132</v>
      </c>
      <c r="BA9">
        <v>0</v>
      </c>
      <c r="BB9">
        <v>0</v>
      </c>
      <c r="BC9">
        <v>0</v>
      </c>
      <c r="BD9">
        <v>132</v>
      </c>
      <c r="BE9">
        <v>0</v>
      </c>
      <c r="BF9">
        <v>0</v>
      </c>
      <c r="BG9">
        <v>0</v>
      </c>
      <c r="BH9">
        <v>132</v>
      </c>
      <c r="BI9">
        <v>0</v>
      </c>
      <c r="BJ9">
        <v>0</v>
      </c>
      <c r="BK9">
        <v>0</v>
      </c>
    </row>
    <row r="10" spans="1:63">
      <c r="A10" t="s">
        <v>30</v>
      </c>
      <c r="B10">
        <v>52</v>
      </c>
      <c r="C10">
        <v>2</v>
      </c>
      <c r="D10">
        <v>0</v>
      </c>
      <c r="E10">
        <v>0</v>
      </c>
      <c r="F10">
        <v>52</v>
      </c>
      <c r="G10">
        <v>2</v>
      </c>
      <c r="H10">
        <v>0</v>
      </c>
      <c r="I10">
        <v>0</v>
      </c>
      <c r="J10">
        <v>54</v>
      </c>
      <c r="K10">
        <v>0</v>
      </c>
      <c r="L10">
        <v>0</v>
      </c>
      <c r="M10">
        <v>0</v>
      </c>
      <c r="N10">
        <v>52</v>
      </c>
      <c r="O10">
        <v>0</v>
      </c>
      <c r="P10">
        <v>2</v>
      </c>
      <c r="Q10">
        <v>0</v>
      </c>
      <c r="R10">
        <v>54</v>
      </c>
      <c r="S10">
        <v>0</v>
      </c>
      <c r="T10">
        <v>0</v>
      </c>
      <c r="U10">
        <v>0</v>
      </c>
      <c r="V10" t="s">
        <v>30</v>
      </c>
      <c r="W10">
        <v>52</v>
      </c>
      <c r="X10">
        <v>2</v>
      </c>
      <c r="Y10">
        <v>0</v>
      </c>
      <c r="Z10">
        <v>0</v>
      </c>
      <c r="AA10">
        <v>52</v>
      </c>
      <c r="AB10">
        <v>2</v>
      </c>
      <c r="AC10">
        <v>0</v>
      </c>
      <c r="AD10">
        <v>0</v>
      </c>
      <c r="AE10">
        <v>54</v>
      </c>
      <c r="AF10">
        <v>0</v>
      </c>
      <c r="AG10">
        <v>0</v>
      </c>
      <c r="AH10">
        <v>0</v>
      </c>
      <c r="AI10">
        <v>52</v>
      </c>
      <c r="AJ10">
        <v>0</v>
      </c>
      <c r="AK10">
        <v>2</v>
      </c>
      <c r="AL10">
        <v>0</v>
      </c>
      <c r="AM10">
        <v>54</v>
      </c>
      <c r="AN10">
        <v>0</v>
      </c>
      <c r="AO10">
        <v>0</v>
      </c>
      <c r="AP10">
        <v>0</v>
      </c>
      <c r="AQ10" t="s">
        <v>30</v>
      </c>
      <c r="AR10">
        <v>52</v>
      </c>
      <c r="AS10">
        <v>2</v>
      </c>
      <c r="AT10">
        <v>0</v>
      </c>
      <c r="AU10">
        <v>0</v>
      </c>
      <c r="AV10">
        <v>52</v>
      </c>
      <c r="AW10">
        <v>2</v>
      </c>
      <c r="AX10">
        <v>0</v>
      </c>
      <c r="AY10">
        <v>0</v>
      </c>
      <c r="AZ10">
        <v>54</v>
      </c>
      <c r="BA10">
        <v>0</v>
      </c>
      <c r="BB10">
        <v>0</v>
      </c>
      <c r="BC10">
        <v>0</v>
      </c>
      <c r="BD10">
        <v>52</v>
      </c>
      <c r="BE10">
        <v>0</v>
      </c>
      <c r="BF10">
        <v>2</v>
      </c>
      <c r="BG10">
        <v>0</v>
      </c>
      <c r="BH10">
        <v>54</v>
      </c>
      <c r="BI10">
        <v>0</v>
      </c>
      <c r="BJ10">
        <v>0</v>
      </c>
      <c r="BK10">
        <v>0</v>
      </c>
    </row>
    <row r="11" spans="1:63">
      <c r="A11" t="s">
        <v>89</v>
      </c>
      <c r="B11">
        <v>51</v>
      </c>
      <c r="C11">
        <v>0</v>
      </c>
      <c r="D11">
        <v>0</v>
      </c>
      <c r="E11">
        <v>0</v>
      </c>
      <c r="F11">
        <v>51</v>
      </c>
      <c r="G11">
        <v>0</v>
      </c>
      <c r="H11">
        <v>0</v>
      </c>
      <c r="I11">
        <v>0</v>
      </c>
      <c r="J11">
        <v>51</v>
      </c>
      <c r="K11">
        <v>0</v>
      </c>
      <c r="L11">
        <v>0</v>
      </c>
      <c r="M11">
        <v>0</v>
      </c>
      <c r="N11">
        <v>51</v>
      </c>
      <c r="O11">
        <v>0</v>
      </c>
      <c r="P11">
        <v>0</v>
      </c>
      <c r="Q11">
        <v>0</v>
      </c>
      <c r="R11">
        <v>51</v>
      </c>
      <c r="S11">
        <v>0</v>
      </c>
      <c r="T11">
        <v>0</v>
      </c>
      <c r="U11">
        <v>0</v>
      </c>
      <c r="V11" t="s">
        <v>89</v>
      </c>
      <c r="W11">
        <v>51</v>
      </c>
      <c r="X11">
        <v>0</v>
      </c>
      <c r="Y11">
        <v>0</v>
      </c>
      <c r="Z11">
        <v>0</v>
      </c>
      <c r="AA11">
        <v>51</v>
      </c>
      <c r="AB11">
        <v>0</v>
      </c>
      <c r="AC11">
        <v>0</v>
      </c>
      <c r="AD11">
        <v>0</v>
      </c>
      <c r="AE11">
        <v>51</v>
      </c>
      <c r="AF11">
        <v>0</v>
      </c>
      <c r="AG11">
        <v>0</v>
      </c>
      <c r="AH11">
        <v>0</v>
      </c>
      <c r="AI11">
        <v>51</v>
      </c>
      <c r="AJ11">
        <v>0</v>
      </c>
      <c r="AK11">
        <v>0</v>
      </c>
      <c r="AL11">
        <v>0</v>
      </c>
      <c r="AM11">
        <v>51</v>
      </c>
      <c r="AN11">
        <v>0</v>
      </c>
      <c r="AO11">
        <v>0</v>
      </c>
      <c r="AP11">
        <v>0</v>
      </c>
      <c r="AQ11" t="s">
        <v>89</v>
      </c>
      <c r="AR11">
        <v>51</v>
      </c>
      <c r="AS11">
        <v>0</v>
      </c>
      <c r="AT11">
        <v>0</v>
      </c>
      <c r="AU11">
        <v>0</v>
      </c>
      <c r="AV11">
        <v>51</v>
      </c>
      <c r="AW11">
        <v>0</v>
      </c>
      <c r="AX11">
        <v>0</v>
      </c>
      <c r="AY11">
        <v>0</v>
      </c>
      <c r="AZ11">
        <v>51</v>
      </c>
      <c r="BA11">
        <v>0</v>
      </c>
      <c r="BB11">
        <v>0</v>
      </c>
      <c r="BC11">
        <v>0</v>
      </c>
      <c r="BD11">
        <v>51</v>
      </c>
      <c r="BE11">
        <v>0</v>
      </c>
      <c r="BF11">
        <v>0</v>
      </c>
      <c r="BG11">
        <v>0</v>
      </c>
      <c r="BH11">
        <v>51</v>
      </c>
      <c r="BI11">
        <v>0</v>
      </c>
      <c r="BJ11">
        <v>0</v>
      </c>
      <c r="BK11">
        <v>0</v>
      </c>
    </row>
    <row r="12" spans="1:63">
      <c r="A12" t="s">
        <v>2</v>
      </c>
      <c r="B12">
        <v>3</v>
      </c>
      <c r="C12">
        <v>0</v>
      </c>
      <c r="D12">
        <v>0</v>
      </c>
      <c r="E12">
        <v>0</v>
      </c>
      <c r="F12">
        <v>3</v>
      </c>
      <c r="G12">
        <v>0</v>
      </c>
      <c r="H12">
        <v>0</v>
      </c>
      <c r="I12">
        <v>0</v>
      </c>
      <c r="J12">
        <v>3</v>
      </c>
      <c r="K12">
        <v>0</v>
      </c>
      <c r="L12">
        <v>0</v>
      </c>
      <c r="M12">
        <v>0</v>
      </c>
      <c r="N12">
        <v>3</v>
      </c>
      <c r="O12">
        <v>0</v>
      </c>
      <c r="P12">
        <v>0</v>
      </c>
      <c r="Q12">
        <v>0</v>
      </c>
      <c r="R12">
        <v>3</v>
      </c>
      <c r="S12">
        <v>0</v>
      </c>
      <c r="T12">
        <v>0</v>
      </c>
      <c r="U12">
        <v>0</v>
      </c>
      <c r="V12" t="s">
        <v>2</v>
      </c>
      <c r="W12">
        <v>3</v>
      </c>
      <c r="X12">
        <v>0</v>
      </c>
      <c r="Y12">
        <v>0</v>
      </c>
      <c r="Z12">
        <v>0</v>
      </c>
      <c r="AA12">
        <v>3</v>
      </c>
      <c r="AB12">
        <v>0</v>
      </c>
      <c r="AC12">
        <v>0</v>
      </c>
      <c r="AD12">
        <v>0</v>
      </c>
      <c r="AE12">
        <v>3</v>
      </c>
      <c r="AF12">
        <v>0</v>
      </c>
      <c r="AG12">
        <v>0</v>
      </c>
      <c r="AH12">
        <v>0</v>
      </c>
      <c r="AI12">
        <v>3</v>
      </c>
      <c r="AJ12">
        <v>0</v>
      </c>
      <c r="AK12">
        <v>0</v>
      </c>
      <c r="AL12">
        <v>0</v>
      </c>
      <c r="AM12">
        <v>3</v>
      </c>
      <c r="AN12">
        <v>0</v>
      </c>
      <c r="AO12">
        <v>0</v>
      </c>
      <c r="AP12">
        <v>0</v>
      </c>
      <c r="AQ12" t="s">
        <v>2</v>
      </c>
      <c r="AR12">
        <v>3</v>
      </c>
      <c r="AS12">
        <v>0</v>
      </c>
      <c r="AT12">
        <v>0</v>
      </c>
      <c r="AU12">
        <v>0</v>
      </c>
      <c r="AV12">
        <v>3</v>
      </c>
      <c r="AW12">
        <v>0</v>
      </c>
      <c r="AX12">
        <v>0</v>
      </c>
      <c r="AY12">
        <v>0</v>
      </c>
      <c r="AZ12">
        <v>3</v>
      </c>
      <c r="BA12">
        <v>0</v>
      </c>
      <c r="BB12">
        <v>0</v>
      </c>
      <c r="BC12">
        <v>0</v>
      </c>
      <c r="BD12">
        <v>3</v>
      </c>
      <c r="BE12">
        <v>0</v>
      </c>
      <c r="BF12">
        <v>0</v>
      </c>
      <c r="BG12">
        <v>0</v>
      </c>
      <c r="BH12">
        <v>3</v>
      </c>
      <c r="BI12">
        <v>0</v>
      </c>
      <c r="BJ12">
        <v>0</v>
      </c>
      <c r="BK12">
        <v>0</v>
      </c>
    </row>
    <row r="13" spans="1:63">
      <c r="A13" t="s">
        <v>37</v>
      </c>
      <c r="B13">
        <v>2</v>
      </c>
      <c r="C13">
        <v>0</v>
      </c>
      <c r="D13">
        <v>0</v>
      </c>
      <c r="E13">
        <v>0</v>
      </c>
      <c r="F13">
        <v>2</v>
      </c>
      <c r="G13">
        <v>0</v>
      </c>
      <c r="H13">
        <v>0</v>
      </c>
      <c r="I13">
        <v>0</v>
      </c>
      <c r="J13">
        <v>2</v>
      </c>
      <c r="K13">
        <v>0</v>
      </c>
      <c r="L13">
        <v>0</v>
      </c>
      <c r="M13">
        <v>0</v>
      </c>
      <c r="N13">
        <v>2</v>
      </c>
      <c r="O13">
        <v>0</v>
      </c>
      <c r="P13">
        <v>0</v>
      </c>
      <c r="Q13">
        <v>0</v>
      </c>
      <c r="R13">
        <v>2</v>
      </c>
      <c r="S13">
        <v>0</v>
      </c>
      <c r="T13">
        <v>0</v>
      </c>
      <c r="U13">
        <v>0</v>
      </c>
      <c r="V13" t="s">
        <v>37</v>
      </c>
      <c r="W13">
        <v>2</v>
      </c>
      <c r="X13">
        <v>0</v>
      </c>
      <c r="Y13">
        <v>0</v>
      </c>
      <c r="Z13">
        <v>0</v>
      </c>
      <c r="AA13">
        <v>2</v>
      </c>
      <c r="AB13">
        <v>0</v>
      </c>
      <c r="AC13">
        <v>0</v>
      </c>
      <c r="AD13">
        <v>0</v>
      </c>
      <c r="AE13">
        <v>2</v>
      </c>
      <c r="AF13">
        <v>0</v>
      </c>
      <c r="AG13">
        <v>0</v>
      </c>
      <c r="AH13">
        <v>0</v>
      </c>
      <c r="AI13">
        <v>2</v>
      </c>
      <c r="AJ13">
        <v>0</v>
      </c>
      <c r="AK13">
        <v>0</v>
      </c>
      <c r="AL13">
        <v>0</v>
      </c>
      <c r="AM13">
        <v>2</v>
      </c>
      <c r="AN13">
        <v>0</v>
      </c>
      <c r="AO13">
        <v>0</v>
      </c>
      <c r="AP13">
        <v>0</v>
      </c>
      <c r="AQ13" t="s">
        <v>37</v>
      </c>
      <c r="AR13">
        <v>2</v>
      </c>
      <c r="AS13">
        <v>0</v>
      </c>
      <c r="AT13">
        <v>0</v>
      </c>
      <c r="AU13">
        <v>0</v>
      </c>
      <c r="AV13">
        <v>2</v>
      </c>
      <c r="AW13">
        <v>0</v>
      </c>
      <c r="AX13">
        <v>0</v>
      </c>
      <c r="AY13">
        <v>0</v>
      </c>
      <c r="AZ13">
        <v>2</v>
      </c>
      <c r="BA13">
        <v>0</v>
      </c>
      <c r="BB13">
        <v>0</v>
      </c>
      <c r="BC13">
        <v>0</v>
      </c>
      <c r="BD13">
        <v>2</v>
      </c>
      <c r="BE13">
        <v>0</v>
      </c>
      <c r="BF13">
        <v>0</v>
      </c>
      <c r="BG13">
        <v>0</v>
      </c>
      <c r="BH13">
        <v>2</v>
      </c>
      <c r="BI13">
        <v>0</v>
      </c>
      <c r="BJ13">
        <v>0</v>
      </c>
      <c r="BK13">
        <v>0</v>
      </c>
    </row>
    <row r="14" spans="1:63">
      <c r="A14" t="s">
        <v>72</v>
      </c>
      <c r="B14">
        <v>8</v>
      </c>
      <c r="C14">
        <v>0</v>
      </c>
      <c r="D14">
        <v>0</v>
      </c>
      <c r="E14">
        <v>0</v>
      </c>
      <c r="F14">
        <v>8</v>
      </c>
      <c r="G14">
        <v>0</v>
      </c>
      <c r="H14">
        <v>0</v>
      </c>
      <c r="I14">
        <v>0</v>
      </c>
      <c r="J14">
        <v>8</v>
      </c>
      <c r="K14">
        <v>0</v>
      </c>
      <c r="L14">
        <v>0</v>
      </c>
      <c r="M14">
        <v>0</v>
      </c>
      <c r="N14">
        <v>8</v>
      </c>
      <c r="O14">
        <v>0</v>
      </c>
      <c r="P14">
        <v>0</v>
      </c>
      <c r="Q14">
        <v>0</v>
      </c>
      <c r="R14">
        <v>8</v>
      </c>
      <c r="S14">
        <v>0</v>
      </c>
      <c r="T14">
        <v>0</v>
      </c>
      <c r="U14">
        <v>0</v>
      </c>
      <c r="V14" t="s">
        <v>72</v>
      </c>
      <c r="W14">
        <v>8</v>
      </c>
      <c r="X14">
        <v>0</v>
      </c>
      <c r="Y14">
        <v>0</v>
      </c>
      <c r="Z14">
        <v>0</v>
      </c>
      <c r="AA14">
        <v>8</v>
      </c>
      <c r="AB14">
        <v>0</v>
      </c>
      <c r="AC14">
        <v>0</v>
      </c>
      <c r="AD14">
        <v>0</v>
      </c>
      <c r="AE14">
        <v>8</v>
      </c>
      <c r="AF14">
        <v>0</v>
      </c>
      <c r="AG14">
        <v>0</v>
      </c>
      <c r="AH14">
        <v>0</v>
      </c>
      <c r="AI14">
        <v>8</v>
      </c>
      <c r="AJ14">
        <v>0</v>
      </c>
      <c r="AK14">
        <v>0</v>
      </c>
      <c r="AL14">
        <v>0</v>
      </c>
      <c r="AM14">
        <v>8</v>
      </c>
      <c r="AN14">
        <v>0</v>
      </c>
      <c r="AO14">
        <v>0</v>
      </c>
      <c r="AP14">
        <v>0</v>
      </c>
      <c r="AQ14" t="s">
        <v>72</v>
      </c>
      <c r="AR14">
        <v>8</v>
      </c>
      <c r="AS14">
        <v>0</v>
      </c>
      <c r="AT14">
        <v>0</v>
      </c>
      <c r="AU14">
        <v>0</v>
      </c>
      <c r="AV14">
        <v>8</v>
      </c>
      <c r="AW14">
        <v>0</v>
      </c>
      <c r="AX14">
        <v>0</v>
      </c>
      <c r="AY14">
        <v>0</v>
      </c>
      <c r="AZ14">
        <v>8</v>
      </c>
      <c r="BA14">
        <v>0</v>
      </c>
      <c r="BB14">
        <v>0</v>
      </c>
      <c r="BC14">
        <v>0</v>
      </c>
      <c r="BD14">
        <v>8</v>
      </c>
      <c r="BE14">
        <v>0</v>
      </c>
      <c r="BF14">
        <v>0</v>
      </c>
      <c r="BG14">
        <v>0</v>
      </c>
      <c r="BH14">
        <v>8</v>
      </c>
      <c r="BI14">
        <v>0</v>
      </c>
      <c r="BJ14">
        <v>0</v>
      </c>
      <c r="BK14">
        <v>0</v>
      </c>
    </row>
    <row r="15" spans="1:63">
      <c r="A15" t="s">
        <v>8</v>
      </c>
      <c r="B15">
        <v>3</v>
      </c>
      <c r="C15">
        <v>0</v>
      </c>
      <c r="D15">
        <v>0</v>
      </c>
      <c r="E15">
        <v>0</v>
      </c>
      <c r="F15">
        <v>3</v>
      </c>
      <c r="G15">
        <v>0</v>
      </c>
      <c r="H15">
        <v>0</v>
      </c>
      <c r="I15">
        <v>0</v>
      </c>
      <c r="J15">
        <v>3</v>
      </c>
      <c r="K15">
        <v>0</v>
      </c>
      <c r="L15">
        <v>0</v>
      </c>
      <c r="M15">
        <v>0</v>
      </c>
      <c r="N15">
        <v>3</v>
      </c>
      <c r="O15">
        <v>0</v>
      </c>
      <c r="P15">
        <v>0</v>
      </c>
      <c r="Q15">
        <v>0</v>
      </c>
      <c r="R15">
        <v>3</v>
      </c>
      <c r="S15">
        <v>0</v>
      </c>
      <c r="T15">
        <v>0</v>
      </c>
      <c r="U15">
        <v>0</v>
      </c>
      <c r="V15" t="s">
        <v>8</v>
      </c>
      <c r="W15">
        <v>3</v>
      </c>
      <c r="X15">
        <v>0</v>
      </c>
      <c r="Y15">
        <v>0</v>
      </c>
      <c r="Z15">
        <v>0</v>
      </c>
      <c r="AA15">
        <v>3</v>
      </c>
      <c r="AB15">
        <v>0</v>
      </c>
      <c r="AC15">
        <v>0</v>
      </c>
      <c r="AD15">
        <v>0</v>
      </c>
      <c r="AE15">
        <v>3</v>
      </c>
      <c r="AF15">
        <v>0</v>
      </c>
      <c r="AG15">
        <v>0</v>
      </c>
      <c r="AH15">
        <v>0</v>
      </c>
      <c r="AI15">
        <v>3</v>
      </c>
      <c r="AJ15">
        <v>0</v>
      </c>
      <c r="AK15">
        <v>0</v>
      </c>
      <c r="AL15">
        <v>0</v>
      </c>
      <c r="AM15">
        <v>3</v>
      </c>
      <c r="AN15">
        <v>0</v>
      </c>
      <c r="AO15">
        <v>0</v>
      </c>
      <c r="AP15">
        <v>0</v>
      </c>
      <c r="AQ15" t="s">
        <v>8</v>
      </c>
      <c r="AR15">
        <v>3</v>
      </c>
      <c r="AS15">
        <v>0</v>
      </c>
      <c r="AT15">
        <v>0</v>
      </c>
      <c r="AU15">
        <v>0</v>
      </c>
      <c r="AV15">
        <v>3</v>
      </c>
      <c r="AW15">
        <v>0</v>
      </c>
      <c r="AX15">
        <v>0</v>
      </c>
      <c r="AY15">
        <v>0</v>
      </c>
      <c r="AZ15">
        <v>3</v>
      </c>
      <c r="BA15">
        <v>0</v>
      </c>
      <c r="BB15">
        <v>0</v>
      </c>
      <c r="BC15">
        <v>0</v>
      </c>
      <c r="BD15">
        <v>3</v>
      </c>
      <c r="BE15">
        <v>0</v>
      </c>
      <c r="BF15">
        <v>0</v>
      </c>
      <c r="BG15">
        <v>0</v>
      </c>
      <c r="BH15">
        <v>3</v>
      </c>
      <c r="BI15">
        <v>0</v>
      </c>
      <c r="BJ15">
        <v>0</v>
      </c>
      <c r="BK15">
        <v>0</v>
      </c>
    </row>
    <row r="16" spans="1:63">
      <c r="A16" t="s">
        <v>101</v>
      </c>
      <c r="B16">
        <v>132</v>
      </c>
      <c r="C16">
        <v>9</v>
      </c>
      <c r="D16">
        <v>0</v>
      </c>
      <c r="E16">
        <v>0</v>
      </c>
      <c r="F16">
        <v>132</v>
      </c>
      <c r="G16">
        <v>9</v>
      </c>
      <c r="H16">
        <v>0</v>
      </c>
      <c r="I16">
        <v>0</v>
      </c>
      <c r="J16">
        <v>137</v>
      </c>
      <c r="K16">
        <v>4</v>
      </c>
      <c r="L16">
        <v>0</v>
      </c>
      <c r="M16">
        <v>0</v>
      </c>
      <c r="N16">
        <v>128</v>
      </c>
      <c r="O16">
        <v>4</v>
      </c>
      <c r="P16">
        <v>9</v>
      </c>
      <c r="Q16">
        <v>0</v>
      </c>
      <c r="R16">
        <v>133</v>
      </c>
      <c r="S16">
        <v>8</v>
      </c>
      <c r="T16">
        <v>0</v>
      </c>
      <c r="U16">
        <v>0</v>
      </c>
      <c r="V16" t="s">
        <v>101</v>
      </c>
      <c r="W16">
        <v>132</v>
      </c>
      <c r="X16">
        <v>9</v>
      </c>
      <c r="Y16">
        <v>0</v>
      </c>
      <c r="Z16">
        <v>0</v>
      </c>
      <c r="AA16">
        <v>132</v>
      </c>
      <c r="AB16">
        <v>9</v>
      </c>
      <c r="AC16">
        <v>0</v>
      </c>
      <c r="AD16">
        <v>0</v>
      </c>
      <c r="AE16">
        <v>137</v>
      </c>
      <c r="AF16">
        <v>4</v>
      </c>
      <c r="AG16">
        <v>0</v>
      </c>
      <c r="AH16">
        <v>0</v>
      </c>
      <c r="AI16">
        <v>128</v>
      </c>
      <c r="AJ16">
        <v>4</v>
      </c>
      <c r="AK16">
        <v>9</v>
      </c>
      <c r="AL16">
        <v>0</v>
      </c>
      <c r="AM16">
        <v>133</v>
      </c>
      <c r="AN16">
        <v>8</v>
      </c>
      <c r="AO16">
        <v>0</v>
      </c>
      <c r="AP16">
        <v>0</v>
      </c>
      <c r="AQ16" t="s">
        <v>101</v>
      </c>
      <c r="AR16">
        <v>132</v>
      </c>
      <c r="AS16">
        <v>9</v>
      </c>
      <c r="AT16">
        <v>0</v>
      </c>
      <c r="AU16">
        <v>0</v>
      </c>
      <c r="AV16">
        <v>132</v>
      </c>
      <c r="AW16">
        <v>9</v>
      </c>
      <c r="AX16">
        <v>0</v>
      </c>
      <c r="AY16">
        <v>0</v>
      </c>
      <c r="AZ16">
        <v>141</v>
      </c>
      <c r="BA16">
        <v>0</v>
      </c>
      <c r="BB16">
        <v>0</v>
      </c>
      <c r="BC16">
        <v>0</v>
      </c>
      <c r="BD16">
        <v>132</v>
      </c>
      <c r="BE16">
        <v>0</v>
      </c>
      <c r="BF16">
        <v>9</v>
      </c>
      <c r="BG16">
        <v>0</v>
      </c>
      <c r="BH16">
        <v>141</v>
      </c>
      <c r="BI16">
        <v>0</v>
      </c>
      <c r="BJ16">
        <v>0</v>
      </c>
      <c r="BK16">
        <v>0</v>
      </c>
    </row>
    <row r="17" spans="1:63">
      <c r="A17" t="s">
        <v>3</v>
      </c>
      <c r="B17">
        <v>31</v>
      </c>
      <c r="C17">
        <v>0</v>
      </c>
      <c r="D17">
        <v>0</v>
      </c>
      <c r="E17">
        <v>0</v>
      </c>
      <c r="F17">
        <v>31</v>
      </c>
      <c r="G17">
        <v>0</v>
      </c>
      <c r="H17">
        <v>0</v>
      </c>
      <c r="I17">
        <v>0</v>
      </c>
      <c r="J17">
        <v>28</v>
      </c>
      <c r="K17">
        <v>3</v>
      </c>
      <c r="L17">
        <v>0</v>
      </c>
      <c r="M17">
        <v>0</v>
      </c>
      <c r="N17">
        <v>28</v>
      </c>
      <c r="O17">
        <v>3</v>
      </c>
      <c r="P17">
        <v>0</v>
      </c>
      <c r="Q17">
        <v>0</v>
      </c>
      <c r="R17">
        <v>28</v>
      </c>
      <c r="S17">
        <v>3</v>
      </c>
      <c r="T17">
        <v>0</v>
      </c>
      <c r="U17">
        <v>0</v>
      </c>
      <c r="V17" t="s">
        <v>3</v>
      </c>
      <c r="W17">
        <v>31</v>
      </c>
      <c r="X17">
        <v>0</v>
      </c>
      <c r="Y17">
        <v>0</v>
      </c>
      <c r="Z17">
        <v>0</v>
      </c>
      <c r="AA17">
        <v>31</v>
      </c>
      <c r="AB17">
        <v>0</v>
      </c>
      <c r="AC17">
        <v>0</v>
      </c>
      <c r="AD17">
        <v>0</v>
      </c>
      <c r="AE17">
        <v>28</v>
      </c>
      <c r="AF17">
        <v>3</v>
      </c>
      <c r="AG17">
        <v>0</v>
      </c>
      <c r="AH17">
        <v>0</v>
      </c>
      <c r="AI17">
        <v>28</v>
      </c>
      <c r="AJ17">
        <v>3</v>
      </c>
      <c r="AK17">
        <v>0</v>
      </c>
      <c r="AL17">
        <v>0</v>
      </c>
      <c r="AM17">
        <v>28</v>
      </c>
      <c r="AN17">
        <v>3</v>
      </c>
      <c r="AO17">
        <v>0</v>
      </c>
      <c r="AP17">
        <v>0</v>
      </c>
      <c r="AQ17" t="s">
        <v>3</v>
      </c>
      <c r="AR17">
        <v>31</v>
      </c>
      <c r="AS17">
        <v>0</v>
      </c>
      <c r="AT17">
        <v>0</v>
      </c>
      <c r="AU17">
        <v>0</v>
      </c>
      <c r="AV17">
        <v>31</v>
      </c>
      <c r="AW17">
        <v>0</v>
      </c>
      <c r="AX17">
        <v>0</v>
      </c>
      <c r="AY17">
        <v>0</v>
      </c>
      <c r="AZ17">
        <v>31</v>
      </c>
      <c r="BA17">
        <v>0</v>
      </c>
      <c r="BB17">
        <v>0</v>
      </c>
      <c r="BC17">
        <v>0</v>
      </c>
      <c r="BD17">
        <v>31</v>
      </c>
      <c r="BE17">
        <v>0</v>
      </c>
      <c r="BF17">
        <v>0</v>
      </c>
      <c r="BG17">
        <v>0</v>
      </c>
      <c r="BH17">
        <v>31</v>
      </c>
      <c r="BI17">
        <v>0</v>
      </c>
      <c r="BJ17">
        <v>0</v>
      </c>
      <c r="BK17">
        <v>0</v>
      </c>
    </row>
    <row r="18" spans="1:63">
      <c r="A18" t="s">
        <v>76</v>
      </c>
      <c r="B18">
        <v>31</v>
      </c>
      <c r="C18">
        <v>0</v>
      </c>
      <c r="D18">
        <v>0</v>
      </c>
      <c r="E18">
        <v>0</v>
      </c>
      <c r="F18">
        <v>31</v>
      </c>
      <c r="G18">
        <v>0</v>
      </c>
      <c r="H18">
        <v>0</v>
      </c>
      <c r="I18">
        <v>0</v>
      </c>
      <c r="J18">
        <v>28</v>
      </c>
      <c r="K18">
        <v>3</v>
      </c>
      <c r="L18">
        <v>0</v>
      </c>
      <c r="M18">
        <v>0</v>
      </c>
      <c r="N18">
        <v>28</v>
      </c>
      <c r="O18">
        <v>3</v>
      </c>
      <c r="P18">
        <v>0</v>
      </c>
      <c r="Q18">
        <v>0</v>
      </c>
      <c r="R18">
        <v>28</v>
      </c>
      <c r="S18">
        <v>3</v>
      </c>
      <c r="T18">
        <v>0</v>
      </c>
      <c r="U18">
        <v>0</v>
      </c>
      <c r="V18" t="s">
        <v>76</v>
      </c>
      <c r="W18">
        <v>31</v>
      </c>
      <c r="X18">
        <v>0</v>
      </c>
      <c r="Y18">
        <v>0</v>
      </c>
      <c r="Z18">
        <v>0</v>
      </c>
      <c r="AA18">
        <v>31</v>
      </c>
      <c r="AB18">
        <v>0</v>
      </c>
      <c r="AC18">
        <v>0</v>
      </c>
      <c r="AD18">
        <v>0</v>
      </c>
      <c r="AE18">
        <v>28</v>
      </c>
      <c r="AF18">
        <v>3</v>
      </c>
      <c r="AG18">
        <v>0</v>
      </c>
      <c r="AH18">
        <v>0</v>
      </c>
      <c r="AI18">
        <v>28</v>
      </c>
      <c r="AJ18">
        <v>3</v>
      </c>
      <c r="AK18">
        <v>0</v>
      </c>
      <c r="AL18">
        <v>0</v>
      </c>
      <c r="AM18">
        <v>28</v>
      </c>
      <c r="AN18">
        <v>3</v>
      </c>
      <c r="AO18">
        <v>0</v>
      </c>
      <c r="AP18">
        <v>0</v>
      </c>
      <c r="AQ18" t="s">
        <v>76</v>
      </c>
      <c r="AR18">
        <v>31</v>
      </c>
      <c r="AS18">
        <v>0</v>
      </c>
      <c r="AT18">
        <v>0</v>
      </c>
      <c r="AU18">
        <v>0</v>
      </c>
      <c r="AV18">
        <v>31</v>
      </c>
      <c r="AW18">
        <v>0</v>
      </c>
      <c r="AX18">
        <v>0</v>
      </c>
      <c r="AY18">
        <v>0</v>
      </c>
      <c r="AZ18">
        <v>31</v>
      </c>
      <c r="BA18">
        <v>0</v>
      </c>
      <c r="BB18">
        <v>0</v>
      </c>
      <c r="BC18">
        <v>0</v>
      </c>
      <c r="BD18">
        <v>31</v>
      </c>
      <c r="BE18">
        <v>0</v>
      </c>
      <c r="BF18">
        <v>0</v>
      </c>
      <c r="BG18">
        <v>0</v>
      </c>
      <c r="BH18">
        <v>31</v>
      </c>
      <c r="BI18">
        <v>0</v>
      </c>
      <c r="BJ18">
        <v>0</v>
      </c>
      <c r="BK18">
        <v>0</v>
      </c>
    </row>
    <row r="19" spans="1:63">
      <c r="A19" t="s">
        <v>29</v>
      </c>
      <c r="B19">
        <v>14</v>
      </c>
      <c r="C19">
        <v>0</v>
      </c>
      <c r="D19">
        <v>0</v>
      </c>
      <c r="E19">
        <v>0</v>
      </c>
      <c r="F19">
        <v>14</v>
      </c>
      <c r="G19">
        <v>0</v>
      </c>
      <c r="H19">
        <v>0</v>
      </c>
      <c r="I19">
        <v>0</v>
      </c>
      <c r="J19">
        <v>14</v>
      </c>
      <c r="K19">
        <v>0</v>
      </c>
      <c r="L19">
        <v>0</v>
      </c>
      <c r="M19">
        <v>0</v>
      </c>
      <c r="N19">
        <v>14</v>
      </c>
      <c r="O19">
        <v>0</v>
      </c>
      <c r="P19">
        <v>0</v>
      </c>
      <c r="Q19">
        <v>0</v>
      </c>
      <c r="R19">
        <v>14</v>
      </c>
      <c r="S19">
        <v>0</v>
      </c>
      <c r="T19">
        <v>0</v>
      </c>
      <c r="U19">
        <v>0</v>
      </c>
      <c r="V19" t="s">
        <v>29</v>
      </c>
      <c r="W19">
        <v>14</v>
      </c>
      <c r="X19">
        <v>0</v>
      </c>
      <c r="Y19">
        <v>0</v>
      </c>
      <c r="Z19">
        <v>0</v>
      </c>
      <c r="AA19">
        <v>14</v>
      </c>
      <c r="AB19">
        <v>0</v>
      </c>
      <c r="AC19">
        <v>0</v>
      </c>
      <c r="AD19">
        <v>0</v>
      </c>
      <c r="AE19">
        <v>14</v>
      </c>
      <c r="AF19">
        <v>0</v>
      </c>
      <c r="AG19">
        <v>0</v>
      </c>
      <c r="AH19">
        <v>0</v>
      </c>
      <c r="AI19">
        <v>14</v>
      </c>
      <c r="AJ19">
        <v>0</v>
      </c>
      <c r="AK19">
        <v>0</v>
      </c>
      <c r="AL19">
        <v>0</v>
      </c>
      <c r="AM19">
        <v>14</v>
      </c>
      <c r="AN19">
        <v>0</v>
      </c>
      <c r="AO19">
        <v>0</v>
      </c>
      <c r="AP19">
        <v>0</v>
      </c>
      <c r="AQ19" t="s">
        <v>29</v>
      </c>
      <c r="AR19">
        <v>14</v>
      </c>
      <c r="AS19">
        <v>0</v>
      </c>
      <c r="AT19">
        <v>0</v>
      </c>
      <c r="AU19">
        <v>0</v>
      </c>
      <c r="AV19">
        <v>14</v>
      </c>
      <c r="AW19">
        <v>0</v>
      </c>
      <c r="AX19">
        <v>0</v>
      </c>
      <c r="AY19">
        <v>0</v>
      </c>
      <c r="AZ19">
        <v>14</v>
      </c>
      <c r="BA19">
        <v>0</v>
      </c>
      <c r="BB19">
        <v>0</v>
      </c>
      <c r="BC19">
        <v>0</v>
      </c>
      <c r="BD19">
        <v>14</v>
      </c>
      <c r="BE19">
        <v>0</v>
      </c>
      <c r="BF19">
        <v>0</v>
      </c>
      <c r="BG19">
        <v>0</v>
      </c>
      <c r="BH19">
        <v>14</v>
      </c>
      <c r="BI19">
        <v>0</v>
      </c>
      <c r="BJ19">
        <v>0</v>
      </c>
      <c r="BK19">
        <v>0</v>
      </c>
    </row>
    <row r="20" spans="1:63">
      <c r="A20" t="s">
        <v>98</v>
      </c>
      <c r="B20">
        <v>176</v>
      </c>
      <c r="C20">
        <v>7</v>
      </c>
      <c r="D20">
        <v>0</v>
      </c>
      <c r="E20">
        <v>0</v>
      </c>
      <c r="F20">
        <v>176</v>
      </c>
      <c r="G20">
        <v>7</v>
      </c>
      <c r="H20">
        <v>0</v>
      </c>
      <c r="I20">
        <v>0</v>
      </c>
      <c r="J20">
        <v>177</v>
      </c>
      <c r="K20">
        <v>6</v>
      </c>
      <c r="L20">
        <v>0</v>
      </c>
      <c r="M20">
        <v>0</v>
      </c>
      <c r="N20">
        <v>170</v>
      </c>
      <c r="O20">
        <v>6</v>
      </c>
      <c r="P20">
        <v>7</v>
      </c>
      <c r="Q20">
        <v>0</v>
      </c>
      <c r="R20">
        <v>177</v>
      </c>
      <c r="S20">
        <v>6</v>
      </c>
      <c r="T20">
        <v>0</v>
      </c>
      <c r="U20">
        <v>0</v>
      </c>
      <c r="V20" t="s">
        <v>98</v>
      </c>
      <c r="W20">
        <v>176</v>
      </c>
      <c r="X20">
        <v>7</v>
      </c>
      <c r="Y20">
        <v>0</v>
      </c>
      <c r="Z20">
        <v>0</v>
      </c>
      <c r="AA20">
        <v>176</v>
      </c>
      <c r="AB20">
        <v>7</v>
      </c>
      <c r="AC20">
        <v>0</v>
      </c>
      <c r="AD20">
        <v>0</v>
      </c>
      <c r="AE20">
        <v>177</v>
      </c>
      <c r="AF20">
        <v>6</v>
      </c>
      <c r="AG20">
        <v>0</v>
      </c>
      <c r="AH20">
        <v>0</v>
      </c>
      <c r="AI20">
        <v>170</v>
      </c>
      <c r="AJ20">
        <v>6</v>
      </c>
      <c r="AK20">
        <v>7</v>
      </c>
      <c r="AL20">
        <v>0</v>
      </c>
      <c r="AM20">
        <v>177</v>
      </c>
      <c r="AN20">
        <v>6</v>
      </c>
      <c r="AO20">
        <v>0</v>
      </c>
      <c r="AP20">
        <v>0</v>
      </c>
      <c r="AQ20" t="s">
        <v>98</v>
      </c>
      <c r="AR20">
        <v>176</v>
      </c>
      <c r="AS20">
        <v>7</v>
      </c>
      <c r="AT20">
        <v>0</v>
      </c>
      <c r="AU20">
        <v>0</v>
      </c>
      <c r="AV20">
        <v>176</v>
      </c>
      <c r="AW20">
        <v>7</v>
      </c>
      <c r="AX20">
        <v>0</v>
      </c>
      <c r="AY20">
        <v>0</v>
      </c>
      <c r="AZ20">
        <v>183</v>
      </c>
      <c r="BA20">
        <v>0</v>
      </c>
      <c r="BB20">
        <v>0</v>
      </c>
      <c r="BC20">
        <v>0</v>
      </c>
      <c r="BD20">
        <v>176</v>
      </c>
      <c r="BE20">
        <v>0</v>
      </c>
      <c r="BF20">
        <v>7</v>
      </c>
      <c r="BG20">
        <v>0</v>
      </c>
      <c r="BH20">
        <v>183</v>
      </c>
      <c r="BI20">
        <v>0</v>
      </c>
      <c r="BJ20">
        <v>0</v>
      </c>
      <c r="BK20">
        <v>0</v>
      </c>
    </row>
    <row r="21" spans="1:63">
      <c r="A21" t="s">
        <v>43</v>
      </c>
      <c r="B21">
        <v>127</v>
      </c>
      <c r="C21">
        <v>0</v>
      </c>
      <c r="D21">
        <v>0</v>
      </c>
      <c r="E21">
        <v>0</v>
      </c>
      <c r="F21">
        <v>127</v>
      </c>
      <c r="G21">
        <v>0</v>
      </c>
      <c r="H21">
        <v>0</v>
      </c>
      <c r="I21">
        <v>0</v>
      </c>
      <c r="J21">
        <v>124</v>
      </c>
      <c r="K21">
        <v>3</v>
      </c>
      <c r="L21">
        <v>0</v>
      </c>
      <c r="M21">
        <v>0</v>
      </c>
      <c r="N21">
        <v>124</v>
      </c>
      <c r="O21">
        <v>3</v>
      </c>
      <c r="P21">
        <v>0</v>
      </c>
      <c r="Q21">
        <v>0</v>
      </c>
      <c r="R21">
        <v>124</v>
      </c>
      <c r="S21">
        <v>3</v>
      </c>
      <c r="T21">
        <v>0</v>
      </c>
      <c r="U21">
        <v>0</v>
      </c>
      <c r="V21" t="s">
        <v>43</v>
      </c>
      <c r="W21">
        <v>127</v>
      </c>
      <c r="X21">
        <v>0</v>
      </c>
      <c r="Y21">
        <v>0</v>
      </c>
      <c r="Z21">
        <v>0</v>
      </c>
      <c r="AA21">
        <v>127</v>
      </c>
      <c r="AB21">
        <v>0</v>
      </c>
      <c r="AC21">
        <v>0</v>
      </c>
      <c r="AD21">
        <v>0</v>
      </c>
      <c r="AE21">
        <v>124</v>
      </c>
      <c r="AF21">
        <v>3</v>
      </c>
      <c r="AG21">
        <v>0</v>
      </c>
      <c r="AH21">
        <v>0</v>
      </c>
      <c r="AI21">
        <v>124</v>
      </c>
      <c r="AJ21">
        <v>3</v>
      </c>
      <c r="AK21">
        <v>0</v>
      </c>
      <c r="AL21">
        <v>0</v>
      </c>
      <c r="AM21">
        <v>124</v>
      </c>
      <c r="AN21">
        <v>3</v>
      </c>
      <c r="AO21">
        <v>0</v>
      </c>
      <c r="AP21">
        <v>0</v>
      </c>
      <c r="AQ21" t="s">
        <v>43</v>
      </c>
      <c r="AR21">
        <v>127</v>
      </c>
      <c r="AS21">
        <v>0</v>
      </c>
      <c r="AT21">
        <v>0</v>
      </c>
      <c r="AU21">
        <v>0</v>
      </c>
      <c r="AV21">
        <v>127</v>
      </c>
      <c r="AW21">
        <v>0</v>
      </c>
      <c r="AX21">
        <v>0</v>
      </c>
      <c r="AY21">
        <v>0</v>
      </c>
      <c r="AZ21">
        <v>127</v>
      </c>
      <c r="BA21">
        <v>0</v>
      </c>
      <c r="BB21">
        <v>0</v>
      </c>
      <c r="BC21">
        <v>0</v>
      </c>
      <c r="BD21">
        <v>127</v>
      </c>
      <c r="BE21">
        <v>0</v>
      </c>
      <c r="BF21">
        <v>0</v>
      </c>
      <c r="BG21">
        <v>0</v>
      </c>
      <c r="BH21">
        <v>127</v>
      </c>
      <c r="BI21">
        <v>0</v>
      </c>
      <c r="BJ21">
        <v>0</v>
      </c>
      <c r="BK21">
        <v>0</v>
      </c>
    </row>
    <row r="22" spans="1:63">
      <c r="A22" t="s">
        <v>28</v>
      </c>
      <c r="B22">
        <v>106</v>
      </c>
      <c r="C22">
        <v>0</v>
      </c>
      <c r="D22">
        <v>0</v>
      </c>
      <c r="E22">
        <v>0</v>
      </c>
      <c r="F22">
        <v>106</v>
      </c>
      <c r="G22">
        <v>0</v>
      </c>
      <c r="H22">
        <v>0</v>
      </c>
      <c r="I22">
        <v>0</v>
      </c>
      <c r="J22">
        <v>103</v>
      </c>
      <c r="K22">
        <v>3</v>
      </c>
      <c r="L22">
        <v>0</v>
      </c>
      <c r="M22">
        <v>0</v>
      </c>
      <c r="N22">
        <v>103</v>
      </c>
      <c r="O22">
        <v>3</v>
      </c>
      <c r="P22">
        <v>0</v>
      </c>
      <c r="Q22">
        <v>0</v>
      </c>
      <c r="R22">
        <v>103</v>
      </c>
      <c r="S22">
        <v>3</v>
      </c>
      <c r="T22">
        <v>0</v>
      </c>
      <c r="U22">
        <v>0</v>
      </c>
      <c r="V22" t="s">
        <v>28</v>
      </c>
      <c r="W22">
        <v>106</v>
      </c>
      <c r="X22">
        <v>0</v>
      </c>
      <c r="Y22">
        <v>0</v>
      </c>
      <c r="Z22">
        <v>0</v>
      </c>
      <c r="AA22">
        <v>106</v>
      </c>
      <c r="AB22">
        <v>0</v>
      </c>
      <c r="AC22">
        <v>0</v>
      </c>
      <c r="AD22">
        <v>0</v>
      </c>
      <c r="AE22">
        <v>103</v>
      </c>
      <c r="AF22">
        <v>3</v>
      </c>
      <c r="AG22">
        <v>0</v>
      </c>
      <c r="AH22">
        <v>0</v>
      </c>
      <c r="AI22">
        <v>103</v>
      </c>
      <c r="AJ22">
        <v>3</v>
      </c>
      <c r="AK22">
        <v>0</v>
      </c>
      <c r="AL22">
        <v>0</v>
      </c>
      <c r="AM22">
        <v>103</v>
      </c>
      <c r="AN22">
        <v>3</v>
      </c>
      <c r="AO22">
        <v>0</v>
      </c>
      <c r="AP22">
        <v>0</v>
      </c>
      <c r="AQ22" t="s">
        <v>28</v>
      </c>
      <c r="AR22">
        <v>106</v>
      </c>
      <c r="AS22">
        <v>0</v>
      </c>
      <c r="AT22">
        <v>0</v>
      </c>
      <c r="AU22">
        <v>0</v>
      </c>
      <c r="AV22">
        <v>106</v>
      </c>
      <c r="AW22">
        <v>0</v>
      </c>
      <c r="AX22">
        <v>0</v>
      </c>
      <c r="AY22">
        <v>0</v>
      </c>
      <c r="AZ22">
        <v>106</v>
      </c>
      <c r="BA22">
        <v>0</v>
      </c>
      <c r="BB22">
        <v>0</v>
      </c>
      <c r="BC22">
        <v>0</v>
      </c>
      <c r="BD22">
        <v>106</v>
      </c>
      <c r="BE22">
        <v>0</v>
      </c>
      <c r="BF22">
        <v>0</v>
      </c>
      <c r="BG22">
        <v>0</v>
      </c>
      <c r="BH22">
        <v>106</v>
      </c>
      <c r="BI22">
        <v>0</v>
      </c>
      <c r="BJ22">
        <v>0</v>
      </c>
      <c r="BK22">
        <v>0</v>
      </c>
    </row>
    <row r="23" spans="1:63">
      <c r="A23" t="s">
        <v>40</v>
      </c>
      <c r="B23">
        <v>3</v>
      </c>
      <c r="C23">
        <v>0</v>
      </c>
      <c r="D23">
        <v>0</v>
      </c>
      <c r="E23">
        <v>0</v>
      </c>
      <c r="F23">
        <v>3</v>
      </c>
      <c r="G23">
        <v>0</v>
      </c>
      <c r="H23">
        <v>0</v>
      </c>
      <c r="I23">
        <v>0</v>
      </c>
      <c r="J23">
        <v>3</v>
      </c>
      <c r="K23">
        <v>0</v>
      </c>
      <c r="L23">
        <v>0</v>
      </c>
      <c r="M23">
        <v>0</v>
      </c>
      <c r="N23">
        <v>3</v>
      </c>
      <c r="O23">
        <v>0</v>
      </c>
      <c r="P23">
        <v>0</v>
      </c>
      <c r="Q23">
        <v>0</v>
      </c>
      <c r="R23">
        <v>3</v>
      </c>
      <c r="S23">
        <v>0</v>
      </c>
      <c r="T23">
        <v>0</v>
      </c>
      <c r="U23">
        <v>0</v>
      </c>
      <c r="V23" t="s">
        <v>40</v>
      </c>
      <c r="W23">
        <v>3</v>
      </c>
      <c r="X23">
        <v>0</v>
      </c>
      <c r="Y23">
        <v>0</v>
      </c>
      <c r="Z23">
        <v>0</v>
      </c>
      <c r="AA23">
        <v>3</v>
      </c>
      <c r="AB23">
        <v>0</v>
      </c>
      <c r="AC23">
        <v>0</v>
      </c>
      <c r="AD23">
        <v>0</v>
      </c>
      <c r="AE23">
        <v>3</v>
      </c>
      <c r="AF23">
        <v>0</v>
      </c>
      <c r="AG23">
        <v>0</v>
      </c>
      <c r="AH23">
        <v>0</v>
      </c>
      <c r="AI23">
        <v>3</v>
      </c>
      <c r="AJ23">
        <v>0</v>
      </c>
      <c r="AK23">
        <v>0</v>
      </c>
      <c r="AL23">
        <v>0</v>
      </c>
      <c r="AM23">
        <v>3</v>
      </c>
      <c r="AN23">
        <v>0</v>
      </c>
      <c r="AO23">
        <v>0</v>
      </c>
      <c r="AP23">
        <v>0</v>
      </c>
      <c r="AQ23" t="s">
        <v>40</v>
      </c>
      <c r="AR23">
        <v>3</v>
      </c>
      <c r="AS23">
        <v>0</v>
      </c>
      <c r="AT23">
        <v>0</v>
      </c>
      <c r="AU23">
        <v>0</v>
      </c>
      <c r="AV23">
        <v>3</v>
      </c>
      <c r="AW23">
        <v>0</v>
      </c>
      <c r="AX23">
        <v>0</v>
      </c>
      <c r="AY23">
        <v>0</v>
      </c>
      <c r="AZ23">
        <v>3</v>
      </c>
      <c r="BA23">
        <v>0</v>
      </c>
      <c r="BB23">
        <v>0</v>
      </c>
      <c r="BC23">
        <v>0</v>
      </c>
      <c r="BD23">
        <v>3</v>
      </c>
      <c r="BE23">
        <v>0</v>
      </c>
      <c r="BF23">
        <v>0</v>
      </c>
      <c r="BG23">
        <v>0</v>
      </c>
      <c r="BH23">
        <v>3</v>
      </c>
      <c r="BI23">
        <v>0</v>
      </c>
      <c r="BJ23">
        <v>0</v>
      </c>
      <c r="BK23">
        <v>0</v>
      </c>
    </row>
    <row r="24" spans="1:63">
      <c r="A24" t="s">
        <v>56</v>
      </c>
      <c r="B24">
        <v>406</v>
      </c>
      <c r="C24">
        <v>0</v>
      </c>
      <c r="D24">
        <v>0</v>
      </c>
      <c r="E24">
        <v>0</v>
      </c>
      <c r="F24">
        <v>406</v>
      </c>
      <c r="G24">
        <v>0</v>
      </c>
      <c r="H24">
        <v>0</v>
      </c>
      <c r="I24">
        <v>0</v>
      </c>
      <c r="J24">
        <v>406</v>
      </c>
      <c r="K24">
        <v>0</v>
      </c>
      <c r="L24">
        <v>0</v>
      </c>
      <c r="M24">
        <v>0</v>
      </c>
      <c r="N24">
        <v>406</v>
      </c>
      <c r="O24">
        <v>0</v>
      </c>
      <c r="P24">
        <v>0</v>
      </c>
      <c r="Q24">
        <v>0</v>
      </c>
      <c r="R24">
        <v>406</v>
      </c>
      <c r="S24">
        <v>0</v>
      </c>
      <c r="T24">
        <v>0</v>
      </c>
      <c r="U24">
        <v>0</v>
      </c>
      <c r="V24" t="s">
        <v>56</v>
      </c>
      <c r="W24">
        <v>406</v>
      </c>
      <c r="X24">
        <v>0</v>
      </c>
      <c r="Y24">
        <v>0</v>
      </c>
      <c r="Z24">
        <v>0</v>
      </c>
      <c r="AA24">
        <v>406</v>
      </c>
      <c r="AB24">
        <v>0</v>
      </c>
      <c r="AC24">
        <v>0</v>
      </c>
      <c r="AD24">
        <v>0</v>
      </c>
      <c r="AE24">
        <v>406</v>
      </c>
      <c r="AF24">
        <v>0</v>
      </c>
      <c r="AG24">
        <v>0</v>
      </c>
      <c r="AH24">
        <v>0</v>
      </c>
      <c r="AI24">
        <v>406</v>
      </c>
      <c r="AJ24">
        <v>0</v>
      </c>
      <c r="AK24">
        <v>0</v>
      </c>
      <c r="AL24">
        <v>0</v>
      </c>
      <c r="AM24">
        <v>406</v>
      </c>
      <c r="AN24">
        <v>0</v>
      </c>
      <c r="AO24">
        <v>0</v>
      </c>
      <c r="AP24">
        <v>0</v>
      </c>
      <c r="AQ24" t="s">
        <v>56</v>
      </c>
      <c r="AR24">
        <v>406</v>
      </c>
      <c r="AS24">
        <v>0</v>
      </c>
      <c r="AT24">
        <v>0</v>
      </c>
      <c r="AU24">
        <v>0</v>
      </c>
      <c r="AV24">
        <v>406</v>
      </c>
      <c r="AW24">
        <v>0</v>
      </c>
      <c r="AX24">
        <v>0</v>
      </c>
      <c r="AY24">
        <v>0</v>
      </c>
      <c r="AZ24">
        <v>406</v>
      </c>
      <c r="BA24">
        <v>0</v>
      </c>
      <c r="BB24">
        <v>0</v>
      </c>
      <c r="BC24">
        <v>0</v>
      </c>
      <c r="BD24">
        <v>406</v>
      </c>
      <c r="BE24">
        <v>0</v>
      </c>
      <c r="BF24">
        <v>0</v>
      </c>
      <c r="BG24">
        <v>0</v>
      </c>
      <c r="BH24">
        <v>406</v>
      </c>
      <c r="BI24">
        <v>0</v>
      </c>
      <c r="BJ24">
        <v>0</v>
      </c>
      <c r="BK24">
        <v>0</v>
      </c>
    </row>
    <row r="25" spans="1:63">
      <c r="A25" t="s">
        <v>18</v>
      </c>
      <c r="B25">
        <v>192</v>
      </c>
      <c r="C25">
        <v>0</v>
      </c>
      <c r="D25">
        <v>0</v>
      </c>
      <c r="E25">
        <v>0</v>
      </c>
      <c r="F25">
        <v>192</v>
      </c>
      <c r="G25">
        <v>0</v>
      </c>
      <c r="H25">
        <v>0</v>
      </c>
      <c r="I25">
        <v>0</v>
      </c>
      <c r="J25">
        <v>192</v>
      </c>
      <c r="K25">
        <v>0</v>
      </c>
      <c r="L25">
        <v>0</v>
      </c>
      <c r="M25">
        <v>0</v>
      </c>
      <c r="N25">
        <v>192</v>
      </c>
      <c r="O25">
        <v>0</v>
      </c>
      <c r="P25">
        <v>0</v>
      </c>
      <c r="Q25">
        <v>0</v>
      </c>
      <c r="R25">
        <v>192</v>
      </c>
      <c r="S25">
        <v>0</v>
      </c>
      <c r="T25">
        <v>0</v>
      </c>
      <c r="U25">
        <v>0</v>
      </c>
      <c r="V25" t="s">
        <v>18</v>
      </c>
      <c r="W25">
        <v>192</v>
      </c>
      <c r="X25">
        <v>0</v>
      </c>
      <c r="Y25">
        <v>0</v>
      </c>
      <c r="Z25">
        <v>0</v>
      </c>
      <c r="AA25">
        <v>192</v>
      </c>
      <c r="AB25">
        <v>0</v>
      </c>
      <c r="AC25">
        <v>0</v>
      </c>
      <c r="AD25">
        <v>0</v>
      </c>
      <c r="AE25">
        <v>192</v>
      </c>
      <c r="AF25">
        <v>0</v>
      </c>
      <c r="AG25">
        <v>0</v>
      </c>
      <c r="AH25">
        <v>0</v>
      </c>
      <c r="AI25">
        <v>192</v>
      </c>
      <c r="AJ25">
        <v>0</v>
      </c>
      <c r="AK25">
        <v>0</v>
      </c>
      <c r="AL25">
        <v>0</v>
      </c>
      <c r="AM25">
        <v>192</v>
      </c>
      <c r="AN25">
        <v>0</v>
      </c>
      <c r="AO25">
        <v>0</v>
      </c>
      <c r="AP25">
        <v>0</v>
      </c>
      <c r="AQ25" t="s">
        <v>18</v>
      </c>
      <c r="AR25">
        <v>192</v>
      </c>
      <c r="AS25">
        <v>0</v>
      </c>
      <c r="AT25">
        <v>0</v>
      </c>
      <c r="AU25">
        <v>0</v>
      </c>
      <c r="AV25">
        <v>192</v>
      </c>
      <c r="AW25">
        <v>0</v>
      </c>
      <c r="AX25">
        <v>0</v>
      </c>
      <c r="AY25">
        <v>0</v>
      </c>
      <c r="AZ25">
        <v>192</v>
      </c>
      <c r="BA25">
        <v>0</v>
      </c>
      <c r="BB25">
        <v>0</v>
      </c>
      <c r="BC25">
        <v>0</v>
      </c>
      <c r="BD25">
        <v>192</v>
      </c>
      <c r="BE25">
        <v>0</v>
      </c>
      <c r="BF25">
        <v>0</v>
      </c>
      <c r="BG25">
        <v>0</v>
      </c>
      <c r="BH25">
        <v>192</v>
      </c>
      <c r="BI25">
        <v>0</v>
      </c>
      <c r="BJ25">
        <v>0</v>
      </c>
      <c r="BK25">
        <v>0</v>
      </c>
    </row>
    <row r="26" spans="1:63">
      <c r="A26" t="s">
        <v>27</v>
      </c>
      <c r="B26">
        <v>118</v>
      </c>
      <c r="C26">
        <v>0</v>
      </c>
      <c r="D26">
        <v>0</v>
      </c>
      <c r="E26">
        <v>0</v>
      </c>
      <c r="F26">
        <v>118</v>
      </c>
      <c r="G26">
        <v>0</v>
      </c>
      <c r="H26">
        <v>0</v>
      </c>
      <c r="I26">
        <v>0</v>
      </c>
      <c r="J26">
        <v>118</v>
      </c>
      <c r="K26">
        <v>0</v>
      </c>
      <c r="L26">
        <v>0</v>
      </c>
      <c r="M26">
        <v>0</v>
      </c>
      <c r="N26">
        <v>118</v>
      </c>
      <c r="O26">
        <v>0</v>
      </c>
      <c r="P26">
        <v>0</v>
      </c>
      <c r="Q26">
        <v>0</v>
      </c>
      <c r="R26">
        <v>118</v>
      </c>
      <c r="S26">
        <v>0</v>
      </c>
      <c r="T26">
        <v>0</v>
      </c>
      <c r="U26">
        <v>0</v>
      </c>
      <c r="V26" t="s">
        <v>27</v>
      </c>
      <c r="W26">
        <v>118</v>
      </c>
      <c r="X26">
        <v>0</v>
      </c>
      <c r="Y26">
        <v>0</v>
      </c>
      <c r="Z26">
        <v>0</v>
      </c>
      <c r="AA26">
        <v>118</v>
      </c>
      <c r="AB26">
        <v>0</v>
      </c>
      <c r="AC26">
        <v>0</v>
      </c>
      <c r="AD26">
        <v>0</v>
      </c>
      <c r="AE26">
        <v>118</v>
      </c>
      <c r="AF26">
        <v>0</v>
      </c>
      <c r="AG26">
        <v>0</v>
      </c>
      <c r="AH26">
        <v>0</v>
      </c>
      <c r="AI26">
        <v>118</v>
      </c>
      <c r="AJ26">
        <v>0</v>
      </c>
      <c r="AK26">
        <v>0</v>
      </c>
      <c r="AL26">
        <v>0</v>
      </c>
      <c r="AM26">
        <v>118</v>
      </c>
      <c r="AN26">
        <v>0</v>
      </c>
      <c r="AO26">
        <v>0</v>
      </c>
      <c r="AP26">
        <v>0</v>
      </c>
      <c r="AQ26" t="s">
        <v>27</v>
      </c>
      <c r="AR26">
        <v>118</v>
      </c>
      <c r="AS26">
        <v>0</v>
      </c>
      <c r="AT26">
        <v>0</v>
      </c>
      <c r="AU26">
        <v>0</v>
      </c>
      <c r="AV26">
        <v>118</v>
      </c>
      <c r="AW26">
        <v>0</v>
      </c>
      <c r="AX26">
        <v>0</v>
      </c>
      <c r="AY26">
        <v>0</v>
      </c>
      <c r="AZ26">
        <v>118</v>
      </c>
      <c r="BA26">
        <v>0</v>
      </c>
      <c r="BB26">
        <v>0</v>
      </c>
      <c r="BC26">
        <v>0</v>
      </c>
      <c r="BD26">
        <v>118</v>
      </c>
      <c r="BE26">
        <v>0</v>
      </c>
      <c r="BF26">
        <v>0</v>
      </c>
      <c r="BG26">
        <v>0</v>
      </c>
      <c r="BH26">
        <v>118</v>
      </c>
      <c r="BI26">
        <v>0</v>
      </c>
      <c r="BJ26">
        <v>0</v>
      </c>
      <c r="BK26">
        <v>0</v>
      </c>
    </row>
    <row r="27" spans="1:63">
      <c r="A27" t="s">
        <v>69</v>
      </c>
      <c r="B27">
        <v>30</v>
      </c>
      <c r="C27">
        <v>0</v>
      </c>
      <c r="D27">
        <v>0</v>
      </c>
      <c r="E27">
        <v>0</v>
      </c>
      <c r="F27">
        <v>30</v>
      </c>
      <c r="G27">
        <v>0</v>
      </c>
      <c r="H27">
        <v>0</v>
      </c>
      <c r="I27">
        <v>0</v>
      </c>
      <c r="J27">
        <v>30</v>
      </c>
      <c r="K27">
        <v>0</v>
      </c>
      <c r="L27">
        <v>0</v>
      </c>
      <c r="M27">
        <v>0</v>
      </c>
      <c r="N27">
        <v>30</v>
      </c>
      <c r="O27">
        <v>0</v>
      </c>
      <c r="P27">
        <v>0</v>
      </c>
      <c r="Q27">
        <v>0</v>
      </c>
      <c r="R27">
        <v>30</v>
      </c>
      <c r="S27">
        <v>0</v>
      </c>
      <c r="T27">
        <v>0</v>
      </c>
      <c r="U27">
        <v>0</v>
      </c>
      <c r="V27" t="s">
        <v>69</v>
      </c>
      <c r="W27">
        <v>30</v>
      </c>
      <c r="X27">
        <v>0</v>
      </c>
      <c r="Y27">
        <v>0</v>
      </c>
      <c r="Z27">
        <v>0</v>
      </c>
      <c r="AA27">
        <v>30</v>
      </c>
      <c r="AB27">
        <v>0</v>
      </c>
      <c r="AC27">
        <v>0</v>
      </c>
      <c r="AD27">
        <v>0</v>
      </c>
      <c r="AE27">
        <v>30</v>
      </c>
      <c r="AF27">
        <v>0</v>
      </c>
      <c r="AG27">
        <v>0</v>
      </c>
      <c r="AH27">
        <v>0</v>
      </c>
      <c r="AI27">
        <v>30</v>
      </c>
      <c r="AJ27">
        <v>0</v>
      </c>
      <c r="AK27">
        <v>0</v>
      </c>
      <c r="AL27">
        <v>0</v>
      </c>
      <c r="AM27">
        <v>30</v>
      </c>
      <c r="AN27">
        <v>0</v>
      </c>
      <c r="AO27">
        <v>0</v>
      </c>
      <c r="AP27">
        <v>0</v>
      </c>
      <c r="AQ27" t="s">
        <v>69</v>
      </c>
      <c r="AR27">
        <v>30</v>
      </c>
      <c r="AS27">
        <v>0</v>
      </c>
      <c r="AT27">
        <v>0</v>
      </c>
      <c r="AU27">
        <v>0</v>
      </c>
      <c r="AV27">
        <v>30</v>
      </c>
      <c r="AW27">
        <v>0</v>
      </c>
      <c r="AX27">
        <v>0</v>
      </c>
      <c r="AY27">
        <v>0</v>
      </c>
      <c r="AZ27">
        <v>30</v>
      </c>
      <c r="BA27">
        <v>0</v>
      </c>
      <c r="BB27">
        <v>0</v>
      </c>
      <c r="BC27">
        <v>0</v>
      </c>
      <c r="BD27">
        <v>30</v>
      </c>
      <c r="BE27">
        <v>0</v>
      </c>
      <c r="BF27">
        <v>0</v>
      </c>
      <c r="BG27">
        <v>0</v>
      </c>
      <c r="BH27">
        <v>30</v>
      </c>
      <c r="BI27">
        <v>0</v>
      </c>
      <c r="BJ27">
        <v>0</v>
      </c>
      <c r="BK27">
        <v>0</v>
      </c>
    </row>
    <row r="28" spans="1:63">
      <c r="A28" t="s">
        <v>71</v>
      </c>
      <c r="B28">
        <v>112</v>
      </c>
      <c r="C28">
        <v>0</v>
      </c>
      <c r="D28">
        <v>0</v>
      </c>
      <c r="E28">
        <v>0</v>
      </c>
      <c r="F28">
        <v>112</v>
      </c>
      <c r="G28">
        <v>0</v>
      </c>
      <c r="H28">
        <v>0</v>
      </c>
      <c r="I28">
        <v>0</v>
      </c>
      <c r="J28">
        <v>112</v>
      </c>
      <c r="K28">
        <v>0</v>
      </c>
      <c r="L28">
        <v>0</v>
      </c>
      <c r="M28">
        <v>0</v>
      </c>
      <c r="N28">
        <v>112</v>
      </c>
      <c r="O28">
        <v>0</v>
      </c>
      <c r="P28">
        <v>0</v>
      </c>
      <c r="Q28">
        <v>0</v>
      </c>
      <c r="R28">
        <v>112</v>
      </c>
      <c r="S28">
        <v>0</v>
      </c>
      <c r="T28">
        <v>0</v>
      </c>
      <c r="U28">
        <v>0</v>
      </c>
      <c r="V28" t="s">
        <v>71</v>
      </c>
      <c r="W28">
        <v>112</v>
      </c>
      <c r="X28">
        <v>0</v>
      </c>
      <c r="Y28">
        <v>0</v>
      </c>
      <c r="Z28">
        <v>0</v>
      </c>
      <c r="AA28">
        <v>112</v>
      </c>
      <c r="AB28">
        <v>0</v>
      </c>
      <c r="AC28">
        <v>0</v>
      </c>
      <c r="AD28">
        <v>0</v>
      </c>
      <c r="AE28">
        <v>112</v>
      </c>
      <c r="AF28">
        <v>0</v>
      </c>
      <c r="AG28">
        <v>0</v>
      </c>
      <c r="AH28">
        <v>0</v>
      </c>
      <c r="AI28">
        <v>112</v>
      </c>
      <c r="AJ28">
        <v>0</v>
      </c>
      <c r="AK28">
        <v>0</v>
      </c>
      <c r="AL28">
        <v>0</v>
      </c>
      <c r="AM28">
        <v>112</v>
      </c>
      <c r="AN28">
        <v>0</v>
      </c>
      <c r="AO28">
        <v>0</v>
      </c>
      <c r="AP28">
        <v>0</v>
      </c>
      <c r="AQ28" t="s">
        <v>71</v>
      </c>
      <c r="AR28">
        <v>112</v>
      </c>
      <c r="AS28">
        <v>0</v>
      </c>
      <c r="AT28">
        <v>0</v>
      </c>
      <c r="AU28">
        <v>0</v>
      </c>
      <c r="AV28">
        <v>112</v>
      </c>
      <c r="AW28">
        <v>0</v>
      </c>
      <c r="AX28">
        <v>0</v>
      </c>
      <c r="AY28">
        <v>0</v>
      </c>
      <c r="AZ28">
        <v>112</v>
      </c>
      <c r="BA28">
        <v>0</v>
      </c>
      <c r="BB28">
        <v>0</v>
      </c>
      <c r="BC28">
        <v>0</v>
      </c>
      <c r="BD28">
        <v>112</v>
      </c>
      <c r="BE28">
        <v>0</v>
      </c>
      <c r="BF28">
        <v>0</v>
      </c>
      <c r="BG28">
        <v>0</v>
      </c>
      <c r="BH28">
        <v>112</v>
      </c>
      <c r="BI28">
        <v>0</v>
      </c>
      <c r="BJ28">
        <v>0</v>
      </c>
      <c r="BK28">
        <v>0</v>
      </c>
    </row>
    <row r="29" spans="1:63">
      <c r="A29" t="s">
        <v>22</v>
      </c>
      <c r="B29">
        <v>44</v>
      </c>
      <c r="C29">
        <v>0</v>
      </c>
      <c r="D29">
        <v>0</v>
      </c>
      <c r="E29">
        <v>0</v>
      </c>
      <c r="F29">
        <v>44</v>
      </c>
      <c r="G29">
        <v>0</v>
      </c>
      <c r="H29">
        <v>0</v>
      </c>
      <c r="I29">
        <v>0</v>
      </c>
      <c r="J29">
        <v>44</v>
      </c>
      <c r="K29">
        <v>0</v>
      </c>
      <c r="L29">
        <v>0</v>
      </c>
      <c r="M29">
        <v>0</v>
      </c>
      <c r="N29">
        <v>44</v>
      </c>
      <c r="O29">
        <v>0</v>
      </c>
      <c r="P29">
        <v>0</v>
      </c>
      <c r="Q29">
        <v>0</v>
      </c>
      <c r="R29">
        <v>44</v>
      </c>
      <c r="S29">
        <v>0</v>
      </c>
      <c r="T29">
        <v>0</v>
      </c>
      <c r="U29">
        <v>0</v>
      </c>
      <c r="V29" t="s">
        <v>22</v>
      </c>
      <c r="W29">
        <v>44</v>
      </c>
      <c r="X29">
        <v>0</v>
      </c>
      <c r="Y29">
        <v>0</v>
      </c>
      <c r="Z29">
        <v>0</v>
      </c>
      <c r="AA29">
        <v>44</v>
      </c>
      <c r="AB29">
        <v>0</v>
      </c>
      <c r="AC29">
        <v>0</v>
      </c>
      <c r="AD29">
        <v>0</v>
      </c>
      <c r="AE29">
        <v>44</v>
      </c>
      <c r="AF29">
        <v>0</v>
      </c>
      <c r="AG29">
        <v>0</v>
      </c>
      <c r="AH29">
        <v>0</v>
      </c>
      <c r="AI29">
        <v>44</v>
      </c>
      <c r="AJ29">
        <v>0</v>
      </c>
      <c r="AK29">
        <v>0</v>
      </c>
      <c r="AL29">
        <v>0</v>
      </c>
      <c r="AM29">
        <v>44</v>
      </c>
      <c r="AN29">
        <v>0</v>
      </c>
      <c r="AO29">
        <v>0</v>
      </c>
      <c r="AP29">
        <v>0</v>
      </c>
      <c r="AQ29" t="s">
        <v>22</v>
      </c>
      <c r="AR29">
        <v>44</v>
      </c>
      <c r="AS29">
        <v>0</v>
      </c>
      <c r="AT29">
        <v>0</v>
      </c>
      <c r="AU29">
        <v>0</v>
      </c>
      <c r="AV29">
        <v>44</v>
      </c>
      <c r="AW29">
        <v>0</v>
      </c>
      <c r="AX29">
        <v>0</v>
      </c>
      <c r="AY29">
        <v>0</v>
      </c>
      <c r="AZ29">
        <v>44</v>
      </c>
      <c r="BA29">
        <v>0</v>
      </c>
      <c r="BB29">
        <v>0</v>
      </c>
      <c r="BC29">
        <v>0</v>
      </c>
      <c r="BD29">
        <v>44</v>
      </c>
      <c r="BE29">
        <v>0</v>
      </c>
      <c r="BF29">
        <v>0</v>
      </c>
      <c r="BG29">
        <v>0</v>
      </c>
      <c r="BH29">
        <v>44</v>
      </c>
      <c r="BI29">
        <v>0</v>
      </c>
      <c r="BJ29">
        <v>0</v>
      </c>
      <c r="BK29">
        <v>0</v>
      </c>
    </row>
    <row r="30" spans="1:63">
      <c r="A30" t="s">
        <v>94</v>
      </c>
      <c r="B30">
        <v>6</v>
      </c>
      <c r="C30">
        <v>0</v>
      </c>
      <c r="D30">
        <v>0</v>
      </c>
      <c r="E30">
        <v>0</v>
      </c>
      <c r="F30">
        <v>6</v>
      </c>
      <c r="G30">
        <v>0</v>
      </c>
      <c r="H30">
        <v>0</v>
      </c>
      <c r="I30">
        <v>0</v>
      </c>
      <c r="J30">
        <v>6</v>
      </c>
      <c r="K30">
        <v>0</v>
      </c>
      <c r="L30">
        <v>0</v>
      </c>
      <c r="M30">
        <v>0</v>
      </c>
      <c r="N30">
        <v>6</v>
      </c>
      <c r="O30">
        <v>0</v>
      </c>
      <c r="P30">
        <v>0</v>
      </c>
      <c r="Q30">
        <v>0</v>
      </c>
      <c r="R30">
        <v>6</v>
      </c>
      <c r="S30">
        <v>0</v>
      </c>
      <c r="T30">
        <v>0</v>
      </c>
      <c r="U30">
        <v>0</v>
      </c>
      <c r="V30" t="s">
        <v>94</v>
      </c>
      <c r="W30">
        <v>6</v>
      </c>
      <c r="X30">
        <v>0</v>
      </c>
      <c r="Y30">
        <v>0</v>
      </c>
      <c r="Z30">
        <v>0</v>
      </c>
      <c r="AA30">
        <v>6</v>
      </c>
      <c r="AB30">
        <v>0</v>
      </c>
      <c r="AC30">
        <v>0</v>
      </c>
      <c r="AD30">
        <v>0</v>
      </c>
      <c r="AE30">
        <v>6</v>
      </c>
      <c r="AF30">
        <v>0</v>
      </c>
      <c r="AG30">
        <v>0</v>
      </c>
      <c r="AH30">
        <v>0</v>
      </c>
      <c r="AI30">
        <v>6</v>
      </c>
      <c r="AJ30">
        <v>0</v>
      </c>
      <c r="AK30">
        <v>0</v>
      </c>
      <c r="AL30">
        <v>0</v>
      </c>
      <c r="AM30">
        <v>6</v>
      </c>
      <c r="AN30">
        <v>0</v>
      </c>
      <c r="AO30">
        <v>0</v>
      </c>
      <c r="AP30">
        <v>0</v>
      </c>
      <c r="AQ30" t="s">
        <v>94</v>
      </c>
      <c r="AR30">
        <v>6</v>
      </c>
      <c r="AS30">
        <v>0</v>
      </c>
      <c r="AT30">
        <v>0</v>
      </c>
      <c r="AU30">
        <v>0</v>
      </c>
      <c r="AV30">
        <v>6</v>
      </c>
      <c r="AW30">
        <v>0</v>
      </c>
      <c r="AX30">
        <v>0</v>
      </c>
      <c r="AY30">
        <v>0</v>
      </c>
      <c r="AZ30">
        <v>6</v>
      </c>
      <c r="BA30">
        <v>0</v>
      </c>
      <c r="BB30">
        <v>0</v>
      </c>
      <c r="BC30">
        <v>0</v>
      </c>
      <c r="BD30">
        <v>6</v>
      </c>
      <c r="BE30">
        <v>0</v>
      </c>
      <c r="BF30">
        <v>0</v>
      </c>
      <c r="BG30">
        <v>0</v>
      </c>
      <c r="BH30">
        <v>6</v>
      </c>
      <c r="BI30">
        <v>0</v>
      </c>
      <c r="BJ30">
        <v>0</v>
      </c>
      <c r="BK30">
        <v>0</v>
      </c>
    </row>
    <row r="31" spans="1:63">
      <c r="A31" t="s">
        <v>20</v>
      </c>
      <c r="B31">
        <v>112</v>
      </c>
      <c r="C31">
        <v>0</v>
      </c>
      <c r="D31">
        <v>0</v>
      </c>
      <c r="E31">
        <v>0</v>
      </c>
      <c r="F31">
        <v>112</v>
      </c>
      <c r="G31">
        <v>0</v>
      </c>
      <c r="H31">
        <v>0</v>
      </c>
      <c r="I31">
        <v>0</v>
      </c>
      <c r="J31">
        <v>112</v>
      </c>
      <c r="K31">
        <v>0</v>
      </c>
      <c r="L31">
        <v>0</v>
      </c>
      <c r="M31">
        <v>0</v>
      </c>
      <c r="N31">
        <v>112</v>
      </c>
      <c r="O31">
        <v>0</v>
      </c>
      <c r="P31">
        <v>0</v>
      </c>
      <c r="Q31">
        <v>0</v>
      </c>
      <c r="R31">
        <v>112</v>
      </c>
      <c r="S31">
        <v>0</v>
      </c>
      <c r="T31">
        <v>0</v>
      </c>
      <c r="U31">
        <v>0</v>
      </c>
      <c r="V31" t="s">
        <v>20</v>
      </c>
      <c r="W31">
        <v>112</v>
      </c>
      <c r="X31">
        <v>0</v>
      </c>
      <c r="Y31">
        <v>0</v>
      </c>
      <c r="Z31">
        <v>0</v>
      </c>
      <c r="AA31">
        <v>112</v>
      </c>
      <c r="AB31">
        <v>0</v>
      </c>
      <c r="AC31">
        <v>0</v>
      </c>
      <c r="AD31">
        <v>0</v>
      </c>
      <c r="AE31">
        <v>112</v>
      </c>
      <c r="AF31">
        <v>0</v>
      </c>
      <c r="AG31">
        <v>0</v>
      </c>
      <c r="AH31">
        <v>0</v>
      </c>
      <c r="AI31">
        <v>112</v>
      </c>
      <c r="AJ31">
        <v>0</v>
      </c>
      <c r="AK31">
        <v>0</v>
      </c>
      <c r="AL31">
        <v>0</v>
      </c>
      <c r="AM31">
        <v>112</v>
      </c>
      <c r="AN31">
        <v>0</v>
      </c>
      <c r="AO31">
        <v>0</v>
      </c>
      <c r="AP31">
        <v>0</v>
      </c>
      <c r="AQ31" t="s">
        <v>20</v>
      </c>
      <c r="AR31">
        <v>112</v>
      </c>
      <c r="AS31">
        <v>0</v>
      </c>
      <c r="AT31">
        <v>0</v>
      </c>
      <c r="AU31">
        <v>0</v>
      </c>
      <c r="AV31">
        <v>112</v>
      </c>
      <c r="AW31">
        <v>0</v>
      </c>
      <c r="AX31">
        <v>0</v>
      </c>
      <c r="AY31">
        <v>0</v>
      </c>
      <c r="AZ31">
        <v>112</v>
      </c>
      <c r="BA31">
        <v>0</v>
      </c>
      <c r="BB31">
        <v>0</v>
      </c>
      <c r="BC31">
        <v>0</v>
      </c>
      <c r="BD31">
        <v>112</v>
      </c>
      <c r="BE31">
        <v>0</v>
      </c>
      <c r="BF31">
        <v>0</v>
      </c>
      <c r="BG31">
        <v>0</v>
      </c>
      <c r="BH31">
        <v>112</v>
      </c>
      <c r="BI31">
        <v>0</v>
      </c>
      <c r="BJ31">
        <v>0</v>
      </c>
      <c r="BK31">
        <v>0</v>
      </c>
    </row>
    <row r="32" spans="1:63">
      <c r="A32" t="s">
        <v>24</v>
      </c>
      <c r="B32">
        <v>43</v>
      </c>
      <c r="C32">
        <v>0</v>
      </c>
      <c r="D32">
        <v>0</v>
      </c>
      <c r="E32">
        <v>0</v>
      </c>
      <c r="F32">
        <v>43</v>
      </c>
      <c r="G32">
        <v>0</v>
      </c>
      <c r="H32">
        <v>0</v>
      </c>
      <c r="I32">
        <v>0</v>
      </c>
      <c r="J32">
        <v>43</v>
      </c>
      <c r="K32">
        <v>0</v>
      </c>
      <c r="L32">
        <v>0</v>
      </c>
      <c r="M32">
        <v>0</v>
      </c>
      <c r="N32">
        <v>43</v>
      </c>
      <c r="O32">
        <v>0</v>
      </c>
      <c r="P32">
        <v>0</v>
      </c>
      <c r="Q32">
        <v>0</v>
      </c>
      <c r="R32">
        <v>43</v>
      </c>
      <c r="S32">
        <v>0</v>
      </c>
      <c r="T32">
        <v>0</v>
      </c>
      <c r="U32">
        <v>0</v>
      </c>
      <c r="V32" t="s">
        <v>24</v>
      </c>
      <c r="W32">
        <v>43</v>
      </c>
      <c r="X32">
        <v>0</v>
      </c>
      <c r="Y32">
        <v>0</v>
      </c>
      <c r="Z32">
        <v>0</v>
      </c>
      <c r="AA32">
        <v>43</v>
      </c>
      <c r="AB32">
        <v>0</v>
      </c>
      <c r="AC32">
        <v>0</v>
      </c>
      <c r="AD32">
        <v>0</v>
      </c>
      <c r="AE32">
        <v>43</v>
      </c>
      <c r="AF32">
        <v>0</v>
      </c>
      <c r="AG32">
        <v>0</v>
      </c>
      <c r="AH32">
        <v>0</v>
      </c>
      <c r="AI32">
        <v>43</v>
      </c>
      <c r="AJ32">
        <v>0</v>
      </c>
      <c r="AK32">
        <v>0</v>
      </c>
      <c r="AL32">
        <v>0</v>
      </c>
      <c r="AM32">
        <v>43</v>
      </c>
      <c r="AN32">
        <v>0</v>
      </c>
      <c r="AO32">
        <v>0</v>
      </c>
      <c r="AP32">
        <v>0</v>
      </c>
      <c r="AQ32" t="s">
        <v>24</v>
      </c>
      <c r="AR32">
        <v>43</v>
      </c>
      <c r="AS32">
        <v>0</v>
      </c>
      <c r="AT32">
        <v>0</v>
      </c>
      <c r="AU32">
        <v>0</v>
      </c>
      <c r="AV32">
        <v>43</v>
      </c>
      <c r="AW32">
        <v>0</v>
      </c>
      <c r="AX32">
        <v>0</v>
      </c>
      <c r="AY32">
        <v>0</v>
      </c>
      <c r="AZ32">
        <v>43</v>
      </c>
      <c r="BA32">
        <v>0</v>
      </c>
      <c r="BB32">
        <v>0</v>
      </c>
      <c r="BC32">
        <v>0</v>
      </c>
      <c r="BD32">
        <v>43</v>
      </c>
      <c r="BE32">
        <v>0</v>
      </c>
      <c r="BF32">
        <v>0</v>
      </c>
      <c r="BG32">
        <v>0</v>
      </c>
      <c r="BH32">
        <v>43</v>
      </c>
      <c r="BI32">
        <v>0</v>
      </c>
      <c r="BJ32">
        <v>0</v>
      </c>
      <c r="BK32">
        <v>0</v>
      </c>
    </row>
    <row r="33" spans="1:63">
      <c r="A33" t="s">
        <v>26</v>
      </c>
      <c r="B33">
        <v>4</v>
      </c>
      <c r="C33">
        <v>0</v>
      </c>
      <c r="D33">
        <v>0</v>
      </c>
      <c r="E33">
        <v>0</v>
      </c>
      <c r="F33">
        <v>4</v>
      </c>
      <c r="G33">
        <v>0</v>
      </c>
      <c r="H33">
        <v>0</v>
      </c>
      <c r="I33">
        <v>0</v>
      </c>
      <c r="J33">
        <v>4</v>
      </c>
      <c r="K33">
        <v>0</v>
      </c>
      <c r="L33">
        <v>0</v>
      </c>
      <c r="M33">
        <v>0</v>
      </c>
      <c r="N33">
        <v>4</v>
      </c>
      <c r="O33">
        <v>0</v>
      </c>
      <c r="P33">
        <v>0</v>
      </c>
      <c r="Q33">
        <v>0</v>
      </c>
      <c r="R33">
        <v>4</v>
      </c>
      <c r="S33">
        <v>0</v>
      </c>
      <c r="T33">
        <v>0</v>
      </c>
      <c r="U33">
        <v>0</v>
      </c>
      <c r="V33" t="s">
        <v>26</v>
      </c>
      <c r="W33">
        <v>4</v>
      </c>
      <c r="X33">
        <v>0</v>
      </c>
      <c r="Y33">
        <v>0</v>
      </c>
      <c r="Z33">
        <v>0</v>
      </c>
      <c r="AA33">
        <v>4</v>
      </c>
      <c r="AB33">
        <v>0</v>
      </c>
      <c r="AC33">
        <v>0</v>
      </c>
      <c r="AD33">
        <v>0</v>
      </c>
      <c r="AE33">
        <v>4</v>
      </c>
      <c r="AF33">
        <v>0</v>
      </c>
      <c r="AG33">
        <v>0</v>
      </c>
      <c r="AH33">
        <v>0</v>
      </c>
      <c r="AI33">
        <v>4</v>
      </c>
      <c r="AJ33">
        <v>0</v>
      </c>
      <c r="AK33">
        <v>0</v>
      </c>
      <c r="AL33">
        <v>0</v>
      </c>
      <c r="AM33">
        <v>4</v>
      </c>
      <c r="AN33">
        <v>0</v>
      </c>
      <c r="AO33">
        <v>0</v>
      </c>
      <c r="AP33">
        <v>0</v>
      </c>
      <c r="AQ33" t="s">
        <v>26</v>
      </c>
      <c r="AR33">
        <v>4</v>
      </c>
      <c r="AS33">
        <v>0</v>
      </c>
      <c r="AT33">
        <v>0</v>
      </c>
      <c r="AU33">
        <v>0</v>
      </c>
      <c r="AV33">
        <v>4</v>
      </c>
      <c r="AW33">
        <v>0</v>
      </c>
      <c r="AX33">
        <v>0</v>
      </c>
      <c r="AY33">
        <v>0</v>
      </c>
      <c r="AZ33">
        <v>4</v>
      </c>
      <c r="BA33">
        <v>0</v>
      </c>
      <c r="BB33">
        <v>0</v>
      </c>
      <c r="BC33">
        <v>0</v>
      </c>
      <c r="BD33">
        <v>4</v>
      </c>
      <c r="BE33">
        <v>0</v>
      </c>
      <c r="BF33">
        <v>0</v>
      </c>
      <c r="BG33">
        <v>0</v>
      </c>
      <c r="BH33">
        <v>4</v>
      </c>
      <c r="BI33">
        <v>0</v>
      </c>
      <c r="BJ33">
        <v>0</v>
      </c>
      <c r="BK33">
        <v>0</v>
      </c>
    </row>
    <row r="34" spans="1:63">
      <c r="A34" t="s">
        <v>104</v>
      </c>
      <c r="B34">
        <v>7</v>
      </c>
      <c r="C34">
        <v>0</v>
      </c>
      <c r="D34">
        <v>0</v>
      </c>
      <c r="E34">
        <v>0</v>
      </c>
      <c r="F34">
        <v>7</v>
      </c>
      <c r="G34">
        <v>0</v>
      </c>
      <c r="H34">
        <v>0</v>
      </c>
      <c r="I34">
        <v>0</v>
      </c>
      <c r="J34">
        <v>7</v>
      </c>
      <c r="K34">
        <v>0</v>
      </c>
      <c r="L34">
        <v>0</v>
      </c>
      <c r="M34">
        <v>0</v>
      </c>
      <c r="N34">
        <v>7</v>
      </c>
      <c r="O34">
        <v>0</v>
      </c>
      <c r="P34">
        <v>0</v>
      </c>
      <c r="Q34">
        <v>0</v>
      </c>
      <c r="R34">
        <v>7</v>
      </c>
      <c r="S34">
        <v>0</v>
      </c>
      <c r="T34">
        <v>0</v>
      </c>
      <c r="U34">
        <v>0</v>
      </c>
      <c r="V34" t="s">
        <v>104</v>
      </c>
      <c r="W34">
        <v>7</v>
      </c>
      <c r="X34">
        <v>0</v>
      </c>
      <c r="Y34">
        <v>0</v>
      </c>
      <c r="Z34">
        <v>0</v>
      </c>
      <c r="AA34">
        <v>7</v>
      </c>
      <c r="AB34">
        <v>0</v>
      </c>
      <c r="AC34">
        <v>0</v>
      </c>
      <c r="AD34">
        <v>0</v>
      </c>
      <c r="AE34">
        <v>7</v>
      </c>
      <c r="AF34">
        <v>0</v>
      </c>
      <c r="AG34">
        <v>0</v>
      </c>
      <c r="AH34">
        <v>0</v>
      </c>
      <c r="AI34">
        <v>7</v>
      </c>
      <c r="AJ34">
        <v>0</v>
      </c>
      <c r="AK34">
        <v>0</v>
      </c>
      <c r="AL34">
        <v>0</v>
      </c>
      <c r="AM34">
        <v>7</v>
      </c>
      <c r="AN34">
        <v>0</v>
      </c>
      <c r="AO34">
        <v>0</v>
      </c>
      <c r="AP34">
        <v>0</v>
      </c>
      <c r="AQ34" t="s">
        <v>104</v>
      </c>
      <c r="AR34">
        <v>7</v>
      </c>
      <c r="AS34">
        <v>0</v>
      </c>
      <c r="AT34">
        <v>0</v>
      </c>
      <c r="AU34">
        <v>0</v>
      </c>
      <c r="AV34">
        <v>7</v>
      </c>
      <c r="AW34">
        <v>0</v>
      </c>
      <c r="AX34">
        <v>0</v>
      </c>
      <c r="AY34">
        <v>0</v>
      </c>
      <c r="AZ34">
        <v>7</v>
      </c>
      <c r="BA34">
        <v>0</v>
      </c>
      <c r="BB34">
        <v>0</v>
      </c>
      <c r="BC34">
        <v>0</v>
      </c>
      <c r="BD34">
        <v>7</v>
      </c>
      <c r="BE34">
        <v>0</v>
      </c>
      <c r="BF34">
        <v>0</v>
      </c>
      <c r="BG34">
        <v>0</v>
      </c>
      <c r="BH34">
        <v>7</v>
      </c>
      <c r="BI34">
        <v>0</v>
      </c>
      <c r="BJ34">
        <v>0</v>
      </c>
      <c r="BK34">
        <v>0</v>
      </c>
    </row>
    <row r="35" spans="1:63">
      <c r="A35" t="s">
        <v>16</v>
      </c>
      <c r="B35">
        <v>88</v>
      </c>
      <c r="C35">
        <v>0</v>
      </c>
      <c r="D35">
        <v>0</v>
      </c>
      <c r="E35">
        <v>0</v>
      </c>
      <c r="F35">
        <v>88</v>
      </c>
      <c r="G35">
        <v>0</v>
      </c>
      <c r="H35">
        <v>0</v>
      </c>
      <c r="I35">
        <v>0</v>
      </c>
      <c r="J35">
        <v>88</v>
      </c>
      <c r="K35">
        <v>0</v>
      </c>
      <c r="L35">
        <v>0</v>
      </c>
      <c r="M35">
        <v>0</v>
      </c>
      <c r="N35">
        <v>88</v>
      </c>
      <c r="O35">
        <v>0</v>
      </c>
      <c r="P35">
        <v>0</v>
      </c>
      <c r="Q35">
        <v>0</v>
      </c>
      <c r="R35">
        <v>88</v>
      </c>
      <c r="S35">
        <v>0</v>
      </c>
      <c r="T35">
        <v>0</v>
      </c>
      <c r="U35">
        <v>0</v>
      </c>
      <c r="V35" t="s">
        <v>16</v>
      </c>
      <c r="W35">
        <v>88</v>
      </c>
      <c r="X35">
        <v>0</v>
      </c>
      <c r="Y35">
        <v>0</v>
      </c>
      <c r="Z35">
        <v>0</v>
      </c>
      <c r="AA35">
        <v>88</v>
      </c>
      <c r="AB35">
        <v>0</v>
      </c>
      <c r="AC35">
        <v>0</v>
      </c>
      <c r="AD35">
        <v>0</v>
      </c>
      <c r="AE35">
        <v>88</v>
      </c>
      <c r="AF35">
        <v>0</v>
      </c>
      <c r="AG35">
        <v>0</v>
      </c>
      <c r="AH35">
        <v>0</v>
      </c>
      <c r="AI35">
        <v>88</v>
      </c>
      <c r="AJ35">
        <v>0</v>
      </c>
      <c r="AK35">
        <v>0</v>
      </c>
      <c r="AL35">
        <v>0</v>
      </c>
      <c r="AM35">
        <v>88</v>
      </c>
      <c r="AN35">
        <v>0</v>
      </c>
      <c r="AO35">
        <v>0</v>
      </c>
      <c r="AP35">
        <v>0</v>
      </c>
      <c r="AQ35" t="s">
        <v>16</v>
      </c>
      <c r="AR35">
        <v>88</v>
      </c>
      <c r="AS35">
        <v>0</v>
      </c>
      <c r="AT35">
        <v>0</v>
      </c>
      <c r="AU35">
        <v>0</v>
      </c>
      <c r="AV35">
        <v>88</v>
      </c>
      <c r="AW35">
        <v>0</v>
      </c>
      <c r="AX35">
        <v>0</v>
      </c>
      <c r="AY35">
        <v>0</v>
      </c>
      <c r="AZ35">
        <v>88</v>
      </c>
      <c r="BA35">
        <v>0</v>
      </c>
      <c r="BB35">
        <v>0</v>
      </c>
      <c r="BC35">
        <v>0</v>
      </c>
      <c r="BD35">
        <v>88</v>
      </c>
      <c r="BE35">
        <v>0</v>
      </c>
      <c r="BF35">
        <v>0</v>
      </c>
      <c r="BG35">
        <v>0</v>
      </c>
      <c r="BH35">
        <v>88</v>
      </c>
      <c r="BI35">
        <v>0</v>
      </c>
      <c r="BJ35">
        <v>0</v>
      </c>
      <c r="BK35">
        <v>0</v>
      </c>
    </row>
    <row r="36" spans="1:63">
      <c r="A36" t="s">
        <v>91</v>
      </c>
      <c r="B36">
        <v>65</v>
      </c>
      <c r="C36">
        <v>6</v>
      </c>
      <c r="D36">
        <v>0</v>
      </c>
      <c r="E36">
        <v>0</v>
      </c>
      <c r="F36">
        <v>65</v>
      </c>
      <c r="G36">
        <v>6</v>
      </c>
      <c r="H36">
        <v>0</v>
      </c>
      <c r="I36">
        <v>0</v>
      </c>
      <c r="J36">
        <v>71</v>
      </c>
      <c r="K36">
        <v>0</v>
      </c>
      <c r="L36">
        <v>0</v>
      </c>
      <c r="M36">
        <v>0</v>
      </c>
      <c r="N36">
        <v>65</v>
      </c>
      <c r="O36">
        <v>0</v>
      </c>
      <c r="P36">
        <v>6</v>
      </c>
      <c r="Q36">
        <v>0</v>
      </c>
      <c r="R36">
        <v>71</v>
      </c>
      <c r="S36">
        <v>0</v>
      </c>
      <c r="T36">
        <v>0</v>
      </c>
      <c r="U36">
        <v>0</v>
      </c>
      <c r="V36" t="s">
        <v>91</v>
      </c>
      <c r="W36">
        <v>65</v>
      </c>
      <c r="X36">
        <v>6</v>
      </c>
      <c r="Y36">
        <v>0</v>
      </c>
      <c r="Z36">
        <v>0</v>
      </c>
      <c r="AA36">
        <v>65</v>
      </c>
      <c r="AB36">
        <v>6</v>
      </c>
      <c r="AC36">
        <v>0</v>
      </c>
      <c r="AD36">
        <v>0</v>
      </c>
      <c r="AE36">
        <v>71</v>
      </c>
      <c r="AF36">
        <v>0</v>
      </c>
      <c r="AG36">
        <v>0</v>
      </c>
      <c r="AH36">
        <v>0</v>
      </c>
      <c r="AI36">
        <v>65</v>
      </c>
      <c r="AJ36">
        <v>0</v>
      </c>
      <c r="AK36">
        <v>6</v>
      </c>
      <c r="AL36">
        <v>0</v>
      </c>
      <c r="AM36">
        <v>71</v>
      </c>
      <c r="AN36">
        <v>0</v>
      </c>
      <c r="AO36">
        <v>0</v>
      </c>
      <c r="AP36">
        <v>0</v>
      </c>
      <c r="AQ36" t="s">
        <v>91</v>
      </c>
      <c r="AR36">
        <v>65</v>
      </c>
      <c r="AS36">
        <v>6</v>
      </c>
      <c r="AT36">
        <v>0</v>
      </c>
      <c r="AU36">
        <v>0</v>
      </c>
      <c r="AV36">
        <v>65</v>
      </c>
      <c r="AW36">
        <v>6</v>
      </c>
      <c r="AX36">
        <v>0</v>
      </c>
      <c r="AY36">
        <v>0</v>
      </c>
      <c r="AZ36">
        <v>71</v>
      </c>
      <c r="BA36">
        <v>0</v>
      </c>
      <c r="BB36">
        <v>0</v>
      </c>
      <c r="BC36">
        <v>0</v>
      </c>
      <c r="BD36">
        <v>65</v>
      </c>
      <c r="BE36">
        <v>0</v>
      </c>
      <c r="BF36">
        <v>6</v>
      </c>
      <c r="BG36">
        <v>0</v>
      </c>
      <c r="BH36">
        <v>71</v>
      </c>
      <c r="BI36">
        <v>0</v>
      </c>
      <c r="BJ36">
        <v>0</v>
      </c>
      <c r="BK36">
        <v>0</v>
      </c>
    </row>
    <row r="37" spans="1:63">
      <c r="A37" t="s">
        <v>64</v>
      </c>
      <c r="B37">
        <v>336</v>
      </c>
      <c r="C37">
        <v>0</v>
      </c>
      <c r="D37">
        <v>0</v>
      </c>
      <c r="E37">
        <v>0</v>
      </c>
      <c r="F37">
        <v>336</v>
      </c>
      <c r="G37">
        <v>0</v>
      </c>
      <c r="H37">
        <v>0</v>
      </c>
      <c r="I37">
        <v>0</v>
      </c>
      <c r="J37">
        <v>336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336</v>
      </c>
      <c r="S37">
        <v>0</v>
      </c>
      <c r="T37">
        <v>0</v>
      </c>
      <c r="U37">
        <v>0</v>
      </c>
      <c r="V37" t="s">
        <v>64</v>
      </c>
      <c r="W37">
        <v>336</v>
      </c>
      <c r="X37">
        <v>0</v>
      </c>
      <c r="Y37">
        <v>0</v>
      </c>
      <c r="Z37">
        <v>0</v>
      </c>
      <c r="AA37">
        <v>336</v>
      </c>
      <c r="AB37">
        <v>0</v>
      </c>
      <c r="AC37">
        <v>0</v>
      </c>
      <c r="AD37">
        <v>0</v>
      </c>
      <c r="AE37">
        <v>336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336</v>
      </c>
      <c r="AN37">
        <v>0</v>
      </c>
      <c r="AO37">
        <v>0</v>
      </c>
      <c r="AP37">
        <v>0</v>
      </c>
      <c r="AQ37" t="s">
        <v>64</v>
      </c>
      <c r="AR37">
        <v>336</v>
      </c>
      <c r="AS37">
        <v>0</v>
      </c>
      <c r="AT37">
        <v>0</v>
      </c>
      <c r="AU37">
        <v>0</v>
      </c>
      <c r="AV37">
        <v>336</v>
      </c>
      <c r="AW37">
        <v>0</v>
      </c>
      <c r="AX37">
        <v>0</v>
      </c>
      <c r="AY37">
        <v>0</v>
      </c>
      <c r="AZ37">
        <v>336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336</v>
      </c>
      <c r="BI37">
        <v>0</v>
      </c>
      <c r="BJ37">
        <v>0</v>
      </c>
      <c r="BK37">
        <v>0</v>
      </c>
    </row>
    <row r="38" spans="1:63">
      <c r="A38" t="s">
        <v>25</v>
      </c>
      <c r="B38">
        <v>152</v>
      </c>
      <c r="C38">
        <v>2</v>
      </c>
      <c r="D38">
        <v>0</v>
      </c>
      <c r="E38">
        <v>0</v>
      </c>
      <c r="F38">
        <v>152</v>
      </c>
      <c r="G38">
        <v>2</v>
      </c>
      <c r="H38">
        <v>0</v>
      </c>
      <c r="I38">
        <v>0</v>
      </c>
      <c r="J38">
        <v>167</v>
      </c>
      <c r="K38">
        <v>1</v>
      </c>
      <c r="L38">
        <v>0</v>
      </c>
      <c r="M38">
        <v>0</v>
      </c>
      <c r="N38">
        <v>141</v>
      </c>
      <c r="O38">
        <v>0</v>
      </c>
      <c r="P38">
        <v>1</v>
      </c>
      <c r="Q38">
        <v>1</v>
      </c>
      <c r="R38">
        <v>153</v>
      </c>
      <c r="S38">
        <v>1</v>
      </c>
      <c r="T38">
        <v>0</v>
      </c>
      <c r="U38">
        <v>0</v>
      </c>
      <c r="V38" t="s">
        <v>25</v>
      </c>
      <c r="W38">
        <v>152</v>
      </c>
      <c r="X38">
        <v>2</v>
      </c>
      <c r="Y38">
        <v>0</v>
      </c>
      <c r="Z38">
        <v>0</v>
      </c>
      <c r="AA38">
        <v>152</v>
      </c>
      <c r="AB38">
        <v>2</v>
      </c>
      <c r="AC38">
        <v>0</v>
      </c>
      <c r="AD38">
        <v>0</v>
      </c>
      <c r="AE38">
        <v>167</v>
      </c>
      <c r="AF38">
        <v>1</v>
      </c>
      <c r="AG38">
        <v>0</v>
      </c>
      <c r="AH38">
        <v>0</v>
      </c>
      <c r="AI38">
        <v>141</v>
      </c>
      <c r="AJ38">
        <v>0</v>
      </c>
      <c r="AK38">
        <v>1</v>
      </c>
      <c r="AL38">
        <v>1</v>
      </c>
      <c r="AM38">
        <v>153</v>
      </c>
      <c r="AN38">
        <v>1</v>
      </c>
      <c r="AO38">
        <v>0</v>
      </c>
      <c r="AP38">
        <v>0</v>
      </c>
      <c r="AQ38" t="s">
        <v>25</v>
      </c>
      <c r="AR38">
        <v>152</v>
      </c>
      <c r="AS38">
        <v>2</v>
      </c>
      <c r="AT38">
        <v>0</v>
      </c>
      <c r="AU38">
        <v>0</v>
      </c>
      <c r="AV38">
        <v>152</v>
      </c>
      <c r="AW38">
        <v>2</v>
      </c>
      <c r="AX38">
        <v>0</v>
      </c>
      <c r="AY38">
        <v>0</v>
      </c>
      <c r="AZ38">
        <v>168</v>
      </c>
      <c r="BA38">
        <v>0</v>
      </c>
      <c r="BB38">
        <v>0</v>
      </c>
      <c r="BC38">
        <v>0</v>
      </c>
      <c r="BD38">
        <v>141</v>
      </c>
      <c r="BE38">
        <v>0</v>
      </c>
      <c r="BF38">
        <v>2</v>
      </c>
      <c r="BG38">
        <v>0</v>
      </c>
      <c r="BH38">
        <v>154</v>
      </c>
      <c r="BI38">
        <v>0</v>
      </c>
      <c r="BJ38">
        <v>0</v>
      </c>
      <c r="BK38">
        <v>0</v>
      </c>
    </row>
    <row r="39" spans="1:63">
      <c r="A39" t="s">
        <v>36</v>
      </c>
      <c r="B39">
        <v>102</v>
      </c>
      <c r="C39">
        <v>15</v>
      </c>
      <c r="D39">
        <v>0</v>
      </c>
      <c r="E39">
        <v>0</v>
      </c>
      <c r="F39">
        <v>102</v>
      </c>
      <c r="G39">
        <v>15</v>
      </c>
      <c r="H39">
        <v>0</v>
      </c>
      <c r="I39">
        <v>0</v>
      </c>
      <c r="J39">
        <v>121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117</v>
      </c>
      <c r="S39">
        <v>0</v>
      </c>
      <c r="T39">
        <v>0</v>
      </c>
      <c r="U39">
        <v>0</v>
      </c>
      <c r="V39" t="s">
        <v>36</v>
      </c>
      <c r="W39">
        <v>102</v>
      </c>
      <c r="X39">
        <v>15</v>
      </c>
      <c r="Y39">
        <v>0</v>
      </c>
      <c r="Z39">
        <v>0</v>
      </c>
      <c r="AA39">
        <v>102</v>
      </c>
      <c r="AB39">
        <v>15</v>
      </c>
      <c r="AC39">
        <v>0</v>
      </c>
      <c r="AD39">
        <v>0</v>
      </c>
      <c r="AE39">
        <v>121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117</v>
      </c>
      <c r="AN39">
        <v>0</v>
      </c>
      <c r="AO39">
        <v>0</v>
      </c>
      <c r="AP39">
        <v>0</v>
      </c>
      <c r="AQ39" t="s">
        <v>36</v>
      </c>
      <c r="AR39">
        <v>102</v>
      </c>
      <c r="AS39">
        <v>15</v>
      </c>
      <c r="AT39">
        <v>0</v>
      </c>
      <c r="AU39">
        <v>0</v>
      </c>
      <c r="AV39">
        <v>102</v>
      </c>
      <c r="AW39">
        <v>15</v>
      </c>
      <c r="AX39">
        <v>0</v>
      </c>
      <c r="AY39">
        <v>0</v>
      </c>
      <c r="AZ39">
        <v>121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117</v>
      </c>
      <c r="BI39">
        <v>0</v>
      </c>
      <c r="BJ39">
        <v>0</v>
      </c>
      <c r="BK39">
        <v>0</v>
      </c>
    </row>
    <row r="40" spans="1:63">
      <c r="A40" t="s">
        <v>100</v>
      </c>
      <c r="B40">
        <v>142</v>
      </c>
      <c r="C40">
        <v>32</v>
      </c>
      <c r="D40">
        <v>0</v>
      </c>
      <c r="E40">
        <v>0</v>
      </c>
      <c r="F40">
        <v>142</v>
      </c>
      <c r="G40">
        <v>32</v>
      </c>
      <c r="H40">
        <v>0</v>
      </c>
      <c r="I40">
        <v>0</v>
      </c>
      <c r="J40">
        <v>172</v>
      </c>
      <c r="K40">
        <v>2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172</v>
      </c>
      <c r="S40">
        <v>2</v>
      </c>
      <c r="T40">
        <v>0</v>
      </c>
      <c r="U40">
        <v>0</v>
      </c>
      <c r="V40" t="s">
        <v>100</v>
      </c>
      <c r="W40">
        <v>142</v>
      </c>
      <c r="X40">
        <v>32</v>
      </c>
      <c r="Y40">
        <v>0</v>
      </c>
      <c r="Z40">
        <v>0</v>
      </c>
      <c r="AA40">
        <v>142</v>
      </c>
      <c r="AB40">
        <v>32</v>
      </c>
      <c r="AC40">
        <v>0</v>
      </c>
      <c r="AD40">
        <v>0</v>
      </c>
      <c r="AE40">
        <v>172</v>
      </c>
      <c r="AF40">
        <v>2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172</v>
      </c>
      <c r="AN40">
        <v>2</v>
      </c>
      <c r="AO40">
        <v>0</v>
      </c>
      <c r="AP40">
        <v>0</v>
      </c>
      <c r="AQ40" t="s">
        <v>100</v>
      </c>
      <c r="AR40">
        <v>142</v>
      </c>
      <c r="AS40">
        <v>32</v>
      </c>
      <c r="AT40">
        <v>0</v>
      </c>
      <c r="AU40">
        <v>0</v>
      </c>
      <c r="AV40">
        <v>142</v>
      </c>
      <c r="AW40">
        <v>32</v>
      </c>
      <c r="AX40">
        <v>0</v>
      </c>
      <c r="AY40">
        <v>0</v>
      </c>
      <c r="AZ40">
        <v>174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174</v>
      </c>
      <c r="BI40">
        <v>0</v>
      </c>
      <c r="BJ40">
        <v>0</v>
      </c>
      <c r="BK40">
        <v>0</v>
      </c>
    </row>
    <row r="41" spans="1:63">
      <c r="A41" t="s">
        <v>66</v>
      </c>
      <c r="B41">
        <v>131</v>
      </c>
      <c r="C41">
        <v>12</v>
      </c>
      <c r="D41">
        <v>0</v>
      </c>
      <c r="E41">
        <v>0</v>
      </c>
      <c r="F41">
        <v>130</v>
      </c>
      <c r="G41">
        <v>13</v>
      </c>
      <c r="H41">
        <v>0</v>
      </c>
      <c r="I41">
        <v>0</v>
      </c>
      <c r="J41">
        <v>147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139</v>
      </c>
      <c r="S41">
        <v>4</v>
      </c>
      <c r="T41">
        <v>0</v>
      </c>
      <c r="U41">
        <v>0</v>
      </c>
      <c r="V41" t="s">
        <v>66</v>
      </c>
      <c r="W41">
        <v>131</v>
      </c>
      <c r="X41">
        <v>12</v>
      </c>
      <c r="Y41">
        <v>0</v>
      </c>
      <c r="Z41">
        <v>0</v>
      </c>
      <c r="AA41">
        <v>130</v>
      </c>
      <c r="AB41">
        <v>13</v>
      </c>
      <c r="AC41">
        <v>0</v>
      </c>
      <c r="AD41">
        <v>0</v>
      </c>
      <c r="AE41">
        <v>147</v>
      </c>
      <c r="AF41">
        <v>1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139</v>
      </c>
      <c r="AN41">
        <v>4</v>
      </c>
      <c r="AO41">
        <v>0</v>
      </c>
      <c r="AP41">
        <v>0</v>
      </c>
      <c r="AQ41" t="s">
        <v>66</v>
      </c>
      <c r="AR41">
        <v>130</v>
      </c>
      <c r="AS41">
        <v>13</v>
      </c>
      <c r="AT41">
        <v>0</v>
      </c>
      <c r="AU41">
        <v>0</v>
      </c>
      <c r="AV41">
        <v>130</v>
      </c>
      <c r="AW41">
        <v>13</v>
      </c>
      <c r="AX41">
        <v>0</v>
      </c>
      <c r="AY41">
        <v>0</v>
      </c>
      <c r="AZ41">
        <v>148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143</v>
      </c>
      <c r="BI41">
        <v>0</v>
      </c>
      <c r="BJ41">
        <v>0</v>
      </c>
      <c r="BK41">
        <v>0</v>
      </c>
    </row>
    <row r="42" spans="1:63">
      <c r="A42" t="s">
        <v>60</v>
      </c>
      <c r="B42">
        <v>116</v>
      </c>
      <c r="C42">
        <v>13</v>
      </c>
      <c r="D42">
        <v>0</v>
      </c>
      <c r="E42">
        <v>0</v>
      </c>
      <c r="F42">
        <v>116</v>
      </c>
      <c r="G42">
        <v>13</v>
      </c>
      <c r="H42">
        <v>0</v>
      </c>
      <c r="I42">
        <v>0</v>
      </c>
      <c r="J42">
        <v>129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129</v>
      </c>
      <c r="S42">
        <v>0</v>
      </c>
      <c r="T42">
        <v>0</v>
      </c>
      <c r="U42">
        <v>0</v>
      </c>
      <c r="V42" t="s">
        <v>60</v>
      </c>
      <c r="W42">
        <v>116</v>
      </c>
      <c r="X42">
        <v>13</v>
      </c>
      <c r="Y42">
        <v>0</v>
      </c>
      <c r="Z42">
        <v>0</v>
      </c>
      <c r="AA42">
        <v>116</v>
      </c>
      <c r="AB42">
        <v>13</v>
      </c>
      <c r="AC42">
        <v>0</v>
      </c>
      <c r="AD42">
        <v>0</v>
      </c>
      <c r="AE42">
        <v>129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129</v>
      </c>
      <c r="AN42">
        <v>0</v>
      </c>
      <c r="AO42">
        <v>0</v>
      </c>
      <c r="AP42">
        <v>0</v>
      </c>
      <c r="AQ42" t="s">
        <v>60</v>
      </c>
      <c r="AR42">
        <v>116</v>
      </c>
      <c r="AS42">
        <v>13</v>
      </c>
      <c r="AT42">
        <v>0</v>
      </c>
      <c r="AU42">
        <v>0</v>
      </c>
      <c r="AV42">
        <v>116</v>
      </c>
      <c r="AW42">
        <v>13</v>
      </c>
      <c r="AX42">
        <v>0</v>
      </c>
      <c r="AY42">
        <v>0</v>
      </c>
      <c r="AZ42">
        <v>129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129</v>
      </c>
      <c r="BI42">
        <v>0</v>
      </c>
      <c r="BJ42">
        <v>0</v>
      </c>
      <c r="BK42">
        <v>0</v>
      </c>
    </row>
    <row r="43" spans="1:63">
      <c r="A43" t="s">
        <v>12</v>
      </c>
      <c r="B43">
        <v>43</v>
      </c>
      <c r="C43">
        <v>0</v>
      </c>
      <c r="D43">
        <v>0</v>
      </c>
      <c r="E43">
        <v>0</v>
      </c>
      <c r="F43">
        <v>43</v>
      </c>
      <c r="G43">
        <v>0</v>
      </c>
      <c r="H43">
        <v>0</v>
      </c>
      <c r="I43">
        <v>0</v>
      </c>
      <c r="J43">
        <v>43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43</v>
      </c>
      <c r="S43">
        <v>0</v>
      </c>
      <c r="T43">
        <v>0</v>
      </c>
      <c r="U43">
        <v>0</v>
      </c>
      <c r="V43" t="s">
        <v>12</v>
      </c>
      <c r="W43">
        <v>43</v>
      </c>
      <c r="X43">
        <v>0</v>
      </c>
      <c r="Y43">
        <v>0</v>
      </c>
      <c r="Z43">
        <v>0</v>
      </c>
      <c r="AA43">
        <v>43</v>
      </c>
      <c r="AB43">
        <v>0</v>
      </c>
      <c r="AC43">
        <v>0</v>
      </c>
      <c r="AD43">
        <v>0</v>
      </c>
      <c r="AE43">
        <v>43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43</v>
      </c>
      <c r="AN43">
        <v>0</v>
      </c>
      <c r="AO43">
        <v>0</v>
      </c>
      <c r="AP43">
        <v>0</v>
      </c>
      <c r="AQ43" t="s">
        <v>12</v>
      </c>
      <c r="AR43">
        <v>43</v>
      </c>
      <c r="AS43">
        <v>0</v>
      </c>
      <c r="AT43">
        <v>0</v>
      </c>
      <c r="AU43">
        <v>0</v>
      </c>
      <c r="AV43">
        <v>43</v>
      </c>
      <c r="AW43">
        <v>0</v>
      </c>
      <c r="AX43">
        <v>0</v>
      </c>
      <c r="AY43">
        <v>0</v>
      </c>
      <c r="AZ43">
        <v>43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43</v>
      </c>
      <c r="BI43">
        <v>0</v>
      </c>
      <c r="BJ43">
        <v>0</v>
      </c>
      <c r="BK43">
        <v>0</v>
      </c>
    </row>
    <row r="44" spans="1:63">
      <c r="A44" t="s">
        <v>21</v>
      </c>
      <c r="B44">
        <v>137</v>
      </c>
      <c r="C44">
        <v>2</v>
      </c>
      <c r="D44">
        <v>0</v>
      </c>
      <c r="E44">
        <v>0</v>
      </c>
      <c r="F44">
        <v>137</v>
      </c>
      <c r="G44">
        <v>2</v>
      </c>
      <c r="H44">
        <v>0</v>
      </c>
      <c r="I44">
        <v>0</v>
      </c>
      <c r="J44">
        <v>139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139</v>
      </c>
      <c r="S44">
        <v>0</v>
      </c>
      <c r="T44">
        <v>0</v>
      </c>
      <c r="U44">
        <v>0</v>
      </c>
      <c r="V44" t="s">
        <v>21</v>
      </c>
      <c r="W44">
        <v>137</v>
      </c>
      <c r="X44">
        <v>2</v>
      </c>
      <c r="Y44">
        <v>0</v>
      </c>
      <c r="Z44">
        <v>0</v>
      </c>
      <c r="AA44">
        <v>137</v>
      </c>
      <c r="AB44">
        <v>2</v>
      </c>
      <c r="AC44">
        <v>0</v>
      </c>
      <c r="AD44">
        <v>0</v>
      </c>
      <c r="AE44">
        <v>139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139</v>
      </c>
      <c r="AN44">
        <v>0</v>
      </c>
      <c r="AO44">
        <v>0</v>
      </c>
      <c r="AP44">
        <v>0</v>
      </c>
      <c r="AQ44" t="s">
        <v>21</v>
      </c>
      <c r="AR44">
        <v>137</v>
      </c>
      <c r="AS44">
        <v>2</v>
      </c>
      <c r="AT44">
        <v>0</v>
      </c>
      <c r="AU44">
        <v>0</v>
      </c>
      <c r="AV44">
        <v>137</v>
      </c>
      <c r="AW44">
        <v>2</v>
      </c>
      <c r="AX44">
        <v>0</v>
      </c>
      <c r="AY44">
        <v>0</v>
      </c>
      <c r="AZ44">
        <v>139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139</v>
      </c>
      <c r="BI44">
        <v>0</v>
      </c>
      <c r="BJ44">
        <v>0</v>
      </c>
      <c r="BK44">
        <v>0</v>
      </c>
    </row>
    <row r="45" spans="1:63">
      <c r="A45" t="s">
        <v>44</v>
      </c>
      <c r="B45">
        <v>50</v>
      </c>
      <c r="C45">
        <v>12</v>
      </c>
      <c r="D45">
        <v>0</v>
      </c>
      <c r="E45">
        <v>0</v>
      </c>
      <c r="F45">
        <v>50</v>
      </c>
      <c r="G45">
        <v>12</v>
      </c>
      <c r="H45">
        <v>0</v>
      </c>
      <c r="I45">
        <v>0</v>
      </c>
      <c r="J45">
        <v>61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61</v>
      </c>
      <c r="S45">
        <v>1</v>
      </c>
      <c r="T45">
        <v>0</v>
      </c>
      <c r="U45">
        <v>0</v>
      </c>
      <c r="V45" t="s">
        <v>44</v>
      </c>
      <c r="W45">
        <v>50</v>
      </c>
      <c r="X45">
        <v>12</v>
      </c>
      <c r="Y45">
        <v>0</v>
      </c>
      <c r="Z45">
        <v>0</v>
      </c>
      <c r="AA45">
        <v>50</v>
      </c>
      <c r="AB45">
        <v>12</v>
      </c>
      <c r="AC45">
        <v>0</v>
      </c>
      <c r="AD45">
        <v>0</v>
      </c>
      <c r="AE45">
        <v>61</v>
      </c>
      <c r="AF45">
        <v>1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61</v>
      </c>
      <c r="AN45">
        <v>1</v>
      </c>
      <c r="AO45">
        <v>0</v>
      </c>
      <c r="AP45">
        <v>0</v>
      </c>
      <c r="AQ45" t="s">
        <v>44</v>
      </c>
      <c r="AR45">
        <v>50</v>
      </c>
      <c r="AS45">
        <v>12</v>
      </c>
      <c r="AT45">
        <v>0</v>
      </c>
      <c r="AU45">
        <v>0</v>
      </c>
      <c r="AV45">
        <v>50</v>
      </c>
      <c r="AW45">
        <v>12</v>
      </c>
      <c r="AX45">
        <v>0</v>
      </c>
      <c r="AY45">
        <v>0</v>
      </c>
      <c r="AZ45">
        <v>62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62</v>
      </c>
      <c r="BI45">
        <v>0</v>
      </c>
      <c r="BJ45">
        <v>0</v>
      </c>
      <c r="BK45">
        <v>0</v>
      </c>
    </row>
    <row r="46" spans="1:63">
      <c r="A46" t="s">
        <v>5</v>
      </c>
      <c r="B46">
        <v>30</v>
      </c>
      <c r="C46">
        <v>0</v>
      </c>
      <c r="D46">
        <v>0</v>
      </c>
      <c r="E46">
        <v>0</v>
      </c>
      <c r="F46">
        <v>30</v>
      </c>
      <c r="G46">
        <v>0</v>
      </c>
      <c r="H46">
        <v>0</v>
      </c>
      <c r="I46">
        <v>0</v>
      </c>
      <c r="J46">
        <v>30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30</v>
      </c>
      <c r="S46">
        <v>0</v>
      </c>
      <c r="T46">
        <v>0</v>
      </c>
      <c r="U46">
        <v>0</v>
      </c>
      <c r="V46" t="s">
        <v>5</v>
      </c>
      <c r="W46">
        <v>30</v>
      </c>
      <c r="X46">
        <v>0</v>
      </c>
      <c r="Y46">
        <v>0</v>
      </c>
      <c r="Z46">
        <v>0</v>
      </c>
      <c r="AA46">
        <v>30</v>
      </c>
      <c r="AB46">
        <v>0</v>
      </c>
      <c r="AC46">
        <v>0</v>
      </c>
      <c r="AD46">
        <v>0</v>
      </c>
      <c r="AE46">
        <v>30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30</v>
      </c>
      <c r="AN46">
        <v>0</v>
      </c>
      <c r="AO46">
        <v>0</v>
      </c>
      <c r="AP46">
        <v>0</v>
      </c>
      <c r="AQ46" t="s">
        <v>5</v>
      </c>
      <c r="AR46">
        <v>30</v>
      </c>
      <c r="AS46">
        <v>0</v>
      </c>
      <c r="AT46">
        <v>0</v>
      </c>
      <c r="AU46">
        <v>0</v>
      </c>
      <c r="AV46">
        <v>30</v>
      </c>
      <c r="AW46">
        <v>0</v>
      </c>
      <c r="AX46">
        <v>0</v>
      </c>
      <c r="AY46">
        <v>0</v>
      </c>
      <c r="AZ46">
        <v>30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30</v>
      </c>
      <c r="BI46">
        <v>0</v>
      </c>
      <c r="BJ46">
        <v>0</v>
      </c>
      <c r="BK46">
        <v>0</v>
      </c>
    </row>
    <row r="47" spans="1:63">
      <c r="A47" t="s">
        <v>62</v>
      </c>
      <c r="B47">
        <v>73</v>
      </c>
      <c r="C47">
        <v>13</v>
      </c>
      <c r="D47">
        <v>0</v>
      </c>
      <c r="E47">
        <v>0</v>
      </c>
      <c r="F47">
        <v>73</v>
      </c>
      <c r="G47">
        <v>13</v>
      </c>
      <c r="H47">
        <v>0</v>
      </c>
      <c r="I47">
        <v>0</v>
      </c>
      <c r="J47">
        <v>85</v>
      </c>
      <c r="K47">
        <v>1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79</v>
      </c>
      <c r="S47">
        <v>7</v>
      </c>
      <c r="T47">
        <v>0</v>
      </c>
      <c r="U47">
        <v>0</v>
      </c>
      <c r="V47" t="s">
        <v>62</v>
      </c>
      <c r="W47">
        <v>73</v>
      </c>
      <c r="X47">
        <v>13</v>
      </c>
      <c r="Y47">
        <v>0</v>
      </c>
      <c r="Z47">
        <v>0</v>
      </c>
      <c r="AA47">
        <v>73</v>
      </c>
      <c r="AB47">
        <v>13</v>
      </c>
      <c r="AC47">
        <v>0</v>
      </c>
      <c r="AD47">
        <v>0</v>
      </c>
      <c r="AE47">
        <v>85</v>
      </c>
      <c r="AF47">
        <v>1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79</v>
      </c>
      <c r="AN47">
        <v>7</v>
      </c>
      <c r="AO47">
        <v>0</v>
      </c>
      <c r="AP47">
        <v>0</v>
      </c>
      <c r="AQ47" t="s">
        <v>62</v>
      </c>
      <c r="AR47">
        <v>73</v>
      </c>
      <c r="AS47">
        <v>13</v>
      </c>
      <c r="AT47">
        <v>0</v>
      </c>
      <c r="AU47">
        <v>0</v>
      </c>
      <c r="AV47">
        <v>73</v>
      </c>
      <c r="AW47">
        <v>13</v>
      </c>
      <c r="AX47">
        <v>0</v>
      </c>
      <c r="AY47">
        <v>0</v>
      </c>
      <c r="AZ47">
        <v>86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86</v>
      </c>
      <c r="BI47">
        <v>0</v>
      </c>
      <c r="BJ47">
        <v>0</v>
      </c>
      <c r="BK47">
        <v>0</v>
      </c>
    </row>
    <row r="48" spans="1:63">
      <c r="A48" t="s">
        <v>6</v>
      </c>
      <c r="B48">
        <v>50</v>
      </c>
      <c r="C48">
        <v>6</v>
      </c>
      <c r="D48">
        <v>0</v>
      </c>
      <c r="E48">
        <v>0</v>
      </c>
      <c r="F48">
        <v>50</v>
      </c>
      <c r="G48">
        <v>6</v>
      </c>
      <c r="H48">
        <v>0</v>
      </c>
      <c r="I48">
        <v>0</v>
      </c>
      <c r="J48">
        <v>55</v>
      </c>
      <c r="K48">
        <v>1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49</v>
      </c>
      <c r="S48">
        <v>7</v>
      </c>
      <c r="T48">
        <v>0</v>
      </c>
      <c r="U48">
        <v>0</v>
      </c>
      <c r="V48" t="s">
        <v>6</v>
      </c>
      <c r="W48">
        <v>50</v>
      </c>
      <c r="X48">
        <v>6</v>
      </c>
      <c r="Y48">
        <v>0</v>
      </c>
      <c r="Z48">
        <v>0</v>
      </c>
      <c r="AA48">
        <v>50</v>
      </c>
      <c r="AB48">
        <v>6</v>
      </c>
      <c r="AC48">
        <v>0</v>
      </c>
      <c r="AD48">
        <v>0</v>
      </c>
      <c r="AE48">
        <v>55</v>
      </c>
      <c r="AF48">
        <v>1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49</v>
      </c>
      <c r="AN48">
        <v>7</v>
      </c>
      <c r="AO48">
        <v>0</v>
      </c>
      <c r="AP48">
        <v>0</v>
      </c>
      <c r="AQ48" t="s">
        <v>6</v>
      </c>
      <c r="AR48">
        <v>50</v>
      </c>
      <c r="AS48">
        <v>6</v>
      </c>
      <c r="AT48">
        <v>0</v>
      </c>
      <c r="AU48">
        <v>0</v>
      </c>
      <c r="AV48">
        <v>50</v>
      </c>
      <c r="AW48">
        <v>6</v>
      </c>
      <c r="AX48">
        <v>0</v>
      </c>
      <c r="AY48">
        <v>0</v>
      </c>
      <c r="AZ48">
        <v>56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56</v>
      </c>
      <c r="BI48">
        <v>0</v>
      </c>
      <c r="BJ48">
        <v>0</v>
      </c>
      <c r="BK48">
        <v>0</v>
      </c>
    </row>
    <row r="49" spans="1:63">
      <c r="A49" t="s">
        <v>82</v>
      </c>
      <c r="B49">
        <v>2</v>
      </c>
      <c r="C49">
        <v>0</v>
      </c>
      <c r="D49">
        <v>0</v>
      </c>
      <c r="E49">
        <v>0</v>
      </c>
      <c r="F49">
        <v>2</v>
      </c>
      <c r="G49">
        <v>0</v>
      </c>
      <c r="H49">
        <v>0</v>
      </c>
      <c r="I49">
        <v>0</v>
      </c>
      <c r="J49">
        <v>2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2</v>
      </c>
      <c r="S49">
        <v>0</v>
      </c>
      <c r="T49">
        <v>0</v>
      </c>
      <c r="U49">
        <v>0</v>
      </c>
      <c r="V49" t="s">
        <v>82</v>
      </c>
      <c r="W49">
        <v>2</v>
      </c>
      <c r="X49">
        <v>0</v>
      </c>
      <c r="Y49">
        <v>0</v>
      </c>
      <c r="Z49">
        <v>0</v>
      </c>
      <c r="AA49">
        <v>2</v>
      </c>
      <c r="AB49">
        <v>0</v>
      </c>
      <c r="AC49">
        <v>0</v>
      </c>
      <c r="AD49">
        <v>0</v>
      </c>
      <c r="AE49">
        <v>2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2</v>
      </c>
      <c r="AN49">
        <v>0</v>
      </c>
      <c r="AO49">
        <v>0</v>
      </c>
      <c r="AP49">
        <v>0</v>
      </c>
      <c r="AQ49" t="s">
        <v>82</v>
      </c>
      <c r="AR49">
        <v>2</v>
      </c>
      <c r="AS49">
        <v>0</v>
      </c>
      <c r="AT49">
        <v>0</v>
      </c>
      <c r="AU49">
        <v>0</v>
      </c>
      <c r="AV49">
        <v>2</v>
      </c>
      <c r="AW49">
        <v>0</v>
      </c>
      <c r="AX49">
        <v>0</v>
      </c>
      <c r="AY49">
        <v>0</v>
      </c>
      <c r="AZ49">
        <v>2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2</v>
      </c>
      <c r="BI49">
        <v>0</v>
      </c>
      <c r="BJ49">
        <v>0</v>
      </c>
      <c r="BK49">
        <v>0</v>
      </c>
    </row>
    <row r="50" spans="1:63">
      <c r="A50" t="s">
        <v>92</v>
      </c>
      <c r="B50">
        <v>1</v>
      </c>
      <c r="C50">
        <v>0</v>
      </c>
      <c r="D50">
        <v>0</v>
      </c>
      <c r="E50">
        <v>0</v>
      </c>
      <c r="F50">
        <v>1</v>
      </c>
      <c r="G50">
        <v>0</v>
      </c>
      <c r="H50">
        <v>0</v>
      </c>
      <c r="I50">
        <v>0</v>
      </c>
      <c r="J50">
        <v>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1</v>
      </c>
      <c r="S50">
        <v>0</v>
      </c>
      <c r="T50">
        <v>0</v>
      </c>
      <c r="U50">
        <v>0</v>
      </c>
      <c r="V50" t="s">
        <v>92</v>
      </c>
      <c r="W50">
        <v>1</v>
      </c>
      <c r="X50">
        <v>0</v>
      </c>
      <c r="Y50">
        <v>0</v>
      </c>
      <c r="Z50">
        <v>0</v>
      </c>
      <c r="AA50">
        <v>1</v>
      </c>
      <c r="AB50">
        <v>0</v>
      </c>
      <c r="AC50">
        <v>0</v>
      </c>
      <c r="AD50">
        <v>0</v>
      </c>
      <c r="AE50">
        <v>1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1</v>
      </c>
      <c r="AN50">
        <v>0</v>
      </c>
      <c r="AO50">
        <v>0</v>
      </c>
      <c r="AP50">
        <v>0</v>
      </c>
      <c r="AQ50" t="s">
        <v>92</v>
      </c>
      <c r="AR50">
        <v>1</v>
      </c>
      <c r="AS50">
        <v>0</v>
      </c>
      <c r="AT50">
        <v>0</v>
      </c>
      <c r="AU50">
        <v>0</v>
      </c>
      <c r="AV50">
        <v>1</v>
      </c>
      <c r="AW50">
        <v>0</v>
      </c>
      <c r="AX50">
        <v>0</v>
      </c>
      <c r="AY50">
        <v>0</v>
      </c>
      <c r="AZ50">
        <v>1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1</v>
      </c>
      <c r="BI50">
        <v>0</v>
      </c>
      <c r="BJ50">
        <v>0</v>
      </c>
      <c r="BK50">
        <v>0</v>
      </c>
    </row>
    <row r="51" spans="1:63">
      <c r="A51" t="s">
        <v>53</v>
      </c>
      <c r="B51">
        <v>60</v>
      </c>
      <c r="C51">
        <v>2</v>
      </c>
      <c r="D51">
        <v>0</v>
      </c>
      <c r="E51">
        <v>0</v>
      </c>
      <c r="F51">
        <v>60</v>
      </c>
      <c r="G51">
        <v>2</v>
      </c>
      <c r="H51">
        <v>0</v>
      </c>
      <c r="I51">
        <v>0</v>
      </c>
      <c r="J51">
        <v>60</v>
      </c>
      <c r="K51">
        <v>2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60</v>
      </c>
      <c r="S51">
        <v>2</v>
      </c>
      <c r="T51">
        <v>0</v>
      </c>
      <c r="U51">
        <v>0</v>
      </c>
      <c r="V51" t="s">
        <v>53</v>
      </c>
      <c r="W51">
        <v>60</v>
      </c>
      <c r="X51">
        <v>2</v>
      </c>
      <c r="Y51">
        <v>0</v>
      </c>
      <c r="Z51">
        <v>0</v>
      </c>
      <c r="AA51">
        <v>60</v>
      </c>
      <c r="AB51">
        <v>2</v>
      </c>
      <c r="AC51">
        <v>0</v>
      </c>
      <c r="AD51">
        <v>0</v>
      </c>
      <c r="AE51">
        <v>60</v>
      </c>
      <c r="AF51">
        <v>2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60</v>
      </c>
      <c r="AN51">
        <v>2</v>
      </c>
      <c r="AO51">
        <v>0</v>
      </c>
      <c r="AP51">
        <v>0</v>
      </c>
      <c r="AQ51" t="s">
        <v>53</v>
      </c>
      <c r="AR51">
        <v>60</v>
      </c>
      <c r="AS51">
        <v>2</v>
      </c>
      <c r="AT51">
        <v>0</v>
      </c>
      <c r="AU51">
        <v>0</v>
      </c>
      <c r="AV51">
        <v>60</v>
      </c>
      <c r="AW51">
        <v>2</v>
      </c>
      <c r="AX51">
        <v>0</v>
      </c>
      <c r="AY51">
        <v>0</v>
      </c>
      <c r="AZ51">
        <v>62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62</v>
      </c>
      <c r="BI51">
        <v>0</v>
      </c>
      <c r="BJ51">
        <v>0</v>
      </c>
      <c r="BK51">
        <v>0</v>
      </c>
    </row>
    <row r="52" spans="1:63">
      <c r="A52" t="s">
        <v>11</v>
      </c>
      <c r="B52">
        <v>7</v>
      </c>
      <c r="C52">
        <v>0</v>
      </c>
      <c r="D52">
        <v>0</v>
      </c>
      <c r="E52">
        <v>0</v>
      </c>
      <c r="F52">
        <v>7</v>
      </c>
      <c r="G52">
        <v>0</v>
      </c>
      <c r="H52">
        <v>0</v>
      </c>
      <c r="I52">
        <v>0</v>
      </c>
      <c r="J52">
        <v>7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7</v>
      </c>
      <c r="S52">
        <v>0</v>
      </c>
      <c r="T52">
        <v>0</v>
      </c>
      <c r="U52">
        <v>0</v>
      </c>
      <c r="V52" t="s">
        <v>11</v>
      </c>
      <c r="W52">
        <v>7</v>
      </c>
      <c r="X52">
        <v>0</v>
      </c>
      <c r="Y52">
        <v>0</v>
      </c>
      <c r="Z52">
        <v>0</v>
      </c>
      <c r="AA52">
        <v>7</v>
      </c>
      <c r="AB52">
        <v>0</v>
      </c>
      <c r="AC52">
        <v>0</v>
      </c>
      <c r="AD52">
        <v>0</v>
      </c>
      <c r="AE52">
        <v>7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7</v>
      </c>
      <c r="AN52">
        <v>0</v>
      </c>
      <c r="AO52">
        <v>0</v>
      </c>
      <c r="AP52">
        <v>0</v>
      </c>
      <c r="AQ52" t="s">
        <v>11</v>
      </c>
      <c r="AR52">
        <v>7</v>
      </c>
      <c r="AS52">
        <v>0</v>
      </c>
      <c r="AT52">
        <v>0</v>
      </c>
      <c r="AU52">
        <v>0</v>
      </c>
      <c r="AV52">
        <v>7</v>
      </c>
      <c r="AW52">
        <v>0</v>
      </c>
      <c r="AX52">
        <v>0</v>
      </c>
      <c r="AY52">
        <v>0</v>
      </c>
      <c r="AZ52">
        <v>7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7</v>
      </c>
      <c r="BI52">
        <v>0</v>
      </c>
      <c r="BJ52">
        <v>0</v>
      </c>
      <c r="BK52">
        <v>0</v>
      </c>
    </row>
    <row r="53" spans="1:63">
      <c r="A53" t="s">
        <v>84</v>
      </c>
      <c r="B53">
        <v>36</v>
      </c>
      <c r="C53">
        <v>10</v>
      </c>
      <c r="D53">
        <v>0</v>
      </c>
      <c r="E53">
        <v>0</v>
      </c>
      <c r="F53">
        <v>36</v>
      </c>
      <c r="G53">
        <v>10</v>
      </c>
      <c r="H53">
        <v>0</v>
      </c>
      <c r="I53">
        <v>0</v>
      </c>
      <c r="J53">
        <v>45</v>
      </c>
      <c r="K53">
        <v>1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39</v>
      </c>
      <c r="S53">
        <v>7</v>
      </c>
      <c r="T53">
        <v>0</v>
      </c>
      <c r="U53">
        <v>0</v>
      </c>
      <c r="V53" t="s">
        <v>84</v>
      </c>
      <c r="W53">
        <v>36</v>
      </c>
      <c r="X53">
        <v>10</v>
      </c>
      <c r="Y53">
        <v>0</v>
      </c>
      <c r="Z53">
        <v>0</v>
      </c>
      <c r="AA53">
        <v>36</v>
      </c>
      <c r="AB53">
        <v>10</v>
      </c>
      <c r="AC53">
        <v>0</v>
      </c>
      <c r="AD53">
        <v>0</v>
      </c>
      <c r="AE53">
        <v>45</v>
      </c>
      <c r="AF53">
        <v>1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39</v>
      </c>
      <c r="AN53">
        <v>7</v>
      </c>
      <c r="AO53">
        <v>0</v>
      </c>
      <c r="AP53">
        <v>0</v>
      </c>
      <c r="AQ53" t="s">
        <v>84</v>
      </c>
      <c r="AR53">
        <v>36</v>
      </c>
      <c r="AS53">
        <v>10</v>
      </c>
      <c r="AT53">
        <v>0</v>
      </c>
      <c r="AU53">
        <v>0</v>
      </c>
      <c r="AV53">
        <v>36</v>
      </c>
      <c r="AW53">
        <v>10</v>
      </c>
      <c r="AX53">
        <v>0</v>
      </c>
      <c r="AY53">
        <v>0</v>
      </c>
      <c r="AZ53">
        <v>46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46</v>
      </c>
      <c r="BI53">
        <v>0</v>
      </c>
      <c r="BJ53">
        <v>0</v>
      </c>
      <c r="BK53">
        <v>0</v>
      </c>
    </row>
    <row r="54" spans="1:63">
      <c r="A54" t="s">
        <v>50</v>
      </c>
      <c r="B54">
        <v>26</v>
      </c>
      <c r="C54">
        <v>0</v>
      </c>
      <c r="D54">
        <v>0</v>
      </c>
      <c r="E54">
        <v>0</v>
      </c>
      <c r="F54">
        <v>26</v>
      </c>
      <c r="G54">
        <v>0</v>
      </c>
      <c r="H54">
        <v>0</v>
      </c>
      <c r="I54">
        <v>0</v>
      </c>
      <c r="J54">
        <v>26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26</v>
      </c>
      <c r="S54">
        <v>0</v>
      </c>
      <c r="T54">
        <v>0</v>
      </c>
      <c r="U54">
        <v>0</v>
      </c>
      <c r="V54" t="s">
        <v>50</v>
      </c>
      <c r="W54">
        <v>26</v>
      </c>
      <c r="X54">
        <v>0</v>
      </c>
      <c r="Y54">
        <v>0</v>
      </c>
      <c r="Z54">
        <v>0</v>
      </c>
      <c r="AA54">
        <v>26</v>
      </c>
      <c r="AB54">
        <v>0</v>
      </c>
      <c r="AC54">
        <v>0</v>
      </c>
      <c r="AD54">
        <v>0</v>
      </c>
      <c r="AE54">
        <v>26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26</v>
      </c>
      <c r="AN54">
        <v>0</v>
      </c>
      <c r="AO54">
        <v>0</v>
      </c>
      <c r="AP54">
        <v>0</v>
      </c>
      <c r="AQ54" t="s">
        <v>50</v>
      </c>
      <c r="AR54">
        <v>26</v>
      </c>
      <c r="AS54">
        <v>0</v>
      </c>
      <c r="AT54">
        <v>0</v>
      </c>
      <c r="AU54">
        <v>0</v>
      </c>
      <c r="AV54">
        <v>26</v>
      </c>
      <c r="AW54">
        <v>0</v>
      </c>
      <c r="AX54">
        <v>0</v>
      </c>
      <c r="AY54">
        <v>0</v>
      </c>
      <c r="AZ54">
        <v>26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26</v>
      </c>
      <c r="BI54">
        <v>0</v>
      </c>
      <c r="BJ54">
        <v>0</v>
      </c>
      <c r="BK54">
        <v>0</v>
      </c>
    </row>
    <row r="55" spans="1:63">
      <c r="A55" t="s">
        <v>47</v>
      </c>
      <c r="B55">
        <v>53</v>
      </c>
      <c r="C55">
        <v>0</v>
      </c>
      <c r="D55">
        <v>0</v>
      </c>
      <c r="E55">
        <v>0</v>
      </c>
      <c r="F55">
        <v>53</v>
      </c>
      <c r="G55">
        <v>0</v>
      </c>
      <c r="H55">
        <v>0</v>
      </c>
      <c r="I55">
        <v>0</v>
      </c>
      <c r="J55">
        <v>50</v>
      </c>
      <c r="K55">
        <v>3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50</v>
      </c>
      <c r="S55">
        <v>3</v>
      </c>
      <c r="T55">
        <v>0</v>
      </c>
      <c r="U55">
        <v>0</v>
      </c>
      <c r="V55" t="s">
        <v>47</v>
      </c>
      <c r="W55">
        <v>53</v>
      </c>
      <c r="X55">
        <v>0</v>
      </c>
      <c r="Y55">
        <v>0</v>
      </c>
      <c r="Z55">
        <v>0</v>
      </c>
      <c r="AA55">
        <v>53</v>
      </c>
      <c r="AB55">
        <v>0</v>
      </c>
      <c r="AC55">
        <v>0</v>
      </c>
      <c r="AD55">
        <v>0</v>
      </c>
      <c r="AE55">
        <v>50</v>
      </c>
      <c r="AF55">
        <v>3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50</v>
      </c>
      <c r="AN55">
        <v>3</v>
      </c>
      <c r="AO55">
        <v>0</v>
      </c>
      <c r="AP55">
        <v>0</v>
      </c>
      <c r="AQ55" t="s">
        <v>47</v>
      </c>
      <c r="AR55">
        <v>53</v>
      </c>
      <c r="AS55">
        <v>0</v>
      </c>
      <c r="AT55">
        <v>0</v>
      </c>
      <c r="AU55">
        <v>0</v>
      </c>
      <c r="AV55">
        <v>53</v>
      </c>
      <c r="AW55">
        <v>0</v>
      </c>
      <c r="AX55">
        <v>0</v>
      </c>
      <c r="AY55">
        <v>0</v>
      </c>
      <c r="AZ55">
        <v>53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53</v>
      </c>
      <c r="BI55">
        <v>0</v>
      </c>
      <c r="BJ55">
        <v>0</v>
      </c>
      <c r="BK55">
        <v>0</v>
      </c>
    </row>
    <row r="56" spans="1:63">
      <c r="A56" t="s">
        <v>57</v>
      </c>
      <c r="B56">
        <v>8</v>
      </c>
      <c r="C56">
        <v>2</v>
      </c>
      <c r="D56">
        <v>0</v>
      </c>
      <c r="E56">
        <v>0</v>
      </c>
      <c r="F56">
        <v>8</v>
      </c>
      <c r="G56">
        <v>2</v>
      </c>
      <c r="H56">
        <v>0</v>
      </c>
      <c r="I56">
        <v>0</v>
      </c>
      <c r="J56">
        <v>10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10</v>
      </c>
      <c r="S56">
        <v>0</v>
      </c>
      <c r="T56">
        <v>0</v>
      </c>
      <c r="U56">
        <v>0</v>
      </c>
      <c r="V56" t="s">
        <v>57</v>
      </c>
      <c r="W56">
        <v>8</v>
      </c>
      <c r="X56">
        <v>2</v>
      </c>
      <c r="Y56">
        <v>0</v>
      </c>
      <c r="Z56">
        <v>0</v>
      </c>
      <c r="AA56">
        <v>8</v>
      </c>
      <c r="AB56">
        <v>2</v>
      </c>
      <c r="AC56">
        <v>0</v>
      </c>
      <c r="AD56">
        <v>0</v>
      </c>
      <c r="AE56">
        <v>10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10</v>
      </c>
      <c r="AN56">
        <v>0</v>
      </c>
      <c r="AO56">
        <v>0</v>
      </c>
      <c r="AP56">
        <v>0</v>
      </c>
      <c r="AQ56" t="s">
        <v>57</v>
      </c>
      <c r="AR56">
        <v>8</v>
      </c>
      <c r="AS56">
        <v>2</v>
      </c>
      <c r="AT56">
        <v>0</v>
      </c>
      <c r="AU56">
        <v>0</v>
      </c>
      <c r="AV56">
        <v>8</v>
      </c>
      <c r="AW56">
        <v>2</v>
      </c>
      <c r="AX56">
        <v>0</v>
      </c>
      <c r="AY56">
        <v>0</v>
      </c>
      <c r="AZ56">
        <v>10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10</v>
      </c>
      <c r="BI56">
        <v>0</v>
      </c>
      <c r="BJ56">
        <v>0</v>
      </c>
      <c r="BK56">
        <v>0</v>
      </c>
    </row>
    <row r="57" spans="1:63">
      <c r="A57" t="s">
        <v>95</v>
      </c>
      <c r="B57">
        <v>11</v>
      </c>
      <c r="C57">
        <v>1</v>
      </c>
      <c r="D57">
        <v>0</v>
      </c>
      <c r="E57">
        <v>0</v>
      </c>
      <c r="F57">
        <v>11</v>
      </c>
      <c r="G57">
        <v>1</v>
      </c>
      <c r="H57">
        <v>0</v>
      </c>
      <c r="I57">
        <v>0</v>
      </c>
      <c r="J57">
        <v>12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12</v>
      </c>
      <c r="S57">
        <v>0</v>
      </c>
      <c r="T57">
        <v>0</v>
      </c>
      <c r="U57">
        <v>0</v>
      </c>
      <c r="V57" t="s">
        <v>95</v>
      </c>
      <c r="W57">
        <v>11</v>
      </c>
      <c r="X57">
        <v>1</v>
      </c>
      <c r="Y57">
        <v>0</v>
      </c>
      <c r="Z57">
        <v>0</v>
      </c>
      <c r="AA57">
        <v>11</v>
      </c>
      <c r="AB57">
        <v>1</v>
      </c>
      <c r="AC57">
        <v>0</v>
      </c>
      <c r="AD57">
        <v>0</v>
      </c>
      <c r="AE57">
        <v>12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12</v>
      </c>
      <c r="AN57">
        <v>0</v>
      </c>
      <c r="AO57">
        <v>0</v>
      </c>
      <c r="AP57">
        <v>0</v>
      </c>
      <c r="AQ57" t="s">
        <v>95</v>
      </c>
      <c r="AR57">
        <v>11</v>
      </c>
      <c r="AS57">
        <v>1</v>
      </c>
      <c r="AT57">
        <v>0</v>
      </c>
      <c r="AU57">
        <v>0</v>
      </c>
      <c r="AV57">
        <v>11</v>
      </c>
      <c r="AW57">
        <v>1</v>
      </c>
      <c r="AX57">
        <v>0</v>
      </c>
      <c r="AY57">
        <v>0</v>
      </c>
      <c r="AZ57">
        <v>12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12</v>
      </c>
      <c r="BI57">
        <v>0</v>
      </c>
      <c r="BJ57">
        <v>0</v>
      </c>
      <c r="BK57">
        <v>0</v>
      </c>
    </row>
    <row r="58" spans="1:63">
      <c r="A58" t="s">
        <v>41</v>
      </c>
      <c r="B58">
        <v>9</v>
      </c>
      <c r="C58">
        <v>0</v>
      </c>
      <c r="D58">
        <v>0</v>
      </c>
      <c r="E58">
        <v>0</v>
      </c>
      <c r="F58">
        <v>9</v>
      </c>
      <c r="G58">
        <v>0</v>
      </c>
      <c r="H58">
        <v>0</v>
      </c>
      <c r="I58">
        <v>0</v>
      </c>
      <c r="J58">
        <v>9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9</v>
      </c>
      <c r="S58">
        <v>0</v>
      </c>
      <c r="T58">
        <v>0</v>
      </c>
      <c r="U58">
        <v>0</v>
      </c>
      <c r="V58" t="s">
        <v>41</v>
      </c>
      <c r="W58">
        <v>9</v>
      </c>
      <c r="X58">
        <v>0</v>
      </c>
      <c r="Y58">
        <v>0</v>
      </c>
      <c r="Z58">
        <v>0</v>
      </c>
      <c r="AA58">
        <v>9</v>
      </c>
      <c r="AB58">
        <v>0</v>
      </c>
      <c r="AC58">
        <v>0</v>
      </c>
      <c r="AD58">
        <v>0</v>
      </c>
      <c r="AE58">
        <v>9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9</v>
      </c>
      <c r="AN58">
        <v>0</v>
      </c>
      <c r="AO58">
        <v>0</v>
      </c>
      <c r="AP58">
        <v>0</v>
      </c>
      <c r="AQ58" t="s">
        <v>41</v>
      </c>
      <c r="AR58">
        <v>9</v>
      </c>
      <c r="AS58">
        <v>0</v>
      </c>
      <c r="AT58">
        <v>0</v>
      </c>
      <c r="AU58">
        <v>0</v>
      </c>
      <c r="AV58">
        <v>9</v>
      </c>
      <c r="AW58">
        <v>0</v>
      </c>
      <c r="AX58">
        <v>0</v>
      </c>
      <c r="AY58">
        <v>0</v>
      </c>
      <c r="AZ58">
        <v>9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9</v>
      </c>
      <c r="BI58">
        <v>0</v>
      </c>
      <c r="BJ58">
        <v>0</v>
      </c>
      <c r="BK58">
        <v>0</v>
      </c>
    </row>
    <row r="59" spans="1:63">
      <c r="A59" t="s">
        <v>81</v>
      </c>
      <c r="B59">
        <v>106</v>
      </c>
      <c r="C59">
        <v>6</v>
      </c>
      <c r="D59">
        <v>0</v>
      </c>
      <c r="E59">
        <v>0</v>
      </c>
      <c r="F59">
        <v>106</v>
      </c>
      <c r="G59">
        <v>6</v>
      </c>
      <c r="H59">
        <v>0</v>
      </c>
      <c r="I59">
        <v>0</v>
      </c>
      <c r="J59">
        <v>111</v>
      </c>
      <c r="K59">
        <v>1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111</v>
      </c>
      <c r="S59">
        <v>1</v>
      </c>
      <c r="T59">
        <v>0</v>
      </c>
      <c r="U59">
        <v>0</v>
      </c>
      <c r="V59" t="s">
        <v>81</v>
      </c>
      <c r="W59">
        <v>106</v>
      </c>
      <c r="X59">
        <v>6</v>
      </c>
      <c r="Y59">
        <v>0</v>
      </c>
      <c r="Z59">
        <v>0</v>
      </c>
      <c r="AA59">
        <v>106</v>
      </c>
      <c r="AB59">
        <v>6</v>
      </c>
      <c r="AC59">
        <v>0</v>
      </c>
      <c r="AD59">
        <v>0</v>
      </c>
      <c r="AE59">
        <v>111</v>
      </c>
      <c r="AF59">
        <v>1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111</v>
      </c>
      <c r="AN59">
        <v>1</v>
      </c>
      <c r="AO59">
        <v>0</v>
      </c>
      <c r="AP59">
        <v>0</v>
      </c>
      <c r="AQ59" t="s">
        <v>81</v>
      </c>
      <c r="AR59">
        <v>106</v>
      </c>
      <c r="AS59">
        <v>6</v>
      </c>
      <c r="AT59">
        <v>0</v>
      </c>
      <c r="AU59">
        <v>0</v>
      </c>
      <c r="AV59">
        <v>106</v>
      </c>
      <c r="AW59">
        <v>6</v>
      </c>
      <c r="AX59">
        <v>0</v>
      </c>
      <c r="AY59">
        <v>0</v>
      </c>
      <c r="AZ59">
        <v>112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112</v>
      </c>
      <c r="BI59">
        <v>0</v>
      </c>
      <c r="BJ59">
        <v>0</v>
      </c>
      <c r="BK59">
        <v>0</v>
      </c>
    </row>
    <row r="60" spans="1:63">
      <c r="A60" t="s">
        <v>45</v>
      </c>
      <c r="B60">
        <v>926</v>
      </c>
      <c r="C60">
        <v>32</v>
      </c>
      <c r="D60">
        <v>0</v>
      </c>
      <c r="E60">
        <v>0</v>
      </c>
      <c r="F60">
        <v>926</v>
      </c>
      <c r="G60">
        <v>32</v>
      </c>
      <c r="H60">
        <v>0</v>
      </c>
      <c r="I60">
        <v>0</v>
      </c>
      <c r="J60">
        <v>946</v>
      </c>
      <c r="K60">
        <v>12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931</v>
      </c>
      <c r="S60">
        <v>27</v>
      </c>
      <c r="T60">
        <v>0</v>
      </c>
      <c r="U60">
        <v>0</v>
      </c>
      <c r="V60" t="s">
        <v>45</v>
      </c>
      <c r="W60">
        <v>926</v>
      </c>
      <c r="X60">
        <v>32</v>
      </c>
      <c r="Y60">
        <v>0</v>
      </c>
      <c r="Z60">
        <v>0</v>
      </c>
      <c r="AA60">
        <v>926</v>
      </c>
      <c r="AB60">
        <v>32</v>
      </c>
      <c r="AC60">
        <v>0</v>
      </c>
      <c r="AD60">
        <v>0</v>
      </c>
      <c r="AE60">
        <v>946</v>
      </c>
      <c r="AF60">
        <v>12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931</v>
      </c>
      <c r="AN60">
        <v>27</v>
      </c>
      <c r="AO60">
        <v>0</v>
      </c>
      <c r="AP60">
        <v>0</v>
      </c>
      <c r="AQ60" t="s">
        <v>45</v>
      </c>
      <c r="AR60">
        <v>926</v>
      </c>
      <c r="AS60">
        <v>32</v>
      </c>
      <c r="AT60">
        <v>0</v>
      </c>
      <c r="AU60">
        <v>0</v>
      </c>
      <c r="AV60">
        <v>926</v>
      </c>
      <c r="AW60">
        <v>32</v>
      </c>
      <c r="AX60">
        <v>0</v>
      </c>
      <c r="AY60">
        <v>0</v>
      </c>
      <c r="AZ60">
        <v>958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958</v>
      </c>
      <c r="BI60">
        <v>0</v>
      </c>
      <c r="BJ60">
        <v>0</v>
      </c>
      <c r="BK60">
        <v>0</v>
      </c>
    </row>
    <row r="61" spans="1:63">
      <c r="A61" t="s">
        <v>54</v>
      </c>
      <c r="B61">
        <v>472</v>
      </c>
      <c r="C61">
        <v>4</v>
      </c>
      <c r="D61">
        <v>0</v>
      </c>
      <c r="E61">
        <v>0</v>
      </c>
      <c r="F61">
        <v>472</v>
      </c>
      <c r="G61">
        <v>4</v>
      </c>
      <c r="H61">
        <v>0</v>
      </c>
      <c r="I61">
        <v>0</v>
      </c>
      <c r="J61">
        <v>474</v>
      </c>
      <c r="K61">
        <v>2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474</v>
      </c>
      <c r="S61">
        <v>2</v>
      </c>
      <c r="T61">
        <v>0</v>
      </c>
      <c r="U61">
        <v>0</v>
      </c>
      <c r="V61" t="s">
        <v>54</v>
      </c>
      <c r="W61">
        <v>472</v>
      </c>
      <c r="X61">
        <v>4</v>
      </c>
      <c r="Y61">
        <v>0</v>
      </c>
      <c r="Z61">
        <v>0</v>
      </c>
      <c r="AA61">
        <v>472</v>
      </c>
      <c r="AB61">
        <v>4</v>
      </c>
      <c r="AC61">
        <v>0</v>
      </c>
      <c r="AD61">
        <v>0</v>
      </c>
      <c r="AE61">
        <v>474</v>
      </c>
      <c r="AF61">
        <v>2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474</v>
      </c>
      <c r="AN61">
        <v>2</v>
      </c>
      <c r="AO61">
        <v>0</v>
      </c>
      <c r="AP61">
        <v>0</v>
      </c>
      <c r="AQ61" t="s">
        <v>54</v>
      </c>
      <c r="AR61">
        <v>472</v>
      </c>
      <c r="AS61">
        <v>4</v>
      </c>
      <c r="AT61">
        <v>0</v>
      </c>
      <c r="AU61">
        <v>0</v>
      </c>
      <c r="AV61">
        <v>472</v>
      </c>
      <c r="AW61">
        <v>4</v>
      </c>
      <c r="AX61">
        <v>0</v>
      </c>
      <c r="AY61">
        <v>0</v>
      </c>
      <c r="AZ61">
        <v>476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476</v>
      </c>
      <c r="BI61">
        <v>0</v>
      </c>
      <c r="BJ61">
        <v>0</v>
      </c>
      <c r="BK61">
        <v>0</v>
      </c>
    </row>
    <row r="62" spans="1:63">
      <c r="A62" t="s">
        <v>79</v>
      </c>
      <c r="B62">
        <v>580</v>
      </c>
      <c r="C62">
        <v>27</v>
      </c>
      <c r="D62">
        <v>0</v>
      </c>
      <c r="E62">
        <v>0</v>
      </c>
      <c r="F62">
        <v>580</v>
      </c>
      <c r="G62">
        <v>27</v>
      </c>
      <c r="H62">
        <v>0</v>
      </c>
      <c r="I62">
        <v>0</v>
      </c>
      <c r="J62">
        <v>600</v>
      </c>
      <c r="K62">
        <v>7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585</v>
      </c>
      <c r="S62">
        <v>22</v>
      </c>
      <c r="T62">
        <v>0</v>
      </c>
      <c r="U62">
        <v>0</v>
      </c>
      <c r="V62" t="s">
        <v>79</v>
      </c>
      <c r="W62">
        <v>580</v>
      </c>
      <c r="X62">
        <v>27</v>
      </c>
      <c r="Y62">
        <v>0</v>
      </c>
      <c r="Z62">
        <v>0</v>
      </c>
      <c r="AA62">
        <v>580</v>
      </c>
      <c r="AB62">
        <v>27</v>
      </c>
      <c r="AC62">
        <v>0</v>
      </c>
      <c r="AD62">
        <v>0</v>
      </c>
      <c r="AE62">
        <v>600</v>
      </c>
      <c r="AF62">
        <v>7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585</v>
      </c>
      <c r="AN62">
        <v>22</v>
      </c>
      <c r="AO62">
        <v>0</v>
      </c>
      <c r="AP62">
        <v>0</v>
      </c>
      <c r="AQ62" t="s">
        <v>79</v>
      </c>
      <c r="AR62">
        <v>580</v>
      </c>
      <c r="AS62">
        <v>27</v>
      </c>
      <c r="AT62">
        <v>0</v>
      </c>
      <c r="AU62">
        <v>0</v>
      </c>
      <c r="AV62">
        <v>580</v>
      </c>
      <c r="AW62">
        <v>27</v>
      </c>
      <c r="AX62">
        <v>0</v>
      </c>
      <c r="AY62">
        <v>0</v>
      </c>
      <c r="AZ62">
        <v>607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607</v>
      </c>
      <c r="BI62">
        <v>0</v>
      </c>
      <c r="BJ62">
        <v>0</v>
      </c>
      <c r="BK62">
        <v>0</v>
      </c>
    </row>
    <row r="63" spans="1:63">
      <c r="A63" t="s">
        <v>9</v>
      </c>
      <c r="B63">
        <v>732</v>
      </c>
      <c r="C63">
        <v>5</v>
      </c>
      <c r="D63">
        <v>0</v>
      </c>
      <c r="E63">
        <v>0</v>
      </c>
      <c r="F63">
        <v>732</v>
      </c>
      <c r="G63">
        <v>5</v>
      </c>
      <c r="H63">
        <v>0</v>
      </c>
      <c r="I63">
        <v>0</v>
      </c>
      <c r="J63">
        <v>734</v>
      </c>
      <c r="K63">
        <v>3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734</v>
      </c>
      <c r="S63">
        <v>3</v>
      </c>
      <c r="T63">
        <v>0</v>
      </c>
      <c r="U63">
        <v>0</v>
      </c>
      <c r="V63" t="s">
        <v>9</v>
      </c>
      <c r="W63">
        <v>732</v>
      </c>
      <c r="X63">
        <v>5</v>
      </c>
      <c r="Y63">
        <v>0</v>
      </c>
      <c r="Z63">
        <v>0</v>
      </c>
      <c r="AA63">
        <v>732</v>
      </c>
      <c r="AB63">
        <v>5</v>
      </c>
      <c r="AC63">
        <v>0</v>
      </c>
      <c r="AD63">
        <v>0</v>
      </c>
      <c r="AE63">
        <v>734</v>
      </c>
      <c r="AF63">
        <v>3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734</v>
      </c>
      <c r="AN63">
        <v>3</v>
      </c>
      <c r="AO63">
        <v>0</v>
      </c>
      <c r="AP63">
        <v>0</v>
      </c>
      <c r="AQ63" t="s">
        <v>9</v>
      </c>
      <c r="AR63">
        <v>732</v>
      </c>
      <c r="AS63">
        <v>5</v>
      </c>
      <c r="AT63">
        <v>0</v>
      </c>
      <c r="AU63">
        <v>0</v>
      </c>
      <c r="AV63">
        <v>732</v>
      </c>
      <c r="AW63">
        <v>5</v>
      </c>
      <c r="AX63">
        <v>0</v>
      </c>
      <c r="AY63">
        <v>0</v>
      </c>
      <c r="AZ63">
        <v>737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737</v>
      </c>
      <c r="BI63">
        <v>0</v>
      </c>
      <c r="BJ63">
        <v>0</v>
      </c>
      <c r="BK63">
        <v>0</v>
      </c>
    </row>
    <row r="64" spans="1:63">
      <c r="A64" t="s">
        <v>7</v>
      </c>
      <c r="B64">
        <v>56</v>
      </c>
      <c r="C64">
        <v>1</v>
      </c>
      <c r="D64">
        <v>0</v>
      </c>
      <c r="E64">
        <v>0</v>
      </c>
      <c r="F64">
        <v>56</v>
      </c>
      <c r="G64">
        <v>1</v>
      </c>
      <c r="H64">
        <v>0</v>
      </c>
      <c r="I64">
        <v>0</v>
      </c>
      <c r="J64">
        <v>57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57</v>
      </c>
      <c r="S64">
        <v>0</v>
      </c>
      <c r="T64">
        <v>0</v>
      </c>
      <c r="U64">
        <v>0</v>
      </c>
      <c r="V64" t="s">
        <v>7</v>
      </c>
      <c r="W64">
        <v>56</v>
      </c>
      <c r="X64">
        <v>1</v>
      </c>
      <c r="Y64">
        <v>0</v>
      </c>
      <c r="Z64">
        <v>0</v>
      </c>
      <c r="AA64">
        <v>56</v>
      </c>
      <c r="AB64">
        <v>1</v>
      </c>
      <c r="AC64">
        <v>0</v>
      </c>
      <c r="AD64">
        <v>0</v>
      </c>
      <c r="AE64">
        <v>57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57</v>
      </c>
      <c r="AN64">
        <v>0</v>
      </c>
      <c r="AO64">
        <v>0</v>
      </c>
      <c r="AP64">
        <v>0</v>
      </c>
      <c r="AQ64" t="s">
        <v>7</v>
      </c>
      <c r="AR64">
        <v>56</v>
      </c>
      <c r="AS64">
        <v>1</v>
      </c>
      <c r="AT64">
        <v>0</v>
      </c>
      <c r="AU64">
        <v>0</v>
      </c>
      <c r="AV64">
        <v>56</v>
      </c>
      <c r="AW64">
        <v>1</v>
      </c>
      <c r="AX64">
        <v>0</v>
      </c>
      <c r="AY64">
        <v>0</v>
      </c>
      <c r="AZ64">
        <v>57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57</v>
      </c>
      <c r="BI64">
        <v>0</v>
      </c>
      <c r="BJ64">
        <v>0</v>
      </c>
      <c r="BK64">
        <v>0</v>
      </c>
    </row>
    <row r="65" spans="1:63">
      <c r="A65" t="s">
        <v>46</v>
      </c>
      <c r="B65">
        <v>26</v>
      </c>
      <c r="C65">
        <v>1</v>
      </c>
      <c r="D65">
        <v>0</v>
      </c>
      <c r="E65">
        <v>0</v>
      </c>
      <c r="F65">
        <v>26</v>
      </c>
      <c r="G65">
        <v>1</v>
      </c>
      <c r="H65">
        <v>0</v>
      </c>
      <c r="I65">
        <v>0</v>
      </c>
      <c r="J65">
        <v>27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27</v>
      </c>
      <c r="S65">
        <v>0</v>
      </c>
      <c r="T65">
        <v>0</v>
      </c>
      <c r="U65">
        <v>0</v>
      </c>
      <c r="V65" t="s">
        <v>46</v>
      </c>
      <c r="W65">
        <v>26</v>
      </c>
      <c r="X65">
        <v>1</v>
      </c>
      <c r="Y65">
        <v>0</v>
      </c>
      <c r="Z65">
        <v>0</v>
      </c>
      <c r="AA65">
        <v>26</v>
      </c>
      <c r="AB65">
        <v>1</v>
      </c>
      <c r="AC65">
        <v>0</v>
      </c>
      <c r="AD65">
        <v>0</v>
      </c>
      <c r="AE65">
        <v>27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27</v>
      </c>
      <c r="AN65">
        <v>0</v>
      </c>
      <c r="AO65">
        <v>0</v>
      </c>
      <c r="AP65">
        <v>0</v>
      </c>
      <c r="AQ65" t="s">
        <v>46</v>
      </c>
      <c r="AR65">
        <v>26</v>
      </c>
      <c r="AS65">
        <v>1</v>
      </c>
      <c r="AT65">
        <v>0</v>
      </c>
      <c r="AU65">
        <v>0</v>
      </c>
      <c r="AV65">
        <v>26</v>
      </c>
      <c r="AW65">
        <v>1</v>
      </c>
      <c r="AX65">
        <v>0</v>
      </c>
      <c r="AY65">
        <v>0</v>
      </c>
      <c r="AZ65">
        <v>27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27</v>
      </c>
      <c r="BI65">
        <v>0</v>
      </c>
      <c r="BJ65">
        <v>0</v>
      </c>
      <c r="BK65">
        <v>0</v>
      </c>
    </row>
    <row r="66" spans="1:63">
      <c r="A66" t="s">
        <v>99</v>
      </c>
      <c r="B66">
        <v>171</v>
      </c>
      <c r="C66">
        <v>4</v>
      </c>
      <c r="D66">
        <v>0</v>
      </c>
      <c r="E66">
        <v>0</v>
      </c>
      <c r="F66">
        <v>171</v>
      </c>
      <c r="G66">
        <v>4</v>
      </c>
      <c r="H66">
        <v>0</v>
      </c>
      <c r="I66">
        <v>0</v>
      </c>
      <c r="J66">
        <v>175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175</v>
      </c>
      <c r="S66">
        <v>0</v>
      </c>
      <c r="T66">
        <v>0</v>
      </c>
      <c r="U66">
        <v>0</v>
      </c>
      <c r="V66" t="s">
        <v>99</v>
      </c>
      <c r="W66">
        <v>171</v>
      </c>
      <c r="X66">
        <v>4</v>
      </c>
      <c r="Y66">
        <v>0</v>
      </c>
      <c r="Z66">
        <v>0</v>
      </c>
      <c r="AA66">
        <v>171</v>
      </c>
      <c r="AB66">
        <v>4</v>
      </c>
      <c r="AC66">
        <v>0</v>
      </c>
      <c r="AD66">
        <v>0</v>
      </c>
      <c r="AE66">
        <v>175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175</v>
      </c>
      <c r="AN66">
        <v>0</v>
      </c>
      <c r="AO66">
        <v>0</v>
      </c>
      <c r="AP66">
        <v>0</v>
      </c>
      <c r="AQ66" t="s">
        <v>99</v>
      </c>
      <c r="AR66">
        <v>171</v>
      </c>
      <c r="AS66">
        <v>4</v>
      </c>
      <c r="AT66">
        <v>0</v>
      </c>
      <c r="AU66">
        <v>0</v>
      </c>
      <c r="AV66">
        <v>171</v>
      </c>
      <c r="AW66">
        <v>4</v>
      </c>
      <c r="AX66">
        <v>0</v>
      </c>
      <c r="AY66">
        <v>0</v>
      </c>
      <c r="AZ66">
        <v>175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175</v>
      </c>
      <c r="BI66">
        <v>0</v>
      </c>
      <c r="BJ66">
        <v>0</v>
      </c>
      <c r="BK66">
        <v>0</v>
      </c>
    </row>
    <row r="67" spans="1:63">
      <c r="A67" t="s">
        <v>96</v>
      </c>
      <c r="B67">
        <v>268</v>
      </c>
      <c r="C67">
        <v>4</v>
      </c>
      <c r="D67">
        <v>0</v>
      </c>
      <c r="E67">
        <v>0</v>
      </c>
      <c r="F67">
        <v>268</v>
      </c>
      <c r="G67">
        <v>4</v>
      </c>
      <c r="H67">
        <v>0</v>
      </c>
      <c r="I67">
        <v>0</v>
      </c>
      <c r="J67">
        <v>271</v>
      </c>
      <c r="K67">
        <v>1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271</v>
      </c>
      <c r="S67">
        <v>1</v>
      </c>
      <c r="T67">
        <v>0</v>
      </c>
      <c r="U67">
        <v>0</v>
      </c>
      <c r="V67" t="s">
        <v>96</v>
      </c>
      <c r="W67">
        <v>268</v>
      </c>
      <c r="X67">
        <v>4</v>
      </c>
      <c r="Y67">
        <v>0</v>
      </c>
      <c r="Z67">
        <v>0</v>
      </c>
      <c r="AA67">
        <v>268</v>
      </c>
      <c r="AB67">
        <v>4</v>
      </c>
      <c r="AC67">
        <v>0</v>
      </c>
      <c r="AD67">
        <v>0</v>
      </c>
      <c r="AE67">
        <v>271</v>
      </c>
      <c r="AF67">
        <v>1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271</v>
      </c>
      <c r="AN67">
        <v>1</v>
      </c>
      <c r="AO67">
        <v>0</v>
      </c>
      <c r="AP67">
        <v>0</v>
      </c>
      <c r="AQ67" t="s">
        <v>96</v>
      </c>
      <c r="AR67">
        <v>268</v>
      </c>
      <c r="AS67">
        <v>4</v>
      </c>
      <c r="AT67">
        <v>0</v>
      </c>
      <c r="AU67">
        <v>0</v>
      </c>
      <c r="AV67">
        <v>268</v>
      </c>
      <c r="AW67">
        <v>4</v>
      </c>
      <c r="AX67">
        <v>0</v>
      </c>
      <c r="AY67">
        <v>0</v>
      </c>
      <c r="AZ67">
        <v>272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272</v>
      </c>
      <c r="BI67">
        <v>0</v>
      </c>
      <c r="BJ67">
        <v>0</v>
      </c>
      <c r="BK67">
        <v>0</v>
      </c>
    </row>
    <row r="68" spans="1:63">
      <c r="A68" t="s">
        <v>13</v>
      </c>
      <c r="B68">
        <v>22</v>
      </c>
      <c r="C68">
        <v>0</v>
      </c>
      <c r="D68">
        <v>0</v>
      </c>
      <c r="E68">
        <v>0</v>
      </c>
      <c r="F68">
        <v>22</v>
      </c>
      <c r="G68">
        <v>0</v>
      </c>
      <c r="H68">
        <v>0</v>
      </c>
      <c r="I68">
        <v>0</v>
      </c>
      <c r="J68">
        <v>22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22</v>
      </c>
      <c r="S68">
        <v>0</v>
      </c>
      <c r="T68">
        <v>0</v>
      </c>
      <c r="U68">
        <v>0</v>
      </c>
      <c r="V68" t="s">
        <v>13</v>
      </c>
      <c r="W68">
        <v>22</v>
      </c>
      <c r="X68">
        <v>0</v>
      </c>
      <c r="Y68">
        <v>0</v>
      </c>
      <c r="Z68">
        <v>0</v>
      </c>
      <c r="AA68">
        <v>22</v>
      </c>
      <c r="AB68">
        <v>0</v>
      </c>
      <c r="AC68">
        <v>0</v>
      </c>
      <c r="AD68">
        <v>0</v>
      </c>
      <c r="AE68">
        <v>22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22</v>
      </c>
      <c r="AN68">
        <v>0</v>
      </c>
      <c r="AO68">
        <v>0</v>
      </c>
      <c r="AP68">
        <v>0</v>
      </c>
      <c r="AQ68" t="s">
        <v>13</v>
      </c>
      <c r="AR68">
        <v>22</v>
      </c>
      <c r="AS68">
        <v>0</v>
      </c>
      <c r="AT68">
        <v>0</v>
      </c>
      <c r="AU68">
        <v>0</v>
      </c>
      <c r="AV68">
        <v>22</v>
      </c>
      <c r="AW68">
        <v>0</v>
      </c>
      <c r="AX68">
        <v>0</v>
      </c>
      <c r="AY68">
        <v>0</v>
      </c>
      <c r="AZ68">
        <v>22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22</v>
      </c>
      <c r="BI68">
        <v>0</v>
      </c>
      <c r="BJ68">
        <v>0</v>
      </c>
      <c r="BK68">
        <v>0</v>
      </c>
    </row>
    <row r="69" spans="1:63">
      <c r="A69" t="s">
        <v>93</v>
      </c>
      <c r="B69">
        <v>21</v>
      </c>
      <c r="C69">
        <v>0</v>
      </c>
      <c r="D69">
        <v>0</v>
      </c>
      <c r="E69">
        <v>0</v>
      </c>
      <c r="F69">
        <v>21</v>
      </c>
      <c r="G69">
        <v>0</v>
      </c>
      <c r="H69">
        <v>0</v>
      </c>
      <c r="I69">
        <v>0</v>
      </c>
      <c r="J69">
        <v>21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21</v>
      </c>
      <c r="S69">
        <v>0</v>
      </c>
      <c r="T69">
        <v>0</v>
      </c>
      <c r="U69">
        <v>0</v>
      </c>
      <c r="V69" t="s">
        <v>93</v>
      </c>
      <c r="W69">
        <v>21</v>
      </c>
      <c r="X69">
        <v>0</v>
      </c>
      <c r="Y69">
        <v>0</v>
      </c>
      <c r="Z69">
        <v>0</v>
      </c>
      <c r="AA69">
        <v>21</v>
      </c>
      <c r="AB69">
        <v>0</v>
      </c>
      <c r="AC69">
        <v>0</v>
      </c>
      <c r="AD69">
        <v>0</v>
      </c>
      <c r="AE69">
        <v>21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21</v>
      </c>
      <c r="AN69">
        <v>0</v>
      </c>
      <c r="AO69">
        <v>0</v>
      </c>
      <c r="AP69">
        <v>0</v>
      </c>
      <c r="AQ69" t="s">
        <v>93</v>
      </c>
      <c r="AR69">
        <v>21</v>
      </c>
      <c r="AS69">
        <v>0</v>
      </c>
      <c r="AT69">
        <v>0</v>
      </c>
      <c r="AU69">
        <v>0</v>
      </c>
      <c r="AV69">
        <v>21</v>
      </c>
      <c r="AW69">
        <v>0</v>
      </c>
      <c r="AX69">
        <v>0</v>
      </c>
      <c r="AY69">
        <v>0</v>
      </c>
      <c r="AZ69">
        <v>21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21</v>
      </c>
      <c r="BI69">
        <v>0</v>
      </c>
      <c r="BJ69">
        <v>0</v>
      </c>
      <c r="BK69">
        <v>0</v>
      </c>
    </row>
    <row r="70" spans="1:63">
      <c r="A70" t="s">
        <v>48</v>
      </c>
      <c r="B70">
        <v>117</v>
      </c>
      <c r="C70">
        <v>3</v>
      </c>
      <c r="D70">
        <v>0</v>
      </c>
      <c r="E70">
        <v>0</v>
      </c>
      <c r="F70">
        <v>117</v>
      </c>
      <c r="G70">
        <v>3</v>
      </c>
      <c r="H70">
        <v>0</v>
      </c>
      <c r="I70">
        <v>0</v>
      </c>
      <c r="J70">
        <v>118</v>
      </c>
      <c r="K70">
        <v>2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118</v>
      </c>
      <c r="S70">
        <v>2</v>
      </c>
      <c r="T70">
        <v>0</v>
      </c>
      <c r="U70">
        <v>0</v>
      </c>
      <c r="V70" t="s">
        <v>48</v>
      </c>
      <c r="W70">
        <v>117</v>
      </c>
      <c r="X70">
        <v>3</v>
      </c>
      <c r="Y70">
        <v>0</v>
      </c>
      <c r="Z70">
        <v>0</v>
      </c>
      <c r="AA70">
        <v>117</v>
      </c>
      <c r="AB70">
        <v>3</v>
      </c>
      <c r="AC70">
        <v>0</v>
      </c>
      <c r="AD70">
        <v>0</v>
      </c>
      <c r="AE70">
        <v>118</v>
      </c>
      <c r="AF70">
        <v>2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118</v>
      </c>
      <c r="AN70">
        <v>2</v>
      </c>
      <c r="AO70">
        <v>0</v>
      </c>
      <c r="AP70">
        <v>0</v>
      </c>
      <c r="AQ70" t="s">
        <v>48</v>
      </c>
      <c r="AR70">
        <v>117</v>
      </c>
      <c r="AS70">
        <v>3</v>
      </c>
      <c r="AT70">
        <v>0</v>
      </c>
      <c r="AU70">
        <v>0</v>
      </c>
      <c r="AV70">
        <v>117</v>
      </c>
      <c r="AW70">
        <v>3</v>
      </c>
      <c r="AX70">
        <v>0</v>
      </c>
      <c r="AY70">
        <v>0</v>
      </c>
      <c r="AZ70">
        <v>120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120</v>
      </c>
      <c r="BI70">
        <v>0</v>
      </c>
      <c r="BJ70">
        <v>0</v>
      </c>
      <c r="BK70">
        <v>0</v>
      </c>
    </row>
    <row r="71" spans="1:63">
      <c r="A71" t="s">
        <v>103</v>
      </c>
      <c r="B71">
        <v>158</v>
      </c>
      <c r="C71">
        <v>4</v>
      </c>
      <c r="D71">
        <v>0</v>
      </c>
      <c r="E71">
        <v>0</v>
      </c>
      <c r="F71">
        <v>158</v>
      </c>
      <c r="G71">
        <v>4</v>
      </c>
      <c r="H71">
        <v>0</v>
      </c>
      <c r="I71">
        <v>0</v>
      </c>
      <c r="J71">
        <v>161</v>
      </c>
      <c r="K71">
        <v>1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161</v>
      </c>
      <c r="S71">
        <v>1</v>
      </c>
      <c r="T71">
        <v>0</v>
      </c>
      <c r="U71">
        <v>0</v>
      </c>
      <c r="V71" t="s">
        <v>103</v>
      </c>
      <c r="W71">
        <v>158</v>
      </c>
      <c r="X71">
        <v>4</v>
      </c>
      <c r="Y71">
        <v>0</v>
      </c>
      <c r="Z71">
        <v>0</v>
      </c>
      <c r="AA71">
        <v>158</v>
      </c>
      <c r="AB71">
        <v>4</v>
      </c>
      <c r="AC71">
        <v>0</v>
      </c>
      <c r="AD71">
        <v>0</v>
      </c>
      <c r="AE71">
        <v>161</v>
      </c>
      <c r="AF71">
        <v>1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161</v>
      </c>
      <c r="AN71">
        <v>1</v>
      </c>
      <c r="AO71">
        <v>0</v>
      </c>
      <c r="AP71">
        <v>0</v>
      </c>
      <c r="AQ71" t="s">
        <v>103</v>
      </c>
      <c r="AR71">
        <v>158</v>
      </c>
      <c r="AS71">
        <v>4</v>
      </c>
      <c r="AT71">
        <v>0</v>
      </c>
      <c r="AU71">
        <v>0</v>
      </c>
      <c r="AV71">
        <v>158</v>
      </c>
      <c r="AW71">
        <v>4</v>
      </c>
      <c r="AX71">
        <v>0</v>
      </c>
      <c r="AY71">
        <v>0</v>
      </c>
      <c r="AZ71">
        <v>162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162</v>
      </c>
      <c r="BI71">
        <v>0</v>
      </c>
      <c r="BJ71">
        <v>0</v>
      </c>
      <c r="BK71">
        <v>0</v>
      </c>
    </row>
    <row r="72" spans="1:63">
      <c r="A72" t="s">
        <v>31</v>
      </c>
      <c r="B72">
        <v>254</v>
      </c>
      <c r="C72">
        <v>4</v>
      </c>
      <c r="D72">
        <v>0</v>
      </c>
      <c r="E72">
        <v>0</v>
      </c>
      <c r="F72">
        <v>254</v>
      </c>
      <c r="G72">
        <v>4</v>
      </c>
      <c r="H72">
        <v>0</v>
      </c>
      <c r="I72">
        <v>0</v>
      </c>
      <c r="J72">
        <v>256</v>
      </c>
      <c r="K72">
        <v>2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256</v>
      </c>
      <c r="S72">
        <v>2</v>
      </c>
      <c r="T72">
        <v>0</v>
      </c>
      <c r="U72">
        <v>0</v>
      </c>
      <c r="V72" t="s">
        <v>31</v>
      </c>
      <c r="W72">
        <v>254</v>
      </c>
      <c r="X72">
        <v>4</v>
      </c>
      <c r="Y72">
        <v>0</v>
      </c>
      <c r="Z72">
        <v>0</v>
      </c>
      <c r="AA72">
        <v>254</v>
      </c>
      <c r="AB72">
        <v>4</v>
      </c>
      <c r="AC72">
        <v>0</v>
      </c>
      <c r="AD72">
        <v>0</v>
      </c>
      <c r="AE72">
        <v>256</v>
      </c>
      <c r="AF72">
        <v>2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256</v>
      </c>
      <c r="AN72">
        <v>2</v>
      </c>
      <c r="AO72">
        <v>0</v>
      </c>
      <c r="AP72">
        <v>0</v>
      </c>
      <c r="AQ72" t="s">
        <v>31</v>
      </c>
      <c r="AR72">
        <v>254</v>
      </c>
      <c r="AS72">
        <v>4</v>
      </c>
      <c r="AT72">
        <v>0</v>
      </c>
      <c r="AU72">
        <v>0</v>
      </c>
      <c r="AV72">
        <v>254</v>
      </c>
      <c r="AW72">
        <v>4</v>
      </c>
      <c r="AX72">
        <v>0</v>
      </c>
      <c r="AY72">
        <v>0</v>
      </c>
      <c r="AZ72">
        <v>258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258</v>
      </c>
      <c r="BI72">
        <v>0</v>
      </c>
      <c r="BJ72">
        <v>0</v>
      </c>
      <c r="BK72">
        <v>0</v>
      </c>
    </row>
    <row r="73" spans="1:63">
      <c r="A73" t="s">
        <v>33</v>
      </c>
      <c r="B73">
        <v>296</v>
      </c>
      <c r="C73">
        <v>18</v>
      </c>
      <c r="D73">
        <v>0</v>
      </c>
      <c r="E73">
        <v>0</v>
      </c>
      <c r="F73">
        <v>296</v>
      </c>
      <c r="G73">
        <v>18</v>
      </c>
      <c r="H73">
        <v>0</v>
      </c>
      <c r="I73">
        <v>0</v>
      </c>
      <c r="J73">
        <v>312</v>
      </c>
      <c r="K73">
        <v>2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312</v>
      </c>
      <c r="S73">
        <v>2</v>
      </c>
      <c r="T73">
        <v>0</v>
      </c>
      <c r="U73">
        <v>0</v>
      </c>
      <c r="V73" t="s">
        <v>33</v>
      </c>
      <c r="W73">
        <v>296</v>
      </c>
      <c r="X73">
        <v>18</v>
      </c>
      <c r="Y73">
        <v>0</v>
      </c>
      <c r="Z73">
        <v>0</v>
      </c>
      <c r="AA73">
        <v>296</v>
      </c>
      <c r="AB73">
        <v>18</v>
      </c>
      <c r="AC73">
        <v>0</v>
      </c>
      <c r="AD73">
        <v>0</v>
      </c>
      <c r="AE73">
        <v>312</v>
      </c>
      <c r="AF73">
        <v>2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312</v>
      </c>
      <c r="AN73">
        <v>2</v>
      </c>
      <c r="AO73">
        <v>0</v>
      </c>
      <c r="AP73">
        <v>0</v>
      </c>
      <c r="AQ73" t="s">
        <v>33</v>
      </c>
      <c r="AR73">
        <v>296</v>
      </c>
      <c r="AS73">
        <v>18</v>
      </c>
      <c r="AT73">
        <v>0</v>
      </c>
      <c r="AU73">
        <v>0</v>
      </c>
      <c r="AV73">
        <v>296</v>
      </c>
      <c r="AW73">
        <v>18</v>
      </c>
      <c r="AX73">
        <v>0</v>
      </c>
      <c r="AY73">
        <v>0</v>
      </c>
      <c r="AZ73">
        <v>314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314</v>
      </c>
      <c r="BI73">
        <v>0</v>
      </c>
      <c r="BJ73">
        <v>0</v>
      </c>
      <c r="BK73">
        <v>0</v>
      </c>
    </row>
    <row r="74" spans="1:63">
      <c r="A74" t="s">
        <v>75</v>
      </c>
      <c r="B74">
        <v>300</v>
      </c>
      <c r="C74">
        <v>12</v>
      </c>
      <c r="D74">
        <v>0</v>
      </c>
      <c r="E74">
        <v>0</v>
      </c>
      <c r="F74">
        <v>300</v>
      </c>
      <c r="G74">
        <v>12</v>
      </c>
      <c r="H74">
        <v>0</v>
      </c>
      <c r="I74">
        <v>0</v>
      </c>
      <c r="J74">
        <v>310</v>
      </c>
      <c r="K74">
        <v>2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310</v>
      </c>
      <c r="S74">
        <v>2</v>
      </c>
      <c r="T74">
        <v>0</v>
      </c>
      <c r="U74">
        <v>0</v>
      </c>
      <c r="V74" t="s">
        <v>75</v>
      </c>
      <c r="W74">
        <v>300</v>
      </c>
      <c r="X74">
        <v>12</v>
      </c>
      <c r="Y74">
        <v>0</v>
      </c>
      <c r="Z74">
        <v>0</v>
      </c>
      <c r="AA74">
        <v>300</v>
      </c>
      <c r="AB74">
        <v>12</v>
      </c>
      <c r="AC74">
        <v>0</v>
      </c>
      <c r="AD74">
        <v>0</v>
      </c>
      <c r="AE74">
        <v>310</v>
      </c>
      <c r="AF74">
        <v>2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310</v>
      </c>
      <c r="AN74">
        <v>2</v>
      </c>
      <c r="AO74">
        <v>0</v>
      </c>
      <c r="AP74">
        <v>0</v>
      </c>
      <c r="AQ74" t="s">
        <v>75</v>
      </c>
      <c r="AR74">
        <v>300</v>
      </c>
      <c r="AS74">
        <v>12</v>
      </c>
      <c r="AT74">
        <v>0</v>
      </c>
      <c r="AU74">
        <v>0</v>
      </c>
      <c r="AV74">
        <v>300</v>
      </c>
      <c r="AW74">
        <v>12</v>
      </c>
      <c r="AX74">
        <v>0</v>
      </c>
      <c r="AY74">
        <v>0</v>
      </c>
      <c r="AZ74">
        <v>312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312</v>
      </c>
      <c r="BI74">
        <v>0</v>
      </c>
      <c r="BJ74">
        <v>0</v>
      </c>
      <c r="BK74">
        <v>0</v>
      </c>
    </row>
    <row r="75" spans="1:63">
      <c r="A75" t="s">
        <v>23</v>
      </c>
      <c r="B75">
        <v>89</v>
      </c>
      <c r="C75">
        <v>12</v>
      </c>
      <c r="D75">
        <v>0</v>
      </c>
      <c r="E75">
        <v>0</v>
      </c>
      <c r="F75">
        <v>89</v>
      </c>
      <c r="G75">
        <v>12</v>
      </c>
      <c r="H75">
        <v>0</v>
      </c>
      <c r="I75">
        <v>0</v>
      </c>
      <c r="J75">
        <v>238</v>
      </c>
      <c r="K75">
        <v>2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101</v>
      </c>
      <c r="S75">
        <v>0</v>
      </c>
      <c r="T75">
        <v>0</v>
      </c>
      <c r="U75">
        <v>0</v>
      </c>
      <c r="V75" t="s">
        <v>23</v>
      </c>
      <c r="W75">
        <v>89</v>
      </c>
      <c r="X75">
        <v>12</v>
      </c>
      <c r="Y75">
        <v>0</v>
      </c>
      <c r="Z75">
        <v>0</v>
      </c>
      <c r="AA75">
        <v>89</v>
      </c>
      <c r="AB75">
        <v>12</v>
      </c>
      <c r="AC75">
        <v>0</v>
      </c>
      <c r="AD75">
        <v>0</v>
      </c>
      <c r="AE75">
        <v>238</v>
      </c>
      <c r="AF75">
        <v>2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101</v>
      </c>
      <c r="AN75">
        <v>0</v>
      </c>
      <c r="AO75">
        <v>0</v>
      </c>
      <c r="AP75">
        <v>0</v>
      </c>
      <c r="AQ75" t="s">
        <v>23</v>
      </c>
      <c r="AR75">
        <v>89</v>
      </c>
      <c r="AS75">
        <v>12</v>
      </c>
      <c r="AT75">
        <v>0</v>
      </c>
      <c r="AU75">
        <v>0</v>
      </c>
      <c r="AV75">
        <v>89</v>
      </c>
      <c r="AW75">
        <v>12</v>
      </c>
      <c r="AX75">
        <v>0</v>
      </c>
      <c r="AY75">
        <v>0</v>
      </c>
      <c r="AZ75">
        <v>240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101</v>
      </c>
      <c r="BI75">
        <v>0</v>
      </c>
      <c r="BJ75">
        <v>0</v>
      </c>
      <c r="BK75">
        <v>0</v>
      </c>
    </row>
    <row r="76" spans="1:63">
      <c r="A76" t="s">
        <v>102</v>
      </c>
      <c r="B76">
        <v>62</v>
      </c>
      <c r="C76">
        <v>8</v>
      </c>
      <c r="D76">
        <v>0</v>
      </c>
      <c r="E76">
        <v>0</v>
      </c>
      <c r="F76">
        <v>62</v>
      </c>
      <c r="G76">
        <v>8</v>
      </c>
      <c r="H76">
        <v>0</v>
      </c>
      <c r="I76">
        <v>0</v>
      </c>
      <c r="J76">
        <v>66</v>
      </c>
      <c r="K76">
        <v>4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61</v>
      </c>
      <c r="S76">
        <v>9</v>
      </c>
      <c r="T76">
        <v>0</v>
      </c>
      <c r="U76">
        <v>0</v>
      </c>
      <c r="V76" t="s">
        <v>102</v>
      </c>
      <c r="W76">
        <v>62</v>
      </c>
      <c r="X76">
        <v>8</v>
      </c>
      <c r="Y76">
        <v>0</v>
      </c>
      <c r="Z76">
        <v>0</v>
      </c>
      <c r="AA76">
        <v>62</v>
      </c>
      <c r="AB76">
        <v>8</v>
      </c>
      <c r="AC76">
        <v>0</v>
      </c>
      <c r="AD76">
        <v>0</v>
      </c>
      <c r="AE76">
        <v>66</v>
      </c>
      <c r="AF76">
        <v>4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61</v>
      </c>
      <c r="AN76">
        <v>9</v>
      </c>
      <c r="AO76">
        <v>0</v>
      </c>
      <c r="AP76">
        <v>0</v>
      </c>
      <c r="AQ76" t="s">
        <v>102</v>
      </c>
      <c r="AR76">
        <v>62</v>
      </c>
      <c r="AS76">
        <v>8</v>
      </c>
      <c r="AT76">
        <v>0</v>
      </c>
      <c r="AU76">
        <v>0</v>
      </c>
      <c r="AV76">
        <v>62</v>
      </c>
      <c r="AW76">
        <v>8</v>
      </c>
      <c r="AX76">
        <v>0</v>
      </c>
      <c r="AY76">
        <v>0</v>
      </c>
      <c r="AZ76">
        <v>70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70</v>
      </c>
      <c r="BI76">
        <v>0</v>
      </c>
      <c r="BJ76">
        <v>0</v>
      </c>
      <c r="BK76">
        <v>0</v>
      </c>
    </row>
    <row r="77" spans="1:63">
      <c r="A77" t="s">
        <v>67</v>
      </c>
      <c r="B77">
        <v>147</v>
      </c>
      <c r="C77">
        <v>0</v>
      </c>
      <c r="D77">
        <v>0</v>
      </c>
      <c r="E77">
        <v>0</v>
      </c>
      <c r="F77">
        <v>147</v>
      </c>
      <c r="G77">
        <v>0</v>
      </c>
      <c r="H77">
        <v>0</v>
      </c>
      <c r="I77">
        <v>0</v>
      </c>
      <c r="J77">
        <v>147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147</v>
      </c>
      <c r="S77">
        <v>0</v>
      </c>
      <c r="T77">
        <v>0</v>
      </c>
      <c r="U77">
        <v>0</v>
      </c>
      <c r="V77" t="s">
        <v>67</v>
      </c>
      <c r="W77">
        <v>147</v>
      </c>
      <c r="X77">
        <v>0</v>
      </c>
      <c r="Y77">
        <v>0</v>
      </c>
      <c r="Z77">
        <v>0</v>
      </c>
      <c r="AA77">
        <v>147</v>
      </c>
      <c r="AB77">
        <v>0</v>
      </c>
      <c r="AC77">
        <v>0</v>
      </c>
      <c r="AD77">
        <v>0</v>
      </c>
      <c r="AE77">
        <v>147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147</v>
      </c>
      <c r="AN77">
        <v>0</v>
      </c>
      <c r="AO77">
        <v>0</v>
      </c>
      <c r="AP77">
        <v>0</v>
      </c>
      <c r="AQ77" t="s">
        <v>67</v>
      </c>
      <c r="AR77">
        <v>147</v>
      </c>
      <c r="AS77">
        <v>0</v>
      </c>
      <c r="AT77">
        <v>0</v>
      </c>
      <c r="AU77">
        <v>0</v>
      </c>
      <c r="AV77">
        <v>147</v>
      </c>
      <c r="AW77">
        <v>0</v>
      </c>
      <c r="AX77">
        <v>0</v>
      </c>
      <c r="AY77">
        <v>0</v>
      </c>
      <c r="AZ77">
        <v>147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147</v>
      </c>
      <c r="BI77">
        <v>0</v>
      </c>
      <c r="BJ77">
        <v>0</v>
      </c>
      <c r="BK77">
        <v>0</v>
      </c>
    </row>
    <row r="78" spans="1:63">
      <c r="A78" t="s">
        <v>52</v>
      </c>
      <c r="B78">
        <v>94</v>
      </c>
      <c r="C78">
        <v>19</v>
      </c>
      <c r="D78">
        <v>0</v>
      </c>
      <c r="E78">
        <v>0</v>
      </c>
      <c r="F78">
        <v>94</v>
      </c>
      <c r="G78">
        <v>19</v>
      </c>
      <c r="H78">
        <v>0</v>
      </c>
      <c r="I78">
        <v>0</v>
      </c>
      <c r="J78">
        <v>113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113</v>
      </c>
      <c r="S78">
        <v>0</v>
      </c>
      <c r="T78">
        <v>0</v>
      </c>
      <c r="U78">
        <v>0</v>
      </c>
      <c r="V78" t="s">
        <v>52</v>
      </c>
      <c r="W78">
        <v>94</v>
      </c>
      <c r="X78">
        <v>19</v>
      </c>
      <c r="Y78">
        <v>0</v>
      </c>
      <c r="Z78">
        <v>0</v>
      </c>
      <c r="AA78">
        <v>94</v>
      </c>
      <c r="AB78">
        <v>19</v>
      </c>
      <c r="AC78">
        <v>0</v>
      </c>
      <c r="AD78">
        <v>0</v>
      </c>
      <c r="AE78">
        <v>113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113</v>
      </c>
      <c r="AN78">
        <v>0</v>
      </c>
      <c r="AO78">
        <v>0</v>
      </c>
      <c r="AP78">
        <v>0</v>
      </c>
      <c r="AQ78" t="s">
        <v>52</v>
      </c>
      <c r="AR78">
        <v>94</v>
      </c>
      <c r="AS78">
        <v>19</v>
      </c>
      <c r="AT78">
        <v>0</v>
      </c>
      <c r="AU78">
        <v>0</v>
      </c>
      <c r="AV78">
        <v>94</v>
      </c>
      <c r="AW78">
        <v>19</v>
      </c>
      <c r="AX78">
        <v>0</v>
      </c>
      <c r="AY78">
        <v>0</v>
      </c>
      <c r="AZ78">
        <v>113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113</v>
      </c>
      <c r="BI78">
        <v>0</v>
      </c>
      <c r="BJ78">
        <v>0</v>
      </c>
      <c r="BK78">
        <v>0</v>
      </c>
    </row>
    <row r="79" spans="1:63">
      <c r="A79" t="s">
        <v>74</v>
      </c>
      <c r="B79">
        <v>13</v>
      </c>
      <c r="C79">
        <v>6</v>
      </c>
      <c r="D79">
        <v>0</v>
      </c>
      <c r="E79">
        <v>0</v>
      </c>
      <c r="F79">
        <v>13</v>
      </c>
      <c r="G79">
        <v>6</v>
      </c>
      <c r="H79">
        <v>0</v>
      </c>
      <c r="I79">
        <v>0</v>
      </c>
      <c r="J79">
        <v>19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19</v>
      </c>
      <c r="S79">
        <v>0</v>
      </c>
      <c r="T79">
        <v>0</v>
      </c>
      <c r="U79">
        <v>0</v>
      </c>
      <c r="V79" t="s">
        <v>74</v>
      </c>
      <c r="W79">
        <v>13</v>
      </c>
      <c r="X79">
        <v>6</v>
      </c>
      <c r="Y79">
        <v>0</v>
      </c>
      <c r="Z79">
        <v>0</v>
      </c>
      <c r="AA79">
        <v>13</v>
      </c>
      <c r="AB79">
        <v>6</v>
      </c>
      <c r="AC79">
        <v>0</v>
      </c>
      <c r="AD79">
        <v>0</v>
      </c>
      <c r="AE79">
        <v>19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19</v>
      </c>
      <c r="AN79">
        <v>0</v>
      </c>
      <c r="AO79">
        <v>0</v>
      </c>
      <c r="AP79">
        <v>0</v>
      </c>
      <c r="AQ79" t="s">
        <v>74</v>
      </c>
      <c r="AR79">
        <v>13</v>
      </c>
      <c r="AS79">
        <v>6</v>
      </c>
      <c r="AT79">
        <v>0</v>
      </c>
      <c r="AU79">
        <v>0</v>
      </c>
      <c r="AV79">
        <v>13</v>
      </c>
      <c r="AW79">
        <v>6</v>
      </c>
      <c r="AX79">
        <v>0</v>
      </c>
      <c r="AY79">
        <v>0</v>
      </c>
      <c r="AZ79">
        <v>19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19</v>
      </c>
      <c r="BI79">
        <v>0</v>
      </c>
      <c r="BJ79">
        <v>0</v>
      </c>
      <c r="BK79">
        <v>0</v>
      </c>
    </row>
    <row r="80" spans="1:63">
      <c r="A80" t="s">
        <v>1</v>
      </c>
      <c r="B80">
        <v>8</v>
      </c>
      <c r="C80">
        <v>0</v>
      </c>
      <c r="D80">
        <v>0</v>
      </c>
      <c r="E80">
        <v>0</v>
      </c>
      <c r="F80">
        <v>8</v>
      </c>
      <c r="G80">
        <v>0</v>
      </c>
      <c r="H80">
        <v>0</v>
      </c>
      <c r="I80">
        <v>0</v>
      </c>
      <c r="J80">
        <v>10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8</v>
      </c>
      <c r="S80">
        <v>0</v>
      </c>
      <c r="T80">
        <v>0</v>
      </c>
      <c r="U80">
        <v>0</v>
      </c>
      <c r="V80" t="s">
        <v>1</v>
      </c>
      <c r="W80">
        <v>8</v>
      </c>
      <c r="X80">
        <v>0</v>
      </c>
      <c r="Y80">
        <v>0</v>
      </c>
      <c r="Z80">
        <v>0</v>
      </c>
      <c r="AA80">
        <v>8</v>
      </c>
      <c r="AB80">
        <v>0</v>
      </c>
      <c r="AC80">
        <v>0</v>
      </c>
      <c r="AD80">
        <v>0</v>
      </c>
      <c r="AE80">
        <v>10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8</v>
      </c>
      <c r="AN80">
        <v>0</v>
      </c>
      <c r="AO80">
        <v>0</v>
      </c>
      <c r="AP80">
        <v>0</v>
      </c>
      <c r="AQ80" t="s">
        <v>1</v>
      </c>
      <c r="AR80">
        <v>8</v>
      </c>
      <c r="AS80">
        <v>0</v>
      </c>
      <c r="AT80">
        <v>0</v>
      </c>
      <c r="AU80">
        <v>0</v>
      </c>
      <c r="AV80">
        <v>8</v>
      </c>
      <c r="AW80">
        <v>0</v>
      </c>
      <c r="AX80">
        <v>0</v>
      </c>
      <c r="AY80">
        <v>0</v>
      </c>
      <c r="AZ80">
        <v>10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8</v>
      </c>
      <c r="BI80">
        <v>0</v>
      </c>
      <c r="BJ80">
        <v>0</v>
      </c>
      <c r="BK80">
        <v>0</v>
      </c>
    </row>
    <row r="81" spans="1:63">
      <c r="A81" t="s">
        <v>0</v>
      </c>
      <c r="B81">
        <v>62</v>
      </c>
      <c r="C81">
        <v>32</v>
      </c>
      <c r="D81">
        <v>0</v>
      </c>
      <c r="E81">
        <v>0</v>
      </c>
      <c r="F81">
        <v>62</v>
      </c>
      <c r="G81">
        <v>32</v>
      </c>
      <c r="H81">
        <v>0</v>
      </c>
      <c r="I81">
        <v>0</v>
      </c>
      <c r="J81">
        <v>93</v>
      </c>
      <c r="K81">
        <v>1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68</v>
      </c>
      <c r="S81">
        <v>26</v>
      </c>
      <c r="T81">
        <v>0</v>
      </c>
      <c r="U81">
        <v>0</v>
      </c>
      <c r="V81" t="s">
        <v>0</v>
      </c>
      <c r="W81">
        <v>62</v>
      </c>
      <c r="X81">
        <v>32</v>
      </c>
      <c r="Y81">
        <v>0</v>
      </c>
      <c r="Z81">
        <v>0</v>
      </c>
      <c r="AA81">
        <v>62</v>
      </c>
      <c r="AB81">
        <v>32</v>
      </c>
      <c r="AC81">
        <v>0</v>
      </c>
      <c r="AD81">
        <v>0</v>
      </c>
      <c r="AE81">
        <v>93</v>
      </c>
      <c r="AF81">
        <v>1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68</v>
      </c>
      <c r="AN81">
        <v>26</v>
      </c>
      <c r="AO81">
        <v>0</v>
      </c>
      <c r="AP81">
        <v>0</v>
      </c>
      <c r="AQ81" t="s">
        <v>0</v>
      </c>
      <c r="AR81">
        <v>62</v>
      </c>
      <c r="AS81">
        <v>32</v>
      </c>
      <c r="AT81">
        <v>0</v>
      </c>
      <c r="AU81">
        <v>0</v>
      </c>
      <c r="AV81">
        <v>62</v>
      </c>
      <c r="AW81">
        <v>32</v>
      </c>
      <c r="AX81">
        <v>0</v>
      </c>
      <c r="AY81">
        <v>0</v>
      </c>
      <c r="AZ81">
        <v>94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94</v>
      </c>
      <c r="BI81">
        <v>0</v>
      </c>
      <c r="BJ81">
        <v>0</v>
      </c>
      <c r="BK81">
        <v>0</v>
      </c>
    </row>
    <row r="82" spans="1:63">
      <c r="A82" t="s">
        <v>90</v>
      </c>
      <c r="B82">
        <v>5</v>
      </c>
      <c r="C82">
        <v>0</v>
      </c>
      <c r="D82">
        <v>0</v>
      </c>
      <c r="E82">
        <v>0</v>
      </c>
      <c r="F82">
        <v>5</v>
      </c>
      <c r="G82">
        <v>0</v>
      </c>
      <c r="H82">
        <v>0</v>
      </c>
      <c r="I82">
        <v>0</v>
      </c>
      <c r="J82">
        <v>5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5</v>
      </c>
      <c r="S82">
        <v>0</v>
      </c>
      <c r="T82">
        <v>0</v>
      </c>
      <c r="U82">
        <v>0</v>
      </c>
      <c r="V82" t="s">
        <v>90</v>
      </c>
      <c r="W82">
        <v>5</v>
      </c>
      <c r="X82">
        <v>0</v>
      </c>
      <c r="Y82">
        <v>0</v>
      </c>
      <c r="Z82">
        <v>0</v>
      </c>
      <c r="AA82">
        <v>5</v>
      </c>
      <c r="AB82">
        <v>0</v>
      </c>
      <c r="AC82">
        <v>0</v>
      </c>
      <c r="AD82">
        <v>0</v>
      </c>
      <c r="AE82">
        <v>5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5</v>
      </c>
      <c r="AN82">
        <v>0</v>
      </c>
      <c r="AO82">
        <v>0</v>
      </c>
      <c r="AP82">
        <v>0</v>
      </c>
      <c r="AQ82" t="s">
        <v>90</v>
      </c>
      <c r="AR82">
        <v>5</v>
      </c>
      <c r="AS82">
        <v>0</v>
      </c>
      <c r="AT82">
        <v>0</v>
      </c>
      <c r="AU82">
        <v>0</v>
      </c>
      <c r="AV82">
        <v>5</v>
      </c>
      <c r="AW82">
        <v>0</v>
      </c>
      <c r="AX82">
        <v>0</v>
      </c>
      <c r="AY82">
        <v>0</v>
      </c>
      <c r="AZ82">
        <v>5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5</v>
      </c>
      <c r="BI82">
        <v>0</v>
      </c>
      <c r="BJ82">
        <v>0</v>
      </c>
      <c r="BK82">
        <v>0</v>
      </c>
    </row>
    <row r="83" spans="1:63">
      <c r="A83" t="s">
        <v>65</v>
      </c>
      <c r="B83">
        <v>50</v>
      </c>
      <c r="C83">
        <v>0</v>
      </c>
      <c r="D83">
        <v>0</v>
      </c>
      <c r="E83">
        <v>0</v>
      </c>
      <c r="F83">
        <v>50</v>
      </c>
      <c r="G83">
        <v>0</v>
      </c>
      <c r="H83">
        <v>0</v>
      </c>
      <c r="I83">
        <v>0</v>
      </c>
      <c r="J83">
        <v>50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50</v>
      </c>
      <c r="S83">
        <v>0</v>
      </c>
      <c r="T83">
        <v>0</v>
      </c>
      <c r="U83">
        <v>0</v>
      </c>
      <c r="V83" t="s">
        <v>65</v>
      </c>
      <c r="W83">
        <v>50</v>
      </c>
      <c r="X83">
        <v>0</v>
      </c>
      <c r="Y83">
        <v>0</v>
      </c>
      <c r="Z83">
        <v>0</v>
      </c>
      <c r="AA83">
        <v>50</v>
      </c>
      <c r="AB83">
        <v>0</v>
      </c>
      <c r="AC83">
        <v>0</v>
      </c>
      <c r="AD83">
        <v>0</v>
      </c>
      <c r="AE83">
        <v>50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50</v>
      </c>
      <c r="AN83">
        <v>0</v>
      </c>
      <c r="AO83">
        <v>0</v>
      </c>
      <c r="AP83">
        <v>0</v>
      </c>
      <c r="AQ83" t="s">
        <v>65</v>
      </c>
      <c r="AR83">
        <v>50</v>
      </c>
      <c r="AS83">
        <v>0</v>
      </c>
      <c r="AT83">
        <v>0</v>
      </c>
      <c r="AU83">
        <v>0</v>
      </c>
      <c r="AV83">
        <v>50</v>
      </c>
      <c r="AW83">
        <v>0</v>
      </c>
      <c r="AX83">
        <v>0</v>
      </c>
      <c r="AY83">
        <v>0</v>
      </c>
      <c r="AZ83">
        <v>50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50</v>
      </c>
      <c r="BI83">
        <v>0</v>
      </c>
      <c r="BJ83">
        <v>0</v>
      </c>
      <c r="BK83">
        <v>0</v>
      </c>
    </row>
    <row r="84" spans="1:63">
      <c r="A84" t="s">
        <v>86</v>
      </c>
      <c r="B84">
        <v>33</v>
      </c>
      <c r="C84">
        <v>0</v>
      </c>
      <c r="D84">
        <v>0</v>
      </c>
      <c r="E84">
        <v>0</v>
      </c>
      <c r="F84">
        <v>33</v>
      </c>
      <c r="G84">
        <v>0</v>
      </c>
      <c r="H84">
        <v>0</v>
      </c>
      <c r="I84">
        <v>0</v>
      </c>
      <c r="J84">
        <v>33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33</v>
      </c>
      <c r="S84">
        <v>0</v>
      </c>
      <c r="T84">
        <v>0</v>
      </c>
      <c r="U84">
        <v>0</v>
      </c>
      <c r="V84" t="s">
        <v>86</v>
      </c>
      <c r="W84">
        <v>33</v>
      </c>
      <c r="X84">
        <v>0</v>
      </c>
      <c r="Y84">
        <v>0</v>
      </c>
      <c r="Z84">
        <v>0</v>
      </c>
      <c r="AA84">
        <v>33</v>
      </c>
      <c r="AB84">
        <v>0</v>
      </c>
      <c r="AC84">
        <v>0</v>
      </c>
      <c r="AD84">
        <v>0</v>
      </c>
      <c r="AE84">
        <v>33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33</v>
      </c>
      <c r="AN84">
        <v>0</v>
      </c>
      <c r="AO84">
        <v>0</v>
      </c>
      <c r="AP84">
        <v>0</v>
      </c>
      <c r="AQ84" t="s">
        <v>86</v>
      </c>
      <c r="AR84">
        <v>33</v>
      </c>
      <c r="AS84">
        <v>0</v>
      </c>
      <c r="AT84">
        <v>0</v>
      </c>
      <c r="AU84">
        <v>0</v>
      </c>
      <c r="AV84">
        <v>33</v>
      </c>
      <c r="AW84">
        <v>0</v>
      </c>
      <c r="AX84">
        <v>0</v>
      </c>
      <c r="AY84">
        <v>0</v>
      </c>
      <c r="AZ84">
        <v>33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33</v>
      </c>
      <c r="BI84">
        <v>0</v>
      </c>
      <c r="BJ84">
        <v>0</v>
      </c>
      <c r="BK84">
        <v>0</v>
      </c>
    </row>
    <row r="85" spans="1:63">
      <c r="A85" t="s">
        <v>88</v>
      </c>
      <c r="B85">
        <v>55</v>
      </c>
      <c r="C85">
        <v>1</v>
      </c>
      <c r="D85">
        <v>0</v>
      </c>
      <c r="E85">
        <v>0</v>
      </c>
      <c r="F85">
        <v>55</v>
      </c>
      <c r="G85">
        <v>1</v>
      </c>
      <c r="H85">
        <v>0</v>
      </c>
      <c r="I85">
        <v>0</v>
      </c>
      <c r="J85">
        <v>56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56</v>
      </c>
      <c r="S85">
        <v>0</v>
      </c>
      <c r="T85">
        <v>0</v>
      </c>
      <c r="U85">
        <v>0</v>
      </c>
      <c r="V85" t="s">
        <v>88</v>
      </c>
      <c r="W85">
        <v>55</v>
      </c>
      <c r="X85">
        <v>1</v>
      </c>
      <c r="Y85">
        <v>0</v>
      </c>
      <c r="Z85">
        <v>0</v>
      </c>
      <c r="AA85">
        <v>55</v>
      </c>
      <c r="AB85">
        <v>1</v>
      </c>
      <c r="AC85">
        <v>0</v>
      </c>
      <c r="AD85">
        <v>0</v>
      </c>
      <c r="AE85">
        <v>56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56</v>
      </c>
      <c r="AN85">
        <v>0</v>
      </c>
      <c r="AO85">
        <v>0</v>
      </c>
      <c r="AP85">
        <v>0</v>
      </c>
      <c r="AQ85" t="s">
        <v>88</v>
      </c>
      <c r="AR85">
        <v>55</v>
      </c>
      <c r="AS85">
        <v>1</v>
      </c>
      <c r="AT85">
        <v>0</v>
      </c>
      <c r="AU85">
        <v>0</v>
      </c>
      <c r="AV85">
        <v>55</v>
      </c>
      <c r="AW85">
        <v>1</v>
      </c>
      <c r="AX85">
        <v>0</v>
      </c>
      <c r="AY85">
        <v>0</v>
      </c>
      <c r="AZ85">
        <v>56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56</v>
      </c>
      <c r="BI85">
        <v>0</v>
      </c>
      <c r="BJ85">
        <v>0</v>
      </c>
      <c r="BK85">
        <v>0</v>
      </c>
    </row>
    <row r="86" spans="1:63">
      <c r="A86" t="s">
        <v>77</v>
      </c>
      <c r="B86">
        <v>86</v>
      </c>
      <c r="C86">
        <v>2</v>
      </c>
      <c r="D86">
        <v>0</v>
      </c>
      <c r="E86">
        <v>0</v>
      </c>
      <c r="F86">
        <v>86</v>
      </c>
      <c r="G86">
        <v>2</v>
      </c>
      <c r="H86">
        <v>0</v>
      </c>
      <c r="I86">
        <v>0</v>
      </c>
      <c r="J86">
        <v>88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88</v>
      </c>
      <c r="S86">
        <v>0</v>
      </c>
      <c r="T86">
        <v>0</v>
      </c>
      <c r="U86">
        <v>0</v>
      </c>
      <c r="V86" t="s">
        <v>77</v>
      </c>
      <c r="W86">
        <v>86</v>
      </c>
      <c r="X86">
        <v>2</v>
      </c>
      <c r="Y86">
        <v>0</v>
      </c>
      <c r="Z86">
        <v>0</v>
      </c>
      <c r="AA86">
        <v>86</v>
      </c>
      <c r="AB86">
        <v>2</v>
      </c>
      <c r="AC86">
        <v>0</v>
      </c>
      <c r="AD86">
        <v>0</v>
      </c>
      <c r="AE86">
        <v>88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88</v>
      </c>
      <c r="AN86">
        <v>0</v>
      </c>
      <c r="AO86">
        <v>0</v>
      </c>
      <c r="AP86">
        <v>0</v>
      </c>
      <c r="AQ86" t="s">
        <v>77</v>
      </c>
      <c r="AR86">
        <v>86</v>
      </c>
      <c r="AS86">
        <v>2</v>
      </c>
      <c r="AT86">
        <v>0</v>
      </c>
      <c r="AU86">
        <v>0</v>
      </c>
      <c r="AV86">
        <v>86</v>
      </c>
      <c r="AW86">
        <v>2</v>
      </c>
      <c r="AX86">
        <v>0</v>
      </c>
      <c r="AY86">
        <v>0</v>
      </c>
      <c r="AZ86">
        <v>88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88</v>
      </c>
      <c r="BI86">
        <v>0</v>
      </c>
      <c r="BJ86">
        <v>0</v>
      </c>
      <c r="BK86">
        <v>0</v>
      </c>
    </row>
    <row r="87" spans="1:63">
      <c r="A87" t="s">
        <v>17</v>
      </c>
      <c r="B87">
        <v>35</v>
      </c>
      <c r="C87">
        <v>1</v>
      </c>
      <c r="D87">
        <v>0</v>
      </c>
      <c r="E87">
        <v>0</v>
      </c>
      <c r="F87">
        <v>35</v>
      </c>
      <c r="G87">
        <v>1</v>
      </c>
      <c r="H87">
        <v>0</v>
      </c>
      <c r="I87">
        <v>0</v>
      </c>
      <c r="J87">
        <v>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36</v>
      </c>
      <c r="S87">
        <v>0</v>
      </c>
      <c r="T87">
        <v>0</v>
      </c>
      <c r="U87">
        <v>0</v>
      </c>
      <c r="V87" t="s">
        <v>17</v>
      </c>
      <c r="W87">
        <v>35</v>
      </c>
      <c r="X87">
        <v>1</v>
      </c>
      <c r="Y87">
        <v>0</v>
      </c>
      <c r="Z87">
        <v>0</v>
      </c>
      <c r="AA87">
        <v>35</v>
      </c>
      <c r="AB87">
        <v>1</v>
      </c>
      <c r="AC87">
        <v>0</v>
      </c>
      <c r="AD87">
        <v>0</v>
      </c>
      <c r="AE87">
        <v>36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36</v>
      </c>
      <c r="AN87">
        <v>0</v>
      </c>
      <c r="AO87">
        <v>0</v>
      </c>
      <c r="AP87">
        <v>0</v>
      </c>
      <c r="AQ87" t="s">
        <v>17</v>
      </c>
      <c r="AR87">
        <v>35</v>
      </c>
      <c r="AS87">
        <v>1</v>
      </c>
      <c r="AT87">
        <v>0</v>
      </c>
      <c r="AU87">
        <v>0</v>
      </c>
      <c r="AV87">
        <v>35</v>
      </c>
      <c r="AW87">
        <v>1</v>
      </c>
      <c r="AX87">
        <v>0</v>
      </c>
      <c r="AY87">
        <v>0</v>
      </c>
      <c r="AZ87">
        <v>36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36</v>
      </c>
      <c r="BI87">
        <v>0</v>
      </c>
      <c r="BJ87">
        <v>0</v>
      </c>
      <c r="BK87">
        <v>0</v>
      </c>
    </row>
    <row r="88" spans="1:63">
      <c r="A88" t="s">
        <v>35</v>
      </c>
      <c r="B88">
        <v>11</v>
      </c>
      <c r="C88">
        <v>0</v>
      </c>
      <c r="D88">
        <v>0</v>
      </c>
      <c r="E88">
        <v>0</v>
      </c>
      <c r="F88">
        <v>11</v>
      </c>
      <c r="G88">
        <v>0</v>
      </c>
      <c r="H88">
        <v>0</v>
      </c>
      <c r="I88">
        <v>0</v>
      </c>
      <c r="J88">
        <v>11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11</v>
      </c>
      <c r="S88">
        <v>0</v>
      </c>
      <c r="T88">
        <v>0</v>
      </c>
      <c r="U88">
        <v>0</v>
      </c>
      <c r="V88" t="s">
        <v>35</v>
      </c>
      <c r="W88">
        <v>11</v>
      </c>
      <c r="X88">
        <v>0</v>
      </c>
      <c r="Y88">
        <v>0</v>
      </c>
      <c r="Z88">
        <v>0</v>
      </c>
      <c r="AA88">
        <v>11</v>
      </c>
      <c r="AB88">
        <v>0</v>
      </c>
      <c r="AC88">
        <v>0</v>
      </c>
      <c r="AD88">
        <v>0</v>
      </c>
      <c r="AE88">
        <v>11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11</v>
      </c>
      <c r="AN88">
        <v>0</v>
      </c>
      <c r="AO88">
        <v>0</v>
      </c>
      <c r="AP88">
        <v>0</v>
      </c>
      <c r="AQ88" t="s">
        <v>35</v>
      </c>
      <c r="AR88">
        <v>11</v>
      </c>
      <c r="AS88">
        <v>0</v>
      </c>
      <c r="AT88">
        <v>0</v>
      </c>
      <c r="AU88">
        <v>0</v>
      </c>
      <c r="AV88">
        <v>11</v>
      </c>
      <c r="AW88">
        <v>0</v>
      </c>
      <c r="AX88">
        <v>0</v>
      </c>
      <c r="AY88">
        <v>0</v>
      </c>
      <c r="AZ88">
        <v>11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11</v>
      </c>
      <c r="BI88">
        <v>0</v>
      </c>
      <c r="BJ88">
        <v>0</v>
      </c>
      <c r="BK88">
        <v>0</v>
      </c>
    </row>
    <row r="89" spans="1:63">
      <c r="A89" t="s">
        <v>83</v>
      </c>
      <c r="B89">
        <v>81</v>
      </c>
      <c r="C89">
        <v>1</v>
      </c>
      <c r="D89">
        <v>0</v>
      </c>
      <c r="E89">
        <v>0</v>
      </c>
      <c r="F89">
        <v>81</v>
      </c>
      <c r="G89">
        <v>1</v>
      </c>
      <c r="H89">
        <v>0</v>
      </c>
      <c r="I89">
        <v>0</v>
      </c>
      <c r="J89">
        <v>82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82</v>
      </c>
      <c r="S89">
        <v>0</v>
      </c>
      <c r="T89">
        <v>0</v>
      </c>
      <c r="U89">
        <v>0</v>
      </c>
      <c r="V89" t="s">
        <v>83</v>
      </c>
      <c r="W89">
        <v>81</v>
      </c>
      <c r="X89">
        <v>1</v>
      </c>
      <c r="Y89">
        <v>0</v>
      </c>
      <c r="Z89">
        <v>0</v>
      </c>
      <c r="AA89">
        <v>81</v>
      </c>
      <c r="AB89">
        <v>1</v>
      </c>
      <c r="AC89">
        <v>0</v>
      </c>
      <c r="AD89">
        <v>0</v>
      </c>
      <c r="AE89">
        <v>82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82</v>
      </c>
      <c r="AN89">
        <v>0</v>
      </c>
      <c r="AO89">
        <v>0</v>
      </c>
      <c r="AP89">
        <v>0</v>
      </c>
      <c r="AQ89" t="s">
        <v>83</v>
      </c>
      <c r="AR89">
        <v>81</v>
      </c>
      <c r="AS89">
        <v>1</v>
      </c>
      <c r="AT89">
        <v>0</v>
      </c>
      <c r="AU89">
        <v>0</v>
      </c>
      <c r="AV89">
        <v>81</v>
      </c>
      <c r="AW89">
        <v>1</v>
      </c>
      <c r="AX89">
        <v>0</v>
      </c>
      <c r="AY89">
        <v>0</v>
      </c>
      <c r="AZ89">
        <v>82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82</v>
      </c>
      <c r="BI89">
        <v>0</v>
      </c>
      <c r="BJ89">
        <v>0</v>
      </c>
      <c r="BK89">
        <v>0</v>
      </c>
    </row>
    <row r="90" spans="1:63">
      <c r="A90" t="s">
        <v>80</v>
      </c>
      <c r="B90">
        <v>125</v>
      </c>
      <c r="C90">
        <v>7</v>
      </c>
      <c r="D90">
        <v>0</v>
      </c>
      <c r="E90">
        <v>0</v>
      </c>
      <c r="F90">
        <v>125</v>
      </c>
      <c r="G90">
        <v>7</v>
      </c>
      <c r="H90">
        <v>0</v>
      </c>
      <c r="I90">
        <v>0</v>
      </c>
      <c r="J90">
        <v>132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132</v>
      </c>
      <c r="S90">
        <v>0</v>
      </c>
      <c r="T90">
        <v>0</v>
      </c>
      <c r="U90">
        <v>0</v>
      </c>
      <c r="V90" t="s">
        <v>80</v>
      </c>
      <c r="W90">
        <v>125</v>
      </c>
      <c r="X90">
        <v>7</v>
      </c>
      <c r="Y90">
        <v>0</v>
      </c>
      <c r="Z90">
        <v>0</v>
      </c>
      <c r="AA90">
        <v>125</v>
      </c>
      <c r="AB90">
        <v>7</v>
      </c>
      <c r="AC90">
        <v>0</v>
      </c>
      <c r="AD90">
        <v>0</v>
      </c>
      <c r="AE90">
        <v>132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132</v>
      </c>
      <c r="AN90">
        <v>0</v>
      </c>
      <c r="AO90">
        <v>0</v>
      </c>
      <c r="AP90">
        <v>0</v>
      </c>
      <c r="AQ90" t="s">
        <v>80</v>
      </c>
      <c r="AR90">
        <v>125</v>
      </c>
      <c r="AS90">
        <v>7</v>
      </c>
      <c r="AT90">
        <v>0</v>
      </c>
      <c r="AU90">
        <v>0</v>
      </c>
      <c r="AV90">
        <v>125</v>
      </c>
      <c r="AW90">
        <v>7</v>
      </c>
      <c r="AX90">
        <v>0</v>
      </c>
      <c r="AY90">
        <v>0</v>
      </c>
      <c r="AZ90">
        <v>132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132</v>
      </c>
      <c r="BI90">
        <v>0</v>
      </c>
      <c r="BJ90">
        <v>0</v>
      </c>
      <c r="BK90">
        <v>0</v>
      </c>
    </row>
    <row r="91" spans="1:63">
      <c r="A91" t="s">
        <v>10</v>
      </c>
      <c r="B91">
        <v>30</v>
      </c>
      <c r="C91">
        <v>0</v>
      </c>
      <c r="D91">
        <v>0</v>
      </c>
      <c r="E91">
        <v>0</v>
      </c>
      <c r="F91">
        <v>30</v>
      </c>
      <c r="G91">
        <v>0</v>
      </c>
      <c r="H91">
        <v>0</v>
      </c>
      <c r="I91">
        <v>0</v>
      </c>
      <c r="J91">
        <v>30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30</v>
      </c>
      <c r="S91">
        <v>0</v>
      </c>
      <c r="T91">
        <v>0</v>
      </c>
      <c r="U91">
        <v>0</v>
      </c>
      <c r="V91" t="s">
        <v>10</v>
      </c>
      <c r="W91">
        <v>30</v>
      </c>
      <c r="X91">
        <v>0</v>
      </c>
      <c r="Y91">
        <v>0</v>
      </c>
      <c r="Z91">
        <v>0</v>
      </c>
      <c r="AA91">
        <v>30</v>
      </c>
      <c r="AB91">
        <v>0</v>
      </c>
      <c r="AC91">
        <v>0</v>
      </c>
      <c r="AD91">
        <v>0</v>
      </c>
      <c r="AE91">
        <v>30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30</v>
      </c>
      <c r="AN91">
        <v>0</v>
      </c>
      <c r="AO91">
        <v>0</v>
      </c>
      <c r="AP91">
        <v>0</v>
      </c>
      <c r="AQ91" t="s">
        <v>10</v>
      </c>
      <c r="AR91">
        <v>30</v>
      </c>
      <c r="AS91">
        <v>0</v>
      </c>
      <c r="AT91">
        <v>0</v>
      </c>
      <c r="AU91">
        <v>0</v>
      </c>
      <c r="AV91">
        <v>30</v>
      </c>
      <c r="AW91">
        <v>0</v>
      </c>
      <c r="AX91">
        <v>0</v>
      </c>
      <c r="AY91">
        <v>0</v>
      </c>
      <c r="AZ91">
        <v>30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30</v>
      </c>
      <c r="BI91">
        <v>0</v>
      </c>
      <c r="BJ91">
        <v>0</v>
      </c>
      <c r="BK91">
        <v>0</v>
      </c>
    </row>
    <row r="92" spans="1:63">
      <c r="A92" t="s">
        <v>97</v>
      </c>
      <c r="B92">
        <v>41</v>
      </c>
      <c r="C92">
        <v>0</v>
      </c>
      <c r="D92">
        <v>0</v>
      </c>
      <c r="E92">
        <v>0</v>
      </c>
      <c r="F92">
        <v>41</v>
      </c>
      <c r="G92">
        <v>0</v>
      </c>
      <c r="H92">
        <v>0</v>
      </c>
      <c r="I92">
        <v>0</v>
      </c>
      <c r="J92">
        <v>40</v>
      </c>
      <c r="K92">
        <v>1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40</v>
      </c>
      <c r="S92">
        <v>1</v>
      </c>
      <c r="T92">
        <v>0</v>
      </c>
      <c r="U92">
        <v>0</v>
      </c>
      <c r="V92" t="s">
        <v>97</v>
      </c>
      <c r="W92">
        <v>41</v>
      </c>
      <c r="X92">
        <v>0</v>
      </c>
      <c r="Y92">
        <v>0</v>
      </c>
      <c r="Z92">
        <v>0</v>
      </c>
      <c r="AA92">
        <v>41</v>
      </c>
      <c r="AB92">
        <v>0</v>
      </c>
      <c r="AC92">
        <v>0</v>
      </c>
      <c r="AD92">
        <v>0</v>
      </c>
      <c r="AE92">
        <v>40</v>
      </c>
      <c r="AF92">
        <v>1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40</v>
      </c>
      <c r="AN92">
        <v>1</v>
      </c>
      <c r="AO92">
        <v>0</v>
      </c>
      <c r="AP92">
        <v>0</v>
      </c>
      <c r="AQ92" t="s">
        <v>97</v>
      </c>
      <c r="AR92">
        <v>41</v>
      </c>
      <c r="AS92">
        <v>0</v>
      </c>
      <c r="AT92">
        <v>0</v>
      </c>
      <c r="AU92">
        <v>0</v>
      </c>
      <c r="AV92">
        <v>41</v>
      </c>
      <c r="AW92">
        <v>0</v>
      </c>
      <c r="AX92">
        <v>0</v>
      </c>
      <c r="AY92">
        <v>0</v>
      </c>
      <c r="AZ92">
        <v>41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41</v>
      </c>
      <c r="BI92">
        <v>0</v>
      </c>
      <c r="BJ92">
        <v>0</v>
      </c>
      <c r="BK92">
        <v>0</v>
      </c>
    </row>
    <row r="93" spans="1:63">
      <c r="A93" t="s">
        <v>15</v>
      </c>
      <c r="B93">
        <v>7</v>
      </c>
      <c r="C93">
        <v>0</v>
      </c>
      <c r="D93">
        <v>0</v>
      </c>
      <c r="E93">
        <v>0</v>
      </c>
      <c r="F93">
        <v>7</v>
      </c>
      <c r="G93">
        <v>0</v>
      </c>
      <c r="H93">
        <v>0</v>
      </c>
      <c r="I93">
        <v>0</v>
      </c>
      <c r="J93">
        <v>7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7</v>
      </c>
      <c r="S93">
        <v>0</v>
      </c>
      <c r="T93">
        <v>0</v>
      </c>
      <c r="U93">
        <v>0</v>
      </c>
      <c r="V93" t="s">
        <v>15</v>
      </c>
      <c r="W93">
        <v>7</v>
      </c>
      <c r="X93">
        <v>0</v>
      </c>
      <c r="Y93">
        <v>0</v>
      </c>
      <c r="Z93">
        <v>0</v>
      </c>
      <c r="AA93">
        <v>7</v>
      </c>
      <c r="AB93">
        <v>0</v>
      </c>
      <c r="AC93">
        <v>0</v>
      </c>
      <c r="AD93">
        <v>0</v>
      </c>
      <c r="AE93">
        <v>7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7</v>
      </c>
      <c r="AN93">
        <v>0</v>
      </c>
      <c r="AO93">
        <v>0</v>
      </c>
      <c r="AP93">
        <v>0</v>
      </c>
      <c r="AQ93" t="s">
        <v>15</v>
      </c>
      <c r="AR93">
        <v>7</v>
      </c>
      <c r="AS93">
        <v>0</v>
      </c>
      <c r="AT93">
        <v>0</v>
      </c>
      <c r="AU93">
        <v>0</v>
      </c>
      <c r="AV93">
        <v>7</v>
      </c>
      <c r="AW93">
        <v>0</v>
      </c>
      <c r="AX93">
        <v>0</v>
      </c>
      <c r="AY93">
        <v>0</v>
      </c>
      <c r="AZ93">
        <v>7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7</v>
      </c>
      <c r="BI93">
        <v>0</v>
      </c>
      <c r="BJ93">
        <v>0</v>
      </c>
      <c r="BK93">
        <v>0</v>
      </c>
    </row>
    <row r="94" spans="1:63">
      <c r="A94" t="s">
        <v>61</v>
      </c>
      <c r="B94">
        <v>48</v>
      </c>
      <c r="C94">
        <v>5</v>
      </c>
      <c r="D94">
        <v>0</v>
      </c>
      <c r="E94">
        <v>0</v>
      </c>
      <c r="F94">
        <v>48</v>
      </c>
      <c r="G94">
        <v>5</v>
      </c>
      <c r="H94">
        <v>0</v>
      </c>
      <c r="I94">
        <v>0</v>
      </c>
      <c r="J94">
        <v>53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53</v>
      </c>
      <c r="S94">
        <v>0</v>
      </c>
      <c r="T94">
        <v>0</v>
      </c>
      <c r="U94">
        <v>0</v>
      </c>
      <c r="V94" t="s">
        <v>61</v>
      </c>
      <c r="W94">
        <v>48</v>
      </c>
      <c r="X94">
        <v>5</v>
      </c>
      <c r="Y94">
        <v>0</v>
      </c>
      <c r="Z94">
        <v>0</v>
      </c>
      <c r="AA94">
        <v>48</v>
      </c>
      <c r="AB94">
        <v>5</v>
      </c>
      <c r="AC94">
        <v>0</v>
      </c>
      <c r="AD94">
        <v>0</v>
      </c>
      <c r="AE94">
        <v>53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53</v>
      </c>
      <c r="AN94">
        <v>0</v>
      </c>
      <c r="AO94">
        <v>0</v>
      </c>
      <c r="AP94">
        <v>0</v>
      </c>
      <c r="AQ94" t="s">
        <v>61</v>
      </c>
      <c r="AR94">
        <v>48</v>
      </c>
      <c r="AS94">
        <v>5</v>
      </c>
      <c r="AT94">
        <v>0</v>
      </c>
      <c r="AU94">
        <v>0</v>
      </c>
      <c r="AV94">
        <v>48</v>
      </c>
      <c r="AW94">
        <v>5</v>
      </c>
      <c r="AX94">
        <v>0</v>
      </c>
      <c r="AY94">
        <v>0</v>
      </c>
      <c r="AZ94">
        <v>53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53</v>
      </c>
      <c r="BI94">
        <v>0</v>
      </c>
      <c r="BJ94">
        <v>0</v>
      </c>
      <c r="BK94">
        <v>0</v>
      </c>
    </row>
    <row r="95" spans="1:63">
      <c r="A95" t="s">
        <v>49</v>
      </c>
      <c r="B95">
        <v>18</v>
      </c>
      <c r="C95">
        <v>1</v>
      </c>
      <c r="D95">
        <v>0</v>
      </c>
      <c r="E95">
        <v>0</v>
      </c>
      <c r="F95">
        <v>18</v>
      </c>
      <c r="G95">
        <v>1</v>
      </c>
      <c r="H95">
        <v>0</v>
      </c>
      <c r="I95">
        <v>0</v>
      </c>
      <c r="J95">
        <v>19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19</v>
      </c>
      <c r="S95">
        <v>0</v>
      </c>
      <c r="T95">
        <v>0</v>
      </c>
      <c r="U95">
        <v>0</v>
      </c>
      <c r="V95" t="s">
        <v>49</v>
      </c>
      <c r="W95">
        <v>18</v>
      </c>
      <c r="X95">
        <v>1</v>
      </c>
      <c r="Y95">
        <v>0</v>
      </c>
      <c r="Z95">
        <v>0</v>
      </c>
      <c r="AA95">
        <v>18</v>
      </c>
      <c r="AB95">
        <v>1</v>
      </c>
      <c r="AC95">
        <v>0</v>
      </c>
      <c r="AD95">
        <v>0</v>
      </c>
      <c r="AE95">
        <v>19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19</v>
      </c>
      <c r="AN95">
        <v>0</v>
      </c>
      <c r="AO95">
        <v>0</v>
      </c>
      <c r="AP95">
        <v>0</v>
      </c>
      <c r="AQ95" t="s">
        <v>49</v>
      </c>
      <c r="AR95">
        <v>18</v>
      </c>
      <c r="AS95">
        <v>1</v>
      </c>
      <c r="AT95">
        <v>0</v>
      </c>
      <c r="AU95">
        <v>0</v>
      </c>
      <c r="AV95">
        <v>18</v>
      </c>
      <c r="AW95">
        <v>1</v>
      </c>
      <c r="AX95">
        <v>0</v>
      </c>
      <c r="AY95">
        <v>0</v>
      </c>
      <c r="AZ95">
        <v>19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19</v>
      </c>
      <c r="BI95">
        <v>0</v>
      </c>
      <c r="BJ95">
        <v>0</v>
      </c>
      <c r="BK95">
        <v>0</v>
      </c>
    </row>
    <row r="96" spans="1:63">
      <c r="A96" t="s">
        <v>78</v>
      </c>
      <c r="B96">
        <v>15</v>
      </c>
      <c r="C96">
        <v>0</v>
      </c>
      <c r="D96">
        <v>0</v>
      </c>
      <c r="E96">
        <v>0</v>
      </c>
      <c r="F96">
        <v>15</v>
      </c>
      <c r="G96">
        <v>0</v>
      </c>
      <c r="H96">
        <v>0</v>
      </c>
      <c r="I96">
        <v>0</v>
      </c>
      <c r="J96">
        <v>15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15</v>
      </c>
      <c r="S96">
        <v>0</v>
      </c>
      <c r="T96">
        <v>0</v>
      </c>
      <c r="U96">
        <v>0</v>
      </c>
      <c r="V96" t="s">
        <v>78</v>
      </c>
      <c r="W96">
        <v>15</v>
      </c>
      <c r="X96">
        <v>0</v>
      </c>
      <c r="Y96">
        <v>0</v>
      </c>
      <c r="Z96">
        <v>0</v>
      </c>
      <c r="AA96">
        <v>15</v>
      </c>
      <c r="AB96">
        <v>0</v>
      </c>
      <c r="AC96">
        <v>0</v>
      </c>
      <c r="AD96">
        <v>0</v>
      </c>
      <c r="AE96">
        <v>15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15</v>
      </c>
      <c r="AN96">
        <v>0</v>
      </c>
      <c r="AO96">
        <v>0</v>
      </c>
      <c r="AP96">
        <v>0</v>
      </c>
      <c r="AQ96" t="s">
        <v>78</v>
      </c>
      <c r="AR96">
        <v>15</v>
      </c>
      <c r="AS96">
        <v>0</v>
      </c>
      <c r="AT96">
        <v>0</v>
      </c>
      <c r="AU96">
        <v>0</v>
      </c>
      <c r="AV96">
        <v>15</v>
      </c>
      <c r="AW96">
        <v>0</v>
      </c>
      <c r="AX96">
        <v>0</v>
      </c>
      <c r="AY96">
        <v>0</v>
      </c>
      <c r="AZ96">
        <v>15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15</v>
      </c>
      <c r="BI96">
        <v>0</v>
      </c>
      <c r="BJ96">
        <v>0</v>
      </c>
      <c r="BK96">
        <v>0</v>
      </c>
    </row>
    <row r="97" spans="1:16384">
      <c r="A97" t="s">
        <v>73</v>
      </c>
      <c r="B97">
        <v>30</v>
      </c>
      <c r="C97">
        <v>1</v>
      </c>
      <c r="D97">
        <v>0</v>
      </c>
      <c r="E97">
        <v>0</v>
      </c>
      <c r="F97">
        <v>30</v>
      </c>
      <c r="G97">
        <v>1</v>
      </c>
      <c r="H97">
        <v>0</v>
      </c>
      <c r="I97">
        <v>0</v>
      </c>
      <c r="J97">
        <v>31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31</v>
      </c>
      <c r="S97">
        <v>0</v>
      </c>
      <c r="T97">
        <v>0</v>
      </c>
      <c r="U97">
        <v>0</v>
      </c>
      <c r="V97" t="s">
        <v>73</v>
      </c>
      <c r="W97">
        <v>30</v>
      </c>
      <c r="X97">
        <v>1</v>
      </c>
      <c r="Y97">
        <v>0</v>
      </c>
      <c r="Z97">
        <v>0</v>
      </c>
      <c r="AA97">
        <v>30</v>
      </c>
      <c r="AB97">
        <v>1</v>
      </c>
      <c r="AC97">
        <v>0</v>
      </c>
      <c r="AD97">
        <v>0</v>
      </c>
      <c r="AE97">
        <v>31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31</v>
      </c>
      <c r="AN97">
        <v>0</v>
      </c>
      <c r="AO97">
        <v>0</v>
      </c>
      <c r="AP97">
        <v>0</v>
      </c>
      <c r="AQ97" t="s">
        <v>73</v>
      </c>
      <c r="AR97">
        <v>30</v>
      </c>
      <c r="AS97">
        <v>1</v>
      </c>
      <c r="AT97">
        <v>0</v>
      </c>
      <c r="AU97">
        <v>0</v>
      </c>
      <c r="AV97">
        <v>30</v>
      </c>
      <c r="AW97">
        <v>1</v>
      </c>
      <c r="AX97">
        <v>0</v>
      </c>
      <c r="AY97">
        <v>0</v>
      </c>
      <c r="AZ97">
        <v>31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31</v>
      </c>
      <c r="BI97">
        <v>0</v>
      </c>
      <c r="BJ97">
        <v>0</v>
      </c>
      <c r="BK97">
        <v>0</v>
      </c>
    </row>
    <row r="98" spans="1:16384">
      <c r="A98" t="s">
        <v>63</v>
      </c>
      <c r="B98">
        <v>29</v>
      </c>
      <c r="C98">
        <v>0</v>
      </c>
      <c r="D98">
        <v>0</v>
      </c>
      <c r="E98">
        <v>0</v>
      </c>
      <c r="F98">
        <v>29</v>
      </c>
      <c r="G98">
        <v>0</v>
      </c>
      <c r="H98">
        <v>0</v>
      </c>
      <c r="I98">
        <v>0</v>
      </c>
      <c r="J98">
        <v>29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29</v>
      </c>
      <c r="S98">
        <v>0</v>
      </c>
      <c r="T98">
        <v>0</v>
      </c>
      <c r="U98">
        <v>0</v>
      </c>
      <c r="V98" t="s">
        <v>63</v>
      </c>
      <c r="W98">
        <v>29</v>
      </c>
      <c r="X98">
        <v>0</v>
      </c>
      <c r="Y98">
        <v>0</v>
      </c>
      <c r="Z98">
        <v>0</v>
      </c>
      <c r="AA98">
        <v>29</v>
      </c>
      <c r="AB98">
        <v>0</v>
      </c>
      <c r="AC98">
        <v>0</v>
      </c>
      <c r="AD98">
        <v>0</v>
      </c>
      <c r="AE98">
        <v>29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29</v>
      </c>
      <c r="AN98">
        <v>0</v>
      </c>
      <c r="AO98">
        <v>0</v>
      </c>
      <c r="AP98">
        <v>0</v>
      </c>
      <c r="AQ98" t="s">
        <v>63</v>
      </c>
      <c r="AR98">
        <v>29</v>
      </c>
      <c r="AS98">
        <v>0</v>
      </c>
      <c r="AT98">
        <v>0</v>
      </c>
      <c r="AU98">
        <v>0</v>
      </c>
      <c r="AV98">
        <v>29</v>
      </c>
      <c r="AW98">
        <v>0</v>
      </c>
      <c r="AX98">
        <v>0</v>
      </c>
      <c r="AY98">
        <v>0</v>
      </c>
      <c r="AZ98">
        <v>29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29</v>
      </c>
      <c r="BI98">
        <v>0</v>
      </c>
      <c r="BJ98">
        <v>0</v>
      </c>
      <c r="BK98">
        <v>0</v>
      </c>
    </row>
    <row r="99" spans="1:16384">
      <c r="A99" t="s">
        <v>59</v>
      </c>
      <c r="B99">
        <v>22</v>
      </c>
      <c r="C99">
        <v>0</v>
      </c>
      <c r="D99">
        <v>0</v>
      </c>
      <c r="E99">
        <v>0</v>
      </c>
      <c r="F99">
        <v>22</v>
      </c>
      <c r="G99">
        <v>0</v>
      </c>
      <c r="H99">
        <v>0</v>
      </c>
      <c r="I99">
        <v>0</v>
      </c>
      <c r="J99">
        <v>22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22</v>
      </c>
      <c r="S99">
        <v>0</v>
      </c>
      <c r="T99">
        <v>0</v>
      </c>
      <c r="U99">
        <v>0</v>
      </c>
      <c r="V99" t="s">
        <v>59</v>
      </c>
      <c r="W99">
        <v>22</v>
      </c>
      <c r="X99">
        <v>0</v>
      </c>
      <c r="Y99">
        <v>0</v>
      </c>
      <c r="Z99">
        <v>0</v>
      </c>
      <c r="AA99">
        <v>22</v>
      </c>
      <c r="AB99">
        <v>0</v>
      </c>
      <c r="AC99">
        <v>0</v>
      </c>
      <c r="AD99">
        <v>0</v>
      </c>
      <c r="AE99">
        <v>22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22</v>
      </c>
      <c r="AN99">
        <v>0</v>
      </c>
      <c r="AO99">
        <v>0</v>
      </c>
      <c r="AP99">
        <v>0</v>
      </c>
      <c r="AQ99" t="s">
        <v>59</v>
      </c>
      <c r="AR99">
        <v>22</v>
      </c>
      <c r="AS99">
        <v>0</v>
      </c>
      <c r="AT99">
        <v>0</v>
      </c>
      <c r="AU99">
        <v>0</v>
      </c>
      <c r="AV99">
        <v>22</v>
      </c>
      <c r="AW99">
        <v>0</v>
      </c>
      <c r="AX99">
        <v>0</v>
      </c>
      <c r="AY99">
        <v>0</v>
      </c>
      <c r="AZ99">
        <v>22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22</v>
      </c>
      <c r="BI99">
        <v>0</v>
      </c>
      <c r="BJ99">
        <v>0</v>
      </c>
      <c r="BK99">
        <v>0</v>
      </c>
    </row>
    <row r="100" spans="1:16384">
      <c r="A100" t="s">
        <v>68</v>
      </c>
      <c r="B100">
        <v>130</v>
      </c>
      <c r="C100">
        <v>4</v>
      </c>
      <c r="D100">
        <v>0</v>
      </c>
      <c r="E100">
        <v>0</v>
      </c>
      <c r="F100">
        <v>130</v>
      </c>
      <c r="G100">
        <v>4</v>
      </c>
      <c r="H100">
        <v>0</v>
      </c>
      <c r="I100">
        <v>0</v>
      </c>
      <c r="J100">
        <v>134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134</v>
      </c>
      <c r="S100">
        <v>0</v>
      </c>
      <c r="T100">
        <v>0</v>
      </c>
      <c r="U100">
        <v>0</v>
      </c>
      <c r="V100" t="s">
        <v>68</v>
      </c>
      <c r="W100">
        <v>130</v>
      </c>
      <c r="X100">
        <v>4</v>
      </c>
      <c r="Y100">
        <v>0</v>
      </c>
      <c r="Z100">
        <v>0</v>
      </c>
      <c r="AA100">
        <v>130</v>
      </c>
      <c r="AB100">
        <v>4</v>
      </c>
      <c r="AC100">
        <v>0</v>
      </c>
      <c r="AD100">
        <v>0</v>
      </c>
      <c r="AE100">
        <v>134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134</v>
      </c>
      <c r="AN100">
        <v>0</v>
      </c>
      <c r="AO100">
        <v>0</v>
      </c>
      <c r="AP100">
        <v>0</v>
      </c>
      <c r="AQ100" t="s">
        <v>68</v>
      </c>
      <c r="AR100">
        <v>130</v>
      </c>
      <c r="AS100">
        <v>4</v>
      </c>
      <c r="AT100">
        <v>0</v>
      </c>
      <c r="AU100">
        <v>0</v>
      </c>
      <c r="AV100">
        <v>130</v>
      </c>
      <c r="AW100">
        <v>4</v>
      </c>
      <c r="AX100">
        <v>0</v>
      </c>
      <c r="AY100">
        <v>0</v>
      </c>
      <c r="AZ100">
        <v>134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134</v>
      </c>
      <c r="BI100">
        <v>0</v>
      </c>
      <c r="BJ100">
        <v>0</v>
      </c>
      <c r="BK100">
        <v>0</v>
      </c>
    </row>
    <row r="101" spans="1:16384">
      <c r="A101" t="s">
        <v>34</v>
      </c>
      <c r="B101">
        <v>111</v>
      </c>
      <c r="C101">
        <v>0</v>
      </c>
      <c r="D101">
        <v>0</v>
      </c>
      <c r="E101">
        <v>0</v>
      </c>
      <c r="F101">
        <v>111</v>
      </c>
      <c r="G101">
        <v>0</v>
      </c>
      <c r="H101">
        <v>0</v>
      </c>
      <c r="I101">
        <v>0</v>
      </c>
      <c r="J101">
        <v>111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111</v>
      </c>
      <c r="S101">
        <v>0</v>
      </c>
      <c r="T101">
        <v>0</v>
      </c>
      <c r="U101">
        <v>0</v>
      </c>
      <c r="V101" t="s">
        <v>34</v>
      </c>
      <c r="W101">
        <v>111</v>
      </c>
      <c r="X101">
        <v>0</v>
      </c>
      <c r="Y101">
        <v>0</v>
      </c>
      <c r="Z101">
        <v>0</v>
      </c>
      <c r="AA101">
        <v>111</v>
      </c>
      <c r="AB101">
        <v>0</v>
      </c>
      <c r="AC101">
        <v>0</v>
      </c>
      <c r="AD101">
        <v>0</v>
      </c>
      <c r="AE101">
        <v>111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111</v>
      </c>
      <c r="AN101">
        <v>0</v>
      </c>
      <c r="AO101">
        <v>0</v>
      </c>
      <c r="AP101">
        <v>0</v>
      </c>
      <c r="AQ101" t="s">
        <v>34</v>
      </c>
      <c r="AR101">
        <v>111</v>
      </c>
      <c r="AS101">
        <v>0</v>
      </c>
      <c r="AT101">
        <v>0</v>
      </c>
      <c r="AU101">
        <v>0</v>
      </c>
      <c r="AV101">
        <v>111</v>
      </c>
      <c r="AW101">
        <v>0</v>
      </c>
      <c r="AX101">
        <v>0</v>
      </c>
      <c r="AY101">
        <v>0</v>
      </c>
      <c r="AZ101">
        <v>111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111</v>
      </c>
      <c r="BI101">
        <v>0</v>
      </c>
      <c r="BJ101">
        <v>0</v>
      </c>
      <c r="BK101">
        <v>0</v>
      </c>
    </row>
    <row r="102" spans="1:16384">
      <c r="A102" t="s">
        <v>4</v>
      </c>
      <c r="B102">
        <v>71</v>
      </c>
      <c r="C102">
        <v>0</v>
      </c>
      <c r="D102">
        <v>0</v>
      </c>
      <c r="E102">
        <v>0</v>
      </c>
      <c r="F102">
        <v>71</v>
      </c>
      <c r="G102">
        <v>0</v>
      </c>
      <c r="H102">
        <v>0</v>
      </c>
      <c r="I102">
        <v>0</v>
      </c>
      <c r="J102">
        <v>68</v>
      </c>
      <c r="K102">
        <v>3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68</v>
      </c>
      <c r="S102">
        <v>3</v>
      </c>
      <c r="T102">
        <v>0</v>
      </c>
      <c r="U102">
        <v>0</v>
      </c>
      <c r="V102" t="s">
        <v>4</v>
      </c>
      <c r="W102">
        <v>71</v>
      </c>
      <c r="X102">
        <v>0</v>
      </c>
      <c r="Y102">
        <v>0</v>
      </c>
      <c r="Z102">
        <v>0</v>
      </c>
      <c r="AA102">
        <v>71</v>
      </c>
      <c r="AB102">
        <v>0</v>
      </c>
      <c r="AC102">
        <v>0</v>
      </c>
      <c r="AD102">
        <v>0</v>
      </c>
      <c r="AE102">
        <v>68</v>
      </c>
      <c r="AF102">
        <v>3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68</v>
      </c>
      <c r="AN102">
        <v>3</v>
      </c>
      <c r="AO102">
        <v>0</v>
      </c>
      <c r="AP102">
        <v>0</v>
      </c>
      <c r="AQ102" t="s">
        <v>4</v>
      </c>
      <c r="AR102">
        <v>71</v>
      </c>
      <c r="AS102">
        <v>0</v>
      </c>
      <c r="AT102">
        <v>0</v>
      </c>
      <c r="AU102">
        <v>0</v>
      </c>
      <c r="AV102">
        <v>71</v>
      </c>
      <c r="AW102">
        <v>0</v>
      </c>
      <c r="AX102">
        <v>0</v>
      </c>
      <c r="AY102">
        <v>0</v>
      </c>
      <c r="AZ102">
        <v>71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71</v>
      </c>
      <c r="BI102">
        <v>0</v>
      </c>
      <c r="BJ102">
        <v>0</v>
      </c>
      <c r="BK102">
        <v>0</v>
      </c>
    </row>
    <row r="103" spans="1:16384">
      <c r="A103" t="s">
        <v>70</v>
      </c>
      <c r="B103">
        <v>32</v>
      </c>
      <c r="C103">
        <v>0</v>
      </c>
      <c r="D103">
        <v>0</v>
      </c>
      <c r="E103">
        <v>0</v>
      </c>
      <c r="F103">
        <v>32</v>
      </c>
      <c r="G103">
        <v>0</v>
      </c>
      <c r="H103">
        <v>0</v>
      </c>
      <c r="I103">
        <v>0</v>
      </c>
      <c r="J103">
        <v>31</v>
      </c>
      <c r="K103">
        <v>1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31</v>
      </c>
      <c r="S103">
        <v>1</v>
      </c>
      <c r="T103">
        <v>0</v>
      </c>
      <c r="U103">
        <v>0</v>
      </c>
      <c r="V103" t="s">
        <v>70</v>
      </c>
      <c r="W103">
        <v>32</v>
      </c>
      <c r="X103">
        <v>0</v>
      </c>
      <c r="Y103">
        <v>0</v>
      </c>
      <c r="Z103">
        <v>0</v>
      </c>
      <c r="AA103">
        <v>32</v>
      </c>
      <c r="AB103">
        <v>0</v>
      </c>
      <c r="AC103">
        <v>0</v>
      </c>
      <c r="AD103">
        <v>0</v>
      </c>
      <c r="AE103">
        <v>31</v>
      </c>
      <c r="AF103">
        <v>1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31</v>
      </c>
      <c r="AN103">
        <v>1</v>
      </c>
      <c r="AO103">
        <v>0</v>
      </c>
      <c r="AP103">
        <v>0</v>
      </c>
      <c r="AQ103" t="s">
        <v>70</v>
      </c>
      <c r="AR103">
        <v>32</v>
      </c>
      <c r="AS103">
        <v>0</v>
      </c>
      <c r="AT103">
        <v>0</v>
      </c>
      <c r="AU103">
        <v>0</v>
      </c>
      <c r="AV103">
        <v>32</v>
      </c>
      <c r="AW103">
        <v>0</v>
      </c>
      <c r="AX103">
        <v>0</v>
      </c>
      <c r="AY103">
        <v>0</v>
      </c>
      <c r="AZ103">
        <v>32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32</v>
      </c>
      <c r="BI103">
        <v>0</v>
      </c>
      <c r="BJ103">
        <v>0</v>
      </c>
      <c r="BK103">
        <v>0</v>
      </c>
    </row>
    <row r="104" spans="1:16384">
      <c r="A104" t="s">
        <v>87</v>
      </c>
      <c r="B104">
        <v>7</v>
      </c>
      <c r="C104">
        <v>0</v>
      </c>
      <c r="D104">
        <v>0</v>
      </c>
      <c r="E104">
        <v>0</v>
      </c>
      <c r="F104">
        <v>7</v>
      </c>
      <c r="G104">
        <v>0</v>
      </c>
      <c r="H104">
        <v>0</v>
      </c>
      <c r="I104">
        <v>0</v>
      </c>
      <c r="J104">
        <v>7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7</v>
      </c>
      <c r="S104">
        <v>0</v>
      </c>
      <c r="T104">
        <v>0</v>
      </c>
      <c r="U104">
        <v>0</v>
      </c>
      <c r="V104" t="s">
        <v>87</v>
      </c>
      <c r="W104">
        <v>7</v>
      </c>
      <c r="X104">
        <v>0</v>
      </c>
      <c r="Y104">
        <v>0</v>
      </c>
      <c r="Z104">
        <v>0</v>
      </c>
      <c r="AA104">
        <v>7</v>
      </c>
      <c r="AB104">
        <v>0</v>
      </c>
      <c r="AC104">
        <v>0</v>
      </c>
      <c r="AD104">
        <v>0</v>
      </c>
      <c r="AE104">
        <v>7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7</v>
      </c>
      <c r="AN104">
        <v>0</v>
      </c>
      <c r="AO104">
        <v>0</v>
      </c>
      <c r="AP104">
        <v>0</v>
      </c>
      <c r="AQ104" t="s">
        <v>87</v>
      </c>
      <c r="AR104">
        <v>7</v>
      </c>
      <c r="AS104">
        <v>0</v>
      </c>
      <c r="AT104">
        <v>0</v>
      </c>
      <c r="AU104">
        <v>0</v>
      </c>
      <c r="AV104">
        <v>7</v>
      </c>
      <c r="AW104">
        <v>0</v>
      </c>
      <c r="AX104">
        <v>0</v>
      </c>
      <c r="AY104">
        <v>0</v>
      </c>
      <c r="AZ104">
        <v>7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7</v>
      </c>
      <c r="BI104">
        <v>0</v>
      </c>
      <c r="BJ104">
        <v>0</v>
      </c>
      <c r="BK104">
        <v>0</v>
      </c>
    </row>
    <row r="105" spans="1:16384">
      <c r="A105" t="s">
        <v>19</v>
      </c>
      <c r="B105">
        <v>159</v>
      </c>
      <c r="C105">
        <v>9</v>
      </c>
      <c r="D105">
        <v>0</v>
      </c>
      <c r="E105">
        <v>0</v>
      </c>
      <c r="F105">
        <v>159</v>
      </c>
      <c r="G105">
        <v>9</v>
      </c>
      <c r="H105">
        <v>0</v>
      </c>
      <c r="I105">
        <v>0</v>
      </c>
      <c r="J105">
        <v>167</v>
      </c>
      <c r="K105">
        <v>1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168</v>
      </c>
      <c r="S105">
        <v>0</v>
      </c>
      <c r="T105">
        <v>0</v>
      </c>
      <c r="U105">
        <v>0</v>
      </c>
      <c r="V105" t="s">
        <v>19</v>
      </c>
      <c r="W105">
        <v>159</v>
      </c>
      <c r="X105">
        <v>9</v>
      </c>
      <c r="Y105">
        <v>0</v>
      </c>
      <c r="Z105">
        <v>0</v>
      </c>
      <c r="AA105">
        <v>159</v>
      </c>
      <c r="AB105">
        <v>9</v>
      </c>
      <c r="AC105">
        <v>0</v>
      </c>
      <c r="AD105">
        <v>0</v>
      </c>
      <c r="AE105">
        <v>167</v>
      </c>
      <c r="AF105">
        <v>1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168</v>
      </c>
      <c r="AN105">
        <v>0</v>
      </c>
      <c r="AO105">
        <v>0</v>
      </c>
      <c r="AP105">
        <v>0</v>
      </c>
      <c r="AQ105" t="s">
        <v>19</v>
      </c>
      <c r="AR105">
        <v>159</v>
      </c>
      <c r="AS105">
        <v>9</v>
      </c>
      <c r="AT105">
        <v>0</v>
      </c>
      <c r="AU105">
        <v>0</v>
      </c>
      <c r="AV105">
        <v>159</v>
      </c>
      <c r="AW105">
        <v>9</v>
      </c>
      <c r="AX105">
        <v>0</v>
      </c>
      <c r="AY105">
        <v>0</v>
      </c>
      <c r="AZ105">
        <v>168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168</v>
      </c>
      <c r="BI105">
        <v>0</v>
      </c>
      <c r="BJ105">
        <v>0</v>
      </c>
      <c r="BK105">
        <v>0</v>
      </c>
    </row>
    <row r="106" spans="1:16384">
      <c r="A106" t="s">
        <v>38</v>
      </c>
      <c r="B106">
        <v>637</v>
      </c>
      <c r="C106">
        <v>17</v>
      </c>
      <c r="D106">
        <v>0</v>
      </c>
      <c r="E106">
        <v>0</v>
      </c>
      <c r="F106">
        <v>637</v>
      </c>
      <c r="G106">
        <v>17</v>
      </c>
      <c r="H106">
        <v>0</v>
      </c>
      <c r="I106">
        <v>0</v>
      </c>
      <c r="J106">
        <v>650</v>
      </c>
      <c r="K106">
        <v>4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650</v>
      </c>
      <c r="S106">
        <v>4</v>
      </c>
      <c r="T106">
        <v>0</v>
      </c>
      <c r="U106">
        <v>0</v>
      </c>
      <c r="V106" t="s">
        <v>38</v>
      </c>
      <c r="W106">
        <v>637</v>
      </c>
      <c r="X106">
        <v>17</v>
      </c>
      <c r="Y106">
        <v>0</v>
      </c>
      <c r="Z106">
        <v>0</v>
      </c>
      <c r="AA106">
        <v>637</v>
      </c>
      <c r="AB106">
        <v>17</v>
      </c>
      <c r="AC106">
        <v>0</v>
      </c>
      <c r="AD106">
        <v>0</v>
      </c>
      <c r="AE106">
        <v>650</v>
      </c>
      <c r="AF106">
        <v>4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650</v>
      </c>
      <c r="AN106">
        <v>4</v>
      </c>
      <c r="AO106">
        <v>0</v>
      </c>
      <c r="AP106">
        <v>0</v>
      </c>
      <c r="AQ106" t="s">
        <v>38</v>
      </c>
      <c r="AR106">
        <v>637</v>
      </c>
      <c r="AS106">
        <v>17</v>
      </c>
      <c r="AT106">
        <v>0</v>
      </c>
      <c r="AU106">
        <v>0</v>
      </c>
      <c r="AV106">
        <v>637</v>
      </c>
      <c r="AW106">
        <v>17</v>
      </c>
      <c r="AX106">
        <v>0</v>
      </c>
      <c r="AY106">
        <v>0</v>
      </c>
      <c r="AZ106">
        <v>654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654</v>
      </c>
      <c r="BI106">
        <v>0</v>
      </c>
      <c r="BJ106">
        <v>0</v>
      </c>
      <c r="BK106">
        <v>0</v>
      </c>
    </row>
    <row r="107" spans="1:16384">
      <c r="A107" t="s">
        <v>42</v>
      </c>
      <c r="B107">
        <v>147</v>
      </c>
      <c r="C107">
        <v>22</v>
      </c>
      <c r="D107">
        <v>0</v>
      </c>
      <c r="E107">
        <v>0</v>
      </c>
      <c r="F107">
        <v>147</v>
      </c>
      <c r="G107">
        <v>22</v>
      </c>
      <c r="H107">
        <v>0</v>
      </c>
      <c r="I107">
        <v>0</v>
      </c>
      <c r="J107">
        <v>169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169</v>
      </c>
      <c r="S107">
        <v>0</v>
      </c>
      <c r="T107">
        <v>0</v>
      </c>
      <c r="U107">
        <v>0</v>
      </c>
      <c r="V107" t="s">
        <v>42</v>
      </c>
      <c r="W107">
        <v>147</v>
      </c>
      <c r="X107">
        <v>22</v>
      </c>
      <c r="Y107">
        <v>0</v>
      </c>
      <c r="Z107">
        <v>0</v>
      </c>
      <c r="AA107">
        <v>147</v>
      </c>
      <c r="AB107">
        <v>22</v>
      </c>
      <c r="AC107">
        <v>0</v>
      </c>
      <c r="AD107">
        <v>0</v>
      </c>
      <c r="AE107">
        <v>169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169</v>
      </c>
      <c r="AN107">
        <v>0</v>
      </c>
      <c r="AO107">
        <v>0</v>
      </c>
      <c r="AP107">
        <v>0</v>
      </c>
      <c r="AQ107" t="s">
        <v>42</v>
      </c>
      <c r="AR107">
        <v>147</v>
      </c>
      <c r="AS107">
        <v>22</v>
      </c>
      <c r="AT107">
        <v>0</v>
      </c>
      <c r="AU107">
        <v>0</v>
      </c>
      <c r="AV107">
        <v>147</v>
      </c>
      <c r="AW107">
        <v>22</v>
      </c>
      <c r="AX107">
        <v>0</v>
      </c>
      <c r="AY107">
        <v>0</v>
      </c>
      <c r="AZ107">
        <v>169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169</v>
      </c>
      <c r="BI107">
        <v>0</v>
      </c>
      <c r="BJ107">
        <v>0</v>
      </c>
      <c r="BK107">
        <v>0</v>
      </c>
    </row>
    <row r="108" spans="1:16384">
      <c r="A108" s="1" t="s">
        <v>122</v>
      </c>
      <c r="B108" s="1">
        <f>SUM('accuracy dom7dom6'!B3:B107)</f>
        <v>10816</v>
      </c>
      <c r="C108" s="1">
        <f>SUM('accuracy dom7dom6'!C3:C107)</f>
        <v>421</v>
      </c>
      <c r="D108" s="1">
        <f>SUM('accuracy dom7dom6'!D3:D107)</f>
        <v>0</v>
      </c>
      <c r="E108" s="1">
        <f>SUM('accuracy dom7dom6'!E3:E107)</f>
        <v>0</v>
      </c>
      <c r="F108" s="1">
        <f>SUM('accuracy dom7dom6'!F3:F107)</f>
        <v>10815</v>
      </c>
      <c r="G108" s="1">
        <f>SUM('accuracy dom7dom6'!G3:G107)</f>
        <v>422</v>
      </c>
      <c r="H108" s="1">
        <f>SUM('accuracy dom7dom6'!H3:H107)</f>
        <v>0</v>
      </c>
      <c r="I108" s="1">
        <f>SUM('accuracy dom7dom6'!I3:I107)</f>
        <v>0</v>
      </c>
      <c r="J108" s="1">
        <f>SUM('accuracy dom7dom6'!J3:J107)</f>
        <v>11314</v>
      </c>
      <c r="K108" s="1">
        <f>SUM('accuracy dom7dom6'!K3:K107)</f>
        <v>87</v>
      </c>
      <c r="L108" s="1">
        <f>SUM('accuracy dom7dom6'!L3:L107)</f>
        <v>0</v>
      </c>
      <c r="M108" s="1">
        <f>SUM('accuracy dom7dom6'!M3:M107)</f>
        <v>0</v>
      </c>
      <c r="N108" s="1">
        <f>SUM('accuracy dom7dom6'!N3:N107)</f>
        <v>2365</v>
      </c>
      <c r="O108" s="1">
        <f>SUM('accuracy dom7dom6'!O3:O107)</f>
        <v>22</v>
      </c>
      <c r="P108" s="1">
        <f>SUM('accuracy dom7dom6'!P3:P107)</f>
        <v>27</v>
      </c>
      <c r="Q108" s="1">
        <f>SUM('accuracy dom7dom6'!Q3:Q107)</f>
        <v>1</v>
      </c>
      <c r="R108" s="1">
        <f>SUM('accuracy dom7dom6'!R3:R107)</f>
        <v>11068</v>
      </c>
      <c r="S108" s="1">
        <f>SUM('accuracy dom7dom6'!S3:S107)</f>
        <v>169</v>
      </c>
      <c r="T108" s="1">
        <f>SUM('accuracy dom7dom6'!T3:T107)</f>
        <v>0</v>
      </c>
      <c r="U108" s="1">
        <f>SUM('accuracy dom7dom6'!U3:U107)</f>
        <v>0</v>
      </c>
      <c r="V108" s="1">
        <f>SUM('accuracy dom7dom6'!V3:V107)</f>
        <v>0</v>
      </c>
      <c r="W108" s="1">
        <f>SUM('accuracy dom7dom6'!W3:W107)</f>
        <v>10816</v>
      </c>
      <c r="X108" s="1">
        <f>SUM('accuracy dom7dom6'!X3:X107)</f>
        <v>421</v>
      </c>
      <c r="Y108" s="1">
        <f>SUM('accuracy dom7dom6'!Y3:Y107)</f>
        <v>0</v>
      </c>
      <c r="Z108" s="1">
        <f>SUM('accuracy dom7dom6'!Z3:Z107)</f>
        <v>0</v>
      </c>
      <c r="AA108" s="1">
        <f>SUM('accuracy dom7dom6'!AA3:AA107)</f>
        <v>10815</v>
      </c>
      <c r="AB108" s="1">
        <f>SUM('accuracy dom7dom6'!AB3:AB107)</f>
        <v>422</v>
      </c>
      <c r="AC108" s="1">
        <f>SUM('accuracy dom7dom6'!AC3:AC107)</f>
        <v>0</v>
      </c>
      <c r="AD108" s="1">
        <f>SUM('accuracy dom7dom6'!AD3:AD107)</f>
        <v>0</v>
      </c>
      <c r="AE108" s="1">
        <f>SUM('accuracy dom7dom6'!AE3:AE107)</f>
        <v>11314</v>
      </c>
      <c r="AF108" s="1">
        <f>SUM('accuracy dom7dom6'!AF3:AF107)</f>
        <v>87</v>
      </c>
      <c r="AG108" s="1">
        <f>SUM('accuracy dom7dom6'!AG3:AG107)</f>
        <v>0</v>
      </c>
      <c r="AH108" s="1">
        <f>SUM('accuracy dom7dom6'!AH3:AH107)</f>
        <v>0</v>
      </c>
      <c r="AI108" s="1">
        <f>SUM('accuracy dom7dom6'!AI3:AI107)</f>
        <v>2365</v>
      </c>
      <c r="AJ108" s="1">
        <f>SUM('accuracy dom7dom6'!AJ3:AJ107)</f>
        <v>22</v>
      </c>
      <c r="AK108" s="1">
        <f>SUM('accuracy dom7dom6'!AK3:AK107)</f>
        <v>27</v>
      </c>
      <c r="AL108" s="1">
        <f>SUM('accuracy dom7dom6'!AL3:AL107)</f>
        <v>1</v>
      </c>
      <c r="AM108" s="1">
        <f>SUM('accuracy dom7dom6'!AM3:AM107)</f>
        <v>11068</v>
      </c>
      <c r="AN108" s="1">
        <f>SUM('accuracy dom7dom6'!AN3:AN107)</f>
        <v>169</v>
      </c>
      <c r="AO108" s="1">
        <f>SUM('accuracy dom7dom6'!AO3:AO107)</f>
        <v>0</v>
      </c>
      <c r="AP108" s="1">
        <f>SUM('accuracy dom7dom6'!AP3:AP107)</f>
        <v>0</v>
      </c>
      <c r="AQ108" s="1">
        <f>SUM('accuracy dom7dom6'!AQ3:AQ107)</f>
        <v>0</v>
      </c>
      <c r="AR108" s="1">
        <f>SUM('accuracy dom7dom6'!AR3:AR107)</f>
        <v>10815</v>
      </c>
      <c r="AS108" s="1">
        <f>SUM('accuracy dom7dom6'!AS3:AS107)</f>
        <v>422</v>
      </c>
      <c r="AT108" s="1">
        <f>SUM('accuracy dom7dom6'!AT3:AT107)</f>
        <v>0</v>
      </c>
      <c r="AU108" s="1">
        <f>SUM('accuracy dom7dom6'!AU3:AU107)</f>
        <v>0</v>
      </c>
      <c r="AV108" s="1">
        <f>SUM('accuracy dom7dom6'!AV3:AV107)</f>
        <v>10815</v>
      </c>
      <c r="AW108" s="1">
        <f>SUM('accuracy dom7dom6'!AW3:AW107)</f>
        <v>422</v>
      </c>
      <c r="AX108" s="1">
        <f>SUM('accuracy dom7dom6'!AX3:AX107)</f>
        <v>0</v>
      </c>
      <c r="AY108" s="1">
        <f>SUM('accuracy dom7dom6'!AY3:AY107)</f>
        <v>0</v>
      </c>
      <c r="AZ108" s="1">
        <f>SUM('accuracy dom7dom6'!AZ3:AZ107)</f>
        <v>11401</v>
      </c>
      <c r="BA108" s="1">
        <f>SUM('accuracy dom7dom6'!BA3:BA107)</f>
        <v>0</v>
      </c>
      <c r="BB108" s="1">
        <f>SUM('accuracy dom7dom6'!BB3:BB107)</f>
        <v>0</v>
      </c>
      <c r="BC108" s="1">
        <f>SUM('accuracy dom7dom6'!BC3:BC107)</f>
        <v>0</v>
      </c>
      <c r="BD108" s="1">
        <f>SUM('accuracy dom7dom6'!BD3:BD107)</f>
        <v>2387</v>
      </c>
      <c r="BE108" s="1">
        <f>SUM('accuracy dom7dom6'!BE3:BE107)</f>
        <v>0</v>
      </c>
      <c r="BF108" s="1">
        <f>SUM('accuracy dom7dom6'!BF3:BF107)</f>
        <v>28</v>
      </c>
      <c r="BG108" s="1">
        <f>SUM('accuracy dom7dom6'!BG3:BG107)</f>
        <v>0</v>
      </c>
      <c r="BH108" s="1">
        <f>SUM('accuracy dom7dom6'!BH3:BH107)</f>
        <v>11237</v>
      </c>
      <c r="BI108" s="1">
        <f>SUM('accuracy dom7dom6'!BI3:BI107)</f>
        <v>0</v>
      </c>
      <c r="BJ108" s="1">
        <f>SUM('accuracy dom7dom6'!BJ3:BJ107)</f>
        <v>0</v>
      </c>
      <c r="BK108" s="1">
        <f>SUM('accuracy dom7dom6'!BK3:BK107)</f>
        <v>0</v>
      </c>
      <c r="CE108" s="1" t="s">
        <v>122</v>
      </c>
      <c r="CF108" s="1" t="s">
        <v>122</v>
      </c>
      <c r="CG108" s="1" t="s">
        <v>122</v>
      </c>
      <c r="CH108" s="1" t="s">
        <v>122</v>
      </c>
      <c r="CI108" s="1" t="s">
        <v>122</v>
      </c>
      <c r="CJ108" s="1" t="s">
        <v>122</v>
      </c>
      <c r="CK108" s="1" t="s">
        <v>122</v>
      </c>
      <c r="CL108" s="1" t="s">
        <v>122</v>
      </c>
      <c r="CM108" s="1" t="s">
        <v>122</v>
      </c>
      <c r="CN108" s="1" t="s">
        <v>122</v>
      </c>
      <c r="CO108" s="1" t="s">
        <v>122</v>
      </c>
      <c r="CP108" s="1" t="s">
        <v>122</v>
      </c>
      <c r="CQ108" s="1" t="s">
        <v>122</v>
      </c>
      <c r="CR108" s="1" t="s">
        <v>122</v>
      </c>
      <c r="CS108" s="1" t="s">
        <v>122</v>
      </c>
      <c r="CT108" s="1" t="s">
        <v>122</v>
      </c>
      <c r="CU108" s="1" t="s">
        <v>122</v>
      </c>
      <c r="CV108" s="1" t="s">
        <v>122</v>
      </c>
      <c r="CW108" s="1" t="s">
        <v>122</v>
      </c>
      <c r="CX108" s="1" t="s">
        <v>122</v>
      </c>
      <c r="CY108" s="1" t="s">
        <v>122</v>
      </c>
      <c r="CZ108" s="1" t="s">
        <v>122</v>
      </c>
      <c r="DA108" s="1" t="s">
        <v>122</v>
      </c>
      <c r="DB108" s="1" t="s">
        <v>122</v>
      </c>
      <c r="DC108" s="1" t="s">
        <v>122</v>
      </c>
      <c r="DD108" s="1" t="s">
        <v>122</v>
      </c>
      <c r="DE108" s="1" t="s">
        <v>122</v>
      </c>
      <c r="DF108" s="1" t="s">
        <v>122</v>
      </c>
      <c r="DG108" s="1" t="s">
        <v>122</v>
      </c>
      <c r="DH108" s="1" t="s">
        <v>122</v>
      </c>
      <c r="DI108" s="1" t="s">
        <v>122</v>
      </c>
      <c r="DJ108" s="1" t="s">
        <v>122</v>
      </c>
      <c r="DK108" s="1" t="s">
        <v>122</v>
      </c>
      <c r="DL108" s="1" t="s">
        <v>122</v>
      </c>
      <c r="DM108" s="1" t="s">
        <v>122</v>
      </c>
      <c r="DN108" s="1" t="s">
        <v>122</v>
      </c>
      <c r="DO108" s="1" t="s">
        <v>122</v>
      </c>
      <c r="DP108" s="1" t="s">
        <v>122</v>
      </c>
      <c r="DQ108" s="1" t="s">
        <v>122</v>
      </c>
      <c r="DR108" s="1" t="s">
        <v>122</v>
      </c>
      <c r="DS108" s="1" t="s">
        <v>122</v>
      </c>
      <c r="DT108" s="1" t="s">
        <v>122</v>
      </c>
      <c r="DU108" s="1" t="s">
        <v>122</v>
      </c>
      <c r="DV108" s="1" t="s">
        <v>122</v>
      </c>
      <c r="DW108" s="1" t="s">
        <v>122</v>
      </c>
      <c r="DX108" s="1" t="s">
        <v>122</v>
      </c>
      <c r="DY108" s="1" t="s">
        <v>122</v>
      </c>
      <c r="DZ108" s="1" t="s">
        <v>122</v>
      </c>
      <c r="EA108" s="1" t="s">
        <v>122</v>
      </c>
      <c r="EB108" s="1" t="s">
        <v>122</v>
      </c>
      <c r="EC108" s="1" t="s">
        <v>122</v>
      </c>
      <c r="ED108" s="1" t="s">
        <v>122</v>
      </c>
      <c r="EE108" s="1" t="s">
        <v>122</v>
      </c>
      <c r="EF108" s="1" t="s">
        <v>122</v>
      </c>
      <c r="EG108" s="1" t="s">
        <v>122</v>
      </c>
      <c r="EH108" s="1" t="s">
        <v>122</v>
      </c>
      <c r="EI108" s="1" t="s">
        <v>122</v>
      </c>
      <c r="EJ108" s="1" t="s">
        <v>122</v>
      </c>
      <c r="EK108" s="1" t="s">
        <v>122</v>
      </c>
      <c r="EL108" s="1" t="s">
        <v>122</v>
      </c>
      <c r="EM108" s="1" t="s">
        <v>122</v>
      </c>
      <c r="EN108" s="1" t="s">
        <v>122</v>
      </c>
      <c r="EO108" s="1" t="s">
        <v>122</v>
      </c>
      <c r="EP108" s="1" t="s">
        <v>122</v>
      </c>
      <c r="EQ108" s="1" t="s">
        <v>122</v>
      </c>
      <c r="ER108" s="1" t="s">
        <v>122</v>
      </c>
      <c r="ES108" s="1" t="s">
        <v>122</v>
      </c>
      <c r="ET108" s="1" t="s">
        <v>122</v>
      </c>
      <c r="EU108" s="1" t="s">
        <v>122</v>
      </c>
      <c r="EV108" s="1" t="s">
        <v>122</v>
      </c>
      <c r="EW108" s="1" t="s">
        <v>122</v>
      </c>
      <c r="EX108" s="1" t="s">
        <v>122</v>
      </c>
      <c r="EY108" s="1" t="s">
        <v>122</v>
      </c>
      <c r="EZ108" s="1" t="s">
        <v>122</v>
      </c>
      <c r="FA108" s="1" t="s">
        <v>122</v>
      </c>
      <c r="FB108" s="1" t="s">
        <v>122</v>
      </c>
      <c r="FC108" s="1" t="s">
        <v>122</v>
      </c>
      <c r="FD108" s="1" t="s">
        <v>122</v>
      </c>
      <c r="FE108" s="1" t="s">
        <v>122</v>
      </c>
      <c r="FF108" s="1" t="s">
        <v>122</v>
      </c>
      <c r="FG108" s="1" t="s">
        <v>122</v>
      </c>
      <c r="FH108" s="1" t="s">
        <v>122</v>
      </c>
      <c r="FI108" s="1" t="s">
        <v>122</v>
      </c>
      <c r="FJ108" s="1" t="s">
        <v>122</v>
      </c>
      <c r="FK108" s="1" t="s">
        <v>122</v>
      </c>
      <c r="FL108" s="1" t="s">
        <v>122</v>
      </c>
      <c r="FM108" s="1" t="s">
        <v>122</v>
      </c>
      <c r="FN108" s="1" t="s">
        <v>122</v>
      </c>
      <c r="FO108" s="1" t="s">
        <v>122</v>
      </c>
      <c r="FP108" s="1" t="s">
        <v>122</v>
      </c>
      <c r="FQ108" s="1" t="s">
        <v>122</v>
      </c>
      <c r="FR108" s="1" t="s">
        <v>122</v>
      </c>
      <c r="FS108" s="1" t="s">
        <v>122</v>
      </c>
      <c r="FT108" s="1" t="s">
        <v>122</v>
      </c>
      <c r="FU108" s="1" t="s">
        <v>122</v>
      </c>
      <c r="FV108" s="1" t="s">
        <v>122</v>
      </c>
      <c r="FW108" s="1" t="s">
        <v>122</v>
      </c>
      <c r="FX108" s="1" t="s">
        <v>122</v>
      </c>
      <c r="FY108" s="1" t="s">
        <v>122</v>
      </c>
      <c r="FZ108" s="1" t="s">
        <v>122</v>
      </c>
      <c r="GA108" s="1" t="s">
        <v>122</v>
      </c>
      <c r="GB108" s="1" t="s">
        <v>122</v>
      </c>
      <c r="GC108" s="1" t="s">
        <v>122</v>
      </c>
      <c r="GD108" s="1" t="s">
        <v>122</v>
      </c>
      <c r="GE108" s="1" t="s">
        <v>122</v>
      </c>
      <c r="GF108" s="1" t="s">
        <v>122</v>
      </c>
      <c r="GG108" s="1" t="s">
        <v>122</v>
      </c>
      <c r="GH108" s="1" t="s">
        <v>122</v>
      </c>
      <c r="GI108" s="1" t="s">
        <v>122</v>
      </c>
      <c r="GJ108" s="1" t="s">
        <v>122</v>
      </c>
      <c r="GK108" s="1" t="s">
        <v>122</v>
      </c>
      <c r="GL108" s="1" t="s">
        <v>122</v>
      </c>
      <c r="GM108" s="1" t="s">
        <v>122</v>
      </c>
      <c r="GN108" s="1" t="s">
        <v>122</v>
      </c>
      <c r="GO108" s="1" t="s">
        <v>122</v>
      </c>
      <c r="GP108" s="1" t="s">
        <v>122</v>
      </c>
      <c r="GQ108" s="1" t="s">
        <v>122</v>
      </c>
      <c r="GR108" s="1" t="s">
        <v>122</v>
      </c>
      <c r="GS108" s="1" t="s">
        <v>122</v>
      </c>
      <c r="GT108" s="1" t="s">
        <v>122</v>
      </c>
      <c r="GU108" s="1" t="s">
        <v>122</v>
      </c>
      <c r="GV108" s="1" t="s">
        <v>122</v>
      </c>
      <c r="GW108" s="1" t="s">
        <v>122</v>
      </c>
      <c r="GX108" s="1" t="s">
        <v>122</v>
      </c>
      <c r="GY108" s="1" t="s">
        <v>122</v>
      </c>
      <c r="GZ108" s="1" t="s">
        <v>122</v>
      </c>
      <c r="HA108" s="1" t="s">
        <v>122</v>
      </c>
      <c r="HB108" s="1" t="s">
        <v>122</v>
      </c>
      <c r="HC108" s="1" t="s">
        <v>122</v>
      </c>
      <c r="HD108" s="1" t="s">
        <v>122</v>
      </c>
      <c r="HE108" s="1" t="s">
        <v>122</v>
      </c>
      <c r="HF108" s="1" t="s">
        <v>122</v>
      </c>
      <c r="HG108" s="1" t="s">
        <v>122</v>
      </c>
      <c r="HH108" s="1" t="s">
        <v>122</v>
      </c>
      <c r="HI108" s="1" t="s">
        <v>122</v>
      </c>
      <c r="HJ108" s="1" t="s">
        <v>122</v>
      </c>
      <c r="HK108" s="1" t="s">
        <v>122</v>
      </c>
      <c r="HL108" s="1" t="s">
        <v>122</v>
      </c>
      <c r="HM108" s="1" t="s">
        <v>122</v>
      </c>
      <c r="HN108" s="1" t="s">
        <v>122</v>
      </c>
      <c r="HO108" s="1" t="s">
        <v>122</v>
      </c>
      <c r="HP108" s="1" t="s">
        <v>122</v>
      </c>
      <c r="HQ108" s="1" t="s">
        <v>122</v>
      </c>
      <c r="HR108" s="1" t="s">
        <v>122</v>
      </c>
      <c r="HS108" s="1" t="s">
        <v>122</v>
      </c>
      <c r="HT108" s="1" t="s">
        <v>122</v>
      </c>
      <c r="HU108" s="1" t="s">
        <v>122</v>
      </c>
      <c r="HV108" s="1" t="s">
        <v>122</v>
      </c>
      <c r="HW108" s="1" t="s">
        <v>122</v>
      </c>
      <c r="HX108" s="1" t="s">
        <v>122</v>
      </c>
      <c r="HY108" s="1" t="s">
        <v>122</v>
      </c>
      <c r="HZ108" s="1" t="s">
        <v>122</v>
      </c>
      <c r="IA108" s="1" t="s">
        <v>122</v>
      </c>
      <c r="IB108" s="1" t="s">
        <v>122</v>
      </c>
      <c r="IC108" s="1" t="s">
        <v>122</v>
      </c>
      <c r="ID108" s="1" t="s">
        <v>122</v>
      </c>
      <c r="IE108" s="1" t="s">
        <v>122</v>
      </c>
      <c r="IF108" s="1" t="s">
        <v>122</v>
      </c>
      <c r="IG108" s="1" t="s">
        <v>122</v>
      </c>
      <c r="IH108" s="1" t="s">
        <v>122</v>
      </c>
      <c r="II108" s="1" t="s">
        <v>122</v>
      </c>
      <c r="IJ108" s="1" t="s">
        <v>122</v>
      </c>
      <c r="IK108" s="1" t="s">
        <v>122</v>
      </c>
      <c r="IL108" s="1" t="s">
        <v>122</v>
      </c>
      <c r="IM108" s="1" t="s">
        <v>122</v>
      </c>
      <c r="IN108" s="1" t="s">
        <v>122</v>
      </c>
      <c r="IO108" s="1" t="s">
        <v>122</v>
      </c>
      <c r="IP108" s="1" t="s">
        <v>122</v>
      </c>
      <c r="IQ108" s="1" t="s">
        <v>122</v>
      </c>
      <c r="IR108" s="1" t="s">
        <v>122</v>
      </c>
      <c r="IS108" s="1" t="s">
        <v>122</v>
      </c>
      <c r="IT108" s="1" t="s">
        <v>122</v>
      </c>
      <c r="IU108" s="1" t="s">
        <v>122</v>
      </c>
      <c r="IV108" s="1" t="s">
        <v>122</v>
      </c>
      <c r="IW108" s="1" t="s">
        <v>122</v>
      </c>
      <c r="IX108" s="1" t="s">
        <v>122</v>
      </c>
      <c r="IY108" s="1" t="s">
        <v>122</v>
      </c>
      <c r="IZ108" s="1" t="s">
        <v>122</v>
      </c>
      <c r="JA108" s="1" t="s">
        <v>122</v>
      </c>
      <c r="JB108" s="1" t="s">
        <v>122</v>
      </c>
      <c r="JC108" s="1" t="s">
        <v>122</v>
      </c>
      <c r="JD108" s="1" t="s">
        <v>122</v>
      </c>
      <c r="JE108" s="1" t="s">
        <v>122</v>
      </c>
      <c r="JF108" s="1" t="s">
        <v>122</v>
      </c>
      <c r="JG108" s="1" t="s">
        <v>122</v>
      </c>
      <c r="JH108" s="1" t="s">
        <v>122</v>
      </c>
      <c r="JI108" s="1" t="s">
        <v>122</v>
      </c>
      <c r="JJ108" s="1" t="s">
        <v>122</v>
      </c>
      <c r="JK108" s="1" t="s">
        <v>122</v>
      </c>
      <c r="JL108" s="1" t="s">
        <v>122</v>
      </c>
      <c r="JM108" s="1" t="s">
        <v>122</v>
      </c>
      <c r="JN108" s="1" t="s">
        <v>122</v>
      </c>
      <c r="JO108" s="1" t="s">
        <v>122</v>
      </c>
      <c r="JP108" s="1" t="s">
        <v>122</v>
      </c>
      <c r="JQ108" s="1" t="s">
        <v>122</v>
      </c>
      <c r="JR108" s="1" t="s">
        <v>122</v>
      </c>
      <c r="JS108" s="1" t="s">
        <v>122</v>
      </c>
      <c r="JT108" s="1" t="s">
        <v>122</v>
      </c>
      <c r="JU108" s="1" t="s">
        <v>122</v>
      </c>
      <c r="JV108" s="1" t="s">
        <v>122</v>
      </c>
      <c r="JW108" s="1" t="s">
        <v>122</v>
      </c>
      <c r="JX108" s="1" t="s">
        <v>122</v>
      </c>
      <c r="JY108" s="1" t="s">
        <v>122</v>
      </c>
      <c r="JZ108" s="1" t="s">
        <v>122</v>
      </c>
      <c r="KA108" s="1" t="s">
        <v>122</v>
      </c>
      <c r="KB108" s="1" t="s">
        <v>122</v>
      </c>
      <c r="KC108" s="1" t="s">
        <v>122</v>
      </c>
      <c r="KD108" s="1" t="s">
        <v>122</v>
      </c>
      <c r="KE108" s="1" t="s">
        <v>122</v>
      </c>
      <c r="KF108" s="1" t="s">
        <v>122</v>
      </c>
      <c r="KG108" s="1" t="s">
        <v>122</v>
      </c>
      <c r="KH108" s="1" t="s">
        <v>122</v>
      </c>
      <c r="KI108" s="1" t="s">
        <v>122</v>
      </c>
      <c r="KJ108" s="1" t="s">
        <v>122</v>
      </c>
      <c r="KK108" s="1" t="s">
        <v>122</v>
      </c>
      <c r="KL108" s="1" t="s">
        <v>122</v>
      </c>
      <c r="KM108" s="1" t="s">
        <v>122</v>
      </c>
      <c r="KN108" s="1" t="s">
        <v>122</v>
      </c>
      <c r="KO108" s="1" t="s">
        <v>122</v>
      </c>
      <c r="KP108" s="1" t="s">
        <v>122</v>
      </c>
      <c r="KQ108" s="1" t="s">
        <v>122</v>
      </c>
      <c r="KR108" s="1" t="s">
        <v>122</v>
      </c>
      <c r="KS108" s="1" t="s">
        <v>122</v>
      </c>
      <c r="KT108" s="1" t="s">
        <v>122</v>
      </c>
      <c r="KU108" s="1" t="s">
        <v>122</v>
      </c>
      <c r="KV108" s="1" t="s">
        <v>122</v>
      </c>
      <c r="KW108" s="1" t="s">
        <v>122</v>
      </c>
      <c r="KX108" s="1" t="s">
        <v>122</v>
      </c>
      <c r="KY108" s="1" t="s">
        <v>122</v>
      </c>
      <c r="KZ108" s="1" t="s">
        <v>122</v>
      </c>
      <c r="LA108" s="1" t="s">
        <v>122</v>
      </c>
      <c r="LB108" s="1" t="s">
        <v>122</v>
      </c>
      <c r="LC108" s="1" t="s">
        <v>122</v>
      </c>
      <c r="LD108" s="1" t="s">
        <v>122</v>
      </c>
      <c r="LE108" s="1" t="s">
        <v>122</v>
      </c>
      <c r="LF108" s="1" t="s">
        <v>122</v>
      </c>
      <c r="LG108" s="1" t="s">
        <v>122</v>
      </c>
      <c r="LH108" s="1" t="s">
        <v>122</v>
      </c>
      <c r="LI108" s="1" t="s">
        <v>122</v>
      </c>
      <c r="LJ108" s="1" t="s">
        <v>122</v>
      </c>
      <c r="LK108" s="1" t="s">
        <v>122</v>
      </c>
      <c r="LL108" s="1" t="s">
        <v>122</v>
      </c>
      <c r="LM108" s="1" t="s">
        <v>122</v>
      </c>
      <c r="LN108" s="1" t="s">
        <v>122</v>
      </c>
      <c r="LO108" s="1" t="s">
        <v>122</v>
      </c>
      <c r="LP108" s="1" t="s">
        <v>122</v>
      </c>
      <c r="LQ108" s="1" t="s">
        <v>122</v>
      </c>
      <c r="LR108" s="1" t="s">
        <v>122</v>
      </c>
      <c r="LS108" s="1" t="s">
        <v>122</v>
      </c>
      <c r="LT108" s="1" t="s">
        <v>122</v>
      </c>
      <c r="LU108" s="1" t="s">
        <v>122</v>
      </c>
      <c r="LV108" s="1" t="s">
        <v>122</v>
      </c>
      <c r="LW108" s="1" t="s">
        <v>122</v>
      </c>
      <c r="LX108" s="1" t="s">
        <v>122</v>
      </c>
      <c r="LY108" s="1" t="s">
        <v>122</v>
      </c>
      <c r="LZ108" s="1" t="s">
        <v>122</v>
      </c>
      <c r="MA108" s="1" t="s">
        <v>122</v>
      </c>
      <c r="MB108" s="1" t="s">
        <v>122</v>
      </c>
      <c r="MC108" s="1" t="s">
        <v>122</v>
      </c>
      <c r="MD108" s="1" t="s">
        <v>122</v>
      </c>
      <c r="ME108" s="1" t="s">
        <v>122</v>
      </c>
      <c r="MF108" s="1" t="s">
        <v>122</v>
      </c>
      <c r="MG108" s="1" t="s">
        <v>122</v>
      </c>
      <c r="MH108" s="1" t="s">
        <v>122</v>
      </c>
      <c r="MI108" s="1" t="s">
        <v>122</v>
      </c>
      <c r="MJ108" s="1" t="s">
        <v>122</v>
      </c>
      <c r="MK108" s="1" t="s">
        <v>122</v>
      </c>
      <c r="ML108" s="1" t="s">
        <v>122</v>
      </c>
      <c r="MM108" s="1" t="s">
        <v>122</v>
      </c>
      <c r="MN108" s="1" t="s">
        <v>122</v>
      </c>
      <c r="MO108" s="1" t="s">
        <v>122</v>
      </c>
      <c r="MP108" s="1" t="s">
        <v>122</v>
      </c>
      <c r="MQ108" s="1" t="s">
        <v>122</v>
      </c>
      <c r="MR108" s="1" t="s">
        <v>122</v>
      </c>
      <c r="MS108" s="1" t="s">
        <v>122</v>
      </c>
      <c r="MT108" s="1" t="s">
        <v>122</v>
      </c>
      <c r="MU108" s="1" t="s">
        <v>122</v>
      </c>
      <c r="MV108" s="1" t="s">
        <v>122</v>
      </c>
      <c r="MW108" s="1" t="s">
        <v>122</v>
      </c>
      <c r="MX108" s="1" t="s">
        <v>122</v>
      </c>
      <c r="MY108" s="1" t="s">
        <v>122</v>
      </c>
      <c r="MZ108" s="1" t="s">
        <v>122</v>
      </c>
      <c r="NA108" s="1" t="s">
        <v>122</v>
      </c>
      <c r="NB108" s="1" t="s">
        <v>122</v>
      </c>
      <c r="NC108" s="1" t="s">
        <v>122</v>
      </c>
      <c r="ND108" s="1" t="s">
        <v>122</v>
      </c>
      <c r="NE108" s="1" t="s">
        <v>122</v>
      </c>
      <c r="NF108" s="1" t="s">
        <v>122</v>
      </c>
      <c r="NG108" s="1" t="s">
        <v>122</v>
      </c>
      <c r="NH108" s="1" t="s">
        <v>122</v>
      </c>
      <c r="NI108" s="1" t="s">
        <v>122</v>
      </c>
      <c r="NJ108" s="1" t="s">
        <v>122</v>
      </c>
      <c r="NK108" s="1" t="s">
        <v>122</v>
      </c>
      <c r="NL108" s="1" t="s">
        <v>122</v>
      </c>
      <c r="NM108" s="1" t="s">
        <v>122</v>
      </c>
      <c r="NN108" s="1" t="s">
        <v>122</v>
      </c>
      <c r="NO108" s="1" t="s">
        <v>122</v>
      </c>
      <c r="NP108" s="1" t="s">
        <v>122</v>
      </c>
      <c r="NQ108" s="1" t="s">
        <v>122</v>
      </c>
      <c r="NR108" s="1" t="s">
        <v>122</v>
      </c>
      <c r="NS108" s="1" t="s">
        <v>122</v>
      </c>
      <c r="NT108" s="1" t="s">
        <v>122</v>
      </c>
      <c r="NU108" s="1" t="s">
        <v>122</v>
      </c>
      <c r="NV108" s="1" t="s">
        <v>122</v>
      </c>
      <c r="NW108" s="1" t="s">
        <v>122</v>
      </c>
      <c r="NX108" s="1" t="s">
        <v>122</v>
      </c>
      <c r="NY108" s="1" t="s">
        <v>122</v>
      </c>
      <c r="NZ108" s="1" t="s">
        <v>122</v>
      </c>
      <c r="OA108" s="1" t="s">
        <v>122</v>
      </c>
      <c r="OB108" s="1" t="s">
        <v>122</v>
      </c>
      <c r="OC108" s="1" t="s">
        <v>122</v>
      </c>
      <c r="OD108" s="1" t="s">
        <v>122</v>
      </c>
      <c r="OE108" s="1" t="s">
        <v>122</v>
      </c>
      <c r="OF108" s="1" t="s">
        <v>122</v>
      </c>
      <c r="OG108" s="1" t="s">
        <v>122</v>
      </c>
      <c r="OH108" s="1" t="s">
        <v>122</v>
      </c>
      <c r="OI108" s="1" t="s">
        <v>122</v>
      </c>
      <c r="OJ108" s="1" t="s">
        <v>122</v>
      </c>
      <c r="OK108" s="1" t="s">
        <v>122</v>
      </c>
      <c r="OL108" s="1" t="s">
        <v>122</v>
      </c>
      <c r="OM108" s="1" t="s">
        <v>122</v>
      </c>
      <c r="ON108" s="1" t="s">
        <v>122</v>
      </c>
      <c r="OO108" s="1" t="s">
        <v>122</v>
      </c>
      <c r="OP108" s="1" t="s">
        <v>122</v>
      </c>
      <c r="OQ108" s="1" t="s">
        <v>122</v>
      </c>
      <c r="OR108" s="1" t="s">
        <v>122</v>
      </c>
      <c r="OS108" s="1" t="s">
        <v>122</v>
      </c>
      <c r="OT108" s="1" t="s">
        <v>122</v>
      </c>
      <c r="OU108" s="1" t="s">
        <v>122</v>
      </c>
      <c r="OV108" s="1" t="s">
        <v>122</v>
      </c>
      <c r="OW108" s="1" t="s">
        <v>122</v>
      </c>
      <c r="OX108" s="1" t="s">
        <v>122</v>
      </c>
      <c r="OY108" s="1" t="s">
        <v>122</v>
      </c>
      <c r="OZ108" s="1" t="s">
        <v>122</v>
      </c>
      <c r="PA108" s="1" t="s">
        <v>122</v>
      </c>
      <c r="PB108" s="1" t="s">
        <v>122</v>
      </c>
      <c r="PC108" s="1" t="s">
        <v>122</v>
      </c>
      <c r="PD108" s="1" t="s">
        <v>122</v>
      </c>
      <c r="PE108" s="1" t="s">
        <v>122</v>
      </c>
      <c r="PF108" s="1" t="s">
        <v>122</v>
      </c>
      <c r="PG108" s="1" t="s">
        <v>122</v>
      </c>
      <c r="PH108" s="1" t="s">
        <v>122</v>
      </c>
      <c r="PI108" s="1" t="s">
        <v>122</v>
      </c>
      <c r="PJ108" s="1" t="s">
        <v>122</v>
      </c>
      <c r="PK108" s="1" t="s">
        <v>122</v>
      </c>
      <c r="PL108" s="1" t="s">
        <v>122</v>
      </c>
      <c r="PM108" s="1" t="s">
        <v>122</v>
      </c>
      <c r="PN108" s="1" t="s">
        <v>122</v>
      </c>
      <c r="PO108" s="1" t="s">
        <v>122</v>
      </c>
      <c r="PP108" s="1" t="s">
        <v>122</v>
      </c>
      <c r="PQ108" s="1" t="s">
        <v>122</v>
      </c>
      <c r="PR108" s="1" t="s">
        <v>122</v>
      </c>
      <c r="PS108" s="1" t="s">
        <v>122</v>
      </c>
      <c r="PT108" s="1" t="s">
        <v>122</v>
      </c>
      <c r="PU108" s="1" t="s">
        <v>122</v>
      </c>
      <c r="PV108" s="1" t="s">
        <v>122</v>
      </c>
      <c r="PW108" s="1" t="s">
        <v>122</v>
      </c>
      <c r="PX108" s="1" t="s">
        <v>122</v>
      </c>
      <c r="PY108" s="1" t="s">
        <v>122</v>
      </c>
      <c r="PZ108" s="1" t="s">
        <v>122</v>
      </c>
      <c r="QA108" s="1" t="s">
        <v>122</v>
      </c>
      <c r="QB108" s="1" t="s">
        <v>122</v>
      </c>
      <c r="QC108" s="1" t="s">
        <v>122</v>
      </c>
      <c r="QD108" s="1" t="s">
        <v>122</v>
      </c>
      <c r="QE108" s="1" t="s">
        <v>122</v>
      </c>
      <c r="QF108" s="1" t="s">
        <v>122</v>
      </c>
      <c r="QG108" s="1" t="s">
        <v>122</v>
      </c>
      <c r="QH108" s="1" t="s">
        <v>122</v>
      </c>
      <c r="QI108" s="1" t="s">
        <v>122</v>
      </c>
      <c r="QJ108" s="1" t="s">
        <v>122</v>
      </c>
      <c r="QK108" s="1" t="s">
        <v>122</v>
      </c>
      <c r="QL108" s="1" t="s">
        <v>122</v>
      </c>
      <c r="QM108" s="1" t="s">
        <v>122</v>
      </c>
      <c r="QN108" s="1" t="s">
        <v>122</v>
      </c>
      <c r="QO108" s="1" t="s">
        <v>122</v>
      </c>
      <c r="QP108" s="1" t="s">
        <v>122</v>
      </c>
      <c r="QQ108" s="1" t="s">
        <v>122</v>
      </c>
      <c r="QR108" s="1" t="s">
        <v>122</v>
      </c>
      <c r="QS108" s="1" t="s">
        <v>122</v>
      </c>
      <c r="QT108" s="1" t="s">
        <v>122</v>
      </c>
      <c r="QU108" s="1" t="s">
        <v>122</v>
      </c>
      <c r="QV108" s="1" t="s">
        <v>122</v>
      </c>
      <c r="QW108" s="1" t="s">
        <v>122</v>
      </c>
      <c r="QX108" s="1" t="s">
        <v>122</v>
      </c>
      <c r="QY108" s="1" t="s">
        <v>122</v>
      </c>
      <c r="QZ108" s="1" t="s">
        <v>122</v>
      </c>
      <c r="RA108" s="1" t="s">
        <v>122</v>
      </c>
      <c r="RB108" s="1" t="s">
        <v>122</v>
      </c>
      <c r="RC108" s="1" t="s">
        <v>122</v>
      </c>
      <c r="RD108" s="1" t="s">
        <v>122</v>
      </c>
      <c r="RE108" s="1" t="s">
        <v>122</v>
      </c>
      <c r="RF108" s="1" t="s">
        <v>122</v>
      </c>
      <c r="RG108" s="1" t="s">
        <v>122</v>
      </c>
      <c r="RH108" s="1" t="s">
        <v>122</v>
      </c>
      <c r="RI108" s="1" t="s">
        <v>122</v>
      </c>
      <c r="RJ108" s="1" t="s">
        <v>122</v>
      </c>
      <c r="RK108" s="1" t="s">
        <v>122</v>
      </c>
      <c r="RL108" s="1" t="s">
        <v>122</v>
      </c>
      <c r="RM108" s="1" t="s">
        <v>122</v>
      </c>
      <c r="RN108" s="1" t="s">
        <v>122</v>
      </c>
      <c r="RO108" s="1" t="s">
        <v>122</v>
      </c>
      <c r="RP108" s="1" t="s">
        <v>122</v>
      </c>
      <c r="RQ108" s="1" t="s">
        <v>122</v>
      </c>
      <c r="RR108" s="1" t="s">
        <v>122</v>
      </c>
      <c r="RS108" s="1" t="s">
        <v>122</v>
      </c>
      <c r="RT108" s="1" t="s">
        <v>122</v>
      </c>
      <c r="RU108" s="1" t="s">
        <v>122</v>
      </c>
      <c r="RV108" s="1" t="s">
        <v>122</v>
      </c>
      <c r="RW108" s="1" t="s">
        <v>122</v>
      </c>
      <c r="RX108" s="1" t="s">
        <v>122</v>
      </c>
      <c r="RY108" s="1" t="s">
        <v>122</v>
      </c>
      <c r="RZ108" s="1" t="s">
        <v>122</v>
      </c>
      <c r="SA108" s="1" t="s">
        <v>122</v>
      </c>
      <c r="SB108" s="1" t="s">
        <v>122</v>
      </c>
      <c r="SC108" s="1" t="s">
        <v>122</v>
      </c>
      <c r="SD108" s="1" t="s">
        <v>122</v>
      </c>
      <c r="SE108" s="1" t="s">
        <v>122</v>
      </c>
      <c r="SF108" s="1" t="s">
        <v>122</v>
      </c>
      <c r="SG108" s="1" t="s">
        <v>122</v>
      </c>
      <c r="SH108" s="1" t="s">
        <v>122</v>
      </c>
      <c r="SI108" s="1" t="s">
        <v>122</v>
      </c>
      <c r="SJ108" s="1" t="s">
        <v>122</v>
      </c>
      <c r="SK108" s="1" t="s">
        <v>122</v>
      </c>
      <c r="SL108" s="1" t="s">
        <v>122</v>
      </c>
      <c r="SM108" s="1" t="s">
        <v>122</v>
      </c>
      <c r="SN108" s="1" t="s">
        <v>122</v>
      </c>
      <c r="SO108" s="1" t="s">
        <v>122</v>
      </c>
      <c r="SP108" s="1" t="s">
        <v>122</v>
      </c>
      <c r="SQ108" s="1" t="s">
        <v>122</v>
      </c>
      <c r="SR108" s="1" t="s">
        <v>122</v>
      </c>
      <c r="SS108" s="1" t="s">
        <v>122</v>
      </c>
      <c r="ST108" s="1" t="s">
        <v>122</v>
      </c>
      <c r="SU108" s="1" t="s">
        <v>122</v>
      </c>
      <c r="SV108" s="1" t="s">
        <v>122</v>
      </c>
      <c r="SW108" s="1" t="s">
        <v>122</v>
      </c>
      <c r="SX108" s="1" t="s">
        <v>122</v>
      </c>
      <c r="SY108" s="1" t="s">
        <v>122</v>
      </c>
      <c r="SZ108" s="1" t="s">
        <v>122</v>
      </c>
      <c r="TA108" s="1" t="s">
        <v>122</v>
      </c>
      <c r="TB108" s="1" t="s">
        <v>122</v>
      </c>
      <c r="TC108" s="1" t="s">
        <v>122</v>
      </c>
      <c r="TD108" s="1" t="s">
        <v>122</v>
      </c>
      <c r="TE108" s="1" t="s">
        <v>122</v>
      </c>
      <c r="TF108" s="1" t="s">
        <v>122</v>
      </c>
      <c r="TG108" s="1" t="s">
        <v>122</v>
      </c>
      <c r="TH108" s="1" t="s">
        <v>122</v>
      </c>
      <c r="TI108" s="1" t="s">
        <v>122</v>
      </c>
      <c r="TJ108" s="1" t="s">
        <v>122</v>
      </c>
      <c r="TK108" s="1" t="s">
        <v>122</v>
      </c>
      <c r="TL108" s="1" t="s">
        <v>122</v>
      </c>
      <c r="TM108" s="1" t="s">
        <v>122</v>
      </c>
      <c r="TN108" s="1" t="s">
        <v>122</v>
      </c>
      <c r="TO108" s="1" t="s">
        <v>122</v>
      </c>
      <c r="TP108" s="1" t="s">
        <v>122</v>
      </c>
      <c r="TQ108" s="1" t="s">
        <v>122</v>
      </c>
      <c r="TR108" s="1" t="s">
        <v>122</v>
      </c>
      <c r="TS108" s="1" t="s">
        <v>122</v>
      </c>
      <c r="TT108" s="1" t="s">
        <v>122</v>
      </c>
      <c r="TU108" s="1" t="s">
        <v>122</v>
      </c>
      <c r="TV108" s="1" t="s">
        <v>122</v>
      </c>
      <c r="TW108" s="1" t="s">
        <v>122</v>
      </c>
      <c r="TX108" s="1" t="s">
        <v>122</v>
      </c>
      <c r="TY108" s="1" t="s">
        <v>122</v>
      </c>
      <c r="TZ108" s="1" t="s">
        <v>122</v>
      </c>
      <c r="UA108" s="1" t="s">
        <v>122</v>
      </c>
      <c r="UB108" s="1" t="s">
        <v>122</v>
      </c>
      <c r="UC108" s="1" t="s">
        <v>122</v>
      </c>
      <c r="UD108" s="1" t="s">
        <v>122</v>
      </c>
      <c r="UE108" s="1" t="s">
        <v>122</v>
      </c>
      <c r="UF108" s="1" t="s">
        <v>122</v>
      </c>
      <c r="UG108" s="1" t="s">
        <v>122</v>
      </c>
      <c r="UH108" s="1" t="s">
        <v>122</v>
      </c>
      <c r="UI108" s="1" t="s">
        <v>122</v>
      </c>
      <c r="UJ108" s="1" t="s">
        <v>122</v>
      </c>
      <c r="UK108" s="1" t="s">
        <v>122</v>
      </c>
      <c r="UL108" s="1" t="s">
        <v>122</v>
      </c>
      <c r="UM108" s="1" t="s">
        <v>122</v>
      </c>
      <c r="UN108" s="1" t="s">
        <v>122</v>
      </c>
      <c r="UO108" s="1" t="s">
        <v>122</v>
      </c>
      <c r="UP108" s="1" t="s">
        <v>122</v>
      </c>
      <c r="UQ108" s="1" t="s">
        <v>122</v>
      </c>
      <c r="UR108" s="1" t="s">
        <v>122</v>
      </c>
      <c r="US108" s="1" t="s">
        <v>122</v>
      </c>
      <c r="UT108" s="1" t="s">
        <v>122</v>
      </c>
      <c r="UU108" s="1" t="s">
        <v>122</v>
      </c>
      <c r="UV108" s="1" t="s">
        <v>122</v>
      </c>
      <c r="UW108" s="1" t="s">
        <v>122</v>
      </c>
      <c r="UX108" s="1" t="s">
        <v>122</v>
      </c>
      <c r="UY108" s="1" t="s">
        <v>122</v>
      </c>
      <c r="UZ108" s="1" t="s">
        <v>122</v>
      </c>
      <c r="VA108" s="1" t="s">
        <v>122</v>
      </c>
      <c r="VB108" s="1" t="s">
        <v>122</v>
      </c>
      <c r="VC108" s="1" t="s">
        <v>122</v>
      </c>
      <c r="VD108" s="1" t="s">
        <v>122</v>
      </c>
      <c r="VE108" s="1" t="s">
        <v>122</v>
      </c>
      <c r="VF108" s="1" t="s">
        <v>122</v>
      </c>
      <c r="VG108" s="1" t="s">
        <v>122</v>
      </c>
      <c r="VH108" s="1" t="s">
        <v>122</v>
      </c>
      <c r="VI108" s="1" t="s">
        <v>122</v>
      </c>
      <c r="VJ108" s="1" t="s">
        <v>122</v>
      </c>
      <c r="VK108" s="1" t="s">
        <v>122</v>
      </c>
      <c r="VL108" s="1" t="s">
        <v>122</v>
      </c>
      <c r="VM108" s="1" t="s">
        <v>122</v>
      </c>
      <c r="VN108" s="1" t="s">
        <v>122</v>
      </c>
      <c r="VO108" s="1" t="s">
        <v>122</v>
      </c>
      <c r="VP108" s="1" t="s">
        <v>122</v>
      </c>
      <c r="VQ108" s="1" t="s">
        <v>122</v>
      </c>
      <c r="VR108" s="1" t="s">
        <v>122</v>
      </c>
      <c r="VS108" s="1" t="s">
        <v>122</v>
      </c>
      <c r="VT108" s="1" t="s">
        <v>122</v>
      </c>
      <c r="VU108" s="1" t="s">
        <v>122</v>
      </c>
      <c r="VV108" s="1" t="s">
        <v>122</v>
      </c>
      <c r="VW108" s="1" t="s">
        <v>122</v>
      </c>
      <c r="VX108" s="1" t="s">
        <v>122</v>
      </c>
      <c r="VY108" s="1" t="s">
        <v>122</v>
      </c>
      <c r="VZ108" s="1" t="s">
        <v>122</v>
      </c>
      <c r="WA108" s="1" t="s">
        <v>122</v>
      </c>
      <c r="WB108" s="1" t="s">
        <v>122</v>
      </c>
      <c r="WC108" s="1" t="s">
        <v>122</v>
      </c>
      <c r="WD108" s="1" t="s">
        <v>122</v>
      </c>
      <c r="WE108" s="1" t="s">
        <v>122</v>
      </c>
      <c r="WF108" s="1" t="s">
        <v>122</v>
      </c>
      <c r="WG108" s="1" t="s">
        <v>122</v>
      </c>
      <c r="WH108" s="1" t="s">
        <v>122</v>
      </c>
      <c r="WI108" s="1" t="s">
        <v>122</v>
      </c>
      <c r="WJ108" s="1" t="s">
        <v>122</v>
      </c>
      <c r="WK108" s="1" t="s">
        <v>122</v>
      </c>
      <c r="WL108" s="1" t="s">
        <v>122</v>
      </c>
      <c r="WM108" s="1" t="s">
        <v>122</v>
      </c>
      <c r="WN108" s="1" t="s">
        <v>122</v>
      </c>
      <c r="WO108" s="1" t="s">
        <v>122</v>
      </c>
      <c r="WP108" s="1" t="s">
        <v>122</v>
      </c>
      <c r="WQ108" s="1" t="s">
        <v>122</v>
      </c>
      <c r="WR108" s="1" t="s">
        <v>122</v>
      </c>
      <c r="WS108" s="1" t="s">
        <v>122</v>
      </c>
      <c r="WT108" s="1" t="s">
        <v>122</v>
      </c>
      <c r="WU108" s="1" t="s">
        <v>122</v>
      </c>
      <c r="WV108" s="1" t="s">
        <v>122</v>
      </c>
      <c r="WW108" s="1" t="s">
        <v>122</v>
      </c>
      <c r="WX108" s="1" t="s">
        <v>122</v>
      </c>
      <c r="WY108" s="1" t="s">
        <v>122</v>
      </c>
      <c r="WZ108" s="1" t="s">
        <v>122</v>
      </c>
      <c r="XA108" s="1" t="s">
        <v>122</v>
      </c>
      <c r="XB108" s="1" t="s">
        <v>122</v>
      </c>
      <c r="XC108" s="1" t="s">
        <v>122</v>
      </c>
      <c r="XD108" s="1" t="s">
        <v>122</v>
      </c>
      <c r="XE108" s="1" t="s">
        <v>122</v>
      </c>
      <c r="XF108" s="1" t="s">
        <v>122</v>
      </c>
      <c r="XG108" s="1" t="s">
        <v>122</v>
      </c>
      <c r="XH108" s="1" t="s">
        <v>122</v>
      </c>
      <c r="XI108" s="1" t="s">
        <v>122</v>
      </c>
      <c r="XJ108" s="1" t="s">
        <v>122</v>
      </c>
      <c r="XK108" s="1" t="s">
        <v>122</v>
      </c>
      <c r="XL108" s="1" t="s">
        <v>122</v>
      </c>
      <c r="XM108" s="1" t="s">
        <v>122</v>
      </c>
      <c r="XN108" s="1" t="s">
        <v>122</v>
      </c>
      <c r="XO108" s="1" t="s">
        <v>122</v>
      </c>
      <c r="XP108" s="1" t="s">
        <v>122</v>
      </c>
      <c r="XQ108" s="1" t="s">
        <v>122</v>
      </c>
      <c r="XR108" s="1" t="s">
        <v>122</v>
      </c>
      <c r="XS108" s="1" t="s">
        <v>122</v>
      </c>
      <c r="XT108" s="1" t="s">
        <v>122</v>
      </c>
      <c r="XU108" s="1" t="s">
        <v>122</v>
      </c>
      <c r="XV108" s="1" t="s">
        <v>122</v>
      </c>
      <c r="XW108" s="1" t="s">
        <v>122</v>
      </c>
      <c r="XX108" s="1" t="s">
        <v>122</v>
      </c>
      <c r="XY108" s="1" t="s">
        <v>122</v>
      </c>
      <c r="XZ108" s="1" t="s">
        <v>122</v>
      </c>
      <c r="YA108" s="1" t="s">
        <v>122</v>
      </c>
      <c r="YB108" s="1" t="s">
        <v>122</v>
      </c>
      <c r="YC108" s="1" t="s">
        <v>122</v>
      </c>
      <c r="YD108" s="1" t="s">
        <v>122</v>
      </c>
      <c r="YE108" s="1" t="s">
        <v>122</v>
      </c>
      <c r="YF108" s="1" t="s">
        <v>122</v>
      </c>
      <c r="YG108" s="1" t="s">
        <v>122</v>
      </c>
      <c r="YH108" s="1" t="s">
        <v>122</v>
      </c>
      <c r="YI108" s="1" t="s">
        <v>122</v>
      </c>
      <c r="YJ108" s="1" t="s">
        <v>122</v>
      </c>
      <c r="YK108" s="1" t="s">
        <v>122</v>
      </c>
      <c r="YL108" s="1" t="s">
        <v>122</v>
      </c>
      <c r="YM108" s="1" t="s">
        <v>122</v>
      </c>
      <c r="YN108" s="1" t="s">
        <v>122</v>
      </c>
      <c r="YO108" s="1" t="s">
        <v>122</v>
      </c>
      <c r="YP108" s="1" t="s">
        <v>122</v>
      </c>
      <c r="YQ108" s="1" t="s">
        <v>122</v>
      </c>
      <c r="YR108" s="1" t="s">
        <v>122</v>
      </c>
      <c r="YS108" s="1" t="s">
        <v>122</v>
      </c>
      <c r="YT108" s="1" t="s">
        <v>122</v>
      </c>
      <c r="YU108" s="1" t="s">
        <v>122</v>
      </c>
      <c r="YV108" s="1" t="s">
        <v>122</v>
      </c>
      <c r="YW108" s="1" t="s">
        <v>122</v>
      </c>
      <c r="YX108" s="1" t="s">
        <v>122</v>
      </c>
      <c r="YY108" s="1" t="s">
        <v>122</v>
      </c>
      <c r="YZ108" s="1" t="s">
        <v>122</v>
      </c>
      <c r="ZA108" s="1" t="s">
        <v>122</v>
      </c>
      <c r="ZB108" s="1" t="s">
        <v>122</v>
      </c>
      <c r="ZC108" s="1" t="s">
        <v>122</v>
      </c>
      <c r="ZD108" s="1" t="s">
        <v>122</v>
      </c>
      <c r="ZE108" s="1" t="s">
        <v>122</v>
      </c>
      <c r="ZF108" s="1" t="s">
        <v>122</v>
      </c>
      <c r="ZG108" s="1" t="s">
        <v>122</v>
      </c>
      <c r="ZH108" s="1" t="s">
        <v>122</v>
      </c>
      <c r="ZI108" s="1" t="s">
        <v>122</v>
      </c>
      <c r="ZJ108" s="1" t="s">
        <v>122</v>
      </c>
      <c r="ZK108" s="1" t="s">
        <v>122</v>
      </c>
      <c r="ZL108" s="1" t="s">
        <v>122</v>
      </c>
      <c r="ZM108" s="1" t="s">
        <v>122</v>
      </c>
      <c r="ZN108" s="1" t="s">
        <v>122</v>
      </c>
      <c r="ZO108" s="1" t="s">
        <v>122</v>
      </c>
      <c r="ZP108" s="1" t="s">
        <v>122</v>
      </c>
      <c r="ZQ108" s="1" t="s">
        <v>122</v>
      </c>
      <c r="ZR108" s="1" t="s">
        <v>122</v>
      </c>
      <c r="ZS108" s="1" t="s">
        <v>122</v>
      </c>
      <c r="ZT108" s="1" t="s">
        <v>122</v>
      </c>
      <c r="ZU108" s="1" t="s">
        <v>122</v>
      </c>
      <c r="ZV108" s="1" t="s">
        <v>122</v>
      </c>
      <c r="ZW108" s="1" t="s">
        <v>122</v>
      </c>
      <c r="ZX108" s="1" t="s">
        <v>122</v>
      </c>
      <c r="ZY108" s="1" t="s">
        <v>122</v>
      </c>
      <c r="ZZ108" s="1" t="s">
        <v>122</v>
      </c>
      <c r="AAA108" s="1" t="s">
        <v>122</v>
      </c>
      <c r="AAB108" s="1" t="s">
        <v>122</v>
      </c>
      <c r="AAC108" s="1" t="s">
        <v>122</v>
      </c>
      <c r="AAD108" s="1" t="s">
        <v>122</v>
      </c>
      <c r="AAE108" s="1" t="s">
        <v>122</v>
      </c>
      <c r="AAF108" s="1" t="s">
        <v>122</v>
      </c>
      <c r="AAG108" s="1" t="s">
        <v>122</v>
      </c>
      <c r="AAH108" s="1" t="s">
        <v>122</v>
      </c>
      <c r="AAI108" s="1" t="s">
        <v>122</v>
      </c>
      <c r="AAJ108" s="1" t="s">
        <v>122</v>
      </c>
      <c r="AAK108" s="1" t="s">
        <v>122</v>
      </c>
      <c r="AAL108" s="1" t="s">
        <v>122</v>
      </c>
      <c r="AAM108" s="1" t="s">
        <v>122</v>
      </c>
      <c r="AAN108" s="1" t="s">
        <v>122</v>
      </c>
      <c r="AAO108" s="1" t="s">
        <v>122</v>
      </c>
      <c r="AAP108" s="1" t="s">
        <v>122</v>
      </c>
      <c r="AAQ108" s="1" t="s">
        <v>122</v>
      </c>
      <c r="AAR108" s="1" t="s">
        <v>122</v>
      </c>
      <c r="AAS108" s="1" t="s">
        <v>122</v>
      </c>
      <c r="AAT108" s="1" t="s">
        <v>122</v>
      </c>
      <c r="AAU108" s="1" t="s">
        <v>122</v>
      </c>
      <c r="AAV108" s="1" t="s">
        <v>122</v>
      </c>
      <c r="AAW108" s="1" t="s">
        <v>122</v>
      </c>
      <c r="AAX108" s="1" t="s">
        <v>122</v>
      </c>
      <c r="AAY108" s="1" t="s">
        <v>122</v>
      </c>
      <c r="AAZ108" s="1" t="s">
        <v>122</v>
      </c>
      <c r="ABA108" s="1" t="s">
        <v>122</v>
      </c>
      <c r="ABB108" s="1" t="s">
        <v>122</v>
      </c>
      <c r="ABC108" s="1" t="s">
        <v>122</v>
      </c>
      <c r="ABD108" s="1" t="s">
        <v>122</v>
      </c>
      <c r="ABE108" s="1" t="s">
        <v>122</v>
      </c>
      <c r="ABF108" s="1" t="s">
        <v>122</v>
      </c>
      <c r="ABG108" s="1" t="s">
        <v>122</v>
      </c>
      <c r="ABH108" s="1" t="s">
        <v>122</v>
      </c>
      <c r="ABI108" s="1" t="s">
        <v>122</v>
      </c>
      <c r="ABJ108" s="1" t="s">
        <v>122</v>
      </c>
      <c r="ABK108" s="1" t="s">
        <v>122</v>
      </c>
      <c r="ABL108" s="1" t="s">
        <v>122</v>
      </c>
      <c r="ABM108" s="1" t="s">
        <v>122</v>
      </c>
      <c r="ABN108" s="1" t="s">
        <v>122</v>
      </c>
      <c r="ABO108" s="1" t="s">
        <v>122</v>
      </c>
      <c r="ABP108" s="1" t="s">
        <v>122</v>
      </c>
      <c r="ABQ108" s="1" t="s">
        <v>122</v>
      </c>
      <c r="ABR108" s="1" t="s">
        <v>122</v>
      </c>
      <c r="ABS108" s="1" t="s">
        <v>122</v>
      </c>
      <c r="ABT108" s="1" t="s">
        <v>122</v>
      </c>
      <c r="ABU108" s="1" t="s">
        <v>122</v>
      </c>
      <c r="ABV108" s="1" t="s">
        <v>122</v>
      </c>
      <c r="ABW108" s="1" t="s">
        <v>122</v>
      </c>
      <c r="ABX108" s="1" t="s">
        <v>122</v>
      </c>
      <c r="ABY108" s="1" t="s">
        <v>122</v>
      </c>
      <c r="ABZ108" s="1" t="s">
        <v>122</v>
      </c>
      <c r="ACA108" s="1" t="s">
        <v>122</v>
      </c>
      <c r="ACB108" s="1" t="s">
        <v>122</v>
      </c>
      <c r="ACC108" s="1" t="s">
        <v>122</v>
      </c>
      <c r="ACD108" s="1" t="s">
        <v>122</v>
      </c>
      <c r="ACE108" s="1" t="s">
        <v>122</v>
      </c>
      <c r="ACF108" s="1" t="s">
        <v>122</v>
      </c>
      <c r="ACG108" s="1" t="s">
        <v>122</v>
      </c>
      <c r="ACH108" s="1" t="s">
        <v>122</v>
      </c>
      <c r="ACI108" s="1" t="s">
        <v>122</v>
      </c>
      <c r="ACJ108" s="1" t="s">
        <v>122</v>
      </c>
      <c r="ACK108" s="1" t="s">
        <v>122</v>
      </c>
      <c r="ACL108" s="1" t="s">
        <v>122</v>
      </c>
      <c r="ACM108" s="1" t="s">
        <v>122</v>
      </c>
      <c r="ACN108" s="1" t="s">
        <v>122</v>
      </c>
      <c r="ACO108" s="1" t="s">
        <v>122</v>
      </c>
      <c r="ACP108" s="1" t="s">
        <v>122</v>
      </c>
      <c r="ACQ108" s="1" t="s">
        <v>122</v>
      </c>
      <c r="ACR108" s="1" t="s">
        <v>122</v>
      </c>
      <c r="ACS108" s="1" t="s">
        <v>122</v>
      </c>
      <c r="ACT108" s="1" t="s">
        <v>122</v>
      </c>
      <c r="ACU108" s="1" t="s">
        <v>122</v>
      </c>
      <c r="ACV108" s="1" t="s">
        <v>122</v>
      </c>
      <c r="ACW108" s="1" t="s">
        <v>122</v>
      </c>
      <c r="ACX108" s="1" t="s">
        <v>122</v>
      </c>
      <c r="ACY108" s="1" t="s">
        <v>122</v>
      </c>
      <c r="ACZ108" s="1" t="s">
        <v>122</v>
      </c>
      <c r="ADA108" s="1" t="s">
        <v>122</v>
      </c>
      <c r="ADB108" s="1" t="s">
        <v>122</v>
      </c>
      <c r="ADC108" s="1" t="s">
        <v>122</v>
      </c>
      <c r="ADD108" s="1" t="s">
        <v>122</v>
      </c>
      <c r="ADE108" s="1" t="s">
        <v>122</v>
      </c>
      <c r="ADF108" s="1" t="s">
        <v>122</v>
      </c>
      <c r="ADG108" s="1" t="s">
        <v>122</v>
      </c>
      <c r="ADH108" s="1" t="s">
        <v>122</v>
      </c>
      <c r="ADI108" s="1" t="s">
        <v>122</v>
      </c>
      <c r="ADJ108" s="1" t="s">
        <v>122</v>
      </c>
      <c r="ADK108" s="1" t="s">
        <v>122</v>
      </c>
      <c r="ADL108" s="1" t="s">
        <v>122</v>
      </c>
      <c r="ADM108" s="1" t="s">
        <v>122</v>
      </c>
      <c r="ADN108" s="1" t="s">
        <v>122</v>
      </c>
      <c r="ADO108" s="1" t="s">
        <v>122</v>
      </c>
      <c r="ADP108" s="1" t="s">
        <v>122</v>
      </c>
      <c r="ADQ108" s="1" t="s">
        <v>122</v>
      </c>
      <c r="ADR108" s="1" t="s">
        <v>122</v>
      </c>
      <c r="ADS108" s="1" t="s">
        <v>122</v>
      </c>
      <c r="ADT108" s="1" t="s">
        <v>122</v>
      </c>
      <c r="ADU108" s="1" t="s">
        <v>122</v>
      </c>
      <c r="ADV108" s="1" t="s">
        <v>122</v>
      </c>
      <c r="ADW108" s="1" t="s">
        <v>122</v>
      </c>
      <c r="ADX108" s="1" t="s">
        <v>122</v>
      </c>
      <c r="ADY108" s="1" t="s">
        <v>122</v>
      </c>
      <c r="ADZ108" s="1" t="s">
        <v>122</v>
      </c>
      <c r="AEA108" s="1" t="s">
        <v>122</v>
      </c>
      <c r="AEB108" s="1" t="s">
        <v>122</v>
      </c>
      <c r="AEC108" s="1" t="s">
        <v>122</v>
      </c>
      <c r="AED108" s="1" t="s">
        <v>122</v>
      </c>
      <c r="AEE108" s="1" t="s">
        <v>122</v>
      </c>
      <c r="AEF108" s="1" t="s">
        <v>122</v>
      </c>
      <c r="AEG108" s="1" t="s">
        <v>122</v>
      </c>
      <c r="AEH108" s="1" t="s">
        <v>122</v>
      </c>
      <c r="AEI108" s="1" t="s">
        <v>122</v>
      </c>
      <c r="AEJ108" s="1" t="s">
        <v>122</v>
      </c>
      <c r="AEK108" s="1" t="s">
        <v>122</v>
      </c>
      <c r="AEL108" s="1" t="s">
        <v>122</v>
      </c>
      <c r="AEM108" s="1" t="s">
        <v>122</v>
      </c>
      <c r="AEN108" s="1" t="s">
        <v>122</v>
      </c>
      <c r="AEO108" s="1" t="s">
        <v>122</v>
      </c>
      <c r="AEP108" s="1" t="s">
        <v>122</v>
      </c>
      <c r="AEQ108" s="1" t="s">
        <v>122</v>
      </c>
      <c r="AER108" s="1" t="s">
        <v>122</v>
      </c>
      <c r="AES108" s="1" t="s">
        <v>122</v>
      </c>
      <c r="AET108" s="1" t="s">
        <v>122</v>
      </c>
      <c r="AEU108" s="1" t="s">
        <v>122</v>
      </c>
      <c r="AEV108" s="1" t="s">
        <v>122</v>
      </c>
      <c r="AEW108" s="1" t="s">
        <v>122</v>
      </c>
      <c r="AEX108" s="1" t="s">
        <v>122</v>
      </c>
      <c r="AEY108" s="1" t="s">
        <v>122</v>
      </c>
      <c r="AEZ108" s="1" t="s">
        <v>122</v>
      </c>
      <c r="AFA108" s="1" t="s">
        <v>122</v>
      </c>
      <c r="AFB108" s="1" t="s">
        <v>122</v>
      </c>
      <c r="AFC108" s="1" t="s">
        <v>122</v>
      </c>
      <c r="AFD108" s="1" t="s">
        <v>122</v>
      </c>
      <c r="AFE108" s="1" t="s">
        <v>122</v>
      </c>
      <c r="AFF108" s="1" t="s">
        <v>122</v>
      </c>
      <c r="AFG108" s="1" t="s">
        <v>122</v>
      </c>
      <c r="AFH108" s="1" t="s">
        <v>122</v>
      </c>
      <c r="AFI108" s="1" t="s">
        <v>122</v>
      </c>
      <c r="AFJ108" s="1" t="s">
        <v>122</v>
      </c>
      <c r="AFK108" s="1" t="s">
        <v>122</v>
      </c>
      <c r="AFL108" s="1" t="s">
        <v>122</v>
      </c>
      <c r="AFM108" s="1" t="s">
        <v>122</v>
      </c>
      <c r="AFN108" s="1" t="s">
        <v>122</v>
      </c>
      <c r="AFO108" s="1" t="s">
        <v>122</v>
      </c>
      <c r="AFP108" s="1" t="s">
        <v>122</v>
      </c>
      <c r="AFQ108" s="1" t="s">
        <v>122</v>
      </c>
      <c r="AFR108" s="1" t="s">
        <v>122</v>
      </c>
      <c r="AFS108" s="1" t="s">
        <v>122</v>
      </c>
      <c r="AFT108" s="1" t="s">
        <v>122</v>
      </c>
      <c r="AFU108" s="1" t="s">
        <v>122</v>
      </c>
      <c r="AFV108" s="1" t="s">
        <v>122</v>
      </c>
      <c r="AFW108" s="1" t="s">
        <v>122</v>
      </c>
      <c r="AFX108" s="1" t="s">
        <v>122</v>
      </c>
      <c r="AFY108" s="1" t="s">
        <v>122</v>
      </c>
      <c r="AFZ108" s="1" t="s">
        <v>122</v>
      </c>
      <c r="AGA108" s="1" t="s">
        <v>122</v>
      </c>
      <c r="AGB108" s="1" t="s">
        <v>122</v>
      </c>
      <c r="AGC108" s="1" t="s">
        <v>122</v>
      </c>
      <c r="AGD108" s="1" t="s">
        <v>122</v>
      </c>
      <c r="AGE108" s="1" t="s">
        <v>122</v>
      </c>
      <c r="AGF108" s="1" t="s">
        <v>122</v>
      </c>
      <c r="AGG108" s="1" t="s">
        <v>122</v>
      </c>
      <c r="AGH108" s="1" t="s">
        <v>122</v>
      </c>
      <c r="AGI108" s="1" t="s">
        <v>122</v>
      </c>
      <c r="AGJ108" s="1" t="s">
        <v>122</v>
      </c>
      <c r="AGK108" s="1" t="s">
        <v>122</v>
      </c>
      <c r="AGL108" s="1" t="s">
        <v>122</v>
      </c>
      <c r="AGM108" s="1" t="s">
        <v>122</v>
      </c>
      <c r="AGN108" s="1" t="s">
        <v>122</v>
      </c>
      <c r="AGO108" s="1" t="s">
        <v>122</v>
      </c>
      <c r="AGP108" s="1" t="s">
        <v>122</v>
      </c>
      <c r="AGQ108" s="1" t="s">
        <v>122</v>
      </c>
      <c r="AGR108" s="1" t="s">
        <v>122</v>
      </c>
      <c r="AGS108" s="1" t="s">
        <v>122</v>
      </c>
      <c r="AGT108" s="1" t="s">
        <v>122</v>
      </c>
      <c r="AGU108" s="1" t="s">
        <v>122</v>
      </c>
      <c r="AGV108" s="1" t="s">
        <v>122</v>
      </c>
      <c r="AGW108" s="1" t="s">
        <v>122</v>
      </c>
      <c r="AGX108" s="1" t="s">
        <v>122</v>
      </c>
      <c r="AGY108" s="1" t="s">
        <v>122</v>
      </c>
      <c r="AGZ108" s="1" t="s">
        <v>122</v>
      </c>
      <c r="AHA108" s="1" t="s">
        <v>122</v>
      </c>
      <c r="AHB108" s="1" t="s">
        <v>122</v>
      </c>
      <c r="AHC108" s="1" t="s">
        <v>122</v>
      </c>
      <c r="AHD108" s="1" t="s">
        <v>122</v>
      </c>
      <c r="AHE108" s="1" t="s">
        <v>122</v>
      </c>
      <c r="AHF108" s="1" t="s">
        <v>122</v>
      </c>
      <c r="AHG108" s="1" t="s">
        <v>122</v>
      </c>
      <c r="AHH108" s="1" t="s">
        <v>122</v>
      </c>
      <c r="AHI108" s="1" t="s">
        <v>122</v>
      </c>
      <c r="AHJ108" s="1" t="s">
        <v>122</v>
      </c>
      <c r="AHK108" s="1" t="s">
        <v>122</v>
      </c>
      <c r="AHL108" s="1" t="s">
        <v>122</v>
      </c>
      <c r="AHM108" s="1" t="s">
        <v>122</v>
      </c>
      <c r="AHN108" s="1" t="s">
        <v>122</v>
      </c>
      <c r="AHO108" s="1" t="s">
        <v>122</v>
      </c>
      <c r="AHP108" s="1" t="s">
        <v>122</v>
      </c>
      <c r="AHQ108" s="1" t="s">
        <v>122</v>
      </c>
      <c r="AHR108" s="1" t="s">
        <v>122</v>
      </c>
      <c r="AHS108" s="1" t="s">
        <v>122</v>
      </c>
      <c r="AHT108" s="1" t="s">
        <v>122</v>
      </c>
      <c r="AHU108" s="1" t="s">
        <v>122</v>
      </c>
      <c r="AHV108" s="1" t="s">
        <v>122</v>
      </c>
      <c r="AHW108" s="1" t="s">
        <v>122</v>
      </c>
      <c r="AHX108" s="1" t="s">
        <v>122</v>
      </c>
      <c r="AHY108" s="1" t="s">
        <v>122</v>
      </c>
      <c r="AHZ108" s="1" t="s">
        <v>122</v>
      </c>
      <c r="AIA108" s="1" t="s">
        <v>122</v>
      </c>
      <c r="AIB108" s="1" t="s">
        <v>122</v>
      </c>
      <c r="AIC108" s="1" t="s">
        <v>122</v>
      </c>
      <c r="AID108" s="1" t="s">
        <v>122</v>
      </c>
      <c r="AIE108" s="1" t="s">
        <v>122</v>
      </c>
      <c r="AIF108" s="1" t="s">
        <v>122</v>
      </c>
      <c r="AIG108" s="1" t="s">
        <v>122</v>
      </c>
      <c r="AIH108" s="1" t="s">
        <v>122</v>
      </c>
      <c r="AII108" s="1" t="s">
        <v>122</v>
      </c>
      <c r="AIJ108" s="1" t="s">
        <v>122</v>
      </c>
      <c r="AIK108" s="1" t="s">
        <v>122</v>
      </c>
      <c r="AIL108" s="1" t="s">
        <v>122</v>
      </c>
      <c r="AIM108" s="1" t="s">
        <v>122</v>
      </c>
      <c r="AIN108" s="1" t="s">
        <v>122</v>
      </c>
      <c r="AIO108" s="1" t="s">
        <v>122</v>
      </c>
      <c r="AIP108" s="1" t="s">
        <v>122</v>
      </c>
      <c r="AIQ108" s="1" t="s">
        <v>122</v>
      </c>
      <c r="AIR108" s="1" t="s">
        <v>122</v>
      </c>
      <c r="AIS108" s="1" t="s">
        <v>122</v>
      </c>
      <c r="AIT108" s="1" t="s">
        <v>122</v>
      </c>
      <c r="AIU108" s="1" t="s">
        <v>122</v>
      </c>
      <c r="AIV108" s="1" t="s">
        <v>122</v>
      </c>
      <c r="AIW108" s="1" t="s">
        <v>122</v>
      </c>
      <c r="AIX108" s="1" t="s">
        <v>122</v>
      </c>
      <c r="AIY108" s="1" t="s">
        <v>122</v>
      </c>
      <c r="AIZ108" s="1" t="s">
        <v>122</v>
      </c>
      <c r="AJA108" s="1" t="s">
        <v>122</v>
      </c>
      <c r="AJB108" s="1" t="s">
        <v>122</v>
      </c>
      <c r="AJC108" s="1" t="s">
        <v>122</v>
      </c>
      <c r="AJD108" s="1" t="s">
        <v>122</v>
      </c>
      <c r="AJE108" s="1" t="s">
        <v>122</v>
      </c>
      <c r="AJF108" s="1" t="s">
        <v>122</v>
      </c>
      <c r="AJG108" s="1" t="s">
        <v>122</v>
      </c>
      <c r="AJH108" s="1" t="s">
        <v>122</v>
      </c>
      <c r="AJI108" s="1" t="s">
        <v>122</v>
      </c>
      <c r="AJJ108" s="1" t="s">
        <v>122</v>
      </c>
      <c r="AJK108" s="1" t="s">
        <v>122</v>
      </c>
      <c r="AJL108" s="1" t="s">
        <v>122</v>
      </c>
      <c r="AJM108" s="1" t="s">
        <v>122</v>
      </c>
      <c r="AJN108" s="1" t="s">
        <v>122</v>
      </c>
      <c r="AJO108" s="1" t="s">
        <v>122</v>
      </c>
      <c r="AJP108" s="1" t="s">
        <v>122</v>
      </c>
      <c r="AJQ108" s="1" t="s">
        <v>122</v>
      </c>
      <c r="AJR108" s="1" t="s">
        <v>122</v>
      </c>
      <c r="AJS108" s="1" t="s">
        <v>122</v>
      </c>
      <c r="AJT108" s="1" t="s">
        <v>122</v>
      </c>
      <c r="AJU108" s="1" t="s">
        <v>122</v>
      </c>
      <c r="AJV108" s="1" t="s">
        <v>122</v>
      </c>
      <c r="AJW108" s="1" t="s">
        <v>122</v>
      </c>
      <c r="AJX108" s="1" t="s">
        <v>122</v>
      </c>
      <c r="AJY108" s="1" t="s">
        <v>122</v>
      </c>
      <c r="AJZ108" s="1" t="s">
        <v>122</v>
      </c>
      <c r="AKA108" s="1" t="s">
        <v>122</v>
      </c>
      <c r="AKB108" s="1" t="s">
        <v>122</v>
      </c>
      <c r="AKC108" s="1" t="s">
        <v>122</v>
      </c>
      <c r="AKD108" s="1" t="s">
        <v>122</v>
      </c>
      <c r="AKE108" s="1" t="s">
        <v>122</v>
      </c>
      <c r="AKF108" s="1" t="s">
        <v>122</v>
      </c>
      <c r="AKG108" s="1" t="s">
        <v>122</v>
      </c>
      <c r="AKH108" s="1" t="s">
        <v>122</v>
      </c>
      <c r="AKI108" s="1" t="s">
        <v>122</v>
      </c>
      <c r="AKJ108" s="1" t="s">
        <v>122</v>
      </c>
      <c r="AKK108" s="1" t="s">
        <v>122</v>
      </c>
      <c r="AKL108" s="1" t="s">
        <v>122</v>
      </c>
      <c r="AKM108" s="1" t="s">
        <v>122</v>
      </c>
      <c r="AKN108" s="1" t="s">
        <v>122</v>
      </c>
      <c r="AKO108" s="1" t="s">
        <v>122</v>
      </c>
      <c r="AKP108" s="1" t="s">
        <v>122</v>
      </c>
      <c r="AKQ108" s="1" t="s">
        <v>122</v>
      </c>
      <c r="AKR108" s="1" t="s">
        <v>122</v>
      </c>
      <c r="AKS108" s="1" t="s">
        <v>122</v>
      </c>
      <c r="AKT108" s="1" t="s">
        <v>122</v>
      </c>
      <c r="AKU108" s="1" t="s">
        <v>122</v>
      </c>
      <c r="AKV108" s="1" t="s">
        <v>122</v>
      </c>
      <c r="AKW108" s="1" t="s">
        <v>122</v>
      </c>
      <c r="AKX108" s="1" t="s">
        <v>122</v>
      </c>
      <c r="AKY108" s="1" t="s">
        <v>122</v>
      </c>
      <c r="AKZ108" s="1" t="s">
        <v>122</v>
      </c>
      <c r="ALA108" s="1" t="s">
        <v>122</v>
      </c>
      <c r="ALB108" s="1" t="s">
        <v>122</v>
      </c>
      <c r="ALC108" s="1" t="s">
        <v>122</v>
      </c>
      <c r="ALD108" s="1" t="s">
        <v>122</v>
      </c>
      <c r="ALE108" s="1" t="s">
        <v>122</v>
      </c>
      <c r="ALF108" s="1" t="s">
        <v>122</v>
      </c>
      <c r="ALG108" s="1" t="s">
        <v>122</v>
      </c>
      <c r="ALH108" s="1" t="s">
        <v>122</v>
      </c>
      <c r="ALI108" s="1" t="s">
        <v>122</v>
      </c>
      <c r="ALJ108" s="1" t="s">
        <v>122</v>
      </c>
      <c r="ALK108" s="1" t="s">
        <v>122</v>
      </c>
      <c r="ALL108" s="1" t="s">
        <v>122</v>
      </c>
      <c r="ALM108" s="1" t="s">
        <v>122</v>
      </c>
      <c r="ALN108" s="1" t="s">
        <v>122</v>
      </c>
      <c r="ALO108" s="1" t="s">
        <v>122</v>
      </c>
      <c r="ALP108" s="1" t="s">
        <v>122</v>
      </c>
      <c r="ALQ108" s="1" t="s">
        <v>122</v>
      </c>
      <c r="ALR108" s="1" t="s">
        <v>122</v>
      </c>
      <c r="ALS108" s="1" t="s">
        <v>122</v>
      </c>
      <c r="ALT108" s="1" t="s">
        <v>122</v>
      </c>
      <c r="ALU108" s="1" t="s">
        <v>122</v>
      </c>
      <c r="ALV108" s="1" t="s">
        <v>122</v>
      </c>
      <c r="ALW108" s="1" t="s">
        <v>122</v>
      </c>
      <c r="ALX108" s="1" t="s">
        <v>122</v>
      </c>
      <c r="ALY108" s="1" t="s">
        <v>122</v>
      </c>
      <c r="ALZ108" s="1" t="s">
        <v>122</v>
      </c>
      <c r="AMA108" s="1" t="s">
        <v>122</v>
      </c>
      <c r="AMB108" s="1" t="s">
        <v>122</v>
      </c>
      <c r="AMC108" s="1" t="s">
        <v>122</v>
      </c>
      <c r="AMD108" s="1" t="s">
        <v>122</v>
      </c>
      <c r="AME108" s="1" t="s">
        <v>122</v>
      </c>
      <c r="AMF108" s="1" t="s">
        <v>122</v>
      </c>
      <c r="AMG108" s="1" t="s">
        <v>122</v>
      </c>
      <c r="AMH108" s="1" t="s">
        <v>122</v>
      </c>
      <c r="AMI108" s="1" t="s">
        <v>122</v>
      </c>
      <c r="AMJ108" s="1" t="s">
        <v>122</v>
      </c>
      <c r="AMK108" s="1" t="s">
        <v>122</v>
      </c>
      <c r="AML108" s="1" t="s">
        <v>122</v>
      </c>
      <c r="AMM108" s="1" t="s">
        <v>122</v>
      </c>
      <c r="AMN108" s="1" t="s">
        <v>122</v>
      </c>
      <c r="AMO108" s="1" t="s">
        <v>122</v>
      </c>
      <c r="AMP108" s="1" t="s">
        <v>122</v>
      </c>
      <c r="AMQ108" s="1" t="s">
        <v>122</v>
      </c>
      <c r="AMR108" s="1" t="s">
        <v>122</v>
      </c>
      <c r="AMS108" s="1" t="s">
        <v>122</v>
      </c>
      <c r="AMT108" s="1" t="s">
        <v>122</v>
      </c>
      <c r="AMU108" s="1" t="s">
        <v>122</v>
      </c>
      <c r="AMV108" s="1" t="s">
        <v>122</v>
      </c>
      <c r="AMW108" s="1" t="s">
        <v>122</v>
      </c>
      <c r="AMX108" s="1" t="s">
        <v>122</v>
      </c>
      <c r="AMY108" s="1" t="s">
        <v>122</v>
      </c>
      <c r="AMZ108" s="1" t="s">
        <v>122</v>
      </c>
      <c r="ANA108" s="1" t="s">
        <v>122</v>
      </c>
      <c r="ANB108" s="1" t="s">
        <v>122</v>
      </c>
      <c r="ANC108" s="1" t="s">
        <v>122</v>
      </c>
      <c r="AND108" s="1" t="s">
        <v>122</v>
      </c>
      <c r="ANE108" s="1" t="s">
        <v>122</v>
      </c>
      <c r="ANF108" s="1" t="s">
        <v>122</v>
      </c>
      <c r="ANG108" s="1" t="s">
        <v>122</v>
      </c>
      <c r="ANH108" s="1" t="s">
        <v>122</v>
      </c>
      <c r="ANI108" s="1" t="s">
        <v>122</v>
      </c>
      <c r="ANJ108" s="1" t="s">
        <v>122</v>
      </c>
      <c r="ANK108" s="1" t="s">
        <v>122</v>
      </c>
      <c r="ANL108" s="1" t="s">
        <v>122</v>
      </c>
      <c r="ANM108" s="1" t="s">
        <v>122</v>
      </c>
      <c r="ANN108" s="1" t="s">
        <v>122</v>
      </c>
      <c r="ANO108" s="1" t="s">
        <v>122</v>
      </c>
      <c r="ANP108" s="1" t="s">
        <v>122</v>
      </c>
      <c r="ANQ108" s="1" t="s">
        <v>122</v>
      </c>
      <c r="ANR108" s="1" t="s">
        <v>122</v>
      </c>
      <c r="ANS108" s="1" t="s">
        <v>122</v>
      </c>
      <c r="ANT108" s="1" t="s">
        <v>122</v>
      </c>
      <c r="ANU108" s="1" t="s">
        <v>122</v>
      </c>
      <c r="ANV108" s="1" t="s">
        <v>122</v>
      </c>
      <c r="ANW108" s="1" t="s">
        <v>122</v>
      </c>
      <c r="ANX108" s="1" t="s">
        <v>122</v>
      </c>
      <c r="ANY108" s="1" t="s">
        <v>122</v>
      </c>
      <c r="ANZ108" s="1" t="s">
        <v>122</v>
      </c>
      <c r="AOA108" s="1" t="s">
        <v>122</v>
      </c>
      <c r="AOB108" s="1" t="s">
        <v>122</v>
      </c>
      <c r="AOC108" s="1" t="s">
        <v>122</v>
      </c>
      <c r="AOD108" s="1" t="s">
        <v>122</v>
      </c>
      <c r="AOE108" s="1" t="s">
        <v>122</v>
      </c>
      <c r="AOF108" s="1" t="s">
        <v>122</v>
      </c>
      <c r="AOG108" s="1" t="s">
        <v>122</v>
      </c>
      <c r="AOH108" s="1" t="s">
        <v>122</v>
      </c>
      <c r="AOI108" s="1" t="s">
        <v>122</v>
      </c>
      <c r="AOJ108" s="1" t="s">
        <v>122</v>
      </c>
      <c r="AOK108" s="1" t="s">
        <v>122</v>
      </c>
      <c r="AOL108" s="1" t="s">
        <v>122</v>
      </c>
      <c r="AOM108" s="1" t="s">
        <v>122</v>
      </c>
      <c r="AON108" s="1" t="s">
        <v>122</v>
      </c>
      <c r="AOO108" s="1" t="s">
        <v>122</v>
      </c>
      <c r="AOP108" s="1" t="s">
        <v>122</v>
      </c>
      <c r="AOQ108" s="1" t="s">
        <v>122</v>
      </c>
      <c r="AOR108" s="1" t="s">
        <v>122</v>
      </c>
      <c r="AOS108" s="1" t="s">
        <v>122</v>
      </c>
      <c r="AOT108" s="1" t="s">
        <v>122</v>
      </c>
      <c r="AOU108" s="1" t="s">
        <v>122</v>
      </c>
      <c r="AOV108" s="1" t="s">
        <v>122</v>
      </c>
      <c r="AOW108" s="1" t="s">
        <v>122</v>
      </c>
      <c r="AOX108" s="1" t="s">
        <v>122</v>
      </c>
      <c r="AOY108" s="1" t="s">
        <v>122</v>
      </c>
      <c r="AOZ108" s="1" t="s">
        <v>122</v>
      </c>
      <c r="APA108" s="1" t="s">
        <v>122</v>
      </c>
      <c r="APB108" s="1" t="s">
        <v>122</v>
      </c>
      <c r="APC108" s="1" t="s">
        <v>122</v>
      </c>
      <c r="APD108" s="1" t="s">
        <v>122</v>
      </c>
      <c r="APE108" s="1" t="s">
        <v>122</v>
      </c>
      <c r="APF108" s="1" t="s">
        <v>122</v>
      </c>
      <c r="APG108" s="1" t="s">
        <v>122</v>
      </c>
      <c r="APH108" s="1" t="s">
        <v>122</v>
      </c>
      <c r="API108" s="1" t="s">
        <v>122</v>
      </c>
      <c r="APJ108" s="1" t="s">
        <v>122</v>
      </c>
      <c r="APK108" s="1" t="s">
        <v>122</v>
      </c>
      <c r="APL108" s="1" t="s">
        <v>122</v>
      </c>
      <c r="APM108" s="1" t="s">
        <v>122</v>
      </c>
      <c r="APN108" s="1" t="s">
        <v>122</v>
      </c>
      <c r="APO108" s="1" t="s">
        <v>122</v>
      </c>
      <c r="APP108" s="1" t="s">
        <v>122</v>
      </c>
      <c r="APQ108" s="1" t="s">
        <v>122</v>
      </c>
      <c r="APR108" s="1" t="s">
        <v>122</v>
      </c>
      <c r="APS108" s="1" t="s">
        <v>122</v>
      </c>
      <c r="APT108" s="1" t="s">
        <v>122</v>
      </c>
      <c r="APU108" s="1" t="s">
        <v>122</v>
      </c>
      <c r="APV108" s="1" t="s">
        <v>122</v>
      </c>
      <c r="APW108" s="1" t="s">
        <v>122</v>
      </c>
      <c r="APX108" s="1" t="s">
        <v>122</v>
      </c>
      <c r="APY108" s="1" t="s">
        <v>122</v>
      </c>
      <c r="APZ108" s="1" t="s">
        <v>122</v>
      </c>
      <c r="AQA108" s="1" t="s">
        <v>122</v>
      </c>
      <c r="AQB108" s="1" t="s">
        <v>122</v>
      </c>
      <c r="AQC108" s="1" t="s">
        <v>122</v>
      </c>
      <c r="AQD108" s="1" t="s">
        <v>122</v>
      </c>
      <c r="AQE108" s="1" t="s">
        <v>122</v>
      </c>
      <c r="AQF108" s="1" t="s">
        <v>122</v>
      </c>
      <c r="AQG108" s="1" t="s">
        <v>122</v>
      </c>
      <c r="AQH108" s="1" t="s">
        <v>122</v>
      </c>
      <c r="AQI108" s="1" t="s">
        <v>122</v>
      </c>
      <c r="AQJ108" s="1" t="s">
        <v>122</v>
      </c>
      <c r="AQK108" s="1" t="s">
        <v>122</v>
      </c>
      <c r="AQL108" s="1" t="s">
        <v>122</v>
      </c>
      <c r="AQM108" s="1" t="s">
        <v>122</v>
      </c>
      <c r="AQN108" s="1" t="s">
        <v>122</v>
      </c>
      <c r="AQO108" s="1" t="s">
        <v>122</v>
      </c>
      <c r="AQP108" s="1" t="s">
        <v>122</v>
      </c>
      <c r="AQQ108" s="1" t="s">
        <v>122</v>
      </c>
      <c r="AQR108" s="1" t="s">
        <v>122</v>
      </c>
      <c r="AQS108" s="1" t="s">
        <v>122</v>
      </c>
      <c r="AQT108" s="1" t="s">
        <v>122</v>
      </c>
      <c r="AQU108" s="1" t="s">
        <v>122</v>
      </c>
      <c r="AQV108" s="1" t="s">
        <v>122</v>
      </c>
      <c r="AQW108" s="1" t="s">
        <v>122</v>
      </c>
      <c r="AQX108" s="1" t="s">
        <v>122</v>
      </c>
      <c r="AQY108" s="1" t="s">
        <v>122</v>
      </c>
      <c r="AQZ108" s="1" t="s">
        <v>122</v>
      </c>
      <c r="ARA108" s="1" t="s">
        <v>122</v>
      </c>
      <c r="ARB108" s="1" t="s">
        <v>122</v>
      </c>
      <c r="ARC108" s="1" t="s">
        <v>122</v>
      </c>
      <c r="ARD108" s="1" t="s">
        <v>122</v>
      </c>
      <c r="ARE108" s="1" t="s">
        <v>122</v>
      </c>
      <c r="ARF108" s="1" t="s">
        <v>122</v>
      </c>
      <c r="ARG108" s="1" t="s">
        <v>122</v>
      </c>
      <c r="ARH108" s="1" t="s">
        <v>122</v>
      </c>
      <c r="ARI108" s="1" t="s">
        <v>122</v>
      </c>
      <c r="ARJ108" s="1" t="s">
        <v>122</v>
      </c>
      <c r="ARK108" s="1" t="s">
        <v>122</v>
      </c>
      <c r="ARL108" s="1" t="s">
        <v>122</v>
      </c>
      <c r="ARM108" s="1" t="s">
        <v>122</v>
      </c>
      <c r="ARN108" s="1" t="s">
        <v>122</v>
      </c>
      <c r="ARO108" s="1" t="s">
        <v>122</v>
      </c>
      <c r="ARP108" s="1" t="s">
        <v>122</v>
      </c>
      <c r="ARQ108" s="1" t="s">
        <v>122</v>
      </c>
      <c r="ARR108" s="1" t="s">
        <v>122</v>
      </c>
      <c r="ARS108" s="1" t="s">
        <v>122</v>
      </c>
      <c r="ART108" s="1" t="s">
        <v>122</v>
      </c>
      <c r="ARU108" s="1" t="s">
        <v>122</v>
      </c>
      <c r="ARV108" s="1" t="s">
        <v>122</v>
      </c>
      <c r="ARW108" s="1" t="s">
        <v>122</v>
      </c>
      <c r="ARX108" s="1" t="s">
        <v>122</v>
      </c>
      <c r="ARY108" s="1" t="s">
        <v>122</v>
      </c>
      <c r="ARZ108" s="1" t="s">
        <v>122</v>
      </c>
      <c r="ASA108" s="1" t="s">
        <v>122</v>
      </c>
      <c r="ASB108" s="1" t="s">
        <v>122</v>
      </c>
      <c r="ASC108" s="1" t="s">
        <v>122</v>
      </c>
      <c r="ASD108" s="1" t="s">
        <v>122</v>
      </c>
      <c r="ASE108" s="1" t="s">
        <v>122</v>
      </c>
      <c r="ASF108" s="1" t="s">
        <v>122</v>
      </c>
      <c r="ASG108" s="1" t="s">
        <v>122</v>
      </c>
      <c r="ASH108" s="1" t="s">
        <v>122</v>
      </c>
      <c r="ASI108" s="1" t="s">
        <v>122</v>
      </c>
      <c r="ASJ108" s="1" t="s">
        <v>122</v>
      </c>
      <c r="ASK108" s="1" t="s">
        <v>122</v>
      </c>
      <c r="ASL108" s="1" t="s">
        <v>122</v>
      </c>
      <c r="ASM108" s="1" t="s">
        <v>122</v>
      </c>
      <c r="ASN108" s="1" t="s">
        <v>122</v>
      </c>
      <c r="ASO108" s="1" t="s">
        <v>122</v>
      </c>
      <c r="ASP108" s="1" t="s">
        <v>122</v>
      </c>
      <c r="ASQ108" s="1" t="s">
        <v>122</v>
      </c>
      <c r="ASR108" s="1" t="s">
        <v>122</v>
      </c>
      <c r="ASS108" s="1" t="s">
        <v>122</v>
      </c>
      <c r="AST108" s="1" t="s">
        <v>122</v>
      </c>
      <c r="ASU108" s="1" t="s">
        <v>122</v>
      </c>
      <c r="ASV108" s="1" t="s">
        <v>122</v>
      </c>
      <c r="ASW108" s="1" t="s">
        <v>122</v>
      </c>
      <c r="ASX108" s="1" t="s">
        <v>122</v>
      </c>
      <c r="ASY108" s="1" t="s">
        <v>122</v>
      </c>
      <c r="ASZ108" s="1" t="s">
        <v>122</v>
      </c>
      <c r="ATA108" s="1" t="s">
        <v>122</v>
      </c>
      <c r="ATB108" s="1" t="s">
        <v>122</v>
      </c>
      <c r="ATC108" s="1" t="s">
        <v>122</v>
      </c>
      <c r="ATD108" s="1" t="s">
        <v>122</v>
      </c>
      <c r="ATE108" s="1" t="s">
        <v>122</v>
      </c>
      <c r="ATF108" s="1" t="s">
        <v>122</v>
      </c>
      <c r="ATG108" s="1" t="s">
        <v>122</v>
      </c>
      <c r="ATH108" s="1" t="s">
        <v>122</v>
      </c>
      <c r="ATI108" s="1" t="s">
        <v>122</v>
      </c>
      <c r="ATJ108" s="1" t="s">
        <v>122</v>
      </c>
      <c r="ATK108" s="1" t="s">
        <v>122</v>
      </c>
      <c r="ATL108" s="1" t="s">
        <v>122</v>
      </c>
      <c r="ATM108" s="1" t="s">
        <v>122</v>
      </c>
      <c r="ATN108" s="1" t="s">
        <v>122</v>
      </c>
      <c r="ATO108" s="1" t="s">
        <v>122</v>
      </c>
      <c r="ATP108" s="1" t="s">
        <v>122</v>
      </c>
      <c r="ATQ108" s="1" t="s">
        <v>122</v>
      </c>
      <c r="ATR108" s="1" t="s">
        <v>122</v>
      </c>
      <c r="ATS108" s="1" t="s">
        <v>122</v>
      </c>
      <c r="ATT108" s="1" t="s">
        <v>122</v>
      </c>
      <c r="ATU108" s="1" t="s">
        <v>122</v>
      </c>
      <c r="ATV108" s="1" t="s">
        <v>122</v>
      </c>
      <c r="ATW108" s="1" t="s">
        <v>122</v>
      </c>
      <c r="ATX108" s="1" t="s">
        <v>122</v>
      </c>
      <c r="ATY108" s="1" t="s">
        <v>122</v>
      </c>
      <c r="ATZ108" s="1" t="s">
        <v>122</v>
      </c>
      <c r="AUA108" s="1" t="s">
        <v>122</v>
      </c>
      <c r="AUB108" s="1" t="s">
        <v>122</v>
      </c>
      <c r="AUC108" s="1" t="s">
        <v>122</v>
      </c>
      <c r="AUD108" s="1" t="s">
        <v>122</v>
      </c>
      <c r="AUE108" s="1" t="s">
        <v>122</v>
      </c>
      <c r="AUF108" s="1" t="s">
        <v>122</v>
      </c>
      <c r="AUG108" s="1" t="s">
        <v>122</v>
      </c>
      <c r="AUH108" s="1" t="s">
        <v>122</v>
      </c>
      <c r="AUI108" s="1" t="s">
        <v>122</v>
      </c>
      <c r="AUJ108" s="1" t="s">
        <v>122</v>
      </c>
      <c r="AUK108" s="1" t="s">
        <v>122</v>
      </c>
      <c r="AUL108" s="1" t="s">
        <v>122</v>
      </c>
      <c r="AUM108" s="1" t="s">
        <v>122</v>
      </c>
      <c r="AUN108" s="1" t="s">
        <v>122</v>
      </c>
      <c r="AUO108" s="1" t="s">
        <v>122</v>
      </c>
      <c r="AUP108" s="1" t="s">
        <v>122</v>
      </c>
      <c r="AUQ108" s="1" t="s">
        <v>122</v>
      </c>
      <c r="AUR108" s="1" t="s">
        <v>122</v>
      </c>
      <c r="AUS108" s="1" t="s">
        <v>122</v>
      </c>
      <c r="AUT108" s="1" t="s">
        <v>122</v>
      </c>
      <c r="AUU108" s="1" t="s">
        <v>122</v>
      </c>
      <c r="AUV108" s="1" t="s">
        <v>122</v>
      </c>
      <c r="AUW108" s="1" t="s">
        <v>122</v>
      </c>
      <c r="AUX108" s="1" t="s">
        <v>122</v>
      </c>
      <c r="AUY108" s="1" t="s">
        <v>122</v>
      </c>
      <c r="AUZ108" s="1" t="s">
        <v>122</v>
      </c>
      <c r="AVA108" s="1" t="s">
        <v>122</v>
      </c>
      <c r="AVB108" s="1" t="s">
        <v>122</v>
      </c>
      <c r="AVC108" s="1" t="s">
        <v>122</v>
      </c>
      <c r="AVD108" s="1" t="s">
        <v>122</v>
      </c>
      <c r="AVE108" s="1" t="s">
        <v>122</v>
      </c>
      <c r="AVF108" s="1" t="s">
        <v>122</v>
      </c>
      <c r="AVG108" s="1" t="s">
        <v>122</v>
      </c>
      <c r="AVH108" s="1" t="s">
        <v>122</v>
      </c>
      <c r="AVI108" s="1" t="s">
        <v>122</v>
      </c>
      <c r="AVJ108" s="1" t="s">
        <v>122</v>
      </c>
      <c r="AVK108" s="1" t="s">
        <v>122</v>
      </c>
      <c r="AVL108" s="1" t="s">
        <v>122</v>
      </c>
      <c r="AVM108" s="1" t="s">
        <v>122</v>
      </c>
      <c r="AVN108" s="1" t="s">
        <v>122</v>
      </c>
      <c r="AVO108" s="1" t="s">
        <v>122</v>
      </c>
      <c r="AVP108" s="1" t="s">
        <v>122</v>
      </c>
      <c r="AVQ108" s="1" t="s">
        <v>122</v>
      </c>
      <c r="AVR108" s="1" t="s">
        <v>122</v>
      </c>
      <c r="AVS108" s="1" t="s">
        <v>122</v>
      </c>
      <c r="AVT108" s="1" t="s">
        <v>122</v>
      </c>
      <c r="AVU108" s="1" t="s">
        <v>122</v>
      </c>
      <c r="AVV108" s="1" t="s">
        <v>122</v>
      </c>
      <c r="AVW108" s="1" t="s">
        <v>122</v>
      </c>
      <c r="AVX108" s="1" t="s">
        <v>122</v>
      </c>
      <c r="AVY108" s="1" t="s">
        <v>122</v>
      </c>
      <c r="AVZ108" s="1" t="s">
        <v>122</v>
      </c>
      <c r="AWA108" s="1" t="s">
        <v>122</v>
      </c>
      <c r="AWB108" s="1" t="s">
        <v>122</v>
      </c>
      <c r="AWC108" s="1" t="s">
        <v>122</v>
      </c>
      <c r="AWD108" s="1" t="s">
        <v>122</v>
      </c>
      <c r="AWE108" s="1" t="s">
        <v>122</v>
      </c>
      <c r="AWF108" s="1" t="s">
        <v>122</v>
      </c>
      <c r="AWG108" s="1" t="s">
        <v>122</v>
      </c>
      <c r="AWH108" s="1" t="s">
        <v>122</v>
      </c>
      <c r="AWI108" s="1" t="s">
        <v>122</v>
      </c>
      <c r="AWJ108" s="1" t="s">
        <v>122</v>
      </c>
      <c r="AWK108" s="1" t="s">
        <v>122</v>
      </c>
      <c r="AWL108" s="1" t="s">
        <v>122</v>
      </c>
      <c r="AWM108" s="1" t="s">
        <v>122</v>
      </c>
      <c r="AWN108" s="1" t="s">
        <v>122</v>
      </c>
      <c r="AWO108" s="1" t="s">
        <v>122</v>
      </c>
      <c r="AWP108" s="1" t="s">
        <v>122</v>
      </c>
      <c r="AWQ108" s="1" t="s">
        <v>122</v>
      </c>
      <c r="AWR108" s="1" t="s">
        <v>122</v>
      </c>
      <c r="AWS108" s="1" t="s">
        <v>122</v>
      </c>
      <c r="AWT108" s="1" t="s">
        <v>122</v>
      </c>
      <c r="AWU108" s="1" t="s">
        <v>122</v>
      </c>
      <c r="AWV108" s="1" t="s">
        <v>122</v>
      </c>
      <c r="AWW108" s="1" t="s">
        <v>122</v>
      </c>
      <c r="AWX108" s="1" t="s">
        <v>122</v>
      </c>
      <c r="AWY108" s="1" t="s">
        <v>122</v>
      </c>
      <c r="AWZ108" s="1" t="s">
        <v>122</v>
      </c>
      <c r="AXA108" s="1" t="s">
        <v>122</v>
      </c>
      <c r="AXB108" s="1" t="s">
        <v>122</v>
      </c>
      <c r="AXC108" s="1" t="s">
        <v>122</v>
      </c>
      <c r="AXD108" s="1" t="s">
        <v>122</v>
      </c>
      <c r="AXE108" s="1" t="s">
        <v>122</v>
      </c>
      <c r="AXF108" s="1" t="s">
        <v>122</v>
      </c>
      <c r="AXG108" s="1" t="s">
        <v>122</v>
      </c>
      <c r="AXH108" s="1" t="s">
        <v>122</v>
      </c>
      <c r="AXI108" s="1" t="s">
        <v>122</v>
      </c>
      <c r="AXJ108" s="1" t="s">
        <v>122</v>
      </c>
      <c r="AXK108" s="1" t="s">
        <v>122</v>
      </c>
      <c r="AXL108" s="1" t="s">
        <v>122</v>
      </c>
      <c r="AXM108" s="1" t="s">
        <v>122</v>
      </c>
      <c r="AXN108" s="1" t="s">
        <v>122</v>
      </c>
      <c r="AXO108" s="1" t="s">
        <v>122</v>
      </c>
      <c r="AXP108" s="1" t="s">
        <v>122</v>
      </c>
      <c r="AXQ108" s="1" t="s">
        <v>122</v>
      </c>
      <c r="AXR108" s="1" t="s">
        <v>122</v>
      </c>
      <c r="AXS108" s="1" t="s">
        <v>122</v>
      </c>
      <c r="AXT108" s="1" t="s">
        <v>122</v>
      </c>
      <c r="AXU108" s="1" t="s">
        <v>122</v>
      </c>
      <c r="AXV108" s="1" t="s">
        <v>122</v>
      </c>
      <c r="AXW108" s="1" t="s">
        <v>122</v>
      </c>
      <c r="AXX108" s="1" t="s">
        <v>122</v>
      </c>
      <c r="AXY108" s="1" t="s">
        <v>122</v>
      </c>
      <c r="AXZ108" s="1" t="s">
        <v>122</v>
      </c>
      <c r="AYA108" s="1" t="s">
        <v>122</v>
      </c>
      <c r="AYB108" s="1" t="s">
        <v>122</v>
      </c>
      <c r="AYC108" s="1" t="s">
        <v>122</v>
      </c>
      <c r="AYD108" s="1" t="s">
        <v>122</v>
      </c>
      <c r="AYE108" s="1" t="s">
        <v>122</v>
      </c>
      <c r="AYF108" s="1" t="s">
        <v>122</v>
      </c>
      <c r="AYG108" s="1" t="s">
        <v>122</v>
      </c>
      <c r="AYH108" s="1" t="s">
        <v>122</v>
      </c>
      <c r="AYI108" s="1" t="s">
        <v>122</v>
      </c>
      <c r="AYJ108" s="1" t="s">
        <v>122</v>
      </c>
      <c r="AYK108" s="1" t="s">
        <v>122</v>
      </c>
      <c r="AYL108" s="1" t="s">
        <v>122</v>
      </c>
      <c r="AYM108" s="1" t="s">
        <v>122</v>
      </c>
      <c r="AYN108" s="1" t="s">
        <v>122</v>
      </c>
      <c r="AYO108" s="1" t="s">
        <v>122</v>
      </c>
      <c r="AYP108" s="1" t="s">
        <v>122</v>
      </c>
      <c r="AYQ108" s="1" t="s">
        <v>122</v>
      </c>
      <c r="AYR108" s="1" t="s">
        <v>122</v>
      </c>
      <c r="AYS108" s="1" t="s">
        <v>122</v>
      </c>
      <c r="AYT108" s="1" t="s">
        <v>122</v>
      </c>
      <c r="AYU108" s="1" t="s">
        <v>122</v>
      </c>
      <c r="AYV108" s="1" t="s">
        <v>122</v>
      </c>
      <c r="AYW108" s="1" t="s">
        <v>122</v>
      </c>
      <c r="AYX108" s="1" t="s">
        <v>122</v>
      </c>
      <c r="AYY108" s="1" t="s">
        <v>122</v>
      </c>
      <c r="AYZ108" s="1" t="s">
        <v>122</v>
      </c>
      <c r="AZA108" s="1" t="s">
        <v>122</v>
      </c>
      <c r="AZB108" s="1" t="s">
        <v>122</v>
      </c>
      <c r="AZC108" s="1" t="s">
        <v>122</v>
      </c>
      <c r="AZD108" s="1" t="s">
        <v>122</v>
      </c>
      <c r="AZE108" s="1" t="s">
        <v>122</v>
      </c>
      <c r="AZF108" s="1" t="s">
        <v>122</v>
      </c>
      <c r="AZG108" s="1" t="s">
        <v>122</v>
      </c>
      <c r="AZH108" s="1" t="s">
        <v>122</v>
      </c>
      <c r="AZI108" s="1" t="s">
        <v>122</v>
      </c>
      <c r="AZJ108" s="1" t="s">
        <v>122</v>
      </c>
      <c r="AZK108" s="1" t="s">
        <v>122</v>
      </c>
      <c r="AZL108" s="1" t="s">
        <v>122</v>
      </c>
      <c r="AZM108" s="1" t="s">
        <v>122</v>
      </c>
      <c r="AZN108" s="1" t="s">
        <v>122</v>
      </c>
      <c r="AZO108" s="1" t="s">
        <v>122</v>
      </c>
      <c r="AZP108" s="1" t="s">
        <v>122</v>
      </c>
      <c r="AZQ108" s="1" t="s">
        <v>122</v>
      </c>
      <c r="AZR108" s="1" t="s">
        <v>122</v>
      </c>
      <c r="AZS108" s="1" t="s">
        <v>122</v>
      </c>
      <c r="AZT108" s="1" t="s">
        <v>122</v>
      </c>
      <c r="AZU108" s="1" t="s">
        <v>122</v>
      </c>
      <c r="AZV108" s="1" t="s">
        <v>122</v>
      </c>
      <c r="AZW108" s="1" t="s">
        <v>122</v>
      </c>
      <c r="AZX108" s="1" t="s">
        <v>122</v>
      </c>
      <c r="AZY108" s="1" t="s">
        <v>122</v>
      </c>
      <c r="AZZ108" s="1" t="s">
        <v>122</v>
      </c>
      <c r="BAA108" s="1" t="s">
        <v>122</v>
      </c>
      <c r="BAB108" s="1" t="s">
        <v>122</v>
      </c>
      <c r="BAC108" s="1" t="s">
        <v>122</v>
      </c>
      <c r="BAD108" s="1" t="s">
        <v>122</v>
      </c>
      <c r="BAE108" s="1" t="s">
        <v>122</v>
      </c>
      <c r="BAF108" s="1" t="s">
        <v>122</v>
      </c>
      <c r="BAG108" s="1" t="s">
        <v>122</v>
      </c>
      <c r="BAH108" s="1" t="s">
        <v>122</v>
      </c>
      <c r="BAI108" s="1" t="s">
        <v>122</v>
      </c>
      <c r="BAJ108" s="1" t="s">
        <v>122</v>
      </c>
      <c r="BAK108" s="1" t="s">
        <v>122</v>
      </c>
      <c r="BAL108" s="1" t="s">
        <v>122</v>
      </c>
      <c r="BAM108" s="1" t="s">
        <v>122</v>
      </c>
      <c r="BAN108" s="1" t="s">
        <v>122</v>
      </c>
      <c r="BAO108" s="1" t="s">
        <v>122</v>
      </c>
      <c r="BAP108" s="1" t="s">
        <v>122</v>
      </c>
      <c r="BAQ108" s="1" t="s">
        <v>122</v>
      </c>
      <c r="BAR108" s="1" t="s">
        <v>122</v>
      </c>
      <c r="BAS108" s="1" t="s">
        <v>122</v>
      </c>
      <c r="BAT108" s="1" t="s">
        <v>122</v>
      </c>
      <c r="BAU108" s="1" t="s">
        <v>122</v>
      </c>
      <c r="BAV108" s="1" t="s">
        <v>122</v>
      </c>
      <c r="BAW108" s="1" t="s">
        <v>122</v>
      </c>
      <c r="BAX108" s="1" t="s">
        <v>122</v>
      </c>
      <c r="BAY108" s="1" t="s">
        <v>122</v>
      </c>
      <c r="BAZ108" s="1" t="s">
        <v>122</v>
      </c>
      <c r="BBA108" s="1" t="s">
        <v>122</v>
      </c>
      <c r="BBB108" s="1" t="s">
        <v>122</v>
      </c>
      <c r="BBC108" s="1" t="s">
        <v>122</v>
      </c>
      <c r="BBD108" s="1" t="s">
        <v>122</v>
      </c>
      <c r="BBE108" s="1" t="s">
        <v>122</v>
      </c>
      <c r="BBF108" s="1" t="s">
        <v>122</v>
      </c>
      <c r="BBG108" s="1" t="s">
        <v>122</v>
      </c>
      <c r="BBH108" s="1" t="s">
        <v>122</v>
      </c>
      <c r="BBI108" s="1" t="s">
        <v>122</v>
      </c>
      <c r="BBJ108" s="1" t="s">
        <v>122</v>
      </c>
      <c r="BBK108" s="1" t="s">
        <v>122</v>
      </c>
      <c r="BBL108" s="1" t="s">
        <v>122</v>
      </c>
      <c r="BBM108" s="1" t="s">
        <v>122</v>
      </c>
      <c r="BBN108" s="1" t="s">
        <v>122</v>
      </c>
      <c r="BBO108" s="1" t="s">
        <v>122</v>
      </c>
      <c r="BBP108" s="1" t="s">
        <v>122</v>
      </c>
      <c r="BBQ108" s="1" t="s">
        <v>122</v>
      </c>
      <c r="BBR108" s="1" t="s">
        <v>122</v>
      </c>
      <c r="BBS108" s="1" t="s">
        <v>122</v>
      </c>
      <c r="BBT108" s="1" t="s">
        <v>122</v>
      </c>
      <c r="BBU108" s="1" t="s">
        <v>122</v>
      </c>
      <c r="BBV108" s="1" t="s">
        <v>122</v>
      </c>
      <c r="BBW108" s="1" t="s">
        <v>122</v>
      </c>
      <c r="BBX108" s="1" t="s">
        <v>122</v>
      </c>
      <c r="BBY108" s="1" t="s">
        <v>122</v>
      </c>
      <c r="BBZ108" s="1" t="s">
        <v>122</v>
      </c>
      <c r="BCA108" s="1" t="s">
        <v>122</v>
      </c>
      <c r="BCB108" s="1" t="s">
        <v>122</v>
      </c>
      <c r="BCC108" s="1" t="s">
        <v>122</v>
      </c>
      <c r="BCD108" s="1" t="s">
        <v>122</v>
      </c>
      <c r="BCE108" s="1" t="s">
        <v>122</v>
      </c>
      <c r="BCF108" s="1" t="s">
        <v>122</v>
      </c>
      <c r="BCG108" s="1" t="s">
        <v>122</v>
      </c>
      <c r="BCH108" s="1" t="s">
        <v>122</v>
      </c>
      <c r="BCI108" s="1" t="s">
        <v>122</v>
      </c>
      <c r="BCJ108" s="1" t="s">
        <v>122</v>
      </c>
      <c r="BCK108" s="1" t="s">
        <v>122</v>
      </c>
      <c r="BCL108" s="1" t="s">
        <v>122</v>
      </c>
      <c r="BCM108" s="1" t="s">
        <v>122</v>
      </c>
      <c r="BCN108" s="1" t="s">
        <v>122</v>
      </c>
      <c r="BCO108" s="1" t="s">
        <v>122</v>
      </c>
      <c r="BCP108" s="1" t="s">
        <v>122</v>
      </c>
      <c r="BCQ108" s="1" t="s">
        <v>122</v>
      </c>
      <c r="BCR108" s="1" t="s">
        <v>122</v>
      </c>
      <c r="BCS108" s="1" t="s">
        <v>122</v>
      </c>
      <c r="BCT108" s="1" t="s">
        <v>122</v>
      </c>
      <c r="BCU108" s="1" t="s">
        <v>122</v>
      </c>
      <c r="BCV108" s="1" t="s">
        <v>122</v>
      </c>
      <c r="BCW108" s="1" t="s">
        <v>122</v>
      </c>
      <c r="BCX108" s="1" t="s">
        <v>122</v>
      </c>
      <c r="BCY108" s="1" t="s">
        <v>122</v>
      </c>
      <c r="BCZ108" s="1" t="s">
        <v>122</v>
      </c>
      <c r="BDA108" s="1" t="s">
        <v>122</v>
      </c>
      <c r="BDB108" s="1" t="s">
        <v>122</v>
      </c>
      <c r="BDC108" s="1" t="s">
        <v>122</v>
      </c>
      <c r="BDD108" s="1" t="s">
        <v>122</v>
      </c>
      <c r="BDE108" s="1" t="s">
        <v>122</v>
      </c>
      <c r="BDF108" s="1" t="s">
        <v>122</v>
      </c>
      <c r="BDG108" s="1" t="s">
        <v>122</v>
      </c>
      <c r="BDH108" s="1" t="s">
        <v>122</v>
      </c>
      <c r="BDI108" s="1" t="s">
        <v>122</v>
      </c>
      <c r="BDJ108" s="1" t="s">
        <v>122</v>
      </c>
      <c r="BDK108" s="1" t="s">
        <v>122</v>
      </c>
      <c r="BDL108" s="1" t="s">
        <v>122</v>
      </c>
      <c r="BDM108" s="1" t="s">
        <v>122</v>
      </c>
      <c r="BDN108" s="1" t="s">
        <v>122</v>
      </c>
      <c r="BDO108" s="1" t="s">
        <v>122</v>
      </c>
      <c r="BDP108" s="1" t="s">
        <v>122</v>
      </c>
      <c r="BDQ108" s="1" t="s">
        <v>122</v>
      </c>
      <c r="BDR108" s="1" t="s">
        <v>122</v>
      </c>
      <c r="BDS108" s="1" t="s">
        <v>122</v>
      </c>
      <c r="BDT108" s="1" t="s">
        <v>122</v>
      </c>
      <c r="BDU108" s="1" t="s">
        <v>122</v>
      </c>
      <c r="BDV108" s="1" t="s">
        <v>122</v>
      </c>
      <c r="BDW108" s="1" t="s">
        <v>122</v>
      </c>
      <c r="BDX108" s="1" t="s">
        <v>122</v>
      </c>
      <c r="BDY108" s="1" t="s">
        <v>122</v>
      </c>
      <c r="BDZ108" s="1" t="s">
        <v>122</v>
      </c>
      <c r="BEA108" s="1" t="s">
        <v>122</v>
      </c>
      <c r="BEB108" s="1" t="s">
        <v>122</v>
      </c>
      <c r="BEC108" s="1" t="s">
        <v>122</v>
      </c>
      <c r="BED108" s="1" t="s">
        <v>122</v>
      </c>
      <c r="BEE108" s="1" t="s">
        <v>122</v>
      </c>
      <c r="BEF108" s="1" t="s">
        <v>122</v>
      </c>
      <c r="BEG108" s="1" t="s">
        <v>122</v>
      </c>
      <c r="BEH108" s="1" t="s">
        <v>122</v>
      </c>
      <c r="BEI108" s="1" t="s">
        <v>122</v>
      </c>
      <c r="BEJ108" s="1" t="s">
        <v>122</v>
      </c>
      <c r="BEK108" s="1" t="s">
        <v>122</v>
      </c>
      <c r="BEL108" s="1" t="s">
        <v>122</v>
      </c>
      <c r="BEM108" s="1" t="s">
        <v>122</v>
      </c>
      <c r="BEN108" s="1" t="s">
        <v>122</v>
      </c>
      <c r="BEO108" s="1" t="s">
        <v>122</v>
      </c>
      <c r="BEP108" s="1" t="s">
        <v>122</v>
      </c>
      <c r="BEQ108" s="1" t="s">
        <v>122</v>
      </c>
      <c r="BER108" s="1" t="s">
        <v>122</v>
      </c>
      <c r="BES108" s="1" t="s">
        <v>122</v>
      </c>
      <c r="BET108" s="1" t="s">
        <v>122</v>
      </c>
      <c r="BEU108" s="1" t="s">
        <v>122</v>
      </c>
      <c r="BEV108" s="1" t="s">
        <v>122</v>
      </c>
      <c r="BEW108" s="1" t="s">
        <v>122</v>
      </c>
      <c r="BEX108" s="1" t="s">
        <v>122</v>
      </c>
      <c r="BEY108" s="1" t="s">
        <v>122</v>
      </c>
      <c r="BEZ108" s="1" t="s">
        <v>122</v>
      </c>
      <c r="BFA108" s="1" t="s">
        <v>122</v>
      </c>
      <c r="BFB108" s="1" t="s">
        <v>122</v>
      </c>
      <c r="BFC108" s="1" t="s">
        <v>122</v>
      </c>
      <c r="BFD108" s="1" t="s">
        <v>122</v>
      </c>
      <c r="BFE108" s="1" t="s">
        <v>122</v>
      </c>
      <c r="BFF108" s="1" t="s">
        <v>122</v>
      </c>
      <c r="BFG108" s="1" t="s">
        <v>122</v>
      </c>
      <c r="BFH108" s="1" t="s">
        <v>122</v>
      </c>
      <c r="BFI108" s="1" t="s">
        <v>122</v>
      </c>
      <c r="BFJ108" s="1" t="s">
        <v>122</v>
      </c>
      <c r="BFK108" s="1" t="s">
        <v>122</v>
      </c>
      <c r="BFL108" s="1" t="s">
        <v>122</v>
      </c>
      <c r="BFM108" s="1" t="s">
        <v>122</v>
      </c>
      <c r="BFN108" s="1" t="s">
        <v>122</v>
      </c>
      <c r="BFO108" s="1" t="s">
        <v>122</v>
      </c>
      <c r="BFP108" s="1" t="s">
        <v>122</v>
      </c>
      <c r="BFQ108" s="1" t="s">
        <v>122</v>
      </c>
      <c r="BFR108" s="1" t="s">
        <v>122</v>
      </c>
      <c r="BFS108" s="1" t="s">
        <v>122</v>
      </c>
      <c r="BFT108" s="1" t="s">
        <v>122</v>
      </c>
      <c r="BFU108" s="1" t="s">
        <v>122</v>
      </c>
      <c r="BFV108" s="1" t="s">
        <v>122</v>
      </c>
      <c r="BFW108" s="1" t="s">
        <v>122</v>
      </c>
      <c r="BFX108" s="1" t="s">
        <v>122</v>
      </c>
      <c r="BFY108" s="1" t="s">
        <v>122</v>
      </c>
      <c r="BFZ108" s="1" t="s">
        <v>122</v>
      </c>
      <c r="BGA108" s="1" t="s">
        <v>122</v>
      </c>
      <c r="BGB108" s="1" t="s">
        <v>122</v>
      </c>
      <c r="BGC108" s="1" t="s">
        <v>122</v>
      </c>
      <c r="BGD108" s="1" t="s">
        <v>122</v>
      </c>
      <c r="BGE108" s="1" t="s">
        <v>122</v>
      </c>
      <c r="BGF108" s="1" t="s">
        <v>122</v>
      </c>
      <c r="BGG108" s="1" t="s">
        <v>122</v>
      </c>
      <c r="BGH108" s="1" t="s">
        <v>122</v>
      </c>
      <c r="BGI108" s="1" t="s">
        <v>122</v>
      </c>
      <c r="BGJ108" s="1" t="s">
        <v>122</v>
      </c>
      <c r="BGK108" s="1" t="s">
        <v>122</v>
      </c>
      <c r="BGL108" s="1" t="s">
        <v>122</v>
      </c>
      <c r="BGM108" s="1" t="s">
        <v>122</v>
      </c>
      <c r="BGN108" s="1" t="s">
        <v>122</v>
      </c>
      <c r="BGO108" s="1" t="s">
        <v>122</v>
      </c>
      <c r="BGP108" s="1" t="s">
        <v>122</v>
      </c>
      <c r="BGQ108" s="1" t="s">
        <v>122</v>
      </c>
      <c r="BGR108" s="1" t="s">
        <v>122</v>
      </c>
      <c r="BGS108" s="1" t="s">
        <v>122</v>
      </c>
      <c r="BGT108" s="1" t="s">
        <v>122</v>
      </c>
      <c r="BGU108" s="1" t="s">
        <v>122</v>
      </c>
      <c r="BGV108" s="1" t="s">
        <v>122</v>
      </c>
      <c r="BGW108" s="1" t="s">
        <v>122</v>
      </c>
      <c r="BGX108" s="1" t="s">
        <v>122</v>
      </c>
      <c r="BGY108" s="1" t="s">
        <v>122</v>
      </c>
      <c r="BGZ108" s="1" t="s">
        <v>122</v>
      </c>
      <c r="BHA108" s="1" t="s">
        <v>122</v>
      </c>
      <c r="BHB108" s="1" t="s">
        <v>122</v>
      </c>
      <c r="BHC108" s="1" t="s">
        <v>122</v>
      </c>
      <c r="BHD108" s="1" t="s">
        <v>122</v>
      </c>
      <c r="BHE108" s="1" t="s">
        <v>122</v>
      </c>
      <c r="BHF108" s="1" t="s">
        <v>122</v>
      </c>
      <c r="BHG108" s="1" t="s">
        <v>122</v>
      </c>
      <c r="BHH108" s="1" t="s">
        <v>122</v>
      </c>
      <c r="BHI108" s="1" t="s">
        <v>122</v>
      </c>
      <c r="BHJ108" s="1" t="s">
        <v>122</v>
      </c>
      <c r="BHK108" s="1" t="s">
        <v>122</v>
      </c>
      <c r="BHL108" s="1" t="s">
        <v>122</v>
      </c>
      <c r="BHM108" s="1" t="s">
        <v>122</v>
      </c>
      <c r="BHN108" s="1" t="s">
        <v>122</v>
      </c>
      <c r="BHO108" s="1" t="s">
        <v>122</v>
      </c>
      <c r="BHP108" s="1" t="s">
        <v>122</v>
      </c>
      <c r="BHQ108" s="1" t="s">
        <v>122</v>
      </c>
      <c r="BHR108" s="1" t="s">
        <v>122</v>
      </c>
      <c r="BHS108" s="1" t="s">
        <v>122</v>
      </c>
      <c r="BHT108" s="1" t="s">
        <v>122</v>
      </c>
      <c r="BHU108" s="1" t="s">
        <v>122</v>
      </c>
      <c r="BHV108" s="1" t="s">
        <v>122</v>
      </c>
      <c r="BHW108" s="1" t="s">
        <v>122</v>
      </c>
      <c r="BHX108" s="1" t="s">
        <v>122</v>
      </c>
      <c r="BHY108" s="1" t="s">
        <v>122</v>
      </c>
      <c r="BHZ108" s="1" t="s">
        <v>122</v>
      </c>
      <c r="BIA108" s="1" t="s">
        <v>122</v>
      </c>
      <c r="BIB108" s="1" t="s">
        <v>122</v>
      </c>
      <c r="BIC108" s="1" t="s">
        <v>122</v>
      </c>
      <c r="BID108" s="1" t="s">
        <v>122</v>
      </c>
      <c r="BIE108" s="1" t="s">
        <v>122</v>
      </c>
      <c r="BIF108" s="1" t="s">
        <v>122</v>
      </c>
      <c r="BIG108" s="1" t="s">
        <v>122</v>
      </c>
      <c r="BIH108" s="1" t="s">
        <v>122</v>
      </c>
      <c r="BII108" s="1" t="s">
        <v>122</v>
      </c>
      <c r="BIJ108" s="1" t="s">
        <v>122</v>
      </c>
      <c r="BIK108" s="1" t="s">
        <v>122</v>
      </c>
      <c r="BIL108" s="1" t="s">
        <v>122</v>
      </c>
      <c r="BIM108" s="1" t="s">
        <v>122</v>
      </c>
      <c r="BIN108" s="1" t="s">
        <v>122</v>
      </c>
      <c r="BIO108" s="1" t="s">
        <v>122</v>
      </c>
      <c r="BIP108" s="1" t="s">
        <v>122</v>
      </c>
      <c r="BIQ108" s="1" t="s">
        <v>122</v>
      </c>
      <c r="BIR108" s="1" t="s">
        <v>122</v>
      </c>
      <c r="BIS108" s="1" t="s">
        <v>122</v>
      </c>
      <c r="BIT108" s="1" t="s">
        <v>122</v>
      </c>
      <c r="BIU108" s="1" t="s">
        <v>122</v>
      </c>
      <c r="BIV108" s="1" t="s">
        <v>122</v>
      </c>
      <c r="BIW108" s="1" t="s">
        <v>122</v>
      </c>
      <c r="BIX108" s="1" t="s">
        <v>122</v>
      </c>
      <c r="BIY108" s="1" t="s">
        <v>122</v>
      </c>
      <c r="BIZ108" s="1" t="s">
        <v>122</v>
      </c>
      <c r="BJA108" s="1" t="s">
        <v>122</v>
      </c>
      <c r="BJB108" s="1" t="s">
        <v>122</v>
      </c>
      <c r="BJC108" s="1" t="s">
        <v>122</v>
      </c>
      <c r="BJD108" s="1" t="s">
        <v>122</v>
      </c>
      <c r="BJE108" s="1" t="s">
        <v>122</v>
      </c>
      <c r="BJF108" s="1" t="s">
        <v>122</v>
      </c>
      <c r="BJG108" s="1" t="s">
        <v>122</v>
      </c>
      <c r="BJH108" s="1" t="s">
        <v>122</v>
      </c>
      <c r="BJI108" s="1" t="s">
        <v>122</v>
      </c>
      <c r="BJJ108" s="1" t="s">
        <v>122</v>
      </c>
      <c r="BJK108" s="1" t="s">
        <v>122</v>
      </c>
      <c r="BJL108" s="1" t="s">
        <v>122</v>
      </c>
      <c r="BJM108" s="1" t="s">
        <v>122</v>
      </c>
      <c r="BJN108" s="1" t="s">
        <v>122</v>
      </c>
      <c r="BJO108" s="1" t="s">
        <v>122</v>
      </c>
      <c r="BJP108" s="1" t="s">
        <v>122</v>
      </c>
      <c r="BJQ108" s="1" t="s">
        <v>122</v>
      </c>
      <c r="BJR108" s="1" t="s">
        <v>122</v>
      </c>
      <c r="BJS108" s="1" t="s">
        <v>122</v>
      </c>
      <c r="BJT108" s="1" t="s">
        <v>122</v>
      </c>
      <c r="BJU108" s="1" t="s">
        <v>122</v>
      </c>
      <c r="BJV108" s="1" t="s">
        <v>122</v>
      </c>
      <c r="BJW108" s="1" t="s">
        <v>122</v>
      </c>
      <c r="BJX108" s="1" t="s">
        <v>122</v>
      </c>
      <c r="BJY108" s="1" t="s">
        <v>122</v>
      </c>
      <c r="BJZ108" s="1" t="s">
        <v>122</v>
      </c>
      <c r="BKA108" s="1" t="s">
        <v>122</v>
      </c>
      <c r="BKB108" s="1" t="s">
        <v>122</v>
      </c>
      <c r="BKC108" s="1" t="s">
        <v>122</v>
      </c>
      <c r="BKD108" s="1" t="s">
        <v>122</v>
      </c>
      <c r="BKE108" s="1" t="s">
        <v>122</v>
      </c>
      <c r="BKF108" s="1" t="s">
        <v>122</v>
      </c>
      <c r="BKG108" s="1" t="s">
        <v>122</v>
      </c>
      <c r="BKH108" s="1" t="s">
        <v>122</v>
      </c>
      <c r="BKI108" s="1" t="s">
        <v>122</v>
      </c>
      <c r="BKJ108" s="1" t="s">
        <v>122</v>
      </c>
      <c r="BKK108" s="1" t="s">
        <v>122</v>
      </c>
      <c r="BKL108" s="1" t="s">
        <v>122</v>
      </c>
      <c r="BKM108" s="1" t="s">
        <v>122</v>
      </c>
      <c r="BKN108" s="1" t="s">
        <v>122</v>
      </c>
      <c r="BKO108" s="1" t="s">
        <v>122</v>
      </c>
      <c r="BKP108" s="1" t="s">
        <v>122</v>
      </c>
      <c r="BKQ108" s="1" t="s">
        <v>122</v>
      </c>
      <c r="BKR108" s="1" t="s">
        <v>122</v>
      </c>
      <c r="BKS108" s="1" t="s">
        <v>122</v>
      </c>
      <c r="BKT108" s="1" t="s">
        <v>122</v>
      </c>
      <c r="BKU108" s="1" t="s">
        <v>122</v>
      </c>
      <c r="BKV108" s="1" t="s">
        <v>122</v>
      </c>
      <c r="BKW108" s="1" t="s">
        <v>122</v>
      </c>
      <c r="BKX108" s="1" t="s">
        <v>122</v>
      </c>
      <c r="BKY108" s="1" t="s">
        <v>122</v>
      </c>
      <c r="BKZ108" s="1" t="s">
        <v>122</v>
      </c>
      <c r="BLA108" s="1" t="s">
        <v>122</v>
      </c>
      <c r="BLB108" s="1" t="s">
        <v>122</v>
      </c>
      <c r="BLC108" s="1" t="s">
        <v>122</v>
      </c>
      <c r="BLD108" s="1" t="s">
        <v>122</v>
      </c>
      <c r="BLE108" s="1" t="s">
        <v>122</v>
      </c>
      <c r="BLF108" s="1" t="s">
        <v>122</v>
      </c>
      <c r="BLG108" s="1" t="s">
        <v>122</v>
      </c>
      <c r="BLH108" s="1" t="s">
        <v>122</v>
      </c>
      <c r="BLI108" s="1" t="s">
        <v>122</v>
      </c>
      <c r="BLJ108" s="1" t="s">
        <v>122</v>
      </c>
      <c r="BLK108" s="1" t="s">
        <v>122</v>
      </c>
      <c r="BLL108" s="1" t="s">
        <v>122</v>
      </c>
      <c r="BLM108" s="1" t="s">
        <v>122</v>
      </c>
      <c r="BLN108" s="1" t="s">
        <v>122</v>
      </c>
      <c r="BLO108" s="1" t="s">
        <v>122</v>
      </c>
      <c r="BLP108" s="1" t="s">
        <v>122</v>
      </c>
      <c r="BLQ108" s="1" t="s">
        <v>122</v>
      </c>
      <c r="BLR108" s="1" t="s">
        <v>122</v>
      </c>
      <c r="BLS108" s="1" t="s">
        <v>122</v>
      </c>
      <c r="BLT108" s="1" t="s">
        <v>122</v>
      </c>
      <c r="BLU108" s="1" t="s">
        <v>122</v>
      </c>
      <c r="BLV108" s="1" t="s">
        <v>122</v>
      </c>
      <c r="BLW108" s="1" t="s">
        <v>122</v>
      </c>
      <c r="BLX108" s="1" t="s">
        <v>122</v>
      </c>
      <c r="BLY108" s="1" t="s">
        <v>122</v>
      </c>
      <c r="BLZ108" s="1" t="s">
        <v>122</v>
      </c>
      <c r="BMA108" s="1" t="s">
        <v>122</v>
      </c>
      <c r="BMB108" s="1" t="s">
        <v>122</v>
      </c>
      <c r="BMC108" s="1" t="s">
        <v>122</v>
      </c>
      <c r="BMD108" s="1" t="s">
        <v>122</v>
      </c>
      <c r="BME108" s="1" t="s">
        <v>122</v>
      </c>
      <c r="BMF108" s="1" t="s">
        <v>122</v>
      </c>
      <c r="BMG108" s="1" t="s">
        <v>122</v>
      </c>
      <c r="BMH108" s="1" t="s">
        <v>122</v>
      </c>
      <c r="BMI108" s="1" t="s">
        <v>122</v>
      </c>
      <c r="BMJ108" s="1" t="s">
        <v>122</v>
      </c>
      <c r="BMK108" s="1" t="s">
        <v>122</v>
      </c>
      <c r="BML108" s="1" t="s">
        <v>122</v>
      </c>
      <c r="BMM108" s="1" t="s">
        <v>122</v>
      </c>
      <c r="BMN108" s="1" t="s">
        <v>122</v>
      </c>
      <c r="BMO108" s="1" t="s">
        <v>122</v>
      </c>
      <c r="BMP108" s="1" t="s">
        <v>122</v>
      </c>
      <c r="BMQ108" s="1" t="s">
        <v>122</v>
      </c>
      <c r="BMR108" s="1" t="s">
        <v>122</v>
      </c>
      <c r="BMS108" s="1" t="s">
        <v>122</v>
      </c>
      <c r="BMT108" s="1" t="s">
        <v>122</v>
      </c>
      <c r="BMU108" s="1" t="s">
        <v>122</v>
      </c>
      <c r="BMV108" s="1" t="s">
        <v>122</v>
      </c>
      <c r="BMW108" s="1" t="s">
        <v>122</v>
      </c>
      <c r="BMX108" s="1" t="s">
        <v>122</v>
      </c>
      <c r="BMY108" s="1" t="s">
        <v>122</v>
      </c>
      <c r="BMZ108" s="1" t="s">
        <v>122</v>
      </c>
      <c r="BNA108" s="1" t="s">
        <v>122</v>
      </c>
      <c r="BNB108" s="1" t="s">
        <v>122</v>
      </c>
      <c r="BNC108" s="1" t="s">
        <v>122</v>
      </c>
      <c r="BND108" s="1" t="s">
        <v>122</v>
      </c>
      <c r="BNE108" s="1" t="s">
        <v>122</v>
      </c>
      <c r="BNF108" s="1" t="s">
        <v>122</v>
      </c>
      <c r="BNG108" s="1" t="s">
        <v>122</v>
      </c>
      <c r="BNH108" s="1" t="s">
        <v>122</v>
      </c>
      <c r="BNI108" s="1" t="s">
        <v>122</v>
      </c>
      <c r="BNJ108" s="1" t="s">
        <v>122</v>
      </c>
      <c r="BNK108" s="1" t="s">
        <v>122</v>
      </c>
      <c r="BNL108" s="1" t="s">
        <v>122</v>
      </c>
      <c r="BNM108" s="1" t="s">
        <v>122</v>
      </c>
      <c r="BNN108" s="1" t="s">
        <v>122</v>
      </c>
      <c r="BNO108" s="1" t="s">
        <v>122</v>
      </c>
      <c r="BNP108" s="1" t="s">
        <v>122</v>
      </c>
      <c r="BNQ108" s="1" t="s">
        <v>122</v>
      </c>
      <c r="BNR108" s="1" t="s">
        <v>122</v>
      </c>
      <c r="BNS108" s="1" t="s">
        <v>122</v>
      </c>
      <c r="BNT108" s="1" t="s">
        <v>122</v>
      </c>
      <c r="BNU108" s="1" t="s">
        <v>122</v>
      </c>
      <c r="BNV108" s="1" t="s">
        <v>122</v>
      </c>
      <c r="BNW108" s="1" t="s">
        <v>122</v>
      </c>
      <c r="BNX108" s="1" t="s">
        <v>122</v>
      </c>
      <c r="BNY108" s="1" t="s">
        <v>122</v>
      </c>
      <c r="BNZ108" s="1" t="s">
        <v>122</v>
      </c>
      <c r="BOA108" s="1" t="s">
        <v>122</v>
      </c>
      <c r="BOB108" s="1" t="s">
        <v>122</v>
      </c>
      <c r="BOC108" s="1" t="s">
        <v>122</v>
      </c>
      <c r="BOD108" s="1" t="s">
        <v>122</v>
      </c>
      <c r="BOE108" s="1" t="s">
        <v>122</v>
      </c>
      <c r="BOF108" s="1" t="s">
        <v>122</v>
      </c>
      <c r="BOG108" s="1" t="s">
        <v>122</v>
      </c>
      <c r="BOH108" s="1" t="s">
        <v>122</v>
      </c>
      <c r="BOI108" s="1" t="s">
        <v>122</v>
      </c>
      <c r="BOJ108" s="1" t="s">
        <v>122</v>
      </c>
      <c r="BOK108" s="1" t="s">
        <v>122</v>
      </c>
      <c r="BOL108" s="1" t="s">
        <v>122</v>
      </c>
      <c r="BOM108" s="1" t="s">
        <v>122</v>
      </c>
      <c r="BON108" s="1" t="s">
        <v>122</v>
      </c>
      <c r="BOO108" s="1" t="s">
        <v>122</v>
      </c>
      <c r="BOP108" s="1" t="s">
        <v>122</v>
      </c>
      <c r="BOQ108" s="1" t="s">
        <v>122</v>
      </c>
      <c r="BOR108" s="1" t="s">
        <v>122</v>
      </c>
      <c r="BOS108" s="1" t="s">
        <v>122</v>
      </c>
      <c r="BOT108" s="1" t="s">
        <v>122</v>
      </c>
      <c r="BOU108" s="1" t="s">
        <v>122</v>
      </c>
      <c r="BOV108" s="1" t="s">
        <v>122</v>
      </c>
      <c r="BOW108" s="1" t="s">
        <v>122</v>
      </c>
      <c r="BOX108" s="1" t="s">
        <v>122</v>
      </c>
      <c r="BOY108" s="1" t="s">
        <v>122</v>
      </c>
      <c r="BOZ108" s="1" t="s">
        <v>122</v>
      </c>
      <c r="BPA108" s="1" t="s">
        <v>122</v>
      </c>
      <c r="BPB108" s="1" t="s">
        <v>122</v>
      </c>
      <c r="BPC108" s="1" t="s">
        <v>122</v>
      </c>
      <c r="BPD108" s="1" t="s">
        <v>122</v>
      </c>
      <c r="BPE108" s="1" t="s">
        <v>122</v>
      </c>
      <c r="BPF108" s="1" t="s">
        <v>122</v>
      </c>
      <c r="BPG108" s="1" t="s">
        <v>122</v>
      </c>
      <c r="BPH108" s="1" t="s">
        <v>122</v>
      </c>
      <c r="BPI108" s="1" t="s">
        <v>122</v>
      </c>
      <c r="BPJ108" s="1" t="s">
        <v>122</v>
      </c>
      <c r="BPK108" s="1" t="s">
        <v>122</v>
      </c>
      <c r="BPL108" s="1" t="s">
        <v>122</v>
      </c>
      <c r="BPM108" s="1" t="s">
        <v>122</v>
      </c>
      <c r="BPN108" s="1" t="s">
        <v>122</v>
      </c>
      <c r="BPO108" s="1" t="s">
        <v>122</v>
      </c>
      <c r="BPP108" s="1" t="s">
        <v>122</v>
      </c>
      <c r="BPQ108" s="1" t="s">
        <v>122</v>
      </c>
      <c r="BPR108" s="1" t="s">
        <v>122</v>
      </c>
      <c r="BPS108" s="1" t="s">
        <v>122</v>
      </c>
      <c r="BPT108" s="1" t="s">
        <v>122</v>
      </c>
      <c r="BPU108" s="1" t="s">
        <v>122</v>
      </c>
      <c r="BPV108" s="1" t="s">
        <v>122</v>
      </c>
      <c r="BPW108" s="1" t="s">
        <v>122</v>
      </c>
      <c r="BPX108" s="1" t="s">
        <v>122</v>
      </c>
      <c r="BPY108" s="1" t="s">
        <v>122</v>
      </c>
      <c r="BPZ108" s="1" t="s">
        <v>122</v>
      </c>
      <c r="BQA108" s="1" t="s">
        <v>122</v>
      </c>
      <c r="BQB108" s="1" t="s">
        <v>122</v>
      </c>
      <c r="BQC108" s="1" t="s">
        <v>122</v>
      </c>
      <c r="BQD108" s="1" t="s">
        <v>122</v>
      </c>
      <c r="BQE108" s="1" t="s">
        <v>122</v>
      </c>
      <c r="BQF108" s="1" t="s">
        <v>122</v>
      </c>
      <c r="BQG108" s="1" t="s">
        <v>122</v>
      </c>
      <c r="BQH108" s="1" t="s">
        <v>122</v>
      </c>
      <c r="BQI108" s="1" t="s">
        <v>122</v>
      </c>
      <c r="BQJ108" s="1" t="s">
        <v>122</v>
      </c>
      <c r="BQK108" s="1" t="s">
        <v>122</v>
      </c>
      <c r="BQL108" s="1" t="s">
        <v>122</v>
      </c>
      <c r="BQM108" s="1" t="s">
        <v>122</v>
      </c>
      <c r="BQN108" s="1" t="s">
        <v>122</v>
      </c>
      <c r="BQO108" s="1" t="s">
        <v>122</v>
      </c>
      <c r="BQP108" s="1" t="s">
        <v>122</v>
      </c>
      <c r="BQQ108" s="1" t="s">
        <v>122</v>
      </c>
      <c r="BQR108" s="1" t="s">
        <v>122</v>
      </c>
      <c r="BQS108" s="1" t="s">
        <v>122</v>
      </c>
      <c r="BQT108" s="1" t="s">
        <v>122</v>
      </c>
      <c r="BQU108" s="1" t="s">
        <v>122</v>
      </c>
      <c r="BQV108" s="1" t="s">
        <v>122</v>
      </c>
      <c r="BQW108" s="1" t="s">
        <v>122</v>
      </c>
      <c r="BQX108" s="1" t="s">
        <v>122</v>
      </c>
      <c r="BQY108" s="1" t="s">
        <v>122</v>
      </c>
      <c r="BQZ108" s="1" t="s">
        <v>122</v>
      </c>
      <c r="BRA108" s="1" t="s">
        <v>122</v>
      </c>
      <c r="BRB108" s="1" t="s">
        <v>122</v>
      </c>
      <c r="BRC108" s="1" t="s">
        <v>122</v>
      </c>
      <c r="BRD108" s="1" t="s">
        <v>122</v>
      </c>
      <c r="BRE108" s="1" t="s">
        <v>122</v>
      </c>
      <c r="BRF108" s="1" t="s">
        <v>122</v>
      </c>
      <c r="BRG108" s="1" t="s">
        <v>122</v>
      </c>
      <c r="BRH108" s="1" t="s">
        <v>122</v>
      </c>
      <c r="BRI108" s="1" t="s">
        <v>122</v>
      </c>
      <c r="BRJ108" s="1" t="s">
        <v>122</v>
      </c>
      <c r="BRK108" s="1" t="s">
        <v>122</v>
      </c>
      <c r="BRL108" s="1" t="s">
        <v>122</v>
      </c>
      <c r="BRM108" s="1" t="s">
        <v>122</v>
      </c>
      <c r="BRN108" s="1" t="s">
        <v>122</v>
      </c>
      <c r="BRO108" s="1" t="s">
        <v>122</v>
      </c>
      <c r="BRP108" s="1" t="s">
        <v>122</v>
      </c>
      <c r="BRQ108" s="1" t="s">
        <v>122</v>
      </c>
      <c r="BRR108" s="1" t="s">
        <v>122</v>
      </c>
      <c r="BRS108" s="1" t="s">
        <v>122</v>
      </c>
      <c r="BRT108" s="1" t="s">
        <v>122</v>
      </c>
      <c r="BRU108" s="1" t="s">
        <v>122</v>
      </c>
      <c r="BRV108" s="1" t="s">
        <v>122</v>
      </c>
      <c r="BRW108" s="1" t="s">
        <v>122</v>
      </c>
      <c r="BRX108" s="1" t="s">
        <v>122</v>
      </c>
      <c r="BRY108" s="1" t="s">
        <v>122</v>
      </c>
      <c r="BRZ108" s="1" t="s">
        <v>122</v>
      </c>
      <c r="BSA108" s="1" t="s">
        <v>122</v>
      </c>
      <c r="BSB108" s="1" t="s">
        <v>122</v>
      </c>
      <c r="BSC108" s="1" t="s">
        <v>122</v>
      </c>
      <c r="BSD108" s="1" t="s">
        <v>122</v>
      </c>
      <c r="BSE108" s="1" t="s">
        <v>122</v>
      </c>
      <c r="BSF108" s="1" t="s">
        <v>122</v>
      </c>
      <c r="BSG108" s="1" t="s">
        <v>122</v>
      </c>
      <c r="BSH108" s="1" t="s">
        <v>122</v>
      </c>
      <c r="BSI108" s="1" t="s">
        <v>122</v>
      </c>
      <c r="BSJ108" s="1" t="s">
        <v>122</v>
      </c>
      <c r="BSK108" s="1" t="s">
        <v>122</v>
      </c>
      <c r="BSL108" s="1" t="s">
        <v>122</v>
      </c>
      <c r="BSM108" s="1" t="s">
        <v>122</v>
      </c>
      <c r="BSN108" s="1" t="s">
        <v>122</v>
      </c>
      <c r="BSO108" s="1" t="s">
        <v>122</v>
      </c>
      <c r="BSP108" s="1" t="s">
        <v>122</v>
      </c>
      <c r="BSQ108" s="1" t="s">
        <v>122</v>
      </c>
      <c r="BSR108" s="1" t="s">
        <v>122</v>
      </c>
      <c r="BSS108" s="1" t="s">
        <v>122</v>
      </c>
      <c r="BST108" s="1" t="s">
        <v>122</v>
      </c>
      <c r="BSU108" s="1" t="s">
        <v>122</v>
      </c>
      <c r="BSV108" s="1" t="s">
        <v>122</v>
      </c>
      <c r="BSW108" s="1" t="s">
        <v>122</v>
      </c>
      <c r="BSX108" s="1" t="s">
        <v>122</v>
      </c>
      <c r="BSY108" s="1" t="s">
        <v>122</v>
      </c>
      <c r="BSZ108" s="1" t="s">
        <v>122</v>
      </c>
      <c r="BTA108" s="1" t="s">
        <v>122</v>
      </c>
      <c r="BTB108" s="1" t="s">
        <v>122</v>
      </c>
      <c r="BTC108" s="1" t="s">
        <v>122</v>
      </c>
      <c r="BTD108" s="1" t="s">
        <v>122</v>
      </c>
      <c r="BTE108" s="1" t="s">
        <v>122</v>
      </c>
      <c r="BTF108" s="1" t="s">
        <v>122</v>
      </c>
      <c r="BTG108" s="1" t="s">
        <v>122</v>
      </c>
      <c r="BTH108" s="1" t="s">
        <v>122</v>
      </c>
      <c r="BTI108" s="1" t="s">
        <v>122</v>
      </c>
      <c r="BTJ108" s="1" t="s">
        <v>122</v>
      </c>
      <c r="BTK108" s="1" t="s">
        <v>122</v>
      </c>
      <c r="BTL108" s="1" t="s">
        <v>122</v>
      </c>
      <c r="BTM108" s="1" t="s">
        <v>122</v>
      </c>
      <c r="BTN108" s="1" t="s">
        <v>122</v>
      </c>
      <c r="BTO108" s="1" t="s">
        <v>122</v>
      </c>
      <c r="BTP108" s="1" t="s">
        <v>122</v>
      </c>
      <c r="BTQ108" s="1" t="s">
        <v>122</v>
      </c>
      <c r="BTR108" s="1" t="s">
        <v>122</v>
      </c>
      <c r="BTS108" s="1" t="s">
        <v>122</v>
      </c>
      <c r="BTT108" s="1" t="s">
        <v>122</v>
      </c>
      <c r="BTU108" s="1" t="s">
        <v>122</v>
      </c>
      <c r="BTV108" s="1" t="s">
        <v>122</v>
      </c>
      <c r="BTW108" s="1" t="s">
        <v>122</v>
      </c>
      <c r="BTX108" s="1" t="s">
        <v>122</v>
      </c>
      <c r="BTY108" s="1" t="s">
        <v>122</v>
      </c>
      <c r="BTZ108" s="1" t="s">
        <v>122</v>
      </c>
      <c r="BUA108" s="1" t="s">
        <v>122</v>
      </c>
      <c r="BUB108" s="1" t="s">
        <v>122</v>
      </c>
      <c r="BUC108" s="1" t="s">
        <v>122</v>
      </c>
      <c r="BUD108" s="1" t="s">
        <v>122</v>
      </c>
      <c r="BUE108" s="1" t="s">
        <v>122</v>
      </c>
      <c r="BUF108" s="1" t="s">
        <v>122</v>
      </c>
      <c r="BUG108" s="1" t="s">
        <v>122</v>
      </c>
      <c r="BUH108" s="1" t="s">
        <v>122</v>
      </c>
      <c r="BUI108" s="1" t="s">
        <v>122</v>
      </c>
      <c r="BUJ108" s="1" t="s">
        <v>122</v>
      </c>
      <c r="BUK108" s="1" t="s">
        <v>122</v>
      </c>
      <c r="BUL108" s="1" t="s">
        <v>122</v>
      </c>
      <c r="BUM108" s="1" t="s">
        <v>122</v>
      </c>
      <c r="BUN108" s="1" t="s">
        <v>122</v>
      </c>
      <c r="BUO108" s="1" t="s">
        <v>122</v>
      </c>
      <c r="BUP108" s="1" t="s">
        <v>122</v>
      </c>
      <c r="BUQ108" s="1" t="s">
        <v>122</v>
      </c>
      <c r="BUR108" s="1" t="s">
        <v>122</v>
      </c>
      <c r="BUS108" s="1" t="s">
        <v>122</v>
      </c>
      <c r="BUT108" s="1" t="s">
        <v>122</v>
      </c>
      <c r="BUU108" s="1" t="s">
        <v>122</v>
      </c>
      <c r="BUV108" s="1" t="s">
        <v>122</v>
      </c>
      <c r="BUW108" s="1" t="s">
        <v>122</v>
      </c>
      <c r="BUX108" s="1" t="s">
        <v>122</v>
      </c>
      <c r="BUY108" s="1" t="s">
        <v>122</v>
      </c>
      <c r="BUZ108" s="1" t="s">
        <v>122</v>
      </c>
      <c r="BVA108" s="1" t="s">
        <v>122</v>
      </c>
      <c r="BVB108" s="1" t="s">
        <v>122</v>
      </c>
      <c r="BVC108" s="1" t="s">
        <v>122</v>
      </c>
      <c r="BVD108" s="1" t="s">
        <v>122</v>
      </c>
      <c r="BVE108" s="1" t="s">
        <v>122</v>
      </c>
      <c r="BVF108" s="1" t="s">
        <v>122</v>
      </c>
      <c r="BVG108" s="1" t="s">
        <v>122</v>
      </c>
      <c r="BVH108" s="1" t="s">
        <v>122</v>
      </c>
      <c r="BVI108" s="1" t="s">
        <v>122</v>
      </c>
      <c r="BVJ108" s="1" t="s">
        <v>122</v>
      </c>
      <c r="BVK108" s="1" t="s">
        <v>122</v>
      </c>
      <c r="BVL108" s="1" t="s">
        <v>122</v>
      </c>
      <c r="BVM108" s="1" t="s">
        <v>122</v>
      </c>
      <c r="BVN108" s="1" t="s">
        <v>122</v>
      </c>
      <c r="BVO108" s="1" t="s">
        <v>122</v>
      </c>
      <c r="BVP108" s="1" t="s">
        <v>122</v>
      </c>
      <c r="BVQ108" s="1" t="s">
        <v>122</v>
      </c>
      <c r="BVR108" s="1" t="s">
        <v>122</v>
      </c>
      <c r="BVS108" s="1" t="s">
        <v>122</v>
      </c>
      <c r="BVT108" s="1" t="s">
        <v>122</v>
      </c>
      <c r="BVU108" s="1" t="s">
        <v>122</v>
      </c>
      <c r="BVV108" s="1" t="s">
        <v>122</v>
      </c>
      <c r="BVW108" s="1" t="s">
        <v>122</v>
      </c>
      <c r="BVX108" s="1" t="s">
        <v>122</v>
      </c>
      <c r="BVY108" s="1" t="s">
        <v>122</v>
      </c>
      <c r="BVZ108" s="1" t="s">
        <v>122</v>
      </c>
      <c r="BWA108" s="1" t="s">
        <v>122</v>
      </c>
      <c r="BWB108" s="1" t="s">
        <v>122</v>
      </c>
      <c r="BWC108" s="1" t="s">
        <v>122</v>
      </c>
      <c r="BWD108" s="1" t="s">
        <v>122</v>
      </c>
      <c r="BWE108" s="1" t="s">
        <v>122</v>
      </c>
      <c r="BWF108" s="1" t="s">
        <v>122</v>
      </c>
      <c r="BWG108" s="1" t="s">
        <v>122</v>
      </c>
      <c r="BWH108" s="1" t="s">
        <v>122</v>
      </c>
      <c r="BWI108" s="1" t="s">
        <v>122</v>
      </c>
      <c r="BWJ108" s="1" t="s">
        <v>122</v>
      </c>
      <c r="BWK108" s="1" t="s">
        <v>122</v>
      </c>
      <c r="BWL108" s="1" t="s">
        <v>122</v>
      </c>
      <c r="BWM108" s="1" t="s">
        <v>122</v>
      </c>
      <c r="BWN108" s="1" t="s">
        <v>122</v>
      </c>
      <c r="BWO108" s="1" t="s">
        <v>122</v>
      </c>
      <c r="BWP108" s="1" t="s">
        <v>122</v>
      </c>
      <c r="BWQ108" s="1" t="s">
        <v>122</v>
      </c>
      <c r="BWR108" s="1" t="s">
        <v>122</v>
      </c>
      <c r="BWS108" s="1" t="s">
        <v>122</v>
      </c>
      <c r="BWT108" s="1" t="s">
        <v>122</v>
      </c>
      <c r="BWU108" s="1" t="s">
        <v>122</v>
      </c>
      <c r="BWV108" s="1" t="s">
        <v>122</v>
      </c>
      <c r="BWW108" s="1" t="s">
        <v>122</v>
      </c>
      <c r="BWX108" s="1" t="s">
        <v>122</v>
      </c>
      <c r="BWY108" s="1" t="s">
        <v>122</v>
      </c>
      <c r="BWZ108" s="1" t="s">
        <v>122</v>
      </c>
      <c r="BXA108" s="1" t="s">
        <v>122</v>
      </c>
      <c r="BXB108" s="1" t="s">
        <v>122</v>
      </c>
      <c r="BXC108" s="1" t="s">
        <v>122</v>
      </c>
      <c r="BXD108" s="1" t="s">
        <v>122</v>
      </c>
      <c r="BXE108" s="1" t="s">
        <v>122</v>
      </c>
      <c r="BXF108" s="1" t="s">
        <v>122</v>
      </c>
      <c r="BXG108" s="1" t="s">
        <v>122</v>
      </c>
      <c r="BXH108" s="1" t="s">
        <v>122</v>
      </c>
      <c r="BXI108" s="1" t="s">
        <v>122</v>
      </c>
      <c r="BXJ108" s="1" t="s">
        <v>122</v>
      </c>
      <c r="BXK108" s="1" t="s">
        <v>122</v>
      </c>
      <c r="BXL108" s="1" t="s">
        <v>122</v>
      </c>
      <c r="BXM108" s="1" t="s">
        <v>122</v>
      </c>
      <c r="BXN108" s="1" t="s">
        <v>122</v>
      </c>
      <c r="BXO108" s="1" t="s">
        <v>122</v>
      </c>
      <c r="BXP108" s="1" t="s">
        <v>122</v>
      </c>
      <c r="BXQ108" s="1" t="s">
        <v>122</v>
      </c>
      <c r="BXR108" s="1" t="s">
        <v>122</v>
      </c>
      <c r="BXS108" s="1" t="s">
        <v>122</v>
      </c>
      <c r="BXT108" s="1" t="s">
        <v>122</v>
      </c>
      <c r="BXU108" s="1" t="s">
        <v>122</v>
      </c>
      <c r="BXV108" s="1" t="s">
        <v>122</v>
      </c>
      <c r="BXW108" s="1" t="s">
        <v>122</v>
      </c>
      <c r="BXX108" s="1" t="s">
        <v>122</v>
      </c>
      <c r="BXY108" s="1" t="s">
        <v>122</v>
      </c>
      <c r="BXZ108" s="1" t="s">
        <v>122</v>
      </c>
      <c r="BYA108" s="1" t="s">
        <v>122</v>
      </c>
      <c r="BYB108" s="1" t="s">
        <v>122</v>
      </c>
      <c r="BYC108" s="1" t="s">
        <v>122</v>
      </c>
      <c r="BYD108" s="1" t="s">
        <v>122</v>
      </c>
      <c r="BYE108" s="1" t="s">
        <v>122</v>
      </c>
      <c r="BYF108" s="1" t="s">
        <v>122</v>
      </c>
      <c r="BYG108" s="1" t="s">
        <v>122</v>
      </c>
      <c r="BYH108" s="1" t="s">
        <v>122</v>
      </c>
      <c r="BYI108" s="1" t="s">
        <v>122</v>
      </c>
      <c r="BYJ108" s="1" t="s">
        <v>122</v>
      </c>
      <c r="BYK108" s="1" t="s">
        <v>122</v>
      </c>
      <c r="BYL108" s="1" t="s">
        <v>122</v>
      </c>
      <c r="BYM108" s="1" t="s">
        <v>122</v>
      </c>
      <c r="BYN108" s="1" t="s">
        <v>122</v>
      </c>
      <c r="BYO108" s="1" t="s">
        <v>122</v>
      </c>
      <c r="BYP108" s="1" t="s">
        <v>122</v>
      </c>
      <c r="BYQ108" s="1" t="s">
        <v>122</v>
      </c>
      <c r="BYR108" s="1" t="s">
        <v>122</v>
      </c>
      <c r="BYS108" s="1" t="s">
        <v>122</v>
      </c>
      <c r="BYT108" s="1" t="s">
        <v>122</v>
      </c>
      <c r="BYU108" s="1" t="s">
        <v>122</v>
      </c>
      <c r="BYV108" s="1" t="s">
        <v>122</v>
      </c>
      <c r="BYW108" s="1" t="s">
        <v>122</v>
      </c>
      <c r="BYX108" s="1" t="s">
        <v>122</v>
      </c>
      <c r="BYY108" s="1" t="s">
        <v>122</v>
      </c>
      <c r="BYZ108" s="1" t="s">
        <v>122</v>
      </c>
      <c r="BZA108" s="1" t="s">
        <v>122</v>
      </c>
      <c r="BZB108" s="1" t="s">
        <v>122</v>
      </c>
      <c r="BZC108" s="1" t="s">
        <v>122</v>
      </c>
      <c r="BZD108" s="1" t="s">
        <v>122</v>
      </c>
      <c r="BZE108" s="1" t="s">
        <v>122</v>
      </c>
      <c r="BZF108" s="1" t="s">
        <v>122</v>
      </c>
      <c r="BZG108" s="1" t="s">
        <v>122</v>
      </c>
      <c r="BZH108" s="1" t="s">
        <v>122</v>
      </c>
      <c r="BZI108" s="1" t="s">
        <v>122</v>
      </c>
      <c r="BZJ108" s="1" t="s">
        <v>122</v>
      </c>
      <c r="BZK108" s="1" t="s">
        <v>122</v>
      </c>
      <c r="BZL108" s="1" t="s">
        <v>122</v>
      </c>
      <c r="BZM108" s="1" t="s">
        <v>122</v>
      </c>
      <c r="BZN108" s="1" t="s">
        <v>122</v>
      </c>
      <c r="BZO108" s="1" t="s">
        <v>122</v>
      </c>
      <c r="BZP108" s="1" t="s">
        <v>122</v>
      </c>
      <c r="BZQ108" s="1" t="s">
        <v>122</v>
      </c>
      <c r="BZR108" s="1" t="s">
        <v>122</v>
      </c>
      <c r="BZS108" s="1" t="s">
        <v>122</v>
      </c>
      <c r="BZT108" s="1" t="s">
        <v>122</v>
      </c>
      <c r="BZU108" s="1" t="s">
        <v>122</v>
      </c>
      <c r="BZV108" s="1" t="s">
        <v>122</v>
      </c>
      <c r="BZW108" s="1" t="s">
        <v>122</v>
      </c>
      <c r="BZX108" s="1" t="s">
        <v>122</v>
      </c>
      <c r="BZY108" s="1" t="s">
        <v>122</v>
      </c>
      <c r="BZZ108" s="1" t="s">
        <v>122</v>
      </c>
      <c r="CAA108" s="1" t="s">
        <v>122</v>
      </c>
      <c r="CAB108" s="1" t="s">
        <v>122</v>
      </c>
      <c r="CAC108" s="1" t="s">
        <v>122</v>
      </c>
      <c r="CAD108" s="1" t="s">
        <v>122</v>
      </c>
      <c r="CAE108" s="1" t="s">
        <v>122</v>
      </c>
      <c r="CAF108" s="1" t="s">
        <v>122</v>
      </c>
      <c r="CAG108" s="1" t="s">
        <v>122</v>
      </c>
      <c r="CAH108" s="1" t="s">
        <v>122</v>
      </c>
      <c r="CAI108" s="1" t="s">
        <v>122</v>
      </c>
      <c r="CAJ108" s="1" t="s">
        <v>122</v>
      </c>
      <c r="CAK108" s="1" t="s">
        <v>122</v>
      </c>
      <c r="CAL108" s="1" t="s">
        <v>122</v>
      </c>
      <c r="CAM108" s="1" t="s">
        <v>122</v>
      </c>
      <c r="CAN108" s="1" t="s">
        <v>122</v>
      </c>
      <c r="CAO108" s="1" t="s">
        <v>122</v>
      </c>
      <c r="CAP108" s="1" t="s">
        <v>122</v>
      </c>
      <c r="CAQ108" s="1" t="s">
        <v>122</v>
      </c>
      <c r="CAR108" s="1" t="s">
        <v>122</v>
      </c>
      <c r="CAS108" s="1" t="s">
        <v>122</v>
      </c>
      <c r="CAT108" s="1" t="s">
        <v>122</v>
      </c>
      <c r="CAU108" s="1" t="s">
        <v>122</v>
      </c>
      <c r="CAV108" s="1" t="s">
        <v>122</v>
      </c>
      <c r="CAW108" s="1" t="s">
        <v>122</v>
      </c>
      <c r="CAX108" s="1" t="s">
        <v>122</v>
      </c>
      <c r="CAY108" s="1" t="s">
        <v>122</v>
      </c>
      <c r="CAZ108" s="1" t="s">
        <v>122</v>
      </c>
      <c r="CBA108" s="1" t="s">
        <v>122</v>
      </c>
      <c r="CBB108" s="1" t="s">
        <v>122</v>
      </c>
      <c r="CBC108" s="1" t="s">
        <v>122</v>
      </c>
      <c r="CBD108" s="1" t="s">
        <v>122</v>
      </c>
      <c r="CBE108" s="1" t="s">
        <v>122</v>
      </c>
      <c r="CBF108" s="1" t="s">
        <v>122</v>
      </c>
      <c r="CBG108" s="1" t="s">
        <v>122</v>
      </c>
      <c r="CBH108" s="1" t="s">
        <v>122</v>
      </c>
      <c r="CBI108" s="1" t="s">
        <v>122</v>
      </c>
      <c r="CBJ108" s="1" t="s">
        <v>122</v>
      </c>
      <c r="CBK108" s="1" t="s">
        <v>122</v>
      </c>
      <c r="CBL108" s="1" t="s">
        <v>122</v>
      </c>
      <c r="CBM108" s="1" t="s">
        <v>122</v>
      </c>
      <c r="CBN108" s="1" t="s">
        <v>122</v>
      </c>
      <c r="CBO108" s="1" t="s">
        <v>122</v>
      </c>
      <c r="CBP108" s="1" t="s">
        <v>122</v>
      </c>
      <c r="CBQ108" s="1" t="s">
        <v>122</v>
      </c>
      <c r="CBR108" s="1" t="s">
        <v>122</v>
      </c>
      <c r="CBS108" s="1" t="s">
        <v>122</v>
      </c>
      <c r="CBT108" s="1" t="s">
        <v>122</v>
      </c>
      <c r="CBU108" s="1" t="s">
        <v>122</v>
      </c>
      <c r="CBV108" s="1" t="s">
        <v>122</v>
      </c>
      <c r="CBW108" s="1" t="s">
        <v>122</v>
      </c>
      <c r="CBX108" s="1" t="s">
        <v>122</v>
      </c>
      <c r="CBY108" s="1" t="s">
        <v>122</v>
      </c>
      <c r="CBZ108" s="1" t="s">
        <v>122</v>
      </c>
      <c r="CCA108" s="1" t="s">
        <v>122</v>
      </c>
      <c r="CCB108" s="1" t="s">
        <v>122</v>
      </c>
      <c r="CCC108" s="1" t="s">
        <v>122</v>
      </c>
      <c r="CCD108" s="1" t="s">
        <v>122</v>
      </c>
      <c r="CCE108" s="1" t="s">
        <v>122</v>
      </c>
      <c r="CCF108" s="1" t="s">
        <v>122</v>
      </c>
      <c r="CCG108" s="1" t="s">
        <v>122</v>
      </c>
      <c r="CCH108" s="1" t="s">
        <v>122</v>
      </c>
      <c r="CCI108" s="1" t="s">
        <v>122</v>
      </c>
      <c r="CCJ108" s="1" t="s">
        <v>122</v>
      </c>
      <c r="CCK108" s="1" t="s">
        <v>122</v>
      </c>
      <c r="CCL108" s="1" t="s">
        <v>122</v>
      </c>
      <c r="CCM108" s="1" t="s">
        <v>122</v>
      </c>
      <c r="CCN108" s="1" t="s">
        <v>122</v>
      </c>
      <c r="CCO108" s="1" t="s">
        <v>122</v>
      </c>
      <c r="CCP108" s="1" t="s">
        <v>122</v>
      </c>
      <c r="CCQ108" s="1" t="s">
        <v>122</v>
      </c>
      <c r="CCR108" s="1" t="s">
        <v>122</v>
      </c>
      <c r="CCS108" s="1" t="s">
        <v>122</v>
      </c>
      <c r="CCT108" s="1" t="s">
        <v>122</v>
      </c>
      <c r="CCU108" s="1" t="s">
        <v>122</v>
      </c>
      <c r="CCV108" s="1" t="s">
        <v>122</v>
      </c>
      <c r="CCW108" s="1" t="s">
        <v>122</v>
      </c>
      <c r="CCX108" s="1" t="s">
        <v>122</v>
      </c>
      <c r="CCY108" s="1" t="s">
        <v>122</v>
      </c>
      <c r="CCZ108" s="1" t="s">
        <v>122</v>
      </c>
      <c r="CDA108" s="1" t="s">
        <v>122</v>
      </c>
      <c r="CDB108" s="1" t="s">
        <v>122</v>
      </c>
      <c r="CDC108" s="1" t="s">
        <v>122</v>
      </c>
      <c r="CDD108" s="1" t="s">
        <v>122</v>
      </c>
      <c r="CDE108" s="1" t="s">
        <v>122</v>
      </c>
      <c r="CDF108" s="1" t="s">
        <v>122</v>
      </c>
      <c r="CDG108" s="1" t="s">
        <v>122</v>
      </c>
      <c r="CDH108" s="1" t="s">
        <v>122</v>
      </c>
      <c r="CDI108" s="1" t="s">
        <v>122</v>
      </c>
      <c r="CDJ108" s="1" t="s">
        <v>122</v>
      </c>
      <c r="CDK108" s="1" t="s">
        <v>122</v>
      </c>
      <c r="CDL108" s="1" t="s">
        <v>122</v>
      </c>
      <c r="CDM108" s="1" t="s">
        <v>122</v>
      </c>
      <c r="CDN108" s="1" t="s">
        <v>122</v>
      </c>
      <c r="CDO108" s="1" t="s">
        <v>122</v>
      </c>
      <c r="CDP108" s="1" t="s">
        <v>122</v>
      </c>
      <c r="CDQ108" s="1" t="s">
        <v>122</v>
      </c>
      <c r="CDR108" s="1" t="s">
        <v>122</v>
      </c>
      <c r="CDS108" s="1" t="s">
        <v>122</v>
      </c>
      <c r="CDT108" s="1" t="s">
        <v>122</v>
      </c>
      <c r="CDU108" s="1" t="s">
        <v>122</v>
      </c>
      <c r="CDV108" s="1" t="s">
        <v>122</v>
      </c>
      <c r="CDW108" s="1" t="s">
        <v>122</v>
      </c>
      <c r="CDX108" s="1" t="s">
        <v>122</v>
      </c>
      <c r="CDY108" s="1" t="s">
        <v>122</v>
      </c>
      <c r="CDZ108" s="1" t="s">
        <v>122</v>
      </c>
      <c r="CEA108" s="1" t="s">
        <v>122</v>
      </c>
      <c r="CEB108" s="1" t="s">
        <v>122</v>
      </c>
      <c r="CEC108" s="1" t="s">
        <v>122</v>
      </c>
      <c r="CED108" s="1" t="s">
        <v>122</v>
      </c>
      <c r="CEE108" s="1" t="s">
        <v>122</v>
      </c>
      <c r="CEF108" s="1" t="s">
        <v>122</v>
      </c>
      <c r="CEG108" s="1" t="s">
        <v>122</v>
      </c>
      <c r="CEH108" s="1" t="s">
        <v>122</v>
      </c>
      <c r="CEI108" s="1" t="s">
        <v>122</v>
      </c>
      <c r="CEJ108" s="1" t="s">
        <v>122</v>
      </c>
      <c r="CEK108" s="1" t="s">
        <v>122</v>
      </c>
      <c r="CEL108" s="1" t="s">
        <v>122</v>
      </c>
      <c r="CEM108" s="1" t="s">
        <v>122</v>
      </c>
      <c r="CEN108" s="1" t="s">
        <v>122</v>
      </c>
      <c r="CEO108" s="1" t="s">
        <v>122</v>
      </c>
      <c r="CEP108" s="1" t="s">
        <v>122</v>
      </c>
      <c r="CEQ108" s="1" t="s">
        <v>122</v>
      </c>
      <c r="CER108" s="1" t="s">
        <v>122</v>
      </c>
      <c r="CES108" s="1" t="s">
        <v>122</v>
      </c>
      <c r="CET108" s="1" t="s">
        <v>122</v>
      </c>
      <c r="CEU108" s="1" t="s">
        <v>122</v>
      </c>
      <c r="CEV108" s="1" t="s">
        <v>122</v>
      </c>
      <c r="CEW108" s="1" t="s">
        <v>122</v>
      </c>
      <c r="CEX108" s="1" t="s">
        <v>122</v>
      </c>
      <c r="CEY108" s="1" t="s">
        <v>122</v>
      </c>
      <c r="CEZ108" s="1" t="s">
        <v>122</v>
      </c>
      <c r="CFA108" s="1" t="s">
        <v>122</v>
      </c>
      <c r="CFB108" s="1" t="s">
        <v>122</v>
      </c>
      <c r="CFC108" s="1" t="s">
        <v>122</v>
      </c>
      <c r="CFD108" s="1" t="s">
        <v>122</v>
      </c>
      <c r="CFE108" s="1" t="s">
        <v>122</v>
      </c>
      <c r="CFF108" s="1" t="s">
        <v>122</v>
      </c>
      <c r="CFG108" s="1" t="s">
        <v>122</v>
      </c>
      <c r="CFH108" s="1" t="s">
        <v>122</v>
      </c>
      <c r="CFI108" s="1" t="s">
        <v>122</v>
      </c>
      <c r="CFJ108" s="1" t="s">
        <v>122</v>
      </c>
      <c r="CFK108" s="1" t="s">
        <v>122</v>
      </c>
      <c r="CFL108" s="1" t="s">
        <v>122</v>
      </c>
      <c r="CFM108" s="1" t="s">
        <v>122</v>
      </c>
      <c r="CFN108" s="1" t="s">
        <v>122</v>
      </c>
      <c r="CFO108" s="1" t="s">
        <v>122</v>
      </c>
      <c r="CFP108" s="1" t="s">
        <v>122</v>
      </c>
      <c r="CFQ108" s="1" t="s">
        <v>122</v>
      </c>
      <c r="CFR108" s="1" t="s">
        <v>122</v>
      </c>
      <c r="CFS108" s="1" t="s">
        <v>122</v>
      </c>
      <c r="CFT108" s="1" t="s">
        <v>122</v>
      </c>
      <c r="CFU108" s="1" t="s">
        <v>122</v>
      </c>
      <c r="CFV108" s="1" t="s">
        <v>122</v>
      </c>
      <c r="CFW108" s="1" t="s">
        <v>122</v>
      </c>
      <c r="CFX108" s="1" t="s">
        <v>122</v>
      </c>
      <c r="CFY108" s="1" t="s">
        <v>122</v>
      </c>
      <c r="CFZ108" s="1" t="s">
        <v>122</v>
      </c>
      <c r="CGA108" s="1" t="s">
        <v>122</v>
      </c>
      <c r="CGB108" s="1" t="s">
        <v>122</v>
      </c>
      <c r="CGC108" s="1" t="s">
        <v>122</v>
      </c>
      <c r="CGD108" s="1" t="s">
        <v>122</v>
      </c>
      <c r="CGE108" s="1" t="s">
        <v>122</v>
      </c>
      <c r="CGF108" s="1" t="s">
        <v>122</v>
      </c>
      <c r="CGG108" s="1" t="s">
        <v>122</v>
      </c>
      <c r="CGH108" s="1" t="s">
        <v>122</v>
      </c>
      <c r="CGI108" s="1" t="s">
        <v>122</v>
      </c>
      <c r="CGJ108" s="1" t="s">
        <v>122</v>
      </c>
      <c r="CGK108" s="1" t="s">
        <v>122</v>
      </c>
      <c r="CGL108" s="1" t="s">
        <v>122</v>
      </c>
      <c r="CGM108" s="1" t="s">
        <v>122</v>
      </c>
      <c r="CGN108" s="1" t="s">
        <v>122</v>
      </c>
      <c r="CGO108" s="1" t="s">
        <v>122</v>
      </c>
      <c r="CGP108" s="1" t="s">
        <v>122</v>
      </c>
      <c r="CGQ108" s="1" t="s">
        <v>122</v>
      </c>
      <c r="CGR108" s="1" t="s">
        <v>122</v>
      </c>
      <c r="CGS108" s="1" t="s">
        <v>122</v>
      </c>
      <c r="CGT108" s="1" t="s">
        <v>122</v>
      </c>
      <c r="CGU108" s="1" t="s">
        <v>122</v>
      </c>
      <c r="CGV108" s="1" t="s">
        <v>122</v>
      </c>
      <c r="CGW108" s="1" t="s">
        <v>122</v>
      </c>
      <c r="CGX108" s="1" t="s">
        <v>122</v>
      </c>
      <c r="CGY108" s="1" t="s">
        <v>122</v>
      </c>
      <c r="CGZ108" s="1" t="s">
        <v>122</v>
      </c>
      <c r="CHA108" s="1" t="s">
        <v>122</v>
      </c>
      <c r="CHB108" s="1" t="s">
        <v>122</v>
      </c>
      <c r="CHC108" s="1" t="s">
        <v>122</v>
      </c>
      <c r="CHD108" s="1" t="s">
        <v>122</v>
      </c>
      <c r="CHE108" s="1" t="s">
        <v>122</v>
      </c>
      <c r="CHF108" s="1" t="s">
        <v>122</v>
      </c>
      <c r="CHG108" s="1" t="s">
        <v>122</v>
      </c>
      <c r="CHH108" s="1" t="s">
        <v>122</v>
      </c>
      <c r="CHI108" s="1" t="s">
        <v>122</v>
      </c>
      <c r="CHJ108" s="1" t="s">
        <v>122</v>
      </c>
      <c r="CHK108" s="1" t="s">
        <v>122</v>
      </c>
      <c r="CHL108" s="1" t="s">
        <v>122</v>
      </c>
      <c r="CHM108" s="1" t="s">
        <v>122</v>
      </c>
      <c r="CHN108" s="1" t="s">
        <v>122</v>
      </c>
      <c r="CHO108" s="1" t="s">
        <v>122</v>
      </c>
      <c r="CHP108" s="1" t="s">
        <v>122</v>
      </c>
      <c r="CHQ108" s="1" t="s">
        <v>122</v>
      </c>
      <c r="CHR108" s="1" t="s">
        <v>122</v>
      </c>
      <c r="CHS108" s="1" t="s">
        <v>122</v>
      </c>
      <c r="CHT108" s="1" t="s">
        <v>122</v>
      </c>
      <c r="CHU108" s="1" t="s">
        <v>122</v>
      </c>
      <c r="CHV108" s="1" t="s">
        <v>122</v>
      </c>
      <c r="CHW108" s="1" t="s">
        <v>122</v>
      </c>
      <c r="CHX108" s="1" t="s">
        <v>122</v>
      </c>
      <c r="CHY108" s="1" t="s">
        <v>122</v>
      </c>
      <c r="CHZ108" s="1" t="s">
        <v>122</v>
      </c>
      <c r="CIA108" s="1" t="s">
        <v>122</v>
      </c>
      <c r="CIB108" s="1" t="s">
        <v>122</v>
      </c>
      <c r="CIC108" s="1" t="s">
        <v>122</v>
      </c>
      <c r="CID108" s="1" t="s">
        <v>122</v>
      </c>
      <c r="CIE108" s="1" t="s">
        <v>122</v>
      </c>
      <c r="CIF108" s="1" t="s">
        <v>122</v>
      </c>
      <c r="CIG108" s="1" t="s">
        <v>122</v>
      </c>
      <c r="CIH108" s="1" t="s">
        <v>122</v>
      </c>
      <c r="CII108" s="1" t="s">
        <v>122</v>
      </c>
      <c r="CIJ108" s="1" t="s">
        <v>122</v>
      </c>
      <c r="CIK108" s="1" t="s">
        <v>122</v>
      </c>
      <c r="CIL108" s="1" t="s">
        <v>122</v>
      </c>
      <c r="CIM108" s="1" t="s">
        <v>122</v>
      </c>
      <c r="CIN108" s="1" t="s">
        <v>122</v>
      </c>
      <c r="CIO108" s="1" t="s">
        <v>122</v>
      </c>
      <c r="CIP108" s="1" t="s">
        <v>122</v>
      </c>
      <c r="CIQ108" s="1" t="s">
        <v>122</v>
      </c>
      <c r="CIR108" s="1" t="s">
        <v>122</v>
      </c>
      <c r="CIS108" s="1" t="s">
        <v>122</v>
      </c>
      <c r="CIT108" s="1" t="s">
        <v>122</v>
      </c>
      <c r="CIU108" s="1" t="s">
        <v>122</v>
      </c>
      <c r="CIV108" s="1" t="s">
        <v>122</v>
      </c>
      <c r="CIW108" s="1" t="s">
        <v>122</v>
      </c>
      <c r="CIX108" s="1" t="s">
        <v>122</v>
      </c>
      <c r="CIY108" s="1" t="s">
        <v>122</v>
      </c>
      <c r="CIZ108" s="1" t="s">
        <v>122</v>
      </c>
      <c r="CJA108" s="1" t="s">
        <v>122</v>
      </c>
      <c r="CJB108" s="1" t="s">
        <v>122</v>
      </c>
      <c r="CJC108" s="1" t="s">
        <v>122</v>
      </c>
      <c r="CJD108" s="1" t="s">
        <v>122</v>
      </c>
      <c r="CJE108" s="1" t="s">
        <v>122</v>
      </c>
      <c r="CJF108" s="1" t="s">
        <v>122</v>
      </c>
      <c r="CJG108" s="1" t="s">
        <v>122</v>
      </c>
      <c r="CJH108" s="1" t="s">
        <v>122</v>
      </c>
      <c r="CJI108" s="1" t="s">
        <v>122</v>
      </c>
      <c r="CJJ108" s="1" t="s">
        <v>122</v>
      </c>
      <c r="CJK108" s="1" t="s">
        <v>122</v>
      </c>
      <c r="CJL108" s="1" t="s">
        <v>122</v>
      </c>
      <c r="CJM108" s="1" t="s">
        <v>122</v>
      </c>
      <c r="CJN108" s="1" t="s">
        <v>122</v>
      </c>
      <c r="CJO108" s="1" t="s">
        <v>122</v>
      </c>
      <c r="CJP108" s="1" t="s">
        <v>122</v>
      </c>
      <c r="CJQ108" s="1" t="s">
        <v>122</v>
      </c>
      <c r="CJR108" s="1" t="s">
        <v>122</v>
      </c>
      <c r="CJS108" s="1" t="s">
        <v>122</v>
      </c>
      <c r="CJT108" s="1" t="s">
        <v>122</v>
      </c>
      <c r="CJU108" s="1" t="s">
        <v>122</v>
      </c>
      <c r="CJV108" s="1" t="s">
        <v>122</v>
      </c>
      <c r="CJW108" s="1" t="s">
        <v>122</v>
      </c>
      <c r="CJX108" s="1" t="s">
        <v>122</v>
      </c>
      <c r="CJY108" s="1" t="s">
        <v>122</v>
      </c>
      <c r="CJZ108" s="1" t="s">
        <v>122</v>
      </c>
      <c r="CKA108" s="1" t="s">
        <v>122</v>
      </c>
      <c r="CKB108" s="1" t="s">
        <v>122</v>
      </c>
      <c r="CKC108" s="1" t="s">
        <v>122</v>
      </c>
      <c r="CKD108" s="1" t="s">
        <v>122</v>
      </c>
      <c r="CKE108" s="1" t="s">
        <v>122</v>
      </c>
      <c r="CKF108" s="1" t="s">
        <v>122</v>
      </c>
      <c r="CKG108" s="1" t="s">
        <v>122</v>
      </c>
      <c r="CKH108" s="1" t="s">
        <v>122</v>
      </c>
      <c r="CKI108" s="1" t="s">
        <v>122</v>
      </c>
      <c r="CKJ108" s="1" t="s">
        <v>122</v>
      </c>
      <c r="CKK108" s="1" t="s">
        <v>122</v>
      </c>
      <c r="CKL108" s="1" t="s">
        <v>122</v>
      </c>
      <c r="CKM108" s="1" t="s">
        <v>122</v>
      </c>
      <c r="CKN108" s="1" t="s">
        <v>122</v>
      </c>
      <c r="CKO108" s="1" t="s">
        <v>122</v>
      </c>
      <c r="CKP108" s="1" t="s">
        <v>122</v>
      </c>
      <c r="CKQ108" s="1" t="s">
        <v>122</v>
      </c>
      <c r="CKR108" s="1" t="s">
        <v>122</v>
      </c>
      <c r="CKS108" s="1" t="s">
        <v>122</v>
      </c>
      <c r="CKT108" s="1" t="s">
        <v>122</v>
      </c>
      <c r="CKU108" s="1" t="s">
        <v>122</v>
      </c>
      <c r="CKV108" s="1" t="s">
        <v>122</v>
      </c>
      <c r="CKW108" s="1" t="s">
        <v>122</v>
      </c>
      <c r="CKX108" s="1" t="s">
        <v>122</v>
      </c>
      <c r="CKY108" s="1" t="s">
        <v>122</v>
      </c>
      <c r="CKZ108" s="1" t="s">
        <v>122</v>
      </c>
      <c r="CLA108" s="1" t="s">
        <v>122</v>
      </c>
      <c r="CLB108" s="1" t="s">
        <v>122</v>
      </c>
      <c r="CLC108" s="1" t="s">
        <v>122</v>
      </c>
      <c r="CLD108" s="1" t="s">
        <v>122</v>
      </c>
      <c r="CLE108" s="1" t="s">
        <v>122</v>
      </c>
      <c r="CLF108" s="1" t="s">
        <v>122</v>
      </c>
      <c r="CLG108" s="1" t="s">
        <v>122</v>
      </c>
      <c r="CLH108" s="1" t="s">
        <v>122</v>
      </c>
      <c r="CLI108" s="1" t="s">
        <v>122</v>
      </c>
      <c r="CLJ108" s="1" t="s">
        <v>122</v>
      </c>
      <c r="CLK108" s="1" t="s">
        <v>122</v>
      </c>
      <c r="CLL108" s="1" t="s">
        <v>122</v>
      </c>
      <c r="CLM108" s="1" t="s">
        <v>122</v>
      </c>
      <c r="CLN108" s="1" t="s">
        <v>122</v>
      </c>
      <c r="CLO108" s="1" t="s">
        <v>122</v>
      </c>
      <c r="CLP108" s="1" t="s">
        <v>122</v>
      </c>
      <c r="CLQ108" s="1" t="s">
        <v>122</v>
      </c>
      <c r="CLR108" s="1" t="s">
        <v>122</v>
      </c>
      <c r="CLS108" s="1" t="s">
        <v>122</v>
      </c>
      <c r="CLT108" s="1" t="s">
        <v>122</v>
      </c>
      <c r="CLU108" s="1" t="s">
        <v>122</v>
      </c>
      <c r="CLV108" s="1" t="s">
        <v>122</v>
      </c>
      <c r="CLW108" s="1" t="s">
        <v>122</v>
      </c>
      <c r="CLX108" s="1" t="s">
        <v>122</v>
      </c>
      <c r="CLY108" s="1" t="s">
        <v>122</v>
      </c>
      <c r="CLZ108" s="1" t="s">
        <v>122</v>
      </c>
      <c r="CMA108" s="1" t="s">
        <v>122</v>
      </c>
      <c r="CMB108" s="1" t="s">
        <v>122</v>
      </c>
      <c r="CMC108" s="1" t="s">
        <v>122</v>
      </c>
      <c r="CMD108" s="1" t="s">
        <v>122</v>
      </c>
      <c r="CME108" s="1" t="s">
        <v>122</v>
      </c>
      <c r="CMF108" s="1" t="s">
        <v>122</v>
      </c>
      <c r="CMG108" s="1" t="s">
        <v>122</v>
      </c>
      <c r="CMH108" s="1" t="s">
        <v>122</v>
      </c>
      <c r="CMI108" s="1" t="s">
        <v>122</v>
      </c>
      <c r="CMJ108" s="1" t="s">
        <v>122</v>
      </c>
      <c r="CMK108" s="1" t="s">
        <v>122</v>
      </c>
      <c r="CML108" s="1" t="s">
        <v>122</v>
      </c>
      <c r="CMM108" s="1" t="s">
        <v>122</v>
      </c>
      <c r="CMN108" s="1" t="s">
        <v>122</v>
      </c>
      <c r="CMO108" s="1" t="s">
        <v>122</v>
      </c>
      <c r="CMP108" s="1" t="s">
        <v>122</v>
      </c>
      <c r="CMQ108" s="1" t="s">
        <v>122</v>
      </c>
      <c r="CMR108" s="1" t="s">
        <v>122</v>
      </c>
      <c r="CMS108" s="1" t="s">
        <v>122</v>
      </c>
      <c r="CMT108" s="1" t="s">
        <v>122</v>
      </c>
      <c r="CMU108" s="1" t="s">
        <v>122</v>
      </c>
      <c r="CMV108" s="1" t="s">
        <v>122</v>
      </c>
      <c r="CMW108" s="1" t="s">
        <v>122</v>
      </c>
      <c r="CMX108" s="1" t="s">
        <v>122</v>
      </c>
      <c r="CMY108" s="1" t="s">
        <v>122</v>
      </c>
      <c r="CMZ108" s="1" t="s">
        <v>122</v>
      </c>
      <c r="CNA108" s="1" t="s">
        <v>122</v>
      </c>
      <c r="CNB108" s="1" t="s">
        <v>122</v>
      </c>
      <c r="CNC108" s="1" t="s">
        <v>122</v>
      </c>
      <c r="CND108" s="1" t="s">
        <v>122</v>
      </c>
      <c r="CNE108" s="1" t="s">
        <v>122</v>
      </c>
      <c r="CNF108" s="1" t="s">
        <v>122</v>
      </c>
      <c r="CNG108" s="1" t="s">
        <v>122</v>
      </c>
      <c r="CNH108" s="1" t="s">
        <v>122</v>
      </c>
      <c r="CNI108" s="1" t="s">
        <v>122</v>
      </c>
      <c r="CNJ108" s="1" t="s">
        <v>122</v>
      </c>
      <c r="CNK108" s="1" t="s">
        <v>122</v>
      </c>
      <c r="CNL108" s="1" t="s">
        <v>122</v>
      </c>
      <c r="CNM108" s="1" t="s">
        <v>122</v>
      </c>
      <c r="CNN108" s="1" t="s">
        <v>122</v>
      </c>
      <c r="CNO108" s="1" t="s">
        <v>122</v>
      </c>
      <c r="CNP108" s="1" t="s">
        <v>122</v>
      </c>
      <c r="CNQ108" s="1" t="s">
        <v>122</v>
      </c>
      <c r="CNR108" s="1" t="s">
        <v>122</v>
      </c>
      <c r="CNS108" s="1" t="s">
        <v>122</v>
      </c>
      <c r="CNT108" s="1" t="s">
        <v>122</v>
      </c>
      <c r="CNU108" s="1" t="s">
        <v>122</v>
      </c>
      <c r="CNV108" s="1" t="s">
        <v>122</v>
      </c>
      <c r="CNW108" s="1" t="s">
        <v>122</v>
      </c>
      <c r="CNX108" s="1" t="s">
        <v>122</v>
      </c>
      <c r="CNY108" s="1" t="s">
        <v>122</v>
      </c>
      <c r="CNZ108" s="1" t="s">
        <v>122</v>
      </c>
      <c r="COA108" s="1" t="s">
        <v>122</v>
      </c>
      <c r="COB108" s="1" t="s">
        <v>122</v>
      </c>
      <c r="COC108" s="1" t="s">
        <v>122</v>
      </c>
      <c r="COD108" s="1" t="s">
        <v>122</v>
      </c>
      <c r="COE108" s="1" t="s">
        <v>122</v>
      </c>
      <c r="COF108" s="1" t="s">
        <v>122</v>
      </c>
      <c r="COG108" s="1" t="s">
        <v>122</v>
      </c>
      <c r="COH108" s="1" t="s">
        <v>122</v>
      </c>
      <c r="COI108" s="1" t="s">
        <v>122</v>
      </c>
      <c r="COJ108" s="1" t="s">
        <v>122</v>
      </c>
      <c r="COK108" s="1" t="s">
        <v>122</v>
      </c>
      <c r="COL108" s="1" t="s">
        <v>122</v>
      </c>
      <c r="COM108" s="1" t="s">
        <v>122</v>
      </c>
      <c r="CON108" s="1" t="s">
        <v>122</v>
      </c>
      <c r="COO108" s="1" t="s">
        <v>122</v>
      </c>
      <c r="COP108" s="1" t="s">
        <v>122</v>
      </c>
      <c r="COQ108" s="1" t="s">
        <v>122</v>
      </c>
      <c r="COR108" s="1" t="s">
        <v>122</v>
      </c>
      <c r="COS108" s="1" t="s">
        <v>122</v>
      </c>
      <c r="COT108" s="1" t="s">
        <v>122</v>
      </c>
      <c r="COU108" s="1" t="s">
        <v>122</v>
      </c>
      <c r="COV108" s="1" t="s">
        <v>122</v>
      </c>
      <c r="COW108" s="1" t="s">
        <v>122</v>
      </c>
      <c r="COX108" s="1" t="s">
        <v>122</v>
      </c>
      <c r="COY108" s="1" t="s">
        <v>122</v>
      </c>
      <c r="COZ108" s="1" t="s">
        <v>122</v>
      </c>
      <c r="CPA108" s="1" t="s">
        <v>122</v>
      </c>
      <c r="CPB108" s="1" t="s">
        <v>122</v>
      </c>
      <c r="CPC108" s="1" t="s">
        <v>122</v>
      </c>
      <c r="CPD108" s="1" t="s">
        <v>122</v>
      </c>
      <c r="CPE108" s="1" t="s">
        <v>122</v>
      </c>
      <c r="CPF108" s="1" t="s">
        <v>122</v>
      </c>
      <c r="CPG108" s="1" t="s">
        <v>122</v>
      </c>
      <c r="CPH108" s="1" t="s">
        <v>122</v>
      </c>
      <c r="CPI108" s="1" t="s">
        <v>122</v>
      </c>
      <c r="CPJ108" s="1" t="s">
        <v>122</v>
      </c>
      <c r="CPK108" s="1" t="s">
        <v>122</v>
      </c>
      <c r="CPL108" s="1" t="s">
        <v>122</v>
      </c>
      <c r="CPM108" s="1" t="s">
        <v>122</v>
      </c>
      <c r="CPN108" s="1" t="s">
        <v>122</v>
      </c>
      <c r="CPO108" s="1" t="s">
        <v>122</v>
      </c>
      <c r="CPP108" s="1" t="s">
        <v>122</v>
      </c>
      <c r="CPQ108" s="1" t="s">
        <v>122</v>
      </c>
      <c r="CPR108" s="1" t="s">
        <v>122</v>
      </c>
      <c r="CPS108" s="1" t="s">
        <v>122</v>
      </c>
      <c r="CPT108" s="1" t="s">
        <v>122</v>
      </c>
      <c r="CPU108" s="1" t="s">
        <v>122</v>
      </c>
      <c r="CPV108" s="1" t="s">
        <v>122</v>
      </c>
      <c r="CPW108" s="1" t="s">
        <v>122</v>
      </c>
      <c r="CPX108" s="1" t="s">
        <v>122</v>
      </c>
      <c r="CPY108" s="1" t="s">
        <v>122</v>
      </c>
      <c r="CPZ108" s="1" t="s">
        <v>122</v>
      </c>
      <c r="CQA108" s="1" t="s">
        <v>122</v>
      </c>
      <c r="CQB108" s="1" t="s">
        <v>122</v>
      </c>
      <c r="CQC108" s="1" t="s">
        <v>122</v>
      </c>
      <c r="CQD108" s="1" t="s">
        <v>122</v>
      </c>
      <c r="CQE108" s="1" t="s">
        <v>122</v>
      </c>
      <c r="CQF108" s="1" t="s">
        <v>122</v>
      </c>
      <c r="CQG108" s="1" t="s">
        <v>122</v>
      </c>
      <c r="CQH108" s="1" t="s">
        <v>122</v>
      </c>
      <c r="CQI108" s="1" t="s">
        <v>122</v>
      </c>
      <c r="CQJ108" s="1" t="s">
        <v>122</v>
      </c>
      <c r="CQK108" s="1" t="s">
        <v>122</v>
      </c>
      <c r="CQL108" s="1" t="s">
        <v>122</v>
      </c>
      <c r="CQM108" s="1" t="s">
        <v>122</v>
      </c>
      <c r="CQN108" s="1" t="s">
        <v>122</v>
      </c>
      <c r="CQO108" s="1" t="s">
        <v>122</v>
      </c>
      <c r="CQP108" s="1" t="s">
        <v>122</v>
      </c>
      <c r="CQQ108" s="1" t="s">
        <v>122</v>
      </c>
      <c r="CQR108" s="1" t="s">
        <v>122</v>
      </c>
      <c r="CQS108" s="1" t="s">
        <v>122</v>
      </c>
      <c r="CQT108" s="1" t="s">
        <v>122</v>
      </c>
      <c r="CQU108" s="1" t="s">
        <v>122</v>
      </c>
      <c r="CQV108" s="1" t="s">
        <v>122</v>
      </c>
      <c r="CQW108" s="1" t="s">
        <v>122</v>
      </c>
      <c r="CQX108" s="1" t="s">
        <v>122</v>
      </c>
      <c r="CQY108" s="1" t="s">
        <v>122</v>
      </c>
      <c r="CQZ108" s="1" t="s">
        <v>122</v>
      </c>
      <c r="CRA108" s="1" t="s">
        <v>122</v>
      </c>
      <c r="CRB108" s="1" t="s">
        <v>122</v>
      </c>
      <c r="CRC108" s="1" t="s">
        <v>122</v>
      </c>
      <c r="CRD108" s="1" t="s">
        <v>122</v>
      </c>
      <c r="CRE108" s="1" t="s">
        <v>122</v>
      </c>
      <c r="CRF108" s="1" t="s">
        <v>122</v>
      </c>
      <c r="CRG108" s="1" t="s">
        <v>122</v>
      </c>
      <c r="CRH108" s="1" t="s">
        <v>122</v>
      </c>
      <c r="CRI108" s="1" t="s">
        <v>122</v>
      </c>
      <c r="CRJ108" s="1" t="s">
        <v>122</v>
      </c>
      <c r="CRK108" s="1" t="s">
        <v>122</v>
      </c>
      <c r="CRL108" s="1" t="s">
        <v>122</v>
      </c>
      <c r="CRM108" s="1" t="s">
        <v>122</v>
      </c>
      <c r="CRN108" s="1" t="s">
        <v>122</v>
      </c>
      <c r="CRO108" s="1" t="s">
        <v>122</v>
      </c>
      <c r="CRP108" s="1" t="s">
        <v>122</v>
      </c>
      <c r="CRQ108" s="1" t="s">
        <v>122</v>
      </c>
      <c r="CRR108" s="1" t="s">
        <v>122</v>
      </c>
      <c r="CRS108" s="1" t="s">
        <v>122</v>
      </c>
      <c r="CRT108" s="1" t="s">
        <v>122</v>
      </c>
      <c r="CRU108" s="1" t="s">
        <v>122</v>
      </c>
      <c r="CRV108" s="1" t="s">
        <v>122</v>
      </c>
      <c r="CRW108" s="1" t="s">
        <v>122</v>
      </c>
      <c r="CRX108" s="1" t="s">
        <v>122</v>
      </c>
      <c r="CRY108" s="1" t="s">
        <v>122</v>
      </c>
      <c r="CRZ108" s="1" t="s">
        <v>122</v>
      </c>
      <c r="CSA108" s="1" t="s">
        <v>122</v>
      </c>
      <c r="CSB108" s="1" t="s">
        <v>122</v>
      </c>
      <c r="CSC108" s="1" t="s">
        <v>122</v>
      </c>
      <c r="CSD108" s="1" t="s">
        <v>122</v>
      </c>
      <c r="CSE108" s="1" t="s">
        <v>122</v>
      </c>
      <c r="CSF108" s="1" t="s">
        <v>122</v>
      </c>
      <c r="CSG108" s="1" t="s">
        <v>122</v>
      </c>
      <c r="CSH108" s="1" t="s">
        <v>122</v>
      </c>
      <c r="CSI108" s="1" t="s">
        <v>122</v>
      </c>
      <c r="CSJ108" s="1" t="s">
        <v>122</v>
      </c>
      <c r="CSK108" s="1" t="s">
        <v>122</v>
      </c>
      <c r="CSL108" s="1" t="s">
        <v>122</v>
      </c>
      <c r="CSM108" s="1" t="s">
        <v>122</v>
      </c>
      <c r="CSN108" s="1" t="s">
        <v>122</v>
      </c>
      <c r="CSO108" s="1" t="s">
        <v>122</v>
      </c>
      <c r="CSP108" s="1" t="s">
        <v>122</v>
      </c>
      <c r="CSQ108" s="1" t="s">
        <v>122</v>
      </c>
      <c r="CSR108" s="1" t="s">
        <v>122</v>
      </c>
      <c r="CSS108" s="1" t="s">
        <v>122</v>
      </c>
      <c r="CST108" s="1" t="s">
        <v>122</v>
      </c>
      <c r="CSU108" s="1" t="s">
        <v>122</v>
      </c>
      <c r="CSV108" s="1" t="s">
        <v>122</v>
      </c>
      <c r="CSW108" s="1" t="s">
        <v>122</v>
      </c>
      <c r="CSX108" s="1" t="s">
        <v>122</v>
      </c>
      <c r="CSY108" s="1" t="s">
        <v>122</v>
      </c>
      <c r="CSZ108" s="1" t="s">
        <v>122</v>
      </c>
      <c r="CTA108" s="1" t="s">
        <v>122</v>
      </c>
      <c r="CTB108" s="1" t="s">
        <v>122</v>
      </c>
      <c r="CTC108" s="1" t="s">
        <v>122</v>
      </c>
      <c r="CTD108" s="1" t="s">
        <v>122</v>
      </c>
      <c r="CTE108" s="1" t="s">
        <v>122</v>
      </c>
      <c r="CTF108" s="1" t="s">
        <v>122</v>
      </c>
      <c r="CTG108" s="1" t="s">
        <v>122</v>
      </c>
      <c r="CTH108" s="1" t="s">
        <v>122</v>
      </c>
      <c r="CTI108" s="1" t="s">
        <v>122</v>
      </c>
      <c r="CTJ108" s="1" t="s">
        <v>122</v>
      </c>
      <c r="CTK108" s="1" t="s">
        <v>122</v>
      </c>
      <c r="CTL108" s="1" t="s">
        <v>122</v>
      </c>
      <c r="CTM108" s="1" t="s">
        <v>122</v>
      </c>
      <c r="CTN108" s="1" t="s">
        <v>122</v>
      </c>
      <c r="CTO108" s="1" t="s">
        <v>122</v>
      </c>
      <c r="CTP108" s="1" t="s">
        <v>122</v>
      </c>
      <c r="CTQ108" s="1" t="s">
        <v>122</v>
      </c>
      <c r="CTR108" s="1" t="s">
        <v>122</v>
      </c>
      <c r="CTS108" s="1" t="s">
        <v>122</v>
      </c>
      <c r="CTT108" s="1" t="s">
        <v>122</v>
      </c>
      <c r="CTU108" s="1" t="s">
        <v>122</v>
      </c>
      <c r="CTV108" s="1" t="s">
        <v>122</v>
      </c>
      <c r="CTW108" s="1" t="s">
        <v>122</v>
      </c>
      <c r="CTX108" s="1" t="s">
        <v>122</v>
      </c>
      <c r="CTY108" s="1" t="s">
        <v>122</v>
      </c>
      <c r="CTZ108" s="1" t="s">
        <v>122</v>
      </c>
      <c r="CUA108" s="1" t="s">
        <v>122</v>
      </c>
      <c r="CUB108" s="1" t="s">
        <v>122</v>
      </c>
      <c r="CUC108" s="1" t="s">
        <v>122</v>
      </c>
      <c r="CUD108" s="1" t="s">
        <v>122</v>
      </c>
      <c r="CUE108" s="1" t="s">
        <v>122</v>
      </c>
      <c r="CUF108" s="1" t="s">
        <v>122</v>
      </c>
      <c r="CUG108" s="1" t="s">
        <v>122</v>
      </c>
      <c r="CUH108" s="1" t="s">
        <v>122</v>
      </c>
      <c r="CUI108" s="1" t="s">
        <v>122</v>
      </c>
      <c r="CUJ108" s="1" t="s">
        <v>122</v>
      </c>
      <c r="CUK108" s="1" t="s">
        <v>122</v>
      </c>
      <c r="CUL108" s="1" t="s">
        <v>122</v>
      </c>
      <c r="CUM108" s="1" t="s">
        <v>122</v>
      </c>
      <c r="CUN108" s="1" t="s">
        <v>122</v>
      </c>
      <c r="CUO108" s="1" t="s">
        <v>122</v>
      </c>
      <c r="CUP108" s="1" t="s">
        <v>122</v>
      </c>
      <c r="CUQ108" s="1" t="s">
        <v>122</v>
      </c>
      <c r="CUR108" s="1" t="s">
        <v>122</v>
      </c>
      <c r="CUS108" s="1" t="s">
        <v>122</v>
      </c>
      <c r="CUT108" s="1" t="s">
        <v>122</v>
      </c>
      <c r="CUU108" s="1" t="s">
        <v>122</v>
      </c>
      <c r="CUV108" s="1" t="s">
        <v>122</v>
      </c>
      <c r="CUW108" s="1" t="s">
        <v>122</v>
      </c>
      <c r="CUX108" s="1" t="s">
        <v>122</v>
      </c>
      <c r="CUY108" s="1" t="s">
        <v>122</v>
      </c>
      <c r="CUZ108" s="1" t="s">
        <v>122</v>
      </c>
      <c r="CVA108" s="1" t="s">
        <v>122</v>
      </c>
      <c r="CVB108" s="1" t="s">
        <v>122</v>
      </c>
      <c r="CVC108" s="1" t="s">
        <v>122</v>
      </c>
      <c r="CVD108" s="1" t="s">
        <v>122</v>
      </c>
      <c r="CVE108" s="1" t="s">
        <v>122</v>
      </c>
      <c r="CVF108" s="1" t="s">
        <v>122</v>
      </c>
      <c r="CVG108" s="1" t="s">
        <v>122</v>
      </c>
      <c r="CVH108" s="1" t="s">
        <v>122</v>
      </c>
      <c r="CVI108" s="1" t="s">
        <v>122</v>
      </c>
      <c r="CVJ108" s="1" t="s">
        <v>122</v>
      </c>
      <c r="CVK108" s="1" t="s">
        <v>122</v>
      </c>
      <c r="CVL108" s="1" t="s">
        <v>122</v>
      </c>
      <c r="CVM108" s="1" t="s">
        <v>122</v>
      </c>
      <c r="CVN108" s="1" t="s">
        <v>122</v>
      </c>
      <c r="CVO108" s="1" t="s">
        <v>122</v>
      </c>
      <c r="CVP108" s="1" t="s">
        <v>122</v>
      </c>
      <c r="CVQ108" s="1" t="s">
        <v>122</v>
      </c>
      <c r="CVR108" s="1" t="s">
        <v>122</v>
      </c>
      <c r="CVS108" s="1" t="s">
        <v>122</v>
      </c>
      <c r="CVT108" s="1" t="s">
        <v>122</v>
      </c>
      <c r="CVU108" s="1" t="s">
        <v>122</v>
      </c>
      <c r="CVV108" s="1" t="s">
        <v>122</v>
      </c>
      <c r="CVW108" s="1" t="s">
        <v>122</v>
      </c>
      <c r="CVX108" s="1" t="s">
        <v>122</v>
      </c>
      <c r="CVY108" s="1" t="s">
        <v>122</v>
      </c>
      <c r="CVZ108" s="1" t="s">
        <v>122</v>
      </c>
      <c r="CWA108" s="1" t="s">
        <v>122</v>
      </c>
      <c r="CWB108" s="1" t="s">
        <v>122</v>
      </c>
      <c r="CWC108" s="1" t="s">
        <v>122</v>
      </c>
      <c r="CWD108" s="1" t="s">
        <v>122</v>
      </c>
      <c r="CWE108" s="1" t="s">
        <v>122</v>
      </c>
      <c r="CWF108" s="1" t="s">
        <v>122</v>
      </c>
      <c r="CWG108" s="1" t="s">
        <v>122</v>
      </c>
      <c r="CWH108" s="1" t="s">
        <v>122</v>
      </c>
      <c r="CWI108" s="1" t="s">
        <v>122</v>
      </c>
      <c r="CWJ108" s="1" t="s">
        <v>122</v>
      </c>
      <c r="CWK108" s="1" t="s">
        <v>122</v>
      </c>
      <c r="CWL108" s="1" t="s">
        <v>122</v>
      </c>
      <c r="CWM108" s="1" t="s">
        <v>122</v>
      </c>
      <c r="CWN108" s="1" t="s">
        <v>122</v>
      </c>
      <c r="CWO108" s="1" t="s">
        <v>122</v>
      </c>
      <c r="CWP108" s="1" t="s">
        <v>122</v>
      </c>
      <c r="CWQ108" s="1" t="s">
        <v>122</v>
      </c>
      <c r="CWR108" s="1" t="s">
        <v>122</v>
      </c>
      <c r="CWS108" s="1" t="s">
        <v>122</v>
      </c>
      <c r="CWT108" s="1" t="s">
        <v>122</v>
      </c>
      <c r="CWU108" s="1" t="s">
        <v>122</v>
      </c>
      <c r="CWV108" s="1" t="s">
        <v>122</v>
      </c>
      <c r="CWW108" s="1" t="s">
        <v>122</v>
      </c>
      <c r="CWX108" s="1" t="s">
        <v>122</v>
      </c>
      <c r="CWY108" s="1" t="s">
        <v>122</v>
      </c>
      <c r="CWZ108" s="1" t="s">
        <v>122</v>
      </c>
      <c r="CXA108" s="1" t="s">
        <v>122</v>
      </c>
      <c r="CXB108" s="1" t="s">
        <v>122</v>
      </c>
      <c r="CXC108" s="1" t="s">
        <v>122</v>
      </c>
      <c r="CXD108" s="1" t="s">
        <v>122</v>
      </c>
      <c r="CXE108" s="1" t="s">
        <v>122</v>
      </c>
      <c r="CXF108" s="1" t="s">
        <v>122</v>
      </c>
      <c r="CXG108" s="1" t="s">
        <v>122</v>
      </c>
      <c r="CXH108" s="1" t="s">
        <v>122</v>
      </c>
      <c r="CXI108" s="1" t="s">
        <v>122</v>
      </c>
      <c r="CXJ108" s="1" t="s">
        <v>122</v>
      </c>
      <c r="CXK108" s="1" t="s">
        <v>122</v>
      </c>
      <c r="CXL108" s="1" t="s">
        <v>122</v>
      </c>
      <c r="CXM108" s="1" t="s">
        <v>122</v>
      </c>
      <c r="CXN108" s="1" t="s">
        <v>122</v>
      </c>
      <c r="CXO108" s="1" t="s">
        <v>122</v>
      </c>
      <c r="CXP108" s="1" t="s">
        <v>122</v>
      </c>
      <c r="CXQ108" s="1" t="s">
        <v>122</v>
      </c>
      <c r="CXR108" s="1" t="s">
        <v>122</v>
      </c>
      <c r="CXS108" s="1" t="s">
        <v>122</v>
      </c>
      <c r="CXT108" s="1" t="s">
        <v>122</v>
      </c>
      <c r="CXU108" s="1" t="s">
        <v>122</v>
      </c>
      <c r="CXV108" s="1" t="s">
        <v>122</v>
      </c>
      <c r="CXW108" s="1" t="s">
        <v>122</v>
      </c>
      <c r="CXX108" s="1" t="s">
        <v>122</v>
      </c>
      <c r="CXY108" s="1" t="s">
        <v>122</v>
      </c>
      <c r="CXZ108" s="1" t="s">
        <v>122</v>
      </c>
      <c r="CYA108" s="1" t="s">
        <v>122</v>
      </c>
      <c r="CYB108" s="1" t="s">
        <v>122</v>
      </c>
      <c r="CYC108" s="1" t="s">
        <v>122</v>
      </c>
      <c r="CYD108" s="1" t="s">
        <v>122</v>
      </c>
      <c r="CYE108" s="1" t="s">
        <v>122</v>
      </c>
      <c r="CYF108" s="1" t="s">
        <v>122</v>
      </c>
      <c r="CYG108" s="1" t="s">
        <v>122</v>
      </c>
      <c r="CYH108" s="1" t="s">
        <v>122</v>
      </c>
      <c r="CYI108" s="1" t="s">
        <v>122</v>
      </c>
      <c r="CYJ108" s="1" t="s">
        <v>122</v>
      </c>
      <c r="CYK108" s="1" t="s">
        <v>122</v>
      </c>
      <c r="CYL108" s="1" t="s">
        <v>122</v>
      </c>
      <c r="CYM108" s="1" t="s">
        <v>122</v>
      </c>
      <c r="CYN108" s="1" t="s">
        <v>122</v>
      </c>
      <c r="CYO108" s="1" t="s">
        <v>122</v>
      </c>
      <c r="CYP108" s="1" t="s">
        <v>122</v>
      </c>
      <c r="CYQ108" s="1" t="s">
        <v>122</v>
      </c>
      <c r="CYR108" s="1" t="s">
        <v>122</v>
      </c>
      <c r="CYS108" s="1" t="s">
        <v>122</v>
      </c>
      <c r="CYT108" s="1" t="s">
        <v>122</v>
      </c>
      <c r="CYU108" s="1" t="s">
        <v>122</v>
      </c>
      <c r="CYV108" s="1" t="s">
        <v>122</v>
      </c>
      <c r="CYW108" s="1" t="s">
        <v>122</v>
      </c>
      <c r="CYX108" s="1" t="s">
        <v>122</v>
      </c>
      <c r="CYY108" s="1" t="s">
        <v>122</v>
      </c>
      <c r="CYZ108" s="1" t="s">
        <v>122</v>
      </c>
      <c r="CZA108" s="1" t="s">
        <v>122</v>
      </c>
      <c r="CZB108" s="1" t="s">
        <v>122</v>
      </c>
      <c r="CZC108" s="1" t="s">
        <v>122</v>
      </c>
      <c r="CZD108" s="1" t="s">
        <v>122</v>
      </c>
      <c r="CZE108" s="1" t="s">
        <v>122</v>
      </c>
      <c r="CZF108" s="1" t="s">
        <v>122</v>
      </c>
      <c r="CZG108" s="1" t="s">
        <v>122</v>
      </c>
      <c r="CZH108" s="1" t="s">
        <v>122</v>
      </c>
      <c r="CZI108" s="1" t="s">
        <v>122</v>
      </c>
      <c r="CZJ108" s="1" t="s">
        <v>122</v>
      </c>
      <c r="CZK108" s="1" t="s">
        <v>122</v>
      </c>
      <c r="CZL108" s="1" t="s">
        <v>122</v>
      </c>
      <c r="CZM108" s="1" t="s">
        <v>122</v>
      </c>
      <c r="CZN108" s="1" t="s">
        <v>122</v>
      </c>
      <c r="CZO108" s="1" t="s">
        <v>122</v>
      </c>
      <c r="CZP108" s="1" t="s">
        <v>122</v>
      </c>
      <c r="CZQ108" s="1" t="s">
        <v>122</v>
      </c>
      <c r="CZR108" s="1" t="s">
        <v>122</v>
      </c>
      <c r="CZS108" s="1" t="s">
        <v>122</v>
      </c>
      <c r="CZT108" s="1" t="s">
        <v>122</v>
      </c>
      <c r="CZU108" s="1" t="s">
        <v>122</v>
      </c>
      <c r="CZV108" s="1" t="s">
        <v>122</v>
      </c>
      <c r="CZW108" s="1" t="s">
        <v>122</v>
      </c>
      <c r="CZX108" s="1" t="s">
        <v>122</v>
      </c>
      <c r="CZY108" s="1" t="s">
        <v>122</v>
      </c>
      <c r="CZZ108" s="1" t="s">
        <v>122</v>
      </c>
      <c r="DAA108" s="1" t="s">
        <v>122</v>
      </c>
      <c r="DAB108" s="1" t="s">
        <v>122</v>
      </c>
      <c r="DAC108" s="1" t="s">
        <v>122</v>
      </c>
      <c r="DAD108" s="1" t="s">
        <v>122</v>
      </c>
      <c r="DAE108" s="1" t="s">
        <v>122</v>
      </c>
      <c r="DAF108" s="1" t="s">
        <v>122</v>
      </c>
      <c r="DAG108" s="1" t="s">
        <v>122</v>
      </c>
      <c r="DAH108" s="1" t="s">
        <v>122</v>
      </c>
      <c r="DAI108" s="1" t="s">
        <v>122</v>
      </c>
      <c r="DAJ108" s="1" t="s">
        <v>122</v>
      </c>
      <c r="DAK108" s="1" t="s">
        <v>122</v>
      </c>
      <c r="DAL108" s="1" t="s">
        <v>122</v>
      </c>
      <c r="DAM108" s="1" t="s">
        <v>122</v>
      </c>
      <c r="DAN108" s="1" t="s">
        <v>122</v>
      </c>
      <c r="DAO108" s="1" t="s">
        <v>122</v>
      </c>
      <c r="DAP108" s="1" t="s">
        <v>122</v>
      </c>
      <c r="DAQ108" s="1" t="s">
        <v>122</v>
      </c>
      <c r="DAR108" s="1" t="s">
        <v>122</v>
      </c>
      <c r="DAS108" s="1" t="s">
        <v>122</v>
      </c>
      <c r="DAT108" s="1" t="s">
        <v>122</v>
      </c>
      <c r="DAU108" s="1" t="s">
        <v>122</v>
      </c>
      <c r="DAV108" s="1" t="s">
        <v>122</v>
      </c>
      <c r="DAW108" s="1" t="s">
        <v>122</v>
      </c>
      <c r="DAX108" s="1" t="s">
        <v>122</v>
      </c>
      <c r="DAY108" s="1" t="s">
        <v>122</v>
      </c>
      <c r="DAZ108" s="1" t="s">
        <v>122</v>
      </c>
      <c r="DBA108" s="1" t="s">
        <v>122</v>
      </c>
      <c r="DBB108" s="1" t="s">
        <v>122</v>
      </c>
      <c r="DBC108" s="1" t="s">
        <v>122</v>
      </c>
      <c r="DBD108" s="1" t="s">
        <v>122</v>
      </c>
      <c r="DBE108" s="1" t="s">
        <v>122</v>
      </c>
      <c r="DBF108" s="1" t="s">
        <v>122</v>
      </c>
      <c r="DBG108" s="1" t="s">
        <v>122</v>
      </c>
      <c r="DBH108" s="1" t="s">
        <v>122</v>
      </c>
      <c r="DBI108" s="1" t="s">
        <v>122</v>
      </c>
      <c r="DBJ108" s="1" t="s">
        <v>122</v>
      </c>
      <c r="DBK108" s="1" t="s">
        <v>122</v>
      </c>
      <c r="DBL108" s="1" t="s">
        <v>122</v>
      </c>
      <c r="DBM108" s="1" t="s">
        <v>122</v>
      </c>
      <c r="DBN108" s="1" t="s">
        <v>122</v>
      </c>
      <c r="DBO108" s="1" t="s">
        <v>122</v>
      </c>
      <c r="DBP108" s="1" t="s">
        <v>122</v>
      </c>
      <c r="DBQ108" s="1" t="s">
        <v>122</v>
      </c>
      <c r="DBR108" s="1" t="s">
        <v>122</v>
      </c>
      <c r="DBS108" s="1" t="s">
        <v>122</v>
      </c>
      <c r="DBT108" s="1" t="s">
        <v>122</v>
      </c>
      <c r="DBU108" s="1" t="s">
        <v>122</v>
      </c>
      <c r="DBV108" s="1" t="s">
        <v>122</v>
      </c>
      <c r="DBW108" s="1" t="s">
        <v>122</v>
      </c>
      <c r="DBX108" s="1" t="s">
        <v>122</v>
      </c>
      <c r="DBY108" s="1" t="s">
        <v>122</v>
      </c>
      <c r="DBZ108" s="1" t="s">
        <v>122</v>
      </c>
      <c r="DCA108" s="1" t="s">
        <v>122</v>
      </c>
      <c r="DCB108" s="1" t="s">
        <v>122</v>
      </c>
      <c r="DCC108" s="1" t="s">
        <v>122</v>
      </c>
      <c r="DCD108" s="1" t="s">
        <v>122</v>
      </c>
      <c r="DCE108" s="1" t="s">
        <v>122</v>
      </c>
      <c r="DCF108" s="1" t="s">
        <v>122</v>
      </c>
      <c r="DCG108" s="1" t="s">
        <v>122</v>
      </c>
      <c r="DCH108" s="1" t="s">
        <v>122</v>
      </c>
      <c r="DCI108" s="1" t="s">
        <v>122</v>
      </c>
      <c r="DCJ108" s="1" t="s">
        <v>122</v>
      </c>
      <c r="DCK108" s="1" t="s">
        <v>122</v>
      </c>
      <c r="DCL108" s="1" t="s">
        <v>122</v>
      </c>
      <c r="DCM108" s="1" t="s">
        <v>122</v>
      </c>
      <c r="DCN108" s="1" t="s">
        <v>122</v>
      </c>
      <c r="DCO108" s="1" t="s">
        <v>122</v>
      </c>
      <c r="DCP108" s="1" t="s">
        <v>122</v>
      </c>
      <c r="DCQ108" s="1" t="s">
        <v>122</v>
      </c>
      <c r="DCR108" s="1" t="s">
        <v>122</v>
      </c>
      <c r="DCS108" s="1" t="s">
        <v>122</v>
      </c>
      <c r="DCT108" s="1" t="s">
        <v>122</v>
      </c>
      <c r="DCU108" s="1" t="s">
        <v>122</v>
      </c>
      <c r="DCV108" s="1" t="s">
        <v>122</v>
      </c>
      <c r="DCW108" s="1" t="s">
        <v>122</v>
      </c>
      <c r="DCX108" s="1" t="s">
        <v>122</v>
      </c>
      <c r="DCY108" s="1" t="s">
        <v>122</v>
      </c>
      <c r="DCZ108" s="1" t="s">
        <v>122</v>
      </c>
      <c r="DDA108" s="1" t="s">
        <v>122</v>
      </c>
      <c r="DDB108" s="1" t="s">
        <v>122</v>
      </c>
      <c r="DDC108" s="1" t="s">
        <v>122</v>
      </c>
      <c r="DDD108" s="1" t="s">
        <v>122</v>
      </c>
      <c r="DDE108" s="1" t="s">
        <v>122</v>
      </c>
      <c r="DDF108" s="1" t="s">
        <v>122</v>
      </c>
      <c r="DDG108" s="1" t="s">
        <v>122</v>
      </c>
      <c r="DDH108" s="1" t="s">
        <v>122</v>
      </c>
      <c r="DDI108" s="1" t="s">
        <v>122</v>
      </c>
      <c r="DDJ108" s="1" t="s">
        <v>122</v>
      </c>
      <c r="DDK108" s="1" t="s">
        <v>122</v>
      </c>
      <c r="DDL108" s="1" t="s">
        <v>122</v>
      </c>
      <c r="DDM108" s="1" t="s">
        <v>122</v>
      </c>
      <c r="DDN108" s="1" t="s">
        <v>122</v>
      </c>
      <c r="DDO108" s="1" t="s">
        <v>122</v>
      </c>
      <c r="DDP108" s="1" t="s">
        <v>122</v>
      </c>
      <c r="DDQ108" s="1" t="s">
        <v>122</v>
      </c>
      <c r="DDR108" s="1" t="s">
        <v>122</v>
      </c>
      <c r="DDS108" s="1" t="s">
        <v>122</v>
      </c>
      <c r="DDT108" s="1" t="s">
        <v>122</v>
      </c>
      <c r="DDU108" s="1" t="s">
        <v>122</v>
      </c>
      <c r="DDV108" s="1" t="s">
        <v>122</v>
      </c>
      <c r="DDW108" s="1" t="s">
        <v>122</v>
      </c>
      <c r="DDX108" s="1" t="s">
        <v>122</v>
      </c>
      <c r="DDY108" s="1" t="s">
        <v>122</v>
      </c>
      <c r="DDZ108" s="1" t="s">
        <v>122</v>
      </c>
      <c r="DEA108" s="1" t="s">
        <v>122</v>
      </c>
      <c r="DEB108" s="1" t="s">
        <v>122</v>
      </c>
      <c r="DEC108" s="1" t="s">
        <v>122</v>
      </c>
      <c r="DED108" s="1" t="s">
        <v>122</v>
      </c>
      <c r="DEE108" s="1" t="s">
        <v>122</v>
      </c>
      <c r="DEF108" s="1" t="s">
        <v>122</v>
      </c>
      <c r="DEG108" s="1" t="s">
        <v>122</v>
      </c>
      <c r="DEH108" s="1" t="s">
        <v>122</v>
      </c>
      <c r="DEI108" s="1" t="s">
        <v>122</v>
      </c>
      <c r="DEJ108" s="1" t="s">
        <v>122</v>
      </c>
      <c r="DEK108" s="1" t="s">
        <v>122</v>
      </c>
      <c r="DEL108" s="1" t="s">
        <v>122</v>
      </c>
      <c r="DEM108" s="1" t="s">
        <v>122</v>
      </c>
      <c r="DEN108" s="1" t="s">
        <v>122</v>
      </c>
      <c r="DEO108" s="1" t="s">
        <v>122</v>
      </c>
      <c r="DEP108" s="1" t="s">
        <v>122</v>
      </c>
      <c r="DEQ108" s="1" t="s">
        <v>122</v>
      </c>
      <c r="DER108" s="1" t="s">
        <v>122</v>
      </c>
      <c r="DES108" s="1" t="s">
        <v>122</v>
      </c>
      <c r="DET108" s="1" t="s">
        <v>122</v>
      </c>
      <c r="DEU108" s="1" t="s">
        <v>122</v>
      </c>
      <c r="DEV108" s="1" t="s">
        <v>122</v>
      </c>
      <c r="DEW108" s="1" t="s">
        <v>122</v>
      </c>
      <c r="DEX108" s="1" t="s">
        <v>122</v>
      </c>
      <c r="DEY108" s="1" t="s">
        <v>122</v>
      </c>
      <c r="DEZ108" s="1" t="s">
        <v>122</v>
      </c>
      <c r="DFA108" s="1" t="s">
        <v>122</v>
      </c>
      <c r="DFB108" s="1" t="s">
        <v>122</v>
      </c>
      <c r="DFC108" s="1" t="s">
        <v>122</v>
      </c>
      <c r="DFD108" s="1" t="s">
        <v>122</v>
      </c>
      <c r="DFE108" s="1" t="s">
        <v>122</v>
      </c>
      <c r="DFF108" s="1" t="s">
        <v>122</v>
      </c>
      <c r="DFG108" s="1" t="s">
        <v>122</v>
      </c>
      <c r="DFH108" s="1" t="s">
        <v>122</v>
      </c>
      <c r="DFI108" s="1" t="s">
        <v>122</v>
      </c>
      <c r="DFJ108" s="1" t="s">
        <v>122</v>
      </c>
      <c r="DFK108" s="1" t="s">
        <v>122</v>
      </c>
      <c r="DFL108" s="1" t="s">
        <v>122</v>
      </c>
      <c r="DFM108" s="1" t="s">
        <v>122</v>
      </c>
      <c r="DFN108" s="1" t="s">
        <v>122</v>
      </c>
      <c r="DFO108" s="1" t="s">
        <v>122</v>
      </c>
      <c r="DFP108" s="1" t="s">
        <v>122</v>
      </c>
      <c r="DFQ108" s="1" t="s">
        <v>122</v>
      </c>
      <c r="DFR108" s="1" t="s">
        <v>122</v>
      </c>
      <c r="DFS108" s="1" t="s">
        <v>122</v>
      </c>
      <c r="DFT108" s="1" t="s">
        <v>122</v>
      </c>
      <c r="DFU108" s="1" t="s">
        <v>122</v>
      </c>
      <c r="DFV108" s="1" t="s">
        <v>122</v>
      </c>
      <c r="DFW108" s="1" t="s">
        <v>122</v>
      </c>
      <c r="DFX108" s="1" t="s">
        <v>122</v>
      </c>
      <c r="DFY108" s="1" t="s">
        <v>122</v>
      </c>
      <c r="DFZ108" s="1" t="s">
        <v>122</v>
      </c>
      <c r="DGA108" s="1" t="s">
        <v>122</v>
      </c>
      <c r="DGB108" s="1" t="s">
        <v>122</v>
      </c>
      <c r="DGC108" s="1" t="s">
        <v>122</v>
      </c>
      <c r="DGD108" s="1" t="s">
        <v>122</v>
      </c>
      <c r="DGE108" s="1" t="s">
        <v>122</v>
      </c>
      <c r="DGF108" s="1" t="s">
        <v>122</v>
      </c>
      <c r="DGG108" s="1" t="s">
        <v>122</v>
      </c>
      <c r="DGH108" s="1" t="s">
        <v>122</v>
      </c>
      <c r="DGI108" s="1" t="s">
        <v>122</v>
      </c>
      <c r="DGJ108" s="1" t="s">
        <v>122</v>
      </c>
      <c r="DGK108" s="1" t="s">
        <v>122</v>
      </c>
      <c r="DGL108" s="1" t="s">
        <v>122</v>
      </c>
      <c r="DGM108" s="1" t="s">
        <v>122</v>
      </c>
      <c r="DGN108" s="1" t="s">
        <v>122</v>
      </c>
      <c r="DGO108" s="1" t="s">
        <v>122</v>
      </c>
      <c r="DGP108" s="1" t="s">
        <v>122</v>
      </c>
      <c r="DGQ108" s="1" t="s">
        <v>122</v>
      </c>
      <c r="DGR108" s="1" t="s">
        <v>122</v>
      </c>
      <c r="DGS108" s="1" t="s">
        <v>122</v>
      </c>
      <c r="DGT108" s="1" t="s">
        <v>122</v>
      </c>
      <c r="DGU108" s="1" t="s">
        <v>122</v>
      </c>
      <c r="DGV108" s="1" t="s">
        <v>122</v>
      </c>
      <c r="DGW108" s="1" t="s">
        <v>122</v>
      </c>
      <c r="DGX108" s="1" t="s">
        <v>122</v>
      </c>
      <c r="DGY108" s="1" t="s">
        <v>122</v>
      </c>
      <c r="DGZ108" s="1" t="s">
        <v>122</v>
      </c>
      <c r="DHA108" s="1" t="s">
        <v>122</v>
      </c>
      <c r="DHB108" s="1" t="s">
        <v>122</v>
      </c>
      <c r="DHC108" s="1" t="s">
        <v>122</v>
      </c>
      <c r="DHD108" s="1" t="s">
        <v>122</v>
      </c>
      <c r="DHE108" s="1" t="s">
        <v>122</v>
      </c>
      <c r="DHF108" s="1" t="s">
        <v>122</v>
      </c>
      <c r="DHG108" s="1" t="s">
        <v>122</v>
      </c>
      <c r="DHH108" s="1" t="s">
        <v>122</v>
      </c>
      <c r="DHI108" s="1" t="s">
        <v>122</v>
      </c>
      <c r="DHJ108" s="1" t="s">
        <v>122</v>
      </c>
      <c r="DHK108" s="1" t="s">
        <v>122</v>
      </c>
      <c r="DHL108" s="1" t="s">
        <v>122</v>
      </c>
      <c r="DHM108" s="1" t="s">
        <v>122</v>
      </c>
      <c r="DHN108" s="1" t="s">
        <v>122</v>
      </c>
      <c r="DHO108" s="1" t="s">
        <v>122</v>
      </c>
      <c r="DHP108" s="1" t="s">
        <v>122</v>
      </c>
      <c r="DHQ108" s="1" t="s">
        <v>122</v>
      </c>
      <c r="DHR108" s="1" t="s">
        <v>122</v>
      </c>
      <c r="DHS108" s="1" t="s">
        <v>122</v>
      </c>
      <c r="DHT108" s="1" t="s">
        <v>122</v>
      </c>
      <c r="DHU108" s="1" t="s">
        <v>122</v>
      </c>
      <c r="DHV108" s="1" t="s">
        <v>122</v>
      </c>
      <c r="DHW108" s="1" t="s">
        <v>122</v>
      </c>
      <c r="DHX108" s="1" t="s">
        <v>122</v>
      </c>
      <c r="DHY108" s="1" t="s">
        <v>122</v>
      </c>
      <c r="DHZ108" s="1" t="s">
        <v>122</v>
      </c>
      <c r="DIA108" s="1" t="s">
        <v>122</v>
      </c>
      <c r="DIB108" s="1" t="s">
        <v>122</v>
      </c>
      <c r="DIC108" s="1" t="s">
        <v>122</v>
      </c>
      <c r="DID108" s="1" t="s">
        <v>122</v>
      </c>
      <c r="DIE108" s="1" t="s">
        <v>122</v>
      </c>
      <c r="DIF108" s="1" t="s">
        <v>122</v>
      </c>
      <c r="DIG108" s="1" t="s">
        <v>122</v>
      </c>
      <c r="DIH108" s="1" t="s">
        <v>122</v>
      </c>
      <c r="DII108" s="1" t="s">
        <v>122</v>
      </c>
      <c r="DIJ108" s="1" t="s">
        <v>122</v>
      </c>
      <c r="DIK108" s="1" t="s">
        <v>122</v>
      </c>
      <c r="DIL108" s="1" t="s">
        <v>122</v>
      </c>
      <c r="DIM108" s="1" t="s">
        <v>122</v>
      </c>
      <c r="DIN108" s="1" t="s">
        <v>122</v>
      </c>
      <c r="DIO108" s="1" t="s">
        <v>122</v>
      </c>
      <c r="DIP108" s="1" t="s">
        <v>122</v>
      </c>
      <c r="DIQ108" s="1" t="s">
        <v>122</v>
      </c>
      <c r="DIR108" s="1" t="s">
        <v>122</v>
      </c>
      <c r="DIS108" s="1" t="s">
        <v>122</v>
      </c>
      <c r="DIT108" s="1" t="s">
        <v>122</v>
      </c>
      <c r="DIU108" s="1" t="s">
        <v>122</v>
      </c>
      <c r="DIV108" s="1" t="s">
        <v>122</v>
      </c>
      <c r="DIW108" s="1" t="s">
        <v>122</v>
      </c>
      <c r="DIX108" s="1" t="s">
        <v>122</v>
      </c>
      <c r="DIY108" s="1" t="s">
        <v>122</v>
      </c>
      <c r="DIZ108" s="1" t="s">
        <v>122</v>
      </c>
      <c r="DJA108" s="1" t="s">
        <v>122</v>
      </c>
      <c r="DJB108" s="1" t="s">
        <v>122</v>
      </c>
      <c r="DJC108" s="1" t="s">
        <v>122</v>
      </c>
      <c r="DJD108" s="1" t="s">
        <v>122</v>
      </c>
      <c r="DJE108" s="1" t="s">
        <v>122</v>
      </c>
      <c r="DJF108" s="1" t="s">
        <v>122</v>
      </c>
      <c r="DJG108" s="1" t="s">
        <v>122</v>
      </c>
      <c r="DJH108" s="1" t="s">
        <v>122</v>
      </c>
      <c r="DJI108" s="1" t="s">
        <v>122</v>
      </c>
      <c r="DJJ108" s="1" t="s">
        <v>122</v>
      </c>
      <c r="DJK108" s="1" t="s">
        <v>122</v>
      </c>
      <c r="DJL108" s="1" t="s">
        <v>122</v>
      </c>
      <c r="DJM108" s="1" t="s">
        <v>122</v>
      </c>
      <c r="DJN108" s="1" t="s">
        <v>122</v>
      </c>
      <c r="DJO108" s="1" t="s">
        <v>122</v>
      </c>
      <c r="DJP108" s="1" t="s">
        <v>122</v>
      </c>
      <c r="DJQ108" s="1" t="s">
        <v>122</v>
      </c>
      <c r="DJR108" s="1" t="s">
        <v>122</v>
      </c>
      <c r="DJS108" s="1" t="s">
        <v>122</v>
      </c>
      <c r="DJT108" s="1" t="s">
        <v>122</v>
      </c>
      <c r="DJU108" s="1" t="s">
        <v>122</v>
      </c>
      <c r="DJV108" s="1" t="s">
        <v>122</v>
      </c>
      <c r="DJW108" s="1" t="s">
        <v>122</v>
      </c>
      <c r="DJX108" s="1" t="s">
        <v>122</v>
      </c>
      <c r="DJY108" s="1" t="s">
        <v>122</v>
      </c>
      <c r="DJZ108" s="1" t="s">
        <v>122</v>
      </c>
      <c r="DKA108" s="1" t="s">
        <v>122</v>
      </c>
      <c r="DKB108" s="1" t="s">
        <v>122</v>
      </c>
      <c r="DKC108" s="1" t="s">
        <v>122</v>
      </c>
      <c r="DKD108" s="1" t="s">
        <v>122</v>
      </c>
      <c r="DKE108" s="1" t="s">
        <v>122</v>
      </c>
      <c r="DKF108" s="1" t="s">
        <v>122</v>
      </c>
      <c r="DKG108" s="1" t="s">
        <v>122</v>
      </c>
      <c r="DKH108" s="1" t="s">
        <v>122</v>
      </c>
      <c r="DKI108" s="1" t="s">
        <v>122</v>
      </c>
      <c r="DKJ108" s="1" t="s">
        <v>122</v>
      </c>
      <c r="DKK108" s="1" t="s">
        <v>122</v>
      </c>
      <c r="DKL108" s="1" t="s">
        <v>122</v>
      </c>
      <c r="DKM108" s="1" t="s">
        <v>122</v>
      </c>
      <c r="DKN108" s="1" t="s">
        <v>122</v>
      </c>
      <c r="DKO108" s="1" t="s">
        <v>122</v>
      </c>
      <c r="DKP108" s="1" t="s">
        <v>122</v>
      </c>
      <c r="DKQ108" s="1" t="s">
        <v>122</v>
      </c>
      <c r="DKR108" s="1" t="s">
        <v>122</v>
      </c>
      <c r="DKS108" s="1" t="s">
        <v>122</v>
      </c>
      <c r="DKT108" s="1" t="s">
        <v>122</v>
      </c>
      <c r="DKU108" s="1" t="s">
        <v>122</v>
      </c>
      <c r="DKV108" s="1" t="s">
        <v>122</v>
      </c>
      <c r="DKW108" s="1" t="s">
        <v>122</v>
      </c>
      <c r="DKX108" s="1" t="s">
        <v>122</v>
      </c>
      <c r="DKY108" s="1" t="s">
        <v>122</v>
      </c>
      <c r="DKZ108" s="1" t="s">
        <v>122</v>
      </c>
      <c r="DLA108" s="1" t="s">
        <v>122</v>
      </c>
      <c r="DLB108" s="1" t="s">
        <v>122</v>
      </c>
      <c r="DLC108" s="1" t="s">
        <v>122</v>
      </c>
      <c r="DLD108" s="1" t="s">
        <v>122</v>
      </c>
      <c r="DLE108" s="1" t="s">
        <v>122</v>
      </c>
      <c r="DLF108" s="1" t="s">
        <v>122</v>
      </c>
      <c r="DLG108" s="1" t="s">
        <v>122</v>
      </c>
      <c r="DLH108" s="1" t="s">
        <v>122</v>
      </c>
      <c r="DLI108" s="1" t="s">
        <v>122</v>
      </c>
      <c r="DLJ108" s="1" t="s">
        <v>122</v>
      </c>
      <c r="DLK108" s="1" t="s">
        <v>122</v>
      </c>
      <c r="DLL108" s="1" t="s">
        <v>122</v>
      </c>
      <c r="DLM108" s="1" t="s">
        <v>122</v>
      </c>
      <c r="DLN108" s="1" t="s">
        <v>122</v>
      </c>
      <c r="DLO108" s="1" t="s">
        <v>122</v>
      </c>
      <c r="DLP108" s="1" t="s">
        <v>122</v>
      </c>
      <c r="DLQ108" s="1" t="s">
        <v>122</v>
      </c>
      <c r="DLR108" s="1" t="s">
        <v>122</v>
      </c>
      <c r="DLS108" s="1" t="s">
        <v>122</v>
      </c>
      <c r="DLT108" s="1" t="s">
        <v>122</v>
      </c>
      <c r="DLU108" s="1" t="s">
        <v>122</v>
      </c>
      <c r="DLV108" s="1" t="s">
        <v>122</v>
      </c>
      <c r="DLW108" s="1" t="s">
        <v>122</v>
      </c>
      <c r="DLX108" s="1" t="s">
        <v>122</v>
      </c>
      <c r="DLY108" s="1" t="s">
        <v>122</v>
      </c>
      <c r="DLZ108" s="1" t="s">
        <v>122</v>
      </c>
      <c r="DMA108" s="1" t="s">
        <v>122</v>
      </c>
      <c r="DMB108" s="1" t="s">
        <v>122</v>
      </c>
      <c r="DMC108" s="1" t="s">
        <v>122</v>
      </c>
      <c r="DMD108" s="1" t="s">
        <v>122</v>
      </c>
      <c r="DME108" s="1" t="s">
        <v>122</v>
      </c>
      <c r="DMF108" s="1" t="s">
        <v>122</v>
      </c>
      <c r="DMG108" s="1" t="s">
        <v>122</v>
      </c>
      <c r="DMH108" s="1" t="s">
        <v>122</v>
      </c>
      <c r="DMI108" s="1" t="s">
        <v>122</v>
      </c>
      <c r="DMJ108" s="1" t="s">
        <v>122</v>
      </c>
      <c r="DMK108" s="1" t="s">
        <v>122</v>
      </c>
      <c r="DML108" s="1" t="s">
        <v>122</v>
      </c>
      <c r="DMM108" s="1" t="s">
        <v>122</v>
      </c>
      <c r="DMN108" s="1" t="s">
        <v>122</v>
      </c>
      <c r="DMO108" s="1" t="s">
        <v>122</v>
      </c>
      <c r="DMP108" s="1" t="s">
        <v>122</v>
      </c>
      <c r="DMQ108" s="1" t="s">
        <v>122</v>
      </c>
      <c r="DMR108" s="1" t="s">
        <v>122</v>
      </c>
      <c r="DMS108" s="1" t="s">
        <v>122</v>
      </c>
      <c r="DMT108" s="1" t="s">
        <v>122</v>
      </c>
      <c r="DMU108" s="1" t="s">
        <v>122</v>
      </c>
      <c r="DMV108" s="1" t="s">
        <v>122</v>
      </c>
      <c r="DMW108" s="1" t="s">
        <v>122</v>
      </c>
      <c r="DMX108" s="1" t="s">
        <v>122</v>
      </c>
      <c r="DMY108" s="1" t="s">
        <v>122</v>
      </c>
      <c r="DMZ108" s="1" t="s">
        <v>122</v>
      </c>
      <c r="DNA108" s="1" t="s">
        <v>122</v>
      </c>
      <c r="DNB108" s="1" t="s">
        <v>122</v>
      </c>
      <c r="DNC108" s="1" t="s">
        <v>122</v>
      </c>
      <c r="DND108" s="1" t="s">
        <v>122</v>
      </c>
      <c r="DNE108" s="1" t="s">
        <v>122</v>
      </c>
      <c r="DNF108" s="1" t="s">
        <v>122</v>
      </c>
      <c r="DNG108" s="1" t="s">
        <v>122</v>
      </c>
      <c r="DNH108" s="1" t="s">
        <v>122</v>
      </c>
      <c r="DNI108" s="1" t="s">
        <v>122</v>
      </c>
      <c r="DNJ108" s="1" t="s">
        <v>122</v>
      </c>
      <c r="DNK108" s="1" t="s">
        <v>122</v>
      </c>
      <c r="DNL108" s="1" t="s">
        <v>122</v>
      </c>
      <c r="DNM108" s="1" t="s">
        <v>122</v>
      </c>
      <c r="DNN108" s="1" t="s">
        <v>122</v>
      </c>
      <c r="DNO108" s="1" t="s">
        <v>122</v>
      </c>
      <c r="DNP108" s="1" t="s">
        <v>122</v>
      </c>
      <c r="DNQ108" s="1" t="s">
        <v>122</v>
      </c>
      <c r="DNR108" s="1" t="s">
        <v>122</v>
      </c>
      <c r="DNS108" s="1" t="s">
        <v>122</v>
      </c>
      <c r="DNT108" s="1" t="s">
        <v>122</v>
      </c>
      <c r="DNU108" s="1" t="s">
        <v>122</v>
      </c>
      <c r="DNV108" s="1" t="s">
        <v>122</v>
      </c>
      <c r="DNW108" s="1" t="s">
        <v>122</v>
      </c>
      <c r="DNX108" s="1" t="s">
        <v>122</v>
      </c>
      <c r="DNY108" s="1" t="s">
        <v>122</v>
      </c>
      <c r="DNZ108" s="1" t="s">
        <v>122</v>
      </c>
      <c r="DOA108" s="1" t="s">
        <v>122</v>
      </c>
      <c r="DOB108" s="1" t="s">
        <v>122</v>
      </c>
      <c r="DOC108" s="1" t="s">
        <v>122</v>
      </c>
      <c r="DOD108" s="1" t="s">
        <v>122</v>
      </c>
      <c r="DOE108" s="1" t="s">
        <v>122</v>
      </c>
      <c r="DOF108" s="1" t="s">
        <v>122</v>
      </c>
      <c r="DOG108" s="1" t="s">
        <v>122</v>
      </c>
      <c r="DOH108" s="1" t="s">
        <v>122</v>
      </c>
      <c r="DOI108" s="1" t="s">
        <v>122</v>
      </c>
      <c r="DOJ108" s="1" t="s">
        <v>122</v>
      </c>
      <c r="DOK108" s="1" t="s">
        <v>122</v>
      </c>
      <c r="DOL108" s="1" t="s">
        <v>122</v>
      </c>
      <c r="DOM108" s="1" t="s">
        <v>122</v>
      </c>
      <c r="DON108" s="1" t="s">
        <v>122</v>
      </c>
      <c r="DOO108" s="1" t="s">
        <v>122</v>
      </c>
      <c r="DOP108" s="1" t="s">
        <v>122</v>
      </c>
      <c r="DOQ108" s="1" t="s">
        <v>122</v>
      </c>
      <c r="DOR108" s="1" t="s">
        <v>122</v>
      </c>
      <c r="DOS108" s="1" t="s">
        <v>122</v>
      </c>
      <c r="DOT108" s="1" t="s">
        <v>122</v>
      </c>
      <c r="DOU108" s="1" t="s">
        <v>122</v>
      </c>
      <c r="DOV108" s="1" t="s">
        <v>122</v>
      </c>
      <c r="DOW108" s="1" t="s">
        <v>122</v>
      </c>
      <c r="DOX108" s="1" t="s">
        <v>122</v>
      </c>
      <c r="DOY108" s="1" t="s">
        <v>122</v>
      </c>
      <c r="DOZ108" s="1" t="s">
        <v>122</v>
      </c>
      <c r="DPA108" s="1" t="s">
        <v>122</v>
      </c>
      <c r="DPB108" s="1" t="s">
        <v>122</v>
      </c>
      <c r="DPC108" s="1" t="s">
        <v>122</v>
      </c>
      <c r="DPD108" s="1" t="s">
        <v>122</v>
      </c>
      <c r="DPE108" s="1" t="s">
        <v>122</v>
      </c>
      <c r="DPF108" s="1" t="s">
        <v>122</v>
      </c>
      <c r="DPG108" s="1" t="s">
        <v>122</v>
      </c>
      <c r="DPH108" s="1" t="s">
        <v>122</v>
      </c>
      <c r="DPI108" s="1" t="s">
        <v>122</v>
      </c>
      <c r="DPJ108" s="1" t="s">
        <v>122</v>
      </c>
      <c r="DPK108" s="1" t="s">
        <v>122</v>
      </c>
      <c r="DPL108" s="1" t="s">
        <v>122</v>
      </c>
      <c r="DPM108" s="1" t="s">
        <v>122</v>
      </c>
      <c r="DPN108" s="1" t="s">
        <v>122</v>
      </c>
      <c r="DPO108" s="1" t="s">
        <v>122</v>
      </c>
      <c r="DPP108" s="1" t="s">
        <v>122</v>
      </c>
      <c r="DPQ108" s="1" t="s">
        <v>122</v>
      </c>
      <c r="DPR108" s="1" t="s">
        <v>122</v>
      </c>
      <c r="DPS108" s="1" t="s">
        <v>122</v>
      </c>
      <c r="DPT108" s="1" t="s">
        <v>122</v>
      </c>
      <c r="DPU108" s="1" t="s">
        <v>122</v>
      </c>
      <c r="DPV108" s="1" t="s">
        <v>122</v>
      </c>
      <c r="DPW108" s="1" t="s">
        <v>122</v>
      </c>
      <c r="DPX108" s="1" t="s">
        <v>122</v>
      </c>
      <c r="DPY108" s="1" t="s">
        <v>122</v>
      </c>
      <c r="DPZ108" s="1" t="s">
        <v>122</v>
      </c>
      <c r="DQA108" s="1" t="s">
        <v>122</v>
      </c>
      <c r="DQB108" s="1" t="s">
        <v>122</v>
      </c>
      <c r="DQC108" s="1" t="s">
        <v>122</v>
      </c>
      <c r="DQD108" s="1" t="s">
        <v>122</v>
      </c>
      <c r="DQE108" s="1" t="s">
        <v>122</v>
      </c>
      <c r="DQF108" s="1" t="s">
        <v>122</v>
      </c>
      <c r="DQG108" s="1" t="s">
        <v>122</v>
      </c>
      <c r="DQH108" s="1" t="s">
        <v>122</v>
      </c>
      <c r="DQI108" s="1" t="s">
        <v>122</v>
      </c>
      <c r="DQJ108" s="1" t="s">
        <v>122</v>
      </c>
      <c r="DQK108" s="1" t="s">
        <v>122</v>
      </c>
      <c r="DQL108" s="1" t="s">
        <v>122</v>
      </c>
      <c r="DQM108" s="1" t="s">
        <v>122</v>
      </c>
      <c r="DQN108" s="1" t="s">
        <v>122</v>
      </c>
      <c r="DQO108" s="1" t="s">
        <v>122</v>
      </c>
      <c r="DQP108" s="1" t="s">
        <v>122</v>
      </c>
      <c r="DQQ108" s="1" t="s">
        <v>122</v>
      </c>
      <c r="DQR108" s="1" t="s">
        <v>122</v>
      </c>
      <c r="DQS108" s="1" t="s">
        <v>122</v>
      </c>
      <c r="DQT108" s="1" t="s">
        <v>122</v>
      </c>
      <c r="DQU108" s="1" t="s">
        <v>122</v>
      </c>
      <c r="DQV108" s="1" t="s">
        <v>122</v>
      </c>
      <c r="DQW108" s="1" t="s">
        <v>122</v>
      </c>
      <c r="DQX108" s="1" t="s">
        <v>122</v>
      </c>
      <c r="DQY108" s="1" t="s">
        <v>122</v>
      </c>
      <c r="DQZ108" s="1" t="s">
        <v>122</v>
      </c>
      <c r="DRA108" s="1" t="s">
        <v>122</v>
      </c>
      <c r="DRB108" s="1" t="s">
        <v>122</v>
      </c>
      <c r="DRC108" s="1" t="s">
        <v>122</v>
      </c>
      <c r="DRD108" s="1" t="s">
        <v>122</v>
      </c>
      <c r="DRE108" s="1" t="s">
        <v>122</v>
      </c>
      <c r="DRF108" s="1" t="s">
        <v>122</v>
      </c>
      <c r="DRG108" s="1" t="s">
        <v>122</v>
      </c>
      <c r="DRH108" s="1" t="s">
        <v>122</v>
      </c>
      <c r="DRI108" s="1" t="s">
        <v>122</v>
      </c>
      <c r="DRJ108" s="1" t="s">
        <v>122</v>
      </c>
      <c r="DRK108" s="1" t="s">
        <v>122</v>
      </c>
      <c r="DRL108" s="1" t="s">
        <v>122</v>
      </c>
      <c r="DRM108" s="1" t="s">
        <v>122</v>
      </c>
      <c r="DRN108" s="1" t="s">
        <v>122</v>
      </c>
      <c r="DRO108" s="1" t="s">
        <v>122</v>
      </c>
      <c r="DRP108" s="1" t="s">
        <v>122</v>
      </c>
      <c r="DRQ108" s="1" t="s">
        <v>122</v>
      </c>
      <c r="DRR108" s="1" t="s">
        <v>122</v>
      </c>
      <c r="DRS108" s="1" t="s">
        <v>122</v>
      </c>
      <c r="DRT108" s="1" t="s">
        <v>122</v>
      </c>
      <c r="DRU108" s="1" t="s">
        <v>122</v>
      </c>
      <c r="DRV108" s="1" t="s">
        <v>122</v>
      </c>
      <c r="DRW108" s="1" t="s">
        <v>122</v>
      </c>
      <c r="DRX108" s="1" t="s">
        <v>122</v>
      </c>
      <c r="DRY108" s="1" t="s">
        <v>122</v>
      </c>
      <c r="DRZ108" s="1" t="s">
        <v>122</v>
      </c>
      <c r="DSA108" s="1" t="s">
        <v>122</v>
      </c>
      <c r="DSB108" s="1" t="s">
        <v>122</v>
      </c>
      <c r="DSC108" s="1" t="s">
        <v>122</v>
      </c>
      <c r="DSD108" s="1" t="s">
        <v>122</v>
      </c>
      <c r="DSE108" s="1" t="s">
        <v>122</v>
      </c>
      <c r="DSF108" s="1" t="s">
        <v>122</v>
      </c>
      <c r="DSG108" s="1" t="s">
        <v>122</v>
      </c>
      <c r="DSH108" s="1" t="s">
        <v>122</v>
      </c>
      <c r="DSI108" s="1" t="s">
        <v>122</v>
      </c>
      <c r="DSJ108" s="1" t="s">
        <v>122</v>
      </c>
      <c r="DSK108" s="1" t="s">
        <v>122</v>
      </c>
      <c r="DSL108" s="1" t="s">
        <v>122</v>
      </c>
      <c r="DSM108" s="1" t="s">
        <v>122</v>
      </c>
      <c r="DSN108" s="1" t="s">
        <v>122</v>
      </c>
      <c r="DSO108" s="1" t="s">
        <v>122</v>
      </c>
      <c r="DSP108" s="1" t="s">
        <v>122</v>
      </c>
      <c r="DSQ108" s="1" t="s">
        <v>122</v>
      </c>
      <c r="DSR108" s="1" t="s">
        <v>122</v>
      </c>
      <c r="DSS108" s="1" t="s">
        <v>122</v>
      </c>
      <c r="DST108" s="1" t="s">
        <v>122</v>
      </c>
      <c r="DSU108" s="1" t="s">
        <v>122</v>
      </c>
      <c r="DSV108" s="1" t="s">
        <v>122</v>
      </c>
      <c r="DSW108" s="1" t="s">
        <v>122</v>
      </c>
      <c r="DSX108" s="1" t="s">
        <v>122</v>
      </c>
      <c r="DSY108" s="1" t="s">
        <v>122</v>
      </c>
      <c r="DSZ108" s="1" t="s">
        <v>122</v>
      </c>
      <c r="DTA108" s="1" t="s">
        <v>122</v>
      </c>
      <c r="DTB108" s="1" t="s">
        <v>122</v>
      </c>
      <c r="DTC108" s="1" t="s">
        <v>122</v>
      </c>
      <c r="DTD108" s="1" t="s">
        <v>122</v>
      </c>
      <c r="DTE108" s="1" t="s">
        <v>122</v>
      </c>
      <c r="DTF108" s="1" t="s">
        <v>122</v>
      </c>
      <c r="DTG108" s="1" t="s">
        <v>122</v>
      </c>
      <c r="DTH108" s="1" t="s">
        <v>122</v>
      </c>
      <c r="DTI108" s="1" t="s">
        <v>122</v>
      </c>
      <c r="DTJ108" s="1" t="s">
        <v>122</v>
      </c>
      <c r="DTK108" s="1" t="s">
        <v>122</v>
      </c>
      <c r="DTL108" s="1" t="s">
        <v>122</v>
      </c>
      <c r="DTM108" s="1" t="s">
        <v>122</v>
      </c>
      <c r="DTN108" s="1" t="s">
        <v>122</v>
      </c>
      <c r="DTO108" s="1" t="s">
        <v>122</v>
      </c>
      <c r="DTP108" s="1" t="s">
        <v>122</v>
      </c>
      <c r="DTQ108" s="1" t="s">
        <v>122</v>
      </c>
      <c r="DTR108" s="1" t="s">
        <v>122</v>
      </c>
      <c r="DTS108" s="1" t="s">
        <v>122</v>
      </c>
      <c r="DTT108" s="1" t="s">
        <v>122</v>
      </c>
      <c r="DTU108" s="1" t="s">
        <v>122</v>
      </c>
      <c r="DTV108" s="1" t="s">
        <v>122</v>
      </c>
      <c r="DTW108" s="1" t="s">
        <v>122</v>
      </c>
      <c r="DTX108" s="1" t="s">
        <v>122</v>
      </c>
      <c r="DTY108" s="1" t="s">
        <v>122</v>
      </c>
      <c r="DTZ108" s="1" t="s">
        <v>122</v>
      </c>
      <c r="DUA108" s="1" t="s">
        <v>122</v>
      </c>
      <c r="DUB108" s="1" t="s">
        <v>122</v>
      </c>
      <c r="DUC108" s="1" t="s">
        <v>122</v>
      </c>
      <c r="DUD108" s="1" t="s">
        <v>122</v>
      </c>
      <c r="DUE108" s="1" t="s">
        <v>122</v>
      </c>
      <c r="DUF108" s="1" t="s">
        <v>122</v>
      </c>
      <c r="DUG108" s="1" t="s">
        <v>122</v>
      </c>
      <c r="DUH108" s="1" t="s">
        <v>122</v>
      </c>
      <c r="DUI108" s="1" t="s">
        <v>122</v>
      </c>
      <c r="DUJ108" s="1" t="s">
        <v>122</v>
      </c>
      <c r="DUK108" s="1" t="s">
        <v>122</v>
      </c>
      <c r="DUL108" s="1" t="s">
        <v>122</v>
      </c>
      <c r="DUM108" s="1" t="s">
        <v>122</v>
      </c>
      <c r="DUN108" s="1" t="s">
        <v>122</v>
      </c>
      <c r="DUO108" s="1" t="s">
        <v>122</v>
      </c>
      <c r="DUP108" s="1" t="s">
        <v>122</v>
      </c>
      <c r="DUQ108" s="1" t="s">
        <v>122</v>
      </c>
      <c r="DUR108" s="1" t="s">
        <v>122</v>
      </c>
      <c r="DUS108" s="1" t="s">
        <v>122</v>
      </c>
      <c r="DUT108" s="1" t="s">
        <v>122</v>
      </c>
      <c r="DUU108" s="1" t="s">
        <v>122</v>
      </c>
      <c r="DUV108" s="1" t="s">
        <v>122</v>
      </c>
      <c r="DUW108" s="1" t="s">
        <v>122</v>
      </c>
      <c r="DUX108" s="1" t="s">
        <v>122</v>
      </c>
      <c r="DUY108" s="1" t="s">
        <v>122</v>
      </c>
      <c r="DUZ108" s="1" t="s">
        <v>122</v>
      </c>
      <c r="DVA108" s="1" t="s">
        <v>122</v>
      </c>
      <c r="DVB108" s="1" t="s">
        <v>122</v>
      </c>
      <c r="DVC108" s="1" t="s">
        <v>122</v>
      </c>
      <c r="DVD108" s="1" t="s">
        <v>122</v>
      </c>
      <c r="DVE108" s="1" t="s">
        <v>122</v>
      </c>
      <c r="DVF108" s="1" t="s">
        <v>122</v>
      </c>
      <c r="DVG108" s="1" t="s">
        <v>122</v>
      </c>
      <c r="DVH108" s="1" t="s">
        <v>122</v>
      </c>
      <c r="DVI108" s="1" t="s">
        <v>122</v>
      </c>
      <c r="DVJ108" s="1" t="s">
        <v>122</v>
      </c>
      <c r="DVK108" s="1" t="s">
        <v>122</v>
      </c>
      <c r="DVL108" s="1" t="s">
        <v>122</v>
      </c>
      <c r="DVM108" s="1" t="s">
        <v>122</v>
      </c>
      <c r="DVN108" s="1" t="s">
        <v>122</v>
      </c>
      <c r="DVO108" s="1" t="s">
        <v>122</v>
      </c>
      <c r="DVP108" s="1" t="s">
        <v>122</v>
      </c>
      <c r="DVQ108" s="1" t="s">
        <v>122</v>
      </c>
      <c r="DVR108" s="1" t="s">
        <v>122</v>
      </c>
      <c r="DVS108" s="1" t="s">
        <v>122</v>
      </c>
      <c r="DVT108" s="1" t="s">
        <v>122</v>
      </c>
      <c r="DVU108" s="1" t="s">
        <v>122</v>
      </c>
      <c r="DVV108" s="1" t="s">
        <v>122</v>
      </c>
      <c r="DVW108" s="1" t="s">
        <v>122</v>
      </c>
      <c r="DVX108" s="1" t="s">
        <v>122</v>
      </c>
      <c r="DVY108" s="1" t="s">
        <v>122</v>
      </c>
      <c r="DVZ108" s="1" t="s">
        <v>122</v>
      </c>
      <c r="DWA108" s="1" t="s">
        <v>122</v>
      </c>
      <c r="DWB108" s="1" t="s">
        <v>122</v>
      </c>
      <c r="DWC108" s="1" t="s">
        <v>122</v>
      </c>
      <c r="DWD108" s="1" t="s">
        <v>122</v>
      </c>
      <c r="DWE108" s="1" t="s">
        <v>122</v>
      </c>
      <c r="DWF108" s="1" t="s">
        <v>122</v>
      </c>
      <c r="DWG108" s="1" t="s">
        <v>122</v>
      </c>
      <c r="DWH108" s="1" t="s">
        <v>122</v>
      </c>
      <c r="DWI108" s="1" t="s">
        <v>122</v>
      </c>
      <c r="DWJ108" s="1" t="s">
        <v>122</v>
      </c>
      <c r="DWK108" s="1" t="s">
        <v>122</v>
      </c>
      <c r="DWL108" s="1" t="s">
        <v>122</v>
      </c>
      <c r="DWM108" s="1" t="s">
        <v>122</v>
      </c>
      <c r="DWN108" s="1" t="s">
        <v>122</v>
      </c>
      <c r="DWO108" s="1" t="s">
        <v>122</v>
      </c>
      <c r="DWP108" s="1" t="s">
        <v>122</v>
      </c>
      <c r="DWQ108" s="1" t="s">
        <v>122</v>
      </c>
      <c r="DWR108" s="1" t="s">
        <v>122</v>
      </c>
      <c r="DWS108" s="1" t="s">
        <v>122</v>
      </c>
      <c r="DWT108" s="1" t="s">
        <v>122</v>
      </c>
      <c r="DWU108" s="1" t="s">
        <v>122</v>
      </c>
      <c r="DWV108" s="1" t="s">
        <v>122</v>
      </c>
      <c r="DWW108" s="1" t="s">
        <v>122</v>
      </c>
      <c r="DWX108" s="1" t="s">
        <v>122</v>
      </c>
      <c r="DWY108" s="1" t="s">
        <v>122</v>
      </c>
      <c r="DWZ108" s="1" t="s">
        <v>122</v>
      </c>
      <c r="DXA108" s="1" t="s">
        <v>122</v>
      </c>
      <c r="DXB108" s="1" t="s">
        <v>122</v>
      </c>
      <c r="DXC108" s="1" t="s">
        <v>122</v>
      </c>
      <c r="DXD108" s="1" t="s">
        <v>122</v>
      </c>
      <c r="DXE108" s="1" t="s">
        <v>122</v>
      </c>
      <c r="DXF108" s="1" t="s">
        <v>122</v>
      </c>
      <c r="DXG108" s="1" t="s">
        <v>122</v>
      </c>
      <c r="DXH108" s="1" t="s">
        <v>122</v>
      </c>
      <c r="DXI108" s="1" t="s">
        <v>122</v>
      </c>
      <c r="DXJ108" s="1" t="s">
        <v>122</v>
      </c>
      <c r="DXK108" s="1" t="s">
        <v>122</v>
      </c>
      <c r="DXL108" s="1" t="s">
        <v>122</v>
      </c>
      <c r="DXM108" s="1" t="s">
        <v>122</v>
      </c>
      <c r="DXN108" s="1" t="s">
        <v>122</v>
      </c>
      <c r="DXO108" s="1" t="s">
        <v>122</v>
      </c>
      <c r="DXP108" s="1" t="s">
        <v>122</v>
      </c>
      <c r="DXQ108" s="1" t="s">
        <v>122</v>
      </c>
      <c r="DXR108" s="1" t="s">
        <v>122</v>
      </c>
      <c r="DXS108" s="1" t="s">
        <v>122</v>
      </c>
      <c r="DXT108" s="1" t="s">
        <v>122</v>
      </c>
      <c r="DXU108" s="1" t="s">
        <v>122</v>
      </c>
      <c r="DXV108" s="1" t="s">
        <v>122</v>
      </c>
      <c r="DXW108" s="1" t="s">
        <v>122</v>
      </c>
      <c r="DXX108" s="1" t="s">
        <v>122</v>
      </c>
      <c r="DXY108" s="1" t="s">
        <v>122</v>
      </c>
      <c r="DXZ108" s="1" t="s">
        <v>122</v>
      </c>
      <c r="DYA108" s="1" t="s">
        <v>122</v>
      </c>
      <c r="DYB108" s="1" t="s">
        <v>122</v>
      </c>
      <c r="DYC108" s="1" t="s">
        <v>122</v>
      </c>
      <c r="DYD108" s="1" t="s">
        <v>122</v>
      </c>
      <c r="DYE108" s="1" t="s">
        <v>122</v>
      </c>
      <c r="DYF108" s="1" t="s">
        <v>122</v>
      </c>
      <c r="DYG108" s="1" t="s">
        <v>122</v>
      </c>
      <c r="DYH108" s="1" t="s">
        <v>122</v>
      </c>
      <c r="DYI108" s="1" t="s">
        <v>122</v>
      </c>
      <c r="DYJ108" s="1" t="s">
        <v>122</v>
      </c>
      <c r="DYK108" s="1" t="s">
        <v>122</v>
      </c>
      <c r="DYL108" s="1" t="s">
        <v>122</v>
      </c>
      <c r="DYM108" s="1" t="s">
        <v>122</v>
      </c>
      <c r="DYN108" s="1" t="s">
        <v>122</v>
      </c>
      <c r="DYO108" s="1" t="s">
        <v>122</v>
      </c>
      <c r="DYP108" s="1" t="s">
        <v>122</v>
      </c>
      <c r="DYQ108" s="1" t="s">
        <v>122</v>
      </c>
      <c r="DYR108" s="1" t="s">
        <v>122</v>
      </c>
      <c r="DYS108" s="1" t="s">
        <v>122</v>
      </c>
      <c r="DYT108" s="1" t="s">
        <v>122</v>
      </c>
      <c r="DYU108" s="1" t="s">
        <v>122</v>
      </c>
      <c r="DYV108" s="1" t="s">
        <v>122</v>
      </c>
      <c r="DYW108" s="1" t="s">
        <v>122</v>
      </c>
      <c r="DYX108" s="1" t="s">
        <v>122</v>
      </c>
      <c r="DYY108" s="1" t="s">
        <v>122</v>
      </c>
      <c r="DYZ108" s="1" t="s">
        <v>122</v>
      </c>
      <c r="DZA108" s="1" t="s">
        <v>122</v>
      </c>
      <c r="DZB108" s="1" t="s">
        <v>122</v>
      </c>
      <c r="DZC108" s="1" t="s">
        <v>122</v>
      </c>
      <c r="DZD108" s="1" t="s">
        <v>122</v>
      </c>
      <c r="DZE108" s="1" t="s">
        <v>122</v>
      </c>
      <c r="DZF108" s="1" t="s">
        <v>122</v>
      </c>
      <c r="DZG108" s="1" t="s">
        <v>122</v>
      </c>
      <c r="DZH108" s="1" t="s">
        <v>122</v>
      </c>
      <c r="DZI108" s="1" t="s">
        <v>122</v>
      </c>
      <c r="DZJ108" s="1" t="s">
        <v>122</v>
      </c>
      <c r="DZK108" s="1" t="s">
        <v>122</v>
      </c>
      <c r="DZL108" s="1" t="s">
        <v>122</v>
      </c>
      <c r="DZM108" s="1" t="s">
        <v>122</v>
      </c>
      <c r="DZN108" s="1" t="s">
        <v>122</v>
      </c>
      <c r="DZO108" s="1" t="s">
        <v>122</v>
      </c>
      <c r="DZP108" s="1" t="s">
        <v>122</v>
      </c>
      <c r="DZQ108" s="1" t="s">
        <v>122</v>
      </c>
      <c r="DZR108" s="1" t="s">
        <v>122</v>
      </c>
      <c r="DZS108" s="1" t="s">
        <v>122</v>
      </c>
      <c r="DZT108" s="1" t="s">
        <v>122</v>
      </c>
      <c r="DZU108" s="1" t="s">
        <v>122</v>
      </c>
      <c r="DZV108" s="1" t="s">
        <v>122</v>
      </c>
      <c r="DZW108" s="1" t="s">
        <v>122</v>
      </c>
      <c r="DZX108" s="1" t="s">
        <v>122</v>
      </c>
      <c r="DZY108" s="1" t="s">
        <v>122</v>
      </c>
      <c r="DZZ108" s="1" t="s">
        <v>122</v>
      </c>
      <c r="EAA108" s="1" t="s">
        <v>122</v>
      </c>
      <c r="EAB108" s="1" t="s">
        <v>122</v>
      </c>
      <c r="EAC108" s="1" t="s">
        <v>122</v>
      </c>
      <c r="EAD108" s="1" t="s">
        <v>122</v>
      </c>
      <c r="EAE108" s="1" t="s">
        <v>122</v>
      </c>
      <c r="EAF108" s="1" t="s">
        <v>122</v>
      </c>
      <c r="EAG108" s="1" t="s">
        <v>122</v>
      </c>
      <c r="EAH108" s="1" t="s">
        <v>122</v>
      </c>
      <c r="EAI108" s="1" t="s">
        <v>122</v>
      </c>
      <c r="EAJ108" s="1" t="s">
        <v>122</v>
      </c>
      <c r="EAK108" s="1" t="s">
        <v>122</v>
      </c>
      <c r="EAL108" s="1" t="s">
        <v>122</v>
      </c>
      <c r="EAM108" s="1" t="s">
        <v>122</v>
      </c>
      <c r="EAN108" s="1" t="s">
        <v>122</v>
      </c>
      <c r="EAO108" s="1" t="s">
        <v>122</v>
      </c>
      <c r="EAP108" s="1" t="s">
        <v>122</v>
      </c>
      <c r="EAQ108" s="1" t="s">
        <v>122</v>
      </c>
      <c r="EAR108" s="1" t="s">
        <v>122</v>
      </c>
      <c r="EAS108" s="1" t="s">
        <v>122</v>
      </c>
      <c r="EAT108" s="1" t="s">
        <v>122</v>
      </c>
      <c r="EAU108" s="1" t="s">
        <v>122</v>
      </c>
      <c r="EAV108" s="1" t="s">
        <v>122</v>
      </c>
      <c r="EAW108" s="1" t="s">
        <v>122</v>
      </c>
      <c r="EAX108" s="1" t="s">
        <v>122</v>
      </c>
      <c r="EAY108" s="1" t="s">
        <v>122</v>
      </c>
      <c r="EAZ108" s="1" t="s">
        <v>122</v>
      </c>
      <c r="EBA108" s="1" t="s">
        <v>122</v>
      </c>
      <c r="EBB108" s="1" t="s">
        <v>122</v>
      </c>
      <c r="EBC108" s="1" t="s">
        <v>122</v>
      </c>
      <c r="EBD108" s="1" t="s">
        <v>122</v>
      </c>
      <c r="EBE108" s="1" t="s">
        <v>122</v>
      </c>
      <c r="EBF108" s="1" t="s">
        <v>122</v>
      </c>
      <c r="EBG108" s="1" t="s">
        <v>122</v>
      </c>
      <c r="EBH108" s="1" t="s">
        <v>122</v>
      </c>
      <c r="EBI108" s="1" t="s">
        <v>122</v>
      </c>
      <c r="EBJ108" s="1" t="s">
        <v>122</v>
      </c>
      <c r="EBK108" s="1" t="s">
        <v>122</v>
      </c>
      <c r="EBL108" s="1" t="s">
        <v>122</v>
      </c>
      <c r="EBM108" s="1" t="s">
        <v>122</v>
      </c>
      <c r="EBN108" s="1" t="s">
        <v>122</v>
      </c>
      <c r="EBO108" s="1" t="s">
        <v>122</v>
      </c>
      <c r="EBP108" s="1" t="s">
        <v>122</v>
      </c>
      <c r="EBQ108" s="1" t="s">
        <v>122</v>
      </c>
      <c r="EBR108" s="1" t="s">
        <v>122</v>
      </c>
      <c r="EBS108" s="1" t="s">
        <v>122</v>
      </c>
      <c r="EBT108" s="1" t="s">
        <v>122</v>
      </c>
      <c r="EBU108" s="1" t="s">
        <v>122</v>
      </c>
      <c r="EBV108" s="1" t="s">
        <v>122</v>
      </c>
      <c r="EBW108" s="1" t="s">
        <v>122</v>
      </c>
      <c r="EBX108" s="1" t="s">
        <v>122</v>
      </c>
      <c r="EBY108" s="1" t="s">
        <v>122</v>
      </c>
      <c r="EBZ108" s="1" t="s">
        <v>122</v>
      </c>
      <c r="ECA108" s="1" t="s">
        <v>122</v>
      </c>
      <c r="ECB108" s="1" t="s">
        <v>122</v>
      </c>
      <c r="ECC108" s="1" t="s">
        <v>122</v>
      </c>
      <c r="ECD108" s="1" t="s">
        <v>122</v>
      </c>
      <c r="ECE108" s="1" t="s">
        <v>122</v>
      </c>
      <c r="ECF108" s="1" t="s">
        <v>122</v>
      </c>
      <c r="ECG108" s="1" t="s">
        <v>122</v>
      </c>
      <c r="ECH108" s="1" t="s">
        <v>122</v>
      </c>
      <c r="ECI108" s="1" t="s">
        <v>122</v>
      </c>
      <c r="ECJ108" s="1" t="s">
        <v>122</v>
      </c>
      <c r="ECK108" s="1" t="s">
        <v>122</v>
      </c>
      <c r="ECL108" s="1" t="s">
        <v>122</v>
      </c>
      <c r="ECM108" s="1" t="s">
        <v>122</v>
      </c>
      <c r="ECN108" s="1" t="s">
        <v>122</v>
      </c>
      <c r="ECO108" s="1" t="s">
        <v>122</v>
      </c>
      <c r="ECP108" s="1" t="s">
        <v>122</v>
      </c>
      <c r="ECQ108" s="1" t="s">
        <v>122</v>
      </c>
      <c r="ECR108" s="1" t="s">
        <v>122</v>
      </c>
      <c r="ECS108" s="1" t="s">
        <v>122</v>
      </c>
      <c r="ECT108" s="1" t="s">
        <v>122</v>
      </c>
      <c r="ECU108" s="1" t="s">
        <v>122</v>
      </c>
      <c r="ECV108" s="1" t="s">
        <v>122</v>
      </c>
      <c r="ECW108" s="1" t="s">
        <v>122</v>
      </c>
      <c r="ECX108" s="1" t="s">
        <v>122</v>
      </c>
      <c r="ECY108" s="1" t="s">
        <v>122</v>
      </c>
      <c r="ECZ108" s="1" t="s">
        <v>122</v>
      </c>
      <c r="EDA108" s="1" t="s">
        <v>122</v>
      </c>
      <c r="EDB108" s="1" t="s">
        <v>122</v>
      </c>
      <c r="EDC108" s="1" t="s">
        <v>122</v>
      </c>
      <c r="EDD108" s="1" t="s">
        <v>122</v>
      </c>
      <c r="EDE108" s="1" t="s">
        <v>122</v>
      </c>
      <c r="EDF108" s="1" t="s">
        <v>122</v>
      </c>
      <c r="EDG108" s="1" t="s">
        <v>122</v>
      </c>
      <c r="EDH108" s="1" t="s">
        <v>122</v>
      </c>
      <c r="EDI108" s="1" t="s">
        <v>122</v>
      </c>
      <c r="EDJ108" s="1" t="s">
        <v>122</v>
      </c>
      <c r="EDK108" s="1" t="s">
        <v>122</v>
      </c>
      <c r="EDL108" s="1" t="s">
        <v>122</v>
      </c>
      <c r="EDM108" s="1" t="s">
        <v>122</v>
      </c>
      <c r="EDN108" s="1" t="s">
        <v>122</v>
      </c>
      <c r="EDO108" s="1" t="s">
        <v>122</v>
      </c>
      <c r="EDP108" s="1" t="s">
        <v>122</v>
      </c>
      <c r="EDQ108" s="1" t="s">
        <v>122</v>
      </c>
      <c r="EDR108" s="1" t="s">
        <v>122</v>
      </c>
      <c r="EDS108" s="1" t="s">
        <v>122</v>
      </c>
      <c r="EDT108" s="1" t="s">
        <v>122</v>
      </c>
      <c r="EDU108" s="1" t="s">
        <v>122</v>
      </c>
      <c r="EDV108" s="1" t="s">
        <v>122</v>
      </c>
      <c r="EDW108" s="1" t="s">
        <v>122</v>
      </c>
      <c r="EDX108" s="1" t="s">
        <v>122</v>
      </c>
      <c r="EDY108" s="1" t="s">
        <v>122</v>
      </c>
      <c r="EDZ108" s="1" t="s">
        <v>122</v>
      </c>
      <c r="EEA108" s="1" t="s">
        <v>122</v>
      </c>
      <c r="EEB108" s="1" t="s">
        <v>122</v>
      </c>
      <c r="EEC108" s="1" t="s">
        <v>122</v>
      </c>
      <c r="EED108" s="1" t="s">
        <v>122</v>
      </c>
      <c r="EEE108" s="1" t="s">
        <v>122</v>
      </c>
      <c r="EEF108" s="1" t="s">
        <v>122</v>
      </c>
      <c r="EEG108" s="1" t="s">
        <v>122</v>
      </c>
      <c r="EEH108" s="1" t="s">
        <v>122</v>
      </c>
      <c r="EEI108" s="1" t="s">
        <v>122</v>
      </c>
      <c r="EEJ108" s="1" t="s">
        <v>122</v>
      </c>
      <c r="EEK108" s="1" t="s">
        <v>122</v>
      </c>
      <c r="EEL108" s="1" t="s">
        <v>122</v>
      </c>
      <c r="EEM108" s="1" t="s">
        <v>122</v>
      </c>
      <c r="EEN108" s="1" t="s">
        <v>122</v>
      </c>
      <c r="EEO108" s="1" t="s">
        <v>122</v>
      </c>
      <c r="EEP108" s="1" t="s">
        <v>122</v>
      </c>
      <c r="EEQ108" s="1" t="s">
        <v>122</v>
      </c>
      <c r="EER108" s="1" t="s">
        <v>122</v>
      </c>
      <c r="EES108" s="1" t="s">
        <v>122</v>
      </c>
      <c r="EET108" s="1" t="s">
        <v>122</v>
      </c>
      <c r="EEU108" s="1" t="s">
        <v>122</v>
      </c>
      <c r="EEV108" s="1" t="s">
        <v>122</v>
      </c>
      <c r="EEW108" s="1" t="s">
        <v>122</v>
      </c>
      <c r="EEX108" s="1" t="s">
        <v>122</v>
      </c>
      <c r="EEY108" s="1" t="s">
        <v>122</v>
      </c>
      <c r="EEZ108" s="1" t="s">
        <v>122</v>
      </c>
      <c r="EFA108" s="1" t="s">
        <v>122</v>
      </c>
      <c r="EFB108" s="1" t="s">
        <v>122</v>
      </c>
      <c r="EFC108" s="1" t="s">
        <v>122</v>
      </c>
      <c r="EFD108" s="1" t="s">
        <v>122</v>
      </c>
      <c r="EFE108" s="1" t="s">
        <v>122</v>
      </c>
      <c r="EFF108" s="1" t="s">
        <v>122</v>
      </c>
      <c r="EFG108" s="1" t="s">
        <v>122</v>
      </c>
      <c r="EFH108" s="1" t="s">
        <v>122</v>
      </c>
      <c r="EFI108" s="1" t="s">
        <v>122</v>
      </c>
      <c r="EFJ108" s="1" t="s">
        <v>122</v>
      </c>
      <c r="EFK108" s="1" t="s">
        <v>122</v>
      </c>
      <c r="EFL108" s="1" t="s">
        <v>122</v>
      </c>
      <c r="EFM108" s="1" t="s">
        <v>122</v>
      </c>
      <c r="EFN108" s="1" t="s">
        <v>122</v>
      </c>
      <c r="EFO108" s="1" t="s">
        <v>122</v>
      </c>
      <c r="EFP108" s="1" t="s">
        <v>122</v>
      </c>
      <c r="EFQ108" s="1" t="s">
        <v>122</v>
      </c>
      <c r="EFR108" s="1" t="s">
        <v>122</v>
      </c>
      <c r="EFS108" s="1" t="s">
        <v>122</v>
      </c>
      <c r="EFT108" s="1" t="s">
        <v>122</v>
      </c>
      <c r="EFU108" s="1" t="s">
        <v>122</v>
      </c>
      <c r="EFV108" s="1" t="s">
        <v>122</v>
      </c>
      <c r="EFW108" s="1" t="s">
        <v>122</v>
      </c>
      <c r="EFX108" s="1" t="s">
        <v>122</v>
      </c>
      <c r="EFY108" s="1" t="s">
        <v>122</v>
      </c>
      <c r="EFZ108" s="1" t="s">
        <v>122</v>
      </c>
      <c r="EGA108" s="1" t="s">
        <v>122</v>
      </c>
      <c r="EGB108" s="1" t="s">
        <v>122</v>
      </c>
      <c r="EGC108" s="1" t="s">
        <v>122</v>
      </c>
      <c r="EGD108" s="1" t="s">
        <v>122</v>
      </c>
      <c r="EGE108" s="1" t="s">
        <v>122</v>
      </c>
      <c r="EGF108" s="1" t="s">
        <v>122</v>
      </c>
      <c r="EGG108" s="1" t="s">
        <v>122</v>
      </c>
      <c r="EGH108" s="1" t="s">
        <v>122</v>
      </c>
      <c r="EGI108" s="1" t="s">
        <v>122</v>
      </c>
      <c r="EGJ108" s="1" t="s">
        <v>122</v>
      </c>
      <c r="EGK108" s="1" t="s">
        <v>122</v>
      </c>
      <c r="EGL108" s="1" t="s">
        <v>122</v>
      </c>
      <c r="EGM108" s="1" t="s">
        <v>122</v>
      </c>
      <c r="EGN108" s="1" t="s">
        <v>122</v>
      </c>
      <c r="EGO108" s="1" t="s">
        <v>122</v>
      </c>
      <c r="EGP108" s="1" t="s">
        <v>122</v>
      </c>
      <c r="EGQ108" s="1" t="s">
        <v>122</v>
      </c>
      <c r="EGR108" s="1" t="s">
        <v>122</v>
      </c>
      <c r="EGS108" s="1" t="s">
        <v>122</v>
      </c>
      <c r="EGT108" s="1" t="s">
        <v>122</v>
      </c>
      <c r="EGU108" s="1" t="s">
        <v>122</v>
      </c>
      <c r="EGV108" s="1" t="s">
        <v>122</v>
      </c>
      <c r="EGW108" s="1" t="s">
        <v>122</v>
      </c>
      <c r="EGX108" s="1" t="s">
        <v>122</v>
      </c>
      <c r="EGY108" s="1" t="s">
        <v>122</v>
      </c>
      <c r="EGZ108" s="1" t="s">
        <v>122</v>
      </c>
      <c r="EHA108" s="1" t="s">
        <v>122</v>
      </c>
      <c r="EHB108" s="1" t="s">
        <v>122</v>
      </c>
      <c r="EHC108" s="1" t="s">
        <v>122</v>
      </c>
      <c r="EHD108" s="1" t="s">
        <v>122</v>
      </c>
      <c r="EHE108" s="1" t="s">
        <v>122</v>
      </c>
      <c r="EHF108" s="1" t="s">
        <v>122</v>
      </c>
      <c r="EHG108" s="1" t="s">
        <v>122</v>
      </c>
      <c r="EHH108" s="1" t="s">
        <v>122</v>
      </c>
      <c r="EHI108" s="1" t="s">
        <v>122</v>
      </c>
      <c r="EHJ108" s="1" t="s">
        <v>122</v>
      </c>
      <c r="EHK108" s="1" t="s">
        <v>122</v>
      </c>
      <c r="EHL108" s="1" t="s">
        <v>122</v>
      </c>
      <c r="EHM108" s="1" t="s">
        <v>122</v>
      </c>
      <c r="EHN108" s="1" t="s">
        <v>122</v>
      </c>
      <c r="EHO108" s="1" t="s">
        <v>122</v>
      </c>
      <c r="EHP108" s="1" t="s">
        <v>122</v>
      </c>
      <c r="EHQ108" s="1" t="s">
        <v>122</v>
      </c>
      <c r="EHR108" s="1" t="s">
        <v>122</v>
      </c>
      <c r="EHS108" s="1" t="s">
        <v>122</v>
      </c>
      <c r="EHT108" s="1" t="s">
        <v>122</v>
      </c>
      <c r="EHU108" s="1" t="s">
        <v>122</v>
      </c>
      <c r="EHV108" s="1" t="s">
        <v>122</v>
      </c>
      <c r="EHW108" s="1" t="s">
        <v>122</v>
      </c>
      <c r="EHX108" s="1" t="s">
        <v>122</v>
      </c>
      <c r="EHY108" s="1" t="s">
        <v>122</v>
      </c>
      <c r="EHZ108" s="1" t="s">
        <v>122</v>
      </c>
      <c r="EIA108" s="1" t="s">
        <v>122</v>
      </c>
      <c r="EIB108" s="1" t="s">
        <v>122</v>
      </c>
      <c r="EIC108" s="1" t="s">
        <v>122</v>
      </c>
      <c r="EID108" s="1" t="s">
        <v>122</v>
      </c>
      <c r="EIE108" s="1" t="s">
        <v>122</v>
      </c>
      <c r="EIF108" s="1" t="s">
        <v>122</v>
      </c>
      <c r="EIG108" s="1" t="s">
        <v>122</v>
      </c>
      <c r="EIH108" s="1" t="s">
        <v>122</v>
      </c>
      <c r="EII108" s="1" t="s">
        <v>122</v>
      </c>
      <c r="EIJ108" s="1" t="s">
        <v>122</v>
      </c>
      <c r="EIK108" s="1" t="s">
        <v>122</v>
      </c>
      <c r="EIL108" s="1" t="s">
        <v>122</v>
      </c>
      <c r="EIM108" s="1" t="s">
        <v>122</v>
      </c>
      <c r="EIN108" s="1" t="s">
        <v>122</v>
      </c>
      <c r="EIO108" s="1" t="s">
        <v>122</v>
      </c>
      <c r="EIP108" s="1" t="s">
        <v>122</v>
      </c>
      <c r="EIQ108" s="1" t="s">
        <v>122</v>
      </c>
      <c r="EIR108" s="1" t="s">
        <v>122</v>
      </c>
      <c r="EIS108" s="1" t="s">
        <v>122</v>
      </c>
      <c r="EIT108" s="1" t="s">
        <v>122</v>
      </c>
      <c r="EIU108" s="1" t="s">
        <v>122</v>
      </c>
      <c r="EIV108" s="1" t="s">
        <v>122</v>
      </c>
      <c r="EIW108" s="1" t="s">
        <v>122</v>
      </c>
      <c r="EIX108" s="1" t="s">
        <v>122</v>
      </c>
      <c r="EIY108" s="1" t="s">
        <v>122</v>
      </c>
      <c r="EIZ108" s="1" t="s">
        <v>122</v>
      </c>
      <c r="EJA108" s="1" t="s">
        <v>122</v>
      </c>
      <c r="EJB108" s="1" t="s">
        <v>122</v>
      </c>
      <c r="EJC108" s="1" t="s">
        <v>122</v>
      </c>
      <c r="EJD108" s="1" t="s">
        <v>122</v>
      </c>
      <c r="EJE108" s="1" t="s">
        <v>122</v>
      </c>
      <c r="EJF108" s="1" t="s">
        <v>122</v>
      </c>
      <c r="EJG108" s="1" t="s">
        <v>122</v>
      </c>
      <c r="EJH108" s="1" t="s">
        <v>122</v>
      </c>
      <c r="EJI108" s="1" t="s">
        <v>122</v>
      </c>
      <c r="EJJ108" s="1" t="s">
        <v>122</v>
      </c>
      <c r="EJK108" s="1" t="s">
        <v>122</v>
      </c>
      <c r="EJL108" s="1" t="s">
        <v>122</v>
      </c>
      <c r="EJM108" s="1" t="s">
        <v>122</v>
      </c>
      <c r="EJN108" s="1" t="s">
        <v>122</v>
      </c>
      <c r="EJO108" s="1" t="s">
        <v>122</v>
      </c>
      <c r="EJP108" s="1" t="s">
        <v>122</v>
      </c>
      <c r="EJQ108" s="1" t="s">
        <v>122</v>
      </c>
      <c r="EJR108" s="1" t="s">
        <v>122</v>
      </c>
      <c r="EJS108" s="1" t="s">
        <v>122</v>
      </c>
      <c r="EJT108" s="1" t="s">
        <v>122</v>
      </c>
      <c r="EJU108" s="1" t="s">
        <v>122</v>
      </c>
      <c r="EJV108" s="1" t="s">
        <v>122</v>
      </c>
      <c r="EJW108" s="1" t="s">
        <v>122</v>
      </c>
      <c r="EJX108" s="1" t="s">
        <v>122</v>
      </c>
      <c r="EJY108" s="1" t="s">
        <v>122</v>
      </c>
      <c r="EJZ108" s="1" t="s">
        <v>122</v>
      </c>
      <c r="EKA108" s="1" t="s">
        <v>122</v>
      </c>
      <c r="EKB108" s="1" t="s">
        <v>122</v>
      </c>
      <c r="EKC108" s="1" t="s">
        <v>122</v>
      </c>
      <c r="EKD108" s="1" t="s">
        <v>122</v>
      </c>
      <c r="EKE108" s="1" t="s">
        <v>122</v>
      </c>
      <c r="EKF108" s="1" t="s">
        <v>122</v>
      </c>
      <c r="EKG108" s="1" t="s">
        <v>122</v>
      </c>
      <c r="EKH108" s="1" t="s">
        <v>122</v>
      </c>
      <c r="EKI108" s="1" t="s">
        <v>122</v>
      </c>
      <c r="EKJ108" s="1" t="s">
        <v>122</v>
      </c>
      <c r="EKK108" s="1" t="s">
        <v>122</v>
      </c>
      <c r="EKL108" s="1" t="s">
        <v>122</v>
      </c>
      <c r="EKM108" s="1" t="s">
        <v>122</v>
      </c>
      <c r="EKN108" s="1" t="s">
        <v>122</v>
      </c>
      <c r="EKO108" s="1" t="s">
        <v>122</v>
      </c>
      <c r="EKP108" s="1" t="s">
        <v>122</v>
      </c>
      <c r="EKQ108" s="1" t="s">
        <v>122</v>
      </c>
      <c r="EKR108" s="1" t="s">
        <v>122</v>
      </c>
      <c r="EKS108" s="1" t="s">
        <v>122</v>
      </c>
      <c r="EKT108" s="1" t="s">
        <v>122</v>
      </c>
      <c r="EKU108" s="1" t="s">
        <v>122</v>
      </c>
      <c r="EKV108" s="1" t="s">
        <v>122</v>
      </c>
      <c r="EKW108" s="1" t="s">
        <v>122</v>
      </c>
      <c r="EKX108" s="1" t="s">
        <v>122</v>
      </c>
      <c r="EKY108" s="1" t="s">
        <v>122</v>
      </c>
      <c r="EKZ108" s="1" t="s">
        <v>122</v>
      </c>
      <c r="ELA108" s="1" t="s">
        <v>122</v>
      </c>
      <c r="ELB108" s="1" t="s">
        <v>122</v>
      </c>
      <c r="ELC108" s="1" t="s">
        <v>122</v>
      </c>
      <c r="ELD108" s="1" t="s">
        <v>122</v>
      </c>
      <c r="ELE108" s="1" t="s">
        <v>122</v>
      </c>
      <c r="ELF108" s="1" t="s">
        <v>122</v>
      </c>
      <c r="ELG108" s="1" t="s">
        <v>122</v>
      </c>
      <c r="ELH108" s="1" t="s">
        <v>122</v>
      </c>
      <c r="ELI108" s="1" t="s">
        <v>122</v>
      </c>
      <c r="ELJ108" s="1" t="s">
        <v>122</v>
      </c>
      <c r="ELK108" s="1" t="s">
        <v>122</v>
      </c>
      <c r="ELL108" s="1" t="s">
        <v>122</v>
      </c>
      <c r="ELM108" s="1" t="s">
        <v>122</v>
      </c>
      <c r="ELN108" s="1" t="s">
        <v>122</v>
      </c>
      <c r="ELO108" s="1" t="s">
        <v>122</v>
      </c>
      <c r="ELP108" s="1" t="s">
        <v>122</v>
      </c>
      <c r="ELQ108" s="1" t="s">
        <v>122</v>
      </c>
      <c r="ELR108" s="1" t="s">
        <v>122</v>
      </c>
      <c r="ELS108" s="1" t="s">
        <v>122</v>
      </c>
      <c r="ELT108" s="1" t="s">
        <v>122</v>
      </c>
      <c r="ELU108" s="1" t="s">
        <v>122</v>
      </c>
      <c r="ELV108" s="1" t="s">
        <v>122</v>
      </c>
      <c r="ELW108" s="1" t="s">
        <v>122</v>
      </c>
      <c r="ELX108" s="1" t="s">
        <v>122</v>
      </c>
      <c r="ELY108" s="1" t="s">
        <v>122</v>
      </c>
      <c r="ELZ108" s="1" t="s">
        <v>122</v>
      </c>
      <c r="EMA108" s="1" t="s">
        <v>122</v>
      </c>
      <c r="EMB108" s="1" t="s">
        <v>122</v>
      </c>
      <c r="EMC108" s="1" t="s">
        <v>122</v>
      </c>
      <c r="EMD108" s="1" t="s">
        <v>122</v>
      </c>
      <c r="EME108" s="1" t="s">
        <v>122</v>
      </c>
      <c r="EMF108" s="1" t="s">
        <v>122</v>
      </c>
      <c r="EMG108" s="1" t="s">
        <v>122</v>
      </c>
      <c r="EMH108" s="1" t="s">
        <v>122</v>
      </c>
      <c r="EMI108" s="1" t="s">
        <v>122</v>
      </c>
      <c r="EMJ108" s="1" t="s">
        <v>122</v>
      </c>
      <c r="EMK108" s="1" t="s">
        <v>122</v>
      </c>
      <c r="EML108" s="1" t="s">
        <v>122</v>
      </c>
      <c r="EMM108" s="1" t="s">
        <v>122</v>
      </c>
      <c r="EMN108" s="1" t="s">
        <v>122</v>
      </c>
      <c r="EMO108" s="1" t="s">
        <v>122</v>
      </c>
      <c r="EMP108" s="1" t="s">
        <v>122</v>
      </c>
      <c r="EMQ108" s="1" t="s">
        <v>122</v>
      </c>
      <c r="EMR108" s="1" t="s">
        <v>122</v>
      </c>
      <c r="EMS108" s="1" t="s">
        <v>122</v>
      </c>
      <c r="EMT108" s="1" t="s">
        <v>122</v>
      </c>
      <c r="EMU108" s="1" t="s">
        <v>122</v>
      </c>
      <c r="EMV108" s="1" t="s">
        <v>122</v>
      </c>
      <c r="EMW108" s="1" t="s">
        <v>122</v>
      </c>
      <c r="EMX108" s="1" t="s">
        <v>122</v>
      </c>
      <c r="EMY108" s="1" t="s">
        <v>122</v>
      </c>
      <c r="EMZ108" s="1" t="s">
        <v>122</v>
      </c>
      <c r="ENA108" s="1" t="s">
        <v>122</v>
      </c>
      <c r="ENB108" s="1" t="s">
        <v>122</v>
      </c>
      <c r="ENC108" s="1" t="s">
        <v>122</v>
      </c>
      <c r="END108" s="1" t="s">
        <v>122</v>
      </c>
      <c r="ENE108" s="1" t="s">
        <v>122</v>
      </c>
      <c r="ENF108" s="1" t="s">
        <v>122</v>
      </c>
      <c r="ENG108" s="1" t="s">
        <v>122</v>
      </c>
      <c r="ENH108" s="1" t="s">
        <v>122</v>
      </c>
      <c r="ENI108" s="1" t="s">
        <v>122</v>
      </c>
      <c r="ENJ108" s="1" t="s">
        <v>122</v>
      </c>
      <c r="ENK108" s="1" t="s">
        <v>122</v>
      </c>
      <c r="ENL108" s="1" t="s">
        <v>122</v>
      </c>
      <c r="ENM108" s="1" t="s">
        <v>122</v>
      </c>
      <c r="ENN108" s="1" t="s">
        <v>122</v>
      </c>
      <c r="ENO108" s="1" t="s">
        <v>122</v>
      </c>
      <c r="ENP108" s="1" t="s">
        <v>122</v>
      </c>
      <c r="ENQ108" s="1" t="s">
        <v>122</v>
      </c>
      <c r="ENR108" s="1" t="s">
        <v>122</v>
      </c>
      <c r="ENS108" s="1" t="s">
        <v>122</v>
      </c>
      <c r="ENT108" s="1" t="s">
        <v>122</v>
      </c>
      <c r="ENU108" s="1" t="s">
        <v>122</v>
      </c>
      <c r="ENV108" s="1" t="s">
        <v>122</v>
      </c>
      <c r="ENW108" s="1" t="s">
        <v>122</v>
      </c>
      <c r="ENX108" s="1" t="s">
        <v>122</v>
      </c>
      <c r="ENY108" s="1" t="s">
        <v>122</v>
      </c>
      <c r="ENZ108" s="1" t="s">
        <v>122</v>
      </c>
      <c r="EOA108" s="1" t="s">
        <v>122</v>
      </c>
      <c r="EOB108" s="1" t="s">
        <v>122</v>
      </c>
      <c r="EOC108" s="1" t="s">
        <v>122</v>
      </c>
      <c r="EOD108" s="1" t="s">
        <v>122</v>
      </c>
      <c r="EOE108" s="1" t="s">
        <v>122</v>
      </c>
      <c r="EOF108" s="1" t="s">
        <v>122</v>
      </c>
      <c r="EOG108" s="1" t="s">
        <v>122</v>
      </c>
      <c r="EOH108" s="1" t="s">
        <v>122</v>
      </c>
      <c r="EOI108" s="1" t="s">
        <v>122</v>
      </c>
      <c r="EOJ108" s="1" t="s">
        <v>122</v>
      </c>
      <c r="EOK108" s="1" t="s">
        <v>122</v>
      </c>
      <c r="EOL108" s="1" t="s">
        <v>122</v>
      </c>
      <c r="EOM108" s="1" t="s">
        <v>122</v>
      </c>
      <c r="EON108" s="1" t="s">
        <v>122</v>
      </c>
      <c r="EOO108" s="1" t="s">
        <v>122</v>
      </c>
      <c r="EOP108" s="1" t="s">
        <v>122</v>
      </c>
      <c r="EOQ108" s="1" t="s">
        <v>122</v>
      </c>
      <c r="EOR108" s="1" t="s">
        <v>122</v>
      </c>
      <c r="EOS108" s="1" t="s">
        <v>122</v>
      </c>
      <c r="EOT108" s="1" t="s">
        <v>122</v>
      </c>
      <c r="EOU108" s="1" t="s">
        <v>122</v>
      </c>
      <c r="EOV108" s="1" t="s">
        <v>122</v>
      </c>
      <c r="EOW108" s="1" t="s">
        <v>122</v>
      </c>
      <c r="EOX108" s="1" t="s">
        <v>122</v>
      </c>
      <c r="EOY108" s="1" t="s">
        <v>122</v>
      </c>
      <c r="EOZ108" s="1" t="s">
        <v>122</v>
      </c>
      <c r="EPA108" s="1" t="s">
        <v>122</v>
      </c>
      <c r="EPB108" s="1" t="s">
        <v>122</v>
      </c>
      <c r="EPC108" s="1" t="s">
        <v>122</v>
      </c>
      <c r="EPD108" s="1" t="s">
        <v>122</v>
      </c>
      <c r="EPE108" s="1" t="s">
        <v>122</v>
      </c>
      <c r="EPF108" s="1" t="s">
        <v>122</v>
      </c>
      <c r="EPG108" s="1" t="s">
        <v>122</v>
      </c>
      <c r="EPH108" s="1" t="s">
        <v>122</v>
      </c>
      <c r="EPI108" s="1" t="s">
        <v>122</v>
      </c>
      <c r="EPJ108" s="1" t="s">
        <v>122</v>
      </c>
      <c r="EPK108" s="1" t="s">
        <v>122</v>
      </c>
      <c r="EPL108" s="1" t="s">
        <v>122</v>
      </c>
      <c r="EPM108" s="1" t="s">
        <v>122</v>
      </c>
      <c r="EPN108" s="1" t="s">
        <v>122</v>
      </c>
      <c r="EPO108" s="1" t="s">
        <v>122</v>
      </c>
      <c r="EPP108" s="1" t="s">
        <v>122</v>
      </c>
      <c r="EPQ108" s="1" t="s">
        <v>122</v>
      </c>
      <c r="EPR108" s="1" t="s">
        <v>122</v>
      </c>
      <c r="EPS108" s="1" t="s">
        <v>122</v>
      </c>
      <c r="EPT108" s="1" t="s">
        <v>122</v>
      </c>
      <c r="EPU108" s="1" t="s">
        <v>122</v>
      </c>
      <c r="EPV108" s="1" t="s">
        <v>122</v>
      </c>
      <c r="EPW108" s="1" t="s">
        <v>122</v>
      </c>
      <c r="EPX108" s="1" t="s">
        <v>122</v>
      </c>
      <c r="EPY108" s="1" t="s">
        <v>122</v>
      </c>
      <c r="EPZ108" s="1" t="s">
        <v>122</v>
      </c>
      <c r="EQA108" s="1" t="s">
        <v>122</v>
      </c>
      <c r="EQB108" s="1" t="s">
        <v>122</v>
      </c>
      <c r="EQC108" s="1" t="s">
        <v>122</v>
      </c>
      <c r="EQD108" s="1" t="s">
        <v>122</v>
      </c>
      <c r="EQE108" s="1" t="s">
        <v>122</v>
      </c>
      <c r="EQF108" s="1" t="s">
        <v>122</v>
      </c>
      <c r="EQG108" s="1" t="s">
        <v>122</v>
      </c>
      <c r="EQH108" s="1" t="s">
        <v>122</v>
      </c>
      <c r="EQI108" s="1" t="s">
        <v>122</v>
      </c>
      <c r="EQJ108" s="1" t="s">
        <v>122</v>
      </c>
      <c r="EQK108" s="1" t="s">
        <v>122</v>
      </c>
      <c r="EQL108" s="1" t="s">
        <v>122</v>
      </c>
      <c r="EQM108" s="1" t="s">
        <v>122</v>
      </c>
      <c r="EQN108" s="1" t="s">
        <v>122</v>
      </c>
      <c r="EQO108" s="1" t="s">
        <v>122</v>
      </c>
      <c r="EQP108" s="1" t="s">
        <v>122</v>
      </c>
      <c r="EQQ108" s="1" t="s">
        <v>122</v>
      </c>
      <c r="EQR108" s="1" t="s">
        <v>122</v>
      </c>
      <c r="EQS108" s="1" t="s">
        <v>122</v>
      </c>
      <c r="EQT108" s="1" t="s">
        <v>122</v>
      </c>
      <c r="EQU108" s="1" t="s">
        <v>122</v>
      </c>
      <c r="EQV108" s="1" t="s">
        <v>122</v>
      </c>
      <c r="EQW108" s="1" t="s">
        <v>122</v>
      </c>
      <c r="EQX108" s="1" t="s">
        <v>122</v>
      </c>
      <c r="EQY108" s="1" t="s">
        <v>122</v>
      </c>
      <c r="EQZ108" s="1" t="s">
        <v>122</v>
      </c>
      <c r="ERA108" s="1" t="s">
        <v>122</v>
      </c>
      <c r="ERB108" s="1" t="s">
        <v>122</v>
      </c>
      <c r="ERC108" s="1" t="s">
        <v>122</v>
      </c>
      <c r="ERD108" s="1" t="s">
        <v>122</v>
      </c>
      <c r="ERE108" s="1" t="s">
        <v>122</v>
      </c>
      <c r="ERF108" s="1" t="s">
        <v>122</v>
      </c>
      <c r="ERG108" s="1" t="s">
        <v>122</v>
      </c>
      <c r="ERH108" s="1" t="s">
        <v>122</v>
      </c>
      <c r="ERI108" s="1" t="s">
        <v>122</v>
      </c>
      <c r="ERJ108" s="1" t="s">
        <v>122</v>
      </c>
      <c r="ERK108" s="1" t="s">
        <v>122</v>
      </c>
      <c r="ERL108" s="1" t="s">
        <v>122</v>
      </c>
      <c r="ERM108" s="1" t="s">
        <v>122</v>
      </c>
      <c r="ERN108" s="1" t="s">
        <v>122</v>
      </c>
      <c r="ERO108" s="1" t="s">
        <v>122</v>
      </c>
      <c r="ERP108" s="1" t="s">
        <v>122</v>
      </c>
      <c r="ERQ108" s="1" t="s">
        <v>122</v>
      </c>
      <c r="ERR108" s="1" t="s">
        <v>122</v>
      </c>
      <c r="ERS108" s="1" t="s">
        <v>122</v>
      </c>
      <c r="ERT108" s="1" t="s">
        <v>122</v>
      </c>
      <c r="ERU108" s="1" t="s">
        <v>122</v>
      </c>
      <c r="ERV108" s="1" t="s">
        <v>122</v>
      </c>
      <c r="ERW108" s="1" t="s">
        <v>122</v>
      </c>
      <c r="ERX108" s="1" t="s">
        <v>122</v>
      </c>
      <c r="ERY108" s="1" t="s">
        <v>122</v>
      </c>
      <c r="ERZ108" s="1" t="s">
        <v>122</v>
      </c>
      <c r="ESA108" s="1" t="s">
        <v>122</v>
      </c>
      <c r="ESB108" s="1" t="s">
        <v>122</v>
      </c>
      <c r="ESC108" s="1" t="s">
        <v>122</v>
      </c>
      <c r="ESD108" s="1" t="s">
        <v>122</v>
      </c>
      <c r="ESE108" s="1" t="s">
        <v>122</v>
      </c>
      <c r="ESF108" s="1" t="s">
        <v>122</v>
      </c>
      <c r="ESG108" s="1" t="s">
        <v>122</v>
      </c>
      <c r="ESH108" s="1" t="s">
        <v>122</v>
      </c>
      <c r="ESI108" s="1" t="s">
        <v>122</v>
      </c>
      <c r="ESJ108" s="1" t="s">
        <v>122</v>
      </c>
      <c r="ESK108" s="1" t="s">
        <v>122</v>
      </c>
      <c r="ESL108" s="1" t="s">
        <v>122</v>
      </c>
      <c r="ESM108" s="1" t="s">
        <v>122</v>
      </c>
      <c r="ESN108" s="1" t="s">
        <v>122</v>
      </c>
      <c r="ESO108" s="1" t="s">
        <v>122</v>
      </c>
      <c r="ESP108" s="1" t="s">
        <v>122</v>
      </c>
      <c r="ESQ108" s="1" t="s">
        <v>122</v>
      </c>
      <c r="ESR108" s="1" t="s">
        <v>122</v>
      </c>
      <c r="ESS108" s="1" t="s">
        <v>122</v>
      </c>
      <c r="EST108" s="1" t="s">
        <v>122</v>
      </c>
      <c r="ESU108" s="1" t="s">
        <v>122</v>
      </c>
      <c r="ESV108" s="1" t="s">
        <v>122</v>
      </c>
      <c r="ESW108" s="1" t="s">
        <v>122</v>
      </c>
      <c r="ESX108" s="1" t="s">
        <v>122</v>
      </c>
      <c r="ESY108" s="1" t="s">
        <v>122</v>
      </c>
      <c r="ESZ108" s="1" t="s">
        <v>122</v>
      </c>
      <c r="ETA108" s="1" t="s">
        <v>122</v>
      </c>
      <c r="ETB108" s="1" t="s">
        <v>122</v>
      </c>
      <c r="ETC108" s="1" t="s">
        <v>122</v>
      </c>
      <c r="ETD108" s="1" t="s">
        <v>122</v>
      </c>
      <c r="ETE108" s="1" t="s">
        <v>122</v>
      </c>
      <c r="ETF108" s="1" t="s">
        <v>122</v>
      </c>
      <c r="ETG108" s="1" t="s">
        <v>122</v>
      </c>
      <c r="ETH108" s="1" t="s">
        <v>122</v>
      </c>
      <c r="ETI108" s="1" t="s">
        <v>122</v>
      </c>
      <c r="ETJ108" s="1" t="s">
        <v>122</v>
      </c>
      <c r="ETK108" s="1" t="s">
        <v>122</v>
      </c>
      <c r="ETL108" s="1" t="s">
        <v>122</v>
      </c>
      <c r="ETM108" s="1" t="s">
        <v>122</v>
      </c>
      <c r="ETN108" s="1" t="s">
        <v>122</v>
      </c>
      <c r="ETO108" s="1" t="s">
        <v>122</v>
      </c>
      <c r="ETP108" s="1" t="s">
        <v>122</v>
      </c>
      <c r="ETQ108" s="1" t="s">
        <v>122</v>
      </c>
      <c r="ETR108" s="1" t="s">
        <v>122</v>
      </c>
      <c r="ETS108" s="1" t="s">
        <v>122</v>
      </c>
      <c r="ETT108" s="1" t="s">
        <v>122</v>
      </c>
      <c r="ETU108" s="1" t="s">
        <v>122</v>
      </c>
      <c r="ETV108" s="1" t="s">
        <v>122</v>
      </c>
      <c r="ETW108" s="1" t="s">
        <v>122</v>
      </c>
      <c r="ETX108" s="1" t="s">
        <v>122</v>
      </c>
      <c r="ETY108" s="1" t="s">
        <v>122</v>
      </c>
      <c r="ETZ108" s="1" t="s">
        <v>122</v>
      </c>
      <c r="EUA108" s="1" t="s">
        <v>122</v>
      </c>
      <c r="EUB108" s="1" t="s">
        <v>122</v>
      </c>
      <c r="EUC108" s="1" t="s">
        <v>122</v>
      </c>
      <c r="EUD108" s="1" t="s">
        <v>122</v>
      </c>
      <c r="EUE108" s="1" t="s">
        <v>122</v>
      </c>
      <c r="EUF108" s="1" t="s">
        <v>122</v>
      </c>
      <c r="EUG108" s="1" t="s">
        <v>122</v>
      </c>
      <c r="EUH108" s="1" t="s">
        <v>122</v>
      </c>
      <c r="EUI108" s="1" t="s">
        <v>122</v>
      </c>
      <c r="EUJ108" s="1" t="s">
        <v>122</v>
      </c>
      <c r="EUK108" s="1" t="s">
        <v>122</v>
      </c>
      <c r="EUL108" s="1" t="s">
        <v>122</v>
      </c>
      <c r="EUM108" s="1" t="s">
        <v>122</v>
      </c>
      <c r="EUN108" s="1" t="s">
        <v>122</v>
      </c>
      <c r="EUO108" s="1" t="s">
        <v>122</v>
      </c>
      <c r="EUP108" s="1" t="s">
        <v>122</v>
      </c>
      <c r="EUQ108" s="1" t="s">
        <v>122</v>
      </c>
      <c r="EUR108" s="1" t="s">
        <v>122</v>
      </c>
      <c r="EUS108" s="1" t="s">
        <v>122</v>
      </c>
      <c r="EUT108" s="1" t="s">
        <v>122</v>
      </c>
      <c r="EUU108" s="1" t="s">
        <v>122</v>
      </c>
      <c r="EUV108" s="1" t="s">
        <v>122</v>
      </c>
      <c r="EUW108" s="1" t="s">
        <v>122</v>
      </c>
      <c r="EUX108" s="1" t="s">
        <v>122</v>
      </c>
      <c r="EUY108" s="1" t="s">
        <v>122</v>
      </c>
      <c r="EUZ108" s="1" t="s">
        <v>122</v>
      </c>
      <c r="EVA108" s="1" t="s">
        <v>122</v>
      </c>
      <c r="EVB108" s="1" t="s">
        <v>122</v>
      </c>
      <c r="EVC108" s="1" t="s">
        <v>122</v>
      </c>
      <c r="EVD108" s="1" t="s">
        <v>122</v>
      </c>
      <c r="EVE108" s="1" t="s">
        <v>122</v>
      </c>
      <c r="EVF108" s="1" t="s">
        <v>122</v>
      </c>
      <c r="EVG108" s="1" t="s">
        <v>122</v>
      </c>
      <c r="EVH108" s="1" t="s">
        <v>122</v>
      </c>
      <c r="EVI108" s="1" t="s">
        <v>122</v>
      </c>
      <c r="EVJ108" s="1" t="s">
        <v>122</v>
      </c>
      <c r="EVK108" s="1" t="s">
        <v>122</v>
      </c>
      <c r="EVL108" s="1" t="s">
        <v>122</v>
      </c>
      <c r="EVM108" s="1" t="s">
        <v>122</v>
      </c>
      <c r="EVN108" s="1" t="s">
        <v>122</v>
      </c>
      <c r="EVO108" s="1" t="s">
        <v>122</v>
      </c>
      <c r="EVP108" s="1" t="s">
        <v>122</v>
      </c>
      <c r="EVQ108" s="1" t="s">
        <v>122</v>
      </c>
      <c r="EVR108" s="1" t="s">
        <v>122</v>
      </c>
      <c r="EVS108" s="1" t="s">
        <v>122</v>
      </c>
      <c r="EVT108" s="1" t="s">
        <v>122</v>
      </c>
      <c r="EVU108" s="1" t="s">
        <v>122</v>
      </c>
      <c r="EVV108" s="1" t="s">
        <v>122</v>
      </c>
      <c r="EVW108" s="1" t="s">
        <v>122</v>
      </c>
      <c r="EVX108" s="1" t="s">
        <v>122</v>
      </c>
      <c r="EVY108" s="1" t="s">
        <v>122</v>
      </c>
      <c r="EVZ108" s="1" t="s">
        <v>122</v>
      </c>
      <c r="EWA108" s="1" t="s">
        <v>122</v>
      </c>
      <c r="EWB108" s="1" t="s">
        <v>122</v>
      </c>
      <c r="EWC108" s="1" t="s">
        <v>122</v>
      </c>
      <c r="EWD108" s="1" t="s">
        <v>122</v>
      </c>
      <c r="EWE108" s="1" t="s">
        <v>122</v>
      </c>
      <c r="EWF108" s="1" t="s">
        <v>122</v>
      </c>
      <c r="EWG108" s="1" t="s">
        <v>122</v>
      </c>
      <c r="EWH108" s="1" t="s">
        <v>122</v>
      </c>
      <c r="EWI108" s="1" t="s">
        <v>122</v>
      </c>
      <c r="EWJ108" s="1" t="s">
        <v>122</v>
      </c>
      <c r="EWK108" s="1" t="s">
        <v>122</v>
      </c>
      <c r="EWL108" s="1" t="s">
        <v>122</v>
      </c>
      <c r="EWM108" s="1" t="s">
        <v>122</v>
      </c>
      <c r="EWN108" s="1" t="s">
        <v>122</v>
      </c>
      <c r="EWO108" s="1" t="s">
        <v>122</v>
      </c>
      <c r="EWP108" s="1" t="s">
        <v>122</v>
      </c>
      <c r="EWQ108" s="1" t="s">
        <v>122</v>
      </c>
      <c r="EWR108" s="1" t="s">
        <v>122</v>
      </c>
      <c r="EWS108" s="1" t="s">
        <v>122</v>
      </c>
      <c r="EWT108" s="1" t="s">
        <v>122</v>
      </c>
      <c r="EWU108" s="1" t="s">
        <v>122</v>
      </c>
      <c r="EWV108" s="1" t="s">
        <v>122</v>
      </c>
      <c r="EWW108" s="1" t="s">
        <v>122</v>
      </c>
      <c r="EWX108" s="1" t="s">
        <v>122</v>
      </c>
      <c r="EWY108" s="1" t="s">
        <v>122</v>
      </c>
      <c r="EWZ108" s="1" t="s">
        <v>122</v>
      </c>
      <c r="EXA108" s="1" t="s">
        <v>122</v>
      </c>
      <c r="EXB108" s="1" t="s">
        <v>122</v>
      </c>
      <c r="EXC108" s="1" t="s">
        <v>122</v>
      </c>
      <c r="EXD108" s="1" t="s">
        <v>122</v>
      </c>
      <c r="EXE108" s="1" t="s">
        <v>122</v>
      </c>
      <c r="EXF108" s="1" t="s">
        <v>122</v>
      </c>
      <c r="EXG108" s="1" t="s">
        <v>122</v>
      </c>
      <c r="EXH108" s="1" t="s">
        <v>122</v>
      </c>
      <c r="EXI108" s="1" t="s">
        <v>122</v>
      </c>
      <c r="EXJ108" s="1" t="s">
        <v>122</v>
      </c>
      <c r="EXK108" s="1" t="s">
        <v>122</v>
      </c>
      <c r="EXL108" s="1" t="s">
        <v>122</v>
      </c>
      <c r="EXM108" s="1" t="s">
        <v>122</v>
      </c>
      <c r="EXN108" s="1" t="s">
        <v>122</v>
      </c>
      <c r="EXO108" s="1" t="s">
        <v>122</v>
      </c>
      <c r="EXP108" s="1" t="s">
        <v>122</v>
      </c>
      <c r="EXQ108" s="1" t="s">
        <v>122</v>
      </c>
      <c r="EXR108" s="1" t="s">
        <v>122</v>
      </c>
      <c r="EXS108" s="1" t="s">
        <v>122</v>
      </c>
      <c r="EXT108" s="1" t="s">
        <v>122</v>
      </c>
      <c r="EXU108" s="1" t="s">
        <v>122</v>
      </c>
      <c r="EXV108" s="1" t="s">
        <v>122</v>
      </c>
      <c r="EXW108" s="1" t="s">
        <v>122</v>
      </c>
      <c r="EXX108" s="1" t="s">
        <v>122</v>
      </c>
      <c r="EXY108" s="1" t="s">
        <v>122</v>
      </c>
      <c r="EXZ108" s="1" t="s">
        <v>122</v>
      </c>
      <c r="EYA108" s="1" t="s">
        <v>122</v>
      </c>
      <c r="EYB108" s="1" t="s">
        <v>122</v>
      </c>
      <c r="EYC108" s="1" t="s">
        <v>122</v>
      </c>
      <c r="EYD108" s="1" t="s">
        <v>122</v>
      </c>
      <c r="EYE108" s="1" t="s">
        <v>122</v>
      </c>
      <c r="EYF108" s="1" t="s">
        <v>122</v>
      </c>
      <c r="EYG108" s="1" t="s">
        <v>122</v>
      </c>
      <c r="EYH108" s="1" t="s">
        <v>122</v>
      </c>
      <c r="EYI108" s="1" t="s">
        <v>122</v>
      </c>
      <c r="EYJ108" s="1" t="s">
        <v>122</v>
      </c>
      <c r="EYK108" s="1" t="s">
        <v>122</v>
      </c>
      <c r="EYL108" s="1" t="s">
        <v>122</v>
      </c>
      <c r="EYM108" s="1" t="s">
        <v>122</v>
      </c>
      <c r="EYN108" s="1" t="s">
        <v>122</v>
      </c>
      <c r="EYO108" s="1" t="s">
        <v>122</v>
      </c>
      <c r="EYP108" s="1" t="s">
        <v>122</v>
      </c>
      <c r="EYQ108" s="1" t="s">
        <v>122</v>
      </c>
      <c r="EYR108" s="1" t="s">
        <v>122</v>
      </c>
      <c r="EYS108" s="1" t="s">
        <v>122</v>
      </c>
      <c r="EYT108" s="1" t="s">
        <v>122</v>
      </c>
      <c r="EYU108" s="1" t="s">
        <v>122</v>
      </c>
      <c r="EYV108" s="1" t="s">
        <v>122</v>
      </c>
      <c r="EYW108" s="1" t="s">
        <v>122</v>
      </c>
      <c r="EYX108" s="1" t="s">
        <v>122</v>
      </c>
      <c r="EYY108" s="1" t="s">
        <v>122</v>
      </c>
      <c r="EYZ108" s="1" t="s">
        <v>122</v>
      </c>
      <c r="EZA108" s="1" t="s">
        <v>122</v>
      </c>
      <c r="EZB108" s="1" t="s">
        <v>122</v>
      </c>
      <c r="EZC108" s="1" t="s">
        <v>122</v>
      </c>
      <c r="EZD108" s="1" t="s">
        <v>122</v>
      </c>
      <c r="EZE108" s="1" t="s">
        <v>122</v>
      </c>
      <c r="EZF108" s="1" t="s">
        <v>122</v>
      </c>
      <c r="EZG108" s="1" t="s">
        <v>122</v>
      </c>
      <c r="EZH108" s="1" t="s">
        <v>122</v>
      </c>
      <c r="EZI108" s="1" t="s">
        <v>122</v>
      </c>
      <c r="EZJ108" s="1" t="s">
        <v>122</v>
      </c>
      <c r="EZK108" s="1" t="s">
        <v>122</v>
      </c>
      <c r="EZL108" s="1" t="s">
        <v>122</v>
      </c>
      <c r="EZM108" s="1" t="s">
        <v>122</v>
      </c>
      <c r="EZN108" s="1" t="s">
        <v>122</v>
      </c>
      <c r="EZO108" s="1" t="s">
        <v>122</v>
      </c>
      <c r="EZP108" s="1" t="s">
        <v>122</v>
      </c>
      <c r="EZQ108" s="1" t="s">
        <v>122</v>
      </c>
      <c r="EZR108" s="1" t="s">
        <v>122</v>
      </c>
      <c r="EZS108" s="1" t="s">
        <v>122</v>
      </c>
      <c r="EZT108" s="1" t="s">
        <v>122</v>
      </c>
      <c r="EZU108" s="1" t="s">
        <v>122</v>
      </c>
      <c r="EZV108" s="1" t="s">
        <v>122</v>
      </c>
      <c r="EZW108" s="1" t="s">
        <v>122</v>
      </c>
      <c r="EZX108" s="1" t="s">
        <v>122</v>
      </c>
      <c r="EZY108" s="1" t="s">
        <v>122</v>
      </c>
      <c r="EZZ108" s="1" t="s">
        <v>122</v>
      </c>
      <c r="FAA108" s="1" t="s">
        <v>122</v>
      </c>
      <c r="FAB108" s="1" t="s">
        <v>122</v>
      </c>
      <c r="FAC108" s="1" t="s">
        <v>122</v>
      </c>
      <c r="FAD108" s="1" t="s">
        <v>122</v>
      </c>
      <c r="FAE108" s="1" t="s">
        <v>122</v>
      </c>
      <c r="FAF108" s="1" t="s">
        <v>122</v>
      </c>
      <c r="FAG108" s="1" t="s">
        <v>122</v>
      </c>
      <c r="FAH108" s="1" t="s">
        <v>122</v>
      </c>
      <c r="FAI108" s="1" t="s">
        <v>122</v>
      </c>
      <c r="FAJ108" s="1" t="s">
        <v>122</v>
      </c>
      <c r="FAK108" s="1" t="s">
        <v>122</v>
      </c>
      <c r="FAL108" s="1" t="s">
        <v>122</v>
      </c>
      <c r="FAM108" s="1" t="s">
        <v>122</v>
      </c>
      <c r="FAN108" s="1" t="s">
        <v>122</v>
      </c>
      <c r="FAO108" s="1" t="s">
        <v>122</v>
      </c>
      <c r="FAP108" s="1" t="s">
        <v>122</v>
      </c>
      <c r="FAQ108" s="1" t="s">
        <v>122</v>
      </c>
      <c r="FAR108" s="1" t="s">
        <v>122</v>
      </c>
      <c r="FAS108" s="1" t="s">
        <v>122</v>
      </c>
      <c r="FAT108" s="1" t="s">
        <v>122</v>
      </c>
      <c r="FAU108" s="1" t="s">
        <v>122</v>
      </c>
      <c r="FAV108" s="1" t="s">
        <v>122</v>
      </c>
      <c r="FAW108" s="1" t="s">
        <v>122</v>
      </c>
      <c r="FAX108" s="1" t="s">
        <v>122</v>
      </c>
      <c r="FAY108" s="1" t="s">
        <v>122</v>
      </c>
      <c r="FAZ108" s="1" t="s">
        <v>122</v>
      </c>
      <c r="FBA108" s="1" t="s">
        <v>122</v>
      </c>
      <c r="FBB108" s="1" t="s">
        <v>122</v>
      </c>
      <c r="FBC108" s="1" t="s">
        <v>122</v>
      </c>
      <c r="FBD108" s="1" t="s">
        <v>122</v>
      </c>
      <c r="FBE108" s="1" t="s">
        <v>122</v>
      </c>
      <c r="FBF108" s="1" t="s">
        <v>122</v>
      </c>
      <c r="FBG108" s="1" t="s">
        <v>122</v>
      </c>
      <c r="FBH108" s="1" t="s">
        <v>122</v>
      </c>
      <c r="FBI108" s="1" t="s">
        <v>122</v>
      </c>
      <c r="FBJ108" s="1" t="s">
        <v>122</v>
      </c>
      <c r="FBK108" s="1" t="s">
        <v>122</v>
      </c>
      <c r="FBL108" s="1" t="s">
        <v>122</v>
      </c>
      <c r="FBM108" s="1" t="s">
        <v>122</v>
      </c>
      <c r="FBN108" s="1" t="s">
        <v>122</v>
      </c>
      <c r="FBO108" s="1" t="s">
        <v>122</v>
      </c>
      <c r="FBP108" s="1" t="s">
        <v>122</v>
      </c>
      <c r="FBQ108" s="1" t="s">
        <v>122</v>
      </c>
      <c r="FBR108" s="1" t="s">
        <v>122</v>
      </c>
      <c r="FBS108" s="1" t="s">
        <v>122</v>
      </c>
      <c r="FBT108" s="1" t="s">
        <v>122</v>
      </c>
      <c r="FBU108" s="1" t="s">
        <v>122</v>
      </c>
      <c r="FBV108" s="1" t="s">
        <v>122</v>
      </c>
      <c r="FBW108" s="1" t="s">
        <v>122</v>
      </c>
      <c r="FBX108" s="1" t="s">
        <v>122</v>
      </c>
      <c r="FBY108" s="1" t="s">
        <v>122</v>
      </c>
      <c r="FBZ108" s="1" t="s">
        <v>122</v>
      </c>
      <c r="FCA108" s="1" t="s">
        <v>122</v>
      </c>
      <c r="FCB108" s="1" t="s">
        <v>122</v>
      </c>
      <c r="FCC108" s="1" t="s">
        <v>122</v>
      </c>
      <c r="FCD108" s="1" t="s">
        <v>122</v>
      </c>
      <c r="FCE108" s="1" t="s">
        <v>122</v>
      </c>
      <c r="FCF108" s="1" t="s">
        <v>122</v>
      </c>
      <c r="FCG108" s="1" t="s">
        <v>122</v>
      </c>
      <c r="FCH108" s="1" t="s">
        <v>122</v>
      </c>
      <c r="FCI108" s="1" t="s">
        <v>122</v>
      </c>
      <c r="FCJ108" s="1" t="s">
        <v>122</v>
      </c>
      <c r="FCK108" s="1" t="s">
        <v>122</v>
      </c>
      <c r="FCL108" s="1" t="s">
        <v>122</v>
      </c>
      <c r="FCM108" s="1" t="s">
        <v>122</v>
      </c>
      <c r="FCN108" s="1" t="s">
        <v>122</v>
      </c>
      <c r="FCO108" s="1" t="s">
        <v>122</v>
      </c>
      <c r="FCP108" s="1" t="s">
        <v>122</v>
      </c>
      <c r="FCQ108" s="1" t="s">
        <v>122</v>
      </c>
      <c r="FCR108" s="1" t="s">
        <v>122</v>
      </c>
      <c r="FCS108" s="1" t="s">
        <v>122</v>
      </c>
      <c r="FCT108" s="1" t="s">
        <v>122</v>
      </c>
      <c r="FCU108" s="1" t="s">
        <v>122</v>
      </c>
      <c r="FCV108" s="1" t="s">
        <v>122</v>
      </c>
      <c r="FCW108" s="1" t="s">
        <v>122</v>
      </c>
      <c r="FCX108" s="1" t="s">
        <v>122</v>
      </c>
      <c r="FCY108" s="1" t="s">
        <v>122</v>
      </c>
      <c r="FCZ108" s="1" t="s">
        <v>122</v>
      </c>
      <c r="FDA108" s="1" t="s">
        <v>122</v>
      </c>
      <c r="FDB108" s="1" t="s">
        <v>122</v>
      </c>
      <c r="FDC108" s="1" t="s">
        <v>122</v>
      </c>
      <c r="FDD108" s="1" t="s">
        <v>122</v>
      </c>
      <c r="FDE108" s="1" t="s">
        <v>122</v>
      </c>
      <c r="FDF108" s="1" t="s">
        <v>122</v>
      </c>
      <c r="FDG108" s="1" t="s">
        <v>122</v>
      </c>
      <c r="FDH108" s="1" t="s">
        <v>122</v>
      </c>
      <c r="FDI108" s="1" t="s">
        <v>122</v>
      </c>
      <c r="FDJ108" s="1" t="s">
        <v>122</v>
      </c>
      <c r="FDK108" s="1" t="s">
        <v>122</v>
      </c>
      <c r="FDL108" s="1" t="s">
        <v>122</v>
      </c>
      <c r="FDM108" s="1" t="s">
        <v>122</v>
      </c>
      <c r="FDN108" s="1" t="s">
        <v>122</v>
      </c>
      <c r="FDO108" s="1" t="s">
        <v>122</v>
      </c>
      <c r="FDP108" s="1" t="s">
        <v>122</v>
      </c>
      <c r="FDQ108" s="1" t="s">
        <v>122</v>
      </c>
      <c r="FDR108" s="1" t="s">
        <v>122</v>
      </c>
      <c r="FDS108" s="1" t="s">
        <v>122</v>
      </c>
      <c r="FDT108" s="1" t="s">
        <v>122</v>
      </c>
      <c r="FDU108" s="1" t="s">
        <v>122</v>
      </c>
      <c r="FDV108" s="1" t="s">
        <v>122</v>
      </c>
      <c r="FDW108" s="1" t="s">
        <v>122</v>
      </c>
      <c r="FDX108" s="1" t="s">
        <v>122</v>
      </c>
      <c r="FDY108" s="1" t="s">
        <v>122</v>
      </c>
      <c r="FDZ108" s="1" t="s">
        <v>122</v>
      </c>
      <c r="FEA108" s="1" t="s">
        <v>122</v>
      </c>
      <c r="FEB108" s="1" t="s">
        <v>122</v>
      </c>
      <c r="FEC108" s="1" t="s">
        <v>122</v>
      </c>
      <c r="FED108" s="1" t="s">
        <v>122</v>
      </c>
      <c r="FEE108" s="1" t="s">
        <v>122</v>
      </c>
      <c r="FEF108" s="1" t="s">
        <v>122</v>
      </c>
      <c r="FEG108" s="1" t="s">
        <v>122</v>
      </c>
      <c r="FEH108" s="1" t="s">
        <v>122</v>
      </c>
      <c r="FEI108" s="1" t="s">
        <v>122</v>
      </c>
      <c r="FEJ108" s="1" t="s">
        <v>122</v>
      </c>
      <c r="FEK108" s="1" t="s">
        <v>122</v>
      </c>
      <c r="FEL108" s="1" t="s">
        <v>122</v>
      </c>
      <c r="FEM108" s="1" t="s">
        <v>122</v>
      </c>
      <c r="FEN108" s="1" t="s">
        <v>122</v>
      </c>
      <c r="FEO108" s="1" t="s">
        <v>122</v>
      </c>
      <c r="FEP108" s="1" t="s">
        <v>122</v>
      </c>
      <c r="FEQ108" s="1" t="s">
        <v>122</v>
      </c>
      <c r="FER108" s="1" t="s">
        <v>122</v>
      </c>
      <c r="FES108" s="1" t="s">
        <v>122</v>
      </c>
      <c r="FET108" s="1" t="s">
        <v>122</v>
      </c>
      <c r="FEU108" s="1" t="s">
        <v>122</v>
      </c>
      <c r="FEV108" s="1" t="s">
        <v>122</v>
      </c>
      <c r="FEW108" s="1" t="s">
        <v>122</v>
      </c>
      <c r="FEX108" s="1" t="s">
        <v>122</v>
      </c>
      <c r="FEY108" s="1" t="s">
        <v>122</v>
      </c>
      <c r="FEZ108" s="1" t="s">
        <v>122</v>
      </c>
      <c r="FFA108" s="1" t="s">
        <v>122</v>
      </c>
      <c r="FFB108" s="1" t="s">
        <v>122</v>
      </c>
      <c r="FFC108" s="1" t="s">
        <v>122</v>
      </c>
      <c r="FFD108" s="1" t="s">
        <v>122</v>
      </c>
      <c r="FFE108" s="1" t="s">
        <v>122</v>
      </c>
      <c r="FFF108" s="1" t="s">
        <v>122</v>
      </c>
      <c r="FFG108" s="1" t="s">
        <v>122</v>
      </c>
      <c r="FFH108" s="1" t="s">
        <v>122</v>
      </c>
      <c r="FFI108" s="1" t="s">
        <v>122</v>
      </c>
      <c r="FFJ108" s="1" t="s">
        <v>122</v>
      </c>
      <c r="FFK108" s="1" t="s">
        <v>122</v>
      </c>
      <c r="FFL108" s="1" t="s">
        <v>122</v>
      </c>
      <c r="FFM108" s="1" t="s">
        <v>122</v>
      </c>
      <c r="FFN108" s="1" t="s">
        <v>122</v>
      </c>
      <c r="FFO108" s="1" t="s">
        <v>122</v>
      </c>
      <c r="FFP108" s="1" t="s">
        <v>122</v>
      </c>
      <c r="FFQ108" s="1" t="s">
        <v>122</v>
      </c>
      <c r="FFR108" s="1" t="s">
        <v>122</v>
      </c>
      <c r="FFS108" s="1" t="s">
        <v>122</v>
      </c>
      <c r="FFT108" s="1" t="s">
        <v>122</v>
      </c>
      <c r="FFU108" s="1" t="s">
        <v>122</v>
      </c>
      <c r="FFV108" s="1" t="s">
        <v>122</v>
      </c>
      <c r="FFW108" s="1" t="s">
        <v>122</v>
      </c>
      <c r="FFX108" s="1" t="s">
        <v>122</v>
      </c>
      <c r="FFY108" s="1" t="s">
        <v>122</v>
      </c>
      <c r="FFZ108" s="1" t="s">
        <v>122</v>
      </c>
      <c r="FGA108" s="1" t="s">
        <v>122</v>
      </c>
      <c r="FGB108" s="1" t="s">
        <v>122</v>
      </c>
      <c r="FGC108" s="1" t="s">
        <v>122</v>
      </c>
      <c r="FGD108" s="1" t="s">
        <v>122</v>
      </c>
      <c r="FGE108" s="1" t="s">
        <v>122</v>
      </c>
      <c r="FGF108" s="1" t="s">
        <v>122</v>
      </c>
      <c r="FGG108" s="1" t="s">
        <v>122</v>
      </c>
      <c r="FGH108" s="1" t="s">
        <v>122</v>
      </c>
      <c r="FGI108" s="1" t="s">
        <v>122</v>
      </c>
      <c r="FGJ108" s="1" t="s">
        <v>122</v>
      </c>
      <c r="FGK108" s="1" t="s">
        <v>122</v>
      </c>
      <c r="FGL108" s="1" t="s">
        <v>122</v>
      </c>
      <c r="FGM108" s="1" t="s">
        <v>122</v>
      </c>
      <c r="FGN108" s="1" t="s">
        <v>122</v>
      </c>
      <c r="FGO108" s="1" t="s">
        <v>122</v>
      </c>
      <c r="FGP108" s="1" t="s">
        <v>122</v>
      </c>
      <c r="FGQ108" s="1" t="s">
        <v>122</v>
      </c>
      <c r="FGR108" s="1" t="s">
        <v>122</v>
      </c>
      <c r="FGS108" s="1" t="s">
        <v>122</v>
      </c>
      <c r="FGT108" s="1" t="s">
        <v>122</v>
      </c>
      <c r="FGU108" s="1" t="s">
        <v>122</v>
      </c>
      <c r="FGV108" s="1" t="s">
        <v>122</v>
      </c>
      <c r="FGW108" s="1" t="s">
        <v>122</v>
      </c>
      <c r="FGX108" s="1" t="s">
        <v>122</v>
      </c>
      <c r="FGY108" s="1" t="s">
        <v>122</v>
      </c>
      <c r="FGZ108" s="1" t="s">
        <v>122</v>
      </c>
      <c r="FHA108" s="1" t="s">
        <v>122</v>
      </c>
      <c r="FHB108" s="1" t="s">
        <v>122</v>
      </c>
      <c r="FHC108" s="1" t="s">
        <v>122</v>
      </c>
      <c r="FHD108" s="1" t="s">
        <v>122</v>
      </c>
      <c r="FHE108" s="1" t="s">
        <v>122</v>
      </c>
      <c r="FHF108" s="1" t="s">
        <v>122</v>
      </c>
      <c r="FHG108" s="1" t="s">
        <v>122</v>
      </c>
      <c r="FHH108" s="1" t="s">
        <v>122</v>
      </c>
      <c r="FHI108" s="1" t="s">
        <v>122</v>
      </c>
      <c r="FHJ108" s="1" t="s">
        <v>122</v>
      </c>
      <c r="FHK108" s="1" t="s">
        <v>122</v>
      </c>
      <c r="FHL108" s="1" t="s">
        <v>122</v>
      </c>
      <c r="FHM108" s="1" t="s">
        <v>122</v>
      </c>
      <c r="FHN108" s="1" t="s">
        <v>122</v>
      </c>
      <c r="FHO108" s="1" t="s">
        <v>122</v>
      </c>
      <c r="FHP108" s="1" t="s">
        <v>122</v>
      </c>
      <c r="FHQ108" s="1" t="s">
        <v>122</v>
      </c>
      <c r="FHR108" s="1" t="s">
        <v>122</v>
      </c>
      <c r="FHS108" s="1" t="s">
        <v>122</v>
      </c>
      <c r="FHT108" s="1" t="s">
        <v>122</v>
      </c>
      <c r="FHU108" s="1" t="s">
        <v>122</v>
      </c>
      <c r="FHV108" s="1" t="s">
        <v>122</v>
      </c>
      <c r="FHW108" s="1" t="s">
        <v>122</v>
      </c>
      <c r="FHX108" s="1" t="s">
        <v>122</v>
      </c>
      <c r="FHY108" s="1" t="s">
        <v>122</v>
      </c>
      <c r="FHZ108" s="1" t="s">
        <v>122</v>
      </c>
      <c r="FIA108" s="1" t="s">
        <v>122</v>
      </c>
      <c r="FIB108" s="1" t="s">
        <v>122</v>
      </c>
      <c r="FIC108" s="1" t="s">
        <v>122</v>
      </c>
      <c r="FID108" s="1" t="s">
        <v>122</v>
      </c>
      <c r="FIE108" s="1" t="s">
        <v>122</v>
      </c>
      <c r="FIF108" s="1" t="s">
        <v>122</v>
      </c>
      <c r="FIG108" s="1" t="s">
        <v>122</v>
      </c>
      <c r="FIH108" s="1" t="s">
        <v>122</v>
      </c>
      <c r="FII108" s="1" t="s">
        <v>122</v>
      </c>
      <c r="FIJ108" s="1" t="s">
        <v>122</v>
      </c>
      <c r="FIK108" s="1" t="s">
        <v>122</v>
      </c>
      <c r="FIL108" s="1" t="s">
        <v>122</v>
      </c>
      <c r="FIM108" s="1" t="s">
        <v>122</v>
      </c>
      <c r="FIN108" s="1" t="s">
        <v>122</v>
      </c>
      <c r="FIO108" s="1" t="s">
        <v>122</v>
      </c>
      <c r="FIP108" s="1" t="s">
        <v>122</v>
      </c>
      <c r="FIQ108" s="1" t="s">
        <v>122</v>
      </c>
      <c r="FIR108" s="1" t="s">
        <v>122</v>
      </c>
      <c r="FIS108" s="1" t="s">
        <v>122</v>
      </c>
      <c r="FIT108" s="1" t="s">
        <v>122</v>
      </c>
      <c r="FIU108" s="1" t="s">
        <v>122</v>
      </c>
      <c r="FIV108" s="1" t="s">
        <v>122</v>
      </c>
      <c r="FIW108" s="1" t="s">
        <v>122</v>
      </c>
      <c r="FIX108" s="1" t="s">
        <v>122</v>
      </c>
      <c r="FIY108" s="1" t="s">
        <v>122</v>
      </c>
      <c r="FIZ108" s="1" t="s">
        <v>122</v>
      </c>
      <c r="FJA108" s="1" t="s">
        <v>122</v>
      </c>
      <c r="FJB108" s="1" t="s">
        <v>122</v>
      </c>
      <c r="FJC108" s="1" t="s">
        <v>122</v>
      </c>
      <c r="FJD108" s="1" t="s">
        <v>122</v>
      </c>
      <c r="FJE108" s="1" t="s">
        <v>122</v>
      </c>
      <c r="FJF108" s="1" t="s">
        <v>122</v>
      </c>
      <c r="FJG108" s="1" t="s">
        <v>122</v>
      </c>
      <c r="FJH108" s="1" t="s">
        <v>122</v>
      </c>
      <c r="FJI108" s="1" t="s">
        <v>122</v>
      </c>
      <c r="FJJ108" s="1" t="s">
        <v>122</v>
      </c>
      <c r="FJK108" s="1" t="s">
        <v>122</v>
      </c>
      <c r="FJL108" s="1" t="s">
        <v>122</v>
      </c>
      <c r="FJM108" s="1" t="s">
        <v>122</v>
      </c>
      <c r="FJN108" s="1" t="s">
        <v>122</v>
      </c>
      <c r="FJO108" s="1" t="s">
        <v>122</v>
      </c>
      <c r="FJP108" s="1" t="s">
        <v>122</v>
      </c>
      <c r="FJQ108" s="1" t="s">
        <v>122</v>
      </c>
      <c r="FJR108" s="1" t="s">
        <v>122</v>
      </c>
      <c r="FJS108" s="1" t="s">
        <v>122</v>
      </c>
      <c r="FJT108" s="1" t="s">
        <v>122</v>
      </c>
      <c r="FJU108" s="1" t="s">
        <v>122</v>
      </c>
      <c r="FJV108" s="1" t="s">
        <v>122</v>
      </c>
      <c r="FJW108" s="1" t="s">
        <v>122</v>
      </c>
      <c r="FJX108" s="1" t="s">
        <v>122</v>
      </c>
      <c r="FJY108" s="1" t="s">
        <v>122</v>
      </c>
      <c r="FJZ108" s="1" t="s">
        <v>122</v>
      </c>
      <c r="FKA108" s="1" t="s">
        <v>122</v>
      </c>
      <c r="FKB108" s="1" t="s">
        <v>122</v>
      </c>
      <c r="FKC108" s="1" t="s">
        <v>122</v>
      </c>
      <c r="FKD108" s="1" t="s">
        <v>122</v>
      </c>
      <c r="FKE108" s="1" t="s">
        <v>122</v>
      </c>
      <c r="FKF108" s="1" t="s">
        <v>122</v>
      </c>
      <c r="FKG108" s="1" t="s">
        <v>122</v>
      </c>
      <c r="FKH108" s="1" t="s">
        <v>122</v>
      </c>
      <c r="FKI108" s="1" t="s">
        <v>122</v>
      </c>
      <c r="FKJ108" s="1" t="s">
        <v>122</v>
      </c>
      <c r="FKK108" s="1" t="s">
        <v>122</v>
      </c>
      <c r="FKL108" s="1" t="s">
        <v>122</v>
      </c>
      <c r="FKM108" s="1" t="s">
        <v>122</v>
      </c>
      <c r="FKN108" s="1" t="s">
        <v>122</v>
      </c>
      <c r="FKO108" s="1" t="s">
        <v>122</v>
      </c>
      <c r="FKP108" s="1" t="s">
        <v>122</v>
      </c>
      <c r="FKQ108" s="1" t="s">
        <v>122</v>
      </c>
      <c r="FKR108" s="1" t="s">
        <v>122</v>
      </c>
      <c r="FKS108" s="1" t="s">
        <v>122</v>
      </c>
      <c r="FKT108" s="1" t="s">
        <v>122</v>
      </c>
      <c r="FKU108" s="1" t="s">
        <v>122</v>
      </c>
      <c r="FKV108" s="1" t="s">
        <v>122</v>
      </c>
      <c r="FKW108" s="1" t="s">
        <v>122</v>
      </c>
      <c r="FKX108" s="1" t="s">
        <v>122</v>
      </c>
      <c r="FKY108" s="1" t="s">
        <v>122</v>
      </c>
      <c r="FKZ108" s="1" t="s">
        <v>122</v>
      </c>
      <c r="FLA108" s="1" t="s">
        <v>122</v>
      </c>
      <c r="FLB108" s="1" t="s">
        <v>122</v>
      </c>
      <c r="FLC108" s="1" t="s">
        <v>122</v>
      </c>
      <c r="FLD108" s="1" t="s">
        <v>122</v>
      </c>
      <c r="FLE108" s="1" t="s">
        <v>122</v>
      </c>
      <c r="FLF108" s="1" t="s">
        <v>122</v>
      </c>
      <c r="FLG108" s="1" t="s">
        <v>122</v>
      </c>
      <c r="FLH108" s="1" t="s">
        <v>122</v>
      </c>
      <c r="FLI108" s="1" t="s">
        <v>122</v>
      </c>
      <c r="FLJ108" s="1" t="s">
        <v>122</v>
      </c>
      <c r="FLK108" s="1" t="s">
        <v>122</v>
      </c>
      <c r="FLL108" s="1" t="s">
        <v>122</v>
      </c>
      <c r="FLM108" s="1" t="s">
        <v>122</v>
      </c>
      <c r="FLN108" s="1" t="s">
        <v>122</v>
      </c>
      <c r="FLO108" s="1" t="s">
        <v>122</v>
      </c>
      <c r="FLP108" s="1" t="s">
        <v>122</v>
      </c>
      <c r="FLQ108" s="1" t="s">
        <v>122</v>
      </c>
      <c r="FLR108" s="1" t="s">
        <v>122</v>
      </c>
      <c r="FLS108" s="1" t="s">
        <v>122</v>
      </c>
      <c r="FLT108" s="1" t="s">
        <v>122</v>
      </c>
      <c r="FLU108" s="1" t="s">
        <v>122</v>
      </c>
      <c r="FLV108" s="1" t="s">
        <v>122</v>
      </c>
      <c r="FLW108" s="1" t="s">
        <v>122</v>
      </c>
      <c r="FLX108" s="1" t="s">
        <v>122</v>
      </c>
      <c r="FLY108" s="1" t="s">
        <v>122</v>
      </c>
      <c r="FLZ108" s="1" t="s">
        <v>122</v>
      </c>
      <c r="FMA108" s="1" t="s">
        <v>122</v>
      </c>
      <c r="FMB108" s="1" t="s">
        <v>122</v>
      </c>
      <c r="FMC108" s="1" t="s">
        <v>122</v>
      </c>
      <c r="FMD108" s="1" t="s">
        <v>122</v>
      </c>
      <c r="FME108" s="1" t="s">
        <v>122</v>
      </c>
      <c r="FMF108" s="1" t="s">
        <v>122</v>
      </c>
      <c r="FMG108" s="1" t="s">
        <v>122</v>
      </c>
      <c r="FMH108" s="1" t="s">
        <v>122</v>
      </c>
      <c r="FMI108" s="1" t="s">
        <v>122</v>
      </c>
      <c r="FMJ108" s="1" t="s">
        <v>122</v>
      </c>
      <c r="FMK108" s="1" t="s">
        <v>122</v>
      </c>
      <c r="FML108" s="1" t="s">
        <v>122</v>
      </c>
      <c r="FMM108" s="1" t="s">
        <v>122</v>
      </c>
      <c r="FMN108" s="1" t="s">
        <v>122</v>
      </c>
      <c r="FMO108" s="1" t="s">
        <v>122</v>
      </c>
      <c r="FMP108" s="1" t="s">
        <v>122</v>
      </c>
      <c r="FMQ108" s="1" t="s">
        <v>122</v>
      </c>
      <c r="FMR108" s="1" t="s">
        <v>122</v>
      </c>
      <c r="FMS108" s="1" t="s">
        <v>122</v>
      </c>
      <c r="FMT108" s="1" t="s">
        <v>122</v>
      </c>
      <c r="FMU108" s="1" t="s">
        <v>122</v>
      </c>
      <c r="FMV108" s="1" t="s">
        <v>122</v>
      </c>
      <c r="FMW108" s="1" t="s">
        <v>122</v>
      </c>
      <c r="FMX108" s="1" t="s">
        <v>122</v>
      </c>
      <c r="FMY108" s="1" t="s">
        <v>122</v>
      </c>
      <c r="FMZ108" s="1" t="s">
        <v>122</v>
      </c>
      <c r="FNA108" s="1" t="s">
        <v>122</v>
      </c>
      <c r="FNB108" s="1" t="s">
        <v>122</v>
      </c>
      <c r="FNC108" s="1" t="s">
        <v>122</v>
      </c>
      <c r="FND108" s="1" t="s">
        <v>122</v>
      </c>
      <c r="FNE108" s="1" t="s">
        <v>122</v>
      </c>
      <c r="FNF108" s="1" t="s">
        <v>122</v>
      </c>
      <c r="FNG108" s="1" t="s">
        <v>122</v>
      </c>
      <c r="FNH108" s="1" t="s">
        <v>122</v>
      </c>
      <c r="FNI108" s="1" t="s">
        <v>122</v>
      </c>
      <c r="FNJ108" s="1" t="s">
        <v>122</v>
      </c>
      <c r="FNK108" s="1" t="s">
        <v>122</v>
      </c>
      <c r="FNL108" s="1" t="s">
        <v>122</v>
      </c>
      <c r="FNM108" s="1" t="s">
        <v>122</v>
      </c>
      <c r="FNN108" s="1" t="s">
        <v>122</v>
      </c>
      <c r="FNO108" s="1" t="s">
        <v>122</v>
      </c>
      <c r="FNP108" s="1" t="s">
        <v>122</v>
      </c>
      <c r="FNQ108" s="1" t="s">
        <v>122</v>
      </c>
      <c r="FNR108" s="1" t="s">
        <v>122</v>
      </c>
      <c r="FNS108" s="1" t="s">
        <v>122</v>
      </c>
      <c r="FNT108" s="1" t="s">
        <v>122</v>
      </c>
      <c r="FNU108" s="1" t="s">
        <v>122</v>
      </c>
      <c r="FNV108" s="1" t="s">
        <v>122</v>
      </c>
      <c r="FNW108" s="1" t="s">
        <v>122</v>
      </c>
      <c r="FNX108" s="1" t="s">
        <v>122</v>
      </c>
      <c r="FNY108" s="1" t="s">
        <v>122</v>
      </c>
      <c r="FNZ108" s="1" t="s">
        <v>122</v>
      </c>
      <c r="FOA108" s="1" t="s">
        <v>122</v>
      </c>
      <c r="FOB108" s="1" t="s">
        <v>122</v>
      </c>
      <c r="FOC108" s="1" t="s">
        <v>122</v>
      </c>
      <c r="FOD108" s="1" t="s">
        <v>122</v>
      </c>
      <c r="FOE108" s="1" t="s">
        <v>122</v>
      </c>
      <c r="FOF108" s="1" t="s">
        <v>122</v>
      </c>
      <c r="FOG108" s="1" t="s">
        <v>122</v>
      </c>
      <c r="FOH108" s="1" t="s">
        <v>122</v>
      </c>
      <c r="FOI108" s="1" t="s">
        <v>122</v>
      </c>
      <c r="FOJ108" s="1" t="s">
        <v>122</v>
      </c>
      <c r="FOK108" s="1" t="s">
        <v>122</v>
      </c>
      <c r="FOL108" s="1" t="s">
        <v>122</v>
      </c>
      <c r="FOM108" s="1" t="s">
        <v>122</v>
      </c>
      <c r="FON108" s="1" t="s">
        <v>122</v>
      </c>
      <c r="FOO108" s="1" t="s">
        <v>122</v>
      </c>
      <c r="FOP108" s="1" t="s">
        <v>122</v>
      </c>
      <c r="FOQ108" s="1" t="s">
        <v>122</v>
      </c>
      <c r="FOR108" s="1" t="s">
        <v>122</v>
      </c>
      <c r="FOS108" s="1" t="s">
        <v>122</v>
      </c>
      <c r="FOT108" s="1" t="s">
        <v>122</v>
      </c>
      <c r="FOU108" s="1" t="s">
        <v>122</v>
      </c>
      <c r="FOV108" s="1" t="s">
        <v>122</v>
      </c>
      <c r="FOW108" s="1" t="s">
        <v>122</v>
      </c>
      <c r="FOX108" s="1" t="s">
        <v>122</v>
      </c>
      <c r="FOY108" s="1" t="s">
        <v>122</v>
      </c>
      <c r="FOZ108" s="1" t="s">
        <v>122</v>
      </c>
      <c r="FPA108" s="1" t="s">
        <v>122</v>
      </c>
      <c r="FPB108" s="1" t="s">
        <v>122</v>
      </c>
      <c r="FPC108" s="1" t="s">
        <v>122</v>
      </c>
      <c r="FPD108" s="1" t="s">
        <v>122</v>
      </c>
      <c r="FPE108" s="1" t="s">
        <v>122</v>
      </c>
      <c r="FPF108" s="1" t="s">
        <v>122</v>
      </c>
      <c r="FPG108" s="1" t="s">
        <v>122</v>
      </c>
      <c r="FPH108" s="1" t="s">
        <v>122</v>
      </c>
      <c r="FPI108" s="1" t="s">
        <v>122</v>
      </c>
      <c r="FPJ108" s="1" t="s">
        <v>122</v>
      </c>
      <c r="FPK108" s="1" t="s">
        <v>122</v>
      </c>
      <c r="FPL108" s="1" t="s">
        <v>122</v>
      </c>
      <c r="FPM108" s="1" t="s">
        <v>122</v>
      </c>
      <c r="FPN108" s="1" t="s">
        <v>122</v>
      </c>
      <c r="FPO108" s="1" t="s">
        <v>122</v>
      </c>
      <c r="FPP108" s="1" t="s">
        <v>122</v>
      </c>
      <c r="FPQ108" s="1" t="s">
        <v>122</v>
      </c>
      <c r="FPR108" s="1" t="s">
        <v>122</v>
      </c>
      <c r="FPS108" s="1" t="s">
        <v>122</v>
      </c>
      <c r="FPT108" s="1" t="s">
        <v>122</v>
      </c>
      <c r="FPU108" s="1" t="s">
        <v>122</v>
      </c>
      <c r="FPV108" s="1" t="s">
        <v>122</v>
      </c>
      <c r="FPW108" s="1" t="s">
        <v>122</v>
      </c>
      <c r="FPX108" s="1" t="s">
        <v>122</v>
      </c>
      <c r="FPY108" s="1" t="s">
        <v>122</v>
      </c>
      <c r="FPZ108" s="1" t="s">
        <v>122</v>
      </c>
      <c r="FQA108" s="1" t="s">
        <v>122</v>
      </c>
      <c r="FQB108" s="1" t="s">
        <v>122</v>
      </c>
      <c r="FQC108" s="1" t="s">
        <v>122</v>
      </c>
      <c r="FQD108" s="1" t="s">
        <v>122</v>
      </c>
      <c r="FQE108" s="1" t="s">
        <v>122</v>
      </c>
      <c r="FQF108" s="1" t="s">
        <v>122</v>
      </c>
      <c r="FQG108" s="1" t="s">
        <v>122</v>
      </c>
      <c r="FQH108" s="1" t="s">
        <v>122</v>
      </c>
      <c r="FQI108" s="1" t="s">
        <v>122</v>
      </c>
      <c r="FQJ108" s="1" t="s">
        <v>122</v>
      </c>
      <c r="FQK108" s="1" t="s">
        <v>122</v>
      </c>
      <c r="FQL108" s="1" t="s">
        <v>122</v>
      </c>
      <c r="FQM108" s="1" t="s">
        <v>122</v>
      </c>
      <c r="FQN108" s="1" t="s">
        <v>122</v>
      </c>
      <c r="FQO108" s="1" t="s">
        <v>122</v>
      </c>
      <c r="FQP108" s="1" t="s">
        <v>122</v>
      </c>
      <c r="FQQ108" s="1" t="s">
        <v>122</v>
      </c>
      <c r="FQR108" s="1" t="s">
        <v>122</v>
      </c>
      <c r="FQS108" s="1" t="s">
        <v>122</v>
      </c>
      <c r="FQT108" s="1" t="s">
        <v>122</v>
      </c>
      <c r="FQU108" s="1" t="s">
        <v>122</v>
      </c>
      <c r="FQV108" s="1" t="s">
        <v>122</v>
      </c>
      <c r="FQW108" s="1" t="s">
        <v>122</v>
      </c>
      <c r="FQX108" s="1" t="s">
        <v>122</v>
      </c>
      <c r="FQY108" s="1" t="s">
        <v>122</v>
      </c>
      <c r="FQZ108" s="1" t="s">
        <v>122</v>
      </c>
      <c r="FRA108" s="1" t="s">
        <v>122</v>
      </c>
      <c r="FRB108" s="1" t="s">
        <v>122</v>
      </c>
      <c r="FRC108" s="1" t="s">
        <v>122</v>
      </c>
      <c r="FRD108" s="1" t="s">
        <v>122</v>
      </c>
      <c r="FRE108" s="1" t="s">
        <v>122</v>
      </c>
      <c r="FRF108" s="1" t="s">
        <v>122</v>
      </c>
      <c r="FRG108" s="1" t="s">
        <v>122</v>
      </c>
      <c r="FRH108" s="1" t="s">
        <v>122</v>
      </c>
      <c r="FRI108" s="1" t="s">
        <v>122</v>
      </c>
      <c r="FRJ108" s="1" t="s">
        <v>122</v>
      </c>
      <c r="FRK108" s="1" t="s">
        <v>122</v>
      </c>
      <c r="FRL108" s="1" t="s">
        <v>122</v>
      </c>
      <c r="FRM108" s="1" t="s">
        <v>122</v>
      </c>
      <c r="FRN108" s="1" t="s">
        <v>122</v>
      </c>
      <c r="FRO108" s="1" t="s">
        <v>122</v>
      </c>
      <c r="FRP108" s="1" t="s">
        <v>122</v>
      </c>
      <c r="FRQ108" s="1" t="s">
        <v>122</v>
      </c>
      <c r="FRR108" s="1" t="s">
        <v>122</v>
      </c>
      <c r="FRS108" s="1" t="s">
        <v>122</v>
      </c>
      <c r="FRT108" s="1" t="s">
        <v>122</v>
      </c>
      <c r="FRU108" s="1" t="s">
        <v>122</v>
      </c>
      <c r="FRV108" s="1" t="s">
        <v>122</v>
      </c>
      <c r="FRW108" s="1" t="s">
        <v>122</v>
      </c>
      <c r="FRX108" s="1" t="s">
        <v>122</v>
      </c>
      <c r="FRY108" s="1" t="s">
        <v>122</v>
      </c>
      <c r="FRZ108" s="1" t="s">
        <v>122</v>
      </c>
      <c r="FSA108" s="1" t="s">
        <v>122</v>
      </c>
      <c r="FSB108" s="1" t="s">
        <v>122</v>
      </c>
      <c r="FSC108" s="1" t="s">
        <v>122</v>
      </c>
      <c r="FSD108" s="1" t="s">
        <v>122</v>
      </c>
      <c r="FSE108" s="1" t="s">
        <v>122</v>
      </c>
      <c r="FSF108" s="1" t="s">
        <v>122</v>
      </c>
      <c r="FSG108" s="1" t="s">
        <v>122</v>
      </c>
      <c r="FSH108" s="1" t="s">
        <v>122</v>
      </c>
      <c r="FSI108" s="1" t="s">
        <v>122</v>
      </c>
      <c r="FSJ108" s="1" t="s">
        <v>122</v>
      </c>
      <c r="FSK108" s="1" t="s">
        <v>122</v>
      </c>
      <c r="FSL108" s="1" t="s">
        <v>122</v>
      </c>
      <c r="FSM108" s="1" t="s">
        <v>122</v>
      </c>
      <c r="FSN108" s="1" t="s">
        <v>122</v>
      </c>
      <c r="FSO108" s="1" t="s">
        <v>122</v>
      </c>
      <c r="FSP108" s="1" t="s">
        <v>122</v>
      </c>
      <c r="FSQ108" s="1" t="s">
        <v>122</v>
      </c>
      <c r="FSR108" s="1" t="s">
        <v>122</v>
      </c>
      <c r="FSS108" s="1" t="s">
        <v>122</v>
      </c>
      <c r="FST108" s="1" t="s">
        <v>122</v>
      </c>
      <c r="FSU108" s="1" t="s">
        <v>122</v>
      </c>
      <c r="FSV108" s="1" t="s">
        <v>122</v>
      </c>
      <c r="FSW108" s="1" t="s">
        <v>122</v>
      </c>
      <c r="FSX108" s="1" t="s">
        <v>122</v>
      </c>
      <c r="FSY108" s="1" t="s">
        <v>122</v>
      </c>
      <c r="FSZ108" s="1" t="s">
        <v>122</v>
      </c>
      <c r="FTA108" s="1" t="s">
        <v>122</v>
      </c>
      <c r="FTB108" s="1" t="s">
        <v>122</v>
      </c>
      <c r="FTC108" s="1" t="s">
        <v>122</v>
      </c>
      <c r="FTD108" s="1" t="s">
        <v>122</v>
      </c>
      <c r="FTE108" s="1" t="s">
        <v>122</v>
      </c>
      <c r="FTF108" s="1" t="s">
        <v>122</v>
      </c>
      <c r="FTG108" s="1" t="s">
        <v>122</v>
      </c>
      <c r="FTH108" s="1" t="s">
        <v>122</v>
      </c>
      <c r="FTI108" s="1" t="s">
        <v>122</v>
      </c>
      <c r="FTJ108" s="1" t="s">
        <v>122</v>
      </c>
      <c r="FTK108" s="1" t="s">
        <v>122</v>
      </c>
      <c r="FTL108" s="1" t="s">
        <v>122</v>
      </c>
      <c r="FTM108" s="1" t="s">
        <v>122</v>
      </c>
      <c r="FTN108" s="1" t="s">
        <v>122</v>
      </c>
      <c r="FTO108" s="1" t="s">
        <v>122</v>
      </c>
      <c r="FTP108" s="1" t="s">
        <v>122</v>
      </c>
      <c r="FTQ108" s="1" t="s">
        <v>122</v>
      </c>
      <c r="FTR108" s="1" t="s">
        <v>122</v>
      </c>
      <c r="FTS108" s="1" t="s">
        <v>122</v>
      </c>
      <c r="FTT108" s="1" t="s">
        <v>122</v>
      </c>
      <c r="FTU108" s="1" t="s">
        <v>122</v>
      </c>
      <c r="FTV108" s="1" t="s">
        <v>122</v>
      </c>
      <c r="FTW108" s="1" t="s">
        <v>122</v>
      </c>
      <c r="FTX108" s="1" t="s">
        <v>122</v>
      </c>
      <c r="FTY108" s="1" t="s">
        <v>122</v>
      </c>
      <c r="FTZ108" s="1" t="s">
        <v>122</v>
      </c>
      <c r="FUA108" s="1" t="s">
        <v>122</v>
      </c>
      <c r="FUB108" s="1" t="s">
        <v>122</v>
      </c>
      <c r="FUC108" s="1" t="s">
        <v>122</v>
      </c>
      <c r="FUD108" s="1" t="s">
        <v>122</v>
      </c>
      <c r="FUE108" s="1" t="s">
        <v>122</v>
      </c>
      <c r="FUF108" s="1" t="s">
        <v>122</v>
      </c>
      <c r="FUG108" s="1" t="s">
        <v>122</v>
      </c>
      <c r="FUH108" s="1" t="s">
        <v>122</v>
      </c>
      <c r="FUI108" s="1" t="s">
        <v>122</v>
      </c>
      <c r="FUJ108" s="1" t="s">
        <v>122</v>
      </c>
      <c r="FUK108" s="1" t="s">
        <v>122</v>
      </c>
      <c r="FUL108" s="1" t="s">
        <v>122</v>
      </c>
      <c r="FUM108" s="1" t="s">
        <v>122</v>
      </c>
      <c r="FUN108" s="1" t="s">
        <v>122</v>
      </c>
      <c r="FUO108" s="1" t="s">
        <v>122</v>
      </c>
      <c r="FUP108" s="1" t="s">
        <v>122</v>
      </c>
      <c r="FUQ108" s="1" t="s">
        <v>122</v>
      </c>
      <c r="FUR108" s="1" t="s">
        <v>122</v>
      </c>
      <c r="FUS108" s="1" t="s">
        <v>122</v>
      </c>
      <c r="FUT108" s="1" t="s">
        <v>122</v>
      </c>
      <c r="FUU108" s="1" t="s">
        <v>122</v>
      </c>
      <c r="FUV108" s="1" t="s">
        <v>122</v>
      </c>
      <c r="FUW108" s="1" t="s">
        <v>122</v>
      </c>
      <c r="FUX108" s="1" t="s">
        <v>122</v>
      </c>
      <c r="FUY108" s="1" t="s">
        <v>122</v>
      </c>
      <c r="FUZ108" s="1" t="s">
        <v>122</v>
      </c>
      <c r="FVA108" s="1" t="s">
        <v>122</v>
      </c>
      <c r="FVB108" s="1" t="s">
        <v>122</v>
      </c>
      <c r="FVC108" s="1" t="s">
        <v>122</v>
      </c>
      <c r="FVD108" s="1" t="s">
        <v>122</v>
      </c>
      <c r="FVE108" s="1" t="s">
        <v>122</v>
      </c>
      <c r="FVF108" s="1" t="s">
        <v>122</v>
      </c>
      <c r="FVG108" s="1" t="s">
        <v>122</v>
      </c>
      <c r="FVH108" s="1" t="s">
        <v>122</v>
      </c>
      <c r="FVI108" s="1" t="s">
        <v>122</v>
      </c>
      <c r="FVJ108" s="1" t="s">
        <v>122</v>
      </c>
      <c r="FVK108" s="1" t="s">
        <v>122</v>
      </c>
      <c r="FVL108" s="1" t="s">
        <v>122</v>
      </c>
      <c r="FVM108" s="1" t="s">
        <v>122</v>
      </c>
      <c r="FVN108" s="1" t="s">
        <v>122</v>
      </c>
      <c r="FVO108" s="1" t="s">
        <v>122</v>
      </c>
      <c r="FVP108" s="1" t="s">
        <v>122</v>
      </c>
      <c r="FVQ108" s="1" t="s">
        <v>122</v>
      </c>
      <c r="FVR108" s="1" t="s">
        <v>122</v>
      </c>
      <c r="FVS108" s="1" t="s">
        <v>122</v>
      </c>
      <c r="FVT108" s="1" t="s">
        <v>122</v>
      </c>
      <c r="FVU108" s="1" t="s">
        <v>122</v>
      </c>
      <c r="FVV108" s="1" t="s">
        <v>122</v>
      </c>
      <c r="FVW108" s="1" t="s">
        <v>122</v>
      </c>
      <c r="FVX108" s="1" t="s">
        <v>122</v>
      </c>
      <c r="FVY108" s="1" t="s">
        <v>122</v>
      </c>
      <c r="FVZ108" s="1" t="s">
        <v>122</v>
      </c>
      <c r="FWA108" s="1" t="s">
        <v>122</v>
      </c>
      <c r="FWB108" s="1" t="s">
        <v>122</v>
      </c>
      <c r="FWC108" s="1" t="s">
        <v>122</v>
      </c>
      <c r="FWD108" s="1" t="s">
        <v>122</v>
      </c>
      <c r="FWE108" s="1" t="s">
        <v>122</v>
      </c>
      <c r="FWF108" s="1" t="s">
        <v>122</v>
      </c>
      <c r="FWG108" s="1" t="s">
        <v>122</v>
      </c>
      <c r="FWH108" s="1" t="s">
        <v>122</v>
      </c>
      <c r="FWI108" s="1" t="s">
        <v>122</v>
      </c>
      <c r="FWJ108" s="1" t="s">
        <v>122</v>
      </c>
      <c r="FWK108" s="1" t="s">
        <v>122</v>
      </c>
      <c r="FWL108" s="1" t="s">
        <v>122</v>
      </c>
      <c r="FWM108" s="1" t="s">
        <v>122</v>
      </c>
      <c r="FWN108" s="1" t="s">
        <v>122</v>
      </c>
      <c r="FWO108" s="1" t="s">
        <v>122</v>
      </c>
      <c r="FWP108" s="1" t="s">
        <v>122</v>
      </c>
      <c r="FWQ108" s="1" t="s">
        <v>122</v>
      </c>
      <c r="FWR108" s="1" t="s">
        <v>122</v>
      </c>
      <c r="FWS108" s="1" t="s">
        <v>122</v>
      </c>
      <c r="FWT108" s="1" t="s">
        <v>122</v>
      </c>
      <c r="FWU108" s="1" t="s">
        <v>122</v>
      </c>
      <c r="FWV108" s="1" t="s">
        <v>122</v>
      </c>
      <c r="FWW108" s="1" t="s">
        <v>122</v>
      </c>
      <c r="FWX108" s="1" t="s">
        <v>122</v>
      </c>
      <c r="FWY108" s="1" t="s">
        <v>122</v>
      </c>
      <c r="FWZ108" s="1" t="s">
        <v>122</v>
      </c>
      <c r="FXA108" s="1" t="s">
        <v>122</v>
      </c>
      <c r="FXB108" s="1" t="s">
        <v>122</v>
      </c>
      <c r="FXC108" s="1" t="s">
        <v>122</v>
      </c>
      <c r="FXD108" s="1" t="s">
        <v>122</v>
      </c>
      <c r="FXE108" s="1" t="s">
        <v>122</v>
      </c>
      <c r="FXF108" s="1" t="s">
        <v>122</v>
      </c>
      <c r="FXG108" s="1" t="s">
        <v>122</v>
      </c>
      <c r="FXH108" s="1" t="s">
        <v>122</v>
      </c>
      <c r="FXI108" s="1" t="s">
        <v>122</v>
      </c>
      <c r="FXJ108" s="1" t="s">
        <v>122</v>
      </c>
      <c r="FXK108" s="1" t="s">
        <v>122</v>
      </c>
      <c r="FXL108" s="1" t="s">
        <v>122</v>
      </c>
      <c r="FXM108" s="1" t="s">
        <v>122</v>
      </c>
      <c r="FXN108" s="1" t="s">
        <v>122</v>
      </c>
      <c r="FXO108" s="1" t="s">
        <v>122</v>
      </c>
      <c r="FXP108" s="1" t="s">
        <v>122</v>
      </c>
      <c r="FXQ108" s="1" t="s">
        <v>122</v>
      </c>
      <c r="FXR108" s="1" t="s">
        <v>122</v>
      </c>
      <c r="FXS108" s="1" t="s">
        <v>122</v>
      </c>
      <c r="FXT108" s="1" t="s">
        <v>122</v>
      </c>
      <c r="FXU108" s="1" t="s">
        <v>122</v>
      </c>
      <c r="FXV108" s="1" t="s">
        <v>122</v>
      </c>
      <c r="FXW108" s="1" t="s">
        <v>122</v>
      </c>
      <c r="FXX108" s="1" t="s">
        <v>122</v>
      </c>
      <c r="FXY108" s="1" t="s">
        <v>122</v>
      </c>
      <c r="FXZ108" s="1" t="s">
        <v>122</v>
      </c>
      <c r="FYA108" s="1" t="s">
        <v>122</v>
      </c>
      <c r="FYB108" s="1" t="s">
        <v>122</v>
      </c>
      <c r="FYC108" s="1" t="s">
        <v>122</v>
      </c>
      <c r="FYD108" s="1" t="s">
        <v>122</v>
      </c>
      <c r="FYE108" s="1" t="s">
        <v>122</v>
      </c>
      <c r="FYF108" s="1" t="s">
        <v>122</v>
      </c>
      <c r="FYG108" s="1" t="s">
        <v>122</v>
      </c>
      <c r="FYH108" s="1" t="s">
        <v>122</v>
      </c>
      <c r="FYI108" s="1" t="s">
        <v>122</v>
      </c>
      <c r="FYJ108" s="1" t="s">
        <v>122</v>
      </c>
      <c r="FYK108" s="1" t="s">
        <v>122</v>
      </c>
      <c r="FYL108" s="1" t="s">
        <v>122</v>
      </c>
      <c r="FYM108" s="1" t="s">
        <v>122</v>
      </c>
      <c r="FYN108" s="1" t="s">
        <v>122</v>
      </c>
      <c r="FYO108" s="1" t="s">
        <v>122</v>
      </c>
      <c r="FYP108" s="1" t="s">
        <v>122</v>
      </c>
      <c r="FYQ108" s="1" t="s">
        <v>122</v>
      </c>
      <c r="FYR108" s="1" t="s">
        <v>122</v>
      </c>
      <c r="FYS108" s="1" t="s">
        <v>122</v>
      </c>
      <c r="FYT108" s="1" t="s">
        <v>122</v>
      </c>
      <c r="FYU108" s="1" t="s">
        <v>122</v>
      </c>
      <c r="FYV108" s="1" t="s">
        <v>122</v>
      </c>
      <c r="FYW108" s="1" t="s">
        <v>122</v>
      </c>
      <c r="FYX108" s="1" t="s">
        <v>122</v>
      </c>
      <c r="FYY108" s="1" t="s">
        <v>122</v>
      </c>
      <c r="FYZ108" s="1" t="s">
        <v>122</v>
      </c>
      <c r="FZA108" s="1" t="s">
        <v>122</v>
      </c>
      <c r="FZB108" s="1" t="s">
        <v>122</v>
      </c>
      <c r="FZC108" s="1" t="s">
        <v>122</v>
      </c>
      <c r="FZD108" s="1" t="s">
        <v>122</v>
      </c>
      <c r="FZE108" s="1" t="s">
        <v>122</v>
      </c>
      <c r="FZF108" s="1" t="s">
        <v>122</v>
      </c>
      <c r="FZG108" s="1" t="s">
        <v>122</v>
      </c>
      <c r="FZH108" s="1" t="s">
        <v>122</v>
      </c>
      <c r="FZI108" s="1" t="s">
        <v>122</v>
      </c>
      <c r="FZJ108" s="1" t="s">
        <v>122</v>
      </c>
      <c r="FZK108" s="1" t="s">
        <v>122</v>
      </c>
      <c r="FZL108" s="1" t="s">
        <v>122</v>
      </c>
      <c r="FZM108" s="1" t="s">
        <v>122</v>
      </c>
      <c r="FZN108" s="1" t="s">
        <v>122</v>
      </c>
      <c r="FZO108" s="1" t="s">
        <v>122</v>
      </c>
      <c r="FZP108" s="1" t="s">
        <v>122</v>
      </c>
      <c r="FZQ108" s="1" t="s">
        <v>122</v>
      </c>
      <c r="FZR108" s="1" t="s">
        <v>122</v>
      </c>
      <c r="FZS108" s="1" t="s">
        <v>122</v>
      </c>
      <c r="FZT108" s="1" t="s">
        <v>122</v>
      </c>
      <c r="FZU108" s="1" t="s">
        <v>122</v>
      </c>
      <c r="FZV108" s="1" t="s">
        <v>122</v>
      </c>
      <c r="FZW108" s="1" t="s">
        <v>122</v>
      </c>
      <c r="FZX108" s="1" t="s">
        <v>122</v>
      </c>
      <c r="FZY108" s="1" t="s">
        <v>122</v>
      </c>
      <c r="FZZ108" s="1" t="s">
        <v>122</v>
      </c>
      <c r="GAA108" s="1" t="s">
        <v>122</v>
      </c>
      <c r="GAB108" s="1" t="s">
        <v>122</v>
      </c>
      <c r="GAC108" s="1" t="s">
        <v>122</v>
      </c>
      <c r="GAD108" s="1" t="s">
        <v>122</v>
      </c>
      <c r="GAE108" s="1" t="s">
        <v>122</v>
      </c>
      <c r="GAF108" s="1" t="s">
        <v>122</v>
      </c>
      <c r="GAG108" s="1" t="s">
        <v>122</v>
      </c>
      <c r="GAH108" s="1" t="s">
        <v>122</v>
      </c>
      <c r="GAI108" s="1" t="s">
        <v>122</v>
      </c>
      <c r="GAJ108" s="1" t="s">
        <v>122</v>
      </c>
      <c r="GAK108" s="1" t="s">
        <v>122</v>
      </c>
      <c r="GAL108" s="1" t="s">
        <v>122</v>
      </c>
      <c r="GAM108" s="1" t="s">
        <v>122</v>
      </c>
      <c r="GAN108" s="1" t="s">
        <v>122</v>
      </c>
      <c r="GAO108" s="1" t="s">
        <v>122</v>
      </c>
      <c r="GAP108" s="1" t="s">
        <v>122</v>
      </c>
      <c r="GAQ108" s="1" t="s">
        <v>122</v>
      </c>
      <c r="GAR108" s="1" t="s">
        <v>122</v>
      </c>
      <c r="GAS108" s="1" t="s">
        <v>122</v>
      </c>
      <c r="GAT108" s="1" t="s">
        <v>122</v>
      </c>
      <c r="GAU108" s="1" t="s">
        <v>122</v>
      </c>
      <c r="GAV108" s="1" t="s">
        <v>122</v>
      </c>
      <c r="GAW108" s="1" t="s">
        <v>122</v>
      </c>
      <c r="GAX108" s="1" t="s">
        <v>122</v>
      </c>
      <c r="GAY108" s="1" t="s">
        <v>122</v>
      </c>
      <c r="GAZ108" s="1" t="s">
        <v>122</v>
      </c>
      <c r="GBA108" s="1" t="s">
        <v>122</v>
      </c>
      <c r="GBB108" s="1" t="s">
        <v>122</v>
      </c>
      <c r="GBC108" s="1" t="s">
        <v>122</v>
      </c>
      <c r="GBD108" s="1" t="s">
        <v>122</v>
      </c>
      <c r="GBE108" s="1" t="s">
        <v>122</v>
      </c>
      <c r="GBF108" s="1" t="s">
        <v>122</v>
      </c>
      <c r="GBG108" s="1" t="s">
        <v>122</v>
      </c>
      <c r="GBH108" s="1" t="s">
        <v>122</v>
      </c>
      <c r="GBI108" s="1" t="s">
        <v>122</v>
      </c>
      <c r="GBJ108" s="1" t="s">
        <v>122</v>
      </c>
      <c r="GBK108" s="1" t="s">
        <v>122</v>
      </c>
      <c r="GBL108" s="1" t="s">
        <v>122</v>
      </c>
      <c r="GBM108" s="1" t="s">
        <v>122</v>
      </c>
      <c r="GBN108" s="1" t="s">
        <v>122</v>
      </c>
      <c r="GBO108" s="1" t="s">
        <v>122</v>
      </c>
      <c r="GBP108" s="1" t="s">
        <v>122</v>
      </c>
      <c r="GBQ108" s="1" t="s">
        <v>122</v>
      </c>
      <c r="GBR108" s="1" t="s">
        <v>122</v>
      </c>
      <c r="GBS108" s="1" t="s">
        <v>122</v>
      </c>
      <c r="GBT108" s="1" t="s">
        <v>122</v>
      </c>
      <c r="GBU108" s="1" t="s">
        <v>122</v>
      </c>
      <c r="GBV108" s="1" t="s">
        <v>122</v>
      </c>
      <c r="GBW108" s="1" t="s">
        <v>122</v>
      </c>
      <c r="GBX108" s="1" t="s">
        <v>122</v>
      </c>
      <c r="GBY108" s="1" t="s">
        <v>122</v>
      </c>
      <c r="GBZ108" s="1" t="s">
        <v>122</v>
      </c>
      <c r="GCA108" s="1" t="s">
        <v>122</v>
      </c>
      <c r="GCB108" s="1" t="s">
        <v>122</v>
      </c>
      <c r="GCC108" s="1" t="s">
        <v>122</v>
      </c>
      <c r="GCD108" s="1" t="s">
        <v>122</v>
      </c>
      <c r="GCE108" s="1" t="s">
        <v>122</v>
      </c>
      <c r="GCF108" s="1" t="s">
        <v>122</v>
      </c>
      <c r="GCG108" s="1" t="s">
        <v>122</v>
      </c>
      <c r="GCH108" s="1" t="s">
        <v>122</v>
      </c>
      <c r="GCI108" s="1" t="s">
        <v>122</v>
      </c>
      <c r="GCJ108" s="1" t="s">
        <v>122</v>
      </c>
      <c r="GCK108" s="1" t="s">
        <v>122</v>
      </c>
      <c r="GCL108" s="1" t="s">
        <v>122</v>
      </c>
      <c r="GCM108" s="1" t="s">
        <v>122</v>
      </c>
      <c r="GCN108" s="1" t="s">
        <v>122</v>
      </c>
      <c r="GCO108" s="1" t="s">
        <v>122</v>
      </c>
      <c r="GCP108" s="1" t="s">
        <v>122</v>
      </c>
      <c r="GCQ108" s="1" t="s">
        <v>122</v>
      </c>
      <c r="GCR108" s="1" t="s">
        <v>122</v>
      </c>
      <c r="GCS108" s="1" t="s">
        <v>122</v>
      </c>
      <c r="GCT108" s="1" t="s">
        <v>122</v>
      </c>
      <c r="GCU108" s="1" t="s">
        <v>122</v>
      </c>
      <c r="GCV108" s="1" t="s">
        <v>122</v>
      </c>
      <c r="GCW108" s="1" t="s">
        <v>122</v>
      </c>
      <c r="GCX108" s="1" t="s">
        <v>122</v>
      </c>
      <c r="GCY108" s="1" t="s">
        <v>122</v>
      </c>
      <c r="GCZ108" s="1" t="s">
        <v>122</v>
      </c>
      <c r="GDA108" s="1" t="s">
        <v>122</v>
      </c>
      <c r="GDB108" s="1" t="s">
        <v>122</v>
      </c>
      <c r="GDC108" s="1" t="s">
        <v>122</v>
      </c>
      <c r="GDD108" s="1" t="s">
        <v>122</v>
      </c>
      <c r="GDE108" s="1" t="s">
        <v>122</v>
      </c>
      <c r="GDF108" s="1" t="s">
        <v>122</v>
      </c>
      <c r="GDG108" s="1" t="s">
        <v>122</v>
      </c>
      <c r="GDH108" s="1" t="s">
        <v>122</v>
      </c>
      <c r="GDI108" s="1" t="s">
        <v>122</v>
      </c>
      <c r="GDJ108" s="1" t="s">
        <v>122</v>
      </c>
      <c r="GDK108" s="1" t="s">
        <v>122</v>
      </c>
      <c r="GDL108" s="1" t="s">
        <v>122</v>
      </c>
      <c r="GDM108" s="1" t="s">
        <v>122</v>
      </c>
      <c r="GDN108" s="1" t="s">
        <v>122</v>
      </c>
      <c r="GDO108" s="1" t="s">
        <v>122</v>
      </c>
      <c r="GDP108" s="1" t="s">
        <v>122</v>
      </c>
      <c r="GDQ108" s="1" t="s">
        <v>122</v>
      </c>
      <c r="GDR108" s="1" t="s">
        <v>122</v>
      </c>
      <c r="GDS108" s="1" t="s">
        <v>122</v>
      </c>
      <c r="GDT108" s="1" t="s">
        <v>122</v>
      </c>
      <c r="GDU108" s="1" t="s">
        <v>122</v>
      </c>
      <c r="GDV108" s="1" t="s">
        <v>122</v>
      </c>
      <c r="GDW108" s="1" t="s">
        <v>122</v>
      </c>
      <c r="GDX108" s="1" t="s">
        <v>122</v>
      </c>
      <c r="GDY108" s="1" t="s">
        <v>122</v>
      </c>
      <c r="GDZ108" s="1" t="s">
        <v>122</v>
      </c>
      <c r="GEA108" s="1" t="s">
        <v>122</v>
      </c>
      <c r="GEB108" s="1" t="s">
        <v>122</v>
      </c>
      <c r="GEC108" s="1" t="s">
        <v>122</v>
      </c>
      <c r="GED108" s="1" t="s">
        <v>122</v>
      </c>
      <c r="GEE108" s="1" t="s">
        <v>122</v>
      </c>
      <c r="GEF108" s="1" t="s">
        <v>122</v>
      </c>
      <c r="GEG108" s="1" t="s">
        <v>122</v>
      </c>
      <c r="GEH108" s="1" t="s">
        <v>122</v>
      </c>
      <c r="GEI108" s="1" t="s">
        <v>122</v>
      </c>
      <c r="GEJ108" s="1" t="s">
        <v>122</v>
      </c>
      <c r="GEK108" s="1" t="s">
        <v>122</v>
      </c>
      <c r="GEL108" s="1" t="s">
        <v>122</v>
      </c>
      <c r="GEM108" s="1" t="s">
        <v>122</v>
      </c>
      <c r="GEN108" s="1" t="s">
        <v>122</v>
      </c>
      <c r="GEO108" s="1" t="s">
        <v>122</v>
      </c>
      <c r="GEP108" s="1" t="s">
        <v>122</v>
      </c>
      <c r="GEQ108" s="1" t="s">
        <v>122</v>
      </c>
      <c r="GER108" s="1" t="s">
        <v>122</v>
      </c>
      <c r="GES108" s="1" t="s">
        <v>122</v>
      </c>
      <c r="GET108" s="1" t="s">
        <v>122</v>
      </c>
      <c r="GEU108" s="1" t="s">
        <v>122</v>
      </c>
      <c r="GEV108" s="1" t="s">
        <v>122</v>
      </c>
      <c r="GEW108" s="1" t="s">
        <v>122</v>
      </c>
      <c r="GEX108" s="1" t="s">
        <v>122</v>
      </c>
      <c r="GEY108" s="1" t="s">
        <v>122</v>
      </c>
      <c r="GEZ108" s="1" t="s">
        <v>122</v>
      </c>
      <c r="GFA108" s="1" t="s">
        <v>122</v>
      </c>
      <c r="GFB108" s="1" t="s">
        <v>122</v>
      </c>
      <c r="GFC108" s="1" t="s">
        <v>122</v>
      </c>
      <c r="GFD108" s="1" t="s">
        <v>122</v>
      </c>
      <c r="GFE108" s="1" t="s">
        <v>122</v>
      </c>
      <c r="GFF108" s="1" t="s">
        <v>122</v>
      </c>
      <c r="GFG108" s="1" t="s">
        <v>122</v>
      </c>
      <c r="GFH108" s="1" t="s">
        <v>122</v>
      </c>
      <c r="GFI108" s="1" t="s">
        <v>122</v>
      </c>
      <c r="GFJ108" s="1" t="s">
        <v>122</v>
      </c>
      <c r="GFK108" s="1" t="s">
        <v>122</v>
      </c>
      <c r="GFL108" s="1" t="s">
        <v>122</v>
      </c>
      <c r="GFM108" s="1" t="s">
        <v>122</v>
      </c>
      <c r="GFN108" s="1" t="s">
        <v>122</v>
      </c>
      <c r="GFO108" s="1" t="s">
        <v>122</v>
      </c>
      <c r="GFP108" s="1" t="s">
        <v>122</v>
      </c>
      <c r="GFQ108" s="1" t="s">
        <v>122</v>
      </c>
      <c r="GFR108" s="1" t="s">
        <v>122</v>
      </c>
      <c r="GFS108" s="1" t="s">
        <v>122</v>
      </c>
      <c r="GFT108" s="1" t="s">
        <v>122</v>
      </c>
      <c r="GFU108" s="1" t="s">
        <v>122</v>
      </c>
      <c r="GFV108" s="1" t="s">
        <v>122</v>
      </c>
      <c r="GFW108" s="1" t="s">
        <v>122</v>
      </c>
      <c r="GFX108" s="1" t="s">
        <v>122</v>
      </c>
      <c r="GFY108" s="1" t="s">
        <v>122</v>
      </c>
      <c r="GFZ108" s="1" t="s">
        <v>122</v>
      </c>
      <c r="GGA108" s="1" t="s">
        <v>122</v>
      </c>
      <c r="GGB108" s="1" t="s">
        <v>122</v>
      </c>
      <c r="GGC108" s="1" t="s">
        <v>122</v>
      </c>
      <c r="GGD108" s="1" t="s">
        <v>122</v>
      </c>
      <c r="GGE108" s="1" t="s">
        <v>122</v>
      </c>
      <c r="GGF108" s="1" t="s">
        <v>122</v>
      </c>
      <c r="GGG108" s="1" t="s">
        <v>122</v>
      </c>
      <c r="GGH108" s="1" t="s">
        <v>122</v>
      </c>
      <c r="GGI108" s="1" t="s">
        <v>122</v>
      </c>
      <c r="GGJ108" s="1" t="s">
        <v>122</v>
      </c>
      <c r="GGK108" s="1" t="s">
        <v>122</v>
      </c>
      <c r="GGL108" s="1" t="s">
        <v>122</v>
      </c>
      <c r="GGM108" s="1" t="s">
        <v>122</v>
      </c>
      <c r="GGN108" s="1" t="s">
        <v>122</v>
      </c>
      <c r="GGO108" s="1" t="s">
        <v>122</v>
      </c>
      <c r="GGP108" s="1" t="s">
        <v>122</v>
      </c>
      <c r="GGQ108" s="1" t="s">
        <v>122</v>
      </c>
      <c r="GGR108" s="1" t="s">
        <v>122</v>
      </c>
      <c r="GGS108" s="1" t="s">
        <v>122</v>
      </c>
      <c r="GGT108" s="1" t="s">
        <v>122</v>
      </c>
      <c r="GGU108" s="1" t="s">
        <v>122</v>
      </c>
      <c r="GGV108" s="1" t="s">
        <v>122</v>
      </c>
      <c r="GGW108" s="1" t="s">
        <v>122</v>
      </c>
      <c r="GGX108" s="1" t="s">
        <v>122</v>
      </c>
      <c r="GGY108" s="1" t="s">
        <v>122</v>
      </c>
      <c r="GGZ108" s="1" t="s">
        <v>122</v>
      </c>
      <c r="GHA108" s="1" t="s">
        <v>122</v>
      </c>
      <c r="GHB108" s="1" t="s">
        <v>122</v>
      </c>
      <c r="GHC108" s="1" t="s">
        <v>122</v>
      </c>
      <c r="GHD108" s="1" t="s">
        <v>122</v>
      </c>
      <c r="GHE108" s="1" t="s">
        <v>122</v>
      </c>
      <c r="GHF108" s="1" t="s">
        <v>122</v>
      </c>
      <c r="GHG108" s="1" t="s">
        <v>122</v>
      </c>
      <c r="GHH108" s="1" t="s">
        <v>122</v>
      </c>
      <c r="GHI108" s="1" t="s">
        <v>122</v>
      </c>
      <c r="GHJ108" s="1" t="s">
        <v>122</v>
      </c>
      <c r="GHK108" s="1" t="s">
        <v>122</v>
      </c>
      <c r="GHL108" s="1" t="s">
        <v>122</v>
      </c>
      <c r="GHM108" s="1" t="s">
        <v>122</v>
      </c>
      <c r="GHN108" s="1" t="s">
        <v>122</v>
      </c>
      <c r="GHO108" s="1" t="s">
        <v>122</v>
      </c>
      <c r="GHP108" s="1" t="s">
        <v>122</v>
      </c>
      <c r="GHQ108" s="1" t="s">
        <v>122</v>
      </c>
      <c r="GHR108" s="1" t="s">
        <v>122</v>
      </c>
      <c r="GHS108" s="1" t="s">
        <v>122</v>
      </c>
      <c r="GHT108" s="1" t="s">
        <v>122</v>
      </c>
      <c r="GHU108" s="1" t="s">
        <v>122</v>
      </c>
      <c r="GHV108" s="1" t="s">
        <v>122</v>
      </c>
      <c r="GHW108" s="1" t="s">
        <v>122</v>
      </c>
      <c r="GHX108" s="1" t="s">
        <v>122</v>
      </c>
      <c r="GHY108" s="1" t="s">
        <v>122</v>
      </c>
      <c r="GHZ108" s="1" t="s">
        <v>122</v>
      </c>
      <c r="GIA108" s="1" t="s">
        <v>122</v>
      </c>
      <c r="GIB108" s="1" t="s">
        <v>122</v>
      </c>
      <c r="GIC108" s="1" t="s">
        <v>122</v>
      </c>
      <c r="GID108" s="1" t="s">
        <v>122</v>
      </c>
      <c r="GIE108" s="1" t="s">
        <v>122</v>
      </c>
      <c r="GIF108" s="1" t="s">
        <v>122</v>
      </c>
      <c r="GIG108" s="1" t="s">
        <v>122</v>
      </c>
      <c r="GIH108" s="1" t="s">
        <v>122</v>
      </c>
      <c r="GII108" s="1" t="s">
        <v>122</v>
      </c>
      <c r="GIJ108" s="1" t="s">
        <v>122</v>
      </c>
      <c r="GIK108" s="1" t="s">
        <v>122</v>
      </c>
      <c r="GIL108" s="1" t="s">
        <v>122</v>
      </c>
      <c r="GIM108" s="1" t="s">
        <v>122</v>
      </c>
      <c r="GIN108" s="1" t="s">
        <v>122</v>
      </c>
      <c r="GIO108" s="1" t="s">
        <v>122</v>
      </c>
      <c r="GIP108" s="1" t="s">
        <v>122</v>
      </c>
      <c r="GIQ108" s="1" t="s">
        <v>122</v>
      </c>
      <c r="GIR108" s="1" t="s">
        <v>122</v>
      </c>
      <c r="GIS108" s="1" t="s">
        <v>122</v>
      </c>
      <c r="GIT108" s="1" t="s">
        <v>122</v>
      </c>
      <c r="GIU108" s="1" t="s">
        <v>122</v>
      </c>
      <c r="GIV108" s="1" t="s">
        <v>122</v>
      </c>
      <c r="GIW108" s="1" t="s">
        <v>122</v>
      </c>
      <c r="GIX108" s="1" t="s">
        <v>122</v>
      </c>
      <c r="GIY108" s="1" t="s">
        <v>122</v>
      </c>
      <c r="GIZ108" s="1" t="s">
        <v>122</v>
      </c>
      <c r="GJA108" s="1" t="s">
        <v>122</v>
      </c>
      <c r="GJB108" s="1" t="s">
        <v>122</v>
      </c>
      <c r="GJC108" s="1" t="s">
        <v>122</v>
      </c>
      <c r="GJD108" s="1" t="s">
        <v>122</v>
      </c>
      <c r="GJE108" s="1" t="s">
        <v>122</v>
      </c>
      <c r="GJF108" s="1" t="s">
        <v>122</v>
      </c>
      <c r="GJG108" s="1" t="s">
        <v>122</v>
      </c>
      <c r="GJH108" s="1" t="s">
        <v>122</v>
      </c>
      <c r="GJI108" s="1" t="s">
        <v>122</v>
      </c>
      <c r="GJJ108" s="1" t="s">
        <v>122</v>
      </c>
      <c r="GJK108" s="1" t="s">
        <v>122</v>
      </c>
      <c r="GJL108" s="1" t="s">
        <v>122</v>
      </c>
      <c r="GJM108" s="1" t="s">
        <v>122</v>
      </c>
      <c r="GJN108" s="1" t="s">
        <v>122</v>
      </c>
      <c r="GJO108" s="1" t="s">
        <v>122</v>
      </c>
      <c r="GJP108" s="1" t="s">
        <v>122</v>
      </c>
      <c r="GJQ108" s="1" t="s">
        <v>122</v>
      </c>
      <c r="GJR108" s="1" t="s">
        <v>122</v>
      </c>
      <c r="GJS108" s="1" t="s">
        <v>122</v>
      </c>
      <c r="GJT108" s="1" t="s">
        <v>122</v>
      </c>
      <c r="GJU108" s="1" t="s">
        <v>122</v>
      </c>
      <c r="GJV108" s="1" t="s">
        <v>122</v>
      </c>
      <c r="GJW108" s="1" t="s">
        <v>122</v>
      </c>
      <c r="GJX108" s="1" t="s">
        <v>122</v>
      </c>
      <c r="GJY108" s="1" t="s">
        <v>122</v>
      </c>
      <c r="GJZ108" s="1" t="s">
        <v>122</v>
      </c>
      <c r="GKA108" s="1" t="s">
        <v>122</v>
      </c>
      <c r="GKB108" s="1" t="s">
        <v>122</v>
      </c>
      <c r="GKC108" s="1" t="s">
        <v>122</v>
      </c>
      <c r="GKD108" s="1" t="s">
        <v>122</v>
      </c>
      <c r="GKE108" s="1" t="s">
        <v>122</v>
      </c>
      <c r="GKF108" s="1" t="s">
        <v>122</v>
      </c>
      <c r="GKG108" s="1" t="s">
        <v>122</v>
      </c>
      <c r="GKH108" s="1" t="s">
        <v>122</v>
      </c>
      <c r="GKI108" s="1" t="s">
        <v>122</v>
      </c>
      <c r="GKJ108" s="1" t="s">
        <v>122</v>
      </c>
      <c r="GKK108" s="1" t="s">
        <v>122</v>
      </c>
      <c r="GKL108" s="1" t="s">
        <v>122</v>
      </c>
      <c r="GKM108" s="1" t="s">
        <v>122</v>
      </c>
      <c r="GKN108" s="1" t="s">
        <v>122</v>
      </c>
      <c r="GKO108" s="1" t="s">
        <v>122</v>
      </c>
      <c r="GKP108" s="1" t="s">
        <v>122</v>
      </c>
      <c r="GKQ108" s="1" t="s">
        <v>122</v>
      </c>
      <c r="GKR108" s="1" t="s">
        <v>122</v>
      </c>
      <c r="GKS108" s="1" t="s">
        <v>122</v>
      </c>
      <c r="GKT108" s="1" t="s">
        <v>122</v>
      </c>
      <c r="GKU108" s="1" t="s">
        <v>122</v>
      </c>
      <c r="GKV108" s="1" t="s">
        <v>122</v>
      </c>
      <c r="GKW108" s="1" t="s">
        <v>122</v>
      </c>
      <c r="GKX108" s="1" t="s">
        <v>122</v>
      </c>
      <c r="GKY108" s="1" t="s">
        <v>122</v>
      </c>
      <c r="GKZ108" s="1" t="s">
        <v>122</v>
      </c>
      <c r="GLA108" s="1" t="s">
        <v>122</v>
      </c>
      <c r="GLB108" s="1" t="s">
        <v>122</v>
      </c>
      <c r="GLC108" s="1" t="s">
        <v>122</v>
      </c>
      <c r="GLD108" s="1" t="s">
        <v>122</v>
      </c>
      <c r="GLE108" s="1" t="s">
        <v>122</v>
      </c>
      <c r="GLF108" s="1" t="s">
        <v>122</v>
      </c>
      <c r="GLG108" s="1" t="s">
        <v>122</v>
      </c>
      <c r="GLH108" s="1" t="s">
        <v>122</v>
      </c>
      <c r="GLI108" s="1" t="s">
        <v>122</v>
      </c>
      <c r="GLJ108" s="1" t="s">
        <v>122</v>
      </c>
      <c r="GLK108" s="1" t="s">
        <v>122</v>
      </c>
      <c r="GLL108" s="1" t="s">
        <v>122</v>
      </c>
      <c r="GLM108" s="1" t="s">
        <v>122</v>
      </c>
      <c r="GLN108" s="1" t="s">
        <v>122</v>
      </c>
      <c r="GLO108" s="1" t="s">
        <v>122</v>
      </c>
      <c r="GLP108" s="1" t="s">
        <v>122</v>
      </c>
      <c r="GLQ108" s="1" t="s">
        <v>122</v>
      </c>
      <c r="GLR108" s="1" t="s">
        <v>122</v>
      </c>
      <c r="GLS108" s="1" t="s">
        <v>122</v>
      </c>
      <c r="GLT108" s="1" t="s">
        <v>122</v>
      </c>
      <c r="GLU108" s="1" t="s">
        <v>122</v>
      </c>
      <c r="GLV108" s="1" t="s">
        <v>122</v>
      </c>
      <c r="GLW108" s="1" t="s">
        <v>122</v>
      </c>
      <c r="GLX108" s="1" t="s">
        <v>122</v>
      </c>
      <c r="GLY108" s="1" t="s">
        <v>122</v>
      </c>
      <c r="GLZ108" s="1" t="s">
        <v>122</v>
      </c>
      <c r="GMA108" s="1" t="s">
        <v>122</v>
      </c>
      <c r="GMB108" s="1" t="s">
        <v>122</v>
      </c>
      <c r="GMC108" s="1" t="s">
        <v>122</v>
      </c>
      <c r="GMD108" s="1" t="s">
        <v>122</v>
      </c>
      <c r="GME108" s="1" t="s">
        <v>122</v>
      </c>
      <c r="GMF108" s="1" t="s">
        <v>122</v>
      </c>
      <c r="GMG108" s="1" t="s">
        <v>122</v>
      </c>
      <c r="GMH108" s="1" t="s">
        <v>122</v>
      </c>
      <c r="GMI108" s="1" t="s">
        <v>122</v>
      </c>
      <c r="GMJ108" s="1" t="s">
        <v>122</v>
      </c>
      <c r="GMK108" s="1" t="s">
        <v>122</v>
      </c>
      <c r="GML108" s="1" t="s">
        <v>122</v>
      </c>
      <c r="GMM108" s="1" t="s">
        <v>122</v>
      </c>
      <c r="GMN108" s="1" t="s">
        <v>122</v>
      </c>
      <c r="GMO108" s="1" t="s">
        <v>122</v>
      </c>
      <c r="GMP108" s="1" t="s">
        <v>122</v>
      </c>
      <c r="GMQ108" s="1" t="s">
        <v>122</v>
      </c>
      <c r="GMR108" s="1" t="s">
        <v>122</v>
      </c>
      <c r="GMS108" s="1" t="s">
        <v>122</v>
      </c>
      <c r="GMT108" s="1" t="s">
        <v>122</v>
      </c>
      <c r="GMU108" s="1" t="s">
        <v>122</v>
      </c>
      <c r="GMV108" s="1" t="s">
        <v>122</v>
      </c>
      <c r="GMW108" s="1" t="s">
        <v>122</v>
      </c>
      <c r="GMX108" s="1" t="s">
        <v>122</v>
      </c>
      <c r="GMY108" s="1" t="s">
        <v>122</v>
      </c>
      <c r="GMZ108" s="1" t="s">
        <v>122</v>
      </c>
      <c r="GNA108" s="1" t="s">
        <v>122</v>
      </c>
      <c r="GNB108" s="1" t="s">
        <v>122</v>
      </c>
      <c r="GNC108" s="1" t="s">
        <v>122</v>
      </c>
      <c r="GND108" s="1" t="s">
        <v>122</v>
      </c>
      <c r="GNE108" s="1" t="s">
        <v>122</v>
      </c>
      <c r="GNF108" s="1" t="s">
        <v>122</v>
      </c>
      <c r="GNG108" s="1" t="s">
        <v>122</v>
      </c>
      <c r="GNH108" s="1" t="s">
        <v>122</v>
      </c>
      <c r="GNI108" s="1" t="s">
        <v>122</v>
      </c>
      <c r="GNJ108" s="1" t="s">
        <v>122</v>
      </c>
      <c r="GNK108" s="1" t="s">
        <v>122</v>
      </c>
      <c r="GNL108" s="1" t="s">
        <v>122</v>
      </c>
      <c r="GNM108" s="1" t="s">
        <v>122</v>
      </c>
      <c r="GNN108" s="1" t="s">
        <v>122</v>
      </c>
      <c r="GNO108" s="1" t="s">
        <v>122</v>
      </c>
      <c r="GNP108" s="1" t="s">
        <v>122</v>
      </c>
      <c r="GNQ108" s="1" t="s">
        <v>122</v>
      </c>
      <c r="GNR108" s="1" t="s">
        <v>122</v>
      </c>
      <c r="GNS108" s="1" t="s">
        <v>122</v>
      </c>
      <c r="GNT108" s="1" t="s">
        <v>122</v>
      </c>
      <c r="GNU108" s="1" t="s">
        <v>122</v>
      </c>
      <c r="GNV108" s="1" t="s">
        <v>122</v>
      </c>
      <c r="GNW108" s="1" t="s">
        <v>122</v>
      </c>
      <c r="GNX108" s="1" t="s">
        <v>122</v>
      </c>
      <c r="GNY108" s="1" t="s">
        <v>122</v>
      </c>
      <c r="GNZ108" s="1" t="s">
        <v>122</v>
      </c>
      <c r="GOA108" s="1" t="s">
        <v>122</v>
      </c>
      <c r="GOB108" s="1" t="s">
        <v>122</v>
      </c>
      <c r="GOC108" s="1" t="s">
        <v>122</v>
      </c>
      <c r="GOD108" s="1" t="s">
        <v>122</v>
      </c>
      <c r="GOE108" s="1" t="s">
        <v>122</v>
      </c>
      <c r="GOF108" s="1" t="s">
        <v>122</v>
      </c>
      <c r="GOG108" s="1" t="s">
        <v>122</v>
      </c>
      <c r="GOH108" s="1" t="s">
        <v>122</v>
      </c>
      <c r="GOI108" s="1" t="s">
        <v>122</v>
      </c>
      <c r="GOJ108" s="1" t="s">
        <v>122</v>
      </c>
      <c r="GOK108" s="1" t="s">
        <v>122</v>
      </c>
      <c r="GOL108" s="1" t="s">
        <v>122</v>
      </c>
      <c r="GOM108" s="1" t="s">
        <v>122</v>
      </c>
      <c r="GON108" s="1" t="s">
        <v>122</v>
      </c>
      <c r="GOO108" s="1" t="s">
        <v>122</v>
      </c>
      <c r="GOP108" s="1" t="s">
        <v>122</v>
      </c>
      <c r="GOQ108" s="1" t="s">
        <v>122</v>
      </c>
      <c r="GOR108" s="1" t="s">
        <v>122</v>
      </c>
      <c r="GOS108" s="1" t="s">
        <v>122</v>
      </c>
      <c r="GOT108" s="1" t="s">
        <v>122</v>
      </c>
      <c r="GOU108" s="1" t="s">
        <v>122</v>
      </c>
      <c r="GOV108" s="1" t="s">
        <v>122</v>
      </c>
      <c r="GOW108" s="1" t="s">
        <v>122</v>
      </c>
      <c r="GOX108" s="1" t="s">
        <v>122</v>
      </c>
      <c r="GOY108" s="1" t="s">
        <v>122</v>
      </c>
      <c r="GOZ108" s="1" t="s">
        <v>122</v>
      </c>
      <c r="GPA108" s="1" t="s">
        <v>122</v>
      </c>
      <c r="GPB108" s="1" t="s">
        <v>122</v>
      </c>
      <c r="GPC108" s="1" t="s">
        <v>122</v>
      </c>
      <c r="GPD108" s="1" t="s">
        <v>122</v>
      </c>
      <c r="GPE108" s="1" t="s">
        <v>122</v>
      </c>
      <c r="GPF108" s="1" t="s">
        <v>122</v>
      </c>
      <c r="GPG108" s="1" t="s">
        <v>122</v>
      </c>
      <c r="GPH108" s="1" t="s">
        <v>122</v>
      </c>
      <c r="GPI108" s="1" t="s">
        <v>122</v>
      </c>
      <c r="GPJ108" s="1" t="s">
        <v>122</v>
      </c>
      <c r="GPK108" s="1" t="s">
        <v>122</v>
      </c>
      <c r="GPL108" s="1" t="s">
        <v>122</v>
      </c>
      <c r="GPM108" s="1" t="s">
        <v>122</v>
      </c>
      <c r="GPN108" s="1" t="s">
        <v>122</v>
      </c>
      <c r="GPO108" s="1" t="s">
        <v>122</v>
      </c>
      <c r="GPP108" s="1" t="s">
        <v>122</v>
      </c>
      <c r="GPQ108" s="1" t="s">
        <v>122</v>
      </c>
      <c r="GPR108" s="1" t="s">
        <v>122</v>
      </c>
      <c r="GPS108" s="1" t="s">
        <v>122</v>
      </c>
      <c r="GPT108" s="1" t="s">
        <v>122</v>
      </c>
      <c r="GPU108" s="1" t="s">
        <v>122</v>
      </c>
      <c r="GPV108" s="1" t="s">
        <v>122</v>
      </c>
      <c r="GPW108" s="1" t="s">
        <v>122</v>
      </c>
      <c r="GPX108" s="1" t="s">
        <v>122</v>
      </c>
      <c r="GPY108" s="1" t="s">
        <v>122</v>
      </c>
      <c r="GPZ108" s="1" t="s">
        <v>122</v>
      </c>
      <c r="GQA108" s="1" t="s">
        <v>122</v>
      </c>
      <c r="GQB108" s="1" t="s">
        <v>122</v>
      </c>
      <c r="GQC108" s="1" t="s">
        <v>122</v>
      </c>
      <c r="GQD108" s="1" t="s">
        <v>122</v>
      </c>
      <c r="GQE108" s="1" t="s">
        <v>122</v>
      </c>
      <c r="GQF108" s="1" t="s">
        <v>122</v>
      </c>
      <c r="GQG108" s="1" t="s">
        <v>122</v>
      </c>
      <c r="GQH108" s="1" t="s">
        <v>122</v>
      </c>
      <c r="GQI108" s="1" t="s">
        <v>122</v>
      </c>
      <c r="GQJ108" s="1" t="s">
        <v>122</v>
      </c>
      <c r="GQK108" s="1" t="s">
        <v>122</v>
      </c>
      <c r="GQL108" s="1" t="s">
        <v>122</v>
      </c>
      <c r="GQM108" s="1" t="s">
        <v>122</v>
      </c>
      <c r="GQN108" s="1" t="s">
        <v>122</v>
      </c>
      <c r="GQO108" s="1" t="s">
        <v>122</v>
      </c>
      <c r="GQP108" s="1" t="s">
        <v>122</v>
      </c>
      <c r="GQQ108" s="1" t="s">
        <v>122</v>
      </c>
      <c r="GQR108" s="1" t="s">
        <v>122</v>
      </c>
      <c r="GQS108" s="1" t="s">
        <v>122</v>
      </c>
      <c r="GQT108" s="1" t="s">
        <v>122</v>
      </c>
      <c r="GQU108" s="1" t="s">
        <v>122</v>
      </c>
      <c r="GQV108" s="1" t="s">
        <v>122</v>
      </c>
      <c r="GQW108" s="1" t="s">
        <v>122</v>
      </c>
      <c r="GQX108" s="1" t="s">
        <v>122</v>
      </c>
      <c r="GQY108" s="1" t="s">
        <v>122</v>
      </c>
      <c r="GQZ108" s="1" t="s">
        <v>122</v>
      </c>
      <c r="GRA108" s="1" t="s">
        <v>122</v>
      </c>
      <c r="GRB108" s="1" t="s">
        <v>122</v>
      </c>
      <c r="GRC108" s="1" t="s">
        <v>122</v>
      </c>
      <c r="GRD108" s="1" t="s">
        <v>122</v>
      </c>
      <c r="GRE108" s="1" t="s">
        <v>122</v>
      </c>
      <c r="GRF108" s="1" t="s">
        <v>122</v>
      </c>
      <c r="GRG108" s="1" t="s">
        <v>122</v>
      </c>
      <c r="GRH108" s="1" t="s">
        <v>122</v>
      </c>
      <c r="GRI108" s="1" t="s">
        <v>122</v>
      </c>
      <c r="GRJ108" s="1" t="s">
        <v>122</v>
      </c>
      <c r="GRK108" s="1" t="s">
        <v>122</v>
      </c>
      <c r="GRL108" s="1" t="s">
        <v>122</v>
      </c>
      <c r="GRM108" s="1" t="s">
        <v>122</v>
      </c>
      <c r="GRN108" s="1" t="s">
        <v>122</v>
      </c>
      <c r="GRO108" s="1" t="s">
        <v>122</v>
      </c>
      <c r="GRP108" s="1" t="s">
        <v>122</v>
      </c>
      <c r="GRQ108" s="1" t="s">
        <v>122</v>
      </c>
      <c r="GRR108" s="1" t="s">
        <v>122</v>
      </c>
      <c r="GRS108" s="1" t="s">
        <v>122</v>
      </c>
      <c r="GRT108" s="1" t="s">
        <v>122</v>
      </c>
      <c r="GRU108" s="1" t="s">
        <v>122</v>
      </c>
      <c r="GRV108" s="1" t="s">
        <v>122</v>
      </c>
      <c r="GRW108" s="1" t="s">
        <v>122</v>
      </c>
      <c r="GRX108" s="1" t="s">
        <v>122</v>
      </c>
      <c r="GRY108" s="1" t="s">
        <v>122</v>
      </c>
      <c r="GRZ108" s="1" t="s">
        <v>122</v>
      </c>
      <c r="GSA108" s="1" t="s">
        <v>122</v>
      </c>
      <c r="GSB108" s="1" t="s">
        <v>122</v>
      </c>
      <c r="GSC108" s="1" t="s">
        <v>122</v>
      </c>
      <c r="GSD108" s="1" t="s">
        <v>122</v>
      </c>
      <c r="GSE108" s="1" t="s">
        <v>122</v>
      </c>
      <c r="GSF108" s="1" t="s">
        <v>122</v>
      </c>
      <c r="GSG108" s="1" t="s">
        <v>122</v>
      </c>
      <c r="GSH108" s="1" t="s">
        <v>122</v>
      </c>
      <c r="GSI108" s="1" t="s">
        <v>122</v>
      </c>
      <c r="GSJ108" s="1" t="s">
        <v>122</v>
      </c>
      <c r="GSK108" s="1" t="s">
        <v>122</v>
      </c>
      <c r="GSL108" s="1" t="s">
        <v>122</v>
      </c>
      <c r="GSM108" s="1" t="s">
        <v>122</v>
      </c>
      <c r="GSN108" s="1" t="s">
        <v>122</v>
      </c>
      <c r="GSO108" s="1" t="s">
        <v>122</v>
      </c>
      <c r="GSP108" s="1" t="s">
        <v>122</v>
      </c>
      <c r="GSQ108" s="1" t="s">
        <v>122</v>
      </c>
      <c r="GSR108" s="1" t="s">
        <v>122</v>
      </c>
      <c r="GSS108" s="1" t="s">
        <v>122</v>
      </c>
      <c r="GST108" s="1" t="s">
        <v>122</v>
      </c>
      <c r="GSU108" s="1" t="s">
        <v>122</v>
      </c>
      <c r="GSV108" s="1" t="s">
        <v>122</v>
      </c>
      <c r="GSW108" s="1" t="s">
        <v>122</v>
      </c>
      <c r="GSX108" s="1" t="s">
        <v>122</v>
      </c>
      <c r="GSY108" s="1" t="s">
        <v>122</v>
      </c>
      <c r="GSZ108" s="1" t="s">
        <v>122</v>
      </c>
      <c r="GTA108" s="1" t="s">
        <v>122</v>
      </c>
      <c r="GTB108" s="1" t="s">
        <v>122</v>
      </c>
      <c r="GTC108" s="1" t="s">
        <v>122</v>
      </c>
      <c r="GTD108" s="1" t="s">
        <v>122</v>
      </c>
      <c r="GTE108" s="1" t="s">
        <v>122</v>
      </c>
      <c r="GTF108" s="1" t="s">
        <v>122</v>
      </c>
      <c r="GTG108" s="1" t="s">
        <v>122</v>
      </c>
      <c r="GTH108" s="1" t="s">
        <v>122</v>
      </c>
      <c r="GTI108" s="1" t="s">
        <v>122</v>
      </c>
      <c r="GTJ108" s="1" t="s">
        <v>122</v>
      </c>
      <c r="GTK108" s="1" t="s">
        <v>122</v>
      </c>
      <c r="GTL108" s="1" t="s">
        <v>122</v>
      </c>
      <c r="GTM108" s="1" t="s">
        <v>122</v>
      </c>
      <c r="GTN108" s="1" t="s">
        <v>122</v>
      </c>
      <c r="GTO108" s="1" t="s">
        <v>122</v>
      </c>
      <c r="GTP108" s="1" t="s">
        <v>122</v>
      </c>
      <c r="GTQ108" s="1" t="s">
        <v>122</v>
      </c>
      <c r="GTR108" s="1" t="s">
        <v>122</v>
      </c>
      <c r="GTS108" s="1" t="s">
        <v>122</v>
      </c>
      <c r="GTT108" s="1" t="s">
        <v>122</v>
      </c>
      <c r="GTU108" s="1" t="s">
        <v>122</v>
      </c>
      <c r="GTV108" s="1" t="s">
        <v>122</v>
      </c>
      <c r="GTW108" s="1" t="s">
        <v>122</v>
      </c>
      <c r="GTX108" s="1" t="s">
        <v>122</v>
      </c>
      <c r="GTY108" s="1" t="s">
        <v>122</v>
      </c>
      <c r="GTZ108" s="1" t="s">
        <v>122</v>
      </c>
      <c r="GUA108" s="1" t="s">
        <v>122</v>
      </c>
      <c r="GUB108" s="1" t="s">
        <v>122</v>
      </c>
      <c r="GUC108" s="1" t="s">
        <v>122</v>
      </c>
      <c r="GUD108" s="1" t="s">
        <v>122</v>
      </c>
      <c r="GUE108" s="1" t="s">
        <v>122</v>
      </c>
      <c r="GUF108" s="1" t="s">
        <v>122</v>
      </c>
      <c r="GUG108" s="1" t="s">
        <v>122</v>
      </c>
      <c r="GUH108" s="1" t="s">
        <v>122</v>
      </c>
      <c r="GUI108" s="1" t="s">
        <v>122</v>
      </c>
      <c r="GUJ108" s="1" t="s">
        <v>122</v>
      </c>
      <c r="GUK108" s="1" t="s">
        <v>122</v>
      </c>
      <c r="GUL108" s="1" t="s">
        <v>122</v>
      </c>
      <c r="GUM108" s="1" t="s">
        <v>122</v>
      </c>
      <c r="GUN108" s="1" t="s">
        <v>122</v>
      </c>
      <c r="GUO108" s="1" t="s">
        <v>122</v>
      </c>
      <c r="GUP108" s="1" t="s">
        <v>122</v>
      </c>
      <c r="GUQ108" s="1" t="s">
        <v>122</v>
      </c>
      <c r="GUR108" s="1" t="s">
        <v>122</v>
      </c>
      <c r="GUS108" s="1" t="s">
        <v>122</v>
      </c>
      <c r="GUT108" s="1" t="s">
        <v>122</v>
      </c>
      <c r="GUU108" s="1" t="s">
        <v>122</v>
      </c>
      <c r="GUV108" s="1" t="s">
        <v>122</v>
      </c>
      <c r="GUW108" s="1" t="s">
        <v>122</v>
      </c>
      <c r="GUX108" s="1" t="s">
        <v>122</v>
      </c>
      <c r="GUY108" s="1" t="s">
        <v>122</v>
      </c>
      <c r="GUZ108" s="1" t="s">
        <v>122</v>
      </c>
      <c r="GVA108" s="1" t="s">
        <v>122</v>
      </c>
      <c r="GVB108" s="1" t="s">
        <v>122</v>
      </c>
      <c r="GVC108" s="1" t="s">
        <v>122</v>
      </c>
      <c r="GVD108" s="1" t="s">
        <v>122</v>
      </c>
      <c r="GVE108" s="1" t="s">
        <v>122</v>
      </c>
      <c r="GVF108" s="1" t="s">
        <v>122</v>
      </c>
      <c r="GVG108" s="1" t="s">
        <v>122</v>
      </c>
      <c r="GVH108" s="1" t="s">
        <v>122</v>
      </c>
      <c r="GVI108" s="1" t="s">
        <v>122</v>
      </c>
      <c r="GVJ108" s="1" t="s">
        <v>122</v>
      </c>
      <c r="GVK108" s="1" t="s">
        <v>122</v>
      </c>
      <c r="GVL108" s="1" t="s">
        <v>122</v>
      </c>
      <c r="GVM108" s="1" t="s">
        <v>122</v>
      </c>
      <c r="GVN108" s="1" t="s">
        <v>122</v>
      </c>
      <c r="GVO108" s="1" t="s">
        <v>122</v>
      </c>
      <c r="GVP108" s="1" t="s">
        <v>122</v>
      </c>
      <c r="GVQ108" s="1" t="s">
        <v>122</v>
      </c>
      <c r="GVR108" s="1" t="s">
        <v>122</v>
      </c>
      <c r="GVS108" s="1" t="s">
        <v>122</v>
      </c>
      <c r="GVT108" s="1" t="s">
        <v>122</v>
      </c>
      <c r="GVU108" s="1" t="s">
        <v>122</v>
      </c>
      <c r="GVV108" s="1" t="s">
        <v>122</v>
      </c>
      <c r="GVW108" s="1" t="s">
        <v>122</v>
      </c>
      <c r="GVX108" s="1" t="s">
        <v>122</v>
      </c>
      <c r="GVY108" s="1" t="s">
        <v>122</v>
      </c>
      <c r="GVZ108" s="1" t="s">
        <v>122</v>
      </c>
      <c r="GWA108" s="1" t="s">
        <v>122</v>
      </c>
      <c r="GWB108" s="1" t="s">
        <v>122</v>
      </c>
      <c r="GWC108" s="1" t="s">
        <v>122</v>
      </c>
      <c r="GWD108" s="1" t="s">
        <v>122</v>
      </c>
      <c r="GWE108" s="1" t="s">
        <v>122</v>
      </c>
      <c r="GWF108" s="1" t="s">
        <v>122</v>
      </c>
      <c r="GWG108" s="1" t="s">
        <v>122</v>
      </c>
      <c r="GWH108" s="1" t="s">
        <v>122</v>
      </c>
      <c r="GWI108" s="1" t="s">
        <v>122</v>
      </c>
      <c r="GWJ108" s="1" t="s">
        <v>122</v>
      </c>
      <c r="GWK108" s="1" t="s">
        <v>122</v>
      </c>
      <c r="GWL108" s="1" t="s">
        <v>122</v>
      </c>
      <c r="GWM108" s="1" t="s">
        <v>122</v>
      </c>
      <c r="GWN108" s="1" t="s">
        <v>122</v>
      </c>
      <c r="GWO108" s="1" t="s">
        <v>122</v>
      </c>
      <c r="GWP108" s="1" t="s">
        <v>122</v>
      </c>
      <c r="GWQ108" s="1" t="s">
        <v>122</v>
      </c>
      <c r="GWR108" s="1" t="s">
        <v>122</v>
      </c>
      <c r="GWS108" s="1" t="s">
        <v>122</v>
      </c>
      <c r="GWT108" s="1" t="s">
        <v>122</v>
      </c>
      <c r="GWU108" s="1" t="s">
        <v>122</v>
      </c>
      <c r="GWV108" s="1" t="s">
        <v>122</v>
      </c>
      <c r="GWW108" s="1" t="s">
        <v>122</v>
      </c>
      <c r="GWX108" s="1" t="s">
        <v>122</v>
      </c>
      <c r="GWY108" s="1" t="s">
        <v>122</v>
      </c>
      <c r="GWZ108" s="1" t="s">
        <v>122</v>
      </c>
      <c r="GXA108" s="1" t="s">
        <v>122</v>
      </c>
      <c r="GXB108" s="1" t="s">
        <v>122</v>
      </c>
      <c r="GXC108" s="1" t="s">
        <v>122</v>
      </c>
      <c r="GXD108" s="1" t="s">
        <v>122</v>
      </c>
      <c r="GXE108" s="1" t="s">
        <v>122</v>
      </c>
      <c r="GXF108" s="1" t="s">
        <v>122</v>
      </c>
      <c r="GXG108" s="1" t="s">
        <v>122</v>
      </c>
      <c r="GXH108" s="1" t="s">
        <v>122</v>
      </c>
      <c r="GXI108" s="1" t="s">
        <v>122</v>
      </c>
      <c r="GXJ108" s="1" t="s">
        <v>122</v>
      </c>
      <c r="GXK108" s="1" t="s">
        <v>122</v>
      </c>
      <c r="GXL108" s="1" t="s">
        <v>122</v>
      </c>
      <c r="GXM108" s="1" t="s">
        <v>122</v>
      </c>
      <c r="GXN108" s="1" t="s">
        <v>122</v>
      </c>
      <c r="GXO108" s="1" t="s">
        <v>122</v>
      </c>
      <c r="GXP108" s="1" t="s">
        <v>122</v>
      </c>
      <c r="GXQ108" s="1" t="s">
        <v>122</v>
      </c>
      <c r="GXR108" s="1" t="s">
        <v>122</v>
      </c>
      <c r="GXS108" s="1" t="s">
        <v>122</v>
      </c>
      <c r="GXT108" s="1" t="s">
        <v>122</v>
      </c>
      <c r="GXU108" s="1" t="s">
        <v>122</v>
      </c>
      <c r="GXV108" s="1" t="s">
        <v>122</v>
      </c>
      <c r="GXW108" s="1" t="s">
        <v>122</v>
      </c>
      <c r="GXX108" s="1" t="s">
        <v>122</v>
      </c>
      <c r="GXY108" s="1" t="s">
        <v>122</v>
      </c>
      <c r="GXZ108" s="1" t="s">
        <v>122</v>
      </c>
      <c r="GYA108" s="1" t="s">
        <v>122</v>
      </c>
      <c r="GYB108" s="1" t="s">
        <v>122</v>
      </c>
      <c r="GYC108" s="1" t="s">
        <v>122</v>
      </c>
      <c r="GYD108" s="1" t="s">
        <v>122</v>
      </c>
      <c r="GYE108" s="1" t="s">
        <v>122</v>
      </c>
      <c r="GYF108" s="1" t="s">
        <v>122</v>
      </c>
      <c r="GYG108" s="1" t="s">
        <v>122</v>
      </c>
      <c r="GYH108" s="1" t="s">
        <v>122</v>
      </c>
      <c r="GYI108" s="1" t="s">
        <v>122</v>
      </c>
      <c r="GYJ108" s="1" t="s">
        <v>122</v>
      </c>
      <c r="GYK108" s="1" t="s">
        <v>122</v>
      </c>
      <c r="GYL108" s="1" t="s">
        <v>122</v>
      </c>
      <c r="GYM108" s="1" t="s">
        <v>122</v>
      </c>
      <c r="GYN108" s="1" t="s">
        <v>122</v>
      </c>
      <c r="GYO108" s="1" t="s">
        <v>122</v>
      </c>
      <c r="GYP108" s="1" t="s">
        <v>122</v>
      </c>
      <c r="GYQ108" s="1" t="s">
        <v>122</v>
      </c>
      <c r="GYR108" s="1" t="s">
        <v>122</v>
      </c>
      <c r="GYS108" s="1" t="s">
        <v>122</v>
      </c>
      <c r="GYT108" s="1" t="s">
        <v>122</v>
      </c>
      <c r="GYU108" s="1" t="s">
        <v>122</v>
      </c>
      <c r="GYV108" s="1" t="s">
        <v>122</v>
      </c>
      <c r="GYW108" s="1" t="s">
        <v>122</v>
      </c>
      <c r="GYX108" s="1" t="s">
        <v>122</v>
      </c>
      <c r="GYY108" s="1" t="s">
        <v>122</v>
      </c>
      <c r="GYZ108" s="1" t="s">
        <v>122</v>
      </c>
      <c r="GZA108" s="1" t="s">
        <v>122</v>
      </c>
      <c r="GZB108" s="1" t="s">
        <v>122</v>
      </c>
      <c r="GZC108" s="1" t="s">
        <v>122</v>
      </c>
      <c r="GZD108" s="1" t="s">
        <v>122</v>
      </c>
      <c r="GZE108" s="1" t="s">
        <v>122</v>
      </c>
      <c r="GZF108" s="1" t="s">
        <v>122</v>
      </c>
      <c r="GZG108" s="1" t="s">
        <v>122</v>
      </c>
      <c r="GZH108" s="1" t="s">
        <v>122</v>
      </c>
      <c r="GZI108" s="1" t="s">
        <v>122</v>
      </c>
      <c r="GZJ108" s="1" t="s">
        <v>122</v>
      </c>
      <c r="GZK108" s="1" t="s">
        <v>122</v>
      </c>
      <c r="GZL108" s="1" t="s">
        <v>122</v>
      </c>
      <c r="GZM108" s="1" t="s">
        <v>122</v>
      </c>
      <c r="GZN108" s="1" t="s">
        <v>122</v>
      </c>
      <c r="GZO108" s="1" t="s">
        <v>122</v>
      </c>
      <c r="GZP108" s="1" t="s">
        <v>122</v>
      </c>
      <c r="GZQ108" s="1" t="s">
        <v>122</v>
      </c>
      <c r="GZR108" s="1" t="s">
        <v>122</v>
      </c>
      <c r="GZS108" s="1" t="s">
        <v>122</v>
      </c>
      <c r="GZT108" s="1" t="s">
        <v>122</v>
      </c>
      <c r="GZU108" s="1" t="s">
        <v>122</v>
      </c>
      <c r="GZV108" s="1" t="s">
        <v>122</v>
      </c>
      <c r="GZW108" s="1" t="s">
        <v>122</v>
      </c>
      <c r="GZX108" s="1" t="s">
        <v>122</v>
      </c>
      <c r="GZY108" s="1" t="s">
        <v>122</v>
      </c>
      <c r="GZZ108" s="1" t="s">
        <v>122</v>
      </c>
      <c r="HAA108" s="1" t="s">
        <v>122</v>
      </c>
      <c r="HAB108" s="1" t="s">
        <v>122</v>
      </c>
      <c r="HAC108" s="1" t="s">
        <v>122</v>
      </c>
      <c r="HAD108" s="1" t="s">
        <v>122</v>
      </c>
      <c r="HAE108" s="1" t="s">
        <v>122</v>
      </c>
      <c r="HAF108" s="1" t="s">
        <v>122</v>
      </c>
      <c r="HAG108" s="1" t="s">
        <v>122</v>
      </c>
      <c r="HAH108" s="1" t="s">
        <v>122</v>
      </c>
      <c r="HAI108" s="1" t="s">
        <v>122</v>
      </c>
      <c r="HAJ108" s="1" t="s">
        <v>122</v>
      </c>
      <c r="HAK108" s="1" t="s">
        <v>122</v>
      </c>
      <c r="HAL108" s="1" t="s">
        <v>122</v>
      </c>
      <c r="HAM108" s="1" t="s">
        <v>122</v>
      </c>
      <c r="HAN108" s="1" t="s">
        <v>122</v>
      </c>
      <c r="HAO108" s="1" t="s">
        <v>122</v>
      </c>
      <c r="HAP108" s="1" t="s">
        <v>122</v>
      </c>
      <c r="HAQ108" s="1" t="s">
        <v>122</v>
      </c>
      <c r="HAR108" s="1" t="s">
        <v>122</v>
      </c>
      <c r="HAS108" s="1" t="s">
        <v>122</v>
      </c>
      <c r="HAT108" s="1" t="s">
        <v>122</v>
      </c>
      <c r="HAU108" s="1" t="s">
        <v>122</v>
      </c>
      <c r="HAV108" s="1" t="s">
        <v>122</v>
      </c>
      <c r="HAW108" s="1" t="s">
        <v>122</v>
      </c>
      <c r="HAX108" s="1" t="s">
        <v>122</v>
      </c>
      <c r="HAY108" s="1" t="s">
        <v>122</v>
      </c>
      <c r="HAZ108" s="1" t="s">
        <v>122</v>
      </c>
      <c r="HBA108" s="1" t="s">
        <v>122</v>
      </c>
      <c r="HBB108" s="1" t="s">
        <v>122</v>
      </c>
      <c r="HBC108" s="1" t="s">
        <v>122</v>
      </c>
      <c r="HBD108" s="1" t="s">
        <v>122</v>
      </c>
      <c r="HBE108" s="1" t="s">
        <v>122</v>
      </c>
      <c r="HBF108" s="1" t="s">
        <v>122</v>
      </c>
      <c r="HBG108" s="1" t="s">
        <v>122</v>
      </c>
      <c r="HBH108" s="1" t="s">
        <v>122</v>
      </c>
      <c r="HBI108" s="1" t="s">
        <v>122</v>
      </c>
      <c r="HBJ108" s="1" t="s">
        <v>122</v>
      </c>
      <c r="HBK108" s="1" t="s">
        <v>122</v>
      </c>
      <c r="HBL108" s="1" t="s">
        <v>122</v>
      </c>
      <c r="HBM108" s="1" t="s">
        <v>122</v>
      </c>
      <c r="HBN108" s="1" t="s">
        <v>122</v>
      </c>
      <c r="HBO108" s="1" t="s">
        <v>122</v>
      </c>
      <c r="HBP108" s="1" t="s">
        <v>122</v>
      </c>
      <c r="HBQ108" s="1" t="s">
        <v>122</v>
      </c>
      <c r="HBR108" s="1" t="s">
        <v>122</v>
      </c>
      <c r="HBS108" s="1" t="s">
        <v>122</v>
      </c>
      <c r="HBT108" s="1" t="s">
        <v>122</v>
      </c>
      <c r="HBU108" s="1" t="s">
        <v>122</v>
      </c>
      <c r="HBV108" s="1" t="s">
        <v>122</v>
      </c>
      <c r="HBW108" s="1" t="s">
        <v>122</v>
      </c>
      <c r="HBX108" s="1" t="s">
        <v>122</v>
      </c>
      <c r="HBY108" s="1" t="s">
        <v>122</v>
      </c>
      <c r="HBZ108" s="1" t="s">
        <v>122</v>
      </c>
      <c r="HCA108" s="1" t="s">
        <v>122</v>
      </c>
      <c r="HCB108" s="1" t="s">
        <v>122</v>
      </c>
      <c r="HCC108" s="1" t="s">
        <v>122</v>
      </c>
      <c r="HCD108" s="1" t="s">
        <v>122</v>
      </c>
      <c r="HCE108" s="1" t="s">
        <v>122</v>
      </c>
      <c r="HCF108" s="1" t="s">
        <v>122</v>
      </c>
      <c r="HCG108" s="1" t="s">
        <v>122</v>
      </c>
      <c r="HCH108" s="1" t="s">
        <v>122</v>
      </c>
      <c r="HCI108" s="1" t="s">
        <v>122</v>
      </c>
      <c r="HCJ108" s="1" t="s">
        <v>122</v>
      </c>
      <c r="HCK108" s="1" t="s">
        <v>122</v>
      </c>
      <c r="HCL108" s="1" t="s">
        <v>122</v>
      </c>
      <c r="HCM108" s="1" t="s">
        <v>122</v>
      </c>
      <c r="HCN108" s="1" t="s">
        <v>122</v>
      </c>
      <c r="HCO108" s="1" t="s">
        <v>122</v>
      </c>
      <c r="HCP108" s="1" t="s">
        <v>122</v>
      </c>
      <c r="HCQ108" s="1" t="s">
        <v>122</v>
      </c>
      <c r="HCR108" s="1" t="s">
        <v>122</v>
      </c>
      <c r="HCS108" s="1" t="s">
        <v>122</v>
      </c>
      <c r="HCT108" s="1" t="s">
        <v>122</v>
      </c>
      <c r="HCU108" s="1" t="s">
        <v>122</v>
      </c>
      <c r="HCV108" s="1" t="s">
        <v>122</v>
      </c>
      <c r="HCW108" s="1" t="s">
        <v>122</v>
      </c>
      <c r="HCX108" s="1" t="s">
        <v>122</v>
      </c>
      <c r="HCY108" s="1" t="s">
        <v>122</v>
      </c>
      <c r="HCZ108" s="1" t="s">
        <v>122</v>
      </c>
      <c r="HDA108" s="1" t="s">
        <v>122</v>
      </c>
      <c r="HDB108" s="1" t="s">
        <v>122</v>
      </c>
      <c r="HDC108" s="1" t="s">
        <v>122</v>
      </c>
      <c r="HDD108" s="1" t="s">
        <v>122</v>
      </c>
      <c r="HDE108" s="1" t="s">
        <v>122</v>
      </c>
      <c r="HDF108" s="1" t="s">
        <v>122</v>
      </c>
      <c r="HDG108" s="1" t="s">
        <v>122</v>
      </c>
      <c r="HDH108" s="1" t="s">
        <v>122</v>
      </c>
      <c r="HDI108" s="1" t="s">
        <v>122</v>
      </c>
      <c r="HDJ108" s="1" t="s">
        <v>122</v>
      </c>
      <c r="HDK108" s="1" t="s">
        <v>122</v>
      </c>
      <c r="HDL108" s="1" t="s">
        <v>122</v>
      </c>
      <c r="HDM108" s="1" t="s">
        <v>122</v>
      </c>
      <c r="HDN108" s="1" t="s">
        <v>122</v>
      </c>
      <c r="HDO108" s="1" t="s">
        <v>122</v>
      </c>
      <c r="HDP108" s="1" t="s">
        <v>122</v>
      </c>
      <c r="HDQ108" s="1" t="s">
        <v>122</v>
      </c>
      <c r="HDR108" s="1" t="s">
        <v>122</v>
      </c>
      <c r="HDS108" s="1" t="s">
        <v>122</v>
      </c>
      <c r="HDT108" s="1" t="s">
        <v>122</v>
      </c>
      <c r="HDU108" s="1" t="s">
        <v>122</v>
      </c>
      <c r="HDV108" s="1" t="s">
        <v>122</v>
      </c>
      <c r="HDW108" s="1" t="s">
        <v>122</v>
      </c>
      <c r="HDX108" s="1" t="s">
        <v>122</v>
      </c>
      <c r="HDY108" s="1" t="s">
        <v>122</v>
      </c>
      <c r="HDZ108" s="1" t="s">
        <v>122</v>
      </c>
      <c r="HEA108" s="1" t="s">
        <v>122</v>
      </c>
      <c r="HEB108" s="1" t="s">
        <v>122</v>
      </c>
      <c r="HEC108" s="1" t="s">
        <v>122</v>
      </c>
      <c r="HED108" s="1" t="s">
        <v>122</v>
      </c>
      <c r="HEE108" s="1" t="s">
        <v>122</v>
      </c>
      <c r="HEF108" s="1" t="s">
        <v>122</v>
      </c>
      <c r="HEG108" s="1" t="s">
        <v>122</v>
      </c>
      <c r="HEH108" s="1" t="s">
        <v>122</v>
      </c>
      <c r="HEI108" s="1" t="s">
        <v>122</v>
      </c>
      <c r="HEJ108" s="1" t="s">
        <v>122</v>
      </c>
      <c r="HEK108" s="1" t="s">
        <v>122</v>
      </c>
      <c r="HEL108" s="1" t="s">
        <v>122</v>
      </c>
      <c r="HEM108" s="1" t="s">
        <v>122</v>
      </c>
      <c r="HEN108" s="1" t="s">
        <v>122</v>
      </c>
      <c r="HEO108" s="1" t="s">
        <v>122</v>
      </c>
      <c r="HEP108" s="1" t="s">
        <v>122</v>
      </c>
      <c r="HEQ108" s="1" t="s">
        <v>122</v>
      </c>
      <c r="HER108" s="1" t="s">
        <v>122</v>
      </c>
      <c r="HES108" s="1" t="s">
        <v>122</v>
      </c>
      <c r="HET108" s="1" t="s">
        <v>122</v>
      </c>
      <c r="HEU108" s="1" t="s">
        <v>122</v>
      </c>
      <c r="HEV108" s="1" t="s">
        <v>122</v>
      </c>
      <c r="HEW108" s="1" t="s">
        <v>122</v>
      </c>
      <c r="HEX108" s="1" t="s">
        <v>122</v>
      </c>
      <c r="HEY108" s="1" t="s">
        <v>122</v>
      </c>
      <c r="HEZ108" s="1" t="s">
        <v>122</v>
      </c>
      <c r="HFA108" s="1" t="s">
        <v>122</v>
      </c>
      <c r="HFB108" s="1" t="s">
        <v>122</v>
      </c>
      <c r="HFC108" s="1" t="s">
        <v>122</v>
      </c>
      <c r="HFD108" s="1" t="s">
        <v>122</v>
      </c>
      <c r="HFE108" s="1" t="s">
        <v>122</v>
      </c>
      <c r="HFF108" s="1" t="s">
        <v>122</v>
      </c>
      <c r="HFG108" s="1" t="s">
        <v>122</v>
      </c>
      <c r="HFH108" s="1" t="s">
        <v>122</v>
      </c>
      <c r="HFI108" s="1" t="s">
        <v>122</v>
      </c>
      <c r="HFJ108" s="1" t="s">
        <v>122</v>
      </c>
      <c r="HFK108" s="1" t="s">
        <v>122</v>
      </c>
      <c r="HFL108" s="1" t="s">
        <v>122</v>
      </c>
      <c r="HFM108" s="1" t="s">
        <v>122</v>
      </c>
      <c r="HFN108" s="1" t="s">
        <v>122</v>
      </c>
      <c r="HFO108" s="1" t="s">
        <v>122</v>
      </c>
      <c r="HFP108" s="1" t="s">
        <v>122</v>
      </c>
      <c r="HFQ108" s="1" t="s">
        <v>122</v>
      </c>
      <c r="HFR108" s="1" t="s">
        <v>122</v>
      </c>
      <c r="HFS108" s="1" t="s">
        <v>122</v>
      </c>
      <c r="HFT108" s="1" t="s">
        <v>122</v>
      </c>
      <c r="HFU108" s="1" t="s">
        <v>122</v>
      </c>
      <c r="HFV108" s="1" t="s">
        <v>122</v>
      </c>
      <c r="HFW108" s="1" t="s">
        <v>122</v>
      </c>
      <c r="HFX108" s="1" t="s">
        <v>122</v>
      </c>
      <c r="HFY108" s="1" t="s">
        <v>122</v>
      </c>
      <c r="HFZ108" s="1" t="s">
        <v>122</v>
      </c>
      <c r="HGA108" s="1" t="s">
        <v>122</v>
      </c>
      <c r="HGB108" s="1" t="s">
        <v>122</v>
      </c>
      <c r="HGC108" s="1" t="s">
        <v>122</v>
      </c>
      <c r="HGD108" s="1" t="s">
        <v>122</v>
      </c>
      <c r="HGE108" s="1" t="s">
        <v>122</v>
      </c>
      <c r="HGF108" s="1" t="s">
        <v>122</v>
      </c>
      <c r="HGG108" s="1" t="s">
        <v>122</v>
      </c>
      <c r="HGH108" s="1" t="s">
        <v>122</v>
      </c>
      <c r="HGI108" s="1" t="s">
        <v>122</v>
      </c>
      <c r="HGJ108" s="1" t="s">
        <v>122</v>
      </c>
      <c r="HGK108" s="1" t="s">
        <v>122</v>
      </c>
      <c r="HGL108" s="1" t="s">
        <v>122</v>
      </c>
      <c r="HGM108" s="1" t="s">
        <v>122</v>
      </c>
      <c r="HGN108" s="1" t="s">
        <v>122</v>
      </c>
      <c r="HGO108" s="1" t="s">
        <v>122</v>
      </c>
      <c r="HGP108" s="1" t="s">
        <v>122</v>
      </c>
      <c r="HGQ108" s="1" t="s">
        <v>122</v>
      </c>
      <c r="HGR108" s="1" t="s">
        <v>122</v>
      </c>
      <c r="HGS108" s="1" t="s">
        <v>122</v>
      </c>
      <c r="HGT108" s="1" t="s">
        <v>122</v>
      </c>
      <c r="HGU108" s="1" t="s">
        <v>122</v>
      </c>
      <c r="HGV108" s="1" t="s">
        <v>122</v>
      </c>
      <c r="HGW108" s="1" t="s">
        <v>122</v>
      </c>
      <c r="HGX108" s="1" t="s">
        <v>122</v>
      </c>
      <c r="HGY108" s="1" t="s">
        <v>122</v>
      </c>
      <c r="HGZ108" s="1" t="s">
        <v>122</v>
      </c>
      <c r="HHA108" s="1" t="s">
        <v>122</v>
      </c>
      <c r="HHB108" s="1" t="s">
        <v>122</v>
      </c>
      <c r="HHC108" s="1" t="s">
        <v>122</v>
      </c>
      <c r="HHD108" s="1" t="s">
        <v>122</v>
      </c>
      <c r="HHE108" s="1" t="s">
        <v>122</v>
      </c>
      <c r="HHF108" s="1" t="s">
        <v>122</v>
      </c>
      <c r="HHG108" s="1" t="s">
        <v>122</v>
      </c>
      <c r="HHH108" s="1" t="s">
        <v>122</v>
      </c>
      <c r="HHI108" s="1" t="s">
        <v>122</v>
      </c>
      <c r="HHJ108" s="1" t="s">
        <v>122</v>
      </c>
      <c r="HHK108" s="1" t="s">
        <v>122</v>
      </c>
      <c r="HHL108" s="1" t="s">
        <v>122</v>
      </c>
      <c r="HHM108" s="1" t="s">
        <v>122</v>
      </c>
      <c r="HHN108" s="1" t="s">
        <v>122</v>
      </c>
      <c r="HHO108" s="1" t="s">
        <v>122</v>
      </c>
      <c r="HHP108" s="1" t="s">
        <v>122</v>
      </c>
      <c r="HHQ108" s="1" t="s">
        <v>122</v>
      </c>
      <c r="HHR108" s="1" t="s">
        <v>122</v>
      </c>
      <c r="HHS108" s="1" t="s">
        <v>122</v>
      </c>
      <c r="HHT108" s="1" t="s">
        <v>122</v>
      </c>
      <c r="HHU108" s="1" t="s">
        <v>122</v>
      </c>
      <c r="HHV108" s="1" t="s">
        <v>122</v>
      </c>
      <c r="HHW108" s="1" t="s">
        <v>122</v>
      </c>
      <c r="HHX108" s="1" t="s">
        <v>122</v>
      </c>
      <c r="HHY108" s="1" t="s">
        <v>122</v>
      </c>
      <c r="HHZ108" s="1" t="s">
        <v>122</v>
      </c>
      <c r="HIA108" s="1" t="s">
        <v>122</v>
      </c>
      <c r="HIB108" s="1" t="s">
        <v>122</v>
      </c>
      <c r="HIC108" s="1" t="s">
        <v>122</v>
      </c>
      <c r="HID108" s="1" t="s">
        <v>122</v>
      </c>
      <c r="HIE108" s="1" t="s">
        <v>122</v>
      </c>
      <c r="HIF108" s="1" t="s">
        <v>122</v>
      </c>
      <c r="HIG108" s="1" t="s">
        <v>122</v>
      </c>
      <c r="HIH108" s="1" t="s">
        <v>122</v>
      </c>
      <c r="HII108" s="1" t="s">
        <v>122</v>
      </c>
      <c r="HIJ108" s="1" t="s">
        <v>122</v>
      </c>
      <c r="HIK108" s="1" t="s">
        <v>122</v>
      </c>
      <c r="HIL108" s="1" t="s">
        <v>122</v>
      </c>
      <c r="HIM108" s="1" t="s">
        <v>122</v>
      </c>
      <c r="HIN108" s="1" t="s">
        <v>122</v>
      </c>
      <c r="HIO108" s="1" t="s">
        <v>122</v>
      </c>
      <c r="HIP108" s="1" t="s">
        <v>122</v>
      </c>
      <c r="HIQ108" s="1" t="s">
        <v>122</v>
      </c>
      <c r="HIR108" s="1" t="s">
        <v>122</v>
      </c>
      <c r="HIS108" s="1" t="s">
        <v>122</v>
      </c>
      <c r="HIT108" s="1" t="s">
        <v>122</v>
      </c>
      <c r="HIU108" s="1" t="s">
        <v>122</v>
      </c>
      <c r="HIV108" s="1" t="s">
        <v>122</v>
      </c>
      <c r="HIW108" s="1" t="s">
        <v>122</v>
      </c>
      <c r="HIX108" s="1" t="s">
        <v>122</v>
      </c>
      <c r="HIY108" s="1" t="s">
        <v>122</v>
      </c>
      <c r="HIZ108" s="1" t="s">
        <v>122</v>
      </c>
      <c r="HJA108" s="1" t="s">
        <v>122</v>
      </c>
      <c r="HJB108" s="1" t="s">
        <v>122</v>
      </c>
      <c r="HJC108" s="1" t="s">
        <v>122</v>
      </c>
      <c r="HJD108" s="1" t="s">
        <v>122</v>
      </c>
      <c r="HJE108" s="1" t="s">
        <v>122</v>
      </c>
      <c r="HJF108" s="1" t="s">
        <v>122</v>
      </c>
      <c r="HJG108" s="1" t="s">
        <v>122</v>
      </c>
      <c r="HJH108" s="1" t="s">
        <v>122</v>
      </c>
      <c r="HJI108" s="1" t="s">
        <v>122</v>
      </c>
      <c r="HJJ108" s="1" t="s">
        <v>122</v>
      </c>
      <c r="HJK108" s="1" t="s">
        <v>122</v>
      </c>
      <c r="HJL108" s="1" t="s">
        <v>122</v>
      </c>
      <c r="HJM108" s="1" t="s">
        <v>122</v>
      </c>
      <c r="HJN108" s="1" t="s">
        <v>122</v>
      </c>
      <c r="HJO108" s="1" t="s">
        <v>122</v>
      </c>
      <c r="HJP108" s="1" t="s">
        <v>122</v>
      </c>
      <c r="HJQ108" s="1" t="s">
        <v>122</v>
      </c>
      <c r="HJR108" s="1" t="s">
        <v>122</v>
      </c>
      <c r="HJS108" s="1" t="s">
        <v>122</v>
      </c>
      <c r="HJT108" s="1" t="s">
        <v>122</v>
      </c>
      <c r="HJU108" s="1" t="s">
        <v>122</v>
      </c>
      <c r="HJV108" s="1" t="s">
        <v>122</v>
      </c>
      <c r="HJW108" s="1" t="s">
        <v>122</v>
      </c>
      <c r="HJX108" s="1" t="s">
        <v>122</v>
      </c>
      <c r="HJY108" s="1" t="s">
        <v>122</v>
      </c>
      <c r="HJZ108" s="1" t="s">
        <v>122</v>
      </c>
      <c r="HKA108" s="1" t="s">
        <v>122</v>
      </c>
      <c r="HKB108" s="1" t="s">
        <v>122</v>
      </c>
      <c r="HKC108" s="1" t="s">
        <v>122</v>
      </c>
      <c r="HKD108" s="1" t="s">
        <v>122</v>
      </c>
      <c r="HKE108" s="1" t="s">
        <v>122</v>
      </c>
      <c r="HKF108" s="1" t="s">
        <v>122</v>
      </c>
      <c r="HKG108" s="1" t="s">
        <v>122</v>
      </c>
      <c r="HKH108" s="1" t="s">
        <v>122</v>
      </c>
      <c r="HKI108" s="1" t="s">
        <v>122</v>
      </c>
      <c r="HKJ108" s="1" t="s">
        <v>122</v>
      </c>
      <c r="HKK108" s="1" t="s">
        <v>122</v>
      </c>
      <c r="HKL108" s="1" t="s">
        <v>122</v>
      </c>
      <c r="HKM108" s="1" t="s">
        <v>122</v>
      </c>
      <c r="HKN108" s="1" t="s">
        <v>122</v>
      </c>
      <c r="HKO108" s="1" t="s">
        <v>122</v>
      </c>
      <c r="HKP108" s="1" t="s">
        <v>122</v>
      </c>
      <c r="HKQ108" s="1" t="s">
        <v>122</v>
      </c>
      <c r="HKR108" s="1" t="s">
        <v>122</v>
      </c>
      <c r="HKS108" s="1" t="s">
        <v>122</v>
      </c>
      <c r="HKT108" s="1" t="s">
        <v>122</v>
      </c>
      <c r="HKU108" s="1" t="s">
        <v>122</v>
      </c>
      <c r="HKV108" s="1" t="s">
        <v>122</v>
      </c>
      <c r="HKW108" s="1" t="s">
        <v>122</v>
      </c>
      <c r="HKX108" s="1" t="s">
        <v>122</v>
      </c>
      <c r="HKY108" s="1" t="s">
        <v>122</v>
      </c>
      <c r="HKZ108" s="1" t="s">
        <v>122</v>
      </c>
      <c r="HLA108" s="1" t="s">
        <v>122</v>
      </c>
      <c r="HLB108" s="1" t="s">
        <v>122</v>
      </c>
      <c r="HLC108" s="1" t="s">
        <v>122</v>
      </c>
      <c r="HLD108" s="1" t="s">
        <v>122</v>
      </c>
      <c r="HLE108" s="1" t="s">
        <v>122</v>
      </c>
      <c r="HLF108" s="1" t="s">
        <v>122</v>
      </c>
      <c r="HLG108" s="1" t="s">
        <v>122</v>
      </c>
      <c r="HLH108" s="1" t="s">
        <v>122</v>
      </c>
      <c r="HLI108" s="1" t="s">
        <v>122</v>
      </c>
      <c r="HLJ108" s="1" t="s">
        <v>122</v>
      </c>
      <c r="HLK108" s="1" t="s">
        <v>122</v>
      </c>
      <c r="HLL108" s="1" t="s">
        <v>122</v>
      </c>
      <c r="HLM108" s="1" t="s">
        <v>122</v>
      </c>
      <c r="HLN108" s="1" t="s">
        <v>122</v>
      </c>
      <c r="HLO108" s="1" t="s">
        <v>122</v>
      </c>
      <c r="HLP108" s="1" t="s">
        <v>122</v>
      </c>
      <c r="HLQ108" s="1" t="s">
        <v>122</v>
      </c>
      <c r="HLR108" s="1" t="s">
        <v>122</v>
      </c>
      <c r="HLS108" s="1" t="s">
        <v>122</v>
      </c>
      <c r="HLT108" s="1" t="s">
        <v>122</v>
      </c>
      <c r="HLU108" s="1" t="s">
        <v>122</v>
      </c>
      <c r="HLV108" s="1" t="s">
        <v>122</v>
      </c>
      <c r="HLW108" s="1" t="s">
        <v>122</v>
      </c>
      <c r="HLX108" s="1" t="s">
        <v>122</v>
      </c>
      <c r="HLY108" s="1" t="s">
        <v>122</v>
      </c>
      <c r="HLZ108" s="1" t="s">
        <v>122</v>
      </c>
      <c r="HMA108" s="1" t="s">
        <v>122</v>
      </c>
      <c r="HMB108" s="1" t="s">
        <v>122</v>
      </c>
      <c r="HMC108" s="1" t="s">
        <v>122</v>
      </c>
      <c r="HMD108" s="1" t="s">
        <v>122</v>
      </c>
      <c r="HME108" s="1" t="s">
        <v>122</v>
      </c>
      <c r="HMF108" s="1" t="s">
        <v>122</v>
      </c>
      <c r="HMG108" s="1" t="s">
        <v>122</v>
      </c>
      <c r="HMH108" s="1" t="s">
        <v>122</v>
      </c>
      <c r="HMI108" s="1" t="s">
        <v>122</v>
      </c>
      <c r="HMJ108" s="1" t="s">
        <v>122</v>
      </c>
      <c r="HMK108" s="1" t="s">
        <v>122</v>
      </c>
      <c r="HML108" s="1" t="s">
        <v>122</v>
      </c>
      <c r="HMM108" s="1" t="s">
        <v>122</v>
      </c>
      <c r="HMN108" s="1" t="s">
        <v>122</v>
      </c>
      <c r="HMO108" s="1" t="s">
        <v>122</v>
      </c>
      <c r="HMP108" s="1" t="s">
        <v>122</v>
      </c>
      <c r="HMQ108" s="1" t="s">
        <v>122</v>
      </c>
      <c r="HMR108" s="1" t="s">
        <v>122</v>
      </c>
      <c r="HMS108" s="1" t="s">
        <v>122</v>
      </c>
      <c r="HMT108" s="1" t="s">
        <v>122</v>
      </c>
      <c r="HMU108" s="1" t="s">
        <v>122</v>
      </c>
      <c r="HMV108" s="1" t="s">
        <v>122</v>
      </c>
      <c r="HMW108" s="1" t="s">
        <v>122</v>
      </c>
      <c r="HMX108" s="1" t="s">
        <v>122</v>
      </c>
      <c r="HMY108" s="1" t="s">
        <v>122</v>
      </c>
      <c r="HMZ108" s="1" t="s">
        <v>122</v>
      </c>
      <c r="HNA108" s="1" t="s">
        <v>122</v>
      </c>
      <c r="HNB108" s="1" t="s">
        <v>122</v>
      </c>
      <c r="HNC108" s="1" t="s">
        <v>122</v>
      </c>
      <c r="HND108" s="1" t="s">
        <v>122</v>
      </c>
      <c r="HNE108" s="1" t="s">
        <v>122</v>
      </c>
      <c r="HNF108" s="1" t="s">
        <v>122</v>
      </c>
      <c r="HNG108" s="1" t="s">
        <v>122</v>
      </c>
      <c r="HNH108" s="1" t="s">
        <v>122</v>
      </c>
      <c r="HNI108" s="1" t="s">
        <v>122</v>
      </c>
      <c r="HNJ108" s="1" t="s">
        <v>122</v>
      </c>
      <c r="HNK108" s="1" t="s">
        <v>122</v>
      </c>
      <c r="HNL108" s="1" t="s">
        <v>122</v>
      </c>
      <c r="HNM108" s="1" t="s">
        <v>122</v>
      </c>
      <c r="HNN108" s="1" t="s">
        <v>122</v>
      </c>
      <c r="HNO108" s="1" t="s">
        <v>122</v>
      </c>
      <c r="HNP108" s="1" t="s">
        <v>122</v>
      </c>
      <c r="HNQ108" s="1" t="s">
        <v>122</v>
      </c>
      <c r="HNR108" s="1" t="s">
        <v>122</v>
      </c>
      <c r="HNS108" s="1" t="s">
        <v>122</v>
      </c>
      <c r="HNT108" s="1" t="s">
        <v>122</v>
      </c>
      <c r="HNU108" s="1" t="s">
        <v>122</v>
      </c>
      <c r="HNV108" s="1" t="s">
        <v>122</v>
      </c>
      <c r="HNW108" s="1" t="s">
        <v>122</v>
      </c>
      <c r="HNX108" s="1" t="s">
        <v>122</v>
      </c>
      <c r="HNY108" s="1" t="s">
        <v>122</v>
      </c>
      <c r="HNZ108" s="1" t="s">
        <v>122</v>
      </c>
      <c r="HOA108" s="1" t="s">
        <v>122</v>
      </c>
      <c r="HOB108" s="1" t="s">
        <v>122</v>
      </c>
      <c r="HOC108" s="1" t="s">
        <v>122</v>
      </c>
      <c r="HOD108" s="1" t="s">
        <v>122</v>
      </c>
      <c r="HOE108" s="1" t="s">
        <v>122</v>
      </c>
      <c r="HOF108" s="1" t="s">
        <v>122</v>
      </c>
      <c r="HOG108" s="1" t="s">
        <v>122</v>
      </c>
      <c r="HOH108" s="1" t="s">
        <v>122</v>
      </c>
      <c r="HOI108" s="1" t="s">
        <v>122</v>
      </c>
      <c r="HOJ108" s="1" t="s">
        <v>122</v>
      </c>
      <c r="HOK108" s="1" t="s">
        <v>122</v>
      </c>
      <c r="HOL108" s="1" t="s">
        <v>122</v>
      </c>
      <c r="HOM108" s="1" t="s">
        <v>122</v>
      </c>
      <c r="HON108" s="1" t="s">
        <v>122</v>
      </c>
      <c r="HOO108" s="1" t="s">
        <v>122</v>
      </c>
      <c r="HOP108" s="1" t="s">
        <v>122</v>
      </c>
      <c r="HOQ108" s="1" t="s">
        <v>122</v>
      </c>
      <c r="HOR108" s="1" t="s">
        <v>122</v>
      </c>
      <c r="HOS108" s="1" t="s">
        <v>122</v>
      </c>
      <c r="HOT108" s="1" t="s">
        <v>122</v>
      </c>
      <c r="HOU108" s="1" t="s">
        <v>122</v>
      </c>
      <c r="HOV108" s="1" t="s">
        <v>122</v>
      </c>
      <c r="HOW108" s="1" t="s">
        <v>122</v>
      </c>
      <c r="HOX108" s="1" t="s">
        <v>122</v>
      </c>
      <c r="HOY108" s="1" t="s">
        <v>122</v>
      </c>
      <c r="HOZ108" s="1" t="s">
        <v>122</v>
      </c>
      <c r="HPA108" s="1" t="s">
        <v>122</v>
      </c>
      <c r="HPB108" s="1" t="s">
        <v>122</v>
      </c>
      <c r="HPC108" s="1" t="s">
        <v>122</v>
      </c>
      <c r="HPD108" s="1" t="s">
        <v>122</v>
      </c>
      <c r="HPE108" s="1" t="s">
        <v>122</v>
      </c>
      <c r="HPF108" s="1" t="s">
        <v>122</v>
      </c>
      <c r="HPG108" s="1" t="s">
        <v>122</v>
      </c>
      <c r="HPH108" s="1" t="s">
        <v>122</v>
      </c>
      <c r="HPI108" s="1" t="s">
        <v>122</v>
      </c>
      <c r="HPJ108" s="1" t="s">
        <v>122</v>
      </c>
      <c r="HPK108" s="1" t="s">
        <v>122</v>
      </c>
      <c r="HPL108" s="1" t="s">
        <v>122</v>
      </c>
      <c r="HPM108" s="1" t="s">
        <v>122</v>
      </c>
      <c r="HPN108" s="1" t="s">
        <v>122</v>
      </c>
      <c r="HPO108" s="1" t="s">
        <v>122</v>
      </c>
      <c r="HPP108" s="1" t="s">
        <v>122</v>
      </c>
      <c r="HPQ108" s="1" t="s">
        <v>122</v>
      </c>
      <c r="HPR108" s="1" t="s">
        <v>122</v>
      </c>
      <c r="HPS108" s="1" t="s">
        <v>122</v>
      </c>
      <c r="HPT108" s="1" t="s">
        <v>122</v>
      </c>
      <c r="HPU108" s="1" t="s">
        <v>122</v>
      </c>
      <c r="HPV108" s="1" t="s">
        <v>122</v>
      </c>
      <c r="HPW108" s="1" t="s">
        <v>122</v>
      </c>
      <c r="HPX108" s="1" t="s">
        <v>122</v>
      </c>
      <c r="HPY108" s="1" t="s">
        <v>122</v>
      </c>
      <c r="HPZ108" s="1" t="s">
        <v>122</v>
      </c>
      <c r="HQA108" s="1" t="s">
        <v>122</v>
      </c>
      <c r="HQB108" s="1" t="s">
        <v>122</v>
      </c>
      <c r="HQC108" s="1" t="s">
        <v>122</v>
      </c>
      <c r="HQD108" s="1" t="s">
        <v>122</v>
      </c>
      <c r="HQE108" s="1" t="s">
        <v>122</v>
      </c>
      <c r="HQF108" s="1" t="s">
        <v>122</v>
      </c>
      <c r="HQG108" s="1" t="s">
        <v>122</v>
      </c>
      <c r="HQH108" s="1" t="s">
        <v>122</v>
      </c>
      <c r="HQI108" s="1" t="s">
        <v>122</v>
      </c>
      <c r="HQJ108" s="1" t="s">
        <v>122</v>
      </c>
      <c r="HQK108" s="1" t="s">
        <v>122</v>
      </c>
      <c r="HQL108" s="1" t="s">
        <v>122</v>
      </c>
      <c r="HQM108" s="1" t="s">
        <v>122</v>
      </c>
      <c r="HQN108" s="1" t="s">
        <v>122</v>
      </c>
      <c r="HQO108" s="1" t="s">
        <v>122</v>
      </c>
      <c r="HQP108" s="1" t="s">
        <v>122</v>
      </c>
      <c r="HQQ108" s="1" t="s">
        <v>122</v>
      </c>
      <c r="HQR108" s="1" t="s">
        <v>122</v>
      </c>
      <c r="HQS108" s="1" t="s">
        <v>122</v>
      </c>
      <c r="HQT108" s="1" t="s">
        <v>122</v>
      </c>
      <c r="HQU108" s="1" t="s">
        <v>122</v>
      </c>
      <c r="HQV108" s="1" t="s">
        <v>122</v>
      </c>
      <c r="HQW108" s="1" t="s">
        <v>122</v>
      </c>
      <c r="HQX108" s="1" t="s">
        <v>122</v>
      </c>
      <c r="HQY108" s="1" t="s">
        <v>122</v>
      </c>
      <c r="HQZ108" s="1" t="s">
        <v>122</v>
      </c>
      <c r="HRA108" s="1" t="s">
        <v>122</v>
      </c>
      <c r="HRB108" s="1" t="s">
        <v>122</v>
      </c>
      <c r="HRC108" s="1" t="s">
        <v>122</v>
      </c>
      <c r="HRD108" s="1" t="s">
        <v>122</v>
      </c>
      <c r="HRE108" s="1" t="s">
        <v>122</v>
      </c>
      <c r="HRF108" s="1" t="s">
        <v>122</v>
      </c>
      <c r="HRG108" s="1" t="s">
        <v>122</v>
      </c>
      <c r="HRH108" s="1" t="s">
        <v>122</v>
      </c>
      <c r="HRI108" s="1" t="s">
        <v>122</v>
      </c>
      <c r="HRJ108" s="1" t="s">
        <v>122</v>
      </c>
      <c r="HRK108" s="1" t="s">
        <v>122</v>
      </c>
      <c r="HRL108" s="1" t="s">
        <v>122</v>
      </c>
      <c r="HRM108" s="1" t="s">
        <v>122</v>
      </c>
      <c r="HRN108" s="1" t="s">
        <v>122</v>
      </c>
      <c r="HRO108" s="1" t="s">
        <v>122</v>
      </c>
      <c r="HRP108" s="1" t="s">
        <v>122</v>
      </c>
      <c r="HRQ108" s="1" t="s">
        <v>122</v>
      </c>
      <c r="HRR108" s="1" t="s">
        <v>122</v>
      </c>
      <c r="HRS108" s="1" t="s">
        <v>122</v>
      </c>
      <c r="HRT108" s="1" t="s">
        <v>122</v>
      </c>
      <c r="HRU108" s="1" t="s">
        <v>122</v>
      </c>
      <c r="HRV108" s="1" t="s">
        <v>122</v>
      </c>
      <c r="HRW108" s="1" t="s">
        <v>122</v>
      </c>
      <c r="HRX108" s="1" t="s">
        <v>122</v>
      </c>
      <c r="HRY108" s="1" t="s">
        <v>122</v>
      </c>
      <c r="HRZ108" s="1" t="s">
        <v>122</v>
      </c>
      <c r="HSA108" s="1" t="s">
        <v>122</v>
      </c>
      <c r="HSB108" s="1" t="s">
        <v>122</v>
      </c>
      <c r="HSC108" s="1" t="s">
        <v>122</v>
      </c>
      <c r="HSD108" s="1" t="s">
        <v>122</v>
      </c>
      <c r="HSE108" s="1" t="s">
        <v>122</v>
      </c>
      <c r="HSF108" s="1" t="s">
        <v>122</v>
      </c>
      <c r="HSG108" s="1" t="s">
        <v>122</v>
      </c>
      <c r="HSH108" s="1" t="s">
        <v>122</v>
      </c>
      <c r="HSI108" s="1" t="s">
        <v>122</v>
      </c>
      <c r="HSJ108" s="1" t="s">
        <v>122</v>
      </c>
      <c r="HSK108" s="1" t="s">
        <v>122</v>
      </c>
      <c r="HSL108" s="1" t="s">
        <v>122</v>
      </c>
      <c r="HSM108" s="1" t="s">
        <v>122</v>
      </c>
      <c r="HSN108" s="1" t="s">
        <v>122</v>
      </c>
      <c r="HSO108" s="1" t="s">
        <v>122</v>
      </c>
      <c r="HSP108" s="1" t="s">
        <v>122</v>
      </c>
      <c r="HSQ108" s="1" t="s">
        <v>122</v>
      </c>
      <c r="HSR108" s="1" t="s">
        <v>122</v>
      </c>
      <c r="HSS108" s="1" t="s">
        <v>122</v>
      </c>
      <c r="HST108" s="1" t="s">
        <v>122</v>
      </c>
      <c r="HSU108" s="1" t="s">
        <v>122</v>
      </c>
      <c r="HSV108" s="1" t="s">
        <v>122</v>
      </c>
      <c r="HSW108" s="1" t="s">
        <v>122</v>
      </c>
      <c r="HSX108" s="1" t="s">
        <v>122</v>
      </c>
      <c r="HSY108" s="1" t="s">
        <v>122</v>
      </c>
      <c r="HSZ108" s="1" t="s">
        <v>122</v>
      </c>
      <c r="HTA108" s="1" t="s">
        <v>122</v>
      </c>
      <c r="HTB108" s="1" t="s">
        <v>122</v>
      </c>
      <c r="HTC108" s="1" t="s">
        <v>122</v>
      </c>
      <c r="HTD108" s="1" t="s">
        <v>122</v>
      </c>
      <c r="HTE108" s="1" t="s">
        <v>122</v>
      </c>
      <c r="HTF108" s="1" t="s">
        <v>122</v>
      </c>
      <c r="HTG108" s="1" t="s">
        <v>122</v>
      </c>
      <c r="HTH108" s="1" t="s">
        <v>122</v>
      </c>
      <c r="HTI108" s="1" t="s">
        <v>122</v>
      </c>
      <c r="HTJ108" s="1" t="s">
        <v>122</v>
      </c>
      <c r="HTK108" s="1" t="s">
        <v>122</v>
      </c>
      <c r="HTL108" s="1" t="s">
        <v>122</v>
      </c>
      <c r="HTM108" s="1" t="s">
        <v>122</v>
      </c>
      <c r="HTN108" s="1" t="s">
        <v>122</v>
      </c>
      <c r="HTO108" s="1" t="s">
        <v>122</v>
      </c>
      <c r="HTP108" s="1" t="s">
        <v>122</v>
      </c>
      <c r="HTQ108" s="1" t="s">
        <v>122</v>
      </c>
      <c r="HTR108" s="1" t="s">
        <v>122</v>
      </c>
      <c r="HTS108" s="1" t="s">
        <v>122</v>
      </c>
      <c r="HTT108" s="1" t="s">
        <v>122</v>
      </c>
      <c r="HTU108" s="1" t="s">
        <v>122</v>
      </c>
      <c r="HTV108" s="1" t="s">
        <v>122</v>
      </c>
      <c r="HTW108" s="1" t="s">
        <v>122</v>
      </c>
      <c r="HTX108" s="1" t="s">
        <v>122</v>
      </c>
      <c r="HTY108" s="1" t="s">
        <v>122</v>
      </c>
      <c r="HTZ108" s="1" t="s">
        <v>122</v>
      </c>
      <c r="HUA108" s="1" t="s">
        <v>122</v>
      </c>
      <c r="HUB108" s="1" t="s">
        <v>122</v>
      </c>
      <c r="HUC108" s="1" t="s">
        <v>122</v>
      </c>
      <c r="HUD108" s="1" t="s">
        <v>122</v>
      </c>
      <c r="HUE108" s="1" t="s">
        <v>122</v>
      </c>
      <c r="HUF108" s="1" t="s">
        <v>122</v>
      </c>
      <c r="HUG108" s="1" t="s">
        <v>122</v>
      </c>
      <c r="HUH108" s="1" t="s">
        <v>122</v>
      </c>
      <c r="HUI108" s="1" t="s">
        <v>122</v>
      </c>
      <c r="HUJ108" s="1" t="s">
        <v>122</v>
      </c>
      <c r="HUK108" s="1" t="s">
        <v>122</v>
      </c>
      <c r="HUL108" s="1" t="s">
        <v>122</v>
      </c>
      <c r="HUM108" s="1" t="s">
        <v>122</v>
      </c>
      <c r="HUN108" s="1" t="s">
        <v>122</v>
      </c>
      <c r="HUO108" s="1" t="s">
        <v>122</v>
      </c>
      <c r="HUP108" s="1" t="s">
        <v>122</v>
      </c>
      <c r="HUQ108" s="1" t="s">
        <v>122</v>
      </c>
      <c r="HUR108" s="1" t="s">
        <v>122</v>
      </c>
      <c r="HUS108" s="1" t="s">
        <v>122</v>
      </c>
      <c r="HUT108" s="1" t="s">
        <v>122</v>
      </c>
      <c r="HUU108" s="1" t="s">
        <v>122</v>
      </c>
      <c r="HUV108" s="1" t="s">
        <v>122</v>
      </c>
      <c r="HUW108" s="1" t="s">
        <v>122</v>
      </c>
      <c r="HUX108" s="1" t="s">
        <v>122</v>
      </c>
      <c r="HUY108" s="1" t="s">
        <v>122</v>
      </c>
      <c r="HUZ108" s="1" t="s">
        <v>122</v>
      </c>
      <c r="HVA108" s="1" t="s">
        <v>122</v>
      </c>
      <c r="HVB108" s="1" t="s">
        <v>122</v>
      </c>
      <c r="HVC108" s="1" t="s">
        <v>122</v>
      </c>
      <c r="HVD108" s="1" t="s">
        <v>122</v>
      </c>
      <c r="HVE108" s="1" t="s">
        <v>122</v>
      </c>
      <c r="HVF108" s="1" t="s">
        <v>122</v>
      </c>
      <c r="HVG108" s="1" t="s">
        <v>122</v>
      </c>
      <c r="HVH108" s="1" t="s">
        <v>122</v>
      </c>
      <c r="HVI108" s="1" t="s">
        <v>122</v>
      </c>
      <c r="HVJ108" s="1" t="s">
        <v>122</v>
      </c>
      <c r="HVK108" s="1" t="s">
        <v>122</v>
      </c>
      <c r="HVL108" s="1" t="s">
        <v>122</v>
      </c>
      <c r="HVM108" s="1" t="s">
        <v>122</v>
      </c>
      <c r="HVN108" s="1" t="s">
        <v>122</v>
      </c>
      <c r="HVO108" s="1" t="s">
        <v>122</v>
      </c>
      <c r="HVP108" s="1" t="s">
        <v>122</v>
      </c>
      <c r="HVQ108" s="1" t="s">
        <v>122</v>
      </c>
      <c r="HVR108" s="1" t="s">
        <v>122</v>
      </c>
      <c r="HVS108" s="1" t="s">
        <v>122</v>
      </c>
      <c r="HVT108" s="1" t="s">
        <v>122</v>
      </c>
      <c r="HVU108" s="1" t="s">
        <v>122</v>
      </c>
      <c r="HVV108" s="1" t="s">
        <v>122</v>
      </c>
      <c r="HVW108" s="1" t="s">
        <v>122</v>
      </c>
      <c r="HVX108" s="1" t="s">
        <v>122</v>
      </c>
      <c r="HVY108" s="1" t="s">
        <v>122</v>
      </c>
      <c r="HVZ108" s="1" t="s">
        <v>122</v>
      </c>
      <c r="HWA108" s="1" t="s">
        <v>122</v>
      </c>
      <c r="HWB108" s="1" t="s">
        <v>122</v>
      </c>
      <c r="HWC108" s="1" t="s">
        <v>122</v>
      </c>
      <c r="HWD108" s="1" t="s">
        <v>122</v>
      </c>
      <c r="HWE108" s="1" t="s">
        <v>122</v>
      </c>
      <c r="HWF108" s="1" t="s">
        <v>122</v>
      </c>
      <c r="HWG108" s="1" t="s">
        <v>122</v>
      </c>
      <c r="HWH108" s="1" t="s">
        <v>122</v>
      </c>
      <c r="HWI108" s="1" t="s">
        <v>122</v>
      </c>
      <c r="HWJ108" s="1" t="s">
        <v>122</v>
      </c>
      <c r="HWK108" s="1" t="s">
        <v>122</v>
      </c>
      <c r="HWL108" s="1" t="s">
        <v>122</v>
      </c>
      <c r="HWM108" s="1" t="s">
        <v>122</v>
      </c>
      <c r="HWN108" s="1" t="s">
        <v>122</v>
      </c>
      <c r="HWO108" s="1" t="s">
        <v>122</v>
      </c>
      <c r="HWP108" s="1" t="s">
        <v>122</v>
      </c>
      <c r="HWQ108" s="1" t="s">
        <v>122</v>
      </c>
      <c r="HWR108" s="1" t="s">
        <v>122</v>
      </c>
      <c r="HWS108" s="1" t="s">
        <v>122</v>
      </c>
      <c r="HWT108" s="1" t="s">
        <v>122</v>
      </c>
      <c r="HWU108" s="1" t="s">
        <v>122</v>
      </c>
      <c r="HWV108" s="1" t="s">
        <v>122</v>
      </c>
      <c r="HWW108" s="1" t="s">
        <v>122</v>
      </c>
      <c r="HWX108" s="1" t="s">
        <v>122</v>
      </c>
      <c r="HWY108" s="1" t="s">
        <v>122</v>
      </c>
      <c r="HWZ108" s="1" t="s">
        <v>122</v>
      </c>
      <c r="HXA108" s="1" t="s">
        <v>122</v>
      </c>
      <c r="HXB108" s="1" t="s">
        <v>122</v>
      </c>
      <c r="HXC108" s="1" t="s">
        <v>122</v>
      </c>
      <c r="HXD108" s="1" t="s">
        <v>122</v>
      </c>
      <c r="HXE108" s="1" t="s">
        <v>122</v>
      </c>
      <c r="HXF108" s="1" t="s">
        <v>122</v>
      </c>
      <c r="HXG108" s="1" t="s">
        <v>122</v>
      </c>
      <c r="HXH108" s="1" t="s">
        <v>122</v>
      </c>
      <c r="HXI108" s="1" t="s">
        <v>122</v>
      </c>
      <c r="HXJ108" s="1" t="s">
        <v>122</v>
      </c>
      <c r="HXK108" s="1" t="s">
        <v>122</v>
      </c>
      <c r="HXL108" s="1" t="s">
        <v>122</v>
      </c>
      <c r="HXM108" s="1" t="s">
        <v>122</v>
      </c>
      <c r="HXN108" s="1" t="s">
        <v>122</v>
      </c>
      <c r="HXO108" s="1" t="s">
        <v>122</v>
      </c>
      <c r="HXP108" s="1" t="s">
        <v>122</v>
      </c>
      <c r="HXQ108" s="1" t="s">
        <v>122</v>
      </c>
      <c r="HXR108" s="1" t="s">
        <v>122</v>
      </c>
      <c r="HXS108" s="1" t="s">
        <v>122</v>
      </c>
      <c r="HXT108" s="1" t="s">
        <v>122</v>
      </c>
      <c r="HXU108" s="1" t="s">
        <v>122</v>
      </c>
      <c r="HXV108" s="1" t="s">
        <v>122</v>
      </c>
      <c r="HXW108" s="1" t="s">
        <v>122</v>
      </c>
      <c r="HXX108" s="1" t="s">
        <v>122</v>
      </c>
      <c r="HXY108" s="1" t="s">
        <v>122</v>
      </c>
      <c r="HXZ108" s="1" t="s">
        <v>122</v>
      </c>
      <c r="HYA108" s="1" t="s">
        <v>122</v>
      </c>
      <c r="HYB108" s="1" t="s">
        <v>122</v>
      </c>
      <c r="HYC108" s="1" t="s">
        <v>122</v>
      </c>
      <c r="HYD108" s="1" t="s">
        <v>122</v>
      </c>
      <c r="HYE108" s="1" t="s">
        <v>122</v>
      </c>
      <c r="HYF108" s="1" t="s">
        <v>122</v>
      </c>
      <c r="HYG108" s="1" t="s">
        <v>122</v>
      </c>
      <c r="HYH108" s="1" t="s">
        <v>122</v>
      </c>
      <c r="HYI108" s="1" t="s">
        <v>122</v>
      </c>
      <c r="HYJ108" s="1" t="s">
        <v>122</v>
      </c>
      <c r="HYK108" s="1" t="s">
        <v>122</v>
      </c>
      <c r="HYL108" s="1" t="s">
        <v>122</v>
      </c>
      <c r="HYM108" s="1" t="s">
        <v>122</v>
      </c>
      <c r="HYN108" s="1" t="s">
        <v>122</v>
      </c>
      <c r="HYO108" s="1" t="s">
        <v>122</v>
      </c>
      <c r="HYP108" s="1" t="s">
        <v>122</v>
      </c>
      <c r="HYQ108" s="1" t="s">
        <v>122</v>
      </c>
      <c r="HYR108" s="1" t="s">
        <v>122</v>
      </c>
      <c r="HYS108" s="1" t="s">
        <v>122</v>
      </c>
      <c r="HYT108" s="1" t="s">
        <v>122</v>
      </c>
      <c r="HYU108" s="1" t="s">
        <v>122</v>
      </c>
      <c r="HYV108" s="1" t="s">
        <v>122</v>
      </c>
      <c r="HYW108" s="1" t="s">
        <v>122</v>
      </c>
      <c r="HYX108" s="1" t="s">
        <v>122</v>
      </c>
      <c r="HYY108" s="1" t="s">
        <v>122</v>
      </c>
      <c r="HYZ108" s="1" t="s">
        <v>122</v>
      </c>
      <c r="HZA108" s="1" t="s">
        <v>122</v>
      </c>
      <c r="HZB108" s="1" t="s">
        <v>122</v>
      </c>
      <c r="HZC108" s="1" t="s">
        <v>122</v>
      </c>
      <c r="HZD108" s="1" t="s">
        <v>122</v>
      </c>
      <c r="HZE108" s="1" t="s">
        <v>122</v>
      </c>
      <c r="HZF108" s="1" t="s">
        <v>122</v>
      </c>
      <c r="HZG108" s="1" t="s">
        <v>122</v>
      </c>
      <c r="HZH108" s="1" t="s">
        <v>122</v>
      </c>
      <c r="HZI108" s="1" t="s">
        <v>122</v>
      </c>
      <c r="HZJ108" s="1" t="s">
        <v>122</v>
      </c>
      <c r="HZK108" s="1" t="s">
        <v>122</v>
      </c>
      <c r="HZL108" s="1" t="s">
        <v>122</v>
      </c>
      <c r="HZM108" s="1" t="s">
        <v>122</v>
      </c>
      <c r="HZN108" s="1" t="s">
        <v>122</v>
      </c>
      <c r="HZO108" s="1" t="s">
        <v>122</v>
      </c>
      <c r="HZP108" s="1" t="s">
        <v>122</v>
      </c>
      <c r="HZQ108" s="1" t="s">
        <v>122</v>
      </c>
      <c r="HZR108" s="1" t="s">
        <v>122</v>
      </c>
      <c r="HZS108" s="1" t="s">
        <v>122</v>
      </c>
      <c r="HZT108" s="1" t="s">
        <v>122</v>
      </c>
      <c r="HZU108" s="1" t="s">
        <v>122</v>
      </c>
      <c r="HZV108" s="1" t="s">
        <v>122</v>
      </c>
      <c r="HZW108" s="1" t="s">
        <v>122</v>
      </c>
      <c r="HZX108" s="1" t="s">
        <v>122</v>
      </c>
      <c r="HZY108" s="1" t="s">
        <v>122</v>
      </c>
      <c r="HZZ108" s="1" t="s">
        <v>122</v>
      </c>
      <c r="IAA108" s="1" t="s">
        <v>122</v>
      </c>
      <c r="IAB108" s="1" t="s">
        <v>122</v>
      </c>
      <c r="IAC108" s="1" t="s">
        <v>122</v>
      </c>
      <c r="IAD108" s="1" t="s">
        <v>122</v>
      </c>
      <c r="IAE108" s="1" t="s">
        <v>122</v>
      </c>
      <c r="IAF108" s="1" t="s">
        <v>122</v>
      </c>
      <c r="IAG108" s="1" t="s">
        <v>122</v>
      </c>
      <c r="IAH108" s="1" t="s">
        <v>122</v>
      </c>
      <c r="IAI108" s="1" t="s">
        <v>122</v>
      </c>
      <c r="IAJ108" s="1" t="s">
        <v>122</v>
      </c>
      <c r="IAK108" s="1" t="s">
        <v>122</v>
      </c>
      <c r="IAL108" s="1" t="s">
        <v>122</v>
      </c>
      <c r="IAM108" s="1" t="s">
        <v>122</v>
      </c>
      <c r="IAN108" s="1" t="s">
        <v>122</v>
      </c>
      <c r="IAO108" s="1" t="s">
        <v>122</v>
      </c>
      <c r="IAP108" s="1" t="s">
        <v>122</v>
      </c>
      <c r="IAQ108" s="1" t="s">
        <v>122</v>
      </c>
      <c r="IAR108" s="1" t="s">
        <v>122</v>
      </c>
      <c r="IAS108" s="1" t="s">
        <v>122</v>
      </c>
      <c r="IAT108" s="1" t="s">
        <v>122</v>
      </c>
      <c r="IAU108" s="1" t="s">
        <v>122</v>
      </c>
      <c r="IAV108" s="1" t="s">
        <v>122</v>
      </c>
      <c r="IAW108" s="1" t="s">
        <v>122</v>
      </c>
      <c r="IAX108" s="1" t="s">
        <v>122</v>
      </c>
      <c r="IAY108" s="1" t="s">
        <v>122</v>
      </c>
      <c r="IAZ108" s="1" t="s">
        <v>122</v>
      </c>
      <c r="IBA108" s="1" t="s">
        <v>122</v>
      </c>
      <c r="IBB108" s="1" t="s">
        <v>122</v>
      </c>
      <c r="IBC108" s="1" t="s">
        <v>122</v>
      </c>
      <c r="IBD108" s="1" t="s">
        <v>122</v>
      </c>
      <c r="IBE108" s="1" t="s">
        <v>122</v>
      </c>
      <c r="IBF108" s="1" t="s">
        <v>122</v>
      </c>
      <c r="IBG108" s="1" t="s">
        <v>122</v>
      </c>
      <c r="IBH108" s="1" t="s">
        <v>122</v>
      </c>
      <c r="IBI108" s="1" t="s">
        <v>122</v>
      </c>
      <c r="IBJ108" s="1" t="s">
        <v>122</v>
      </c>
      <c r="IBK108" s="1" t="s">
        <v>122</v>
      </c>
      <c r="IBL108" s="1" t="s">
        <v>122</v>
      </c>
      <c r="IBM108" s="1" t="s">
        <v>122</v>
      </c>
      <c r="IBN108" s="1" t="s">
        <v>122</v>
      </c>
      <c r="IBO108" s="1" t="s">
        <v>122</v>
      </c>
      <c r="IBP108" s="1" t="s">
        <v>122</v>
      </c>
      <c r="IBQ108" s="1" t="s">
        <v>122</v>
      </c>
      <c r="IBR108" s="1" t="s">
        <v>122</v>
      </c>
      <c r="IBS108" s="1" t="s">
        <v>122</v>
      </c>
      <c r="IBT108" s="1" t="s">
        <v>122</v>
      </c>
      <c r="IBU108" s="1" t="s">
        <v>122</v>
      </c>
      <c r="IBV108" s="1" t="s">
        <v>122</v>
      </c>
      <c r="IBW108" s="1" t="s">
        <v>122</v>
      </c>
      <c r="IBX108" s="1" t="s">
        <v>122</v>
      </c>
      <c r="IBY108" s="1" t="s">
        <v>122</v>
      </c>
      <c r="IBZ108" s="1" t="s">
        <v>122</v>
      </c>
      <c r="ICA108" s="1" t="s">
        <v>122</v>
      </c>
      <c r="ICB108" s="1" t="s">
        <v>122</v>
      </c>
      <c r="ICC108" s="1" t="s">
        <v>122</v>
      </c>
      <c r="ICD108" s="1" t="s">
        <v>122</v>
      </c>
      <c r="ICE108" s="1" t="s">
        <v>122</v>
      </c>
      <c r="ICF108" s="1" t="s">
        <v>122</v>
      </c>
      <c r="ICG108" s="1" t="s">
        <v>122</v>
      </c>
      <c r="ICH108" s="1" t="s">
        <v>122</v>
      </c>
      <c r="ICI108" s="1" t="s">
        <v>122</v>
      </c>
      <c r="ICJ108" s="1" t="s">
        <v>122</v>
      </c>
      <c r="ICK108" s="1" t="s">
        <v>122</v>
      </c>
      <c r="ICL108" s="1" t="s">
        <v>122</v>
      </c>
      <c r="ICM108" s="1" t="s">
        <v>122</v>
      </c>
      <c r="ICN108" s="1" t="s">
        <v>122</v>
      </c>
      <c r="ICO108" s="1" t="s">
        <v>122</v>
      </c>
      <c r="ICP108" s="1" t="s">
        <v>122</v>
      </c>
      <c r="ICQ108" s="1" t="s">
        <v>122</v>
      </c>
      <c r="ICR108" s="1" t="s">
        <v>122</v>
      </c>
      <c r="ICS108" s="1" t="s">
        <v>122</v>
      </c>
      <c r="ICT108" s="1" t="s">
        <v>122</v>
      </c>
      <c r="ICU108" s="1" t="s">
        <v>122</v>
      </c>
      <c r="ICV108" s="1" t="s">
        <v>122</v>
      </c>
      <c r="ICW108" s="1" t="s">
        <v>122</v>
      </c>
      <c r="ICX108" s="1" t="s">
        <v>122</v>
      </c>
      <c r="ICY108" s="1" t="s">
        <v>122</v>
      </c>
      <c r="ICZ108" s="1" t="s">
        <v>122</v>
      </c>
      <c r="IDA108" s="1" t="s">
        <v>122</v>
      </c>
      <c r="IDB108" s="1" t="s">
        <v>122</v>
      </c>
      <c r="IDC108" s="1" t="s">
        <v>122</v>
      </c>
      <c r="IDD108" s="1" t="s">
        <v>122</v>
      </c>
      <c r="IDE108" s="1" t="s">
        <v>122</v>
      </c>
      <c r="IDF108" s="1" t="s">
        <v>122</v>
      </c>
      <c r="IDG108" s="1" t="s">
        <v>122</v>
      </c>
      <c r="IDH108" s="1" t="s">
        <v>122</v>
      </c>
      <c r="IDI108" s="1" t="s">
        <v>122</v>
      </c>
      <c r="IDJ108" s="1" t="s">
        <v>122</v>
      </c>
      <c r="IDK108" s="1" t="s">
        <v>122</v>
      </c>
      <c r="IDL108" s="1" t="s">
        <v>122</v>
      </c>
      <c r="IDM108" s="1" t="s">
        <v>122</v>
      </c>
      <c r="IDN108" s="1" t="s">
        <v>122</v>
      </c>
      <c r="IDO108" s="1" t="s">
        <v>122</v>
      </c>
      <c r="IDP108" s="1" t="s">
        <v>122</v>
      </c>
      <c r="IDQ108" s="1" t="s">
        <v>122</v>
      </c>
      <c r="IDR108" s="1" t="s">
        <v>122</v>
      </c>
      <c r="IDS108" s="1" t="s">
        <v>122</v>
      </c>
      <c r="IDT108" s="1" t="s">
        <v>122</v>
      </c>
      <c r="IDU108" s="1" t="s">
        <v>122</v>
      </c>
      <c r="IDV108" s="1" t="s">
        <v>122</v>
      </c>
      <c r="IDW108" s="1" t="s">
        <v>122</v>
      </c>
      <c r="IDX108" s="1" t="s">
        <v>122</v>
      </c>
      <c r="IDY108" s="1" t="s">
        <v>122</v>
      </c>
      <c r="IDZ108" s="1" t="s">
        <v>122</v>
      </c>
      <c r="IEA108" s="1" t="s">
        <v>122</v>
      </c>
      <c r="IEB108" s="1" t="s">
        <v>122</v>
      </c>
      <c r="IEC108" s="1" t="s">
        <v>122</v>
      </c>
      <c r="IED108" s="1" t="s">
        <v>122</v>
      </c>
      <c r="IEE108" s="1" t="s">
        <v>122</v>
      </c>
      <c r="IEF108" s="1" t="s">
        <v>122</v>
      </c>
      <c r="IEG108" s="1" t="s">
        <v>122</v>
      </c>
      <c r="IEH108" s="1" t="s">
        <v>122</v>
      </c>
      <c r="IEI108" s="1" t="s">
        <v>122</v>
      </c>
      <c r="IEJ108" s="1" t="s">
        <v>122</v>
      </c>
      <c r="IEK108" s="1" t="s">
        <v>122</v>
      </c>
      <c r="IEL108" s="1" t="s">
        <v>122</v>
      </c>
      <c r="IEM108" s="1" t="s">
        <v>122</v>
      </c>
      <c r="IEN108" s="1" t="s">
        <v>122</v>
      </c>
      <c r="IEO108" s="1" t="s">
        <v>122</v>
      </c>
      <c r="IEP108" s="1" t="s">
        <v>122</v>
      </c>
      <c r="IEQ108" s="1" t="s">
        <v>122</v>
      </c>
      <c r="IER108" s="1" t="s">
        <v>122</v>
      </c>
      <c r="IES108" s="1" t="s">
        <v>122</v>
      </c>
      <c r="IET108" s="1" t="s">
        <v>122</v>
      </c>
      <c r="IEU108" s="1" t="s">
        <v>122</v>
      </c>
      <c r="IEV108" s="1" t="s">
        <v>122</v>
      </c>
      <c r="IEW108" s="1" t="s">
        <v>122</v>
      </c>
      <c r="IEX108" s="1" t="s">
        <v>122</v>
      </c>
      <c r="IEY108" s="1" t="s">
        <v>122</v>
      </c>
      <c r="IEZ108" s="1" t="s">
        <v>122</v>
      </c>
      <c r="IFA108" s="1" t="s">
        <v>122</v>
      </c>
      <c r="IFB108" s="1" t="s">
        <v>122</v>
      </c>
      <c r="IFC108" s="1" t="s">
        <v>122</v>
      </c>
      <c r="IFD108" s="1" t="s">
        <v>122</v>
      </c>
      <c r="IFE108" s="1" t="s">
        <v>122</v>
      </c>
      <c r="IFF108" s="1" t="s">
        <v>122</v>
      </c>
      <c r="IFG108" s="1" t="s">
        <v>122</v>
      </c>
      <c r="IFH108" s="1" t="s">
        <v>122</v>
      </c>
      <c r="IFI108" s="1" t="s">
        <v>122</v>
      </c>
      <c r="IFJ108" s="1" t="s">
        <v>122</v>
      </c>
      <c r="IFK108" s="1" t="s">
        <v>122</v>
      </c>
      <c r="IFL108" s="1" t="s">
        <v>122</v>
      </c>
      <c r="IFM108" s="1" t="s">
        <v>122</v>
      </c>
      <c r="IFN108" s="1" t="s">
        <v>122</v>
      </c>
      <c r="IFO108" s="1" t="s">
        <v>122</v>
      </c>
      <c r="IFP108" s="1" t="s">
        <v>122</v>
      </c>
      <c r="IFQ108" s="1" t="s">
        <v>122</v>
      </c>
      <c r="IFR108" s="1" t="s">
        <v>122</v>
      </c>
      <c r="IFS108" s="1" t="s">
        <v>122</v>
      </c>
      <c r="IFT108" s="1" t="s">
        <v>122</v>
      </c>
      <c r="IFU108" s="1" t="s">
        <v>122</v>
      </c>
      <c r="IFV108" s="1" t="s">
        <v>122</v>
      </c>
      <c r="IFW108" s="1" t="s">
        <v>122</v>
      </c>
      <c r="IFX108" s="1" t="s">
        <v>122</v>
      </c>
      <c r="IFY108" s="1" t="s">
        <v>122</v>
      </c>
      <c r="IFZ108" s="1" t="s">
        <v>122</v>
      </c>
      <c r="IGA108" s="1" t="s">
        <v>122</v>
      </c>
      <c r="IGB108" s="1" t="s">
        <v>122</v>
      </c>
      <c r="IGC108" s="1" t="s">
        <v>122</v>
      </c>
      <c r="IGD108" s="1" t="s">
        <v>122</v>
      </c>
      <c r="IGE108" s="1" t="s">
        <v>122</v>
      </c>
      <c r="IGF108" s="1" t="s">
        <v>122</v>
      </c>
      <c r="IGG108" s="1" t="s">
        <v>122</v>
      </c>
      <c r="IGH108" s="1" t="s">
        <v>122</v>
      </c>
      <c r="IGI108" s="1" t="s">
        <v>122</v>
      </c>
      <c r="IGJ108" s="1" t="s">
        <v>122</v>
      </c>
      <c r="IGK108" s="1" t="s">
        <v>122</v>
      </c>
      <c r="IGL108" s="1" t="s">
        <v>122</v>
      </c>
      <c r="IGM108" s="1" t="s">
        <v>122</v>
      </c>
      <c r="IGN108" s="1" t="s">
        <v>122</v>
      </c>
      <c r="IGO108" s="1" t="s">
        <v>122</v>
      </c>
      <c r="IGP108" s="1" t="s">
        <v>122</v>
      </c>
      <c r="IGQ108" s="1" t="s">
        <v>122</v>
      </c>
      <c r="IGR108" s="1" t="s">
        <v>122</v>
      </c>
      <c r="IGS108" s="1" t="s">
        <v>122</v>
      </c>
      <c r="IGT108" s="1" t="s">
        <v>122</v>
      </c>
      <c r="IGU108" s="1" t="s">
        <v>122</v>
      </c>
      <c r="IGV108" s="1" t="s">
        <v>122</v>
      </c>
      <c r="IGW108" s="1" t="s">
        <v>122</v>
      </c>
      <c r="IGX108" s="1" t="s">
        <v>122</v>
      </c>
      <c r="IGY108" s="1" t="s">
        <v>122</v>
      </c>
      <c r="IGZ108" s="1" t="s">
        <v>122</v>
      </c>
      <c r="IHA108" s="1" t="s">
        <v>122</v>
      </c>
      <c r="IHB108" s="1" t="s">
        <v>122</v>
      </c>
      <c r="IHC108" s="1" t="s">
        <v>122</v>
      </c>
      <c r="IHD108" s="1" t="s">
        <v>122</v>
      </c>
      <c r="IHE108" s="1" t="s">
        <v>122</v>
      </c>
      <c r="IHF108" s="1" t="s">
        <v>122</v>
      </c>
      <c r="IHG108" s="1" t="s">
        <v>122</v>
      </c>
      <c r="IHH108" s="1" t="s">
        <v>122</v>
      </c>
      <c r="IHI108" s="1" t="s">
        <v>122</v>
      </c>
      <c r="IHJ108" s="1" t="s">
        <v>122</v>
      </c>
      <c r="IHK108" s="1" t="s">
        <v>122</v>
      </c>
      <c r="IHL108" s="1" t="s">
        <v>122</v>
      </c>
      <c r="IHM108" s="1" t="s">
        <v>122</v>
      </c>
      <c r="IHN108" s="1" t="s">
        <v>122</v>
      </c>
      <c r="IHO108" s="1" t="s">
        <v>122</v>
      </c>
      <c r="IHP108" s="1" t="s">
        <v>122</v>
      </c>
      <c r="IHQ108" s="1" t="s">
        <v>122</v>
      </c>
      <c r="IHR108" s="1" t="s">
        <v>122</v>
      </c>
      <c r="IHS108" s="1" t="s">
        <v>122</v>
      </c>
      <c r="IHT108" s="1" t="s">
        <v>122</v>
      </c>
      <c r="IHU108" s="1" t="s">
        <v>122</v>
      </c>
      <c r="IHV108" s="1" t="s">
        <v>122</v>
      </c>
      <c r="IHW108" s="1" t="s">
        <v>122</v>
      </c>
      <c r="IHX108" s="1" t="s">
        <v>122</v>
      </c>
      <c r="IHY108" s="1" t="s">
        <v>122</v>
      </c>
      <c r="IHZ108" s="1" t="s">
        <v>122</v>
      </c>
      <c r="IIA108" s="1" t="s">
        <v>122</v>
      </c>
      <c r="IIB108" s="1" t="s">
        <v>122</v>
      </c>
      <c r="IIC108" s="1" t="s">
        <v>122</v>
      </c>
      <c r="IID108" s="1" t="s">
        <v>122</v>
      </c>
      <c r="IIE108" s="1" t="s">
        <v>122</v>
      </c>
      <c r="IIF108" s="1" t="s">
        <v>122</v>
      </c>
      <c r="IIG108" s="1" t="s">
        <v>122</v>
      </c>
      <c r="IIH108" s="1" t="s">
        <v>122</v>
      </c>
      <c r="III108" s="1" t="s">
        <v>122</v>
      </c>
      <c r="IIJ108" s="1" t="s">
        <v>122</v>
      </c>
      <c r="IIK108" s="1" t="s">
        <v>122</v>
      </c>
      <c r="IIL108" s="1" t="s">
        <v>122</v>
      </c>
      <c r="IIM108" s="1" t="s">
        <v>122</v>
      </c>
      <c r="IIN108" s="1" t="s">
        <v>122</v>
      </c>
      <c r="IIO108" s="1" t="s">
        <v>122</v>
      </c>
      <c r="IIP108" s="1" t="s">
        <v>122</v>
      </c>
      <c r="IIQ108" s="1" t="s">
        <v>122</v>
      </c>
      <c r="IIR108" s="1" t="s">
        <v>122</v>
      </c>
      <c r="IIS108" s="1" t="s">
        <v>122</v>
      </c>
      <c r="IIT108" s="1" t="s">
        <v>122</v>
      </c>
      <c r="IIU108" s="1" t="s">
        <v>122</v>
      </c>
      <c r="IIV108" s="1" t="s">
        <v>122</v>
      </c>
      <c r="IIW108" s="1" t="s">
        <v>122</v>
      </c>
      <c r="IIX108" s="1" t="s">
        <v>122</v>
      </c>
      <c r="IIY108" s="1" t="s">
        <v>122</v>
      </c>
      <c r="IIZ108" s="1" t="s">
        <v>122</v>
      </c>
      <c r="IJA108" s="1" t="s">
        <v>122</v>
      </c>
      <c r="IJB108" s="1" t="s">
        <v>122</v>
      </c>
      <c r="IJC108" s="1" t="s">
        <v>122</v>
      </c>
      <c r="IJD108" s="1" t="s">
        <v>122</v>
      </c>
      <c r="IJE108" s="1" t="s">
        <v>122</v>
      </c>
      <c r="IJF108" s="1" t="s">
        <v>122</v>
      </c>
      <c r="IJG108" s="1" t="s">
        <v>122</v>
      </c>
      <c r="IJH108" s="1" t="s">
        <v>122</v>
      </c>
      <c r="IJI108" s="1" t="s">
        <v>122</v>
      </c>
      <c r="IJJ108" s="1" t="s">
        <v>122</v>
      </c>
      <c r="IJK108" s="1" t="s">
        <v>122</v>
      </c>
      <c r="IJL108" s="1" t="s">
        <v>122</v>
      </c>
      <c r="IJM108" s="1" t="s">
        <v>122</v>
      </c>
      <c r="IJN108" s="1" t="s">
        <v>122</v>
      </c>
      <c r="IJO108" s="1" t="s">
        <v>122</v>
      </c>
      <c r="IJP108" s="1" t="s">
        <v>122</v>
      </c>
      <c r="IJQ108" s="1" t="s">
        <v>122</v>
      </c>
      <c r="IJR108" s="1" t="s">
        <v>122</v>
      </c>
      <c r="IJS108" s="1" t="s">
        <v>122</v>
      </c>
      <c r="IJT108" s="1" t="s">
        <v>122</v>
      </c>
      <c r="IJU108" s="1" t="s">
        <v>122</v>
      </c>
      <c r="IJV108" s="1" t="s">
        <v>122</v>
      </c>
      <c r="IJW108" s="1" t="s">
        <v>122</v>
      </c>
      <c r="IJX108" s="1" t="s">
        <v>122</v>
      </c>
      <c r="IJY108" s="1" t="s">
        <v>122</v>
      </c>
      <c r="IJZ108" s="1" t="s">
        <v>122</v>
      </c>
      <c r="IKA108" s="1" t="s">
        <v>122</v>
      </c>
      <c r="IKB108" s="1" t="s">
        <v>122</v>
      </c>
      <c r="IKC108" s="1" t="s">
        <v>122</v>
      </c>
      <c r="IKD108" s="1" t="s">
        <v>122</v>
      </c>
      <c r="IKE108" s="1" t="s">
        <v>122</v>
      </c>
      <c r="IKF108" s="1" t="s">
        <v>122</v>
      </c>
      <c r="IKG108" s="1" t="s">
        <v>122</v>
      </c>
      <c r="IKH108" s="1" t="s">
        <v>122</v>
      </c>
      <c r="IKI108" s="1" t="s">
        <v>122</v>
      </c>
      <c r="IKJ108" s="1" t="s">
        <v>122</v>
      </c>
      <c r="IKK108" s="1" t="s">
        <v>122</v>
      </c>
      <c r="IKL108" s="1" t="s">
        <v>122</v>
      </c>
      <c r="IKM108" s="1" t="s">
        <v>122</v>
      </c>
      <c r="IKN108" s="1" t="s">
        <v>122</v>
      </c>
      <c r="IKO108" s="1" t="s">
        <v>122</v>
      </c>
      <c r="IKP108" s="1" t="s">
        <v>122</v>
      </c>
      <c r="IKQ108" s="1" t="s">
        <v>122</v>
      </c>
      <c r="IKR108" s="1" t="s">
        <v>122</v>
      </c>
      <c r="IKS108" s="1" t="s">
        <v>122</v>
      </c>
      <c r="IKT108" s="1" t="s">
        <v>122</v>
      </c>
      <c r="IKU108" s="1" t="s">
        <v>122</v>
      </c>
      <c r="IKV108" s="1" t="s">
        <v>122</v>
      </c>
      <c r="IKW108" s="1" t="s">
        <v>122</v>
      </c>
      <c r="IKX108" s="1" t="s">
        <v>122</v>
      </c>
      <c r="IKY108" s="1" t="s">
        <v>122</v>
      </c>
      <c r="IKZ108" s="1" t="s">
        <v>122</v>
      </c>
      <c r="ILA108" s="1" t="s">
        <v>122</v>
      </c>
      <c r="ILB108" s="1" t="s">
        <v>122</v>
      </c>
      <c r="ILC108" s="1" t="s">
        <v>122</v>
      </c>
      <c r="ILD108" s="1" t="s">
        <v>122</v>
      </c>
      <c r="ILE108" s="1" t="s">
        <v>122</v>
      </c>
      <c r="ILF108" s="1" t="s">
        <v>122</v>
      </c>
      <c r="ILG108" s="1" t="s">
        <v>122</v>
      </c>
      <c r="ILH108" s="1" t="s">
        <v>122</v>
      </c>
      <c r="ILI108" s="1" t="s">
        <v>122</v>
      </c>
      <c r="ILJ108" s="1" t="s">
        <v>122</v>
      </c>
      <c r="ILK108" s="1" t="s">
        <v>122</v>
      </c>
      <c r="ILL108" s="1" t="s">
        <v>122</v>
      </c>
      <c r="ILM108" s="1" t="s">
        <v>122</v>
      </c>
      <c r="ILN108" s="1" t="s">
        <v>122</v>
      </c>
      <c r="ILO108" s="1" t="s">
        <v>122</v>
      </c>
      <c r="ILP108" s="1" t="s">
        <v>122</v>
      </c>
      <c r="ILQ108" s="1" t="s">
        <v>122</v>
      </c>
      <c r="ILR108" s="1" t="s">
        <v>122</v>
      </c>
      <c r="ILS108" s="1" t="s">
        <v>122</v>
      </c>
      <c r="ILT108" s="1" t="s">
        <v>122</v>
      </c>
      <c r="ILU108" s="1" t="s">
        <v>122</v>
      </c>
      <c r="ILV108" s="1" t="s">
        <v>122</v>
      </c>
      <c r="ILW108" s="1" t="s">
        <v>122</v>
      </c>
      <c r="ILX108" s="1" t="s">
        <v>122</v>
      </c>
      <c r="ILY108" s="1" t="s">
        <v>122</v>
      </c>
      <c r="ILZ108" s="1" t="s">
        <v>122</v>
      </c>
      <c r="IMA108" s="1" t="s">
        <v>122</v>
      </c>
      <c r="IMB108" s="1" t="s">
        <v>122</v>
      </c>
      <c r="IMC108" s="1" t="s">
        <v>122</v>
      </c>
      <c r="IMD108" s="1" t="s">
        <v>122</v>
      </c>
      <c r="IME108" s="1" t="s">
        <v>122</v>
      </c>
      <c r="IMF108" s="1" t="s">
        <v>122</v>
      </c>
      <c r="IMG108" s="1" t="s">
        <v>122</v>
      </c>
      <c r="IMH108" s="1" t="s">
        <v>122</v>
      </c>
      <c r="IMI108" s="1" t="s">
        <v>122</v>
      </c>
      <c r="IMJ108" s="1" t="s">
        <v>122</v>
      </c>
      <c r="IMK108" s="1" t="s">
        <v>122</v>
      </c>
      <c r="IML108" s="1" t="s">
        <v>122</v>
      </c>
      <c r="IMM108" s="1" t="s">
        <v>122</v>
      </c>
      <c r="IMN108" s="1" t="s">
        <v>122</v>
      </c>
      <c r="IMO108" s="1" t="s">
        <v>122</v>
      </c>
      <c r="IMP108" s="1" t="s">
        <v>122</v>
      </c>
      <c r="IMQ108" s="1" t="s">
        <v>122</v>
      </c>
      <c r="IMR108" s="1" t="s">
        <v>122</v>
      </c>
      <c r="IMS108" s="1" t="s">
        <v>122</v>
      </c>
      <c r="IMT108" s="1" t="s">
        <v>122</v>
      </c>
      <c r="IMU108" s="1" t="s">
        <v>122</v>
      </c>
      <c r="IMV108" s="1" t="s">
        <v>122</v>
      </c>
      <c r="IMW108" s="1" t="s">
        <v>122</v>
      </c>
      <c r="IMX108" s="1" t="s">
        <v>122</v>
      </c>
      <c r="IMY108" s="1" t="s">
        <v>122</v>
      </c>
      <c r="IMZ108" s="1" t="s">
        <v>122</v>
      </c>
      <c r="INA108" s="1" t="s">
        <v>122</v>
      </c>
      <c r="INB108" s="1" t="s">
        <v>122</v>
      </c>
      <c r="INC108" s="1" t="s">
        <v>122</v>
      </c>
      <c r="IND108" s="1" t="s">
        <v>122</v>
      </c>
      <c r="INE108" s="1" t="s">
        <v>122</v>
      </c>
      <c r="INF108" s="1" t="s">
        <v>122</v>
      </c>
      <c r="ING108" s="1" t="s">
        <v>122</v>
      </c>
      <c r="INH108" s="1" t="s">
        <v>122</v>
      </c>
      <c r="INI108" s="1" t="s">
        <v>122</v>
      </c>
      <c r="INJ108" s="1" t="s">
        <v>122</v>
      </c>
      <c r="INK108" s="1" t="s">
        <v>122</v>
      </c>
      <c r="INL108" s="1" t="s">
        <v>122</v>
      </c>
      <c r="INM108" s="1" t="s">
        <v>122</v>
      </c>
      <c r="INN108" s="1" t="s">
        <v>122</v>
      </c>
      <c r="INO108" s="1" t="s">
        <v>122</v>
      </c>
      <c r="INP108" s="1" t="s">
        <v>122</v>
      </c>
      <c r="INQ108" s="1" t="s">
        <v>122</v>
      </c>
      <c r="INR108" s="1" t="s">
        <v>122</v>
      </c>
      <c r="INS108" s="1" t="s">
        <v>122</v>
      </c>
      <c r="INT108" s="1" t="s">
        <v>122</v>
      </c>
      <c r="INU108" s="1" t="s">
        <v>122</v>
      </c>
      <c r="INV108" s="1" t="s">
        <v>122</v>
      </c>
      <c r="INW108" s="1" t="s">
        <v>122</v>
      </c>
      <c r="INX108" s="1" t="s">
        <v>122</v>
      </c>
      <c r="INY108" s="1" t="s">
        <v>122</v>
      </c>
      <c r="INZ108" s="1" t="s">
        <v>122</v>
      </c>
      <c r="IOA108" s="1" t="s">
        <v>122</v>
      </c>
      <c r="IOB108" s="1" t="s">
        <v>122</v>
      </c>
      <c r="IOC108" s="1" t="s">
        <v>122</v>
      </c>
      <c r="IOD108" s="1" t="s">
        <v>122</v>
      </c>
      <c r="IOE108" s="1" t="s">
        <v>122</v>
      </c>
      <c r="IOF108" s="1" t="s">
        <v>122</v>
      </c>
      <c r="IOG108" s="1" t="s">
        <v>122</v>
      </c>
      <c r="IOH108" s="1" t="s">
        <v>122</v>
      </c>
      <c r="IOI108" s="1" t="s">
        <v>122</v>
      </c>
      <c r="IOJ108" s="1" t="s">
        <v>122</v>
      </c>
      <c r="IOK108" s="1" t="s">
        <v>122</v>
      </c>
      <c r="IOL108" s="1" t="s">
        <v>122</v>
      </c>
      <c r="IOM108" s="1" t="s">
        <v>122</v>
      </c>
      <c r="ION108" s="1" t="s">
        <v>122</v>
      </c>
      <c r="IOO108" s="1" t="s">
        <v>122</v>
      </c>
      <c r="IOP108" s="1" t="s">
        <v>122</v>
      </c>
      <c r="IOQ108" s="1" t="s">
        <v>122</v>
      </c>
      <c r="IOR108" s="1" t="s">
        <v>122</v>
      </c>
      <c r="IOS108" s="1" t="s">
        <v>122</v>
      </c>
      <c r="IOT108" s="1" t="s">
        <v>122</v>
      </c>
      <c r="IOU108" s="1" t="s">
        <v>122</v>
      </c>
      <c r="IOV108" s="1" t="s">
        <v>122</v>
      </c>
      <c r="IOW108" s="1" t="s">
        <v>122</v>
      </c>
      <c r="IOX108" s="1" t="s">
        <v>122</v>
      </c>
      <c r="IOY108" s="1" t="s">
        <v>122</v>
      </c>
      <c r="IOZ108" s="1" t="s">
        <v>122</v>
      </c>
      <c r="IPA108" s="1" t="s">
        <v>122</v>
      </c>
      <c r="IPB108" s="1" t="s">
        <v>122</v>
      </c>
      <c r="IPC108" s="1" t="s">
        <v>122</v>
      </c>
      <c r="IPD108" s="1" t="s">
        <v>122</v>
      </c>
      <c r="IPE108" s="1" t="s">
        <v>122</v>
      </c>
      <c r="IPF108" s="1" t="s">
        <v>122</v>
      </c>
      <c r="IPG108" s="1" t="s">
        <v>122</v>
      </c>
      <c r="IPH108" s="1" t="s">
        <v>122</v>
      </c>
      <c r="IPI108" s="1" t="s">
        <v>122</v>
      </c>
      <c r="IPJ108" s="1" t="s">
        <v>122</v>
      </c>
      <c r="IPK108" s="1" t="s">
        <v>122</v>
      </c>
      <c r="IPL108" s="1" t="s">
        <v>122</v>
      </c>
      <c r="IPM108" s="1" t="s">
        <v>122</v>
      </c>
      <c r="IPN108" s="1" t="s">
        <v>122</v>
      </c>
      <c r="IPO108" s="1" t="s">
        <v>122</v>
      </c>
      <c r="IPP108" s="1" t="s">
        <v>122</v>
      </c>
      <c r="IPQ108" s="1" t="s">
        <v>122</v>
      </c>
      <c r="IPR108" s="1" t="s">
        <v>122</v>
      </c>
      <c r="IPS108" s="1" t="s">
        <v>122</v>
      </c>
      <c r="IPT108" s="1" t="s">
        <v>122</v>
      </c>
      <c r="IPU108" s="1" t="s">
        <v>122</v>
      </c>
      <c r="IPV108" s="1" t="s">
        <v>122</v>
      </c>
      <c r="IPW108" s="1" t="s">
        <v>122</v>
      </c>
      <c r="IPX108" s="1" t="s">
        <v>122</v>
      </c>
      <c r="IPY108" s="1" t="s">
        <v>122</v>
      </c>
      <c r="IPZ108" s="1" t="s">
        <v>122</v>
      </c>
      <c r="IQA108" s="1" t="s">
        <v>122</v>
      </c>
      <c r="IQB108" s="1" t="s">
        <v>122</v>
      </c>
      <c r="IQC108" s="1" t="s">
        <v>122</v>
      </c>
      <c r="IQD108" s="1" t="s">
        <v>122</v>
      </c>
      <c r="IQE108" s="1" t="s">
        <v>122</v>
      </c>
      <c r="IQF108" s="1" t="s">
        <v>122</v>
      </c>
      <c r="IQG108" s="1" t="s">
        <v>122</v>
      </c>
      <c r="IQH108" s="1" t="s">
        <v>122</v>
      </c>
      <c r="IQI108" s="1" t="s">
        <v>122</v>
      </c>
      <c r="IQJ108" s="1" t="s">
        <v>122</v>
      </c>
      <c r="IQK108" s="1" t="s">
        <v>122</v>
      </c>
      <c r="IQL108" s="1" t="s">
        <v>122</v>
      </c>
      <c r="IQM108" s="1" t="s">
        <v>122</v>
      </c>
      <c r="IQN108" s="1" t="s">
        <v>122</v>
      </c>
      <c r="IQO108" s="1" t="s">
        <v>122</v>
      </c>
      <c r="IQP108" s="1" t="s">
        <v>122</v>
      </c>
      <c r="IQQ108" s="1" t="s">
        <v>122</v>
      </c>
      <c r="IQR108" s="1" t="s">
        <v>122</v>
      </c>
      <c r="IQS108" s="1" t="s">
        <v>122</v>
      </c>
      <c r="IQT108" s="1" t="s">
        <v>122</v>
      </c>
      <c r="IQU108" s="1" t="s">
        <v>122</v>
      </c>
      <c r="IQV108" s="1" t="s">
        <v>122</v>
      </c>
      <c r="IQW108" s="1" t="s">
        <v>122</v>
      </c>
      <c r="IQX108" s="1" t="s">
        <v>122</v>
      </c>
      <c r="IQY108" s="1" t="s">
        <v>122</v>
      </c>
      <c r="IQZ108" s="1" t="s">
        <v>122</v>
      </c>
      <c r="IRA108" s="1" t="s">
        <v>122</v>
      </c>
      <c r="IRB108" s="1" t="s">
        <v>122</v>
      </c>
      <c r="IRC108" s="1" t="s">
        <v>122</v>
      </c>
      <c r="IRD108" s="1" t="s">
        <v>122</v>
      </c>
      <c r="IRE108" s="1" t="s">
        <v>122</v>
      </c>
      <c r="IRF108" s="1" t="s">
        <v>122</v>
      </c>
      <c r="IRG108" s="1" t="s">
        <v>122</v>
      </c>
      <c r="IRH108" s="1" t="s">
        <v>122</v>
      </c>
      <c r="IRI108" s="1" t="s">
        <v>122</v>
      </c>
      <c r="IRJ108" s="1" t="s">
        <v>122</v>
      </c>
      <c r="IRK108" s="1" t="s">
        <v>122</v>
      </c>
      <c r="IRL108" s="1" t="s">
        <v>122</v>
      </c>
      <c r="IRM108" s="1" t="s">
        <v>122</v>
      </c>
      <c r="IRN108" s="1" t="s">
        <v>122</v>
      </c>
      <c r="IRO108" s="1" t="s">
        <v>122</v>
      </c>
      <c r="IRP108" s="1" t="s">
        <v>122</v>
      </c>
      <c r="IRQ108" s="1" t="s">
        <v>122</v>
      </c>
      <c r="IRR108" s="1" t="s">
        <v>122</v>
      </c>
      <c r="IRS108" s="1" t="s">
        <v>122</v>
      </c>
      <c r="IRT108" s="1" t="s">
        <v>122</v>
      </c>
      <c r="IRU108" s="1" t="s">
        <v>122</v>
      </c>
      <c r="IRV108" s="1" t="s">
        <v>122</v>
      </c>
      <c r="IRW108" s="1" t="s">
        <v>122</v>
      </c>
      <c r="IRX108" s="1" t="s">
        <v>122</v>
      </c>
      <c r="IRY108" s="1" t="s">
        <v>122</v>
      </c>
      <c r="IRZ108" s="1" t="s">
        <v>122</v>
      </c>
      <c r="ISA108" s="1" t="s">
        <v>122</v>
      </c>
      <c r="ISB108" s="1" t="s">
        <v>122</v>
      </c>
      <c r="ISC108" s="1" t="s">
        <v>122</v>
      </c>
      <c r="ISD108" s="1" t="s">
        <v>122</v>
      </c>
      <c r="ISE108" s="1" t="s">
        <v>122</v>
      </c>
      <c r="ISF108" s="1" t="s">
        <v>122</v>
      </c>
      <c r="ISG108" s="1" t="s">
        <v>122</v>
      </c>
      <c r="ISH108" s="1" t="s">
        <v>122</v>
      </c>
      <c r="ISI108" s="1" t="s">
        <v>122</v>
      </c>
      <c r="ISJ108" s="1" t="s">
        <v>122</v>
      </c>
      <c r="ISK108" s="1" t="s">
        <v>122</v>
      </c>
      <c r="ISL108" s="1" t="s">
        <v>122</v>
      </c>
      <c r="ISM108" s="1" t="s">
        <v>122</v>
      </c>
      <c r="ISN108" s="1" t="s">
        <v>122</v>
      </c>
      <c r="ISO108" s="1" t="s">
        <v>122</v>
      </c>
      <c r="ISP108" s="1" t="s">
        <v>122</v>
      </c>
      <c r="ISQ108" s="1" t="s">
        <v>122</v>
      </c>
      <c r="ISR108" s="1" t="s">
        <v>122</v>
      </c>
      <c r="ISS108" s="1" t="s">
        <v>122</v>
      </c>
      <c r="IST108" s="1" t="s">
        <v>122</v>
      </c>
      <c r="ISU108" s="1" t="s">
        <v>122</v>
      </c>
      <c r="ISV108" s="1" t="s">
        <v>122</v>
      </c>
      <c r="ISW108" s="1" t="s">
        <v>122</v>
      </c>
      <c r="ISX108" s="1" t="s">
        <v>122</v>
      </c>
      <c r="ISY108" s="1" t="s">
        <v>122</v>
      </c>
      <c r="ISZ108" s="1" t="s">
        <v>122</v>
      </c>
      <c r="ITA108" s="1" t="s">
        <v>122</v>
      </c>
      <c r="ITB108" s="1" t="s">
        <v>122</v>
      </c>
      <c r="ITC108" s="1" t="s">
        <v>122</v>
      </c>
      <c r="ITD108" s="1" t="s">
        <v>122</v>
      </c>
      <c r="ITE108" s="1" t="s">
        <v>122</v>
      </c>
      <c r="ITF108" s="1" t="s">
        <v>122</v>
      </c>
      <c r="ITG108" s="1" t="s">
        <v>122</v>
      </c>
      <c r="ITH108" s="1" t="s">
        <v>122</v>
      </c>
      <c r="ITI108" s="1" t="s">
        <v>122</v>
      </c>
      <c r="ITJ108" s="1" t="s">
        <v>122</v>
      </c>
      <c r="ITK108" s="1" t="s">
        <v>122</v>
      </c>
      <c r="ITL108" s="1" t="s">
        <v>122</v>
      </c>
      <c r="ITM108" s="1" t="s">
        <v>122</v>
      </c>
      <c r="ITN108" s="1" t="s">
        <v>122</v>
      </c>
      <c r="ITO108" s="1" t="s">
        <v>122</v>
      </c>
      <c r="ITP108" s="1" t="s">
        <v>122</v>
      </c>
      <c r="ITQ108" s="1" t="s">
        <v>122</v>
      </c>
      <c r="ITR108" s="1" t="s">
        <v>122</v>
      </c>
      <c r="ITS108" s="1" t="s">
        <v>122</v>
      </c>
      <c r="ITT108" s="1" t="s">
        <v>122</v>
      </c>
      <c r="ITU108" s="1" t="s">
        <v>122</v>
      </c>
      <c r="ITV108" s="1" t="s">
        <v>122</v>
      </c>
      <c r="ITW108" s="1" t="s">
        <v>122</v>
      </c>
      <c r="ITX108" s="1" t="s">
        <v>122</v>
      </c>
      <c r="ITY108" s="1" t="s">
        <v>122</v>
      </c>
      <c r="ITZ108" s="1" t="s">
        <v>122</v>
      </c>
      <c r="IUA108" s="1" t="s">
        <v>122</v>
      </c>
      <c r="IUB108" s="1" t="s">
        <v>122</v>
      </c>
      <c r="IUC108" s="1" t="s">
        <v>122</v>
      </c>
      <c r="IUD108" s="1" t="s">
        <v>122</v>
      </c>
      <c r="IUE108" s="1" t="s">
        <v>122</v>
      </c>
      <c r="IUF108" s="1" t="s">
        <v>122</v>
      </c>
      <c r="IUG108" s="1" t="s">
        <v>122</v>
      </c>
      <c r="IUH108" s="1" t="s">
        <v>122</v>
      </c>
      <c r="IUI108" s="1" t="s">
        <v>122</v>
      </c>
      <c r="IUJ108" s="1" t="s">
        <v>122</v>
      </c>
      <c r="IUK108" s="1" t="s">
        <v>122</v>
      </c>
      <c r="IUL108" s="1" t="s">
        <v>122</v>
      </c>
      <c r="IUM108" s="1" t="s">
        <v>122</v>
      </c>
      <c r="IUN108" s="1" t="s">
        <v>122</v>
      </c>
      <c r="IUO108" s="1" t="s">
        <v>122</v>
      </c>
      <c r="IUP108" s="1" t="s">
        <v>122</v>
      </c>
      <c r="IUQ108" s="1" t="s">
        <v>122</v>
      </c>
      <c r="IUR108" s="1" t="s">
        <v>122</v>
      </c>
      <c r="IUS108" s="1" t="s">
        <v>122</v>
      </c>
      <c r="IUT108" s="1" t="s">
        <v>122</v>
      </c>
      <c r="IUU108" s="1" t="s">
        <v>122</v>
      </c>
      <c r="IUV108" s="1" t="s">
        <v>122</v>
      </c>
      <c r="IUW108" s="1" t="s">
        <v>122</v>
      </c>
      <c r="IUX108" s="1" t="s">
        <v>122</v>
      </c>
      <c r="IUY108" s="1" t="s">
        <v>122</v>
      </c>
      <c r="IUZ108" s="1" t="s">
        <v>122</v>
      </c>
      <c r="IVA108" s="1" t="s">
        <v>122</v>
      </c>
      <c r="IVB108" s="1" t="s">
        <v>122</v>
      </c>
      <c r="IVC108" s="1" t="s">
        <v>122</v>
      </c>
      <c r="IVD108" s="1" t="s">
        <v>122</v>
      </c>
      <c r="IVE108" s="1" t="s">
        <v>122</v>
      </c>
      <c r="IVF108" s="1" t="s">
        <v>122</v>
      </c>
      <c r="IVG108" s="1" t="s">
        <v>122</v>
      </c>
      <c r="IVH108" s="1" t="s">
        <v>122</v>
      </c>
      <c r="IVI108" s="1" t="s">
        <v>122</v>
      </c>
      <c r="IVJ108" s="1" t="s">
        <v>122</v>
      </c>
      <c r="IVK108" s="1" t="s">
        <v>122</v>
      </c>
      <c r="IVL108" s="1" t="s">
        <v>122</v>
      </c>
      <c r="IVM108" s="1" t="s">
        <v>122</v>
      </c>
      <c r="IVN108" s="1" t="s">
        <v>122</v>
      </c>
      <c r="IVO108" s="1" t="s">
        <v>122</v>
      </c>
      <c r="IVP108" s="1" t="s">
        <v>122</v>
      </c>
      <c r="IVQ108" s="1" t="s">
        <v>122</v>
      </c>
      <c r="IVR108" s="1" t="s">
        <v>122</v>
      </c>
      <c r="IVS108" s="1" t="s">
        <v>122</v>
      </c>
      <c r="IVT108" s="1" t="s">
        <v>122</v>
      </c>
      <c r="IVU108" s="1" t="s">
        <v>122</v>
      </c>
      <c r="IVV108" s="1" t="s">
        <v>122</v>
      </c>
      <c r="IVW108" s="1" t="s">
        <v>122</v>
      </c>
      <c r="IVX108" s="1" t="s">
        <v>122</v>
      </c>
      <c r="IVY108" s="1" t="s">
        <v>122</v>
      </c>
      <c r="IVZ108" s="1" t="s">
        <v>122</v>
      </c>
      <c r="IWA108" s="1" t="s">
        <v>122</v>
      </c>
      <c r="IWB108" s="1" t="s">
        <v>122</v>
      </c>
      <c r="IWC108" s="1" t="s">
        <v>122</v>
      </c>
      <c r="IWD108" s="1" t="s">
        <v>122</v>
      </c>
      <c r="IWE108" s="1" t="s">
        <v>122</v>
      </c>
      <c r="IWF108" s="1" t="s">
        <v>122</v>
      </c>
      <c r="IWG108" s="1" t="s">
        <v>122</v>
      </c>
      <c r="IWH108" s="1" t="s">
        <v>122</v>
      </c>
      <c r="IWI108" s="1" t="s">
        <v>122</v>
      </c>
      <c r="IWJ108" s="1" t="s">
        <v>122</v>
      </c>
      <c r="IWK108" s="1" t="s">
        <v>122</v>
      </c>
      <c r="IWL108" s="1" t="s">
        <v>122</v>
      </c>
      <c r="IWM108" s="1" t="s">
        <v>122</v>
      </c>
      <c r="IWN108" s="1" t="s">
        <v>122</v>
      </c>
      <c r="IWO108" s="1" t="s">
        <v>122</v>
      </c>
      <c r="IWP108" s="1" t="s">
        <v>122</v>
      </c>
      <c r="IWQ108" s="1" t="s">
        <v>122</v>
      </c>
      <c r="IWR108" s="1" t="s">
        <v>122</v>
      </c>
      <c r="IWS108" s="1" t="s">
        <v>122</v>
      </c>
      <c r="IWT108" s="1" t="s">
        <v>122</v>
      </c>
      <c r="IWU108" s="1" t="s">
        <v>122</v>
      </c>
      <c r="IWV108" s="1" t="s">
        <v>122</v>
      </c>
      <c r="IWW108" s="1" t="s">
        <v>122</v>
      </c>
      <c r="IWX108" s="1" t="s">
        <v>122</v>
      </c>
      <c r="IWY108" s="1" t="s">
        <v>122</v>
      </c>
      <c r="IWZ108" s="1" t="s">
        <v>122</v>
      </c>
      <c r="IXA108" s="1" t="s">
        <v>122</v>
      </c>
      <c r="IXB108" s="1" t="s">
        <v>122</v>
      </c>
      <c r="IXC108" s="1" t="s">
        <v>122</v>
      </c>
      <c r="IXD108" s="1" t="s">
        <v>122</v>
      </c>
      <c r="IXE108" s="1" t="s">
        <v>122</v>
      </c>
      <c r="IXF108" s="1" t="s">
        <v>122</v>
      </c>
      <c r="IXG108" s="1" t="s">
        <v>122</v>
      </c>
      <c r="IXH108" s="1" t="s">
        <v>122</v>
      </c>
      <c r="IXI108" s="1" t="s">
        <v>122</v>
      </c>
      <c r="IXJ108" s="1" t="s">
        <v>122</v>
      </c>
      <c r="IXK108" s="1" t="s">
        <v>122</v>
      </c>
      <c r="IXL108" s="1" t="s">
        <v>122</v>
      </c>
      <c r="IXM108" s="1" t="s">
        <v>122</v>
      </c>
      <c r="IXN108" s="1" t="s">
        <v>122</v>
      </c>
      <c r="IXO108" s="1" t="s">
        <v>122</v>
      </c>
      <c r="IXP108" s="1" t="s">
        <v>122</v>
      </c>
      <c r="IXQ108" s="1" t="s">
        <v>122</v>
      </c>
      <c r="IXR108" s="1" t="s">
        <v>122</v>
      </c>
      <c r="IXS108" s="1" t="s">
        <v>122</v>
      </c>
      <c r="IXT108" s="1" t="s">
        <v>122</v>
      </c>
      <c r="IXU108" s="1" t="s">
        <v>122</v>
      </c>
      <c r="IXV108" s="1" t="s">
        <v>122</v>
      </c>
      <c r="IXW108" s="1" t="s">
        <v>122</v>
      </c>
      <c r="IXX108" s="1" t="s">
        <v>122</v>
      </c>
      <c r="IXY108" s="1" t="s">
        <v>122</v>
      </c>
      <c r="IXZ108" s="1" t="s">
        <v>122</v>
      </c>
      <c r="IYA108" s="1" t="s">
        <v>122</v>
      </c>
      <c r="IYB108" s="1" t="s">
        <v>122</v>
      </c>
      <c r="IYC108" s="1" t="s">
        <v>122</v>
      </c>
      <c r="IYD108" s="1" t="s">
        <v>122</v>
      </c>
      <c r="IYE108" s="1" t="s">
        <v>122</v>
      </c>
      <c r="IYF108" s="1" t="s">
        <v>122</v>
      </c>
      <c r="IYG108" s="1" t="s">
        <v>122</v>
      </c>
      <c r="IYH108" s="1" t="s">
        <v>122</v>
      </c>
      <c r="IYI108" s="1" t="s">
        <v>122</v>
      </c>
      <c r="IYJ108" s="1" t="s">
        <v>122</v>
      </c>
      <c r="IYK108" s="1" t="s">
        <v>122</v>
      </c>
      <c r="IYL108" s="1" t="s">
        <v>122</v>
      </c>
      <c r="IYM108" s="1" t="s">
        <v>122</v>
      </c>
      <c r="IYN108" s="1" t="s">
        <v>122</v>
      </c>
      <c r="IYO108" s="1" t="s">
        <v>122</v>
      </c>
      <c r="IYP108" s="1" t="s">
        <v>122</v>
      </c>
      <c r="IYQ108" s="1" t="s">
        <v>122</v>
      </c>
      <c r="IYR108" s="1" t="s">
        <v>122</v>
      </c>
      <c r="IYS108" s="1" t="s">
        <v>122</v>
      </c>
      <c r="IYT108" s="1" t="s">
        <v>122</v>
      </c>
      <c r="IYU108" s="1" t="s">
        <v>122</v>
      </c>
      <c r="IYV108" s="1" t="s">
        <v>122</v>
      </c>
      <c r="IYW108" s="1" t="s">
        <v>122</v>
      </c>
      <c r="IYX108" s="1" t="s">
        <v>122</v>
      </c>
      <c r="IYY108" s="1" t="s">
        <v>122</v>
      </c>
      <c r="IYZ108" s="1" t="s">
        <v>122</v>
      </c>
      <c r="IZA108" s="1" t="s">
        <v>122</v>
      </c>
      <c r="IZB108" s="1" t="s">
        <v>122</v>
      </c>
      <c r="IZC108" s="1" t="s">
        <v>122</v>
      </c>
      <c r="IZD108" s="1" t="s">
        <v>122</v>
      </c>
      <c r="IZE108" s="1" t="s">
        <v>122</v>
      </c>
      <c r="IZF108" s="1" t="s">
        <v>122</v>
      </c>
      <c r="IZG108" s="1" t="s">
        <v>122</v>
      </c>
      <c r="IZH108" s="1" t="s">
        <v>122</v>
      </c>
      <c r="IZI108" s="1" t="s">
        <v>122</v>
      </c>
      <c r="IZJ108" s="1" t="s">
        <v>122</v>
      </c>
      <c r="IZK108" s="1" t="s">
        <v>122</v>
      </c>
      <c r="IZL108" s="1" t="s">
        <v>122</v>
      </c>
      <c r="IZM108" s="1" t="s">
        <v>122</v>
      </c>
      <c r="IZN108" s="1" t="s">
        <v>122</v>
      </c>
      <c r="IZO108" s="1" t="s">
        <v>122</v>
      </c>
      <c r="IZP108" s="1" t="s">
        <v>122</v>
      </c>
      <c r="IZQ108" s="1" t="s">
        <v>122</v>
      </c>
      <c r="IZR108" s="1" t="s">
        <v>122</v>
      </c>
      <c r="IZS108" s="1" t="s">
        <v>122</v>
      </c>
      <c r="IZT108" s="1" t="s">
        <v>122</v>
      </c>
      <c r="IZU108" s="1" t="s">
        <v>122</v>
      </c>
      <c r="IZV108" s="1" t="s">
        <v>122</v>
      </c>
      <c r="IZW108" s="1" t="s">
        <v>122</v>
      </c>
      <c r="IZX108" s="1" t="s">
        <v>122</v>
      </c>
      <c r="IZY108" s="1" t="s">
        <v>122</v>
      </c>
      <c r="IZZ108" s="1" t="s">
        <v>122</v>
      </c>
      <c r="JAA108" s="1" t="s">
        <v>122</v>
      </c>
      <c r="JAB108" s="1" t="s">
        <v>122</v>
      </c>
      <c r="JAC108" s="1" t="s">
        <v>122</v>
      </c>
      <c r="JAD108" s="1" t="s">
        <v>122</v>
      </c>
      <c r="JAE108" s="1" t="s">
        <v>122</v>
      </c>
      <c r="JAF108" s="1" t="s">
        <v>122</v>
      </c>
      <c r="JAG108" s="1" t="s">
        <v>122</v>
      </c>
      <c r="JAH108" s="1" t="s">
        <v>122</v>
      </c>
      <c r="JAI108" s="1" t="s">
        <v>122</v>
      </c>
      <c r="JAJ108" s="1" t="s">
        <v>122</v>
      </c>
      <c r="JAK108" s="1" t="s">
        <v>122</v>
      </c>
      <c r="JAL108" s="1" t="s">
        <v>122</v>
      </c>
      <c r="JAM108" s="1" t="s">
        <v>122</v>
      </c>
      <c r="JAN108" s="1" t="s">
        <v>122</v>
      </c>
      <c r="JAO108" s="1" t="s">
        <v>122</v>
      </c>
      <c r="JAP108" s="1" t="s">
        <v>122</v>
      </c>
      <c r="JAQ108" s="1" t="s">
        <v>122</v>
      </c>
      <c r="JAR108" s="1" t="s">
        <v>122</v>
      </c>
      <c r="JAS108" s="1" t="s">
        <v>122</v>
      </c>
      <c r="JAT108" s="1" t="s">
        <v>122</v>
      </c>
      <c r="JAU108" s="1" t="s">
        <v>122</v>
      </c>
      <c r="JAV108" s="1" t="s">
        <v>122</v>
      </c>
      <c r="JAW108" s="1" t="s">
        <v>122</v>
      </c>
      <c r="JAX108" s="1" t="s">
        <v>122</v>
      </c>
      <c r="JAY108" s="1" t="s">
        <v>122</v>
      </c>
      <c r="JAZ108" s="1" t="s">
        <v>122</v>
      </c>
      <c r="JBA108" s="1" t="s">
        <v>122</v>
      </c>
      <c r="JBB108" s="1" t="s">
        <v>122</v>
      </c>
      <c r="JBC108" s="1" t="s">
        <v>122</v>
      </c>
      <c r="JBD108" s="1" t="s">
        <v>122</v>
      </c>
      <c r="JBE108" s="1" t="s">
        <v>122</v>
      </c>
      <c r="JBF108" s="1" t="s">
        <v>122</v>
      </c>
      <c r="JBG108" s="1" t="s">
        <v>122</v>
      </c>
      <c r="JBH108" s="1" t="s">
        <v>122</v>
      </c>
      <c r="JBI108" s="1" t="s">
        <v>122</v>
      </c>
      <c r="JBJ108" s="1" t="s">
        <v>122</v>
      </c>
      <c r="JBK108" s="1" t="s">
        <v>122</v>
      </c>
      <c r="JBL108" s="1" t="s">
        <v>122</v>
      </c>
      <c r="JBM108" s="1" t="s">
        <v>122</v>
      </c>
      <c r="JBN108" s="1" t="s">
        <v>122</v>
      </c>
      <c r="JBO108" s="1" t="s">
        <v>122</v>
      </c>
      <c r="JBP108" s="1" t="s">
        <v>122</v>
      </c>
      <c r="JBQ108" s="1" t="s">
        <v>122</v>
      </c>
      <c r="JBR108" s="1" t="s">
        <v>122</v>
      </c>
      <c r="JBS108" s="1" t="s">
        <v>122</v>
      </c>
      <c r="JBT108" s="1" t="s">
        <v>122</v>
      </c>
      <c r="JBU108" s="1" t="s">
        <v>122</v>
      </c>
      <c r="JBV108" s="1" t="s">
        <v>122</v>
      </c>
      <c r="JBW108" s="1" t="s">
        <v>122</v>
      </c>
      <c r="JBX108" s="1" t="s">
        <v>122</v>
      </c>
      <c r="JBY108" s="1" t="s">
        <v>122</v>
      </c>
      <c r="JBZ108" s="1" t="s">
        <v>122</v>
      </c>
      <c r="JCA108" s="1" t="s">
        <v>122</v>
      </c>
      <c r="JCB108" s="1" t="s">
        <v>122</v>
      </c>
      <c r="JCC108" s="1" t="s">
        <v>122</v>
      </c>
      <c r="JCD108" s="1" t="s">
        <v>122</v>
      </c>
      <c r="JCE108" s="1" t="s">
        <v>122</v>
      </c>
      <c r="JCF108" s="1" t="s">
        <v>122</v>
      </c>
      <c r="JCG108" s="1" t="s">
        <v>122</v>
      </c>
      <c r="JCH108" s="1" t="s">
        <v>122</v>
      </c>
      <c r="JCI108" s="1" t="s">
        <v>122</v>
      </c>
      <c r="JCJ108" s="1" t="s">
        <v>122</v>
      </c>
      <c r="JCK108" s="1" t="s">
        <v>122</v>
      </c>
      <c r="JCL108" s="1" t="s">
        <v>122</v>
      </c>
      <c r="JCM108" s="1" t="s">
        <v>122</v>
      </c>
      <c r="JCN108" s="1" t="s">
        <v>122</v>
      </c>
      <c r="JCO108" s="1" t="s">
        <v>122</v>
      </c>
      <c r="JCP108" s="1" t="s">
        <v>122</v>
      </c>
      <c r="JCQ108" s="1" t="s">
        <v>122</v>
      </c>
      <c r="JCR108" s="1" t="s">
        <v>122</v>
      </c>
      <c r="JCS108" s="1" t="s">
        <v>122</v>
      </c>
      <c r="JCT108" s="1" t="s">
        <v>122</v>
      </c>
      <c r="JCU108" s="1" t="s">
        <v>122</v>
      </c>
      <c r="JCV108" s="1" t="s">
        <v>122</v>
      </c>
      <c r="JCW108" s="1" t="s">
        <v>122</v>
      </c>
      <c r="JCX108" s="1" t="s">
        <v>122</v>
      </c>
      <c r="JCY108" s="1" t="s">
        <v>122</v>
      </c>
      <c r="JCZ108" s="1" t="s">
        <v>122</v>
      </c>
      <c r="JDA108" s="1" t="s">
        <v>122</v>
      </c>
      <c r="JDB108" s="1" t="s">
        <v>122</v>
      </c>
      <c r="JDC108" s="1" t="s">
        <v>122</v>
      </c>
      <c r="JDD108" s="1" t="s">
        <v>122</v>
      </c>
      <c r="JDE108" s="1" t="s">
        <v>122</v>
      </c>
      <c r="JDF108" s="1" t="s">
        <v>122</v>
      </c>
      <c r="JDG108" s="1" t="s">
        <v>122</v>
      </c>
      <c r="JDH108" s="1" t="s">
        <v>122</v>
      </c>
      <c r="JDI108" s="1" t="s">
        <v>122</v>
      </c>
      <c r="JDJ108" s="1" t="s">
        <v>122</v>
      </c>
      <c r="JDK108" s="1" t="s">
        <v>122</v>
      </c>
      <c r="JDL108" s="1" t="s">
        <v>122</v>
      </c>
      <c r="JDM108" s="1" t="s">
        <v>122</v>
      </c>
      <c r="JDN108" s="1" t="s">
        <v>122</v>
      </c>
      <c r="JDO108" s="1" t="s">
        <v>122</v>
      </c>
      <c r="JDP108" s="1" t="s">
        <v>122</v>
      </c>
      <c r="JDQ108" s="1" t="s">
        <v>122</v>
      </c>
      <c r="JDR108" s="1" t="s">
        <v>122</v>
      </c>
      <c r="JDS108" s="1" t="s">
        <v>122</v>
      </c>
      <c r="JDT108" s="1" t="s">
        <v>122</v>
      </c>
      <c r="JDU108" s="1" t="s">
        <v>122</v>
      </c>
      <c r="JDV108" s="1" t="s">
        <v>122</v>
      </c>
      <c r="JDW108" s="1" t="s">
        <v>122</v>
      </c>
      <c r="JDX108" s="1" t="s">
        <v>122</v>
      </c>
      <c r="JDY108" s="1" t="s">
        <v>122</v>
      </c>
      <c r="JDZ108" s="1" t="s">
        <v>122</v>
      </c>
      <c r="JEA108" s="1" t="s">
        <v>122</v>
      </c>
      <c r="JEB108" s="1" t="s">
        <v>122</v>
      </c>
      <c r="JEC108" s="1" t="s">
        <v>122</v>
      </c>
      <c r="JED108" s="1" t="s">
        <v>122</v>
      </c>
      <c r="JEE108" s="1" t="s">
        <v>122</v>
      </c>
      <c r="JEF108" s="1" t="s">
        <v>122</v>
      </c>
      <c r="JEG108" s="1" t="s">
        <v>122</v>
      </c>
      <c r="JEH108" s="1" t="s">
        <v>122</v>
      </c>
      <c r="JEI108" s="1" t="s">
        <v>122</v>
      </c>
      <c r="JEJ108" s="1" t="s">
        <v>122</v>
      </c>
      <c r="JEK108" s="1" t="s">
        <v>122</v>
      </c>
      <c r="JEL108" s="1" t="s">
        <v>122</v>
      </c>
      <c r="JEM108" s="1" t="s">
        <v>122</v>
      </c>
      <c r="JEN108" s="1" t="s">
        <v>122</v>
      </c>
      <c r="JEO108" s="1" t="s">
        <v>122</v>
      </c>
      <c r="JEP108" s="1" t="s">
        <v>122</v>
      </c>
      <c r="JEQ108" s="1" t="s">
        <v>122</v>
      </c>
      <c r="JER108" s="1" t="s">
        <v>122</v>
      </c>
      <c r="JES108" s="1" t="s">
        <v>122</v>
      </c>
      <c r="JET108" s="1" t="s">
        <v>122</v>
      </c>
      <c r="JEU108" s="1" t="s">
        <v>122</v>
      </c>
      <c r="JEV108" s="1" t="s">
        <v>122</v>
      </c>
      <c r="JEW108" s="1" t="s">
        <v>122</v>
      </c>
      <c r="JEX108" s="1" t="s">
        <v>122</v>
      </c>
      <c r="JEY108" s="1" t="s">
        <v>122</v>
      </c>
      <c r="JEZ108" s="1" t="s">
        <v>122</v>
      </c>
      <c r="JFA108" s="1" t="s">
        <v>122</v>
      </c>
      <c r="JFB108" s="1" t="s">
        <v>122</v>
      </c>
      <c r="JFC108" s="1" t="s">
        <v>122</v>
      </c>
      <c r="JFD108" s="1" t="s">
        <v>122</v>
      </c>
      <c r="JFE108" s="1" t="s">
        <v>122</v>
      </c>
      <c r="JFF108" s="1" t="s">
        <v>122</v>
      </c>
      <c r="JFG108" s="1" t="s">
        <v>122</v>
      </c>
      <c r="JFH108" s="1" t="s">
        <v>122</v>
      </c>
      <c r="JFI108" s="1" t="s">
        <v>122</v>
      </c>
      <c r="JFJ108" s="1" t="s">
        <v>122</v>
      </c>
      <c r="JFK108" s="1" t="s">
        <v>122</v>
      </c>
      <c r="JFL108" s="1" t="s">
        <v>122</v>
      </c>
      <c r="JFM108" s="1" t="s">
        <v>122</v>
      </c>
      <c r="JFN108" s="1" t="s">
        <v>122</v>
      </c>
      <c r="JFO108" s="1" t="s">
        <v>122</v>
      </c>
      <c r="JFP108" s="1" t="s">
        <v>122</v>
      </c>
      <c r="JFQ108" s="1" t="s">
        <v>122</v>
      </c>
      <c r="JFR108" s="1" t="s">
        <v>122</v>
      </c>
      <c r="JFS108" s="1" t="s">
        <v>122</v>
      </c>
      <c r="JFT108" s="1" t="s">
        <v>122</v>
      </c>
      <c r="JFU108" s="1" t="s">
        <v>122</v>
      </c>
      <c r="JFV108" s="1" t="s">
        <v>122</v>
      </c>
      <c r="JFW108" s="1" t="s">
        <v>122</v>
      </c>
      <c r="JFX108" s="1" t="s">
        <v>122</v>
      </c>
      <c r="JFY108" s="1" t="s">
        <v>122</v>
      </c>
      <c r="JFZ108" s="1" t="s">
        <v>122</v>
      </c>
      <c r="JGA108" s="1" t="s">
        <v>122</v>
      </c>
      <c r="JGB108" s="1" t="s">
        <v>122</v>
      </c>
      <c r="JGC108" s="1" t="s">
        <v>122</v>
      </c>
      <c r="JGD108" s="1" t="s">
        <v>122</v>
      </c>
      <c r="JGE108" s="1" t="s">
        <v>122</v>
      </c>
      <c r="JGF108" s="1" t="s">
        <v>122</v>
      </c>
      <c r="JGG108" s="1" t="s">
        <v>122</v>
      </c>
      <c r="JGH108" s="1" t="s">
        <v>122</v>
      </c>
      <c r="JGI108" s="1" t="s">
        <v>122</v>
      </c>
      <c r="JGJ108" s="1" t="s">
        <v>122</v>
      </c>
      <c r="JGK108" s="1" t="s">
        <v>122</v>
      </c>
      <c r="JGL108" s="1" t="s">
        <v>122</v>
      </c>
      <c r="JGM108" s="1" t="s">
        <v>122</v>
      </c>
      <c r="JGN108" s="1" t="s">
        <v>122</v>
      </c>
      <c r="JGO108" s="1" t="s">
        <v>122</v>
      </c>
      <c r="JGP108" s="1" t="s">
        <v>122</v>
      </c>
      <c r="JGQ108" s="1" t="s">
        <v>122</v>
      </c>
      <c r="JGR108" s="1" t="s">
        <v>122</v>
      </c>
      <c r="JGS108" s="1" t="s">
        <v>122</v>
      </c>
      <c r="JGT108" s="1" t="s">
        <v>122</v>
      </c>
      <c r="JGU108" s="1" t="s">
        <v>122</v>
      </c>
      <c r="JGV108" s="1" t="s">
        <v>122</v>
      </c>
      <c r="JGW108" s="1" t="s">
        <v>122</v>
      </c>
      <c r="JGX108" s="1" t="s">
        <v>122</v>
      </c>
      <c r="JGY108" s="1" t="s">
        <v>122</v>
      </c>
      <c r="JGZ108" s="1" t="s">
        <v>122</v>
      </c>
      <c r="JHA108" s="1" t="s">
        <v>122</v>
      </c>
      <c r="JHB108" s="1" t="s">
        <v>122</v>
      </c>
      <c r="JHC108" s="1" t="s">
        <v>122</v>
      </c>
      <c r="JHD108" s="1" t="s">
        <v>122</v>
      </c>
      <c r="JHE108" s="1" t="s">
        <v>122</v>
      </c>
      <c r="JHF108" s="1" t="s">
        <v>122</v>
      </c>
      <c r="JHG108" s="1" t="s">
        <v>122</v>
      </c>
      <c r="JHH108" s="1" t="s">
        <v>122</v>
      </c>
      <c r="JHI108" s="1" t="s">
        <v>122</v>
      </c>
      <c r="JHJ108" s="1" t="s">
        <v>122</v>
      </c>
      <c r="JHK108" s="1" t="s">
        <v>122</v>
      </c>
      <c r="JHL108" s="1" t="s">
        <v>122</v>
      </c>
      <c r="JHM108" s="1" t="s">
        <v>122</v>
      </c>
      <c r="JHN108" s="1" t="s">
        <v>122</v>
      </c>
      <c r="JHO108" s="1" t="s">
        <v>122</v>
      </c>
      <c r="JHP108" s="1" t="s">
        <v>122</v>
      </c>
      <c r="JHQ108" s="1" t="s">
        <v>122</v>
      </c>
      <c r="JHR108" s="1" t="s">
        <v>122</v>
      </c>
      <c r="JHS108" s="1" t="s">
        <v>122</v>
      </c>
      <c r="JHT108" s="1" t="s">
        <v>122</v>
      </c>
      <c r="JHU108" s="1" t="s">
        <v>122</v>
      </c>
      <c r="JHV108" s="1" t="s">
        <v>122</v>
      </c>
      <c r="JHW108" s="1" t="s">
        <v>122</v>
      </c>
      <c r="JHX108" s="1" t="s">
        <v>122</v>
      </c>
      <c r="JHY108" s="1" t="s">
        <v>122</v>
      </c>
      <c r="JHZ108" s="1" t="s">
        <v>122</v>
      </c>
      <c r="JIA108" s="1" t="s">
        <v>122</v>
      </c>
      <c r="JIB108" s="1" t="s">
        <v>122</v>
      </c>
      <c r="JIC108" s="1" t="s">
        <v>122</v>
      </c>
      <c r="JID108" s="1" t="s">
        <v>122</v>
      </c>
      <c r="JIE108" s="1" t="s">
        <v>122</v>
      </c>
      <c r="JIF108" s="1" t="s">
        <v>122</v>
      </c>
      <c r="JIG108" s="1" t="s">
        <v>122</v>
      </c>
      <c r="JIH108" s="1" t="s">
        <v>122</v>
      </c>
      <c r="JII108" s="1" t="s">
        <v>122</v>
      </c>
      <c r="JIJ108" s="1" t="s">
        <v>122</v>
      </c>
      <c r="JIK108" s="1" t="s">
        <v>122</v>
      </c>
      <c r="JIL108" s="1" t="s">
        <v>122</v>
      </c>
      <c r="JIM108" s="1" t="s">
        <v>122</v>
      </c>
      <c r="JIN108" s="1" t="s">
        <v>122</v>
      </c>
      <c r="JIO108" s="1" t="s">
        <v>122</v>
      </c>
      <c r="JIP108" s="1" t="s">
        <v>122</v>
      </c>
      <c r="JIQ108" s="1" t="s">
        <v>122</v>
      </c>
      <c r="JIR108" s="1" t="s">
        <v>122</v>
      </c>
      <c r="JIS108" s="1" t="s">
        <v>122</v>
      </c>
      <c r="JIT108" s="1" t="s">
        <v>122</v>
      </c>
      <c r="JIU108" s="1" t="s">
        <v>122</v>
      </c>
      <c r="JIV108" s="1" t="s">
        <v>122</v>
      </c>
      <c r="JIW108" s="1" t="s">
        <v>122</v>
      </c>
      <c r="JIX108" s="1" t="s">
        <v>122</v>
      </c>
      <c r="JIY108" s="1" t="s">
        <v>122</v>
      </c>
      <c r="JIZ108" s="1" t="s">
        <v>122</v>
      </c>
      <c r="JJA108" s="1" t="s">
        <v>122</v>
      </c>
      <c r="JJB108" s="1" t="s">
        <v>122</v>
      </c>
      <c r="JJC108" s="1" t="s">
        <v>122</v>
      </c>
      <c r="JJD108" s="1" t="s">
        <v>122</v>
      </c>
      <c r="JJE108" s="1" t="s">
        <v>122</v>
      </c>
      <c r="JJF108" s="1" t="s">
        <v>122</v>
      </c>
      <c r="JJG108" s="1" t="s">
        <v>122</v>
      </c>
      <c r="JJH108" s="1" t="s">
        <v>122</v>
      </c>
      <c r="JJI108" s="1" t="s">
        <v>122</v>
      </c>
      <c r="JJJ108" s="1" t="s">
        <v>122</v>
      </c>
      <c r="JJK108" s="1" t="s">
        <v>122</v>
      </c>
      <c r="JJL108" s="1" t="s">
        <v>122</v>
      </c>
      <c r="JJM108" s="1" t="s">
        <v>122</v>
      </c>
      <c r="JJN108" s="1" t="s">
        <v>122</v>
      </c>
      <c r="JJO108" s="1" t="s">
        <v>122</v>
      </c>
      <c r="JJP108" s="1" t="s">
        <v>122</v>
      </c>
      <c r="JJQ108" s="1" t="s">
        <v>122</v>
      </c>
      <c r="JJR108" s="1" t="s">
        <v>122</v>
      </c>
      <c r="JJS108" s="1" t="s">
        <v>122</v>
      </c>
      <c r="JJT108" s="1" t="s">
        <v>122</v>
      </c>
      <c r="JJU108" s="1" t="s">
        <v>122</v>
      </c>
      <c r="JJV108" s="1" t="s">
        <v>122</v>
      </c>
      <c r="JJW108" s="1" t="s">
        <v>122</v>
      </c>
      <c r="JJX108" s="1" t="s">
        <v>122</v>
      </c>
      <c r="JJY108" s="1" t="s">
        <v>122</v>
      </c>
      <c r="JJZ108" s="1" t="s">
        <v>122</v>
      </c>
      <c r="JKA108" s="1" t="s">
        <v>122</v>
      </c>
      <c r="JKB108" s="1" t="s">
        <v>122</v>
      </c>
      <c r="JKC108" s="1" t="s">
        <v>122</v>
      </c>
      <c r="JKD108" s="1" t="s">
        <v>122</v>
      </c>
      <c r="JKE108" s="1" t="s">
        <v>122</v>
      </c>
      <c r="JKF108" s="1" t="s">
        <v>122</v>
      </c>
      <c r="JKG108" s="1" t="s">
        <v>122</v>
      </c>
      <c r="JKH108" s="1" t="s">
        <v>122</v>
      </c>
      <c r="JKI108" s="1" t="s">
        <v>122</v>
      </c>
      <c r="JKJ108" s="1" t="s">
        <v>122</v>
      </c>
      <c r="JKK108" s="1" t="s">
        <v>122</v>
      </c>
      <c r="JKL108" s="1" t="s">
        <v>122</v>
      </c>
      <c r="JKM108" s="1" t="s">
        <v>122</v>
      </c>
      <c r="JKN108" s="1" t="s">
        <v>122</v>
      </c>
      <c r="JKO108" s="1" t="s">
        <v>122</v>
      </c>
      <c r="JKP108" s="1" t="s">
        <v>122</v>
      </c>
      <c r="JKQ108" s="1" t="s">
        <v>122</v>
      </c>
      <c r="JKR108" s="1" t="s">
        <v>122</v>
      </c>
      <c r="JKS108" s="1" t="s">
        <v>122</v>
      </c>
      <c r="JKT108" s="1" t="s">
        <v>122</v>
      </c>
      <c r="JKU108" s="1" t="s">
        <v>122</v>
      </c>
      <c r="JKV108" s="1" t="s">
        <v>122</v>
      </c>
      <c r="JKW108" s="1" t="s">
        <v>122</v>
      </c>
      <c r="JKX108" s="1" t="s">
        <v>122</v>
      </c>
      <c r="JKY108" s="1" t="s">
        <v>122</v>
      </c>
      <c r="JKZ108" s="1" t="s">
        <v>122</v>
      </c>
      <c r="JLA108" s="1" t="s">
        <v>122</v>
      </c>
      <c r="JLB108" s="1" t="s">
        <v>122</v>
      </c>
      <c r="JLC108" s="1" t="s">
        <v>122</v>
      </c>
      <c r="JLD108" s="1" t="s">
        <v>122</v>
      </c>
      <c r="JLE108" s="1" t="s">
        <v>122</v>
      </c>
      <c r="JLF108" s="1" t="s">
        <v>122</v>
      </c>
      <c r="JLG108" s="1" t="s">
        <v>122</v>
      </c>
      <c r="JLH108" s="1" t="s">
        <v>122</v>
      </c>
      <c r="JLI108" s="1" t="s">
        <v>122</v>
      </c>
      <c r="JLJ108" s="1" t="s">
        <v>122</v>
      </c>
      <c r="JLK108" s="1" t="s">
        <v>122</v>
      </c>
      <c r="JLL108" s="1" t="s">
        <v>122</v>
      </c>
      <c r="JLM108" s="1" t="s">
        <v>122</v>
      </c>
      <c r="JLN108" s="1" t="s">
        <v>122</v>
      </c>
      <c r="JLO108" s="1" t="s">
        <v>122</v>
      </c>
      <c r="JLP108" s="1" t="s">
        <v>122</v>
      </c>
      <c r="JLQ108" s="1" t="s">
        <v>122</v>
      </c>
      <c r="JLR108" s="1" t="s">
        <v>122</v>
      </c>
      <c r="JLS108" s="1" t="s">
        <v>122</v>
      </c>
      <c r="JLT108" s="1" t="s">
        <v>122</v>
      </c>
      <c r="JLU108" s="1" t="s">
        <v>122</v>
      </c>
      <c r="JLV108" s="1" t="s">
        <v>122</v>
      </c>
      <c r="JLW108" s="1" t="s">
        <v>122</v>
      </c>
      <c r="JLX108" s="1" t="s">
        <v>122</v>
      </c>
      <c r="JLY108" s="1" t="s">
        <v>122</v>
      </c>
      <c r="JLZ108" s="1" t="s">
        <v>122</v>
      </c>
      <c r="JMA108" s="1" t="s">
        <v>122</v>
      </c>
      <c r="JMB108" s="1" t="s">
        <v>122</v>
      </c>
      <c r="JMC108" s="1" t="s">
        <v>122</v>
      </c>
      <c r="JMD108" s="1" t="s">
        <v>122</v>
      </c>
      <c r="JME108" s="1" t="s">
        <v>122</v>
      </c>
      <c r="JMF108" s="1" t="s">
        <v>122</v>
      </c>
      <c r="JMG108" s="1" t="s">
        <v>122</v>
      </c>
      <c r="JMH108" s="1" t="s">
        <v>122</v>
      </c>
      <c r="JMI108" s="1" t="s">
        <v>122</v>
      </c>
      <c r="JMJ108" s="1" t="s">
        <v>122</v>
      </c>
      <c r="JMK108" s="1" t="s">
        <v>122</v>
      </c>
      <c r="JML108" s="1" t="s">
        <v>122</v>
      </c>
      <c r="JMM108" s="1" t="s">
        <v>122</v>
      </c>
      <c r="JMN108" s="1" t="s">
        <v>122</v>
      </c>
      <c r="JMO108" s="1" t="s">
        <v>122</v>
      </c>
      <c r="JMP108" s="1" t="s">
        <v>122</v>
      </c>
      <c r="JMQ108" s="1" t="s">
        <v>122</v>
      </c>
      <c r="JMR108" s="1" t="s">
        <v>122</v>
      </c>
      <c r="JMS108" s="1" t="s">
        <v>122</v>
      </c>
      <c r="JMT108" s="1" t="s">
        <v>122</v>
      </c>
      <c r="JMU108" s="1" t="s">
        <v>122</v>
      </c>
      <c r="JMV108" s="1" t="s">
        <v>122</v>
      </c>
      <c r="JMW108" s="1" t="s">
        <v>122</v>
      </c>
      <c r="JMX108" s="1" t="s">
        <v>122</v>
      </c>
      <c r="JMY108" s="1" t="s">
        <v>122</v>
      </c>
      <c r="JMZ108" s="1" t="s">
        <v>122</v>
      </c>
      <c r="JNA108" s="1" t="s">
        <v>122</v>
      </c>
      <c r="JNB108" s="1" t="s">
        <v>122</v>
      </c>
      <c r="JNC108" s="1" t="s">
        <v>122</v>
      </c>
      <c r="JND108" s="1" t="s">
        <v>122</v>
      </c>
      <c r="JNE108" s="1" t="s">
        <v>122</v>
      </c>
      <c r="JNF108" s="1" t="s">
        <v>122</v>
      </c>
      <c r="JNG108" s="1" t="s">
        <v>122</v>
      </c>
      <c r="JNH108" s="1" t="s">
        <v>122</v>
      </c>
      <c r="JNI108" s="1" t="s">
        <v>122</v>
      </c>
      <c r="JNJ108" s="1" t="s">
        <v>122</v>
      </c>
      <c r="JNK108" s="1" t="s">
        <v>122</v>
      </c>
      <c r="JNL108" s="1" t="s">
        <v>122</v>
      </c>
      <c r="JNM108" s="1" t="s">
        <v>122</v>
      </c>
      <c r="JNN108" s="1" t="s">
        <v>122</v>
      </c>
      <c r="JNO108" s="1" t="s">
        <v>122</v>
      </c>
      <c r="JNP108" s="1" t="s">
        <v>122</v>
      </c>
      <c r="JNQ108" s="1" t="s">
        <v>122</v>
      </c>
      <c r="JNR108" s="1" t="s">
        <v>122</v>
      </c>
      <c r="JNS108" s="1" t="s">
        <v>122</v>
      </c>
      <c r="JNT108" s="1" t="s">
        <v>122</v>
      </c>
      <c r="JNU108" s="1" t="s">
        <v>122</v>
      </c>
      <c r="JNV108" s="1" t="s">
        <v>122</v>
      </c>
      <c r="JNW108" s="1" t="s">
        <v>122</v>
      </c>
      <c r="JNX108" s="1" t="s">
        <v>122</v>
      </c>
      <c r="JNY108" s="1" t="s">
        <v>122</v>
      </c>
      <c r="JNZ108" s="1" t="s">
        <v>122</v>
      </c>
      <c r="JOA108" s="1" t="s">
        <v>122</v>
      </c>
      <c r="JOB108" s="1" t="s">
        <v>122</v>
      </c>
      <c r="JOC108" s="1" t="s">
        <v>122</v>
      </c>
      <c r="JOD108" s="1" t="s">
        <v>122</v>
      </c>
      <c r="JOE108" s="1" t="s">
        <v>122</v>
      </c>
      <c r="JOF108" s="1" t="s">
        <v>122</v>
      </c>
      <c r="JOG108" s="1" t="s">
        <v>122</v>
      </c>
      <c r="JOH108" s="1" t="s">
        <v>122</v>
      </c>
      <c r="JOI108" s="1" t="s">
        <v>122</v>
      </c>
      <c r="JOJ108" s="1" t="s">
        <v>122</v>
      </c>
      <c r="JOK108" s="1" t="s">
        <v>122</v>
      </c>
      <c r="JOL108" s="1" t="s">
        <v>122</v>
      </c>
      <c r="JOM108" s="1" t="s">
        <v>122</v>
      </c>
      <c r="JON108" s="1" t="s">
        <v>122</v>
      </c>
      <c r="JOO108" s="1" t="s">
        <v>122</v>
      </c>
      <c r="JOP108" s="1" t="s">
        <v>122</v>
      </c>
      <c r="JOQ108" s="1" t="s">
        <v>122</v>
      </c>
      <c r="JOR108" s="1" t="s">
        <v>122</v>
      </c>
      <c r="JOS108" s="1" t="s">
        <v>122</v>
      </c>
      <c r="JOT108" s="1" t="s">
        <v>122</v>
      </c>
      <c r="JOU108" s="1" t="s">
        <v>122</v>
      </c>
      <c r="JOV108" s="1" t="s">
        <v>122</v>
      </c>
      <c r="JOW108" s="1" t="s">
        <v>122</v>
      </c>
      <c r="JOX108" s="1" t="s">
        <v>122</v>
      </c>
      <c r="JOY108" s="1" t="s">
        <v>122</v>
      </c>
      <c r="JOZ108" s="1" t="s">
        <v>122</v>
      </c>
      <c r="JPA108" s="1" t="s">
        <v>122</v>
      </c>
      <c r="JPB108" s="1" t="s">
        <v>122</v>
      </c>
      <c r="JPC108" s="1" t="s">
        <v>122</v>
      </c>
      <c r="JPD108" s="1" t="s">
        <v>122</v>
      </c>
      <c r="JPE108" s="1" t="s">
        <v>122</v>
      </c>
      <c r="JPF108" s="1" t="s">
        <v>122</v>
      </c>
      <c r="JPG108" s="1" t="s">
        <v>122</v>
      </c>
      <c r="JPH108" s="1" t="s">
        <v>122</v>
      </c>
      <c r="JPI108" s="1" t="s">
        <v>122</v>
      </c>
      <c r="JPJ108" s="1" t="s">
        <v>122</v>
      </c>
      <c r="JPK108" s="1" t="s">
        <v>122</v>
      </c>
      <c r="JPL108" s="1" t="s">
        <v>122</v>
      </c>
      <c r="JPM108" s="1" t="s">
        <v>122</v>
      </c>
      <c r="JPN108" s="1" t="s">
        <v>122</v>
      </c>
      <c r="JPO108" s="1" t="s">
        <v>122</v>
      </c>
      <c r="JPP108" s="1" t="s">
        <v>122</v>
      </c>
      <c r="JPQ108" s="1" t="s">
        <v>122</v>
      </c>
      <c r="JPR108" s="1" t="s">
        <v>122</v>
      </c>
      <c r="JPS108" s="1" t="s">
        <v>122</v>
      </c>
      <c r="JPT108" s="1" t="s">
        <v>122</v>
      </c>
      <c r="JPU108" s="1" t="s">
        <v>122</v>
      </c>
      <c r="JPV108" s="1" t="s">
        <v>122</v>
      </c>
      <c r="JPW108" s="1" t="s">
        <v>122</v>
      </c>
      <c r="JPX108" s="1" t="s">
        <v>122</v>
      </c>
      <c r="JPY108" s="1" t="s">
        <v>122</v>
      </c>
      <c r="JPZ108" s="1" t="s">
        <v>122</v>
      </c>
      <c r="JQA108" s="1" t="s">
        <v>122</v>
      </c>
      <c r="JQB108" s="1" t="s">
        <v>122</v>
      </c>
      <c r="JQC108" s="1" t="s">
        <v>122</v>
      </c>
      <c r="JQD108" s="1" t="s">
        <v>122</v>
      </c>
      <c r="JQE108" s="1" t="s">
        <v>122</v>
      </c>
      <c r="JQF108" s="1" t="s">
        <v>122</v>
      </c>
      <c r="JQG108" s="1" t="s">
        <v>122</v>
      </c>
      <c r="JQH108" s="1" t="s">
        <v>122</v>
      </c>
      <c r="JQI108" s="1" t="s">
        <v>122</v>
      </c>
      <c r="JQJ108" s="1" t="s">
        <v>122</v>
      </c>
      <c r="JQK108" s="1" t="s">
        <v>122</v>
      </c>
      <c r="JQL108" s="1" t="s">
        <v>122</v>
      </c>
      <c r="JQM108" s="1" t="s">
        <v>122</v>
      </c>
      <c r="JQN108" s="1" t="s">
        <v>122</v>
      </c>
      <c r="JQO108" s="1" t="s">
        <v>122</v>
      </c>
      <c r="JQP108" s="1" t="s">
        <v>122</v>
      </c>
      <c r="JQQ108" s="1" t="s">
        <v>122</v>
      </c>
      <c r="JQR108" s="1" t="s">
        <v>122</v>
      </c>
      <c r="JQS108" s="1" t="s">
        <v>122</v>
      </c>
      <c r="JQT108" s="1" t="s">
        <v>122</v>
      </c>
      <c r="JQU108" s="1" t="s">
        <v>122</v>
      </c>
      <c r="JQV108" s="1" t="s">
        <v>122</v>
      </c>
      <c r="JQW108" s="1" t="s">
        <v>122</v>
      </c>
      <c r="JQX108" s="1" t="s">
        <v>122</v>
      </c>
      <c r="JQY108" s="1" t="s">
        <v>122</v>
      </c>
      <c r="JQZ108" s="1" t="s">
        <v>122</v>
      </c>
      <c r="JRA108" s="1" t="s">
        <v>122</v>
      </c>
      <c r="JRB108" s="1" t="s">
        <v>122</v>
      </c>
      <c r="JRC108" s="1" t="s">
        <v>122</v>
      </c>
      <c r="JRD108" s="1" t="s">
        <v>122</v>
      </c>
      <c r="JRE108" s="1" t="s">
        <v>122</v>
      </c>
      <c r="JRF108" s="1" t="s">
        <v>122</v>
      </c>
      <c r="JRG108" s="1" t="s">
        <v>122</v>
      </c>
      <c r="JRH108" s="1" t="s">
        <v>122</v>
      </c>
      <c r="JRI108" s="1" t="s">
        <v>122</v>
      </c>
      <c r="JRJ108" s="1" t="s">
        <v>122</v>
      </c>
      <c r="JRK108" s="1" t="s">
        <v>122</v>
      </c>
      <c r="JRL108" s="1" t="s">
        <v>122</v>
      </c>
      <c r="JRM108" s="1" t="s">
        <v>122</v>
      </c>
      <c r="JRN108" s="1" t="s">
        <v>122</v>
      </c>
      <c r="JRO108" s="1" t="s">
        <v>122</v>
      </c>
      <c r="JRP108" s="1" t="s">
        <v>122</v>
      </c>
      <c r="JRQ108" s="1" t="s">
        <v>122</v>
      </c>
      <c r="JRR108" s="1" t="s">
        <v>122</v>
      </c>
      <c r="JRS108" s="1" t="s">
        <v>122</v>
      </c>
      <c r="JRT108" s="1" t="s">
        <v>122</v>
      </c>
      <c r="JRU108" s="1" t="s">
        <v>122</v>
      </c>
      <c r="JRV108" s="1" t="s">
        <v>122</v>
      </c>
      <c r="JRW108" s="1" t="s">
        <v>122</v>
      </c>
      <c r="JRX108" s="1" t="s">
        <v>122</v>
      </c>
      <c r="JRY108" s="1" t="s">
        <v>122</v>
      </c>
      <c r="JRZ108" s="1" t="s">
        <v>122</v>
      </c>
      <c r="JSA108" s="1" t="s">
        <v>122</v>
      </c>
      <c r="JSB108" s="1" t="s">
        <v>122</v>
      </c>
      <c r="JSC108" s="1" t="s">
        <v>122</v>
      </c>
      <c r="JSD108" s="1" t="s">
        <v>122</v>
      </c>
      <c r="JSE108" s="1" t="s">
        <v>122</v>
      </c>
      <c r="JSF108" s="1" t="s">
        <v>122</v>
      </c>
      <c r="JSG108" s="1" t="s">
        <v>122</v>
      </c>
      <c r="JSH108" s="1" t="s">
        <v>122</v>
      </c>
      <c r="JSI108" s="1" t="s">
        <v>122</v>
      </c>
      <c r="JSJ108" s="1" t="s">
        <v>122</v>
      </c>
      <c r="JSK108" s="1" t="s">
        <v>122</v>
      </c>
      <c r="JSL108" s="1" t="s">
        <v>122</v>
      </c>
      <c r="JSM108" s="1" t="s">
        <v>122</v>
      </c>
      <c r="JSN108" s="1" t="s">
        <v>122</v>
      </c>
      <c r="JSO108" s="1" t="s">
        <v>122</v>
      </c>
      <c r="JSP108" s="1" t="s">
        <v>122</v>
      </c>
      <c r="JSQ108" s="1" t="s">
        <v>122</v>
      </c>
      <c r="JSR108" s="1" t="s">
        <v>122</v>
      </c>
      <c r="JSS108" s="1" t="s">
        <v>122</v>
      </c>
      <c r="JST108" s="1" t="s">
        <v>122</v>
      </c>
      <c r="JSU108" s="1" t="s">
        <v>122</v>
      </c>
      <c r="JSV108" s="1" t="s">
        <v>122</v>
      </c>
      <c r="JSW108" s="1" t="s">
        <v>122</v>
      </c>
      <c r="JSX108" s="1" t="s">
        <v>122</v>
      </c>
      <c r="JSY108" s="1" t="s">
        <v>122</v>
      </c>
      <c r="JSZ108" s="1" t="s">
        <v>122</v>
      </c>
      <c r="JTA108" s="1" t="s">
        <v>122</v>
      </c>
      <c r="JTB108" s="1" t="s">
        <v>122</v>
      </c>
      <c r="JTC108" s="1" t="s">
        <v>122</v>
      </c>
      <c r="JTD108" s="1" t="s">
        <v>122</v>
      </c>
      <c r="JTE108" s="1" t="s">
        <v>122</v>
      </c>
      <c r="JTF108" s="1" t="s">
        <v>122</v>
      </c>
      <c r="JTG108" s="1" t="s">
        <v>122</v>
      </c>
      <c r="JTH108" s="1" t="s">
        <v>122</v>
      </c>
      <c r="JTI108" s="1" t="s">
        <v>122</v>
      </c>
      <c r="JTJ108" s="1" t="s">
        <v>122</v>
      </c>
      <c r="JTK108" s="1" t="s">
        <v>122</v>
      </c>
      <c r="JTL108" s="1" t="s">
        <v>122</v>
      </c>
      <c r="JTM108" s="1" t="s">
        <v>122</v>
      </c>
      <c r="JTN108" s="1" t="s">
        <v>122</v>
      </c>
      <c r="JTO108" s="1" t="s">
        <v>122</v>
      </c>
      <c r="JTP108" s="1" t="s">
        <v>122</v>
      </c>
      <c r="JTQ108" s="1" t="s">
        <v>122</v>
      </c>
      <c r="JTR108" s="1" t="s">
        <v>122</v>
      </c>
      <c r="JTS108" s="1" t="s">
        <v>122</v>
      </c>
      <c r="JTT108" s="1" t="s">
        <v>122</v>
      </c>
      <c r="JTU108" s="1" t="s">
        <v>122</v>
      </c>
      <c r="JTV108" s="1" t="s">
        <v>122</v>
      </c>
      <c r="JTW108" s="1" t="s">
        <v>122</v>
      </c>
      <c r="JTX108" s="1" t="s">
        <v>122</v>
      </c>
      <c r="JTY108" s="1" t="s">
        <v>122</v>
      </c>
      <c r="JTZ108" s="1" t="s">
        <v>122</v>
      </c>
      <c r="JUA108" s="1" t="s">
        <v>122</v>
      </c>
      <c r="JUB108" s="1" t="s">
        <v>122</v>
      </c>
      <c r="JUC108" s="1" t="s">
        <v>122</v>
      </c>
      <c r="JUD108" s="1" t="s">
        <v>122</v>
      </c>
      <c r="JUE108" s="1" t="s">
        <v>122</v>
      </c>
      <c r="JUF108" s="1" t="s">
        <v>122</v>
      </c>
      <c r="JUG108" s="1" t="s">
        <v>122</v>
      </c>
      <c r="JUH108" s="1" t="s">
        <v>122</v>
      </c>
      <c r="JUI108" s="1" t="s">
        <v>122</v>
      </c>
      <c r="JUJ108" s="1" t="s">
        <v>122</v>
      </c>
      <c r="JUK108" s="1" t="s">
        <v>122</v>
      </c>
      <c r="JUL108" s="1" t="s">
        <v>122</v>
      </c>
      <c r="JUM108" s="1" t="s">
        <v>122</v>
      </c>
      <c r="JUN108" s="1" t="s">
        <v>122</v>
      </c>
      <c r="JUO108" s="1" t="s">
        <v>122</v>
      </c>
      <c r="JUP108" s="1" t="s">
        <v>122</v>
      </c>
      <c r="JUQ108" s="1" t="s">
        <v>122</v>
      </c>
      <c r="JUR108" s="1" t="s">
        <v>122</v>
      </c>
      <c r="JUS108" s="1" t="s">
        <v>122</v>
      </c>
      <c r="JUT108" s="1" t="s">
        <v>122</v>
      </c>
      <c r="JUU108" s="1" t="s">
        <v>122</v>
      </c>
      <c r="JUV108" s="1" t="s">
        <v>122</v>
      </c>
      <c r="JUW108" s="1" t="s">
        <v>122</v>
      </c>
      <c r="JUX108" s="1" t="s">
        <v>122</v>
      </c>
      <c r="JUY108" s="1" t="s">
        <v>122</v>
      </c>
      <c r="JUZ108" s="1" t="s">
        <v>122</v>
      </c>
      <c r="JVA108" s="1" t="s">
        <v>122</v>
      </c>
      <c r="JVB108" s="1" t="s">
        <v>122</v>
      </c>
      <c r="JVC108" s="1" t="s">
        <v>122</v>
      </c>
      <c r="JVD108" s="1" t="s">
        <v>122</v>
      </c>
      <c r="JVE108" s="1" t="s">
        <v>122</v>
      </c>
      <c r="JVF108" s="1" t="s">
        <v>122</v>
      </c>
      <c r="JVG108" s="1" t="s">
        <v>122</v>
      </c>
      <c r="JVH108" s="1" t="s">
        <v>122</v>
      </c>
      <c r="JVI108" s="1" t="s">
        <v>122</v>
      </c>
      <c r="JVJ108" s="1" t="s">
        <v>122</v>
      </c>
      <c r="JVK108" s="1" t="s">
        <v>122</v>
      </c>
      <c r="JVL108" s="1" t="s">
        <v>122</v>
      </c>
      <c r="JVM108" s="1" t="s">
        <v>122</v>
      </c>
      <c r="JVN108" s="1" t="s">
        <v>122</v>
      </c>
      <c r="JVO108" s="1" t="s">
        <v>122</v>
      </c>
      <c r="JVP108" s="1" t="s">
        <v>122</v>
      </c>
      <c r="JVQ108" s="1" t="s">
        <v>122</v>
      </c>
      <c r="JVR108" s="1" t="s">
        <v>122</v>
      </c>
      <c r="JVS108" s="1" t="s">
        <v>122</v>
      </c>
      <c r="JVT108" s="1" t="s">
        <v>122</v>
      </c>
      <c r="JVU108" s="1" t="s">
        <v>122</v>
      </c>
      <c r="JVV108" s="1" t="s">
        <v>122</v>
      </c>
      <c r="JVW108" s="1" t="s">
        <v>122</v>
      </c>
      <c r="JVX108" s="1" t="s">
        <v>122</v>
      </c>
      <c r="JVY108" s="1" t="s">
        <v>122</v>
      </c>
      <c r="JVZ108" s="1" t="s">
        <v>122</v>
      </c>
      <c r="JWA108" s="1" t="s">
        <v>122</v>
      </c>
      <c r="JWB108" s="1" t="s">
        <v>122</v>
      </c>
      <c r="JWC108" s="1" t="s">
        <v>122</v>
      </c>
      <c r="JWD108" s="1" t="s">
        <v>122</v>
      </c>
      <c r="JWE108" s="1" t="s">
        <v>122</v>
      </c>
      <c r="JWF108" s="1" t="s">
        <v>122</v>
      </c>
      <c r="JWG108" s="1" t="s">
        <v>122</v>
      </c>
      <c r="JWH108" s="1" t="s">
        <v>122</v>
      </c>
      <c r="JWI108" s="1" t="s">
        <v>122</v>
      </c>
      <c r="JWJ108" s="1" t="s">
        <v>122</v>
      </c>
      <c r="JWK108" s="1" t="s">
        <v>122</v>
      </c>
      <c r="JWL108" s="1" t="s">
        <v>122</v>
      </c>
      <c r="JWM108" s="1" t="s">
        <v>122</v>
      </c>
      <c r="JWN108" s="1" t="s">
        <v>122</v>
      </c>
      <c r="JWO108" s="1" t="s">
        <v>122</v>
      </c>
      <c r="JWP108" s="1" t="s">
        <v>122</v>
      </c>
      <c r="JWQ108" s="1" t="s">
        <v>122</v>
      </c>
      <c r="JWR108" s="1" t="s">
        <v>122</v>
      </c>
      <c r="JWS108" s="1" t="s">
        <v>122</v>
      </c>
      <c r="JWT108" s="1" t="s">
        <v>122</v>
      </c>
      <c r="JWU108" s="1" t="s">
        <v>122</v>
      </c>
      <c r="JWV108" s="1" t="s">
        <v>122</v>
      </c>
      <c r="JWW108" s="1" t="s">
        <v>122</v>
      </c>
      <c r="JWX108" s="1" t="s">
        <v>122</v>
      </c>
      <c r="JWY108" s="1" t="s">
        <v>122</v>
      </c>
      <c r="JWZ108" s="1" t="s">
        <v>122</v>
      </c>
      <c r="JXA108" s="1" t="s">
        <v>122</v>
      </c>
      <c r="JXB108" s="1" t="s">
        <v>122</v>
      </c>
      <c r="JXC108" s="1" t="s">
        <v>122</v>
      </c>
      <c r="JXD108" s="1" t="s">
        <v>122</v>
      </c>
      <c r="JXE108" s="1" t="s">
        <v>122</v>
      </c>
      <c r="JXF108" s="1" t="s">
        <v>122</v>
      </c>
      <c r="JXG108" s="1" t="s">
        <v>122</v>
      </c>
      <c r="JXH108" s="1" t="s">
        <v>122</v>
      </c>
      <c r="JXI108" s="1" t="s">
        <v>122</v>
      </c>
      <c r="JXJ108" s="1" t="s">
        <v>122</v>
      </c>
      <c r="JXK108" s="1" t="s">
        <v>122</v>
      </c>
      <c r="JXL108" s="1" t="s">
        <v>122</v>
      </c>
      <c r="JXM108" s="1" t="s">
        <v>122</v>
      </c>
      <c r="JXN108" s="1" t="s">
        <v>122</v>
      </c>
      <c r="JXO108" s="1" t="s">
        <v>122</v>
      </c>
      <c r="JXP108" s="1" t="s">
        <v>122</v>
      </c>
      <c r="JXQ108" s="1" t="s">
        <v>122</v>
      </c>
      <c r="JXR108" s="1" t="s">
        <v>122</v>
      </c>
      <c r="JXS108" s="1" t="s">
        <v>122</v>
      </c>
      <c r="JXT108" s="1" t="s">
        <v>122</v>
      </c>
      <c r="JXU108" s="1" t="s">
        <v>122</v>
      </c>
      <c r="JXV108" s="1" t="s">
        <v>122</v>
      </c>
      <c r="JXW108" s="1" t="s">
        <v>122</v>
      </c>
      <c r="JXX108" s="1" t="s">
        <v>122</v>
      </c>
      <c r="JXY108" s="1" t="s">
        <v>122</v>
      </c>
      <c r="JXZ108" s="1" t="s">
        <v>122</v>
      </c>
      <c r="JYA108" s="1" t="s">
        <v>122</v>
      </c>
      <c r="JYB108" s="1" t="s">
        <v>122</v>
      </c>
      <c r="JYC108" s="1" t="s">
        <v>122</v>
      </c>
      <c r="JYD108" s="1" t="s">
        <v>122</v>
      </c>
      <c r="JYE108" s="1" t="s">
        <v>122</v>
      </c>
      <c r="JYF108" s="1" t="s">
        <v>122</v>
      </c>
      <c r="JYG108" s="1" t="s">
        <v>122</v>
      </c>
      <c r="JYH108" s="1" t="s">
        <v>122</v>
      </c>
      <c r="JYI108" s="1" t="s">
        <v>122</v>
      </c>
      <c r="JYJ108" s="1" t="s">
        <v>122</v>
      </c>
      <c r="JYK108" s="1" t="s">
        <v>122</v>
      </c>
      <c r="JYL108" s="1" t="s">
        <v>122</v>
      </c>
      <c r="JYM108" s="1" t="s">
        <v>122</v>
      </c>
      <c r="JYN108" s="1" t="s">
        <v>122</v>
      </c>
      <c r="JYO108" s="1" t="s">
        <v>122</v>
      </c>
      <c r="JYP108" s="1" t="s">
        <v>122</v>
      </c>
      <c r="JYQ108" s="1" t="s">
        <v>122</v>
      </c>
      <c r="JYR108" s="1" t="s">
        <v>122</v>
      </c>
      <c r="JYS108" s="1" t="s">
        <v>122</v>
      </c>
      <c r="JYT108" s="1" t="s">
        <v>122</v>
      </c>
      <c r="JYU108" s="1" t="s">
        <v>122</v>
      </c>
      <c r="JYV108" s="1" t="s">
        <v>122</v>
      </c>
      <c r="JYW108" s="1" t="s">
        <v>122</v>
      </c>
      <c r="JYX108" s="1" t="s">
        <v>122</v>
      </c>
      <c r="JYY108" s="1" t="s">
        <v>122</v>
      </c>
      <c r="JYZ108" s="1" t="s">
        <v>122</v>
      </c>
      <c r="JZA108" s="1" t="s">
        <v>122</v>
      </c>
      <c r="JZB108" s="1" t="s">
        <v>122</v>
      </c>
      <c r="JZC108" s="1" t="s">
        <v>122</v>
      </c>
      <c r="JZD108" s="1" t="s">
        <v>122</v>
      </c>
      <c r="JZE108" s="1" t="s">
        <v>122</v>
      </c>
      <c r="JZF108" s="1" t="s">
        <v>122</v>
      </c>
      <c r="JZG108" s="1" t="s">
        <v>122</v>
      </c>
      <c r="JZH108" s="1" t="s">
        <v>122</v>
      </c>
      <c r="JZI108" s="1" t="s">
        <v>122</v>
      </c>
      <c r="JZJ108" s="1" t="s">
        <v>122</v>
      </c>
      <c r="JZK108" s="1" t="s">
        <v>122</v>
      </c>
      <c r="JZL108" s="1" t="s">
        <v>122</v>
      </c>
      <c r="JZM108" s="1" t="s">
        <v>122</v>
      </c>
      <c r="JZN108" s="1" t="s">
        <v>122</v>
      </c>
      <c r="JZO108" s="1" t="s">
        <v>122</v>
      </c>
      <c r="JZP108" s="1" t="s">
        <v>122</v>
      </c>
      <c r="JZQ108" s="1" t="s">
        <v>122</v>
      </c>
      <c r="JZR108" s="1" t="s">
        <v>122</v>
      </c>
      <c r="JZS108" s="1" t="s">
        <v>122</v>
      </c>
      <c r="JZT108" s="1" t="s">
        <v>122</v>
      </c>
      <c r="JZU108" s="1" t="s">
        <v>122</v>
      </c>
      <c r="JZV108" s="1" t="s">
        <v>122</v>
      </c>
      <c r="JZW108" s="1" t="s">
        <v>122</v>
      </c>
      <c r="JZX108" s="1" t="s">
        <v>122</v>
      </c>
      <c r="JZY108" s="1" t="s">
        <v>122</v>
      </c>
      <c r="JZZ108" s="1" t="s">
        <v>122</v>
      </c>
      <c r="KAA108" s="1" t="s">
        <v>122</v>
      </c>
      <c r="KAB108" s="1" t="s">
        <v>122</v>
      </c>
      <c r="KAC108" s="1" t="s">
        <v>122</v>
      </c>
      <c r="KAD108" s="1" t="s">
        <v>122</v>
      </c>
      <c r="KAE108" s="1" t="s">
        <v>122</v>
      </c>
      <c r="KAF108" s="1" t="s">
        <v>122</v>
      </c>
      <c r="KAG108" s="1" t="s">
        <v>122</v>
      </c>
      <c r="KAH108" s="1" t="s">
        <v>122</v>
      </c>
      <c r="KAI108" s="1" t="s">
        <v>122</v>
      </c>
      <c r="KAJ108" s="1" t="s">
        <v>122</v>
      </c>
      <c r="KAK108" s="1" t="s">
        <v>122</v>
      </c>
      <c r="KAL108" s="1" t="s">
        <v>122</v>
      </c>
      <c r="KAM108" s="1" t="s">
        <v>122</v>
      </c>
      <c r="KAN108" s="1" t="s">
        <v>122</v>
      </c>
      <c r="KAO108" s="1" t="s">
        <v>122</v>
      </c>
      <c r="KAP108" s="1" t="s">
        <v>122</v>
      </c>
      <c r="KAQ108" s="1" t="s">
        <v>122</v>
      </c>
      <c r="KAR108" s="1" t="s">
        <v>122</v>
      </c>
      <c r="KAS108" s="1" t="s">
        <v>122</v>
      </c>
      <c r="KAT108" s="1" t="s">
        <v>122</v>
      </c>
      <c r="KAU108" s="1" t="s">
        <v>122</v>
      </c>
      <c r="KAV108" s="1" t="s">
        <v>122</v>
      </c>
      <c r="KAW108" s="1" t="s">
        <v>122</v>
      </c>
      <c r="KAX108" s="1" t="s">
        <v>122</v>
      </c>
      <c r="KAY108" s="1" t="s">
        <v>122</v>
      </c>
      <c r="KAZ108" s="1" t="s">
        <v>122</v>
      </c>
      <c r="KBA108" s="1" t="s">
        <v>122</v>
      </c>
      <c r="KBB108" s="1" t="s">
        <v>122</v>
      </c>
      <c r="KBC108" s="1" t="s">
        <v>122</v>
      </c>
      <c r="KBD108" s="1" t="s">
        <v>122</v>
      </c>
      <c r="KBE108" s="1" t="s">
        <v>122</v>
      </c>
      <c r="KBF108" s="1" t="s">
        <v>122</v>
      </c>
      <c r="KBG108" s="1" t="s">
        <v>122</v>
      </c>
      <c r="KBH108" s="1" t="s">
        <v>122</v>
      </c>
      <c r="KBI108" s="1" t="s">
        <v>122</v>
      </c>
      <c r="KBJ108" s="1" t="s">
        <v>122</v>
      </c>
      <c r="KBK108" s="1" t="s">
        <v>122</v>
      </c>
      <c r="KBL108" s="1" t="s">
        <v>122</v>
      </c>
      <c r="KBM108" s="1" t="s">
        <v>122</v>
      </c>
      <c r="KBN108" s="1" t="s">
        <v>122</v>
      </c>
      <c r="KBO108" s="1" t="s">
        <v>122</v>
      </c>
      <c r="KBP108" s="1" t="s">
        <v>122</v>
      </c>
      <c r="KBQ108" s="1" t="s">
        <v>122</v>
      </c>
      <c r="KBR108" s="1" t="s">
        <v>122</v>
      </c>
      <c r="KBS108" s="1" t="s">
        <v>122</v>
      </c>
      <c r="KBT108" s="1" t="s">
        <v>122</v>
      </c>
      <c r="KBU108" s="1" t="s">
        <v>122</v>
      </c>
      <c r="KBV108" s="1" t="s">
        <v>122</v>
      </c>
      <c r="KBW108" s="1" t="s">
        <v>122</v>
      </c>
      <c r="KBX108" s="1" t="s">
        <v>122</v>
      </c>
      <c r="KBY108" s="1" t="s">
        <v>122</v>
      </c>
      <c r="KBZ108" s="1" t="s">
        <v>122</v>
      </c>
      <c r="KCA108" s="1" t="s">
        <v>122</v>
      </c>
      <c r="KCB108" s="1" t="s">
        <v>122</v>
      </c>
      <c r="KCC108" s="1" t="s">
        <v>122</v>
      </c>
      <c r="KCD108" s="1" t="s">
        <v>122</v>
      </c>
      <c r="KCE108" s="1" t="s">
        <v>122</v>
      </c>
      <c r="KCF108" s="1" t="s">
        <v>122</v>
      </c>
      <c r="KCG108" s="1" t="s">
        <v>122</v>
      </c>
      <c r="KCH108" s="1" t="s">
        <v>122</v>
      </c>
      <c r="KCI108" s="1" t="s">
        <v>122</v>
      </c>
      <c r="KCJ108" s="1" t="s">
        <v>122</v>
      </c>
      <c r="KCK108" s="1" t="s">
        <v>122</v>
      </c>
      <c r="KCL108" s="1" t="s">
        <v>122</v>
      </c>
      <c r="KCM108" s="1" t="s">
        <v>122</v>
      </c>
      <c r="KCN108" s="1" t="s">
        <v>122</v>
      </c>
      <c r="KCO108" s="1" t="s">
        <v>122</v>
      </c>
      <c r="KCP108" s="1" t="s">
        <v>122</v>
      </c>
      <c r="KCQ108" s="1" t="s">
        <v>122</v>
      </c>
      <c r="KCR108" s="1" t="s">
        <v>122</v>
      </c>
      <c r="KCS108" s="1" t="s">
        <v>122</v>
      </c>
      <c r="KCT108" s="1" t="s">
        <v>122</v>
      </c>
      <c r="KCU108" s="1" t="s">
        <v>122</v>
      </c>
      <c r="KCV108" s="1" t="s">
        <v>122</v>
      </c>
      <c r="KCW108" s="1" t="s">
        <v>122</v>
      </c>
      <c r="KCX108" s="1" t="s">
        <v>122</v>
      </c>
      <c r="KCY108" s="1" t="s">
        <v>122</v>
      </c>
      <c r="KCZ108" s="1" t="s">
        <v>122</v>
      </c>
      <c r="KDA108" s="1" t="s">
        <v>122</v>
      </c>
      <c r="KDB108" s="1" t="s">
        <v>122</v>
      </c>
      <c r="KDC108" s="1" t="s">
        <v>122</v>
      </c>
      <c r="KDD108" s="1" t="s">
        <v>122</v>
      </c>
      <c r="KDE108" s="1" t="s">
        <v>122</v>
      </c>
      <c r="KDF108" s="1" t="s">
        <v>122</v>
      </c>
      <c r="KDG108" s="1" t="s">
        <v>122</v>
      </c>
      <c r="KDH108" s="1" t="s">
        <v>122</v>
      </c>
      <c r="KDI108" s="1" t="s">
        <v>122</v>
      </c>
      <c r="KDJ108" s="1" t="s">
        <v>122</v>
      </c>
      <c r="KDK108" s="1" t="s">
        <v>122</v>
      </c>
      <c r="KDL108" s="1" t="s">
        <v>122</v>
      </c>
      <c r="KDM108" s="1" t="s">
        <v>122</v>
      </c>
      <c r="KDN108" s="1" t="s">
        <v>122</v>
      </c>
      <c r="KDO108" s="1" t="s">
        <v>122</v>
      </c>
      <c r="KDP108" s="1" t="s">
        <v>122</v>
      </c>
      <c r="KDQ108" s="1" t="s">
        <v>122</v>
      </c>
      <c r="KDR108" s="1" t="s">
        <v>122</v>
      </c>
      <c r="KDS108" s="1" t="s">
        <v>122</v>
      </c>
      <c r="KDT108" s="1" t="s">
        <v>122</v>
      </c>
      <c r="KDU108" s="1" t="s">
        <v>122</v>
      </c>
      <c r="KDV108" s="1" t="s">
        <v>122</v>
      </c>
      <c r="KDW108" s="1" t="s">
        <v>122</v>
      </c>
      <c r="KDX108" s="1" t="s">
        <v>122</v>
      </c>
      <c r="KDY108" s="1" t="s">
        <v>122</v>
      </c>
      <c r="KDZ108" s="1" t="s">
        <v>122</v>
      </c>
      <c r="KEA108" s="1" t="s">
        <v>122</v>
      </c>
      <c r="KEB108" s="1" t="s">
        <v>122</v>
      </c>
      <c r="KEC108" s="1" t="s">
        <v>122</v>
      </c>
      <c r="KED108" s="1" t="s">
        <v>122</v>
      </c>
      <c r="KEE108" s="1" t="s">
        <v>122</v>
      </c>
      <c r="KEF108" s="1" t="s">
        <v>122</v>
      </c>
      <c r="KEG108" s="1" t="s">
        <v>122</v>
      </c>
      <c r="KEH108" s="1" t="s">
        <v>122</v>
      </c>
      <c r="KEI108" s="1" t="s">
        <v>122</v>
      </c>
      <c r="KEJ108" s="1" t="s">
        <v>122</v>
      </c>
      <c r="KEK108" s="1" t="s">
        <v>122</v>
      </c>
      <c r="KEL108" s="1" t="s">
        <v>122</v>
      </c>
      <c r="KEM108" s="1" t="s">
        <v>122</v>
      </c>
      <c r="KEN108" s="1" t="s">
        <v>122</v>
      </c>
      <c r="KEO108" s="1" t="s">
        <v>122</v>
      </c>
      <c r="KEP108" s="1" t="s">
        <v>122</v>
      </c>
      <c r="KEQ108" s="1" t="s">
        <v>122</v>
      </c>
      <c r="KER108" s="1" t="s">
        <v>122</v>
      </c>
      <c r="KES108" s="1" t="s">
        <v>122</v>
      </c>
      <c r="KET108" s="1" t="s">
        <v>122</v>
      </c>
      <c r="KEU108" s="1" t="s">
        <v>122</v>
      </c>
      <c r="KEV108" s="1" t="s">
        <v>122</v>
      </c>
      <c r="KEW108" s="1" t="s">
        <v>122</v>
      </c>
      <c r="KEX108" s="1" t="s">
        <v>122</v>
      </c>
      <c r="KEY108" s="1" t="s">
        <v>122</v>
      </c>
      <c r="KEZ108" s="1" t="s">
        <v>122</v>
      </c>
      <c r="KFA108" s="1" t="s">
        <v>122</v>
      </c>
      <c r="KFB108" s="1" t="s">
        <v>122</v>
      </c>
      <c r="KFC108" s="1" t="s">
        <v>122</v>
      </c>
      <c r="KFD108" s="1" t="s">
        <v>122</v>
      </c>
      <c r="KFE108" s="1" t="s">
        <v>122</v>
      </c>
      <c r="KFF108" s="1" t="s">
        <v>122</v>
      </c>
      <c r="KFG108" s="1" t="s">
        <v>122</v>
      </c>
      <c r="KFH108" s="1" t="s">
        <v>122</v>
      </c>
      <c r="KFI108" s="1" t="s">
        <v>122</v>
      </c>
      <c r="KFJ108" s="1" t="s">
        <v>122</v>
      </c>
      <c r="KFK108" s="1" t="s">
        <v>122</v>
      </c>
      <c r="KFL108" s="1" t="s">
        <v>122</v>
      </c>
      <c r="KFM108" s="1" t="s">
        <v>122</v>
      </c>
      <c r="KFN108" s="1" t="s">
        <v>122</v>
      </c>
      <c r="KFO108" s="1" t="s">
        <v>122</v>
      </c>
      <c r="KFP108" s="1" t="s">
        <v>122</v>
      </c>
      <c r="KFQ108" s="1" t="s">
        <v>122</v>
      </c>
      <c r="KFR108" s="1" t="s">
        <v>122</v>
      </c>
      <c r="KFS108" s="1" t="s">
        <v>122</v>
      </c>
      <c r="KFT108" s="1" t="s">
        <v>122</v>
      </c>
      <c r="KFU108" s="1" t="s">
        <v>122</v>
      </c>
      <c r="KFV108" s="1" t="s">
        <v>122</v>
      </c>
      <c r="KFW108" s="1" t="s">
        <v>122</v>
      </c>
      <c r="KFX108" s="1" t="s">
        <v>122</v>
      </c>
      <c r="KFY108" s="1" t="s">
        <v>122</v>
      </c>
      <c r="KFZ108" s="1" t="s">
        <v>122</v>
      </c>
      <c r="KGA108" s="1" t="s">
        <v>122</v>
      </c>
      <c r="KGB108" s="1" t="s">
        <v>122</v>
      </c>
      <c r="KGC108" s="1" t="s">
        <v>122</v>
      </c>
      <c r="KGD108" s="1" t="s">
        <v>122</v>
      </c>
      <c r="KGE108" s="1" t="s">
        <v>122</v>
      </c>
      <c r="KGF108" s="1" t="s">
        <v>122</v>
      </c>
      <c r="KGG108" s="1" t="s">
        <v>122</v>
      </c>
      <c r="KGH108" s="1" t="s">
        <v>122</v>
      </c>
      <c r="KGI108" s="1" t="s">
        <v>122</v>
      </c>
      <c r="KGJ108" s="1" t="s">
        <v>122</v>
      </c>
      <c r="KGK108" s="1" t="s">
        <v>122</v>
      </c>
      <c r="KGL108" s="1" t="s">
        <v>122</v>
      </c>
      <c r="KGM108" s="1" t="s">
        <v>122</v>
      </c>
      <c r="KGN108" s="1" t="s">
        <v>122</v>
      </c>
      <c r="KGO108" s="1" t="s">
        <v>122</v>
      </c>
      <c r="KGP108" s="1" t="s">
        <v>122</v>
      </c>
      <c r="KGQ108" s="1" t="s">
        <v>122</v>
      </c>
      <c r="KGR108" s="1" t="s">
        <v>122</v>
      </c>
      <c r="KGS108" s="1" t="s">
        <v>122</v>
      </c>
      <c r="KGT108" s="1" t="s">
        <v>122</v>
      </c>
      <c r="KGU108" s="1" t="s">
        <v>122</v>
      </c>
      <c r="KGV108" s="1" t="s">
        <v>122</v>
      </c>
      <c r="KGW108" s="1" t="s">
        <v>122</v>
      </c>
      <c r="KGX108" s="1" t="s">
        <v>122</v>
      </c>
      <c r="KGY108" s="1" t="s">
        <v>122</v>
      </c>
      <c r="KGZ108" s="1" t="s">
        <v>122</v>
      </c>
      <c r="KHA108" s="1" t="s">
        <v>122</v>
      </c>
      <c r="KHB108" s="1" t="s">
        <v>122</v>
      </c>
      <c r="KHC108" s="1" t="s">
        <v>122</v>
      </c>
      <c r="KHD108" s="1" t="s">
        <v>122</v>
      </c>
      <c r="KHE108" s="1" t="s">
        <v>122</v>
      </c>
      <c r="KHF108" s="1" t="s">
        <v>122</v>
      </c>
      <c r="KHG108" s="1" t="s">
        <v>122</v>
      </c>
      <c r="KHH108" s="1" t="s">
        <v>122</v>
      </c>
      <c r="KHI108" s="1" t="s">
        <v>122</v>
      </c>
      <c r="KHJ108" s="1" t="s">
        <v>122</v>
      </c>
      <c r="KHK108" s="1" t="s">
        <v>122</v>
      </c>
      <c r="KHL108" s="1" t="s">
        <v>122</v>
      </c>
      <c r="KHM108" s="1" t="s">
        <v>122</v>
      </c>
      <c r="KHN108" s="1" t="s">
        <v>122</v>
      </c>
      <c r="KHO108" s="1" t="s">
        <v>122</v>
      </c>
      <c r="KHP108" s="1" t="s">
        <v>122</v>
      </c>
      <c r="KHQ108" s="1" t="s">
        <v>122</v>
      </c>
      <c r="KHR108" s="1" t="s">
        <v>122</v>
      </c>
      <c r="KHS108" s="1" t="s">
        <v>122</v>
      </c>
      <c r="KHT108" s="1" t="s">
        <v>122</v>
      </c>
      <c r="KHU108" s="1" t="s">
        <v>122</v>
      </c>
      <c r="KHV108" s="1" t="s">
        <v>122</v>
      </c>
      <c r="KHW108" s="1" t="s">
        <v>122</v>
      </c>
      <c r="KHX108" s="1" t="s">
        <v>122</v>
      </c>
      <c r="KHY108" s="1" t="s">
        <v>122</v>
      </c>
      <c r="KHZ108" s="1" t="s">
        <v>122</v>
      </c>
      <c r="KIA108" s="1" t="s">
        <v>122</v>
      </c>
      <c r="KIB108" s="1" t="s">
        <v>122</v>
      </c>
      <c r="KIC108" s="1" t="s">
        <v>122</v>
      </c>
      <c r="KID108" s="1" t="s">
        <v>122</v>
      </c>
      <c r="KIE108" s="1" t="s">
        <v>122</v>
      </c>
      <c r="KIF108" s="1" t="s">
        <v>122</v>
      </c>
      <c r="KIG108" s="1" t="s">
        <v>122</v>
      </c>
      <c r="KIH108" s="1" t="s">
        <v>122</v>
      </c>
      <c r="KII108" s="1" t="s">
        <v>122</v>
      </c>
      <c r="KIJ108" s="1" t="s">
        <v>122</v>
      </c>
      <c r="KIK108" s="1" t="s">
        <v>122</v>
      </c>
      <c r="KIL108" s="1" t="s">
        <v>122</v>
      </c>
      <c r="KIM108" s="1" t="s">
        <v>122</v>
      </c>
      <c r="KIN108" s="1" t="s">
        <v>122</v>
      </c>
      <c r="KIO108" s="1" t="s">
        <v>122</v>
      </c>
      <c r="KIP108" s="1" t="s">
        <v>122</v>
      </c>
      <c r="KIQ108" s="1" t="s">
        <v>122</v>
      </c>
      <c r="KIR108" s="1" t="s">
        <v>122</v>
      </c>
      <c r="KIS108" s="1" t="s">
        <v>122</v>
      </c>
      <c r="KIT108" s="1" t="s">
        <v>122</v>
      </c>
      <c r="KIU108" s="1" t="s">
        <v>122</v>
      </c>
      <c r="KIV108" s="1" t="s">
        <v>122</v>
      </c>
      <c r="KIW108" s="1" t="s">
        <v>122</v>
      </c>
      <c r="KIX108" s="1" t="s">
        <v>122</v>
      </c>
      <c r="KIY108" s="1" t="s">
        <v>122</v>
      </c>
      <c r="KIZ108" s="1" t="s">
        <v>122</v>
      </c>
      <c r="KJA108" s="1" t="s">
        <v>122</v>
      </c>
      <c r="KJB108" s="1" t="s">
        <v>122</v>
      </c>
      <c r="KJC108" s="1" t="s">
        <v>122</v>
      </c>
      <c r="KJD108" s="1" t="s">
        <v>122</v>
      </c>
      <c r="KJE108" s="1" t="s">
        <v>122</v>
      </c>
      <c r="KJF108" s="1" t="s">
        <v>122</v>
      </c>
      <c r="KJG108" s="1" t="s">
        <v>122</v>
      </c>
      <c r="KJH108" s="1" t="s">
        <v>122</v>
      </c>
      <c r="KJI108" s="1" t="s">
        <v>122</v>
      </c>
      <c r="KJJ108" s="1" t="s">
        <v>122</v>
      </c>
      <c r="KJK108" s="1" t="s">
        <v>122</v>
      </c>
      <c r="KJL108" s="1" t="s">
        <v>122</v>
      </c>
      <c r="KJM108" s="1" t="s">
        <v>122</v>
      </c>
      <c r="KJN108" s="1" t="s">
        <v>122</v>
      </c>
      <c r="KJO108" s="1" t="s">
        <v>122</v>
      </c>
      <c r="KJP108" s="1" t="s">
        <v>122</v>
      </c>
      <c r="KJQ108" s="1" t="s">
        <v>122</v>
      </c>
      <c r="KJR108" s="1" t="s">
        <v>122</v>
      </c>
      <c r="KJS108" s="1" t="s">
        <v>122</v>
      </c>
      <c r="KJT108" s="1" t="s">
        <v>122</v>
      </c>
      <c r="KJU108" s="1" t="s">
        <v>122</v>
      </c>
      <c r="KJV108" s="1" t="s">
        <v>122</v>
      </c>
      <c r="KJW108" s="1" t="s">
        <v>122</v>
      </c>
      <c r="KJX108" s="1" t="s">
        <v>122</v>
      </c>
      <c r="KJY108" s="1" t="s">
        <v>122</v>
      </c>
      <c r="KJZ108" s="1" t="s">
        <v>122</v>
      </c>
      <c r="KKA108" s="1" t="s">
        <v>122</v>
      </c>
      <c r="KKB108" s="1" t="s">
        <v>122</v>
      </c>
      <c r="KKC108" s="1" t="s">
        <v>122</v>
      </c>
      <c r="KKD108" s="1" t="s">
        <v>122</v>
      </c>
      <c r="KKE108" s="1" t="s">
        <v>122</v>
      </c>
      <c r="KKF108" s="1" t="s">
        <v>122</v>
      </c>
      <c r="KKG108" s="1" t="s">
        <v>122</v>
      </c>
      <c r="KKH108" s="1" t="s">
        <v>122</v>
      </c>
      <c r="KKI108" s="1" t="s">
        <v>122</v>
      </c>
      <c r="KKJ108" s="1" t="s">
        <v>122</v>
      </c>
      <c r="KKK108" s="1" t="s">
        <v>122</v>
      </c>
      <c r="KKL108" s="1" t="s">
        <v>122</v>
      </c>
      <c r="KKM108" s="1" t="s">
        <v>122</v>
      </c>
      <c r="KKN108" s="1" t="s">
        <v>122</v>
      </c>
      <c r="KKO108" s="1" t="s">
        <v>122</v>
      </c>
      <c r="KKP108" s="1" t="s">
        <v>122</v>
      </c>
      <c r="KKQ108" s="1" t="s">
        <v>122</v>
      </c>
      <c r="KKR108" s="1" t="s">
        <v>122</v>
      </c>
      <c r="KKS108" s="1" t="s">
        <v>122</v>
      </c>
      <c r="KKT108" s="1" t="s">
        <v>122</v>
      </c>
      <c r="KKU108" s="1" t="s">
        <v>122</v>
      </c>
      <c r="KKV108" s="1" t="s">
        <v>122</v>
      </c>
      <c r="KKW108" s="1" t="s">
        <v>122</v>
      </c>
      <c r="KKX108" s="1" t="s">
        <v>122</v>
      </c>
      <c r="KKY108" s="1" t="s">
        <v>122</v>
      </c>
      <c r="KKZ108" s="1" t="s">
        <v>122</v>
      </c>
      <c r="KLA108" s="1" t="s">
        <v>122</v>
      </c>
      <c r="KLB108" s="1" t="s">
        <v>122</v>
      </c>
      <c r="KLC108" s="1" t="s">
        <v>122</v>
      </c>
      <c r="KLD108" s="1" t="s">
        <v>122</v>
      </c>
      <c r="KLE108" s="1" t="s">
        <v>122</v>
      </c>
      <c r="KLF108" s="1" t="s">
        <v>122</v>
      </c>
      <c r="KLG108" s="1" t="s">
        <v>122</v>
      </c>
      <c r="KLH108" s="1" t="s">
        <v>122</v>
      </c>
      <c r="KLI108" s="1" t="s">
        <v>122</v>
      </c>
      <c r="KLJ108" s="1" t="s">
        <v>122</v>
      </c>
      <c r="KLK108" s="1" t="s">
        <v>122</v>
      </c>
      <c r="KLL108" s="1" t="s">
        <v>122</v>
      </c>
      <c r="KLM108" s="1" t="s">
        <v>122</v>
      </c>
      <c r="KLN108" s="1" t="s">
        <v>122</v>
      </c>
      <c r="KLO108" s="1" t="s">
        <v>122</v>
      </c>
      <c r="KLP108" s="1" t="s">
        <v>122</v>
      </c>
      <c r="KLQ108" s="1" t="s">
        <v>122</v>
      </c>
      <c r="KLR108" s="1" t="s">
        <v>122</v>
      </c>
      <c r="KLS108" s="1" t="s">
        <v>122</v>
      </c>
      <c r="KLT108" s="1" t="s">
        <v>122</v>
      </c>
      <c r="KLU108" s="1" t="s">
        <v>122</v>
      </c>
      <c r="KLV108" s="1" t="s">
        <v>122</v>
      </c>
      <c r="KLW108" s="1" t="s">
        <v>122</v>
      </c>
      <c r="KLX108" s="1" t="s">
        <v>122</v>
      </c>
      <c r="KLY108" s="1" t="s">
        <v>122</v>
      </c>
      <c r="KLZ108" s="1" t="s">
        <v>122</v>
      </c>
      <c r="KMA108" s="1" t="s">
        <v>122</v>
      </c>
      <c r="KMB108" s="1" t="s">
        <v>122</v>
      </c>
      <c r="KMC108" s="1" t="s">
        <v>122</v>
      </c>
      <c r="KMD108" s="1" t="s">
        <v>122</v>
      </c>
      <c r="KME108" s="1" t="s">
        <v>122</v>
      </c>
      <c r="KMF108" s="1" t="s">
        <v>122</v>
      </c>
      <c r="KMG108" s="1" t="s">
        <v>122</v>
      </c>
      <c r="KMH108" s="1" t="s">
        <v>122</v>
      </c>
      <c r="KMI108" s="1" t="s">
        <v>122</v>
      </c>
      <c r="KMJ108" s="1" t="s">
        <v>122</v>
      </c>
      <c r="KMK108" s="1" t="s">
        <v>122</v>
      </c>
      <c r="KML108" s="1" t="s">
        <v>122</v>
      </c>
      <c r="KMM108" s="1" t="s">
        <v>122</v>
      </c>
      <c r="KMN108" s="1" t="s">
        <v>122</v>
      </c>
      <c r="KMO108" s="1" t="s">
        <v>122</v>
      </c>
      <c r="KMP108" s="1" t="s">
        <v>122</v>
      </c>
      <c r="KMQ108" s="1" t="s">
        <v>122</v>
      </c>
      <c r="KMR108" s="1" t="s">
        <v>122</v>
      </c>
      <c r="KMS108" s="1" t="s">
        <v>122</v>
      </c>
      <c r="KMT108" s="1" t="s">
        <v>122</v>
      </c>
      <c r="KMU108" s="1" t="s">
        <v>122</v>
      </c>
      <c r="KMV108" s="1" t="s">
        <v>122</v>
      </c>
      <c r="KMW108" s="1" t="s">
        <v>122</v>
      </c>
      <c r="KMX108" s="1" t="s">
        <v>122</v>
      </c>
      <c r="KMY108" s="1" t="s">
        <v>122</v>
      </c>
      <c r="KMZ108" s="1" t="s">
        <v>122</v>
      </c>
      <c r="KNA108" s="1" t="s">
        <v>122</v>
      </c>
      <c r="KNB108" s="1" t="s">
        <v>122</v>
      </c>
      <c r="KNC108" s="1" t="s">
        <v>122</v>
      </c>
      <c r="KND108" s="1" t="s">
        <v>122</v>
      </c>
      <c r="KNE108" s="1" t="s">
        <v>122</v>
      </c>
      <c r="KNF108" s="1" t="s">
        <v>122</v>
      </c>
      <c r="KNG108" s="1" t="s">
        <v>122</v>
      </c>
      <c r="KNH108" s="1" t="s">
        <v>122</v>
      </c>
      <c r="KNI108" s="1" t="s">
        <v>122</v>
      </c>
      <c r="KNJ108" s="1" t="s">
        <v>122</v>
      </c>
      <c r="KNK108" s="1" t="s">
        <v>122</v>
      </c>
      <c r="KNL108" s="1" t="s">
        <v>122</v>
      </c>
      <c r="KNM108" s="1" t="s">
        <v>122</v>
      </c>
      <c r="KNN108" s="1" t="s">
        <v>122</v>
      </c>
      <c r="KNO108" s="1" t="s">
        <v>122</v>
      </c>
      <c r="KNP108" s="1" t="s">
        <v>122</v>
      </c>
      <c r="KNQ108" s="1" t="s">
        <v>122</v>
      </c>
      <c r="KNR108" s="1" t="s">
        <v>122</v>
      </c>
      <c r="KNS108" s="1" t="s">
        <v>122</v>
      </c>
      <c r="KNT108" s="1" t="s">
        <v>122</v>
      </c>
      <c r="KNU108" s="1" t="s">
        <v>122</v>
      </c>
      <c r="KNV108" s="1" t="s">
        <v>122</v>
      </c>
      <c r="KNW108" s="1" t="s">
        <v>122</v>
      </c>
      <c r="KNX108" s="1" t="s">
        <v>122</v>
      </c>
      <c r="KNY108" s="1" t="s">
        <v>122</v>
      </c>
      <c r="KNZ108" s="1" t="s">
        <v>122</v>
      </c>
      <c r="KOA108" s="1" t="s">
        <v>122</v>
      </c>
      <c r="KOB108" s="1" t="s">
        <v>122</v>
      </c>
      <c r="KOC108" s="1" t="s">
        <v>122</v>
      </c>
      <c r="KOD108" s="1" t="s">
        <v>122</v>
      </c>
      <c r="KOE108" s="1" t="s">
        <v>122</v>
      </c>
      <c r="KOF108" s="1" t="s">
        <v>122</v>
      </c>
      <c r="KOG108" s="1" t="s">
        <v>122</v>
      </c>
      <c r="KOH108" s="1" t="s">
        <v>122</v>
      </c>
      <c r="KOI108" s="1" t="s">
        <v>122</v>
      </c>
      <c r="KOJ108" s="1" t="s">
        <v>122</v>
      </c>
      <c r="KOK108" s="1" t="s">
        <v>122</v>
      </c>
      <c r="KOL108" s="1" t="s">
        <v>122</v>
      </c>
      <c r="KOM108" s="1" t="s">
        <v>122</v>
      </c>
      <c r="KON108" s="1" t="s">
        <v>122</v>
      </c>
      <c r="KOO108" s="1" t="s">
        <v>122</v>
      </c>
      <c r="KOP108" s="1" t="s">
        <v>122</v>
      </c>
      <c r="KOQ108" s="1" t="s">
        <v>122</v>
      </c>
      <c r="KOR108" s="1" t="s">
        <v>122</v>
      </c>
      <c r="KOS108" s="1" t="s">
        <v>122</v>
      </c>
      <c r="KOT108" s="1" t="s">
        <v>122</v>
      </c>
      <c r="KOU108" s="1" t="s">
        <v>122</v>
      </c>
      <c r="KOV108" s="1" t="s">
        <v>122</v>
      </c>
      <c r="KOW108" s="1" t="s">
        <v>122</v>
      </c>
      <c r="KOX108" s="1" t="s">
        <v>122</v>
      </c>
      <c r="KOY108" s="1" t="s">
        <v>122</v>
      </c>
      <c r="KOZ108" s="1" t="s">
        <v>122</v>
      </c>
      <c r="KPA108" s="1" t="s">
        <v>122</v>
      </c>
      <c r="KPB108" s="1" t="s">
        <v>122</v>
      </c>
      <c r="KPC108" s="1" t="s">
        <v>122</v>
      </c>
      <c r="KPD108" s="1" t="s">
        <v>122</v>
      </c>
      <c r="KPE108" s="1" t="s">
        <v>122</v>
      </c>
      <c r="KPF108" s="1" t="s">
        <v>122</v>
      </c>
      <c r="KPG108" s="1" t="s">
        <v>122</v>
      </c>
      <c r="KPH108" s="1" t="s">
        <v>122</v>
      </c>
      <c r="KPI108" s="1" t="s">
        <v>122</v>
      </c>
      <c r="KPJ108" s="1" t="s">
        <v>122</v>
      </c>
      <c r="KPK108" s="1" t="s">
        <v>122</v>
      </c>
      <c r="KPL108" s="1" t="s">
        <v>122</v>
      </c>
      <c r="KPM108" s="1" t="s">
        <v>122</v>
      </c>
      <c r="KPN108" s="1" t="s">
        <v>122</v>
      </c>
      <c r="KPO108" s="1" t="s">
        <v>122</v>
      </c>
      <c r="KPP108" s="1" t="s">
        <v>122</v>
      </c>
      <c r="KPQ108" s="1" t="s">
        <v>122</v>
      </c>
      <c r="KPR108" s="1" t="s">
        <v>122</v>
      </c>
      <c r="KPS108" s="1" t="s">
        <v>122</v>
      </c>
      <c r="KPT108" s="1" t="s">
        <v>122</v>
      </c>
      <c r="KPU108" s="1" t="s">
        <v>122</v>
      </c>
      <c r="KPV108" s="1" t="s">
        <v>122</v>
      </c>
      <c r="KPW108" s="1" t="s">
        <v>122</v>
      </c>
      <c r="KPX108" s="1" t="s">
        <v>122</v>
      </c>
      <c r="KPY108" s="1" t="s">
        <v>122</v>
      </c>
      <c r="KPZ108" s="1" t="s">
        <v>122</v>
      </c>
      <c r="KQA108" s="1" t="s">
        <v>122</v>
      </c>
      <c r="KQB108" s="1" t="s">
        <v>122</v>
      </c>
      <c r="KQC108" s="1" t="s">
        <v>122</v>
      </c>
      <c r="KQD108" s="1" t="s">
        <v>122</v>
      </c>
      <c r="KQE108" s="1" t="s">
        <v>122</v>
      </c>
      <c r="KQF108" s="1" t="s">
        <v>122</v>
      </c>
      <c r="KQG108" s="1" t="s">
        <v>122</v>
      </c>
      <c r="KQH108" s="1" t="s">
        <v>122</v>
      </c>
      <c r="KQI108" s="1" t="s">
        <v>122</v>
      </c>
      <c r="KQJ108" s="1" t="s">
        <v>122</v>
      </c>
      <c r="KQK108" s="1" t="s">
        <v>122</v>
      </c>
      <c r="KQL108" s="1" t="s">
        <v>122</v>
      </c>
      <c r="KQM108" s="1" t="s">
        <v>122</v>
      </c>
      <c r="KQN108" s="1" t="s">
        <v>122</v>
      </c>
      <c r="KQO108" s="1" t="s">
        <v>122</v>
      </c>
      <c r="KQP108" s="1" t="s">
        <v>122</v>
      </c>
      <c r="KQQ108" s="1" t="s">
        <v>122</v>
      </c>
      <c r="KQR108" s="1" t="s">
        <v>122</v>
      </c>
      <c r="KQS108" s="1" t="s">
        <v>122</v>
      </c>
      <c r="KQT108" s="1" t="s">
        <v>122</v>
      </c>
      <c r="KQU108" s="1" t="s">
        <v>122</v>
      </c>
      <c r="KQV108" s="1" t="s">
        <v>122</v>
      </c>
      <c r="KQW108" s="1" t="s">
        <v>122</v>
      </c>
      <c r="KQX108" s="1" t="s">
        <v>122</v>
      </c>
      <c r="KQY108" s="1" t="s">
        <v>122</v>
      </c>
      <c r="KQZ108" s="1" t="s">
        <v>122</v>
      </c>
      <c r="KRA108" s="1" t="s">
        <v>122</v>
      </c>
      <c r="KRB108" s="1" t="s">
        <v>122</v>
      </c>
      <c r="KRC108" s="1" t="s">
        <v>122</v>
      </c>
      <c r="KRD108" s="1" t="s">
        <v>122</v>
      </c>
      <c r="KRE108" s="1" t="s">
        <v>122</v>
      </c>
      <c r="KRF108" s="1" t="s">
        <v>122</v>
      </c>
      <c r="KRG108" s="1" t="s">
        <v>122</v>
      </c>
      <c r="KRH108" s="1" t="s">
        <v>122</v>
      </c>
      <c r="KRI108" s="1" t="s">
        <v>122</v>
      </c>
      <c r="KRJ108" s="1" t="s">
        <v>122</v>
      </c>
      <c r="KRK108" s="1" t="s">
        <v>122</v>
      </c>
      <c r="KRL108" s="1" t="s">
        <v>122</v>
      </c>
      <c r="KRM108" s="1" t="s">
        <v>122</v>
      </c>
      <c r="KRN108" s="1" t="s">
        <v>122</v>
      </c>
      <c r="KRO108" s="1" t="s">
        <v>122</v>
      </c>
      <c r="KRP108" s="1" t="s">
        <v>122</v>
      </c>
      <c r="KRQ108" s="1" t="s">
        <v>122</v>
      </c>
      <c r="KRR108" s="1" t="s">
        <v>122</v>
      </c>
      <c r="KRS108" s="1" t="s">
        <v>122</v>
      </c>
      <c r="KRT108" s="1" t="s">
        <v>122</v>
      </c>
      <c r="KRU108" s="1" t="s">
        <v>122</v>
      </c>
      <c r="KRV108" s="1" t="s">
        <v>122</v>
      </c>
      <c r="KRW108" s="1" t="s">
        <v>122</v>
      </c>
      <c r="KRX108" s="1" t="s">
        <v>122</v>
      </c>
      <c r="KRY108" s="1" t="s">
        <v>122</v>
      </c>
      <c r="KRZ108" s="1" t="s">
        <v>122</v>
      </c>
      <c r="KSA108" s="1" t="s">
        <v>122</v>
      </c>
      <c r="KSB108" s="1" t="s">
        <v>122</v>
      </c>
      <c r="KSC108" s="1" t="s">
        <v>122</v>
      </c>
      <c r="KSD108" s="1" t="s">
        <v>122</v>
      </c>
      <c r="KSE108" s="1" t="s">
        <v>122</v>
      </c>
      <c r="KSF108" s="1" t="s">
        <v>122</v>
      </c>
      <c r="KSG108" s="1" t="s">
        <v>122</v>
      </c>
      <c r="KSH108" s="1" t="s">
        <v>122</v>
      </c>
      <c r="KSI108" s="1" t="s">
        <v>122</v>
      </c>
      <c r="KSJ108" s="1" t="s">
        <v>122</v>
      </c>
      <c r="KSK108" s="1" t="s">
        <v>122</v>
      </c>
      <c r="KSL108" s="1" t="s">
        <v>122</v>
      </c>
      <c r="KSM108" s="1" t="s">
        <v>122</v>
      </c>
      <c r="KSN108" s="1" t="s">
        <v>122</v>
      </c>
      <c r="KSO108" s="1" t="s">
        <v>122</v>
      </c>
      <c r="KSP108" s="1" t="s">
        <v>122</v>
      </c>
      <c r="KSQ108" s="1" t="s">
        <v>122</v>
      </c>
      <c r="KSR108" s="1" t="s">
        <v>122</v>
      </c>
      <c r="KSS108" s="1" t="s">
        <v>122</v>
      </c>
      <c r="KST108" s="1" t="s">
        <v>122</v>
      </c>
      <c r="KSU108" s="1" t="s">
        <v>122</v>
      </c>
      <c r="KSV108" s="1" t="s">
        <v>122</v>
      </c>
      <c r="KSW108" s="1" t="s">
        <v>122</v>
      </c>
      <c r="KSX108" s="1" t="s">
        <v>122</v>
      </c>
      <c r="KSY108" s="1" t="s">
        <v>122</v>
      </c>
      <c r="KSZ108" s="1" t="s">
        <v>122</v>
      </c>
      <c r="KTA108" s="1" t="s">
        <v>122</v>
      </c>
      <c r="KTB108" s="1" t="s">
        <v>122</v>
      </c>
      <c r="KTC108" s="1" t="s">
        <v>122</v>
      </c>
      <c r="KTD108" s="1" t="s">
        <v>122</v>
      </c>
      <c r="KTE108" s="1" t="s">
        <v>122</v>
      </c>
      <c r="KTF108" s="1" t="s">
        <v>122</v>
      </c>
      <c r="KTG108" s="1" t="s">
        <v>122</v>
      </c>
      <c r="KTH108" s="1" t="s">
        <v>122</v>
      </c>
      <c r="KTI108" s="1" t="s">
        <v>122</v>
      </c>
      <c r="KTJ108" s="1" t="s">
        <v>122</v>
      </c>
      <c r="KTK108" s="1" t="s">
        <v>122</v>
      </c>
      <c r="KTL108" s="1" t="s">
        <v>122</v>
      </c>
      <c r="KTM108" s="1" t="s">
        <v>122</v>
      </c>
      <c r="KTN108" s="1" t="s">
        <v>122</v>
      </c>
      <c r="KTO108" s="1" t="s">
        <v>122</v>
      </c>
      <c r="KTP108" s="1" t="s">
        <v>122</v>
      </c>
      <c r="KTQ108" s="1" t="s">
        <v>122</v>
      </c>
      <c r="KTR108" s="1" t="s">
        <v>122</v>
      </c>
      <c r="KTS108" s="1" t="s">
        <v>122</v>
      </c>
      <c r="KTT108" s="1" t="s">
        <v>122</v>
      </c>
      <c r="KTU108" s="1" t="s">
        <v>122</v>
      </c>
      <c r="KTV108" s="1" t="s">
        <v>122</v>
      </c>
      <c r="KTW108" s="1" t="s">
        <v>122</v>
      </c>
      <c r="KTX108" s="1" t="s">
        <v>122</v>
      </c>
      <c r="KTY108" s="1" t="s">
        <v>122</v>
      </c>
      <c r="KTZ108" s="1" t="s">
        <v>122</v>
      </c>
      <c r="KUA108" s="1" t="s">
        <v>122</v>
      </c>
      <c r="KUB108" s="1" t="s">
        <v>122</v>
      </c>
      <c r="KUC108" s="1" t="s">
        <v>122</v>
      </c>
      <c r="KUD108" s="1" t="s">
        <v>122</v>
      </c>
      <c r="KUE108" s="1" t="s">
        <v>122</v>
      </c>
      <c r="KUF108" s="1" t="s">
        <v>122</v>
      </c>
      <c r="KUG108" s="1" t="s">
        <v>122</v>
      </c>
      <c r="KUH108" s="1" t="s">
        <v>122</v>
      </c>
      <c r="KUI108" s="1" t="s">
        <v>122</v>
      </c>
      <c r="KUJ108" s="1" t="s">
        <v>122</v>
      </c>
      <c r="KUK108" s="1" t="s">
        <v>122</v>
      </c>
      <c r="KUL108" s="1" t="s">
        <v>122</v>
      </c>
      <c r="KUM108" s="1" t="s">
        <v>122</v>
      </c>
      <c r="KUN108" s="1" t="s">
        <v>122</v>
      </c>
      <c r="KUO108" s="1" t="s">
        <v>122</v>
      </c>
      <c r="KUP108" s="1" t="s">
        <v>122</v>
      </c>
      <c r="KUQ108" s="1" t="s">
        <v>122</v>
      </c>
      <c r="KUR108" s="1" t="s">
        <v>122</v>
      </c>
      <c r="KUS108" s="1" t="s">
        <v>122</v>
      </c>
      <c r="KUT108" s="1" t="s">
        <v>122</v>
      </c>
      <c r="KUU108" s="1" t="s">
        <v>122</v>
      </c>
      <c r="KUV108" s="1" t="s">
        <v>122</v>
      </c>
      <c r="KUW108" s="1" t="s">
        <v>122</v>
      </c>
      <c r="KUX108" s="1" t="s">
        <v>122</v>
      </c>
      <c r="KUY108" s="1" t="s">
        <v>122</v>
      </c>
      <c r="KUZ108" s="1" t="s">
        <v>122</v>
      </c>
      <c r="KVA108" s="1" t="s">
        <v>122</v>
      </c>
      <c r="KVB108" s="1" t="s">
        <v>122</v>
      </c>
      <c r="KVC108" s="1" t="s">
        <v>122</v>
      </c>
      <c r="KVD108" s="1" t="s">
        <v>122</v>
      </c>
      <c r="KVE108" s="1" t="s">
        <v>122</v>
      </c>
      <c r="KVF108" s="1" t="s">
        <v>122</v>
      </c>
      <c r="KVG108" s="1" t="s">
        <v>122</v>
      </c>
      <c r="KVH108" s="1" t="s">
        <v>122</v>
      </c>
      <c r="KVI108" s="1" t="s">
        <v>122</v>
      </c>
      <c r="KVJ108" s="1" t="s">
        <v>122</v>
      </c>
      <c r="KVK108" s="1" t="s">
        <v>122</v>
      </c>
      <c r="KVL108" s="1" t="s">
        <v>122</v>
      </c>
      <c r="KVM108" s="1" t="s">
        <v>122</v>
      </c>
      <c r="KVN108" s="1" t="s">
        <v>122</v>
      </c>
      <c r="KVO108" s="1" t="s">
        <v>122</v>
      </c>
      <c r="KVP108" s="1" t="s">
        <v>122</v>
      </c>
      <c r="KVQ108" s="1" t="s">
        <v>122</v>
      </c>
      <c r="KVR108" s="1" t="s">
        <v>122</v>
      </c>
      <c r="KVS108" s="1" t="s">
        <v>122</v>
      </c>
      <c r="KVT108" s="1" t="s">
        <v>122</v>
      </c>
      <c r="KVU108" s="1" t="s">
        <v>122</v>
      </c>
      <c r="KVV108" s="1" t="s">
        <v>122</v>
      </c>
      <c r="KVW108" s="1" t="s">
        <v>122</v>
      </c>
      <c r="KVX108" s="1" t="s">
        <v>122</v>
      </c>
      <c r="KVY108" s="1" t="s">
        <v>122</v>
      </c>
      <c r="KVZ108" s="1" t="s">
        <v>122</v>
      </c>
      <c r="KWA108" s="1" t="s">
        <v>122</v>
      </c>
      <c r="KWB108" s="1" t="s">
        <v>122</v>
      </c>
      <c r="KWC108" s="1" t="s">
        <v>122</v>
      </c>
      <c r="KWD108" s="1" t="s">
        <v>122</v>
      </c>
      <c r="KWE108" s="1" t="s">
        <v>122</v>
      </c>
      <c r="KWF108" s="1" t="s">
        <v>122</v>
      </c>
      <c r="KWG108" s="1" t="s">
        <v>122</v>
      </c>
      <c r="KWH108" s="1" t="s">
        <v>122</v>
      </c>
      <c r="KWI108" s="1" t="s">
        <v>122</v>
      </c>
      <c r="KWJ108" s="1" t="s">
        <v>122</v>
      </c>
      <c r="KWK108" s="1" t="s">
        <v>122</v>
      </c>
      <c r="KWL108" s="1" t="s">
        <v>122</v>
      </c>
      <c r="KWM108" s="1" t="s">
        <v>122</v>
      </c>
      <c r="KWN108" s="1" t="s">
        <v>122</v>
      </c>
      <c r="KWO108" s="1" t="s">
        <v>122</v>
      </c>
      <c r="KWP108" s="1" t="s">
        <v>122</v>
      </c>
      <c r="KWQ108" s="1" t="s">
        <v>122</v>
      </c>
      <c r="KWR108" s="1" t="s">
        <v>122</v>
      </c>
      <c r="KWS108" s="1" t="s">
        <v>122</v>
      </c>
      <c r="KWT108" s="1" t="s">
        <v>122</v>
      </c>
      <c r="KWU108" s="1" t="s">
        <v>122</v>
      </c>
      <c r="KWV108" s="1" t="s">
        <v>122</v>
      </c>
      <c r="KWW108" s="1" t="s">
        <v>122</v>
      </c>
      <c r="KWX108" s="1" t="s">
        <v>122</v>
      </c>
      <c r="KWY108" s="1" t="s">
        <v>122</v>
      </c>
      <c r="KWZ108" s="1" t="s">
        <v>122</v>
      </c>
      <c r="KXA108" s="1" t="s">
        <v>122</v>
      </c>
      <c r="KXB108" s="1" t="s">
        <v>122</v>
      </c>
      <c r="KXC108" s="1" t="s">
        <v>122</v>
      </c>
      <c r="KXD108" s="1" t="s">
        <v>122</v>
      </c>
      <c r="KXE108" s="1" t="s">
        <v>122</v>
      </c>
      <c r="KXF108" s="1" t="s">
        <v>122</v>
      </c>
      <c r="KXG108" s="1" t="s">
        <v>122</v>
      </c>
      <c r="KXH108" s="1" t="s">
        <v>122</v>
      </c>
      <c r="KXI108" s="1" t="s">
        <v>122</v>
      </c>
      <c r="KXJ108" s="1" t="s">
        <v>122</v>
      </c>
      <c r="KXK108" s="1" t="s">
        <v>122</v>
      </c>
      <c r="KXL108" s="1" t="s">
        <v>122</v>
      </c>
      <c r="KXM108" s="1" t="s">
        <v>122</v>
      </c>
      <c r="KXN108" s="1" t="s">
        <v>122</v>
      </c>
      <c r="KXO108" s="1" t="s">
        <v>122</v>
      </c>
      <c r="KXP108" s="1" t="s">
        <v>122</v>
      </c>
      <c r="KXQ108" s="1" t="s">
        <v>122</v>
      </c>
      <c r="KXR108" s="1" t="s">
        <v>122</v>
      </c>
      <c r="KXS108" s="1" t="s">
        <v>122</v>
      </c>
      <c r="KXT108" s="1" t="s">
        <v>122</v>
      </c>
      <c r="KXU108" s="1" t="s">
        <v>122</v>
      </c>
      <c r="KXV108" s="1" t="s">
        <v>122</v>
      </c>
      <c r="KXW108" s="1" t="s">
        <v>122</v>
      </c>
      <c r="KXX108" s="1" t="s">
        <v>122</v>
      </c>
      <c r="KXY108" s="1" t="s">
        <v>122</v>
      </c>
      <c r="KXZ108" s="1" t="s">
        <v>122</v>
      </c>
      <c r="KYA108" s="1" t="s">
        <v>122</v>
      </c>
      <c r="KYB108" s="1" t="s">
        <v>122</v>
      </c>
      <c r="KYC108" s="1" t="s">
        <v>122</v>
      </c>
      <c r="KYD108" s="1" t="s">
        <v>122</v>
      </c>
      <c r="KYE108" s="1" t="s">
        <v>122</v>
      </c>
      <c r="KYF108" s="1" t="s">
        <v>122</v>
      </c>
      <c r="KYG108" s="1" t="s">
        <v>122</v>
      </c>
      <c r="KYH108" s="1" t="s">
        <v>122</v>
      </c>
      <c r="KYI108" s="1" t="s">
        <v>122</v>
      </c>
      <c r="KYJ108" s="1" t="s">
        <v>122</v>
      </c>
      <c r="KYK108" s="1" t="s">
        <v>122</v>
      </c>
      <c r="KYL108" s="1" t="s">
        <v>122</v>
      </c>
      <c r="KYM108" s="1" t="s">
        <v>122</v>
      </c>
      <c r="KYN108" s="1" t="s">
        <v>122</v>
      </c>
      <c r="KYO108" s="1" t="s">
        <v>122</v>
      </c>
      <c r="KYP108" s="1" t="s">
        <v>122</v>
      </c>
      <c r="KYQ108" s="1" t="s">
        <v>122</v>
      </c>
      <c r="KYR108" s="1" t="s">
        <v>122</v>
      </c>
      <c r="KYS108" s="1" t="s">
        <v>122</v>
      </c>
      <c r="KYT108" s="1" t="s">
        <v>122</v>
      </c>
      <c r="KYU108" s="1" t="s">
        <v>122</v>
      </c>
      <c r="KYV108" s="1" t="s">
        <v>122</v>
      </c>
      <c r="KYW108" s="1" t="s">
        <v>122</v>
      </c>
      <c r="KYX108" s="1" t="s">
        <v>122</v>
      </c>
      <c r="KYY108" s="1" t="s">
        <v>122</v>
      </c>
      <c r="KYZ108" s="1" t="s">
        <v>122</v>
      </c>
      <c r="KZA108" s="1" t="s">
        <v>122</v>
      </c>
      <c r="KZB108" s="1" t="s">
        <v>122</v>
      </c>
      <c r="KZC108" s="1" t="s">
        <v>122</v>
      </c>
      <c r="KZD108" s="1" t="s">
        <v>122</v>
      </c>
      <c r="KZE108" s="1" t="s">
        <v>122</v>
      </c>
      <c r="KZF108" s="1" t="s">
        <v>122</v>
      </c>
      <c r="KZG108" s="1" t="s">
        <v>122</v>
      </c>
      <c r="KZH108" s="1" t="s">
        <v>122</v>
      </c>
      <c r="KZI108" s="1" t="s">
        <v>122</v>
      </c>
      <c r="KZJ108" s="1" t="s">
        <v>122</v>
      </c>
      <c r="KZK108" s="1" t="s">
        <v>122</v>
      </c>
      <c r="KZL108" s="1" t="s">
        <v>122</v>
      </c>
      <c r="KZM108" s="1" t="s">
        <v>122</v>
      </c>
      <c r="KZN108" s="1" t="s">
        <v>122</v>
      </c>
      <c r="KZO108" s="1" t="s">
        <v>122</v>
      </c>
      <c r="KZP108" s="1" t="s">
        <v>122</v>
      </c>
      <c r="KZQ108" s="1" t="s">
        <v>122</v>
      </c>
      <c r="KZR108" s="1" t="s">
        <v>122</v>
      </c>
      <c r="KZS108" s="1" t="s">
        <v>122</v>
      </c>
      <c r="KZT108" s="1" t="s">
        <v>122</v>
      </c>
      <c r="KZU108" s="1" t="s">
        <v>122</v>
      </c>
      <c r="KZV108" s="1" t="s">
        <v>122</v>
      </c>
      <c r="KZW108" s="1" t="s">
        <v>122</v>
      </c>
      <c r="KZX108" s="1" t="s">
        <v>122</v>
      </c>
      <c r="KZY108" s="1" t="s">
        <v>122</v>
      </c>
      <c r="KZZ108" s="1" t="s">
        <v>122</v>
      </c>
      <c r="LAA108" s="1" t="s">
        <v>122</v>
      </c>
      <c r="LAB108" s="1" t="s">
        <v>122</v>
      </c>
      <c r="LAC108" s="1" t="s">
        <v>122</v>
      </c>
      <c r="LAD108" s="1" t="s">
        <v>122</v>
      </c>
      <c r="LAE108" s="1" t="s">
        <v>122</v>
      </c>
      <c r="LAF108" s="1" t="s">
        <v>122</v>
      </c>
      <c r="LAG108" s="1" t="s">
        <v>122</v>
      </c>
      <c r="LAH108" s="1" t="s">
        <v>122</v>
      </c>
      <c r="LAI108" s="1" t="s">
        <v>122</v>
      </c>
      <c r="LAJ108" s="1" t="s">
        <v>122</v>
      </c>
      <c r="LAK108" s="1" t="s">
        <v>122</v>
      </c>
      <c r="LAL108" s="1" t="s">
        <v>122</v>
      </c>
      <c r="LAM108" s="1" t="s">
        <v>122</v>
      </c>
      <c r="LAN108" s="1" t="s">
        <v>122</v>
      </c>
      <c r="LAO108" s="1" t="s">
        <v>122</v>
      </c>
      <c r="LAP108" s="1" t="s">
        <v>122</v>
      </c>
      <c r="LAQ108" s="1" t="s">
        <v>122</v>
      </c>
      <c r="LAR108" s="1" t="s">
        <v>122</v>
      </c>
      <c r="LAS108" s="1" t="s">
        <v>122</v>
      </c>
      <c r="LAT108" s="1" t="s">
        <v>122</v>
      </c>
      <c r="LAU108" s="1" t="s">
        <v>122</v>
      </c>
      <c r="LAV108" s="1" t="s">
        <v>122</v>
      </c>
      <c r="LAW108" s="1" t="s">
        <v>122</v>
      </c>
      <c r="LAX108" s="1" t="s">
        <v>122</v>
      </c>
      <c r="LAY108" s="1" t="s">
        <v>122</v>
      </c>
      <c r="LAZ108" s="1" t="s">
        <v>122</v>
      </c>
      <c r="LBA108" s="1" t="s">
        <v>122</v>
      </c>
      <c r="LBB108" s="1" t="s">
        <v>122</v>
      </c>
      <c r="LBC108" s="1" t="s">
        <v>122</v>
      </c>
      <c r="LBD108" s="1" t="s">
        <v>122</v>
      </c>
      <c r="LBE108" s="1" t="s">
        <v>122</v>
      </c>
      <c r="LBF108" s="1" t="s">
        <v>122</v>
      </c>
      <c r="LBG108" s="1" t="s">
        <v>122</v>
      </c>
      <c r="LBH108" s="1" t="s">
        <v>122</v>
      </c>
      <c r="LBI108" s="1" t="s">
        <v>122</v>
      </c>
      <c r="LBJ108" s="1" t="s">
        <v>122</v>
      </c>
      <c r="LBK108" s="1" t="s">
        <v>122</v>
      </c>
      <c r="LBL108" s="1" t="s">
        <v>122</v>
      </c>
      <c r="LBM108" s="1" t="s">
        <v>122</v>
      </c>
      <c r="LBN108" s="1" t="s">
        <v>122</v>
      </c>
      <c r="LBO108" s="1" t="s">
        <v>122</v>
      </c>
      <c r="LBP108" s="1" t="s">
        <v>122</v>
      </c>
      <c r="LBQ108" s="1" t="s">
        <v>122</v>
      </c>
      <c r="LBR108" s="1" t="s">
        <v>122</v>
      </c>
      <c r="LBS108" s="1" t="s">
        <v>122</v>
      </c>
      <c r="LBT108" s="1" t="s">
        <v>122</v>
      </c>
      <c r="LBU108" s="1" t="s">
        <v>122</v>
      </c>
      <c r="LBV108" s="1" t="s">
        <v>122</v>
      </c>
      <c r="LBW108" s="1" t="s">
        <v>122</v>
      </c>
      <c r="LBX108" s="1" t="s">
        <v>122</v>
      </c>
      <c r="LBY108" s="1" t="s">
        <v>122</v>
      </c>
      <c r="LBZ108" s="1" t="s">
        <v>122</v>
      </c>
      <c r="LCA108" s="1" t="s">
        <v>122</v>
      </c>
      <c r="LCB108" s="1" t="s">
        <v>122</v>
      </c>
      <c r="LCC108" s="1" t="s">
        <v>122</v>
      </c>
      <c r="LCD108" s="1" t="s">
        <v>122</v>
      </c>
      <c r="LCE108" s="1" t="s">
        <v>122</v>
      </c>
      <c r="LCF108" s="1" t="s">
        <v>122</v>
      </c>
      <c r="LCG108" s="1" t="s">
        <v>122</v>
      </c>
      <c r="LCH108" s="1" t="s">
        <v>122</v>
      </c>
      <c r="LCI108" s="1" t="s">
        <v>122</v>
      </c>
      <c r="LCJ108" s="1" t="s">
        <v>122</v>
      </c>
      <c r="LCK108" s="1" t="s">
        <v>122</v>
      </c>
      <c r="LCL108" s="1" t="s">
        <v>122</v>
      </c>
      <c r="LCM108" s="1" t="s">
        <v>122</v>
      </c>
      <c r="LCN108" s="1" t="s">
        <v>122</v>
      </c>
      <c r="LCO108" s="1" t="s">
        <v>122</v>
      </c>
      <c r="LCP108" s="1" t="s">
        <v>122</v>
      </c>
      <c r="LCQ108" s="1" t="s">
        <v>122</v>
      </c>
      <c r="LCR108" s="1" t="s">
        <v>122</v>
      </c>
      <c r="LCS108" s="1" t="s">
        <v>122</v>
      </c>
      <c r="LCT108" s="1" t="s">
        <v>122</v>
      </c>
      <c r="LCU108" s="1" t="s">
        <v>122</v>
      </c>
      <c r="LCV108" s="1" t="s">
        <v>122</v>
      </c>
      <c r="LCW108" s="1" t="s">
        <v>122</v>
      </c>
      <c r="LCX108" s="1" t="s">
        <v>122</v>
      </c>
      <c r="LCY108" s="1" t="s">
        <v>122</v>
      </c>
      <c r="LCZ108" s="1" t="s">
        <v>122</v>
      </c>
      <c r="LDA108" s="1" t="s">
        <v>122</v>
      </c>
      <c r="LDB108" s="1" t="s">
        <v>122</v>
      </c>
      <c r="LDC108" s="1" t="s">
        <v>122</v>
      </c>
      <c r="LDD108" s="1" t="s">
        <v>122</v>
      </c>
      <c r="LDE108" s="1" t="s">
        <v>122</v>
      </c>
      <c r="LDF108" s="1" t="s">
        <v>122</v>
      </c>
      <c r="LDG108" s="1" t="s">
        <v>122</v>
      </c>
      <c r="LDH108" s="1" t="s">
        <v>122</v>
      </c>
      <c r="LDI108" s="1" t="s">
        <v>122</v>
      </c>
      <c r="LDJ108" s="1" t="s">
        <v>122</v>
      </c>
      <c r="LDK108" s="1" t="s">
        <v>122</v>
      </c>
      <c r="LDL108" s="1" t="s">
        <v>122</v>
      </c>
      <c r="LDM108" s="1" t="s">
        <v>122</v>
      </c>
      <c r="LDN108" s="1" t="s">
        <v>122</v>
      </c>
      <c r="LDO108" s="1" t="s">
        <v>122</v>
      </c>
      <c r="LDP108" s="1" t="s">
        <v>122</v>
      </c>
      <c r="LDQ108" s="1" t="s">
        <v>122</v>
      </c>
      <c r="LDR108" s="1" t="s">
        <v>122</v>
      </c>
      <c r="LDS108" s="1" t="s">
        <v>122</v>
      </c>
      <c r="LDT108" s="1" t="s">
        <v>122</v>
      </c>
      <c r="LDU108" s="1" t="s">
        <v>122</v>
      </c>
      <c r="LDV108" s="1" t="s">
        <v>122</v>
      </c>
      <c r="LDW108" s="1" t="s">
        <v>122</v>
      </c>
      <c r="LDX108" s="1" t="s">
        <v>122</v>
      </c>
      <c r="LDY108" s="1" t="s">
        <v>122</v>
      </c>
      <c r="LDZ108" s="1" t="s">
        <v>122</v>
      </c>
      <c r="LEA108" s="1" t="s">
        <v>122</v>
      </c>
      <c r="LEB108" s="1" t="s">
        <v>122</v>
      </c>
      <c r="LEC108" s="1" t="s">
        <v>122</v>
      </c>
      <c r="LED108" s="1" t="s">
        <v>122</v>
      </c>
      <c r="LEE108" s="1" t="s">
        <v>122</v>
      </c>
      <c r="LEF108" s="1" t="s">
        <v>122</v>
      </c>
      <c r="LEG108" s="1" t="s">
        <v>122</v>
      </c>
      <c r="LEH108" s="1" t="s">
        <v>122</v>
      </c>
      <c r="LEI108" s="1" t="s">
        <v>122</v>
      </c>
      <c r="LEJ108" s="1" t="s">
        <v>122</v>
      </c>
      <c r="LEK108" s="1" t="s">
        <v>122</v>
      </c>
      <c r="LEL108" s="1" t="s">
        <v>122</v>
      </c>
      <c r="LEM108" s="1" t="s">
        <v>122</v>
      </c>
      <c r="LEN108" s="1" t="s">
        <v>122</v>
      </c>
      <c r="LEO108" s="1" t="s">
        <v>122</v>
      </c>
      <c r="LEP108" s="1" t="s">
        <v>122</v>
      </c>
      <c r="LEQ108" s="1" t="s">
        <v>122</v>
      </c>
      <c r="LER108" s="1" t="s">
        <v>122</v>
      </c>
      <c r="LES108" s="1" t="s">
        <v>122</v>
      </c>
      <c r="LET108" s="1" t="s">
        <v>122</v>
      </c>
      <c r="LEU108" s="1" t="s">
        <v>122</v>
      </c>
      <c r="LEV108" s="1" t="s">
        <v>122</v>
      </c>
      <c r="LEW108" s="1" t="s">
        <v>122</v>
      </c>
      <c r="LEX108" s="1" t="s">
        <v>122</v>
      </c>
      <c r="LEY108" s="1" t="s">
        <v>122</v>
      </c>
      <c r="LEZ108" s="1" t="s">
        <v>122</v>
      </c>
      <c r="LFA108" s="1" t="s">
        <v>122</v>
      </c>
      <c r="LFB108" s="1" t="s">
        <v>122</v>
      </c>
      <c r="LFC108" s="1" t="s">
        <v>122</v>
      </c>
      <c r="LFD108" s="1" t="s">
        <v>122</v>
      </c>
      <c r="LFE108" s="1" t="s">
        <v>122</v>
      </c>
      <c r="LFF108" s="1" t="s">
        <v>122</v>
      </c>
      <c r="LFG108" s="1" t="s">
        <v>122</v>
      </c>
      <c r="LFH108" s="1" t="s">
        <v>122</v>
      </c>
      <c r="LFI108" s="1" t="s">
        <v>122</v>
      </c>
      <c r="LFJ108" s="1" t="s">
        <v>122</v>
      </c>
      <c r="LFK108" s="1" t="s">
        <v>122</v>
      </c>
      <c r="LFL108" s="1" t="s">
        <v>122</v>
      </c>
      <c r="LFM108" s="1" t="s">
        <v>122</v>
      </c>
      <c r="LFN108" s="1" t="s">
        <v>122</v>
      </c>
      <c r="LFO108" s="1" t="s">
        <v>122</v>
      </c>
      <c r="LFP108" s="1" t="s">
        <v>122</v>
      </c>
      <c r="LFQ108" s="1" t="s">
        <v>122</v>
      </c>
      <c r="LFR108" s="1" t="s">
        <v>122</v>
      </c>
      <c r="LFS108" s="1" t="s">
        <v>122</v>
      </c>
      <c r="LFT108" s="1" t="s">
        <v>122</v>
      </c>
      <c r="LFU108" s="1" t="s">
        <v>122</v>
      </c>
      <c r="LFV108" s="1" t="s">
        <v>122</v>
      </c>
      <c r="LFW108" s="1" t="s">
        <v>122</v>
      </c>
      <c r="LFX108" s="1" t="s">
        <v>122</v>
      </c>
      <c r="LFY108" s="1" t="s">
        <v>122</v>
      </c>
      <c r="LFZ108" s="1" t="s">
        <v>122</v>
      </c>
      <c r="LGA108" s="1" t="s">
        <v>122</v>
      </c>
      <c r="LGB108" s="1" t="s">
        <v>122</v>
      </c>
      <c r="LGC108" s="1" t="s">
        <v>122</v>
      </c>
      <c r="LGD108" s="1" t="s">
        <v>122</v>
      </c>
      <c r="LGE108" s="1" t="s">
        <v>122</v>
      </c>
      <c r="LGF108" s="1" t="s">
        <v>122</v>
      </c>
      <c r="LGG108" s="1" t="s">
        <v>122</v>
      </c>
      <c r="LGH108" s="1" t="s">
        <v>122</v>
      </c>
      <c r="LGI108" s="1" t="s">
        <v>122</v>
      </c>
      <c r="LGJ108" s="1" t="s">
        <v>122</v>
      </c>
      <c r="LGK108" s="1" t="s">
        <v>122</v>
      </c>
      <c r="LGL108" s="1" t="s">
        <v>122</v>
      </c>
      <c r="LGM108" s="1" t="s">
        <v>122</v>
      </c>
      <c r="LGN108" s="1" t="s">
        <v>122</v>
      </c>
      <c r="LGO108" s="1" t="s">
        <v>122</v>
      </c>
      <c r="LGP108" s="1" t="s">
        <v>122</v>
      </c>
      <c r="LGQ108" s="1" t="s">
        <v>122</v>
      </c>
      <c r="LGR108" s="1" t="s">
        <v>122</v>
      </c>
      <c r="LGS108" s="1" t="s">
        <v>122</v>
      </c>
      <c r="LGT108" s="1" t="s">
        <v>122</v>
      </c>
      <c r="LGU108" s="1" t="s">
        <v>122</v>
      </c>
      <c r="LGV108" s="1" t="s">
        <v>122</v>
      </c>
      <c r="LGW108" s="1" t="s">
        <v>122</v>
      </c>
      <c r="LGX108" s="1" t="s">
        <v>122</v>
      </c>
      <c r="LGY108" s="1" t="s">
        <v>122</v>
      </c>
      <c r="LGZ108" s="1" t="s">
        <v>122</v>
      </c>
      <c r="LHA108" s="1" t="s">
        <v>122</v>
      </c>
      <c r="LHB108" s="1" t="s">
        <v>122</v>
      </c>
      <c r="LHC108" s="1" t="s">
        <v>122</v>
      </c>
      <c r="LHD108" s="1" t="s">
        <v>122</v>
      </c>
      <c r="LHE108" s="1" t="s">
        <v>122</v>
      </c>
      <c r="LHF108" s="1" t="s">
        <v>122</v>
      </c>
      <c r="LHG108" s="1" t="s">
        <v>122</v>
      </c>
      <c r="LHH108" s="1" t="s">
        <v>122</v>
      </c>
      <c r="LHI108" s="1" t="s">
        <v>122</v>
      </c>
      <c r="LHJ108" s="1" t="s">
        <v>122</v>
      </c>
      <c r="LHK108" s="1" t="s">
        <v>122</v>
      </c>
      <c r="LHL108" s="1" t="s">
        <v>122</v>
      </c>
      <c r="LHM108" s="1" t="s">
        <v>122</v>
      </c>
      <c r="LHN108" s="1" t="s">
        <v>122</v>
      </c>
      <c r="LHO108" s="1" t="s">
        <v>122</v>
      </c>
      <c r="LHP108" s="1" t="s">
        <v>122</v>
      </c>
      <c r="LHQ108" s="1" t="s">
        <v>122</v>
      </c>
      <c r="LHR108" s="1" t="s">
        <v>122</v>
      </c>
      <c r="LHS108" s="1" t="s">
        <v>122</v>
      </c>
      <c r="LHT108" s="1" t="s">
        <v>122</v>
      </c>
      <c r="LHU108" s="1" t="s">
        <v>122</v>
      </c>
      <c r="LHV108" s="1" t="s">
        <v>122</v>
      </c>
      <c r="LHW108" s="1" t="s">
        <v>122</v>
      </c>
      <c r="LHX108" s="1" t="s">
        <v>122</v>
      </c>
      <c r="LHY108" s="1" t="s">
        <v>122</v>
      </c>
      <c r="LHZ108" s="1" t="s">
        <v>122</v>
      </c>
      <c r="LIA108" s="1" t="s">
        <v>122</v>
      </c>
      <c r="LIB108" s="1" t="s">
        <v>122</v>
      </c>
      <c r="LIC108" s="1" t="s">
        <v>122</v>
      </c>
      <c r="LID108" s="1" t="s">
        <v>122</v>
      </c>
      <c r="LIE108" s="1" t="s">
        <v>122</v>
      </c>
      <c r="LIF108" s="1" t="s">
        <v>122</v>
      </c>
      <c r="LIG108" s="1" t="s">
        <v>122</v>
      </c>
      <c r="LIH108" s="1" t="s">
        <v>122</v>
      </c>
      <c r="LII108" s="1" t="s">
        <v>122</v>
      </c>
      <c r="LIJ108" s="1" t="s">
        <v>122</v>
      </c>
      <c r="LIK108" s="1" t="s">
        <v>122</v>
      </c>
      <c r="LIL108" s="1" t="s">
        <v>122</v>
      </c>
      <c r="LIM108" s="1" t="s">
        <v>122</v>
      </c>
      <c r="LIN108" s="1" t="s">
        <v>122</v>
      </c>
      <c r="LIO108" s="1" t="s">
        <v>122</v>
      </c>
      <c r="LIP108" s="1" t="s">
        <v>122</v>
      </c>
      <c r="LIQ108" s="1" t="s">
        <v>122</v>
      </c>
      <c r="LIR108" s="1" t="s">
        <v>122</v>
      </c>
      <c r="LIS108" s="1" t="s">
        <v>122</v>
      </c>
      <c r="LIT108" s="1" t="s">
        <v>122</v>
      </c>
      <c r="LIU108" s="1" t="s">
        <v>122</v>
      </c>
      <c r="LIV108" s="1" t="s">
        <v>122</v>
      </c>
      <c r="LIW108" s="1" t="s">
        <v>122</v>
      </c>
      <c r="LIX108" s="1" t="s">
        <v>122</v>
      </c>
      <c r="LIY108" s="1" t="s">
        <v>122</v>
      </c>
      <c r="LIZ108" s="1" t="s">
        <v>122</v>
      </c>
      <c r="LJA108" s="1" t="s">
        <v>122</v>
      </c>
      <c r="LJB108" s="1" t="s">
        <v>122</v>
      </c>
      <c r="LJC108" s="1" t="s">
        <v>122</v>
      </c>
      <c r="LJD108" s="1" t="s">
        <v>122</v>
      </c>
      <c r="LJE108" s="1" t="s">
        <v>122</v>
      </c>
      <c r="LJF108" s="1" t="s">
        <v>122</v>
      </c>
      <c r="LJG108" s="1" t="s">
        <v>122</v>
      </c>
      <c r="LJH108" s="1" t="s">
        <v>122</v>
      </c>
      <c r="LJI108" s="1" t="s">
        <v>122</v>
      </c>
      <c r="LJJ108" s="1" t="s">
        <v>122</v>
      </c>
      <c r="LJK108" s="1" t="s">
        <v>122</v>
      </c>
      <c r="LJL108" s="1" t="s">
        <v>122</v>
      </c>
      <c r="LJM108" s="1" t="s">
        <v>122</v>
      </c>
      <c r="LJN108" s="1" t="s">
        <v>122</v>
      </c>
      <c r="LJO108" s="1" t="s">
        <v>122</v>
      </c>
      <c r="LJP108" s="1" t="s">
        <v>122</v>
      </c>
      <c r="LJQ108" s="1" t="s">
        <v>122</v>
      </c>
      <c r="LJR108" s="1" t="s">
        <v>122</v>
      </c>
      <c r="LJS108" s="1" t="s">
        <v>122</v>
      </c>
      <c r="LJT108" s="1" t="s">
        <v>122</v>
      </c>
      <c r="LJU108" s="1" t="s">
        <v>122</v>
      </c>
      <c r="LJV108" s="1" t="s">
        <v>122</v>
      </c>
      <c r="LJW108" s="1" t="s">
        <v>122</v>
      </c>
      <c r="LJX108" s="1" t="s">
        <v>122</v>
      </c>
      <c r="LJY108" s="1" t="s">
        <v>122</v>
      </c>
      <c r="LJZ108" s="1" t="s">
        <v>122</v>
      </c>
      <c r="LKA108" s="1" t="s">
        <v>122</v>
      </c>
      <c r="LKB108" s="1" t="s">
        <v>122</v>
      </c>
      <c r="LKC108" s="1" t="s">
        <v>122</v>
      </c>
      <c r="LKD108" s="1" t="s">
        <v>122</v>
      </c>
      <c r="LKE108" s="1" t="s">
        <v>122</v>
      </c>
      <c r="LKF108" s="1" t="s">
        <v>122</v>
      </c>
      <c r="LKG108" s="1" t="s">
        <v>122</v>
      </c>
      <c r="LKH108" s="1" t="s">
        <v>122</v>
      </c>
      <c r="LKI108" s="1" t="s">
        <v>122</v>
      </c>
      <c r="LKJ108" s="1" t="s">
        <v>122</v>
      </c>
      <c r="LKK108" s="1" t="s">
        <v>122</v>
      </c>
      <c r="LKL108" s="1" t="s">
        <v>122</v>
      </c>
      <c r="LKM108" s="1" t="s">
        <v>122</v>
      </c>
      <c r="LKN108" s="1" t="s">
        <v>122</v>
      </c>
      <c r="LKO108" s="1" t="s">
        <v>122</v>
      </c>
      <c r="LKP108" s="1" t="s">
        <v>122</v>
      </c>
      <c r="LKQ108" s="1" t="s">
        <v>122</v>
      </c>
      <c r="LKR108" s="1" t="s">
        <v>122</v>
      </c>
      <c r="LKS108" s="1" t="s">
        <v>122</v>
      </c>
      <c r="LKT108" s="1" t="s">
        <v>122</v>
      </c>
      <c r="LKU108" s="1" t="s">
        <v>122</v>
      </c>
      <c r="LKV108" s="1" t="s">
        <v>122</v>
      </c>
      <c r="LKW108" s="1" t="s">
        <v>122</v>
      </c>
      <c r="LKX108" s="1" t="s">
        <v>122</v>
      </c>
      <c r="LKY108" s="1" t="s">
        <v>122</v>
      </c>
      <c r="LKZ108" s="1" t="s">
        <v>122</v>
      </c>
      <c r="LLA108" s="1" t="s">
        <v>122</v>
      </c>
      <c r="LLB108" s="1" t="s">
        <v>122</v>
      </c>
      <c r="LLC108" s="1" t="s">
        <v>122</v>
      </c>
      <c r="LLD108" s="1" t="s">
        <v>122</v>
      </c>
      <c r="LLE108" s="1" t="s">
        <v>122</v>
      </c>
      <c r="LLF108" s="1" t="s">
        <v>122</v>
      </c>
      <c r="LLG108" s="1" t="s">
        <v>122</v>
      </c>
      <c r="LLH108" s="1" t="s">
        <v>122</v>
      </c>
      <c r="LLI108" s="1" t="s">
        <v>122</v>
      </c>
      <c r="LLJ108" s="1" t="s">
        <v>122</v>
      </c>
      <c r="LLK108" s="1" t="s">
        <v>122</v>
      </c>
      <c r="LLL108" s="1" t="s">
        <v>122</v>
      </c>
      <c r="LLM108" s="1" t="s">
        <v>122</v>
      </c>
      <c r="LLN108" s="1" t="s">
        <v>122</v>
      </c>
      <c r="LLO108" s="1" t="s">
        <v>122</v>
      </c>
      <c r="LLP108" s="1" t="s">
        <v>122</v>
      </c>
      <c r="LLQ108" s="1" t="s">
        <v>122</v>
      </c>
      <c r="LLR108" s="1" t="s">
        <v>122</v>
      </c>
      <c r="LLS108" s="1" t="s">
        <v>122</v>
      </c>
      <c r="LLT108" s="1" t="s">
        <v>122</v>
      </c>
      <c r="LLU108" s="1" t="s">
        <v>122</v>
      </c>
      <c r="LLV108" s="1" t="s">
        <v>122</v>
      </c>
      <c r="LLW108" s="1" t="s">
        <v>122</v>
      </c>
      <c r="LLX108" s="1" t="s">
        <v>122</v>
      </c>
      <c r="LLY108" s="1" t="s">
        <v>122</v>
      </c>
      <c r="LLZ108" s="1" t="s">
        <v>122</v>
      </c>
      <c r="LMA108" s="1" t="s">
        <v>122</v>
      </c>
      <c r="LMB108" s="1" t="s">
        <v>122</v>
      </c>
      <c r="LMC108" s="1" t="s">
        <v>122</v>
      </c>
      <c r="LMD108" s="1" t="s">
        <v>122</v>
      </c>
      <c r="LME108" s="1" t="s">
        <v>122</v>
      </c>
      <c r="LMF108" s="1" t="s">
        <v>122</v>
      </c>
      <c r="LMG108" s="1" t="s">
        <v>122</v>
      </c>
      <c r="LMH108" s="1" t="s">
        <v>122</v>
      </c>
      <c r="LMI108" s="1" t="s">
        <v>122</v>
      </c>
      <c r="LMJ108" s="1" t="s">
        <v>122</v>
      </c>
      <c r="LMK108" s="1" t="s">
        <v>122</v>
      </c>
      <c r="LML108" s="1" t="s">
        <v>122</v>
      </c>
      <c r="LMM108" s="1" t="s">
        <v>122</v>
      </c>
      <c r="LMN108" s="1" t="s">
        <v>122</v>
      </c>
      <c r="LMO108" s="1" t="s">
        <v>122</v>
      </c>
      <c r="LMP108" s="1" t="s">
        <v>122</v>
      </c>
      <c r="LMQ108" s="1" t="s">
        <v>122</v>
      </c>
      <c r="LMR108" s="1" t="s">
        <v>122</v>
      </c>
      <c r="LMS108" s="1" t="s">
        <v>122</v>
      </c>
      <c r="LMT108" s="1" t="s">
        <v>122</v>
      </c>
      <c r="LMU108" s="1" t="s">
        <v>122</v>
      </c>
      <c r="LMV108" s="1" t="s">
        <v>122</v>
      </c>
      <c r="LMW108" s="1" t="s">
        <v>122</v>
      </c>
      <c r="LMX108" s="1" t="s">
        <v>122</v>
      </c>
      <c r="LMY108" s="1" t="s">
        <v>122</v>
      </c>
      <c r="LMZ108" s="1" t="s">
        <v>122</v>
      </c>
      <c r="LNA108" s="1" t="s">
        <v>122</v>
      </c>
      <c r="LNB108" s="1" t="s">
        <v>122</v>
      </c>
      <c r="LNC108" s="1" t="s">
        <v>122</v>
      </c>
      <c r="LND108" s="1" t="s">
        <v>122</v>
      </c>
      <c r="LNE108" s="1" t="s">
        <v>122</v>
      </c>
      <c r="LNF108" s="1" t="s">
        <v>122</v>
      </c>
      <c r="LNG108" s="1" t="s">
        <v>122</v>
      </c>
      <c r="LNH108" s="1" t="s">
        <v>122</v>
      </c>
      <c r="LNI108" s="1" t="s">
        <v>122</v>
      </c>
      <c r="LNJ108" s="1" t="s">
        <v>122</v>
      </c>
      <c r="LNK108" s="1" t="s">
        <v>122</v>
      </c>
      <c r="LNL108" s="1" t="s">
        <v>122</v>
      </c>
      <c r="LNM108" s="1" t="s">
        <v>122</v>
      </c>
      <c r="LNN108" s="1" t="s">
        <v>122</v>
      </c>
      <c r="LNO108" s="1" t="s">
        <v>122</v>
      </c>
      <c r="LNP108" s="1" t="s">
        <v>122</v>
      </c>
      <c r="LNQ108" s="1" t="s">
        <v>122</v>
      </c>
      <c r="LNR108" s="1" t="s">
        <v>122</v>
      </c>
      <c r="LNS108" s="1" t="s">
        <v>122</v>
      </c>
      <c r="LNT108" s="1" t="s">
        <v>122</v>
      </c>
      <c r="LNU108" s="1" t="s">
        <v>122</v>
      </c>
      <c r="LNV108" s="1" t="s">
        <v>122</v>
      </c>
      <c r="LNW108" s="1" t="s">
        <v>122</v>
      </c>
      <c r="LNX108" s="1" t="s">
        <v>122</v>
      </c>
      <c r="LNY108" s="1" t="s">
        <v>122</v>
      </c>
      <c r="LNZ108" s="1" t="s">
        <v>122</v>
      </c>
      <c r="LOA108" s="1" t="s">
        <v>122</v>
      </c>
      <c r="LOB108" s="1" t="s">
        <v>122</v>
      </c>
      <c r="LOC108" s="1" t="s">
        <v>122</v>
      </c>
      <c r="LOD108" s="1" t="s">
        <v>122</v>
      </c>
      <c r="LOE108" s="1" t="s">
        <v>122</v>
      </c>
      <c r="LOF108" s="1" t="s">
        <v>122</v>
      </c>
      <c r="LOG108" s="1" t="s">
        <v>122</v>
      </c>
      <c r="LOH108" s="1" t="s">
        <v>122</v>
      </c>
      <c r="LOI108" s="1" t="s">
        <v>122</v>
      </c>
      <c r="LOJ108" s="1" t="s">
        <v>122</v>
      </c>
      <c r="LOK108" s="1" t="s">
        <v>122</v>
      </c>
      <c r="LOL108" s="1" t="s">
        <v>122</v>
      </c>
      <c r="LOM108" s="1" t="s">
        <v>122</v>
      </c>
      <c r="LON108" s="1" t="s">
        <v>122</v>
      </c>
      <c r="LOO108" s="1" t="s">
        <v>122</v>
      </c>
      <c r="LOP108" s="1" t="s">
        <v>122</v>
      </c>
      <c r="LOQ108" s="1" t="s">
        <v>122</v>
      </c>
      <c r="LOR108" s="1" t="s">
        <v>122</v>
      </c>
      <c r="LOS108" s="1" t="s">
        <v>122</v>
      </c>
      <c r="LOT108" s="1" t="s">
        <v>122</v>
      </c>
      <c r="LOU108" s="1" t="s">
        <v>122</v>
      </c>
      <c r="LOV108" s="1" t="s">
        <v>122</v>
      </c>
      <c r="LOW108" s="1" t="s">
        <v>122</v>
      </c>
      <c r="LOX108" s="1" t="s">
        <v>122</v>
      </c>
      <c r="LOY108" s="1" t="s">
        <v>122</v>
      </c>
      <c r="LOZ108" s="1" t="s">
        <v>122</v>
      </c>
      <c r="LPA108" s="1" t="s">
        <v>122</v>
      </c>
      <c r="LPB108" s="1" t="s">
        <v>122</v>
      </c>
      <c r="LPC108" s="1" t="s">
        <v>122</v>
      </c>
      <c r="LPD108" s="1" t="s">
        <v>122</v>
      </c>
      <c r="LPE108" s="1" t="s">
        <v>122</v>
      </c>
      <c r="LPF108" s="1" t="s">
        <v>122</v>
      </c>
      <c r="LPG108" s="1" t="s">
        <v>122</v>
      </c>
      <c r="LPH108" s="1" t="s">
        <v>122</v>
      </c>
      <c r="LPI108" s="1" t="s">
        <v>122</v>
      </c>
      <c r="LPJ108" s="1" t="s">
        <v>122</v>
      </c>
      <c r="LPK108" s="1" t="s">
        <v>122</v>
      </c>
      <c r="LPL108" s="1" t="s">
        <v>122</v>
      </c>
      <c r="LPM108" s="1" t="s">
        <v>122</v>
      </c>
      <c r="LPN108" s="1" t="s">
        <v>122</v>
      </c>
      <c r="LPO108" s="1" t="s">
        <v>122</v>
      </c>
      <c r="LPP108" s="1" t="s">
        <v>122</v>
      </c>
      <c r="LPQ108" s="1" t="s">
        <v>122</v>
      </c>
      <c r="LPR108" s="1" t="s">
        <v>122</v>
      </c>
      <c r="LPS108" s="1" t="s">
        <v>122</v>
      </c>
      <c r="LPT108" s="1" t="s">
        <v>122</v>
      </c>
      <c r="LPU108" s="1" t="s">
        <v>122</v>
      </c>
      <c r="LPV108" s="1" t="s">
        <v>122</v>
      </c>
      <c r="LPW108" s="1" t="s">
        <v>122</v>
      </c>
      <c r="LPX108" s="1" t="s">
        <v>122</v>
      </c>
      <c r="LPY108" s="1" t="s">
        <v>122</v>
      </c>
      <c r="LPZ108" s="1" t="s">
        <v>122</v>
      </c>
      <c r="LQA108" s="1" t="s">
        <v>122</v>
      </c>
      <c r="LQB108" s="1" t="s">
        <v>122</v>
      </c>
      <c r="LQC108" s="1" t="s">
        <v>122</v>
      </c>
      <c r="LQD108" s="1" t="s">
        <v>122</v>
      </c>
      <c r="LQE108" s="1" t="s">
        <v>122</v>
      </c>
      <c r="LQF108" s="1" t="s">
        <v>122</v>
      </c>
      <c r="LQG108" s="1" t="s">
        <v>122</v>
      </c>
      <c r="LQH108" s="1" t="s">
        <v>122</v>
      </c>
      <c r="LQI108" s="1" t="s">
        <v>122</v>
      </c>
      <c r="LQJ108" s="1" t="s">
        <v>122</v>
      </c>
      <c r="LQK108" s="1" t="s">
        <v>122</v>
      </c>
      <c r="LQL108" s="1" t="s">
        <v>122</v>
      </c>
      <c r="LQM108" s="1" t="s">
        <v>122</v>
      </c>
      <c r="LQN108" s="1" t="s">
        <v>122</v>
      </c>
      <c r="LQO108" s="1" t="s">
        <v>122</v>
      </c>
      <c r="LQP108" s="1" t="s">
        <v>122</v>
      </c>
      <c r="LQQ108" s="1" t="s">
        <v>122</v>
      </c>
      <c r="LQR108" s="1" t="s">
        <v>122</v>
      </c>
      <c r="LQS108" s="1" t="s">
        <v>122</v>
      </c>
      <c r="LQT108" s="1" t="s">
        <v>122</v>
      </c>
      <c r="LQU108" s="1" t="s">
        <v>122</v>
      </c>
      <c r="LQV108" s="1" t="s">
        <v>122</v>
      </c>
      <c r="LQW108" s="1" t="s">
        <v>122</v>
      </c>
      <c r="LQX108" s="1" t="s">
        <v>122</v>
      </c>
      <c r="LQY108" s="1" t="s">
        <v>122</v>
      </c>
      <c r="LQZ108" s="1" t="s">
        <v>122</v>
      </c>
      <c r="LRA108" s="1" t="s">
        <v>122</v>
      </c>
      <c r="LRB108" s="1" t="s">
        <v>122</v>
      </c>
      <c r="LRC108" s="1" t="s">
        <v>122</v>
      </c>
      <c r="LRD108" s="1" t="s">
        <v>122</v>
      </c>
      <c r="LRE108" s="1" t="s">
        <v>122</v>
      </c>
      <c r="LRF108" s="1" t="s">
        <v>122</v>
      </c>
      <c r="LRG108" s="1" t="s">
        <v>122</v>
      </c>
      <c r="LRH108" s="1" t="s">
        <v>122</v>
      </c>
      <c r="LRI108" s="1" t="s">
        <v>122</v>
      </c>
      <c r="LRJ108" s="1" t="s">
        <v>122</v>
      </c>
      <c r="LRK108" s="1" t="s">
        <v>122</v>
      </c>
      <c r="LRL108" s="1" t="s">
        <v>122</v>
      </c>
      <c r="LRM108" s="1" t="s">
        <v>122</v>
      </c>
      <c r="LRN108" s="1" t="s">
        <v>122</v>
      </c>
      <c r="LRO108" s="1" t="s">
        <v>122</v>
      </c>
      <c r="LRP108" s="1" t="s">
        <v>122</v>
      </c>
      <c r="LRQ108" s="1" t="s">
        <v>122</v>
      </c>
      <c r="LRR108" s="1" t="s">
        <v>122</v>
      </c>
      <c r="LRS108" s="1" t="s">
        <v>122</v>
      </c>
      <c r="LRT108" s="1" t="s">
        <v>122</v>
      </c>
      <c r="LRU108" s="1" t="s">
        <v>122</v>
      </c>
      <c r="LRV108" s="1" t="s">
        <v>122</v>
      </c>
      <c r="LRW108" s="1" t="s">
        <v>122</v>
      </c>
      <c r="LRX108" s="1" t="s">
        <v>122</v>
      </c>
      <c r="LRY108" s="1" t="s">
        <v>122</v>
      </c>
      <c r="LRZ108" s="1" t="s">
        <v>122</v>
      </c>
      <c r="LSA108" s="1" t="s">
        <v>122</v>
      </c>
      <c r="LSB108" s="1" t="s">
        <v>122</v>
      </c>
      <c r="LSC108" s="1" t="s">
        <v>122</v>
      </c>
      <c r="LSD108" s="1" t="s">
        <v>122</v>
      </c>
      <c r="LSE108" s="1" t="s">
        <v>122</v>
      </c>
      <c r="LSF108" s="1" t="s">
        <v>122</v>
      </c>
      <c r="LSG108" s="1" t="s">
        <v>122</v>
      </c>
      <c r="LSH108" s="1" t="s">
        <v>122</v>
      </c>
      <c r="LSI108" s="1" t="s">
        <v>122</v>
      </c>
      <c r="LSJ108" s="1" t="s">
        <v>122</v>
      </c>
      <c r="LSK108" s="1" t="s">
        <v>122</v>
      </c>
      <c r="LSL108" s="1" t="s">
        <v>122</v>
      </c>
      <c r="LSM108" s="1" t="s">
        <v>122</v>
      </c>
      <c r="LSN108" s="1" t="s">
        <v>122</v>
      </c>
      <c r="LSO108" s="1" t="s">
        <v>122</v>
      </c>
      <c r="LSP108" s="1" t="s">
        <v>122</v>
      </c>
      <c r="LSQ108" s="1" t="s">
        <v>122</v>
      </c>
      <c r="LSR108" s="1" t="s">
        <v>122</v>
      </c>
      <c r="LSS108" s="1" t="s">
        <v>122</v>
      </c>
      <c r="LST108" s="1" t="s">
        <v>122</v>
      </c>
      <c r="LSU108" s="1" t="s">
        <v>122</v>
      </c>
      <c r="LSV108" s="1" t="s">
        <v>122</v>
      </c>
      <c r="LSW108" s="1" t="s">
        <v>122</v>
      </c>
      <c r="LSX108" s="1" t="s">
        <v>122</v>
      </c>
      <c r="LSY108" s="1" t="s">
        <v>122</v>
      </c>
      <c r="LSZ108" s="1" t="s">
        <v>122</v>
      </c>
      <c r="LTA108" s="1" t="s">
        <v>122</v>
      </c>
      <c r="LTB108" s="1" t="s">
        <v>122</v>
      </c>
      <c r="LTC108" s="1" t="s">
        <v>122</v>
      </c>
      <c r="LTD108" s="1" t="s">
        <v>122</v>
      </c>
      <c r="LTE108" s="1" t="s">
        <v>122</v>
      </c>
      <c r="LTF108" s="1" t="s">
        <v>122</v>
      </c>
      <c r="LTG108" s="1" t="s">
        <v>122</v>
      </c>
      <c r="LTH108" s="1" t="s">
        <v>122</v>
      </c>
      <c r="LTI108" s="1" t="s">
        <v>122</v>
      </c>
      <c r="LTJ108" s="1" t="s">
        <v>122</v>
      </c>
      <c r="LTK108" s="1" t="s">
        <v>122</v>
      </c>
      <c r="LTL108" s="1" t="s">
        <v>122</v>
      </c>
      <c r="LTM108" s="1" t="s">
        <v>122</v>
      </c>
      <c r="LTN108" s="1" t="s">
        <v>122</v>
      </c>
      <c r="LTO108" s="1" t="s">
        <v>122</v>
      </c>
      <c r="LTP108" s="1" t="s">
        <v>122</v>
      </c>
      <c r="LTQ108" s="1" t="s">
        <v>122</v>
      </c>
      <c r="LTR108" s="1" t="s">
        <v>122</v>
      </c>
      <c r="LTS108" s="1" t="s">
        <v>122</v>
      </c>
      <c r="LTT108" s="1" t="s">
        <v>122</v>
      </c>
      <c r="LTU108" s="1" t="s">
        <v>122</v>
      </c>
      <c r="LTV108" s="1" t="s">
        <v>122</v>
      </c>
      <c r="LTW108" s="1" t="s">
        <v>122</v>
      </c>
      <c r="LTX108" s="1" t="s">
        <v>122</v>
      </c>
      <c r="LTY108" s="1" t="s">
        <v>122</v>
      </c>
      <c r="LTZ108" s="1" t="s">
        <v>122</v>
      </c>
      <c r="LUA108" s="1" t="s">
        <v>122</v>
      </c>
      <c r="LUB108" s="1" t="s">
        <v>122</v>
      </c>
      <c r="LUC108" s="1" t="s">
        <v>122</v>
      </c>
      <c r="LUD108" s="1" t="s">
        <v>122</v>
      </c>
      <c r="LUE108" s="1" t="s">
        <v>122</v>
      </c>
      <c r="LUF108" s="1" t="s">
        <v>122</v>
      </c>
      <c r="LUG108" s="1" t="s">
        <v>122</v>
      </c>
      <c r="LUH108" s="1" t="s">
        <v>122</v>
      </c>
      <c r="LUI108" s="1" t="s">
        <v>122</v>
      </c>
      <c r="LUJ108" s="1" t="s">
        <v>122</v>
      </c>
      <c r="LUK108" s="1" t="s">
        <v>122</v>
      </c>
      <c r="LUL108" s="1" t="s">
        <v>122</v>
      </c>
      <c r="LUM108" s="1" t="s">
        <v>122</v>
      </c>
      <c r="LUN108" s="1" t="s">
        <v>122</v>
      </c>
      <c r="LUO108" s="1" t="s">
        <v>122</v>
      </c>
      <c r="LUP108" s="1" t="s">
        <v>122</v>
      </c>
      <c r="LUQ108" s="1" t="s">
        <v>122</v>
      </c>
      <c r="LUR108" s="1" t="s">
        <v>122</v>
      </c>
      <c r="LUS108" s="1" t="s">
        <v>122</v>
      </c>
      <c r="LUT108" s="1" t="s">
        <v>122</v>
      </c>
      <c r="LUU108" s="1" t="s">
        <v>122</v>
      </c>
      <c r="LUV108" s="1" t="s">
        <v>122</v>
      </c>
      <c r="LUW108" s="1" t="s">
        <v>122</v>
      </c>
      <c r="LUX108" s="1" t="s">
        <v>122</v>
      </c>
      <c r="LUY108" s="1" t="s">
        <v>122</v>
      </c>
      <c r="LUZ108" s="1" t="s">
        <v>122</v>
      </c>
      <c r="LVA108" s="1" t="s">
        <v>122</v>
      </c>
      <c r="LVB108" s="1" t="s">
        <v>122</v>
      </c>
      <c r="LVC108" s="1" t="s">
        <v>122</v>
      </c>
      <c r="LVD108" s="1" t="s">
        <v>122</v>
      </c>
      <c r="LVE108" s="1" t="s">
        <v>122</v>
      </c>
      <c r="LVF108" s="1" t="s">
        <v>122</v>
      </c>
      <c r="LVG108" s="1" t="s">
        <v>122</v>
      </c>
      <c r="LVH108" s="1" t="s">
        <v>122</v>
      </c>
      <c r="LVI108" s="1" t="s">
        <v>122</v>
      </c>
      <c r="LVJ108" s="1" t="s">
        <v>122</v>
      </c>
      <c r="LVK108" s="1" t="s">
        <v>122</v>
      </c>
      <c r="LVL108" s="1" t="s">
        <v>122</v>
      </c>
      <c r="LVM108" s="1" t="s">
        <v>122</v>
      </c>
      <c r="LVN108" s="1" t="s">
        <v>122</v>
      </c>
      <c r="LVO108" s="1" t="s">
        <v>122</v>
      </c>
      <c r="LVP108" s="1" t="s">
        <v>122</v>
      </c>
      <c r="LVQ108" s="1" t="s">
        <v>122</v>
      </c>
      <c r="LVR108" s="1" t="s">
        <v>122</v>
      </c>
      <c r="LVS108" s="1" t="s">
        <v>122</v>
      </c>
      <c r="LVT108" s="1" t="s">
        <v>122</v>
      </c>
      <c r="LVU108" s="1" t="s">
        <v>122</v>
      </c>
      <c r="LVV108" s="1" t="s">
        <v>122</v>
      </c>
      <c r="LVW108" s="1" t="s">
        <v>122</v>
      </c>
      <c r="LVX108" s="1" t="s">
        <v>122</v>
      </c>
      <c r="LVY108" s="1" t="s">
        <v>122</v>
      </c>
      <c r="LVZ108" s="1" t="s">
        <v>122</v>
      </c>
      <c r="LWA108" s="1" t="s">
        <v>122</v>
      </c>
      <c r="LWB108" s="1" t="s">
        <v>122</v>
      </c>
      <c r="LWC108" s="1" t="s">
        <v>122</v>
      </c>
      <c r="LWD108" s="1" t="s">
        <v>122</v>
      </c>
      <c r="LWE108" s="1" t="s">
        <v>122</v>
      </c>
      <c r="LWF108" s="1" t="s">
        <v>122</v>
      </c>
      <c r="LWG108" s="1" t="s">
        <v>122</v>
      </c>
      <c r="LWH108" s="1" t="s">
        <v>122</v>
      </c>
      <c r="LWI108" s="1" t="s">
        <v>122</v>
      </c>
      <c r="LWJ108" s="1" t="s">
        <v>122</v>
      </c>
      <c r="LWK108" s="1" t="s">
        <v>122</v>
      </c>
      <c r="LWL108" s="1" t="s">
        <v>122</v>
      </c>
      <c r="LWM108" s="1" t="s">
        <v>122</v>
      </c>
      <c r="LWN108" s="1" t="s">
        <v>122</v>
      </c>
      <c r="LWO108" s="1" t="s">
        <v>122</v>
      </c>
      <c r="LWP108" s="1" t="s">
        <v>122</v>
      </c>
      <c r="LWQ108" s="1" t="s">
        <v>122</v>
      </c>
      <c r="LWR108" s="1" t="s">
        <v>122</v>
      </c>
      <c r="LWS108" s="1" t="s">
        <v>122</v>
      </c>
      <c r="LWT108" s="1" t="s">
        <v>122</v>
      </c>
      <c r="LWU108" s="1" t="s">
        <v>122</v>
      </c>
      <c r="LWV108" s="1" t="s">
        <v>122</v>
      </c>
      <c r="LWW108" s="1" t="s">
        <v>122</v>
      </c>
      <c r="LWX108" s="1" t="s">
        <v>122</v>
      </c>
      <c r="LWY108" s="1" t="s">
        <v>122</v>
      </c>
      <c r="LWZ108" s="1" t="s">
        <v>122</v>
      </c>
      <c r="LXA108" s="1" t="s">
        <v>122</v>
      </c>
      <c r="LXB108" s="1" t="s">
        <v>122</v>
      </c>
      <c r="LXC108" s="1" t="s">
        <v>122</v>
      </c>
      <c r="LXD108" s="1" t="s">
        <v>122</v>
      </c>
      <c r="LXE108" s="1" t="s">
        <v>122</v>
      </c>
      <c r="LXF108" s="1" t="s">
        <v>122</v>
      </c>
      <c r="LXG108" s="1" t="s">
        <v>122</v>
      </c>
      <c r="LXH108" s="1" t="s">
        <v>122</v>
      </c>
      <c r="LXI108" s="1" t="s">
        <v>122</v>
      </c>
      <c r="LXJ108" s="1" t="s">
        <v>122</v>
      </c>
      <c r="LXK108" s="1" t="s">
        <v>122</v>
      </c>
      <c r="LXL108" s="1" t="s">
        <v>122</v>
      </c>
      <c r="LXM108" s="1" t="s">
        <v>122</v>
      </c>
      <c r="LXN108" s="1" t="s">
        <v>122</v>
      </c>
      <c r="LXO108" s="1" t="s">
        <v>122</v>
      </c>
      <c r="LXP108" s="1" t="s">
        <v>122</v>
      </c>
      <c r="LXQ108" s="1" t="s">
        <v>122</v>
      </c>
      <c r="LXR108" s="1" t="s">
        <v>122</v>
      </c>
      <c r="LXS108" s="1" t="s">
        <v>122</v>
      </c>
      <c r="LXT108" s="1" t="s">
        <v>122</v>
      </c>
      <c r="LXU108" s="1" t="s">
        <v>122</v>
      </c>
      <c r="LXV108" s="1" t="s">
        <v>122</v>
      </c>
      <c r="LXW108" s="1" t="s">
        <v>122</v>
      </c>
      <c r="LXX108" s="1" t="s">
        <v>122</v>
      </c>
      <c r="LXY108" s="1" t="s">
        <v>122</v>
      </c>
      <c r="LXZ108" s="1" t="s">
        <v>122</v>
      </c>
      <c r="LYA108" s="1" t="s">
        <v>122</v>
      </c>
      <c r="LYB108" s="1" t="s">
        <v>122</v>
      </c>
      <c r="LYC108" s="1" t="s">
        <v>122</v>
      </c>
      <c r="LYD108" s="1" t="s">
        <v>122</v>
      </c>
      <c r="LYE108" s="1" t="s">
        <v>122</v>
      </c>
      <c r="LYF108" s="1" t="s">
        <v>122</v>
      </c>
      <c r="LYG108" s="1" t="s">
        <v>122</v>
      </c>
      <c r="LYH108" s="1" t="s">
        <v>122</v>
      </c>
      <c r="LYI108" s="1" t="s">
        <v>122</v>
      </c>
      <c r="LYJ108" s="1" t="s">
        <v>122</v>
      </c>
      <c r="LYK108" s="1" t="s">
        <v>122</v>
      </c>
      <c r="LYL108" s="1" t="s">
        <v>122</v>
      </c>
      <c r="LYM108" s="1" t="s">
        <v>122</v>
      </c>
      <c r="LYN108" s="1" t="s">
        <v>122</v>
      </c>
      <c r="LYO108" s="1" t="s">
        <v>122</v>
      </c>
      <c r="LYP108" s="1" t="s">
        <v>122</v>
      </c>
      <c r="LYQ108" s="1" t="s">
        <v>122</v>
      </c>
      <c r="LYR108" s="1" t="s">
        <v>122</v>
      </c>
      <c r="LYS108" s="1" t="s">
        <v>122</v>
      </c>
      <c r="LYT108" s="1" t="s">
        <v>122</v>
      </c>
      <c r="LYU108" s="1" t="s">
        <v>122</v>
      </c>
      <c r="LYV108" s="1" t="s">
        <v>122</v>
      </c>
      <c r="LYW108" s="1" t="s">
        <v>122</v>
      </c>
      <c r="LYX108" s="1" t="s">
        <v>122</v>
      </c>
      <c r="LYY108" s="1" t="s">
        <v>122</v>
      </c>
      <c r="LYZ108" s="1" t="s">
        <v>122</v>
      </c>
      <c r="LZA108" s="1" t="s">
        <v>122</v>
      </c>
      <c r="LZB108" s="1" t="s">
        <v>122</v>
      </c>
      <c r="LZC108" s="1" t="s">
        <v>122</v>
      </c>
      <c r="LZD108" s="1" t="s">
        <v>122</v>
      </c>
      <c r="LZE108" s="1" t="s">
        <v>122</v>
      </c>
      <c r="LZF108" s="1" t="s">
        <v>122</v>
      </c>
      <c r="LZG108" s="1" t="s">
        <v>122</v>
      </c>
      <c r="LZH108" s="1" t="s">
        <v>122</v>
      </c>
      <c r="LZI108" s="1" t="s">
        <v>122</v>
      </c>
      <c r="LZJ108" s="1" t="s">
        <v>122</v>
      </c>
      <c r="LZK108" s="1" t="s">
        <v>122</v>
      </c>
      <c r="LZL108" s="1" t="s">
        <v>122</v>
      </c>
      <c r="LZM108" s="1" t="s">
        <v>122</v>
      </c>
      <c r="LZN108" s="1" t="s">
        <v>122</v>
      </c>
      <c r="LZO108" s="1" t="s">
        <v>122</v>
      </c>
      <c r="LZP108" s="1" t="s">
        <v>122</v>
      </c>
      <c r="LZQ108" s="1" t="s">
        <v>122</v>
      </c>
      <c r="LZR108" s="1" t="s">
        <v>122</v>
      </c>
      <c r="LZS108" s="1" t="s">
        <v>122</v>
      </c>
      <c r="LZT108" s="1" t="s">
        <v>122</v>
      </c>
      <c r="LZU108" s="1" t="s">
        <v>122</v>
      </c>
      <c r="LZV108" s="1" t="s">
        <v>122</v>
      </c>
      <c r="LZW108" s="1" t="s">
        <v>122</v>
      </c>
      <c r="LZX108" s="1" t="s">
        <v>122</v>
      </c>
      <c r="LZY108" s="1" t="s">
        <v>122</v>
      </c>
      <c r="LZZ108" s="1" t="s">
        <v>122</v>
      </c>
      <c r="MAA108" s="1" t="s">
        <v>122</v>
      </c>
      <c r="MAB108" s="1" t="s">
        <v>122</v>
      </c>
      <c r="MAC108" s="1" t="s">
        <v>122</v>
      </c>
      <c r="MAD108" s="1" t="s">
        <v>122</v>
      </c>
      <c r="MAE108" s="1" t="s">
        <v>122</v>
      </c>
      <c r="MAF108" s="1" t="s">
        <v>122</v>
      </c>
      <c r="MAG108" s="1" t="s">
        <v>122</v>
      </c>
      <c r="MAH108" s="1" t="s">
        <v>122</v>
      </c>
      <c r="MAI108" s="1" t="s">
        <v>122</v>
      </c>
      <c r="MAJ108" s="1" t="s">
        <v>122</v>
      </c>
      <c r="MAK108" s="1" t="s">
        <v>122</v>
      </c>
      <c r="MAL108" s="1" t="s">
        <v>122</v>
      </c>
      <c r="MAM108" s="1" t="s">
        <v>122</v>
      </c>
      <c r="MAN108" s="1" t="s">
        <v>122</v>
      </c>
      <c r="MAO108" s="1" t="s">
        <v>122</v>
      </c>
      <c r="MAP108" s="1" t="s">
        <v>122</v>
      </c>
      <c r="MAQ108" s="1" t="s">
        <v>122</v>
      </c>
      <c r="MAR108" s="1" t="s">
        <v>122</v>
      </c>
      <c r="MAS108" s="1" t="s">
        <v>122</v>
      </c>
      <c r="MAT108" s="1" t="s">
        <v>122</v>
      </c>
      <c r="MAU108" s="1" t="s">
        <v>122</v>
      </c>
      <c r="MAV108" s="1" t="s">
        <v>122</v>
      </c>
      <c r="MAW108" s="1" t="s">
        <v>122</v>
      </c>
      <c r="MAX108" s="1" t="s">
        <v>122</v>
      </c>
      <c r="MAY108" s="1" t="s">
        <v>122</v>
      </c>
      <c r="MAZ108" s="1" t="s">
        <v>122</v>
      </c>
      <c r="MBA108" s="1" t="s">
        <v>122</v>
      </c>
      <c r="MBB108" s="1" t="s">
        <v>122</v>
      </c>
      <c r="MBC108" s="1" t="s">
        <v>122</v>
      </c>
      <c r="MBD108" s="1" t="s">
        <v>122</v>
      </c>
      <c r="MBE108" s="1" t="s">
        <v>122</v>
      </c>
      <c r="MBF108" s="1" t="s">
        <v>122</v>
      </c>
      <c r="MBG108" s="1" t="s">
        <v>122</v>
      </c>
      <c r="MBH108" s="1" t="s">
        <v>122</v>
      </c>
      <c r="MBI108" s="1" t="s">
        <v>122</v>
      </c>
      <c r="MBJ108" s="1" t="s">
        <v>122</v>
      </c>
      <c r="MBK108" s="1" t="s">
        <v>122</v>
      </c>
      <c r="MBL108" s="1" t="s">
        <v>122</v>
      </c>
      <c r="MBM108" s="1" t="s">
        <v>122</v>
      </c>
      <c r="MBN108" s="1" t="s">
        <v>122</v>
      </c>
      <c r="MBO108" s="1" t="s">
        <v>122</v>
      </c>
      <c r="MBP108" s="1" t="s">
        <v>122</v>
      </c>
      <c r="MBQ108" s="1" t="s">
        <v>122</v>
      </c>
      <c r="MBR108" s="1" t="s">
        <v>122</v>
      </c>
      <c r="MBS108" s="1" t="s">
        <v>122</v>
      </c>
      <c r="MBT108" s="1" t="s">
        <v>122</v>
      </c>
      <c r="MBU108" s="1" t="s">
        <v>122</v>
      </c>
      <c r="MBV108" s="1" t="s">
        <v>122</v>
      </c>
      <c r="MBW108" s="1" t="s">
        <v>122</v>
      </c>
      <c r="MBX108" s="1" t="s">
        <v>122</v>
      </c>
      <c r="MBY108" s="1" t="s">
        <v>122</v>
      </c>
      <c r="MBZ108" s="1" t="s">
        <v>122</v>
      </c>
      <c r="MCA108" s="1" t="s">
        <v>122</v>
      </c>
      <c r="MCB108" s="1" t="s">
        <v>122</v>
      </c>
      <c r="MCC108" s="1" t="s">
        <v>122</v>
      </c>
      <c r="MCD108" s="1" t="s">
        <v>122</v>
      </c>
      <c r="MCE108" s="1" t="s">
        <v>122</v>
      </c>
      <c r="MCF108" s="1" t="s">
        <v>122</v>
      </c>
      <c r="MCG108" s="1" t="s">
        <v>122</v>
      </c>
      <c r="MCH108" s="1" t="s">
        <v>122</v>
      </c>
      <c r="MCI108" s="1" t="s">
        <v>122</v>
      </c>
      <c r="MCJ108" s="1" t="s">
        <v>122</v>
      </c>
      <c r="MCK108" s="1" t="s">
        <v>122</v>
      </c>
      <c r="MCL108" s="1" t="s">
        <v>122</v>
      </c>
      <c r="MCM108" s="1" t="s">
        <v>122</v>
      </c>
      <c r="MCN108" s="1" t="s">
        <v>122</v>
      </c>
      <c r="MCO108" s="1" t="s">
        <v>122</v>
      </c>
      <c r="MCP108" s="1" t="s">
        <v>122</v>
      </c>
      <c r="MCQ108" s="1" t="s">
        <v>122</v>
      </c>
      <c r="MCR108" s="1" t="s">
        <v>122</v>
      </c>
      <c r="MCS108" s="1" t="s">
        <v>122</v>
      </c>
      <c r="MCT108" s="1" t="s">
        <v>122</v>
      </c>
      <c r="MCU108" s="1" t="s">
        <v>122</v>
      </c>
      <c r="MCV108" s="1" t="s">
        <v>122</v>
      </c>
      <c r="MCW108" s="1" t="s">
        <v>122</v>
      </c>
      <c r="MCX108" s="1" t="s">
        <v>122</v>
      </c>
      <c r="MCY108" s="1" t="s">
        <v>122</v>
      </c>
      <c r="MCZ108" s="1" t="s">
        <v>122</v>
      </c>
      <c r="MDA108" s="1" t="s">
        <v>122</v>
      </c>
      <c r="MDB108" s="1" t="s">
        <v>122</v>
      </c>
      <c r="MDC108" s="1" t="s">
        <v>122</v>
      </c>
      <c r="MDD108" s="1" t="s">
        <v>122</v>
      </c>
      <c r="MDE108" s="1" t="s">
        <v>122</v>
      </c>
      <c r="MDF108" s="1" t="s">
        <v>122</v>
      </c>
      <c r="MDG108" s="1" t="s">
        <v>122</v>
      </c>
      <c r="MDH108" s="1" t="s">
        <v>122</v>
      </c>
      <c r="MDI108" s="1" t="s">
        <v>122</v>
      </c>
      <c r="MDJ108" s="1" t="s">
        <v>122</v>
      </c>
      <c r="MDK108" s="1" t="s">
        <v>122</v>
      </c>
      <c r="MDL108" s="1" t="s">
        <v>122</v>
      </c>
      <c r="MDM108" s="1" t="s">
        <v>122</v>
      </c>
      <c r="MDN108" s="1" t="s">
        <v>122</v>
      </c>
      <c r="MDO108" s="1" t="s">
        <v>122</v>
      </c>
      <c r="MDP108" s="1" t="s">
        <v>122</v>
      </c>
      <c r="MDQ108" s="1" t="s">
        <v>122</v>
      </c>
      <c r="MDR108" s="1" t="s">
        <v>122</v>
      </c>
      <c r="MDS108" s="1" t="s">
        <v>122</v>
      </c>
      <c r="MDT108" s="1" t="s">
        <v>122</v>
      </c>
      <c r="MDU108" s="1" t="s">
        <v>122</v>
      </c>
      <c r="MDV108" s="1" t="s">
        <v>122</v>
      </c>
      <c r="MDW108" s="1" t="s">
        <v>122</v>
      </c>
      <c r="MDX108" s="1" t="s">
        <v>122</v>
      </c>
      <c r="MDY108" s="1" t="s">
        <v>122</v>
      </c>
      <c r="MDZ108" s="1" t="s">
        <v>122</v>
      </c>
      <c r="MEA108" s="1" t="s">
        <v>122</v>
      </c>
      <c r="MEB108" s="1" t="s">
        <v>122</v>
      </c>
      <c r="MEC108" s="1" t="s">
        <v>122</v>
      </c>
      <c r="MED108" s="1" t="s">
        <v>122</v>
      </c>
      <c r="MEE108" s="1" t="s">
        <v>122</v>
      </c>
      <c r="MEF108" s="1" t="s">
        <v>122</v>
      </c>
      <c r="MEG108" s="1" t="s">
        <v>122</v>
      </c>
      <c r="MEH108" s="1" t="s">
        <v>122</v>
      </c>
      <c r="MEI108" s="1" t="s">
        <v>122</v>
      </c>
      <c r="MEJ108" s="1" t="s">
        <v>122</v>
      </c>
      <c r="MEK108" s="1" t="s">
        <v>122</v>
      </c>
      <c r="MEL108" s="1" t="s">
        <v>122</v>
      </c>
      <c r="MEM108" s="1" t="s">
        <v>122</v>
      </c>
      <c r="MEN108" s="1" t="s">
        <v>122</v>
      </c>
      <c r="MEO108" s="1" t="s">
        <v>122</v>
      </c>
      <c r="MEP108" s="1" t="s">
        <v>122</v>
      </c>
      <c r="MEQ108" s="1" t="s">
        <v>122</v>
      </c>
      <c r="MER108" s="1" t="s">
        <v>122</v>
      </c>
      <c r="MES108" s="1" t="s">
        <v>122</v>
      </c>
      <c r="MET108" s="1" t="s">
        <v>122</v>
      </c>
      <c r="MEU108" s="1" t="s">
        <v>122</v>
      </c>
      <c r="MEV108" s="1" t="s">
        <v>122</v>
      </c>
      <c r="MEW108" s="1" t="s">
        <v>122</v>
      </c>
      <c r="MEX108" s="1" t="s">
        <v>122</v>
      </c>
      <c r="MEY108" s="1" t="s">
        <v>122</v>
      </c>
      <c r="MEZ108" s="1" t="s">
        <v>122</v>
      </c>
      <c r="MFA108" s="1" t="s">
        <v>122</v>
      </c>
      <c r="MFB108" s="1" t="s">
        <v>122</v>
      </c>
      <c r="MFC108" s="1" t="s">
        <v>122</v>
      </c>
      <c r="MFD108" s="1" t="s">
        <v>122</v>
      </c>
      <c r="MFE108" s="1" t="s">
        <v>122</v>
      </c>
      <c r="MFF108" s="1" t="s">
        <v>122</v>
      </c>
      <c r="MFG108" s="1" t="s">
        <v>122</v>
      </c>
      <c r="MFH108" s="1" t="s">
        <v>122</v>
      </c>
      <c r="MFI108" s="1" t="s">
        <v>122</v>
      </c>
      <c r="MFJ108" s="1" t="s">
        <v>122</v>
      </c>
      <c r="MFK108" s="1" t="s">
        <v>122</v>
      </c>
      <c r="MFL108" s="1" t="s">
        <v>122</v>
      </c>
      <c r="MFM108" s="1" t="s">
        <v>122</v>
      </c>
      <c r="MFN108" s="1" t="s">
        <v>122</v>
      </c>
      <c r="MFO108" s="1" t="s">
        <v>122</v>
      </c>
      <c r="MFP108" s="1" t="s">
        <v>122</v>
      </c>
      <c r="MFQ108" s="1" t="s">
        <v>122</v>
      </c>
      <c r="MFR108" s="1" t="s">
        <v>122</v>
      </c>
      <c r="MFS108" s="1" t="s">
        <v>122</v>
      </c>
      <c r="MFT108" s="1" t="s">
        <v>122</v>
      </c>
      <c r="MFU108" s="1" t="s">
        <v>122</v>
      </c>
      <c r="MFV108" s="1" t="s">
        <v>122</v>
      </c>
      <c r="MFW108" s="1" t="s">
        <v>122</v>
      </c>
      <c r="MFX108" s="1" t="s">
        <v>122</v>
      </c>
      <c r="MFY108" s="1" t="s">
        <v>122</v>
      </c>
      <c r="MFZ108" s="1" t="s">
        <v>122</v>
      </c>
      <c r="MGA108" s="1" t="s">
        <v>122</v>
      </c>
      <c r="MGB108" s="1" t="s">
        <v>122</v>
      </c>
      <c r="MGC108" s="1" t="s">
        <v>122</v>
      </c>
      <c r="MGD108" s="1" t="s">
        <v>122</v>
      </c>
      <c r="MGE108" s="1" t="s">
        <v>122</v>
      </c>
      <c r="MGF108" s="1" t="s">
        <v>122</v>
      </c>
      <c r="MGG108" s="1" t="s">
        <v>122</v>
      </c>
      <c r="MGH108" s="1" t="s">
        <v>122</v>
      </c>
      <c r="MGI108" s="1" t="s">
        <v>122</v>
      </c>
      <c r="MGJ108" s="1" t="s">
        <v>122</v>
      </c>
      <c r="MGK108" s="1" t="s">
        <v>122</v>
      </c>
      <c r="MGL108" s="1" t="s">
        <v>122</v>
      </c>
      <c r="MGM108" s="1" t="s">
        <v>122</v>
      </c>
      <c r="MGN108" s="1" t="s">
        <v>122</v>
      </c>
      <c r="MGO108" s="1" t="s">
        <v>122</v>
      </c>
      <c r="MGP108" s="1" t="s">
        <v>122</v>
      </c>
      <c r="MGQ108" s="1" t="s">
        <v>122</v>
      </c>
      <c r="MGR108" s="1" t="s">
        <v>122</v>
      </c>
      <c r="MGS108" s="1" t="s">
        <v>122</v>
      </c>
      <c r="MGT108" s="1" t="s">
        <v>122</v>
      </c>
      <c r="MGU108" s="1" t="s">
        <v>122</v>
      </c>
      <c r="MGV108" s="1" t="s">
        <v>122</v>
      </c>
      <c r="MGW108" s="1" t="s">
        <v>122</v>
      </c>
      <c r="MGX108" s="1" t="s">
        <v>122</v>
      </c>
      <c r="MGY108" s="1" t="s">
        <v>122</v>
      </c>
      <c r="MGZ108" s="1" t="s">
        <v>122</v>
      </c>
      <c r="MHA108" s="1" t="s">
        <v>122</v>
      </c>
      <c r="MHB108" s="1" t="s">
        <v>122</v>
      </c>
      <c r="MHC108" s="1" t="s">
        <v>122</v>
      </c>
      <c r="MHD108" s="1" t="s">
        <v>122</v>
      </c>
      <c r="MHE108" s="1" t="s">
        <v>122</v>
      </c>
      <c r="MHF108" s="1" t="s">
        <v>122</v>
      </c>
      <c r="MHG108" s="1" t="s">
        <v>122</v>
      </c>
      <c r="MHH108" s="1" t="s">
        <v>122</v>
      </c>
      <c r="MHI108" s="1" t="s">
        <v>122</v>
      </c>
      <c r="MHJ108" s="1" t="s">
        <v>122</v>
      </c>
      <c r="MHK108" s="1" t="s">
        <v>122</v>
      </c>
      <c r="MHL108" s="1" t="s">
        <v>122</v>
      </c>
      <c r="MHM108" s="1" t="s">
        <v>122</v>
      </c>
      <c r="MHN108" s="1" t="s">
        <v>122</v>
      </c>
      <c r="MHO108" s="1" t="s">
        <v>122</v>
      </c>
      <c r="MHP108" s="1" t="s">
        <v>122</v>
      </c>
      <c r="MHQ108" s="1" t="s">
        <v>122</v>
      </c>
      <c r="MHR108" s="1" t="s">
        <v>122</v>
      </c>
      <c r="MHS108" s="1" t="s">
        <v>122</v>
      </c>
      <c r="MHT108" s="1" t="s">
        <v>122</v>
      </c>
      <c r="MHU108" s="1" t="s">
        <v>122</v>
      </c>
      <c r="MHV108" s="1" t="s">
        <v>122</v>
      </c>
      <c r="MHW108" s="1" t="s">
        <v>122</v>
      </c>
      <c r="MHX108" s="1" t="s">
        <v>122</v>
      </c>
      <c r="MHY108" s="1" t="s">
        <v>122</v>
      </c>
      <c r="MHZ108" s="1" t="s">
        <v>122</v>
      </c>
      <c r="MIA108" s="1" t="s">
        <v>122</v>
      </c>
      <c r="MIB108" s="1" t="s">
        <v>122</v>
      </c>
      <c r="MIC108" s="1" t="s">
        <v>122</v>
      </c>
      <c r="MID108" s="1" t="s">
        <v>122</v>
      </c>
      <c r="MIE108" s="1" t="s">
        <v>122</v>
      </c>
      <c r="MIF108" s="1" t="s">
        <v>122</v>
      </c>
      <c r="MIG108" s="1" t="s">
        <v>122</v>
      </c>
      <c r="MIH108" s="1" t="s">
        <v>122</v>
      </c>
      <c r="MII108" s="1" t="s">
        <v>122</v>
      </c>
      <c r="MIJ108" s="1" t="s">
        <v>122</v>
      </c>
      <c r="MIK108" s="1" t="s">
        <v>122</v>
      </c>
      <c r="MIL108" s="1" t="s">
        <v>122</v>
      </c>
      <c r="MIM108" s="1" t="s">
        <v>122</v>
      </c>
      <c r="MIN108" s="1" t="s">
        <v>122</v>
      </c>
      <c r="MIO108" s="1" t="s">
        <v>122</v>
      </c>
      <c r="MIP108" s="1" t="s">
        <v>122</v>
      </c>
      <c r="MIQ108" s="1" t="s">
        <v>122</v>
      </c>
      <c r="MIR108" s="1" t="s">
        <v>122</v>
      </c>
      <c r="MIS108" s="1" t="s">
        <v>122</v>
      </c>
      <c r="MIT108" s="1" t="s">
        <v>122</v>
      </c>
      <c r="MIU108" s="1" t="s">
        <v>122</v>
      </c>
      <c r="MIV108" s="1" t="s">
        <v>122</v>
      </c>
      <c r="MIW108" s="1" t="s">
        <v>122</v>
      </c>
      <c r="MIX108" s="1" t="s">
        <v>122</v>
      </c>
      <c r="MIY108" s="1" t="s">
        <v>122</v>
      </c>
      <c r="MIZ108" s="1" t="s">
        <v>122</v>
      </c>
      <c r="MJA108" s="1" t="s">
        <v>122</v>
      </c>
      <c r="MJB108" s="1" t="s">
        <v>122</v>
      </c>
      <c r="MJC108" s="1" t="s">
        <v>122</v>
      </c>
      <c r="MJD108" s="1" t="s">
        <v>122</v>
      </c>
      <c r="MJE108" s="1" t="s">
        <v>122</v>
      </c>
      <c r="MJF108" s="1" t="s">
        <v>122</v>
      </c>
      <c r="MJG108" s="1" t="s">
        <v>122</v>
      </c>
      <c r="MJH108" s="1" t="s">
        <v>122</v>
      </c>
      <c r="MJI108" s="1" t="s">
        <v>122</v>
      </c>
      <c r="MJJ108" s="1" t="s">
        <v>122</v>
      </c>
      <c r="MJK108" s="1" t="s">
        <v>122</v>
      </c>
      <c r="MJL108" s="1" t="s">
        <v>122</v>
      </c>
      <c r="MJM108" s="1" t="s">
        <v>122</v>
      </c>
      <c r="MJN108" s="1" t="s">
        <v>122</v>
      </c>
      <c r="MJO108" s="1" t="s">
        <v>122</v>
      </c>
      <c r="MJP108" s="1" t="s">
        <v>122</v>
      </c>
      <c r="MJQ108" s="1" t="s">
        <v>122</v>
      </c>
      <c r="MJR108" s="1" t="s">
        <v>122</v>
      </c>
      <c r="MJS108" s="1" t="s">
        <v>122</v>
      </c>
      <c r="MJT108" s="1" t="s">
        <v>122</v>
      </c>
      <c r="MJU108" s="1" t="s">
        <v>122</v>
      </c>
      <c r="MJV108" s="1" t="s">
        <v>122</v>
      </c>
      <c r="MJW108" s="1" t="s">
        <v>122</v>
      </c>
      <c r="MJX108" s="1" t="s">
        <v>122</v>
      </c>
      <c r="MJY108" s="1" t="s">
        <v>122</v>
      </c>
      <c r="MJZ108" s="1" t="s">
        <v>122</v>
      </c>
      <c r="MKA108" s="1" t="s">
        <v>122</v>
      </c>
      <c r="MKB108" s="1" t="s">
        <v>122</v>
      </c>
      <c r="MKC108" s="1" t="s">
        <v>122</v>
      </c>
      <c r="MKD108" s="1" t="s">
        <v>122</v>
      </c>
      <c r="MKE108" s="1" t="s">
        <v>122</v>
      </c>
      <c r="MKF108" s="1" t="s">
        <v>122</v>
      </c>
      <c r="MKG108" s="1" t="s">
        <v>122</v>
      </c>
      <c r="MKH108" s="1" t="s">
        <v>122</v>
      </c>
      <c r="MKI108" s="1" t="s">
        <v>122</v>
      </c>
      <c r="MKJ108" s="1" t="s">
        <v>122</v>
      </c>
      <c r="MKK108" s="1" t="s">
        <v>122</v>
      </c>
      <c r="MKL108" s="1" t="s">
        <v>122</v>
      </c>
      <c r="MKM108" s="1" t="s">
        <v>122</v>
      </c>
      <c r="MKN108" s="1" t="s">
        <v>122</v>
      </c>
      <c r="MKO108" s="1" t="s">
        <v>122</v>
      </c>
      <c r="MKP108" s="1" t="s">
        <v>122</v>
      </c>
      <c r="MKQ108" s="1" t="s">
        <v>122</v>
      </c>
      <c r="MKR108" s="1" t="s">
        <v>122</v>
      </c>
      <c r="MKS108" s="1" t="s">
        <v>122</v>
      </c>
      <c r="MKT108" s="1" t="s">
        <v>122</v>
      </c>
      <c r="MKU108" s="1" t="s">
        <v>122</v>
      </c>
      <c r="MKV108" s="1" t="s">
        <v>122</v>
      </c>
      <c r="MKW108" s="1" t="s">
        <v>122</v>
      </c>
      <c r="MKX108" s="1" t="s">
        <v>122</v>
      </c>
      <c r="MKY108" s="1" t="s">
        <v>122</v>
      </c>
      <c r="MKZ108" s="1" t="s">
        <v>122</v>
      </c>
      <c r="MLA108" s="1" t="s">
        <v>122</v>
      </c>
      <c r="MLB108" s="1" t="s">
        <v>122</v>
      </c>
      <c r="MLC108" s="1" t="s">
        <v>122</v>
      </c>
      <c r="MLD108" s="1" t="s">
        <v>122</v>
      </c>
      <c r="MLE108" s="1" t="s">
        <v>122</v>
      </c>
      <c r="MLF108" s="1" t="s">
        <v>122</v>
      </c>
      <c r="MLG108" s="1" t="s">
        <v>122</v>
      </c>
      <c r="MLH108" s="1" t="s">
        <v>122</v>
      </c>
      <c r="MLI108" s="1" t="s">
        <v>122</v>
      </c>
      <c r="MLJ108" s="1" t="s">
        <v>122</v>
      </c>
      <c r="MLK108" s="1" t="s">
        <v>122</v>
      </c>
      <c r="MLL108" s="1" t="s">
        <v>122</v>
      </c>
      <c r="MLM108" s="1" t="s">
        <v>122</v>
      </c>
      <c r="MLN108" s="1" t="s">
        <v>122</v>
      </c>
      <c r="MLO108" s="1" t="s">
        <v>122</v>
      </c>
      <c r="MLP108" s="1" t="s">
        <v>122</v>
      </c>
      <c r="MLQ108" s="1" t="s">
        <v>122</v>
      </c>
      <c r="MLR108" s="1" t="s">
        <v>122</v>
      </c>
      <c r="MLS108" s="1" t="s">
        <v>122</v>
      </c>
      <c r="MLT108" s="1" t="s">
        <v>122</v>
      </c>
      <c r="MLU108" s="1" t="s">
        <v>122</v>
      </c>
      <c r="MLV108" s="1" t="s">
        <v>122</v>
      </c>
      <c r="MLW108" s="1" t="s">
        <v>122</v>
      </c>
      <c r="MLX108" s="1" t="s">
        <v>122</v>
      </c>
      <c r="MLY108" s="1" t="s">
        <v>122</v>
      </c>
      <c r="MLZ108" s="1" t="s">
        <v>122</v>
      </c>
      <c r="MMA108" s="1" t="s">
        <v>122</v>
      </c>
      <c r="MMB108" s="1" t="s">
        <v>122</v>
      </c>
      <c r="MMC108" s="1" t="s">
        <v>122</v>
      </c>
      <c r="MMD108" s="1" t="s">
        <v>122</v>
      </c>
      <c r="MME108" s="1" t="s">
        <v>122</v>
      </c>
      <c r="MMF108" s="1" t="s">
        <v>122</v>
      </c>
      <c r="MMG108" s="1" t="s">
        <v>122</v>
      </c>
      <c r="MMH108" s="1" t="s">
        <v>122</v>
      </c>
      <c r="MMI108" s="1" t="s">
        <v>122</v>
      </c>
      <c r="MMJ108" s="1" t="s">
        <v>122</v>
      </c>
      <c r="MMK108" s="1" t="s">
        <v>122</v>
      </c>
      <c r="MML108" s="1" t="s">
        <v>122</v>
      </c>
      <c r="MMM108" s="1" t="s">
        <v>122</v>
      </c>
      <c r="MMN108" s="1" t="s">
        <v>122</v>
      </c>
      <c r="MMO108" s="1" t="s">
        <v>122</v>
      </c>
      <c r="MMP108" s="1" t="s">
        <v>122</v>
      </c>
      <c r="MMQ108" s="1" t="s">
        <v>122</v>
      </c>
      <c r="MMR108" s="1" t="s">
        <v>122</v>
      </c>
      <c r="MMS108" s="1" t="s">
        <v>122</v>
      </c>
      <c r="MMT108" s="1" t="s">
        <v>122</v>
      </c>
      <c r="MMU108" s="1" t="s">
        <v>122</v>
      </c>
      <c r="MMV108" s="1" t="s">
        <v>122</v>
      </c>
      <c r="MMW108" s="1" t="s">
        <v>122</v>
      </c>
      <c r="MMX108" s="1" t="s">
        <v>122</v>
      </c>
      <c r="MMY108" s="1" t="s">
        <v>122</v>
      </c>
      <c r="MMZ108" s="1" t="s">
        <v>122</v>
      </c>
      <c r="MNA108" s="1" t="s">
        <v>122</v>
      </c>
      <c r="MNB108" s="1" t="s">
        <v>122</v>
      </c>
      <c r="MNC108" s="1" t="s">
        <v>122</v>
      </c>
      <c r="MND108" s="1" t="s">
        <v>122</v>
      </c>
      <c r="MNE108" s="1" t="s">
        <v>122</v>
      </c>
      <c r="MNF108" s="1" t="s">
        <v>122</v>
      </c>
      <c r="MNG108" s="1" t="s">
        <v>122</v>
      </c>
      <c r="MNH108" s="1" t="s">
        <v>122</v>
      </c>
      <c r="MNI108" s="1" t="s">
        <v>122</v>
      </c>
      <c r="MNJ108" s="1" t="s">
        <v>122</v>
      </c>
      <c r="MNK108" s="1" t="s">
        <v>122</v>
      </c>
      <c r="MNL108" s="1" t="s">
        <v>122</v>
      </c>
      <c r="MNM108" s="1" t="s">
        <v>122</v>
      </c>
      <c r="MNN108" s="1" t="s">
        <v>122</v>
      </c>
      <c r="MNO108" s="1" t="s">
        <v>122</v>
      </c>
      <c r="MNP108" s="1" t="s">
        <v>122</v>
      </c>
      <c r="MNQ108" s="1" t="s">
        <v>122</v>
      </c>
      <c r="MNR108" s="1" t="s">
        <v>122</v>
      </c>
      <c r="MNS108" s="1" t="s">
        <v>122</v>
      </c>
      <c r="MNT108" s="1" t="s">
        <v>122</v>
      </c>
      <c r="MNU108" s="1" t="s">
        <v>122</v>
      </c>
      <c r="MNV108" s="1" t="s">
        <v>122</v>
      </c>
      <c r="MNW108" s="1" t="s">
        <v>122</v>
      </c>
      <c r="MNX108" s="1" t="s">
        <v>122</v>
      </c>
      <c r="MNY108" s="1" t="s">
        <v>122</v>
      </c>
      <c r="MNZ108" s="1" t="s">
        <v>122</v>
      </c>
      <c r="MOA108" s="1" t="s">
        <v>122</v>
      </c>
      <c r="MOB108" s="1" t="s">
        <v>122</v>
      </c>
      <c r="MOC108" s="1" t="s">
        <v>122</v>
      </c>
      <c r="MOD108" s="1" t="s">
        <v>122</v>
      </c>
      <c r="MOE108" s="1" t="s">
        <v>122</v>
      </c>
      <c r="MOF108" s="1" t="s">
        <v>122</v>
      </c>
      <c r="MOG108" s="1" t="s">
        <v>122</v>
      </c>
      <c r="MOH108" s="1" t="s">
        <v>122</v>
      </c>
      <c r="MOI108" s="1" t="s">
        <v>122</v>
      </c>
      <c r="MOJ108" s="1" t="s">
        <v>122</v>
      </c>
      <c r="MOK108" s="1" t="s">
        <v>122</v>
      </c>
      <c r="MOL108" s="1" t="s">
        <v>122</v>
      </c>
      <c r="MOM108" s="1" t="s">
        <v>122</v>
      </c>
      <c r="MON108" s="1" t="s">
        <v>122</v>
      </c>
      <c r="MOO108" s="1" t="s">
        <v>122</v>
      </c>
      <c r="MOP108" s="1" t="s">
        <v>122</v>
      </c>
      <c r="MOQ108" s="1" t="s">
        <v>122</v>
      </c>
      <c r="MOR108" s="1" t="s">
        <v>122</v>
      </c>
      <c r="MOS108" s="1" t="s">
        <v>122</v>
      </c>
      <c r="MOT108" s="1" t="s">
        <v>122</v>
      </c>
      <c r="MOU108" s="1" t="s">
        <v>122</v>
      </c>
      <c r="MOV108" s="1" t="s">
        <v>122</v>
      </c>
      <c r="MOW108" s="1" t="s">
        <v>122</v>
      </c>
      <c r="MOX108" s="1" t="s">
        <v>122</v>
      </c>
      <c r="MOY108" s="1" t="s">
        <v>122</v>
      </c>
      <c r="MOZ108" s="1" t="s">
        <v>122</v>
      </c>
      <c r="MPA108" s="1" t="s">
        <v>122</v>
      </c>
      <c r="MPB108" s="1" t="s">
        <v>122</v>
      </c>
      <c r="MPC108" s="1" t="s">
        <v>122</v>
      </c>
      <c r="MPD108" s="1" t="s">
        <v>122</v>
      </c>
      <c r="MPE108" s="1" t="s">
        <v>122</v>
      </c>
      <c r="MPF108" s="1" t="s">
        <v>122</v>
      </c>
      <c r="MPG108" s="1" t="s">
        <v>122</v>
      </c>
      <c r="MPH108" s="1" t="s">
        <v>122</v>
      </c>
      <c r="MPI108" s="1" t="s">
        <v>122</v>
      </c>
      <c r="MPJ108" s="1" t="s">
        <v>122</v>
      </c>
      <c r="MPK108" s="1" t="s">
        <v>122</v>
      </c>
      <c r="MPL108" s="1" t="s">
        <v>122</v>
      </c>
      <c r="MPM108" s="1" t="s">
        <v>122</v>
      </c>
      <c r="MPN108" s="1" t="s">
        <v>122</v>
      </c>
      <c r="MPO108" s="1" t="s">
        <v>122</v>
      </c>
      <c r="MPP108" s="1" t="s">
        <v>122</v>
      </c>
      <c r="MPQ108" s="1" t="s">
        <v>122</v>
      </c>
      <c r="MPR108" s="1" t="s">
        <v>122</v>
      </c>
      <c r="MPS108" s="1" t="s">
        <v>122</v>
      </c>
      <c r="MPT108" s="1" t="s">
        <v>122</v>
      </c>
      <c r="MPU108" s="1" t="s">
        <v>122</v>
      </c>
      <c r="MPV108" s="1" t="s">
        <v>122</v>
      </c>
      <c r="MPW108" s="1" t="s">
        <v>122</v>
      </c>
      <c r="MPX108" s="1" t="s">
        <v>122</v>
      </c>
      <c r="MPY108" s="1" t="s">
        <v>122</v>
      </c>
      <c r="MPZ108" s="1" t="s">
        <v>122</v>
      </c>
      <c r="MQA108" s="1" t="s">
        <v>122</v>
      </c>
      <c r="MQB108" s="1" t="s">
        <v>122</v>
      </c>
      <c r="MQC108" s="1" t="s">
        <v>122</v>
      </c>
      <c r="MQD108" s="1" t="s">
        <v>122</v>
      </c>
      <c r="MQE108" s="1" t="s">
        <v>122</v>
      </c>
      <c r="MQF108" s="1" t="s">
        <v>122</v>
      </c>
      <c r="MQG108" s="1" t="s">
        <v>122</v>
      </c>
      <c r="MQH108" s="1" t="s">
        <v>122</v>
      </c>
      <c r="MQI108" s="1" t="s">
        <v>122</v>
      </c>
      <c r="MQJ108" s="1" t="s">
        <v>122</v>
      </c>
      <c r="MQK108" s="1" t="s">
        <v>122</v>
      </c>
      <c r="MQL108" s="1" t="s">
        <v>122</v>
      </c>
      <c r="MQM108" s="1" t="s">
        <v>122</v>
      </c>
      <c r="MQN108" s="1" t="s">
        <v>122</v>
      </c>
      <c r="MQO108" s="1" t="s">
        <v>122</v>
      </c>
      <c r="MQP108" s="1" t="s">
        <v>122</v>
      </c>
      <c r="MQQ108" s="1" t="s">
        <v>122</v>
      </c>
      <c r="MQR108" s="1" t="s">
        <v>122</v>
      </c>
      <c r="MQS108" s="1" t="s">
        <v>122</v>
      </c>
      <c r="MQT108" s="1" t="s">
        <v>122</v>
      </c>
      <c r="MQU108" s="1" t="s">
        <v>122</v>
      </c>
      <c r="MQV108" s="1" t="s">
        <v>122</v>
      </c>
      <c r="MQW108" s="1" t="s">
        <v>122</v>
      </c>
      <c r="MQX108" s="1" t="s">
        <v>122</v>
      </c>
      <c r="MQY108" s="1" t="s">
        <v>122</v>
      </c>
      <c r="MQZ108" s="1" t="s">
        <v>122</v>
      </c>
      <c r="MRA108" s="1" t="s">
        <v>122</v>
      </c>
      <c r="MRB108" s="1" t="s">
        <v>122</v>
      </c>
      <c r="MRC108" s="1" t="s">
        <v>122</v>
      </c>
      <c r="MRD108" s="1" t="s">
        <v>122</v>
      </c>
      <c r="MRE108" s="1" t="s">
        <v>122</v>
      </c>
      <c r="MRF108" s="1" t="s">
        <v>122</v>
      </c>
      <c r="MRG108" s="1" t="s">
        <v>122</v>
      </c>
      <c r="MRH108" s="1" t="s">
        <v>122</v>
      </c>
      <c r="MRI108" s="1" t="s">
        <v>122</v>
      </c>
      <c r="MRJ108" s="1" t="s">
        <v>122</v>
      </c>
      <c r="MRK108" s="1" t="s">
        <v>122</v>
      </c>
      <c r="MRL108" s="1" t="s">
        <v>122</v>
      </c>
      <c r="MRM108" s="1" t="s">
        <v>122</v>
      </c>
      <c r="MRN108" s="1" t="s">
        <v>122</v>
      </c>
      <c r="MRO108" s="1" t="s">
        <v>122</v>
      </c>
      <c r="MRP108" s="1" t="s">
        <v>122</v>
      </c>
      <c r="MRQ108" s="1" t="s">
        <v>122</v>
      </c>
      <c r="MRR108" s="1" t="s">
        <v>122</v>
      </c>
      <c r="MRS108" s="1" t="s">
        <v>122</v>
      </c>
      <c r="MRT108" s="1" t="s">
        <v>122</v>
      </c>
      <c r="MRU108" s="1" t="s">
        <v>122</v>
      </c>
      <c r="MRV108" s="1" t="s">
        <v>122</v>
      </c>
      <c r="MRW108" s="1" t="s">
        <v>122</v>
      </c>
      <c r="MRX108" s="1" t="s">
        <v>122</v>
      </c>
      <c r="MRY108" s="1" t="s">
        <v>122</v>
      </c>
      <c r="MRZ108" s="1" t="s">
        <v>122</v>
      </c>
      <c r="MSA108" s="1" t="s">
        <v>122</v>
      </c>
      <c r="MSB108" s="1" t="s">
        <v>122</v>
      </c>
      <c r="MSC108" s="1" t="s">
        <v>122</v>
      </c>
      <c r="MSD108" s="1" t="s">
        <v>122</v>
      </c>
      <c r="MSE108" s="1" t="s">
        <v>122</v>
      </c>
      <c r="MSF108" s="1" t="s">
        <v>122</v>
      </c>
      <c r="MSG108" s="1" t="s">
        <v>122</v>
      </c>
      <c r="MSH108" s="1" t="s">
        <v>122</v>
      </c>
      <c r="MSI108" s="1" t="s">
        <v>122</v>
      </c>
      <c r="MSJ108" s="1" t="s">
        <v>122</v>
      </c>
      <c r="MSK108" s="1" t="s">
        <v>122</v>
      </c>
      <c r="MSL108" s="1" t="s">
        <v>122</v>
      </c>
      <c r="MSM108" s="1" t="s">
        <v>122</v>
      </c>
      <c r="MSN108" s="1" t="s">
        <v>122</v>
      </c>
      <c r="MSO108" s="1" t="s">
        <v>122</v>
      </c>
      <c r="MSP108" s="1" t="s">
        <v>122</v>
      </c>
      <c r="MSQ108" s="1" t="s">
        <v>122</v>
      </c>
      <c r="MSR108" s="1" t="s">
        <v>122</v>
      </c>
      <c r="MSS108" s="1" t="s">
        <v>122</v>
      </c>
      <c r="MST108" s="1" t="s">
        <v>122</v>
      </c>
      <c r="MSU108" s="1" t="s">
        <v>122</v>
      </c>
      <c r="MSV108" s="1" t="s">
        <v>122</v>
      </c>
      <c r="MSW108" s="1" t="s">
        <v>122</v>
      </c>
      <c r="MSX108" s="1" t="s">
        <v>122</v>
      </c>
      <c r="MSY108" s="1" t="s">
        <v>122</v>
      </c>
      <c r="MSZ108" s="1" t="s">
        <v>122</v>
      </c>
      <c r="MTA108" s="1" t="s">
        <v>122</v>
      </c>
      <c r="MTB108" s="1" t="s">
        <v>122</v>
      </c>
      <c r="MTC108" s="1" t="s">
        <v>122</v>
      </c>
      <c r="MTD108" s="1" t="s">
        <v>122</v>
      </c>
      <c r="MTE108" s="1" t="s">
        <v>122</v>
      </c>
      <c r="MTF108" s="1" t="s">
        <v>122</v>
      </c>
      <c r="MTG108" s="1" t="s">
        <v>122</v>
      </c>
      <c r="MTH108" s="1" t="s">
        <v>122</v>
      </c>
      <c r="MTI108" s="1" t="s">
        <v>122</v>
      </c>
      <c r="MTJ108" s="1" t="s">
        <v>122</v>
      </c>
      <c r="MTK108" s="1" t="s">
        <v>122</v>
      </c>
      <c r="MTL108" s="1" t="s">
        <v>122</v>
      </c>
      <c r="MTM108" s="1" t="s">
        <v>122</v>
      </c>
      <c r="MTN108" s="1" t="s">
        <v>122</v>
      </c>
      <c r="MTO108" s="1" t="s">
        <v>122</v>
      </c>
      <c r="MTP108" s="1" t="s">
        <v>122</v>
      </c>
      <c r="MTQ108" s="1" t="s">
        <v>122</v>
      </c>
      <c r="MTR108" s="1" t="s">
        <v>122</v>
      </c>
      <c r="MTS108" s="1" t="s">
        <v>122</v>
      </c>
      <c r="MTT108" s="1" t="s">
        <v>122</v>
      </c>
      <c r="MTU108" s="1" t="s">
        <v>122</v>
      </c>
      <c r="MTV108" s="1" t="s">
        <v>122</v>
      </c>
      <c r="MTW108" s="1" t="s">
        <v>122</v>
      </c>
      <c r="MTX108" s="1" t="s">
        <v>122</v>
      </c>
      <c r="MTY108" s="1" t="s">
        <v>122</v>
      </c>
      <c r="MTZ108" s="1" t="s">
        <v>122</v>
      </c>
      <c r="MUA108" s="1" t="s">
        <v>122</v>
      </c>
      <c r="MUB108" s="1" t="s">
        <v>122</v>
      </c>
      <c r="MUC108" s="1" t="s">
        <v>122</v>
      </c>
      <c r="MUD108" s="1" t="s">
        <v>122</v>
      </c>
      <c r="MUE108" s="1" t="s">
        <v>122</v>
      </c>
      <c r="MUF108" s="1" t="s">
        <v>122</v>
      </c>
      <c r="MUG108" s="1" t="s">
        <v>122</v>
      </c>
      <c r="MUH108" s="1" t="s">
        <v>122</v>
      </c>
      <c r="MUI108" s="1" t="s">
        <v>122</v>
      </c>
      <c r="MUJ108" s="1" t="s">
        <v>122</v>
      </c>
      <c r="MUK108" s="1" t="s">
        <v>122</v>
      </c>
      <c r="MUL108" s="1" t="s">
        <v>122</v>
      </c>
      <c r="MUM108" s="1" t="s">
        <v>122</v>
      </c>
      <c r="MUN108" s="1" t="s">
        <v>122</v>
      </c>
      <c r="MUO108" s="1" t="s">
        <v>122</v>
      </c>
      <c r="MUP108" s="1" t="s">
        <v>122</v>
      </c>
      <c r="MUQ108" s="1" t="s">
        <v>122</v>
      </c>
      <c r="MUR108" s="1" t="s">
        <v>122</v>
      </c>
      <c r="MUS108" s="1" t="s">
        <v>122</v>
      </c>
      <c r="MUT108" s="1" t="s">
        <v>122</v>
      </c>
      <c r="MUU108" s="1" t="s">
        <v>122</v>
      </c>
      <c r="MUV108" s="1" t="s">
        <v>122</v>
      </c>
      <c r="MUW108" s="1" t="s">
        <v>122</v>
      </c>
      <c r="MUX108" s="1" t="s">
        <v>122</v>
      </c>
      <c r="MUY108" s="1" t="s">
        <v>122</v>
      </c>
      <c r="MUZ108" s="1" t="s">
        <v>122</v>
      </c>
      <c r="MVA108" s="1" t="s">
        <v>122</v>
      </c>
      <c r="MVB108" s="1" t="s">
        <v>122</v>
      </c>
      <c r="MVC108" s="1" t="s">
        <v>122</v>
      </c>
      <c r="MVD108" s="1" t="s">
        <v>122</v>
      </c>
      <c r="MVE108" s="1" t="s">
        <v>122</v>
      </c>
      <c r="MVF108" s="1" t="s">
        <v>122</v>
      </c>
      <c r="MVG108" s="1" t="s">
        <v>122</v>
      </c>
      <c r="MVH108" s="1" t="s">
        <v>122</v>
      </c>
      <c r="MVI108" s="1" t="s">
        <v>122</v>
      </c>
      <c r="MVJ108" s="1" t="s">
        <v>122</v>
      </c>
      <c r="MVK108" s="1" t="s">
        <v>122</v>
      </c>
      <c r="MVL108" s="1" t="s">
        <v>122</v>
      </c>
      <c r="MVM108" s="1" t="s">
        <v>122</v>
      </c>
      <c r="MVN108" s="1" t="s">
        <v>122</v>
      </c>
      <c r="MVO108" s="1" t="s">
        <v>122</v>
      </c>
      <c r="MVP108" s="1" t="s">
        <v>122</v>
      </c>
      <c r="MVQ108" s="1" t="s">
        <v>122</v>
      </c>
      <c r="MVR108" s="1" t="s">
        <v>122</v>
      </c>
      <c r="MVS108" s="1" t="s">
        <v>122</v>
      </c>
      <c r="MVT108" s="1" t="s">
        <v>122</v>
      </c>
      <c r="MVU108" s="1" t="s">
        <v>122</v>
      </c>
      <c r="MVV108" s="1" t="s">
        <v>122</v>
      </c>
      <c r="MVW108" s="1" t="s">
        <v>122</v>
      </c>
      <c r="MVX108" s="1" t="s">
        <v>122</v>
      </c>
      <c r="MVY108" s="1" t="s">
        <v>122</v>
      </c>
      <c r="MVZ108" s="1" t="s">
        <v>122</v>
      </c>
      <c r="MWA108" s="1" t="s">
        <v>122</v>
      </c>
      <c r="MWB108" s="1" t="s">
        <v>122</v>
      </c>
      <c r="MWC108" s="1" t="s">
        <v>122</v>
      </c>
      <c r="MWD108" s="1" t="s">
        <v>122</v>
      </c>
      <c r="MWE108" s="1" t="s">
        <v>122</v>
      </c>
      <c r="MWF108" s="1" t="s">
        <v>122</v>
      </c>
      <c r="MWG108" s="1" t="s">
        <v>122</v>
      </c>
      <c r="MWH108" s="1" t="s">
        <v>122</v>
      </c>
      <c r="MWI108" s="1" t="s">
        <v>122</v>
      </c>
      <c r="MWJ108" s="1" t="s">
        <v>122</v>
      </c>
      <c r="MWK108" s="1" t="s">
        <v>122</v>
      </c>
      <c r="MWL108" s="1" t="s">
        <v>122</v>
      </c>
      <c r="MWM108" s="1" t="s">
        <v>122</v>
      </c>
      <c r="MWN108" s="1" t="s">
        <v>122</v>
      </c>
      <c r="MWO108" s="1" t="s">
        <v>122</v>
      </c>
      <c r="MWP108" s="1" t="s">
        <v>122</v>
      </c>
      <c r="MWQ108" s="1" t="s">
        <v>122</v>
      </c>
      <c r="MWR108" s="1" t="s">
        <v>122</v>
      </c>
      <c r="MWS108" s="1" t="s">
        <v>122</v>
      </c>
      <c r="MWT108" s="1" t="s">
        <v>122</v>
      </c>
      <c r="MWU108" s="1" t="s">
        <v>122</v>
      </c>
      <c r="MWV108" s="1" t="s">
        <v>122</v>
      </c>
      <c r="MWW108" s="1" t="s">
        <v>122</v>
      </c>
      <c r="MWX108" s="1" t="s">
        <v>122</v>
      </c>
      <c r="MWY108" s="1" t="s">
        <v>122</v>
      </c>
      <c r="MWZ108" s="1" t="s">
        <v>122</v>
      </c>
      <c r="MXA108" s="1" t="s">
        <v>122</v>
      </c>
      <c r="MXB108" s="1" t="s">
        <v>122</v>
      </c>
      <c r="MXC108" s="1" t="s">
        <v>122</v>
      </c>
      <c r="MXD108" s="1" t="s">
        <v>122</v>
      </c>
      <c r="MXE108" s="1" t="s">
        <v>122</v>
      </c>
      <c r="MXF108" s="1" t="s">
        <v>122</v>
      </c>
      <c r="MXG108" s="1" t="s">
        <v>122</v>
      </c>
      <c r="MXH108" s="1" t="s">
        <v>122</v>
      </c>
      <c r="MXI108" s="1" t="s">
        <v>122</v>
      </c>
      <c r="MXJ108" s="1" t="s">
        <v>122</v>
      </c>
      <c r="MXK108" s="1" t="s">
        <v>122</v>
      </c>
      <c r="MXL108" s="1" t="s">
        <v>122</v>
      </c>
      <c r="MXM108" s="1" t="s">
        <v>122</v>
      </c>
      <c r="MXN108" s="1" t="s">
        <v>122</v>
      </c>
      <c r="MXO108" s="1" t="s">
        <v>122</v>
      </c>
      <c r="MXP108" s="1" t="s">
        <v>122</v>
      </c>
      <c r="MXQ108" s="1" t="s">
        <v>122</v>
      </c>
      <c r="MXR108" s="1" t="s">
        <v>122</v>
      </c>
      <c r="MXS108" s="1" t="s">
        <v>122</v>
      </c>
      <c r="MXT108" s="1" t="s">
        <v>122</v>
      </c>
      <c r="MXU108" s="1" t="s">
        <v>122</v>
      </c>
      <c r="MXV108" s="1" t="s">
        <v>122</v>
      </c>
      <c r="MXW108" s="1" t="s">
        <v>122</v>
      </c>
      <c r="MXX108" s="1" t="s">
        <v>122</v>
      </c>
      <c r="MXY108" s="1" t="s">
        <v>122</v>
      </c>
      <c r="MXZ108" s="1" t="s">
        <v>122</v>
      </c>
      <c r="MYA108" s="1" t="s">
        <v>122</v>
      </c>
      <c r="MYB108" s="1" t="s">
        <v>122</v>
      </c>
      <c r="MYC108" s="1" t="s">
        <v>122</v>
      </c>
      <c r="MYD108" s="1" t="s">
        <v>122</v>
      </c>
      <c r="MYE108" s="1" t="s">
        <v>122</v>
      </c>
      <c r="MYF108" s="1" t="s">
        <v>122</v>
      </c>
      <c r="MYG108" s="1" t="s">
        <v>122</v>
      </c>
      <c r="MYH108" s="1" t="s">
        <v>122</v>
      </c>
      <c r="MYI108" s="1" t="s">
        <v>122</v>
      </c>
      <c r="MYJ108" s="1" t="s">
        <v>122</v>
      </c>
      <c r="MYK108" s="1" t="s">
        <v>122</v>
      </c>
      <c r="MYL108" s="1" t="s">
        <v>122</v>
      </c>
      <c r="MYM108" s="1" t="s">
        <v>122</v>
      </c>
      <c r="MYN108" s="1" t="s">
        <v>122</v>
      </c>
      <c r="MYO108" s="1" t="s">
        <v>122</v>
      </c>
      <c r="MYP108" s="1" t="s">
        <v>122</v>
      </c>
      <c r="MYQ108" s="1" t="s">
        <v>122</v>
      </c>
      <c r="MYR108" s="1" t="s">
        <v>122</v>
      </c>
      <c r="MYS108" s="1" t="s">
        <v>122</v>
      </c>
      <c r="MYT108" s="1" t="s">
        <v>122</v>
      </c>
      <c r="MYU108" s="1" t="s">
        <v>122</v>
      </c>
      <c r="MYV108" s="1" t="s">
        <v>122</v>
      </c>
      <c r="MYW108" s="1" t="s">
        <v>122</v>
      </c>
      <c r="MYX108" s="1" t="s">
        <v>122</v>
      </c>
      <c r="MYY108" s="1" t="s">
        <v>122</v>
      </c>
      <c r="MYZ108" s="1" t="s">
        <v>122</v>
      </c>
      <c r="MZA108" s="1" t="s">
        <v>122</v>
      </c>
      <c r="MZB108" s="1" t="s">
        <v>122</v>
      </c>
      <c r="MZC108" s="1" t="s">
        <v>122</v>
      </c>
      <c r="MZD108" s="1" t="s">
        <v>122</v>
      </c>
      <c r="MZE108" s="1" t="s">
        <v>122</v>
      </c>
      <c r="MZF108" s="1" t="s">
        <v>122</v>
      </c>
      <c r="MZG108" s="1" t="s">
        <v>122</v>
      </c>
      <c r="MZH108" s="1" t="s">
        <v>122</v>
      </c>
      <c r="MZI108" s="1" t="s">
        <v>122</v>
      </c>
      <c r="MZJ108" s="1" t="s">
        <v>122</v>
      </c>
      <c r="MZK108" s="1" t="s">
        <v>122</v>
      </c>
      <c r="MZL108" s="1" t="s">
        <v>122</v>
      </c>
      <c r="MZM108" s="1" t="s">
        <v>122</v>
      </c>
      <c r="MZN108" s="1" t="s">
        <v>122</v>
      </c>
      <c r="MZO108" s="1" t="s">
        <v>122</v>
      </c>
      <c r="MZP108" s="1" t="s">
        <v>122</v>
      </c>
      <c r="MZQ108" s="1" t="s">
        <v>122</v>
      </c>
      <c r="MZR108" s="1" t="s">
        <v>122</v>
      </c>
      <c r="MZS108" s="1" t="s">
        <v>122</v>
      </c>
      <c r="MZT108" s="1" t="s">
        <v>122</v>
      </c>
      <c r="MZU108" s="1" t="s">
        <v>122</v>
      </c>
      <c r="MZV108" s="1" t="s">
        <v>122</v>
      </c>
      <c r="MZW108" s="1" t="s">
        <v>122</v>
      </c>
      <c r="MZX108" s="1" t="s">
        <v>122</v>
      </c>
      <c r="MZY108" s="1" t="s">
        <v>122</v>
      </c>
      <c r="MZZ108" s="1" t="s">
        <v>122</v>
      </c>
      <c r="NAA108" s="1" t="s">
        <v>122</v>
      </c>
      <c r="NAB108" s="1" t="s">
        <v>122</v>
      </c>
      <c r="NAC108" s="1" t="s">
        <v>122</v>
      </c>
      <c r="NAD108" s="1" t="s">
        <v>122</v>
      </c>
      <c r="NAE108" s="1" t="s">
        <v>122</v>
      </c>
      <c r="NAF108" s="1" t="s">
        <v>122</v>
      </c>
      <c r="NAG108" s="1" t="s">
        <v>122</v>
      </c>
      <c r="NAH108" s="1" t="s">
        <v>122</v>
      </c>
      <c r="NAI108" s="1" t="s">
        <v>122</v>
      </c>
      <c r="NAJ108" s="1" t="s">
        <v>122</v>
      </c>
      <c r="NAK108" s="1" t="s">
        <v>122</v>
      </c>
      <c r="NAL108" s="1" t="s">
        <v>122</v>
      </c>
      <c r="NAM108" s="1" t="s">
        <v>122</v>
      </c>
      <c r="NAN108" s="1" t="s">
        <v>122</v>
      </c>
      <c r="NAO108" s="1" t="s">
        <v>122</v>
      </c>
      <c r="NAP108" s="1" t="s">
        <v>122</v>
      </c>
      <c r="NAQ108" s="1" t="s">
        <v>122</v>
      </c>
      <c r="NAR108" s="1" t="s">
        <v>122</v>
      </c>
      <c r="NAS108" s="1" t="s">
        <v>122</v>
      </c>
      <c r="NAT108" s="1" t="s">
        <v>122</v>
      </c>
      <c r="NAU108" s="1" t="s">
        <v>122</v>
      </c>
      <c r="NAV108" s="1" t="s">
        <v>122</v>
      </c>
      <c r="NAW108" s="1" t="s">
        <v>122</v>
      </c>
      <c r="NAX108" s="1" t="s">
        <v>122</v>
      </c>
      <c r="NAY108" s="1" t="s">
        <v>122</v>
      </c>
      <c r="NAZ108" s="1" t="s">
        <v>122</v>
      </c>
      <c r="NBA108" s="1" t="s">
        <v>122</v>
      </c>
      <c r="NBB108" s="1" t="s">
        <v>122</v>
      </c>
      <c r="NBC108" s="1" t="s">
        <v>122</v>
      </c>
      <c r="NBD108" s="1" t="s">
        <v>122</v>
      </c>
      <c r="NBE108" s="1" t="s">
        <v>122</v>
      </c>
      <c r="NBF108" s="1" t="s">
        <v>122</v>
      </c>
      <c r="NBG108" s="1" t="s">
        <v>122</v>
      </c>
      <c r="NBH108" s="1" t="s">
        <v>122</v>
      </c>
      <c r="NBI108" s="1" t="s">
        <v>122</v>
      </c>
      <c r="NBJ108" s="1" t="s">
        <v>122</v>
      </c>
      <c r="NBK108" s="1" t="s">
        <v>122</v>
      </c>
      <c r="NBL108" s="1" t="s">
        <v>122</v>
      </c>
      <c r="NBM108" s="1" t="s">
        <v>122</v>
      </c>
      <c r="NBN108" s="1" t="s">
        <v>122</v>
      </c>
      <c r="NBO108" s="1" t="s">
        <v>122</v>
      </c>
      <c r="NBP108" s="1" t="s">
        <v>122</v>
      </c>
      <c r="NBQ108" s="1" t="s">
        <v>122</v>
      </c>
      <c r="NBR108" s="1" t="s">
        <v>122</v>
      </c>
      <c r="NBS108" s="1" t="s">
        <v>122</v>
      </c>
      <c r="NBT108" s="1" t="s">
        <v>122</v>
      </c>
      <c r="NBU108" s="1" t="s">
        <v>122</v>
      </c>
      <c r="NBV108" s="1" t="s">
        <v>122</v>
      </c>
      <c r="NBW108" s="1" t="s">
        <v>122</v>
      </c>
      <c r="NBX108" s="1" t="s">
        <v>122</v>
      </c>
      <c r="NBY108" s="1" t="s">
        <v>122</v>
      </c>
      <c r="NBZ108" s="1" t="s">
        <v>122</v>
      </c>
      <c r="NCA108" s="1" t="s">
        <v>122</v>
      </c>
      <c r="NCB108" s="1" t="s">
        <v>122</v>
      </c>
      <c r="NCC108" s="1" t="s">
        <v>122</v>
      </c>
      <c r="NCD108" s="1" t="s">
        <v>122</v>
      </c>
      <c r="NCE108" s="1" t="s">
        <v>122</v>
      </c>
      <c r="NCF108" s="1" t="s">
        <v>122</v>
      </c>
      <c r="NCG108" s="1" t="s">
        <v>122</v>
      </c>
      <c r="NCH108" s="1" t="s">
        <v>122</v>
      </c>
      <c r="NCI108" s="1" t="s">
        <v>122</v>
      </c>
      <c r="NCJ108" s="1" t="s">
        <v>122</v>
      </c>
      <c r="NCK108" s="1" t="s">
        <v>122</v>
      </c>
      <c r="NCL108" s="1" t="s">
        <v>122</v>
      </c>
      <c r="NCM108" s="1" t="s">
        <v>122</v>
      </c>
      <c r="NCN108" s="1" t="s">
        <v>122</v>
      </c>
      <c r="NCO108" s="1" t="s">
        <v>122</v>
      </c>
      <c r="NCP108" s="1" t="s">
        <v>122</v>
      </c>
      <c r="NCQ108" s="1" t="s">
        <v>122</v>
      </c>
      <c r="NCR108" s="1" t="s">
        <v>122</v>
      </c>
      <c r="NCS108" s="1" t="s">
        <v>122</v>
      </c>
      <c r="NCT108" s="1" t="s">
        <v>122</v>
      </c>
      <c r="NCU108" s="1" t="s">
        <v>122</v>
      </c>
      <c r="NCV108" s="1" t="s">
        <v>122</v>
      </c>
      <c r="NCW108" s="1" t="s">
        <v>122</v>
      </c>
      <c r="NCX108" s="1" t="s">
        <v>122</v>
      </c>
      <c r="NCY108" s="1" t="s">
        <v>122</v>
      </c>
      <c r="NCZ108" s="1" t="s">
        <v>122</v>
      </c>
      <c r="NDA108" s="1" t="s">
        <v>122</v>
      </c>
      <c r="NDB108" s="1" t="s">
        <v>122</v>
      </c>
      <c r="NDC108" s="1" t="s">
        <v>122</v>
      </c>
      <c r="NDD108" s="1" t="s">
        <v>122</v>
      </c>
      <c r="NDE108" s="1" t="s">
        <v>122</v>
      </c>
      <c r="NDF108" s="1" t="s">
        <v>122</v>
      </c>
      <c r="NDG108" s="1" t="s">
        <v>122</v>
      </c>
      <c r="NDH108" s="1" t="s">
        <v>122</v>
      </c>
      <c r="NDI108" s="1" t="s">
        <v>122</v>
      </c>
      <c r="NDJ108" s="1" t="s">
        <v>122</v>
      </c>
      <c r="NDK108" s="1" t="s">
        <v>122</v>
      </c>
      <c r="NDL108" s="1" t="s">
        <v>122</v>
      </c>
      <c r="NDM108" s="1" t="s">
        <v>122</v>
      </c>
      <c r="NDN108" s="1" t="s">
        <v>122</v>
      </c>
      <c r="NDO108" s="1" t="s">
        <v>122</v>
      </c>
      <c r="NDP108" s="1" t="s">
        <v>122</v>
      </c>
      <c r="NDQ108" s="1" t="s">
        <v>122</v>
      </c>
      <c r="NDR108" s="1" t="s">
        <v>122</v>
      </c>
      <c r="NDS108" s="1" t="s">
        <v>122</v>
      </c>
      <c r="NDT108" s="1" t="s">
        <v>122</v>
      </c>
      <c r="NDU108" s="1" t="s">
        <v>122</v>
      </c>
      <c r="NDV108" s="1" t="s">
        <v>122</v>
      </c>
      <c r="NDW108" s="1" t="s">
        <v>122</v>
      </c>
      <c r="NDX108" s="1" t="s">
        <v>122</v>
      </c>
      <c r="NDY108" s="1" t="s">
        <v>122</v>
      </c>
      <c r="NDZ108" s="1" t="s">
        <v>122</v>
      </c>
      <c r="NEA108" s="1" t="s">
        <v>122</v>
      </c>
      <c r="NEB108" s="1" t="s">
        <v>122</v>
      </c>
      <c r="NEC108" s="1" t="s">
        <v>122</v>
      </c>
      <c r="NED108" s="1" t="s">
        <v>122</v>
      </c>
      <c r="NEE108" s="1" t="s">
        <v>122</v>
      </c>
      <c r="NEF108" s="1" t="s">
        <v>122</v>
      </c>
      <c r="NEG108" s="1" t="s">
        <v>122</v>
      </c>
      <c r="NEH108" s="1" t="s">
        <v>122</v>
      </c>
      <c r="NEI108" s="1" t="s">
        <v>122</v>
      </c>
      <c r="NEJ108" s="1" t="s">
        <v>122</v>
      </c>
      <c r="NEK108" s="1" t="s">
        <v>122</v>
      </c>
      <c r="NEL108" s="1" t="s">
        <v>122</v>
      </c>
      <c r="NEM108" s="1" t="s">
        <v>122</v>
      </c>
      <c r="NEN108" s="1" t="s">
        <v>122</v>
      </c>
      <c r="NEO108" s="1" t="s">
        <v>122</v>
      </c>
      <c r="NEP108" s="1" t="s">
        <v>122</v>
      </c>
      <c r="NEQ108" s="1" t="s">
        <v>122</v>
      </c>
      <c r="NER108" s="1" t="s">
        <v>122</v>
      </c>
      <c r="NES108" s="1" t="s">
        <v>122</v>
      </c>
      <c r="NET108" s="1" t="s">
        <v>122</v>
      </c>
      <c r="NEU108" s="1" t="s">
        <v>122</v>
      </c>
      <c r="NEV108" s="1" t="s">
        <v>122</v>
      </c>
      <c r="NEW108" s="1" t="s">
        <v>122</v>
      </c>
      <c r="NEX108" s="1" t="s">
        <v>122</v>
      </c>
      <c r="NEY108" s="1" t="s">
        <v>122</v>
      </c>
      <c r="NEZ108" s="1" t="s">
        <v>122</v>
      </c>
      <c r="NFA108" s="1" t="s">
        <v>122</v>
      </c>
      <c r="NFB108" s="1" t="s">
        <v>122</v>
      </c>
      <c r="NFC108" s="1" t="s">
        <v>122</v>
      </c>
      <c r="NFD108" s="1" t="s">
        <v>122</v>
      </c>
      <c r="NFE108" s="1" t="s">
        <v>122</v>
      </c>
      <c r="NFF108" s="1" t="s">
        <v>122</v>
      </c>
      <c r="NFG108" s="1" t="s">
        <v>122</v>
      </c>
      <c r="NFH108" s="1" t="s">
        <v>122</v>
      </c>
      <c r="NFI108" s="1" t="s">
        <v>122</v>
      </c>
      <c r="NFJ108" s="1" t="s">
        <v>122</v>
      </c>
      <c r="NFK108" s="1" t="s">
        <v>122</v>
      </c>
      <c r="NFL108" s="1" t="s">
        <v>122</v>
      </c>
      <c r="NFM108" s="1" t="s">
        <v>122</v>
      </c>
      <c r="NFN108" s="1" t="s">
        <v>122</v>
      </c>
      <c r="NFO108" s="1" t="s">
        <v>122</v>
      </c>
      <c r="NFP108" s="1" t="s">
        <v>122</v>
      </c>
      <c r="NFQ108" s="1" t="s">
        <v>122</v>
      </c>
      <c r="NFR108" s="1" t="s">
        <v>122</v>
      </c>
      <c r="NFS108" s="1" t="s">
        <v>122</v>
      </c>
      <c r="NFT108" s="1" t="s">
        <v>122</v>
      </c>
      <c r="NFU108" s="1" t="s">
        <v>122</v>
      </c>
      <c r="NFV108" s="1" t="s">
        <v>122</v>
      </c>
      <c r="NFW108" s="1" t="s">
        <v>122</v>
      </c>
      <c r="NFX108" s="1" t="s">
        <v>122</v>
      </c>
      <c r="NFY108" s="1" t="s">
        <v>122</v>
      </c>
      <c r="NFZ108" s="1" t="s">
        <v>122</v>
      </c>
      <c r="NGA108" s="1" t="s">
        <v>122</v>
      </c>
      <c r="NGB108" s="1" t="s">
        <v>122</v>
      </c>
      <c r="NGC108" s="1" t="s">
        <v>122</v>
      </c>
      <c r="NGD108" s="1" t="s">
        <v>122</v>
      </c>
      <c r="NGE108" s="1" t="s">
        <v>122</v>
      </c>
      <c r="NGF108" s="1" t="s">
        <v>122</v>
      </c>
      <c r="NGG108" s="1" t="s">
        <v>122</v>
      </c>
      <c r="NGH108" s="1" t="s">
        <v>122</v>
      </c>
      <c r="NGI108" s="1" t="s">
        <v>122</v>
      </c>
      <c r="NGJ108" s="1" t="s">
        <v>122</v>
      </c>
      <c r="NGK108" s="1" t="s">
        <v>122</v>
      </c>
      <c r="NGL108" s="1" t="s">
        <v>122</v>
      </c>
      <c r="NGM108" s="1" t="s">
        <v>122</v>
      </c>
      <c r="NGN108" s="1" t="s">
        <v>122</v>
      </c>
      <c r="NGO108" s="1" t="s">
        <v>122</v>
      </c>
      <c r="NGP108" s="1" t="s">
        <v>122</v>
      </c>
      <c r="NGQ108" s="1" t="s">
        <v>122</v>
      </c>
      <c r="NGR108" s="1" t="s">
        <v>122</v>
      </c>
      <c r="NGS108" s="1" t="s">
        <v>122</v>
      </c>
      <c r="NGT108" s="1" t="s">
        <v>122</v>
      </c>
      <c r="NGU108" s="1" t="s">
        <v>122</v>
      </c>
      <c r="NGV108" s="1" t="s">
        <v>122</v>
      </c>
      <c r="NGW108" s="1" t="s">
        <v>122</v>
      </c>
      <c r="NGX108" s="1" t="s">
        <v>122</v>
      </c>
      <c r="NGY108" s="1" t="s">
        <v>122</v>
      </c>
      <c r="NGZ108" s="1" t="s">
        <v>122</v>
      </c>
      <c r="NHA108" s="1" t="s">
        <v>122</v>
      </c>
      <c r="NHB108" s="1" t="s">
        <v>122</v>
      </c>
      <c r="NHC108" s="1" t="s">
        <v>122</v>
      </c>
      <c r="NHD108" s="1" t="s">
        <v>122</v>
      </c>
      <c r="NHE108" s="1" t="s">
        <v>122</v>
      </c>
      <c r="NHF108" s="1" t="s">
        <v>122</v>
      </c>
      <c r="NHG108" s="1" t="s">
        <v>122</v>
      </c>
      <c r="NHH108" s="1" t="s">
        <v>122</v>
      </c>
      <c r="NHI108" s="1" t="s">
        <v>122</v>
      </c>
      <c r="NHJ108" s="1" t="s">
        <v>122</v>
      </c>
      <c r="NHK108" s="1" t="s">
        <v>122</v>
      </c>
      <c r="NHL108" s="1" t="s">
        <v>122</v>
      </c>
      <c r="NHM108" s="1" t="s">
        <v>122</v>
      </c>
      <c r="NHN108" s="1" t="s">
        <v>122</v>
      </c>
      <c r="NHO108" s="1" t="s">
        <v>122</v>
      </c>
      <c r="NHP108" s="1" t="s">
        <v>122</v>
      </c>
      <c r="NHQ108" s="1" t="s">
        <v>122</v>
      </c>
      <c r="NHR108" s="1" t="s">
        <v>122</v>
      </c>
      <c r="NHS108" s="1" t="s">
        <v>122</v>
      </c>
      <c r="NHT108" s="1" t="s">
        <v>122</v>
      </c>
      <c r="NHU108" s="1" t="s">
        <v>122</v>
      </c>
      <c r="NHV108" s="1" t="s">
        <v>122</v>
      </c>
      <c r="NHW108" s="1" t="s">
        <v>122</v>
      </c>
      <c r="NHX108" s="1" t="s">
        <v>122</v>
      </c>
      <c r="NHY108" s="1" t="s">
        <v>122</v>
      </c>
      <c r="NHZ108" s="1" t="s">
        <v>122</v>
      </c>
      <c r="NIA108" s="1" t="s">
        <v>122</v>
      </c>
      <c r="NIB108" s="1" t="s">
        <v>122</v>
      </c>
      <c r="NIC108" s="1" t="s">
        <v>122</v>
      </c>
      <c r="NID108" s="1" t="s">
        <v>122</v>
      </c>
      <c r="NIE108" s="1" t="s">
        <v>122</v>
      </c>
      <c r="NIF108" s="1" t="s">
        <v>122</v>
      </c>
      <c r="NIG108" s="1" t="s">
        <v>122</v>
      </c>
      <c r="NIH108" s="1" t="s">
        <v>122</v>
      </c>
      <c r="NII108" s="1" t="s">
        <v>122</v>
      </c>
      <c r="NIJ108" s="1" t="s">
        <v>122</v>
      </c>
      <c r="NIK108" s="1" t="s">
        <v>122</v>
      </c>
      <c r="NIL108" s="1" t="s">
        <v>122</v>
      </c>
      <c r="NIM108" s="1" t="s">
        <v>122</v>
      </c>
      <c r="NIN108" s="1" t="s">
        <v>122</v>
      </c>
      <c r="NIO108" s="1" t="s">
        <v>122</v>
      </c>
      <c r="NIP108" s="1" t="s">
        <v>122</v>
      </c>
      <c r="NIQ108" s="1" t="s">
        <v>122</v>
      </c>
      <c r="NIR108" s="1" t="s">
        <v>122</v>
      </c>
      <c r="NIS108" s="1" t="s">
        <v>122</v>
      </c>
      <c r="NIT108" s="1" t="s">
        <v>122</v>
      </c>
      <c r="NIU108" s="1" t="s">
        <v>122</v>
      </c>
      <c r="NIV108" s="1" t="s">
        <v>122</v>
      </c>
      <c r="NIW108" s="1" t="s">
        <v>122</v>
      </c>
      <c r="NIX108" s="1" t="s">
        <v>122</v>
      </c>
      <c r="NIY108" s="1" t="s">
        <v>122</v>
      </c>
      <c r="NIZ108" s="1" t="s">
        <v>122</v>
      </c>
      <c r="NJA108" s="1" t="s">
        <v>122</v>
      </c>
      <c r="NJB108" s="1" t="s">
        <v>122</v>
      </c>
      <c r="NJC108" s="1" t="s">
        <v>122</v>
      </c>
      <c r="NJD108" s="1" t="s">
        <v>122</v>
      </c>
      <c r="NJE108" s="1" t="s">
        <v>122</v>
      </c>
      <c r="NJF108" s="1" t="s">
        <v>122</v>
      </c>
      <c r="NJG108" s="1" t="s">
        <v>122</v>
      </c>
      <c r="NJH108" s="1" t="s">
        <v>122</v>
      </c>
      <c r="NJI108" s="1" t="s">
        <v>122</v>
      </c>
      <c r="NJJ108" s="1" t="s">
        <v>122</v>
      </c>
      <c r="NJK108" s="1" t="s">
        <v>122</v>
      </c>
      <c r="NJL108" s="1" t="s">
        <v>122</v>
      </c>
      <c r="NJM108" s="1" t="s">
        <v>122</v>
      </c>
      <c r="NJN108" s="1" t="s">
        <v>122</v>
      </c>
      <c r="NJO108" s="1" t="s">
        <v>122</v>
      </c>
      <c r="NJP108" s="1" t="s">
        <v>122</v>
      </c>
      <c r="NJQ108" s="1" t="s">
        <v>122</v>
      </c>
      <c r="NJR108" s="1" t="s">
        <v>122</v>
      </c>
      <c r="NJS108" s="1" t="s">
        <v>122</v>
      </c>
      <c r="NJT108" s="1" t="s">
        <v>122</v>
      </c>
      <c r="NJU108" s="1" t="s">
        <v>122</v>
      </c>
      <c r="NJV108" s="1" t="s">
        <v>122</v>
      </c>
      <c r="NJW108" s="1" t="s">
        <v>122</v>
      </c>
      <c r="NJX108" s="1" t="s">
        <v>122</v>
      </c>
      <c r="NJY108" s="1" t="s">
        <v>122</v>
      </c>
      <c r="NJZ108" s="1" t="s">
        <v>122</v>
      </c>
      <c r="NKA108" s="1" t="s">
        <v>122</v>
      </c>
      <c r="NKB108" s="1" t="s">
        <v>122</v>
      </c>
      <c r="NKC108" s="1" t="s">
        <v>122</v>
      </c>
      <c r="NKD108" s="1" t="s">
        <v>122</v>
      </c>
      <c r="NKE108" s="1" t="s">
        <v>122</v>
      </c>
      <c r="NKF108" s="1" t="s">
        <v>122</v>
      </c>
      <c r="NKG108" s="1" t="s">
        <v>122</v>
      </c>
      <c r="NKH108" s="1" t="s">
        <v>122</v>
      </c>
      <c r="NKI108" s="1" t="s">
        <v>122</v>
      </c>
      <c r="NKJ108" s="1" t="s">
        <v>122</v>
      </c>
      <c r="NKK108" s="1" t="s">
        <v>122</v>
      </c>
      <c r="NKL108" s="1" t="s">
        <v>122</v>
      </c>
      <c r="NKM108" s="1" t="s">
        <v>122</v>
      </c>
      <c r="NKN108" s="1" t="s">
        <v>122</v>
      </c>
      <c r="NKO108" s="1" t="s">
        <v>122</v>
      </c>
      <c r="NKP108" s="1" t="s">
        <v>122</v>
      </c>
      <c r="NKQ108" s="1" t="s">
        <v>122</v>
      </c>
      <c r="NKR108" s="1" t="s">
        <v>122</v>
      </c>
      <c r="NKS108" s="1" t="s">
        <v>122</v>
      </c>
      <c r="NKT108" s="1" t="s">
        <v>122</v>
      </c>
      <c r="NKU108" s="1" t="s">
        <v>122</v>
      </c>
      <c r="NKV108" s="1" t="s">
        <v>122</v>
      </c>
      <c r="NKW108" s="1" t="s">
        <v>122</v>
      </c>
      <c r="NKX108" s="1" t="s">
        <v>122</v>
      </c>
      <c r="NKY108" s="1" t="s">
        <v>122</v>
      </c>
      <c r="NKZ108" s="1" t="s">
        <v>122</v>
      </c>
      <c r="NLA108" s="1" t="s">
        <v>122</v>
      </c>
      <c r="NLB108" s="1" t="s">
        <v>122</v>
      </c>
      <c r="NLC108" s="1" t="s">
        <v>122</v>
      </c>
      <c r="NLD108" s="1" t="s">
        <v>122</v>
      </c>
      <c r="NLE108" s="1" t="s">
        <v>122</v>
      </c>
      <c r="NLF108" s="1" t="s">
        <v>122</v>
      </c>
      <c r="NLG108" s="1" t="s">
        <v>122</v>
      </c>
      <c r="NLH108" s="1" t="s">
        <v>122</v>
      </c>
      <c r="NLI108" s="1" t="s">
        <v>122</v>
      </c>
      <c r="NLJ108" s="1" t="s">
        <v>122</v>
      </c>
      <c r="NLK108" s="1" t="s">
        <v>122</v>
      </c>
      <c r="NLL108" s="1" t="s">
        <v>122</v>
      </c>
      <c r="NLM108" s="1" t="s">
        <v>122</v>
      </c>
      <c r="NLN108" s="1" t="s">
        <v>122</v>
      </c>
      <c r="NLO108" s="1" t="s">
        <v>122</v>
      </c>
      <c r="NLP108" s="1" t="s">
        <v>122</v>
      </c>
      <c r="NLQ108" s="1" t="s">
        <v>122</v>
      </c>
      <c r="NLR108" s="1" t="s">
        <v>122</v>
      </c>
      <c r="NLS108" s="1" t="s">
        <v>122</v>
      </c>
      <c r="NLT108" s="1" t="s">
        <v>122</v>
      </c>
      <c r="NLU108" s="1" t="s">
        <v>122</v>
      </c>
      <c r="NLV108" s="1" t="s">
        <v>122</v>
      </c>
      <c r="NLW108" s="1" t="s">
        <v>122</v>
      </c>
      <c r="NLX108" s="1" t="s">
        <v>122</v>
      </c>
      <c r="NLY108" s="1" t="s">
        <v>122</v>
      </c>
      <c r="NLZ108" s="1" t="s">
        <v>122</v>
      </c>
      <c r="NMA108" s="1" t="s">
        <v>122</v>
      </c>
      <c r="NMB108" s="1" t="s">
        <v>122</v>
      </c>
      <c r="NMC108" s="1" t="s">
        <v>122</v>
      </c>
      <c r="NMD108" s="1" t="s">
        <v>122</v>
      </c>
      <c r="NME108" s="1" t="s">
        <v>122</v>
      </c>
      <c r="NMF108" s="1" t="s">
        <v>122</v>
      </c>
      <c r="NMG108" s="1" t="s">
        <v>122</v>
      </c>
      <c r="NMH108" s="1" t="s">
        <v>122</v>
      </c>
      <c r="NMI108" s="1" t="s">
        <v>122</v>
      </c>
      <c r="NMJ108" s="1" t="s">
        <v>122</v>
      </c>
      <c r="NMK108" s="1" t="s">
        <v>122</v>
      </c>
      <c r="NML108" s="1" t="s">
        <v>122</v>
      </c>
      <c r="NMM108" s="1" t="s">
        <v>122</v>
      </c>
      <c r="NMN108" s="1" t="s">
        <v>122</v>
      </c>
      <c r="NMO108" s="1" t="s">
        <v>122</v>
      </c>
      <c r="NMP108" s="1" t="s">
        <v>122</v>
      </c>
      <c r="NMQ108" s="1" t="s">
        <v>122</v>
      </c>
      <c r="NMR108" s="1" t="s">
        <v>122</v>
      </c>
      <c r="NMS108" s="1" t="s">
        <v>122</v>
      </c>
      <c r="NMT108" s="1" t="s">
        <v>122</v>
      </c>
      <c r="NMU108" s="1" t="s">
        <v>122</v>
      </c>
      <c r="NMV108" s="1" t="s">
        <v>122</v>
      </c>
      <c r="NMW108" s="1" t="s">
        <v>122</v>
      </c>
      <c r="NMX108" s="1" t="s">
        <v>122</v>
      </c>
      <c r="NMY108" s="1" t="s">
        <v>122</v>
      </c>
      <c r="NMZ108" s="1" t="s">
        <v>122</v>
      </c>
      <c r="NNA108" s="1" t="s">
        <v>122</v>
      </c>
      <c r="NNB108" s="1" t="s">
        <v>122</v>
      </c>
      <c r="NNC108" s="1" t="s">
        <v>122</v>
      </c>
      <c r="NND108" s="1" t="s">
        <v>122</v>
      </c>
      <c r="NNE108" s="1" t="s">
        <v>122</v>
      </c>
      <c r="NNF108" s="1" t="s">
        <v>122</v>
      </c>
      <c r="NNG108" s="1" t="s">
        <v>122</v>
      </c>
      <c r="NNH108" s="1" t="s">
        <v>122</v>
      </c>
      <c r="NNI108" s="1" t="s">
        <v>122</v>
      </c>
      <c r="NNJ108" s="1" t="s">
        <v>122</v>
      </c>
      <c r="NNK108" s="1" t="s">
        <v>122</v>
      </c>
      <c r="NNL108" s="1" t="s">
        <v>122</v>
      </c>
      <c r="NNM108" s="1" t="s">
        <v>122</v>
      </c>
      <c r="NNN108" s="1" t="s">
        <v>122</v>
      </c>
      <c r="NNO108" s="1" t="s">
        <v>122</v>
      </c>
      <c r="NNP108" s="1" t="s">
        <v>122</v>
      </c>
      <c r="NNQ108" s="1" t="s">
        <v>122</v>
      </c>
      <c r="NNR108" s="1" t="s">
        <v>122</v>
      </c>
      <c r="NNS108" s="1" t="s">
        <v>122</v>
      </c>
      <c r="NNT108" s="1" t="s">
        <v>122</v>
      </c>
      <c r="NNU108" s="1" t="s">
        <v>122</v>
      </c>
      <c r="NNV108" s="1" t="s">
        <v>122</v>
      </c>
      <c r="NNW108" s="1" t="s">
        <v>122</v>
      </c>
      <c r="NNX108" s="1" t="s">
        <v>122</v>
      </c>
      <c r="NNY108" s="1" t="s">
        <v>122</v>
      </c>
      <c r="NNZ108" s="1" t="s">
        <v>122</v>
      </c>
      <c r="NOA108" s="1" t="s">
        <v>122</v>
      </c>
      <c r="NOB108" s="1" t="s">
        <v>122</v>
      </c>
      <c r="NOC108" s="1" t="s">
        <v>122</v>
      </c>
      <c r="NOD108" s="1" t="s">
        <v>122</v>
      </c>
      <c r="NOE108" s="1" t="s">
        <v>122</v>
      </c>
      <c r="NOF108" s="1" t="s">
        <v>122</v>
      </c>
      <c r="NOG108" s="1" t="s">
        <v>122</v>
      </c>
      <c r="NOH108" s="1" t="s">
        <v>122</v>
      </c>
      <c r="NOI108" s="1" t="s">
        <v>122</v>
      </c>
      <c r="NOJ108" s="1" t="s">
        <v>122</v>
      </c>
      <c r="NOK108" s="1" t="s">
        <v>122</v>
      </c>
      <c r="NOL108" s="1" t="s">
        <v>122</v>
      </c>
      <c r="NOM108" s="1" t="s">
        <v>122</v>
      </c>
      <c r="NON108" s="1" t="s">
        <v>122</v>
      </c>
      <c r="NOO108" s="1" t="s">
        <v>122</v>
      </c>
      <c r="NOP108" s="1" t="s">
        <v>122</v>
      </c>
      <c r="NOQ108" s="1" t="s">
        <v>122</v>
      </c>
      <c r="NOR108" s="1" t="s">
        <v>122</v>
      </c>
      <c r="NOS108" s="1" t="s">
        <v>122</v>
      </c>
      <c r="NOT108" s="1" t="s">
        <v>122</v>
      </c>
      <c r="NOU108" s="1" t="s">
        <v>122</v>
      </c>
      <c r="NOV108" s="1" t="s">
        <v>122</v>
      </c>
      <c r="NOW108" s="1" t="s">
        <v>122</v>
      </c>
      <c r="NOX108" s="1" t="s">
        <v>122</v>
      </c>
      <c r="NOY108" s="1" t="s">
        <v>122</v>
      </c>
      <c r="NOZ108" s="1" t="s">
        <v>122</v>
      </c>
      <c r="NPA108" s="1" t="s">
        <v>122</v>
      </c>
      <c r="NPB108" s="1" t="s">
        <v>122</v>
      </c>
      <c r="NPC108" s="1" t="s">
        <v>122</v>
      </c>
      <c r="NPD108" s="1" t="s">
        <v>122</v>
      </c>
      <c r="NPE108" s="1" t="s">
        <v>122</v>
      </c>
      <c r="NPF108" s="1" t="s">
        <v>122</v>
      </c>
      <c r="NPG108" s="1" t="s">
        <v>122</v>
      </c>
      <c r="NPH108" s="1" t="s">
        <v>122</v>
      </c>
      <c r="NPI108" s="1" t="s">
        <v>122</v>
      </c>
      <c r="NPJ108" s="1" t="s">
        <v>122</v>
      </c>
      <c r="NPK108" s="1" t="s">
        <v>122</v>
      </c>
      <c r="NPL108" s="1" t="s">
        <v>122</v>
      </c>
      <c r="NPM108" s="1" t="s">
        <v>122</v>
      </c>
      <c r="NPN108" s="1" t="s">
        <v>122</v>
      </c>
      <c r="NPO108" s="1" t="s">
        <v>122</v>
      </c>
      <c r="NPP108" s="1" t="s">
        <v>122</v>
      </c>
      <c r="NPQ108" s="1" t="s">
        <v>122</v>
      </c>
      <c r="NPR108" s="1" t="s">
        <v>122</v>
      </c>
      <c r="NPS108" s="1" t="s">
        <v>122</v>
      </c>
      <c r="NPT108" s="1" t="s">
        <v>122</v>
      </c>
      <c r="NPU108" s="1" t="s">
        <v>122</v>
      </c>
      <c r="NPV108" s="1" t="s">
        <v>122</v>
      </c>
      <c r="NPW108" s="1" t="s">
        <v>122</v>
      </c>
      <c r="NPX108" s="1" t="s">
        <v>122</v>
      </c>
      <c r="NPY108" s="1" t="s">
        <v>122</v>
      </c>
      <c r="NPZ108" s="1" t="s">
        <v>122</v>
      </c>
      <c r="NQA108" s="1" t="s">
        <v>122</v>
      </c>
      <c r="NQB108" s="1" t="s">
        <v>122</v>
      </c>
      <c r="NQC108" s="1" t="s">
        <v>122</v>
      </c>
      <c r="NQD108" s="1" t="s">
        <v>122</v>
      </c>
      <c r="NQE108" s="1" t="s">
        <v>122</v>
      </c>
      <c r="NQF108" s="1" t="s">
        <v>122</v>
      </c>
      <c r="NQG108" s="1" t="s">
        <v>122</v>
      </c>
      <c r="NQH108" s="1" t="s">
        <v>122</v>
      </c>
      <c r="NQI108" s="1" t="s">
        <v>122</v>
      </c>
      <c r="NQJ108" s="1" t="s">
        <v>122</v>
      </c>
      <c r="NQK108" s="1" t="s">
        <v>122</v>
      </c>
      <c r="NQL108" s="1" t="s">
        <v>122</v>
      </c>
      <c r="NQM108" s="1" t="s">
        <v>122</v>
      </c>
      <c r="NQN108" s="1" t="s">
        <v>122</v>
      </c>
      <c r="NQO108" s="1" t="s">
        <v>122</v>
      </c>
      <c r="NQP108" s="1" t="s">
        <v>122</v>
      </c>
      <c r="NQQ108" s="1" t="s">
        <v>122</v>
      </c>
      <c r="NQR108" s="1" t="s">
        <v>122</v>
      </c>
      <c r="NQS108" s="1" t="s">
        <v>122</v>
      </c>
      <c r="NQT108" s="1" t="s">
        <v>122</v>
      </c>
      <c r="NQU108" s="1" t="s">
        <v>122</v>
      </c>
      <c r="NQV108" s="1" t="s">
        <v>122</v>
      </c>
      <c r="NQW108" s="1" t="s">
        <v>122</v>
      </c>
      <c r="NQX108" s="1" t="s">
        <v>122</v>
      </c>
      <c r="NQY108" s="1" t="s">
        <v>122</v>
      </c>
      <c r="NQZ108" s="1" t="s">
        <v>122</v>
      </c>
      <c r="NRA108" s="1" t="s">
        <v>122</v>
      </c>
      <c r="NRB108" s="1" t="s">
        <v>122</v>
      </c>
      <c r="NRC108" s="1" t="s">
        <v>122</v>
      </c>
      <c r="NRD108" s="1" t="s">
        <v>122</v>
      </c>
      <c r="NRE108" s="1" t="s">
        <v>122</v>
      </c>
      <c r="NRF108" s="1" t="s">
        <v>122</v>
      </c>
      <c r="NRG108" s="1" t="s">
        <v>122</v>
      </c>
      <c r="NRH108" s="1" t="s">
        <v>122</v>
      </c>
      <c r="NRI108" s="1" t="s">
        <v>122</v>
      </c>
      <c r="NRJ108" s="1" t="s">
        <v>122</v>
      </c>
      <c r="NRK108" s="1" t="s">
        <v>122</v>
      </c>
      <c r="NRL108" s="1" t="s">
        <v>122</v>
      </c>
      <c r="NRM108" s="1" t="s">
        <v>122</v>
      </c>
      <c r="NRN108" s="1" t="s">
        <v>122</v>
      </c>
      <c r="NRO108" s="1" t="s">
        <v>122</v>
      </c>
      <c r="NRP108" s="1" t="s">
        <v>122</v>
      </c>
      <c r="NRQ108" s="1" t="s">
        <v>122</v>
      </c>
      <c r="NRR108" s="1" t="s">
        <v>122</v>
      </c>
      <c r="NRS108" s="1" t="s">
        <v>122</v>
      </c>
      <c r="NRT108" s="1" t="s">
        <v>122</v>
      </c>
      <c r="NRU108" s="1" t="s">
        <v>122</v>
      </c>
      <c r="NRV108" s="1" t="s">
        <v>122</v>
      </c>
      <c r="NRW108" s="1" t="s">
        <v>122</v>
      </c>
      <c r="NRX108" s="1" t="s">
        <v>122</v>
      </c>
      <c r="NRY108" s="1" t="s">
        <v>122</v>
      </c>
      <c r="NRZ108" s="1" t="s">
        <v>122</v>
      </c>
      <c r="NSA108" s="1" t="s">
        <v>122</v>
      </c>
      <c r="NSB108" s="1" t="s">
        <v>122</v>
      </c>
      <c r="NSC108" s="1" t="s">
        <v>122</v>
      </c>
      <c r="NSD108" s="1" t="s">
        <v>122</v>
      </c>
      <c r="NSE108" s="1" t="s">
        <v>122</v>
      </c>
      <c r="NSF108" s="1" t="s">
        <v>122</v>
      </c>
      <c r="NSG108" s="1" t="s">
        <v>122</v>
      </c>
      <c r="NSH108" s="1" t="s">
        <v>122</v>
      </c>
      <c r="NSI108" s="1" t="s">
        <v>122</v>
      </c>
      <c r="NSJ108" s="1" t="s">
        <v>122</v>
      </c>
      <c r="NSK108" s="1" t="s">
        <v>122</v>
      </c>
      <c r="NSL108" s="1" t="s">
        <v>122</v>
      </c>
      <c r="NSM108" s="1" t="s">
        <v>122</v>
      </c>
      <c r="NSN108" s="1" t="s">
        <v>122</v>
      </c>
      <c r="NSO108" s="1" t="s">
        <v>122</v>
      </c>
      <c r="NSP108" s="1" t="s">
        <v>122</v>
      </c>
      <c r="NSQ108" s="1" t="s">
        <v>122</v>
      </c>
      <c r="NSR108" s="1" t="s">
        <v>122</v>
      </c>
      <c r="NSS108" s="1" t="s">
        <v>122</v>
      </c>
      <c r="NST108" s="1" t="s">
        <v>122</v>
      </c>
      <c r="NSU108" s="1" t="s">
        <v>122</v>
      </c>
      <c r="NSV108" s="1" t="s">
        <v>122</v>
      </c>
      <c r="NSW108" s="1" t="s">
        <v>122</v>
      </c>
      <c r="NSX108" s="1" t="s">
        <v>122</v>
      </c>
      <c r="NSY108" s="1" t="s">
        <v>122</v>
      </c>
      <c r="NSZ108" s="1" t="s">
        <v>122</v>
      </c>
      <c r="NTA108" s="1" t="s">
        <v>122</v>
      </c>
      <c r="NTB108" s="1" t="s">
        <v>122</v>
      </c>
      <c r="NTC108" s="1" t="s">
        <v>122</v>
      </c>
      <c r="NTD108" s="1" t="s">
        <v>122</v>
      </c>
      <c r="NTE108" s="1" t="s">
        <v>122</v>
      </c>
      <c r="NTF108" s="1" t="s">
        <v>122</v>
      </c>
      <c r="NTG108" s="1" t="s">
        <v>122</v>
      </c>
      <c r="NTH108" s="1" t="s">
        <v>122</v>
      </c>
      <c r="NTI108" s="1" t="s">
        <v>122</v>
      </c>
      <c r="NTJ108" s="1" t="s">
        <v>122</v>
      </c>
      <c r="NTK108" s="1" t="s">
        <v>122</v>
      </c>
      <c r="NTL108" s="1" t="s">
        <v>122</v>
      </c>
      <c r="NTM108" s="1" t="s">
        <v>122</v>
      </c>
      <c r="NTN108" s="1" t="s">
        <v>122</v>
      </c>
      <c r="NTO108" s="1" t="s">
        <v>122</v>
      </c>
      <c r="NTP108" s="1" t="s">
        <v>122</v>
      </c>
      <c r="NTQ108" s="1" t="s">
        <v>122</v>
      </c>
      <c r="NTR108" s="1" t="s">
        <v>122</v>
      </c>
      <c r="NTS108" s="1" t="s">
        <v>122</v>
      </c>
      <c r="NTT108" s="1" t="s">
        <v>122</v>
      </c>
      <c r="NTU108" s="1" t="s">
        <v>122</v>
      </c>
      <c r="NTV108" s="1" t="s">
        <v>122</v>
      </c>
      <c r="NTW108" s="1" t="s">
        <v>122</v>
      </c>
      <c r="NTX108" s="1" t="s">
        <v>122</v>
      </c>
      <c r="NTY108" s="1" t="s">
        <v>122</v>
      </c>
      <c r="NTZ108" s="1" t="s">
        <v>122</v>
      </c>
      <c r="NUA108" s="1" t="s">
        <v>122</v>
      </c>
      <c r="NUB108" s="1" t="s">
        <v>122</v>
      </c>
      <c r="NUC108" s="1" t="s">
        <v>122</v>
      </c>
      <c r="NUD108" s="1" t="s">
        <v>122</v>
      </c>
      <c r="NUE108" s="1" t="s">
        <v>122</v>
      </c>
      <c r="NUF108" s="1" t="s">
        <v>122</v>
      </c>
      <c r="NUG108" s="1" t="s">
        <v>122</v>
      </c>
      <c r="NUH108" s="1" t="s">
        <v>122</v>
      </c>
      <c r="NUI108" s="1" t="s">
        <v>122</v>
      </c>
      <c r="NUJ108" s="1" t="s">
        <v>122</v>
      </c>
      <c r="NUK108" s="1" t="s">
        <v>122</v>
      </c>
      <c r="NUL108" s="1" t="s">
        <v>122</v>
      </c>
      <c r="NUM108" s="1" t="s">
        <v>122</v>
      </c>
      <c r="NUN108" s="1" t="s">
        <v>122</v>
      </c>
      <c r="NUO108" s="1" t="s">
        <v>122</v>
      </c>
      <c r="NUP108" s="1" t="s">
        <v>122</v>
      </c>
      <c r="NUQ108" s="1" t="s">
        <v>122</v>
      </c>
      <c r="NUR108" s="1" t="s">
        <v>122</v>
      </c>
      <c r="NUS108" s="1" t="s">
        <v>122</v>
      </c>
      <c r="NUT108" s="1" t="s">
        <v>122</v>
      </c>
      <c r="NUU108" s="1" t="s">
        <v>122</v>
      </c>
      <c r="NUV108" s="1" t="s">
        <v>122</v>
      </c>
      <c r="NUW108" s="1" t="s">
        <v>122</v>
      </c>
      <c r="NUX108" s="1" t="s">
        <v>122</v>
      </c>
      <c r="NUY108" s="1" t="s">
        <v>122</v>
      </c>
      <c r="NUZ108" s="1" t="s">
        <v>122</v>
      </c>
      <c r="NVA108" s="1" t="s">
        <v>122</v>
      </c>
      <c r="NVB108" s="1" t="s">
        <v>122</v>
      </c>
      <c r="NVC108" s="1" t="s">
        <v>122</v>
      </c>
      <c r="NVD108" s="1" t="s">
        <v>122</v>
      </c>
      <c r="NVE108" s="1" t="s">
        <v>122</v>
      </c>
      <c r="NVF108" s="1" t="s">
        <v>122</v>
      </c>
      <c r="NVG108" s="1" t="s">
        <v>122</v>
      </c>
      <c r="NVH108" s="1" t="s">
        <v>122</v>
      </c>
      <c r="NVI108" s="1" t="s">
        <v>122</v>
      </c>
      <c r="NVJ108" s="1" t="s">
        <v>122</v>
      </c>
      <c r="NVK108" s="1" t="s">
        <v>122</v>
      </c>
      <c r="NVL108" s="1" t="s">
        <v>122</v>
      </c>
      <c r="NVM108" s="1" t="s">
        <v>122</v>
      </c>
      <c r="NVN108" s="1" t="s">
        <v>122</v>
      </c>
      <c r="NVO108" s="1" t="s">
        <v>122</v>
      </c>
      <c r="NVP108" s="1" t="s">
        <v>122</v>
      </c>
      <c r="NVQ108" s="1" t="s">
        <v>122</v>
      </c>
      <c r="NVR108" s="1" t="s">
        <v>122</v>
      </c>
      <c r="NVS108" s="1" t="s">
        <v>122</v>
      </c>
      <c r="NVT108" s="1" t="s">
        <v>122</v>
      </c>
      <c r="NVU108" s="1" t="s">
        <v>122</v>
      </c>
      <c r="NVV108" s="1" t="s">
        <v>122</v>
      </c>
      <c r="NVW108" s="1" t="s">
        <v>122</v>
      </c>
      <c r="NVX108" s="1" t="s">
        <v>122</v>
      </c>
      <c r="NVY108" s="1" t="s">
        <v>122</v>
      </c>
      <c r="NVZ108" s="1" t="s">
        <v>122</v>
      </c>
      <c r="NWA108" s="1" t="s">
        <v>122</v>
      </c>
      <c r="NWB108" s="1" t="s">
        <v>122</v>
      </c>
      <c r="NWC108" s="1" t="s">
        <v>122</v>
      </c>
      <c r="NWD108" s="1" t="s">
        <v>122</v>
      </c>
      <c r="NWE108" s="1" t="s">
        <v>122</v>
      </c>
      <c r="NWF108" s="1" t="s">
        <v>122</v>
      </c>
      <c r="NWG108" s="1" t="s">
        <v>122</v>
      </c>
      <c r="NWH108" s="1" t="s">
        <v>122</v>
      </c>
      <c r="NWI108" s="1" t="s">
        <v>122</v>
      </c>
      <c r="NWJ108" s="1" t="s">
        <v>122</v>
      </c>
      <c r="NWK108" s="1" t="s">
        <v>122</v>
      </c>
      <c r="NWL108" s="1" t="s">
        <v>122</v>
      </c>
      <c r="NWM108" s="1" t="s">
        <v>122</v>
      </c>
      <c r="NWN108" s="1" t="s">
        <v>122</v>
      </c>
      <c r="NWO108" s="1" t="s">
        <v>122</v>
      </c>
      <c r="NWP108" s="1" t="s">
        <v>122</v>
      </c>
      <c r="NWQ108" s="1" t="s">
        <v>122</v>
      </c>
      <c r="NWR108" s="1" t="s">
        <v>122</v>
      </c>
      <c r="NWS108" s="1" t="s">
        <v>122</v>
      </c>
      <c r="NWT108" s="1" t="s">
        <v>122</v>
      </c>
      <c r="NWU108" s="1" t="s">
        <v>122</v>
      </c>
      <c r="NWV108" s="1" t="s">
        <v>122</v>
      </c>
      <c r="NWW108" s="1" t="s">
        <v>122</v>
      </c>
      <c r="NWX108" s="1" t="s">
        <v>122</v>
      </c>
      <c r="NWY108" s="1" t="s">
        <v>122</v>
      </c>
      <c r="NWZ108" s="1" t="s">
        <v>122</v>
      </c>
      <c r="NXA108" s="1" t="s">
        <v>122</v>
      </c>
      <c r="NXB108" s="1" t="s">
        <v>122</v>
      </c>
      <c r="NXC108" s="1" t="s">
        <v>122</v>
      </c>
      <c r="NXD108" s="1" t="s">
        <v>122</v>
      </c>
      <c r="NXE108" s="1" t="s">
        <v>122</v>
      </c>
      <c r="NXF108" s="1" t="s">
        <v>122</v>
      </c>
      <c r="NXG108" s="1" t="s">
        <v>122</v>
      </c>
      <c r="NXH108" s="1" t="s">
        <v>122</v>
      </c>
      <c r="NXI108" s="1" t="s">
        <v>122</v>
      </c>
      <c r="NXJ108" s="1" t="s">
        <v>122</v>
      </c>
      <c r="NXK108" s="1" t="s">
        <v>122</v>
      </c>
      <c r="NXL108" s="1" t="s">
        <v>122</v>
      </c>
      <c r="NXM108" s="1" t="s">
        <v>122</v>
      </c>
      <c r="NXN108" s="1" t="s">
        <v>122</v>
      </c>
      <c r="NXO108" s="1" t="s">
        <v>122</v>
      </c>
      <c r="NXP108" s="1" t="s">
        <v>122</v>
      </c>
      <c r="NXQ108" s="1" t="s">
        <v>122</v>
      </c>
      <c r="NXR108" s="1" t="s">
        <v>122</v>
      </c>
      <c r="NXS108" s="1" t="s">
        <v>122</v>
      </c>
      <c r="NXT108" s="1" t="s">
        <v>122</v>
      </c>
      <c r="NXU108" s="1" t="s">
        <v>122</v>
      </c>
      <c r="NXV108" s="1" t="s">
        <v>122</v>
      </c>
      <c r="NXW108" s="1" t="s">
        <v>122</v>
      </c>
      <c r="NXX108" s="1" t="s">
        <v>122</v>
      </c>
      <c r="NXY108" s="1" t="s">
        <v>122</v>
      </c>
      <c r="NXZ108" s="1" t="s">
        <v>122</v>
      </c>
      <c r="NYA108" s="1" t="s">
        <v>122</v>
      </c>
      <c r="NYB108" s="1" t="s">
        <v>122</v>
      </c>
      <c r="NYC108" s="1" t="s">
        <v>122</v>
      </c>
      <c r="NYD108" s="1" t="s">
        <v>122</v>
      </c>
      <c r="NYE108" s="1" t="s">
        <v>122</v>
      </c>
      <c r="NYF108" s="1" t="s">
        <v>122</v>
      </c>
      <c r="NYG108" s="1" t="s">
        <v>122</v>
      </c>
      <c r="NYH108" s="1" t="s">
        <v>122</v>
      </c>
      <c r="NYI108" s="1" t="s">
        <v>122</v>
      </c>
      <c r="NYJ108" s="1" t="s">
        <v>122</v>
      </c>
      <c r="NYK108" s="1" t="s">
        <v>122</v>
      </c>
      <c r="NYL108" s="1" t="s">
        <v>122</v>
      </c>
      <c r="NYM108" s="1" t="s">
        <v>122</v>
      </c>
      <c r="NYN108" s="1" t="s">
        <v>122</v>
      </c>
      <c r="NYO108" s="1" t="s">
        <v>122</v>
      </c>
      <c r="NYP108" s="1" t="s">
        <v>122</v>
      </c>
      <c r="NYQ108" s="1" t="s">
        <v>122</v>
      </c>
      <c r="NYR108" s="1" t="s">
        <v>122</v>
      </c>
      <c r="NYS108" s="1" t="s">
        <v>122</v>
      </c>
      <c r="NYT108" s="1" t="s">
        <v>122</v>
      </c>
      <c r="NYU108" s="1" t="s">
        <v>122</v>
      </c>
      <c r="NYV108" s="1" t="s">
        <v>122</v>
      </c>
      <c r="NYW108" s="1" t="s">
        <v>122</v>
      </c>
      <c r="NYX108" s="1" t="s">
        <v>122</v>
      </c>
      <c r="NYY108" s="1" t="s">
        <v>122</v>
      </c>
      <c r="NYZ108" s="1" t="s">
        <v>122</v>
      </c>
      <c r="NZA108" s="1" t="s">
        <v>122</v>
      </c>
      <c r="NZB108" s="1" t="s">
        <v>122</v>
      </c>
      <c r="NZC108" s="1" t="s">
        <v>122</v>
      </c>
      <c r="NZD108" s="1" t="s">
        <v>122</v>
      </c>
      <c r="NZE108" s="1" t="s">
        <v>122</v>
      </c>
      <c r="NZF108" s="1" t="s">
        <v>122</v>
      </c>
      <c r="NZG108" s="1" t="s">
        <v>122</v>
      </c>
      <c r="NZH108" s="1" t="s">
        <v>122</v>
      </c>
      <c r="NZI108" s="1" t="s">
        <v>122</v>
      </c>
      <c r="NZJ108" s="1" t="s">
        <v>122</v>
      </c>
      <c r="NZK108" s="1" t="s">
        <v>122</v>
      </c>
      <c r="NZL108" s="1" t="s">
        <v>122</v>
      </c>
      <c r="NZM108" s="1" t="s">
        <v>122</v>
      </c>
      <c r="NZN108" s="1" t="s">
        <v>122</v>
      </c>
      <c r="NZO108" s="1" t="s">
        <v>122</v>
      </c>
      <c r="NZP108" s="1" t="s">
        <v>122</v>
      </c>
      <c r="NZQ108" s="1" t="s">
        <v>122</v>
      </c>
      <c r="NZR108" s="1" t="s">
        <v>122</v>
      </c>
      <c r="NZS108" s="1" t="s">
        <v>122</v>
      </c>
      <c r="NZT108" s="1" t="s">
        <v>122</v>
      </c>
      <c r="NZU108" s="1" t="s">
        <v>122</v>
      </c>
      <c r="NZV108" s="1" t="s">
        <v>122</v>
      </c>
      <c r="NZW108" s="1" t="s">
        <v>122</v>
      </c>
      <c r="NZX108" s="1" t="s">
        <v>122</v>
      </c>
      <c r="NZY108" s="1" t="s">
        <v>122</v>
      </c>
      <c r="NZZ108" s="1" t="s">
        <v>122</v>
      </c>
      <c r="OAA108" s="1" t="s">
        <v>122</v>
      </c>
      <c r="OAB108" s="1" t="s">
        <v>122</v>
      </c>
      <c r="OAC108" s="1" t="s">
        <v>122</v>
      </c>
      <c r="OAD108" s="1" t="s">
        <v>122</v>
      </c>
      <c r="OAE108" s="1" t="s">
        <v>122</v>
      </c>
      <c r="OAF108" s="1" t="s">
        <v>122</v>
      </c>
      <c r="OAG108" s="1" t="s">
        <v>122</v>
      </c>
      <c r="OAH108" s="1" t="s">
        <v>122</v>
      </c>
      <c r="OAI108" s="1" t="s">
        <v>122</v>
      </c>
      <c r="OAJ108" s="1" t="s">
        <v>122</v>
      </c>
      <c r="OAK108" s="1" t="s">
        <v>122</v>
      </c>
      <c r="OAL108" s="1" t="s">
        <v>122</v>
      </c>
      <c r="OAM108" s="1" t="s">
        <v>122</v>
      </c>
      <c r="OAN108" s="1" t="s">
        <v>122</v>
      </c>
      <c r="OAO108" s="1" t="s">
        <v>122</v>
      </c>
      <c r="OAP108" s="1" t="s">
        <v>122</v>
      </c>
      <c r="OAQ108" s="1" t="s">
        <v>122</v>
      </c>
      <c r="OAR108" s="1" t="s">
        <v>122</v>
      </c>
      <c r="OAS108" s="1" t="s">
        <v>122</v>
      </c>
      <c r="OAT108" s="1" t="s">
        <v>122</v>
      </c>
      <c r="OAU108" s="1" t="s">
        <v>122</v>
      </c>
      <c r="OAV108" s="1" t="s">
        <v>122</v>
      </c>
      <c r="OAW108" s="1" t="s">
        <v>122</v>
      </c>
      <c r="OAX108" s="1" t="s">
        <v>122</v>
      </c>
      <c r="OAY108" s="1" t="s">
        <v>122</v>
      </c>
      <c r="OAZ108" s="1" t="s">
        <v>122</v>
      </c>
      <c r="OBA108" s="1" t="s">
        <v>122</v>
      </c>
      <c r="OBB108" s="1" t="s">
        <v>122</v>
      </c>
      <c r="OBC108" s="1" t="s">
        <v>122</v>
      </c>
      <c r="OBD108" s="1" t="s">
        <v>122</v>
      </c>
      <c r="OBE108" s="1" t="s">
        <v>122</v>
      </c>
      <c r="OBF108" s="1" t="s">
        <v>122</v>
      </c>
      <c r="OBG108" s="1" t="s">
        <v>122</v>
      </c>
      <c r="OBH108" s="1" t="s">
        <v>122</v>
      </c>
      <c r="OBI108" s="1" t="s">
        <v>122</v>
      </c>
      <c r="OBJ108" s="1" t="s">
        <v>122</v>
      </c>
      <c r="OBK108" s="1" t="s">
        <v>122</v>
      </c>
      <c r="OBL108" s="1" t="s">
        <v>122</v>
      </c>
      <c r="OBM108" s="1" t="s">
        <v>122</v>
      </c>
      <c r="OBN108" s="1" t="s">
        <v>122</v>
      </c>
      <c r="OBO108" s="1" t="s">
        <v>122</v>
      </c>
      <c r="OBP108" s="1" t="s">
        <v>122</v>
      </c>
      <c r="OBQ108" s="1" t="s">
        <v>122</v>
      </c>
      <c r="OBR108" s="1" t="s">
        <v>122</v>
      </c>
      <c r="OBS108" s="1" t="s">
        <v>122</v>
      </c>
      <c r="OBT108" s="1" t="s">
        <v>122</v>
      </c>
      <c r="OBU108" s="1" t="s">
        <v>122</v>
      </c>
      <c r="OBV108" s="1" t="s">
        <v>122</v>
      </c>
      <c r="OBW108" s="1" t="s">
        <v>122</v>
      </c>
      <c r="OBX108" s="1" t="s">
        <v>122</v>
      </c>
      <c r="OBY108" s="1" t="s">
        <v>122</v>
      </c>
      <c r="OBZ108" s="1" t="s">
        <v>122</v>
      </c>
      <c r="OCA108" s="1" t="s">
        <v>122</v>
      </c>
      <c r="OCB108" s="1" t="s">
        <v>122</v>
      </c>
      <c r="OCC108" s="1" t="s">
        <v>122</v>
      </c>
      <c r="OCD108" s="1" t="s">
        <v>122</v>
      </c>
      <c r="OCE108" s="1" t="s">
        <v>122</v>
      </c>
      <c r="OCF108" s="1" t="s">
        <v>122</v>
      </c>
      <c r="OCG108" s="1" t="s">
        <v>122</v>
      </c>
      <c r="OCH108" s="1" t="s">
        <v>122</v>
      </c>
      <c r="OCI108" s="1" t="s">
        <v>122</v>
      </c>
      <c r="OCJ108" s="1" t="s">
        <v>122</v>
      </c>
      <c r="OCK108" s="1" t="s">
        <v>122</v>
      </c>
      <c r="OCL108" s="1" t="s">
        <v>122</v>
      </c>
      <c r="OCM108" s="1" t="s">
        <v>122</v>
      </c>
      <c r="OCN108" s="1" t="s">
        <v>122</v>
      </c>
      <c r="OCO108" s="1" t="s">
        <v>122</v>
      </c>
      <c r="OCP108" s="1" t="s">
        <v>122</v>
      </c>
      <c r="OCQ108" s="1" t="s">
        <v>122</v>
      </c>
      <c r="OCR108" s="1" t="s">
        <v>122</v>
      </c>
      <c r="OCS108" s="1" t="s">
        <v>122</v>
      </c>
      <c r="OCT108" s="1" t="s">
        <v>122</v>
      </c>
      <c r="OCU108" s="1" t="s">
        <v>122</v>
      </c>
      <c r="OCV108" s="1" t="s">
        <v>122</v>
      </c>
      <c r="OCW108" s="1" t="s">
        <v>122</v>
      </c>
      <c r="OCX108" s="1" t="s">
        <v>122</v>
      </c>
      <c r="OCY108" s="1" t="s">
        <v>122</v>
      </c>
      <c r="OCZ108" s="1" t="s">
        <v>122</v>
      </c>
      <c r="ODA108" s="1" t="s">
        <v>122</v>
      </c>
      <c r="ODB108" s="1" t="s">
        <v>122</v>
      </c>
      <c r="ODC108" s="1" t="s">
        <v>122</v>
      </c>
      <c r="ODD108" s="1" t="s">
        <v>122</v>
      </c>
      <c r="ODE108" s="1" t="s">
        <v>122</v>
      </c>
      <c r="ODF108" s="1" t="s">
        <v>122</v>
      </c>
      <c r="ODG108" s="1" t="s">
        <v>122</v>
      </c>
      <c r="ODH108" s="1" t="s">
        <v>122</v>
      </c>
      <c r="ODI108" s="1" t="s">
        <v>122</v>
      </c>
      <c r="ODJ108" s="1" t="s">
        <v>122</v>
      </c>
      <c r="ODK108" s="1" t="s">
        <v>122</v>
      </c>
      <c r="ODL108" s="1" t="s">
        <v>122</v>
      </c>
      <c r="ODM108" s="1" t="s">
        <v>122</v>
      </c>
      <c r="ODN108" s="1" t="s">
        <v>122</v>
      </c>
      <c r="ODO108" s="1" t="s">
        <v>122</v>
      </c>
      <c r="ODP108" s="1" t="s">
        <v>122</v>
      </c>
      <c r="ODQ108" s="1" t="s">
        <v>122</v>
      </c>
      <c r="ODR108" s="1" t="s">
        <v>122</v>
      </c>
      <c r="ODS108" s="1" t="s">
        <v>122</v>
      </c>
      <c r="ODT108" s="1" t="s">
        <v>122</v>
      </c>
      <c r="ODU108" s="1" t="s">
        <v>122</v>
      </c>
      <c r="ODV108" s="1" t="s">
        <v>122</v>
      </c>
      <c r="ODW108" s="1" t="s">
        <v>122</v>
      </c>
      <c r="ODX108" s="1" t="s">
        <v>122</v>
      </c>
      <c r="ODY108" s="1" t="s">
        <v>122</v>
      </c>
      <c r="ODZ108" s="1" t="s">
        <v>122</v>
      </c>
      <c r="OEA108" s="1" t="s">
        <v>122</v>
      </c>
      <c r="OEB108" s="1" t="s">
        <v>122</v>
      </c>
      <c r="OEC108" s="1" t="s">
        <v>122</v>
      </c>
      <c r="OED108" s="1" t="s">
        <v>122</v>
      </c>
      <c r="OEE108" s="1" t="s">
        <v>122</v>
      </c>
      <c r="OEF108" s="1" t="s">
        <v>122</v>
      </c>
      <c r="OEG108" s="1" t="s">
        <v>122</v>
      </c>
      <c r="OEH108" s="1" t="s">
        <v>122</v>
      </c>
      <c r="OEI108" s="1" t="s">
        <v>122</v>
      </c>
      <c r="OEJ108" s="1" t="s">
        <v>122</v>
      </c>
      <c r="OEK108" s="1" t="s">
        <v>122</v>
      </c>
      <c r="OEL108" s="1" t="s">
        <v>122</v>
      </c>
      <c r="OEM108" s="1" t="s">
        <v>122</v>
      </c>
      <c r="OEN108" s="1" t="s">
        <v>122</v>
      </c>
      <c r="OEO108" s="1" t="s">
        <v>122</v>
      </c>
      <c r="OEP108" s="1" t="s">
        <v>122</v>
      </c>
      <c r="OEQ108" s="1" t="s">
        <v>122</v>
      </c>
      <c r="OER108" s="1" t="s">
        <v>122</v>
      </c>
      <c r="OES108" s="1" t="s">
        <v>122</v>
      </c>
      <c r="OET108" s="1" t="s">
        <v>122</v>
      </c>
      <c r="OEU108" s="1" t="s">
        <v>122</v>
      </c>
      <c r="OEV108" s="1" t="s">
        <v>122</v>
      </c>
      <c r="OEW108" s="1" t="s">
        <v>122</v>
      </c>
      <c r="OEX108" s="1" t="s">
        <v>122</v>
      </c>
      <c r="OEY108" s="1" t="s">
        <v>122</v>
      </c>
      <c r="OEZ108" s="1" t="s">
        <v>122</v>
      </c>
      <c r="OFA108" s="1" t="s">
        <v>122</v>
      </c>
      <c r="OFB108" s="1" t="s">
        <v>122</v>
      </c>
      <c r="OFC108" s="1" t="s">
        <v>122</v>
      </c>
      <c r="OFD108" s="1" t="s">
        <v>122</v>
      </c>
      <c r="OFE108" s="1" t="s">
        <v>122</v>
      </c>
      <c r="OFF108" s="1" t="s">
        <v>122</v>
      </c>
      <c r="OFG108" s="1" t="s">
        <v>122</v>
      </c>
      <c r="OFH108" s="1" t="s">
        <v>122</v>
      </c>
      <c r="OFI108" s="1" t="s">
        <v>122</v>
      </c>
      <c r="OFJ108" s="1" t="s">
        <v>122</v>
      </c>
      <c r="OFK108" s="1" t="s">
        <v>122</v>
      </c>
      <c r="OFL108" s="1" t="s">
        <v>122</v>
      </c>
      <c r="OFM108" s="1" t="s">
        <v>122</v>
      </c>
      <c r="OFN108" s="1" t="s">
        <v>122</v>
      </c>
      <c r="OFO108" s="1" t="s">
        <v>122</v>
      </c>
      <c r="OFP108" s="1" t="s">
        <v>122</v>
      </c>
      <c r="OFQ108" s="1" t="s">
        <v>122</v>
      </c>
      <c r="OFR108" s="1" t="s">
        <v>122</v>
      </c>
      <c r="OFS108" s="1" t="s">
        <v>122</v>
      </c>
      <c r="OFT108" s="1" t="s">
        <v>122</v>
      </c>
      <c r="OFU108" s="1" t="s">
        <v>122</v>
      </c>
      <c r="OFV108" s="1" t="s">
        <v>122</v>
      </c>
      <c r="OFW108" s="1" t="s">
        <v>122</v>
      </c>
      <c r="OFX108" s="1" t="s">
        <v>122</v>
      </c>
      <c r="OFY108" s="1" t="s">
        <v>122</v>
      </c>
      <c r="OFZ108" s="1" t="s">
        <v>122</v>
      </c>
      <c r="OGA108" s="1" t="s">
        <v>122</v>
      </c>
      <c r="OGB108" s="1" t="s">
        <v>122</v>
      </c>
      <c r="OGC108" s="1" t="s">
        <v>122</v>
      </c>
      <c r="OGD108" s="1" t="s">
        <v>122</v>
      </c>
      <c r="OGE108" s="1" t="s">
        <v>122</v>
      </c>
      <c r="OGF108" s="1" t="s">
        <v>122</v>
      </c>
      <c r="OGG108" s="1" t="s">
        <v>122</v>
      </c>
      <c r="OGH108" s="1" t="s">
        <v>122</v>
      </c>
      <c r="OGI108" s="1" t="s">
        <v>122</v>
      </c>
      <c r="OGJ108" s="1" t="s">
        <v>122</v>
      </c>
      <c r="OGK108" s="1" t="s">
        <v>122</v>
      </c>
      <c r="OGL108" s="1" t="s">
        <v>122</v>
      </c>
      <c r="OGM108" s="1" t="s">
        <v>122</v>
      </c>
      <c r="OGN108" s="1" t="s">
        <v>122</v>
      </c>
      <c r="OGO108" s="1" t="s">
        <v>122</v>
      </c>
      <c r="OGP108" s="1" t="s">
        <v>122</v>
      </c>
      <c r="OGQ108" s="1" t="s">
        <v>122</v>
      </c>
      <c r="OGR108" s="1" t="s">
        <v>122</v>
      </c>
      <c r="OGS108" s="1" t="s">
        <v>122</v>
      </c>
      <c r="OGT108" s="1" t="s">
        <v>122</v>
      </c>
      <c r="OGU108" s="1" t="s">
        <v>122</v>
      </c>
      <c r="OGV108" s="1" t="s">
        <v>122</v>
      </c>
      <c r="OGW108" s="1" t="s">
        <v>122</v>
      </c>
      <c r="OGX108" s="1" t="s">
        <v>122</v>
      </c>
      <c r="OGY108" s="1" t="s">
        <v>122</v>
      </c>
      <c r="OGZ108" s="1" t="s">
        <v>122</v>
      </c>
      <c r="OHA108" s="1" t="s">
        <v>122</v>
      </c>
      <c r="OHB108" s="1" t="s">
        <v>122</v>
      </c>
      <c r="OHC108" s="1" t="s">
        <v>122</v>
      </c>
      <c r="OHD108" s="1" t="s">
        <v>122</v>
      </c>
      <c r="OHE108" s="1" t="s">
        <v>122</v>
      </c>
      <c r="OHF108" s="1" t="s">
        <v>122</v>
      </c>
      <c r="OHG108" s="1" t="s">
        <v>122</v>
      </c>
      <c r="OHH108" s="1" t="s">
        <v>122</v>
      </c>
      <c r="OHI108" s="1" t="s">
        <v>122</v>
      </c>
      <c r="OHJ108" s="1" t="s">
        <v>122</v>
      </c>
      <c r="OHK108" s="1" t="s">
        <v>122</v>
      </c>
      <c r="OHL108" s="1" t="s">
        <v>122</v>
      </c>
      <c r="OHM108" s="1" t="s">
        <v>122</v>
      </c>
      <c r="OHN108" s="1" t="s">
        <v>122</v>
      </c>
      <c r="OHO108" s="1" t="s">
        <v>122</v>
      </c>
      <c r="OHP108" s="1" t="s">
        <v>122</v>
      </c>
      <c r="OHQ108" s="1" t="s">
        <v>122</v>
      </c>
      <c r="OHR108" s="1" t="s">
        <v>122</v>
      </c>
      <c r="OHS108" s="1" t="s">
        <v>122</v>
      </c>
      <c r="OHT108" s="1" t="s">
        <v>122</v>
      </c>
      <c r="OHU108" s="1" t="s">
        <v>122</v>
      </c>
      <c r="OHV108" s="1" t="s">
        <v>122</v>
      </c>
      <c r="OHW108" s="1" t="s">
        <v>122</v>
      </c>
      <c r="OHX108" s="1" t="s">
        <v>122</v>
      </c>
      <c r="OHY108" s="1" t="s">
        <v>122</v>
      </c>
      <c r="OHZ108" s="1" t="s">
        <v>122</v>
      </c>
      <c r="OIA108" s="1" t="s">
        <v>122</v>
      </c>
      <c r="OIB108" s="1" t="s">
        <v>122</v>
      </c>
      <c r="OIC108" s="1" t="s">
        <v>122</v>
      </c>
      <c r="OID108" s="1" t="s">
        <v>122</v>
      </c>
      <c r="OIE108" s="1" t="s">
        <v>122</v>
      </c>
      <c r="OIF108" s="1" t="s">
        <v>122</v>
      </c>
      <c r="OIG108" s="1" t="s">
        <v>122</v>
      </c>
      <c r="OIH108" s="1" t="s">
        <v>122</v>
      </c>
      <c r="OII108" s="1" t="s">
        <v>122</v>
      </c>
      <c r="OIJ108" s="1" t="s">
        <v>122</v>
      </c>
      <c r="OIK108" s="1" t="s">
        <v>122</v>
      </c>
      <c r="OIL108" s="1" t="s">
        <v>122</v>
      </c>
      <c r="OIM108" s="1" t="s">
        <v>122</v>
      </c>
      <c r="OIN108" s="1" t="s">
        <v>122</v>
      </c>
      <c r="OIO108" s="1" t="s">
        <v>122</v>
      </c>
      <c r="OIP108" s="1" t="s">
        <v>122</v>
      </c>
      <c r="OIQ108" s="1" t="s">
        <v>122</v>
      </c>
      <c r="OIR108" s="1" t="s">
        <v>122</v>
      </c>
      <c r="OIS108" s="1" t="s">
        <v>122</v>
      </c>
      <c r="OIT108" s="1" t="s">
        <v>122</v>
      </c>
      <c r="OIU108" s="1" t="s">
        <v>122</v>
      </c>
      <c r="OIV108" s="1" t="s">
        <v>122</v>
      </c>
      <c r="OIW108" s="1" t="s">
        <v>122</v>
      </c>
      <c r="OIX108" s="1" t="s">
        <v>122</v>
      </c>
      <c r="OIY108" s="1" t="s">
        <v>122</v>
      </c>
      <c r="OIZ108" s="1" t="s">
        <v>122</v>
      </c>
      <c r="OJA108" s="1" t="s">
        <v>122</v>
      </c>
      <c r="OJB108" s="1" t="s">
        <v>122</v>
      </c>
      <c r="OJC108" s="1" t="s">
        <v>122</v>
      </c>
      <c r="OJD108" s="1" t="s">
        <v>122</v>
      </c>
      <c r="OJE108" s="1" t="s">
        <v>122</v>
      </c>
      <c r="OJF108" s="1" t="s">
        <v>122</v>
      </c>
      <c r="OJG108" s="1" t="s">
        <v>122</v>
      </c>
      <c r="OJH108" s="1" t="s">
        <v>122</v>
      </c>
      <c r="OJI108" s="1" t="s">
        <v>122</v>
      </c>
      <c r="OJJ108" s="1" t="s">
        <v>122</v>
      </c>
      <c r="OJK108" s="1" t="s">
        <v>122</v>
      </c>
      <c r="OJL108" s="1" t="s">
        <v>122</v>
      </c>
      <c r="OJM108" s="1" t="s">
        <v>122</v>
      </c>
      <c r="OJN108" s="1" t="s">
        <v>122</v>
      </c>
      <c r="OJO108" s="1" t="s">
        <v>122</v>
      </c>
      <c r="OJP108" s="1" t="s">
        <v>122</v>
      </c>
      <c r="OJQ108" s="1" t="s">
        <v>122</v>
      </c>
      <c r="OJR108" s="1" t="s">
        <v>122</v>
      </c>
      <c r="OJS108" s="1" t="s">
        <v>122</v>
      </c>
      <c r="OJT108" s="1" t="s">
        <v>122</v>
      </c>
      <c r="OJU108" s="1" t="s">
        <v>122</v>
      </c>
      <c r="OJV108" s="1" t="s">
        <v>122</v>
      </c>
      <c r="OJW108" s="1" t="s">
        <v>122</v>
      </c>
      <c r="OJX108" s="1" t="s">
        <v>122</v>
      </c>
      <c r="OJY108" s="1" t="s">
        <v>122</v>
      </c>
      <c r="OJZ108" s="1" t="s">
        <v>122</v>
      </c>
      <c r="OKA108" s="1" t="s">
        <v>122</v>
      </c>
      <c r="OKB108" s="1" t="s">
        <v>122</v>
      </c>
      <c r="OKC108" s="1" t="s">
        <v>122</v>
      </c>
      <c r="OKD108" s="1" t="s">
        <v>122</v>
      </c>
      <c r="OKE108" s="1" t="s">
        <v>122</v>
      </c>
      <c r="OKF108" s="1" t="s">
        <v>122</v>
      </c>
      <c r="OKG108" s="1" t="s">
        <v>122</v>
      </c>
      <c r="OKH108" s="1" t="s">
        <v>122</v>
      </c>
      <c r="OKI108" s="1" t="s">
        <v>122</v>
      </c>
      <c r="OKJ108" s="1" t="s">
        <v>122</v>
      </c>
      <c r="OKK108" s="1" t="s">
        <v>122</v>
      </c>
      <c r="OKL108" s="1" t="s">
        <v>122</v>
      </c>
      <c r="OKM108" s="1" t="s">
        <v>122</v>
      </c>
      <c r="OKN108" s="1" t="s">
        <v>122</v>
      </c>
      <c r="OKO108" s="1" t="s">
        <v>122</v>
      </c>
      <c r="OKP108" s="1" t="s">
        <v>122</v>
      </c>
      <c r="OKQ108" s="1" t="s">
        <v>122</v>
      </c>
      <c r="OKR108" s="1" t="s">
        <v>122</v>
      </c>
      <c r="OKS108" s="1" t="s">
        <v>122</v>
      </c>
      <c r="OKT108" s="1" t="s">
        <v>122</v>
      </c>
      <c r="OKU108" s="1" t="s">
        <v>122</v>
      </c>
      <c r="OKV108" s="1" t="s">
        <v>122</v>
      </c>
      <c r="OKW108" s="1" t="s">
        <v>122</v>
      </c>
      <c r="OKX108" s="1" t="s">
        <v>122</v>
      </c>
      <c r="OKY108" s="1" t="s">
        <v>122</v>
      </c>
      <c r="OKZ108" s="1" t="s">
        <v>122</v>
      </c>
      <c r="OLA108" s="1" t="s">
        <v>122</v>
      </c>
      <c r="OLB108" s="1" t="s">
        <v>122</v>
      </c>
      <c r="OLC108" s="1" t="s">
        <v>122</v>
      </c>
      <c r="OLD108" s="1" t="s">
        <v>122</v>
      </c>
      <c r="OLE108" s="1" t="s">
        <v>122</v>
      </c>
      <c r="OLF108" s="1" t="s">
        <v>122</v>
      </c>
      <c r="OLG108" s="1" t="s">
        <v>122</v>
      </c>
      <c r="OLH108" s="1" t="s">
        <v>122</v>
      </c>
      <c r="OLI108" s="1" t="s">
        <v>122</v>
      </c>
      <c r="OLJ108" s="1" t="s">
        <v>122</v>
      </c>
      <c r="OLK108" s="1" t="s">
        <v>122</v>
      </c>
      <c r="OLL108" s="1" t="s">
        <v>122</v>
      </c>
      <c r="OLM108" s="1" t="s">
        <v>122</v>
      </c>
      <c r="OLN108" s="1" t="s">
        <v>122</v>
      </c>
      <c r="OLO108" s="1" t="s">
        <v>122</v>
      </c>
      <c r="OLP108" s="1" t="s">
        <v>122</v>
      </c>
      <c r="OLQ108" s="1" t="s">
        <v>122</v>
      </c>
      <c r="OLR108" s="1" t="s">
        <v>122</v>
      </c>
      <c r="OLS108" s="1" t="s">
        <v>122</v>
      </c>
      <c r="OLT108" s="1" t="s">
        <v>122</v>
      </c>
      <c r="OLU108" s="1" t="s">
        <v>122</v>
      </c>
      <c r="OLV108" s="1" t="s">
        <v>122</v>
      </c>
      <c r="OLW108" s="1" t="s">
        <v>122</v>
      </c>
      <c r="OLX108" s="1" t="s">
        <v>122</v>
      </c>
      <c r="OLY108" s="1" t="s">
        <v>122</v>
      </c>
      <c r="OLZ108" s="1" t="s">
        <v>122</v>
      </c>
      <c r="OMA108" s="1" t="s">
        <v>122</v>
      </c>
      <c r="OMB108" s="1" t="s">
        <v>122</v>
      </c>
      <c r="OMC108" s="1" t="s">
        <v>122</v>
      </c>
      <c r="OMD108" s="1" t="s">
        <v>122</v>
      </c>
      <c r="OME108" s="1" t="s">
        <v>122</v>
      </c>
      <c r="OMF108" s="1" t="s">
        <v>122</v>
      </c>
      <c r="OMG108" s="1" t="s">
        <v>122</v>
      </c>
      <c r="OMH108" s="1" t="s">
        <v>122</v>
      </c>
      <c r="OMI108" s="1" t="s">
        <v>122</v>
      </c>
      <c r="OMJ108" s="1" t="s">
        <v>122</v>
      </c>
      <c r="OMK108" s="1" t="s">
        <v>122</v>
      </c>
      <c r="OML108" s="1" t="s">
        <v>122</v>
      </c>
      <c r="OMM108" s="1" t="s">
        <v>122</v>
      </c>
      <c r="OMN108" s="1" t="s">
        <v>122</v>
      </c>
      <c r="OMO108" s="1" t="s">
        <v>122</v>
      </c>
      <c r="OMP108" s="1" t="s">
        <v>122</v>
      </c>
      <c r="OMQ108" s="1" t="s">
        <v>122</v>
      </c>
      <c r="OMR108" s="1" t="s">
        <v>122</v>
      </c>
      <c r="OMS108" s="1" t="s">
        <v>122</v>
      </c>
      <c r="OMT108" s="1" t="s">
        <v>122</v>
      </c>
      <c r="OMU108" s="1" t="s">
        <v>122</v>
      </c>
      <c r="OMV108" s="1" t="s">
        <v>122</v>
      </c>
      <c r="OMW108" s="1" t="s">
        <v>122</v>
      </c>
      <c r="OMX108" s="1" t="s">
        <v>122</v>
      </c>
      <c r="OMY108" s="1" t="s">
        <v>122</v>
      </c>
      <c r="OMZ108" s="1" t="s">
        <v>122</v>
      </c>
      <c r="ONA108" s="1" t="s">
        <v>122</v>
      </c>
      <c r="ONB108" s="1" t="s">
        <v>122</v>
      </c>
      <c r="ONC108" s="1" t="s">
        <v>122</v>
      </c>
      <c r="OND108" s="1" t="s">
        <v>122</v>
      </c>
      <c r="ONE108" s="1" t="s">
        <v>122</v>
      </c>
      <c r="ONF108" s="1" t="s">
        <v>122</v>
      </c>
      <c r="ONG108" s="1" t="s">
        <v>122</v>
      </c>
      <c r="ONH108" s="1" t="s">
        <v>122</v>
      </c>
      <c r="ONI108" s="1" t="s">
        <v>122</v>
      </c>
      <c r="ONJ108" s="1" t="s">
        <v>122</v>
      </c>
      <c r="ONK108" s="1" t="s">
        <v>122</v>
      </c>
      <c r="ONL108" s="1" t="s">
        <v>122</v>
      </c>
      <c r="ONM108" s="1" t="s">
        <v>122</v>
      </c>
      <c r="ONN108" s="1" t="s">
        <v>122</v>
      </c>
      <c r="ONO108" s="1" t="s">
        <v>122</v>
      </c>
      <c r="ONP108" s="1" t="s">
        <v>122</v>
      </c>
      <c r="ONQ108" s="1" t="s">
        <v>122</v>
      </c>
      <c r="ONR108" s="1" t="s">
        <v>122</v>
      </c>
      <c r="ONS108" s="1" t="s">
        <v>122</v>
      </c>
      <c r="ONT108" s="1" t="s">
        <v>122</v>
      </c>
      <c r="ONU108" s="1" t="s">
        <v>122</v>
      </c>
      <c r="ONV108" s="1" t="s">
        <v>122</v>
      </c>
      <c r="ONW108" s="1" t="s">
        <v>122</v>
      </c>
      <c r="ONX108" s="1" t="s">
        <v>122</v>
      </c>
      <c r="ONY108" s="1" t="s">
        <v>122</v>
      </c>
      <c r="ONZ108" s="1" t="s">
        <v>122</v>
      </c>
      <c r="OOA108" s="1" t="s">
        <v>122</v>
      </c>
      <c r="OOB108" s="1" t="s">
        <v>122</v>
      </c>
      <c r="OOC108" s="1" t="s">
        <v>122</v>
      </c>
      <c r="OOD108" s="1" t="s">
        <v>122</v>
      </c>
      <c r="OOE108" s="1" t="s">
        <v>122</v>
      </c>
      <c r="OOF108" s="1" t="s">
        <v>122</v>
      </c>
      <c r="OOG108" s="1" t="s">
        <v>122</v>
      </c>
      <c r="OOH108" s="1" t="s">
        <v>122</v>
      </c>
      <c r="OOI108" s="1" t="s">
        <v>122</v>
      </c>
      <c r="OOJ108" s="1" t="s">
        <v>122</v>
      </c>
      <c r="OOK108" s="1" t="s">
        <v>122</v>
      </c>
      <c r="OOL108" s="1" t="s">
        <v>122</v>
      </c>
      <c r="OOM108" s="1" t="s">
        <v>122</v>
      </c>
      <c r="OON108" s="1" t="s">
        <v>122</v>
      </c>
      <c r="OOO108" s="1" t="s">
        <v>122</v>
      </c>
      <c r="OOP108" s="1" t="s">
        <v>122</v>
      </c>
      <c r="OOQ108" s="1" t="s">
        <v>122</v>
      </c>
      <c r="OOR108" s="1" t="s">
        <v>122</v>
      </c>
      <c r="OOS108" s="1" t="s">
        <v>122</v>
      </c>
      <c r="OOT108" s="1" t="s">
        <v>122</v>
      </c>
      <c r="OOU108" s="1" t="s">
        <v>122</v>
      </c>
      <c r="OOV108" s="1" t="s">
        <v>122</v>
      </c>
      <c r="OOW108" s="1" t="s">
        <v>122</v>
      </c>
      <c r="OOX108" s="1" t="s">
        <v>122</v>
      </c>
      <c r="OOY108" s="1" t="s">
        <v>122</v>
      </c>
      <c r="OOZ108" s="1" t="s">
        <v>122</v>
      </c>
      <c r="OPA108" s="1" t="s">
        <v>122</v>
      </c>
      <c r="OPB108" s="1" t="s">
        <v>122</v>
      </c>
      <c r="OPC108" s="1" t="s">
        <v>122</v>
      </c>
      <c r="OPD108" s="1" t="s">
        <v>122</v>
      </c>
      <c r="OPE108" s="1" t="s">
        <v>122</v>
      </c>
      <c r="OPF108" s="1" t="s">
        <v>122</v>
      </c>
      <c r="OPG108" s="1" t="s">
        <v>122</v>
      </c>
      <c r="OPH108" s="1" t="s">
        <v>122</v>
      </c>
      <c r="OPI108" s="1" t="s">
        <v>122</v>
      </c>
      <c r="OPJ108" s="1" t="s">
        <v>122</v>
      </c>
      <c r="OPK108" s="1" t="s">
        <v>122</v>
      </c>
      <c r="OPL108" s="1" t="s">
        <v>122</v>
      </c>
      <c r="OPM108" s="1" t="s">
        <v>122</v>
      </c>
      <c r="OPN108" s="1" t="s">
        <v>122</v>
      </c>
      <c r="OPO108" s="1" t="s">
        <v>122</v>
      </c>
      <c r="OPP108" s="1" t="s">
        <v>122</v>
      </c>
      <c r="OPQ108" s="1" t="s">
        <v>122</v>
      </c>
      <c r="OPR108" s="1" t="s">
        <v>122</v>
      </c>
      <c r="OPS108" s="1" t="s">
        <v>122</v>
      </c>
      <c r="OPT108" s="1" t="s">
        <v>122</v>
      </c>
      <c r="OPU108" s="1" t="s">
        <v>122</v>
      </c>
      <c r="OPV108" s="1" t="s">
        <v>122</v>
      </c>
      <c r="OPW108" s="1" t="s">
        <v>122</v>
      </c>
      <c r="OPX108" s="1" t="s">
        <v>122</v>
      </c>
      <c r="OPY108" s="1" t="s">
        <v>122</v>
      </c>
      <c r="OPZ108" s="1" t="s">
        <v>122</v>
      </c>
      <c r="OQA108" s="1" t="s">
        <v>122</v>
      </c>
      <c r="OQB108" s="1" t="s">
        <v>122</v>
      </c>
      <c r="OQC108" s="1" t="s">
        <v>122</v>
      </c>
      <c r="OQD108" s="1" t="s">
        <v>122</v>
      </c>
      <c r="OQE108" s="1" t="s">
        <v>122</v>
      </c>
      <c r="OQF108" s="1" t="s">
        <v>122</v>
      </c>
      <c r="OQG108" s="1" t="s">
        <v>122</v>
      </c>
      <c r="OQH108" s="1" t="s">
        <v>122</v>
      </c>
      <c r="OQI108" s="1" t="s">
        <v>122</v>
      </c>
      <c r="OQJ108" s="1" t="s">
        <v>122</v>
      </c>
      <c r="OQK108" s="1" t="s">
        <v>122</v>
      </c>
      <c r="OQL108" s="1" t="s">
        <v>122</v>
      </c>
      <c r="OQM108" s="1" t="s">
        <v>122</v>
      </c>
      <c r="OQN108" s="1" t="s">
        <v>122</v>
      </c>
      <c r="OQO108" s="1" t="s">
        <v>122</v>
      </c>
      <c r="OQP108" s="1" t="s">
        <v>122</v>
      </c>
      <c r="OQQ108" s="1" t="s">
        <v>122</v>
      </c>
      <c r="OQR108" s="1" t="s">
        <v>122</v>
      </c>
      <c r="OQS108" s="1" t="s">
        <v>122</v>
      </c>
      <c r="OQT108" s="1" t="s">
        <v>122</v>
      </c>
      <c r="OQU108" s="1" t="s">
        <v>122</v>
      </c>
      <c r="OQV108" s="1" t="s">
        <v>122</v>
      </c>
      <c r="OQW108" s="1" t="s">
        <v>122</v>
      </c>
      <c r="OQX108" s="1" t="s">
        <v>122</v>
      </c>
      <c r="OQY108" s="1" t="s">
        <v>122</v>
      </c>
      <c r="OQZ108" s="1" t="s">
        <v>122</v>
      </c>
      <c r="ORA108" s="1" t="s">
        <v>122</v>
      </c>
      <c r="ORB108" s="1" t="s">
        <v>122</v>
      </c>
      <c r="ORC108" s="1" t="s">
        <v>122</v>
      </c>
      <c r="ORD108" s="1" t="s">
        <v>122</v>
      </c>
      <c r="ORE108" s="1" t="s">
        <v>122</v>
      </c>
      <c r="ORF108" s="1" t="s">
        <v>122</v>
      </c>
      <c r="ORG108" s="1" t="s">
        <v>122</v>
      </c>
      <c r="ORH108" s="1" t="s">
        <v>122</v>
      </c>
      <c r="ORI108" s="1" t="s">
        <v>122</v>
      </c>
      <c r="ORJ108" s="1" t="s">
        <v>122</v>
      </c>
      <c r="ORK108" s="1" t="s">
        <v>122</v>
      </c>
      <c r="ORL108" s="1" t="s">
        <v>122</v>
      </c>
      <c r="ORM108" s="1" t="s">
        <v>122</v>
      </c>
      <c r="ORN108" s="1" t="s">
        <v>122</v>
      </c>
      <c r="ORO108" s="1" t="s">
        <v>122</v>
      </c>
      <c r="ORP108" s="1" t="s">
        <v>122</v>
      </c>
      <c r="ORQ108" s="1" t="s">
        <v>122</v>
      </c>
      <c r="ORR108" s="1" t="s">
        <v>122</v>
      </c>
      <c r="ORS108" s="1" t="s">
        <v>122</v>
      </c>
      <c r="ORT108" s="1" t="s">
        <v>122</v>
      </c>
      <c r="ORU108" s="1" t="s">
        <v>122</v>
      </c>
      <c r="ORV108" s="1" t="s">
        <v>122</v>
      </c>
      <c r="ORW108" s="1" t="s">
        <v>122</v>
      </c>
      <c r="ORX108" s="1" t="s">
        <v>122</v>
      </c>
      <c r="ORY108" s="1" t="s">
        <v>122</v>
      </c>
      <c r="ORZ108" s="1" t="s">
        <v>122</v>
      </c>
      <c r="OSA108" s="1" t="s">
        <v>122</v>
      </c>
      <c r="OSB108" s="1" t="s">
        <v>122</v>
      </c>
      <c r="OSC108" s="1" t="s">
        <v>122</v>
      </c>
      <c r="OSD108" s="1" t="s">
        <v>122</v>
      </c>
      <c r="OSE108" s="1" t="s">
        <v>122</v>
      </c>
      <c r="OSF108" s="1" t="s">
        <v>122</v>
      </c>
      <c r="OSG108" s="1" t="s">
        <v>122</v>
      </c>
      <c r="OSH108" s="1" t="s">
        <v>122</v>
      </c>
      <c r="OSI108" s="1" t="s">
        <v>122</v>
      </c>
      <c r="OSJ108" s="1" t="s">
        <v>122</v>
      </c>
      <c r="OSK108" s="1" t="s">
        <v>122</v>
      </c>
      <c r="OSL108" s="1" t="s">
        <v>122</v>
      </c>
      <c r="OSM108" s="1" t="s">
        <v>122</v>
      </c>
      <c r="OSN108" s="1" t="s">
        <v>122</v>
      </c>
      <c r="OSO108" s="1" t="s">
        <v>122</v>
      </c>
      <c r="OSP108" s="1" t="s">
        <v>122</v>
      </c>
      <c r="OSQ108" s="1" t="s">
        <v>122</v>
      </c>
      <c r="OSR108" s="1" t="s">
        <v>122</v>
      </c>
      <c r="OSS108" s="1" t="s">
        <v>122</v>
      </c>
      <c r="OST108" s="1" t="s">
        <v>122</v>
      </c>
      <c r="OSU108" s="1" t="s">
        <v>122</v>
      </c>
      <c r="OSV108" s="1" t="s">
        <v>122</v>
      </c>
      <c r="OSW108" s="1" t="s">
        <v>122</v>
      </c>
      <c r="OSX108" s="1" t="s">
        <v>122</v>
      </c>
      <c r="OSY108" s="1" t="s">
        <v>122</v>
      </c>
      <c r="OSZ108" s="1" t="s">
        <v>122</v>
      </c>
      <c r="OTA108" s="1" t="s">
        <v>122</v>
      </c>
      <c r="OTB108" s="1" t="s">
        <v>122</v>
      </c>
      <c r="OTC108" s="1" t="s">
        <v>122</v>
      </c>
      <c r="OTD108" s="1" t="s">
        <v>122</v>
      </c>
      <c r="OTE108" s="1" t="s">
        <v>122</v>
      </c>
      <c r="OTF108" s="1" t="s">
        <v>122</v>
      </c>
      <c r="OTG108" s="1" t="s">
        <v>122</v>
      </c>
      <c r="OTH108" s="1" t="s">
        <v>122</v>
      </c>
      <c r="OTI108" s="1" t="s">
        <v>122</v>
      </c>
      <c r="OTJ108" s="1" t="s">
        <v>122</v>
      </c>
      <c r="OTK108" s="1" t="s">
        <v>122</v>
      </c>
      <c r="OTL108" s="1" t="s">
        <v>122</v>
      </c>
      <c r="OTM108" s="1" t="s">
        <v>122</v>
      </c>
      <c r="OTN108" s="1" t="s">
        <v>122</v>
      </c>
      <c r="OTO108" s="1" t="s">
        <v>122</v>
      </c>
      <c r="OTP108" s="1" t="s">
        <v>122</v>
      </c>
      <c r="OTQ108" s="1" t="s">
        <v>122</v>
      </c>
      <c r="OTR108" s="1" t="s">
        <v>122</v>
      </c>
      <c r="OTS108" s="1" t="s">
        <v>122</v>
      </c>
      <c r="OTT108" s="1" t="s">
        <v>122</v>
      </c>
      <c r="OTU108" s="1" t="s">
        <v>122</v>
      </c>
      <c r="OTV108" s="1" t="s">
        <v>122</v>
      </c>
      <c r="OTW108" s="1" t="s">
        <v>122</v>
      </c>
      <c r="OTX108" s="1" t="s">
        <v>122</v>
      </c>
      <c r="OTY108" s="1" t="s">
        <v>122</v>
      </c>
      <c r="OTZ108" s="1" t="s">
        <v>122</v>
      </c>
      <c r="OUA108" s="1" t="s">
        <v>122</v>
      </c>
      <c r="OUB108" s="1" t="s">
        <v>122</v>
      </c>
      <c r="OUC108" s="1" t="s">
        <v>122</v>
      </c>
      <c r="OUD108" s="1" t="s">
        <v>122</v>
      </c>
      <c r="OUE108" s="1" t="s">
        <v>122</v>
      </c>
      <c r="OUF108" s="1" t="s">
        <v>122</v>
      </c>
      <c r="OUG108" s="1" t="s">
        <v>122</v>
      </c>
      <c r="OUH108" s="1" t="s">
        <v>122</v>
      </c>
      <c r="OUI108" s="1" t="s">
        <v>122</v>
      </c>
      <c r="OUJ108" s="1" t="s">
        <v>122</v>
      </c>
      <c r="OUK108" s="1" t="s">
        <v>122</v>
      </c>
      <c r="OUL108" s="1" t="s">
        <v>122</v>
      </c>
      <c r="OUM108" s="1" t="s">
        <v>122</v>
      </c>
      <c r="OUN108" s="1" t="s">
        <v>122</v>
      </c>
      <c r="OUO108" s="1" t="s">
        <v>122</v>
      </c>
      <c r="OUP108" s="1" t="s">
        <v>122</v>
      </c>
      <c r="OUQ108" s="1" t="s">
        <v>122</v>
      </c>
      <c r="OUR108" s="1" t="s">
        <v>122</v>
      </c>
      <c r="OUS108" s="1" t="s">
        <v>122</v>
      </c>
      <c r="OUT108" s="1" t="s">
        <v>122</v>
      </c>
      <c r="OUU108" s="1" t="s">
        <v>122</v>
      </c>
      <c r="OUV108" s="1" t="s">
        <v>122</v>
      </c>
      <c r="OUW108" s="1" t="s">
        <v>122</v>
      </c>
      <c r="OUX108" s="1" t="s">
        <v>122</v>
      </c>
      <c r="OUY108" s="1" t="s">
        <v>122</v>
      </c>
      <c r="OUZ108" s="1" t="s">
        <v>122</v>
      </c>
      <c r="OVA108" s="1" t="s">
        <v>122</v>
      </c>
      <c r="OVB108" s="1" t="s">
        <v>122</v>
      </c>
      <c r="OVC108" s="1" t="s">
        <v>122</v>
      </c>
      <c r="OVD108" s="1" t="s">
        <v>122</v>
      </c>
      <c r="OVE108" s="1" t="s">
        <v>122</v>
      </c>
      <c r="OVF108" s="1" t="s">
        <v>122</v>
      </c>
      <c r="OVG108" s="1" t="s">
        <v>122</v>
      </c>
      <c r="OVH108" s="1" t="s">
        <v>122</v>
      </c>
      <c r="OVI108" s="1" t="s">
        <v>122</v>
      </c>
      <c r="OVJ108" s="1" t="s">
        <v>122</v>
      </c>
      <c r="OVK108" s="1" t="s">
        <v>122</v>
      </c>
      <c r="OVL108" s="1" t="s">
        <v>122</v>
      </c>
      <c r="OVM108" s="1" t="s">
        <v>122</v>
      </c>
      <c r="OVN108" s="1" t="s">
        <v>122</v>
      </c>
      <c r="OVO108" s="1" t="s">
        <v>122</v>
      </c>
      <c r="OVP108" s="1" t="s">
        <v>122</v>
      </c>
      <c r="OVQ108" s="1" t="s">
        <v>122</v>
      </c>
      <c r="OVR108" s="1" t="s">
        <v>122</v>
      </c>
      <c r="OVS108" s="1" t="s">
        <v>122</v>
      </c>
      <c r="OVT108" s="1" t="s">
        <v>122</v>
      </c>
      <c r="OVU108" s="1" t="s">
        <v>122</v>
      </c>
      <c r="OVV108" s="1" t="s">
        <v>122</v>
      </c>
      <c r="OVW108" s="1" t="s">
        <v>122</v>
      </c>
      <c r="OVX108" s="1" t="s">
        <v>122</v>
      </c>
      <c r="OVY108" s="1" t="s">
        <v>122</v>
      </c>
      <c r="OVZ108" s="1" t="s">
        <v>122</v>
      </c>
      <c r="OWA108" s="1" t="s">
        <v>122</v>
      </c>
      <c r="OWB108" s="1" t="s">
        <v>122</v>
      </c>
      <c r="OWC108" s="1" t="s">
        <v>122</v>
      </c>
      <c r="OWD108" s="1" t="s">
        <v>122</v>
      </c>
      <c r="OWE108" s="1" t="s">
        <v>122</v>
      </c>
      <c r="OWF108" s="1" t="s">
        <v>122</v>
      </c>
      <c r="OWG108" s="1" t="s">
        <v>122</v>
      </c>
      <c r="OWH108" s="1" t="s">
        <v>122</v>
      </c>
      <c r="OWI108" s="1" t="s">
        <v>122</v>
      </c>
      <c r="OWJ108" s="1" t="s">
        <v>122</v>
      </c>
      <c r="OWK108" s="1" t="s">
        <v>122</v>
      </c>
      <c r="OWL108" s="1" t="s">
        <v>122</v>
      </c>
      <c r="OWM108" s="1" t="s">
        <v>122</v>
      </c>
      <c r="OWN108" s="1" t="s">
        <v>122</v>
      </c>
      <c r="OWO108" s="1" t="s">
        <v>122</v>
      </c>
      <c r="OWP108" s="1" t="s">
        <v>122</v>
      </c>
      <c r="OWQ108" s="1" t="s">
        <v>122</v>
      </c>
      <c r="OWR108" s="1" t="s">
        <v>122</v>
      </c>
      <c r="OWS108" s="1" t="s">
        <v>122</v>
      </c>
      <c r="OWT108" s="1" t="s">
        <v>122</v>
      </c>
      <c r="OWU108" s="1" t="s">
        <v>122</v>
      </c>
      <c r="OWV108" s="1" t="s">
        <v>122</v>
      </c>
      <c r="OWW108" s="1" t="s">
        <v>122</v>
      </c>
      <c r="OWX108" s="1" t="s">
        <v>122</v>
      </c>
      <c r="OWY108" s="1" t="s">
        <v>122</v>
      </c>
      <c r="OWZ108" s="1" t="s">
        <v>122</v>
      </c>
      <c r="OXA108" s="1" t="s">
        <v>122</v>
      </c>
      <c r="OXB108" s="1" t="s">
        <v>122</v>
      </c>
      <c r="OXC108" s="1" t="s">
        <v>122</v>
      </c>
      <c r="OXD108" s="1" t="s">
        <v>122</v>
      </c>
      <c r="OXE108" s="1" t="s">
        <v>122</v>
      </c>
      <c r="OXF108" s="1" t="s">
        <v>122</v>
      </c>
      <c r="OXG108" s="1" t="s">
        <v>122</v>
      </c>
      <c r="OXH108" s="1" t="s">
        <v>122</v>
      </c>
      <c r="OXI108" s="1" t="s">
        <v>122</v>
      </c>
      <c r="OXJ108" s="1" t="s">
        <v>122</v>
      </c>
      <c r="OXK108" s="1" t="s">
        <v>122</v>
      </c>
      <c r="OXL108" s="1" t="s">
        <v>122</v>
      </c>
      <c r="OXM108" s="1" t="s">
        <v>122</v>
      </c>
      <c r="OXN108" s="1" t="s">
        <v>122</v>
      </c>
      <c r="OXO108" s="1" t="s">
        <v>122</v>
      </c>
      <c r="OXP108" s="1" t="s">
        <v>122</v>
      </c>
      <c r="OXQ108" s="1" t="s">
        <v>122</v>
      </c>
      <c r="OXR108" s="1" t="s">
        <v>122</v>
      </c>
      <c r="OXS108" s="1" t="s">
        <v>122</v>
      </c>
      <c r="OXT108" s="1" t="s">
        <v>122</v>
      </c>
      <c r="OXU108" s="1" t="s">
        <v>122</v>
      </c>
      <c r="OXV108" s="1" t="s">
        <v>122</v>
      </c>
      <c r="OXW108" s="1" t="s">
        <v>122</v>
      </c>
      <c r="OXX108" s="1" t="s">
        <v>122</v>
      </c>
      <c r="OXY108" s="1" t="s">
        <v>122</v>
      </c>
      <c r="OXZ108" s="1" t="s">
        <v>122</v>
      </c>
      <c r="OYA108" s="1" t="s">
        <v>122</v>
      </c>
      <c r="OYB108" s="1" t="s">
        <v>122</v>
      </c>
      <c r="OYC108" s="1" t="s">
        <v>122</v>
      </c>
      <c r="OYD108" s="1" t="s">
        <v>122</v>
      </c>
      <c r="OYE108" s="1" t="s">
        <v>122</v>
      </c>
      <c r="OYF108" s="1" t="s">
        <v>122</v>
      </c>
      <c r="OYG108" s="1" t="s">
        <v>122</v>
      </c>
      <c r="OYH108" s="1" t="s">
        <v>122</v>
      </c>
      <c r="OYI108" s="1" t="s">
        <v>122</v>
      </c>
      <c r="OYJ108" s="1" t="s">
        <v>122</v>
      </c>
      <c r="OYK108" s="1" t="s">
        <v>122</v>
      </c>
      <c r="OYL108" s="1" t="s">
        <v>122</v>
      </c>
      <c r="OYM108" s="1" t="s">
        <v>122</v>
      </c>
      <c r="OYN108" s="1" t="s">
        <v>122</v>
      </c>
      <c r="OYO108" s="1" t="s">
        <v>122</v>
      </c>
      <c r="OYP108" s="1" t="s">
        <v>122</v>
      </c>
      <c r="OYQ108" s="1" t="s">
        <v>122</v>
      </c>
      <c r="OYR108" s="1" t="s">
        <v>122</v>
      </c>
      <c r="OYS108" s="1" t="s">
        <v>122</v>
      </c>
      <c r="OYT108" s="1" t="s">
        <v>122</v>
      </c>
      <c r="OYU108" s="1" t="s">
        <v>122</v>
      </c>
      <c r="OYV108" s="1" t="s">
        <v>122</v>
      </c>
      <c r="OYW108" s="1" t="s">
        <v>122</v>
      </c>
      <c r="OYX108" s="1" t="s">
        <v>122</v>
      </c>
      <c r="OYY108" s="1" t="s">
        <v>122</v>
      </c>
      <c r="OYZ108" s="1" t="s">
        <v>122</v>
      </c>
      <c r="OZA108" s="1" t="s">
        <v>122</v>
      </c>
      <c r="OZB108" s="1" t="s">
        <v>122</v>
      </c>
      <c r="OZC108" s="1" t="s">
        <v>122</v>
      </c>
      <c r="OZD108" s="1" t="s">
        <v>122</v>
      </c>
      <c r="OZE108" s="1" t="s">
        <v>122</v>
      </c>
      <c r="OZF108" s="1" t="s">
        <v>122</v>
      </c>
      <c r="OZG108" s="1" t="s">
        <v>122</v>
      </c>
      <c r="OZH108" s="1" t="s">
        <v>122</v>
      </c>
      <c r="OZI108" s="1" t="s">
        <v>122</v>
      </c>
      <c r="OZJ108" s="1" t="s">
        <v>122</v>
      </c>
      <c r="OZK108" s="1" t="s">
        <v>122</v>
      </c>
      <c r="OZL108" s="1" t="s">
        <v>122</v>
      </c>
      <c r="OZM108" s="1" t="s">
        <v>122</v>
      </c>
      <c r="OZN108" s="1" t="s">
        <v>122</v>
      </c>
      <c r="OZO108" s="1" t="s">
        <v>122</v>
      </c>
      <c r="OZP108" s="1" t="s">
        <v>122</v>
      </c>
      <c r="OZQ108" s="1" t="s">
        <v>122</v>
      </c>
      <c r="OZR108" s="1" t="s">
        <v>122</v>
      </c>
      <c r="OZS108" s="1" t="s">
        <v>122</v>
      </c>
      <c r="OZT108" s="1" t="s">
        <v>122</v>
      </c>
      <c r="OZU108" s="1" t="s">
        <v>122</v>
      </c>
      <c r="OZV108" s="1" t="s">
        <v>122</v>
      </c>
      <c r="OZW108" s="1" t="s">
        <v>122</v>
      </c>
      <c r="OZX108" s="1" t="s">
        <v>122</v>
      </c>
      <c r="OZY108" s="1" t="s">
        <v>122</v>
      </c>
      <c r="OZZ108" s="1" t="s">
        <v>122</v>
      </c>
      <c r="PAA108" s="1" t="s">
        <v>122</v>
      </c>
      <c r="PAB108" s="1" t="s">
        <v>122</v>
      </c>
      <c r="PAC108" s="1" t="s">
        <v>122</v>
      </c>
      <c r="PAD108" s="1" t="s">
        <v>122</v>
      </c>
      <c r="PAE108" s="1" t="s">
        <v>122</v>
      </c>
      <c r="PAF108" s="1" t="s">
        <v>122</v>
      </c>
      <c r="PAG108" s="1" t="s">
        <v>122</v>
      </c>
      <c r="PAH108" s="1" t="s">
        <v>122</v>
      </c>
      <c r="PAI108" s="1" t="s">
        <v>122</v>
      </c>
      <c r="PAJ108" s="1" t="s">
        <v>122</v>
      </c>
      <c r="PAK108" s="1" t="s">
        <v>122</v>
      </c>
      <c r="PAL108" s="1" t="s">
        <v>122</v>
      </c>
      <c r="PAM108" s="1" t="s">
        <v>122</v>
      </c>
      <c r="PAN108" s="1" t="s">
        <v>122</v>
      </c>
      <c r="PAO108" s="1" t="s">
        <v>122</v>
      </c>
      <c r="PAP108" s="1" t="s">
        <v>122</v>
      </c>
      <c r="PAQ108" s="1" t="s">
        <v>122</v>
      </c>
      <c r="PAR108" s="1" t="s">
        <v>122</v>
      </c>
      <c r="PAS108" s="1" t="s">
        <v>122</v>
      </c>
      <c r="PAT108" s="1" t="s">
        <v>122</v>
      </c>
      <c r="PAU108" s="1" t="s">
        <v>122</v>
      </c>
      <c r="PAV108" s="1" t="s">
        <v>122</v>
      </c>
      <c r="PAW108" s="1" t="s">
        <v>122</v>
      </c>
      <c r="PAX108" s="1" t="s">
        <v>122</v>
      </c>
      <c r="PAY108" s="1" t="s">
        <v>122</v>
      </c>
      <c r="PAZ108" s="1" t="s">
        <v>122</v>
      </c>
      <c r="PBA108" s="1" t="s">
        <v>122</v>
      </c>
      <c r="PBB108" s="1" t="s">
        <v>122</v>
      </c>
      <c r="PBC108" s="1" t="s">
        <v>122</v>
      </c>
      <c r="PBD108" s="1" t="s">
        <v>122</v>
      </c>
      <c r="PBE108" s="1" t="s">
        <v>122</v>
      </c>
      <c r="PBF108" s="1" t="s">
        <v>122</v>
      </c>
      <c r="PBG108" s="1" t="s">
        <v>122</v>
      </c>
      <c r="PBH108" s="1" t="s">
        <v>122</v>
      </c>
      <c r="PBI108" s="1" t="s">
        <v>122</v>
      </c>
      <c r="PBJ108" s="1" t="s">
        <v>122</v>
      </c>
      <c r="PBK108" s="1" t="s">
        <v>122</v>
      </c>
      <c r="PBL108" s="1" t="s">
        <v>122</v>
      </c>
      <c r="PBM108" s="1" t="s">
        <v>122</v>
      </c>
      <c r="PBN108" s="1" t="s">
        <v>122</v>
      </c>
      <c r="PBO108" s="1" t="s">
        <v>122</v>
      </c>
      <c r="PBP108" s="1" t="s">
        <v>122</v>
      </c>
      <c r="PBQ108" s="1" t="s">
        <v>122</v>
      </c>
      <c r="PBR108" s="1" t="s">
        <v>122</v>
      </c>
      <c r="PBS108" s="1" t="s">
        <v>122</v>
      </c>
      <c r="PBT108" s="1" t="s">
        <v>122</v>
      </c>
      <c r="PBU108" s="1" t="s">
        <v>122</v>
      </c>
      <c r="PBV108" s="1" t="s">
        <v>122</v>
      </c>
      <c r="PBW108" s="1" t="s">
        <v>122</v>
      </c>
      <c r="PBX108" s="1" t="s">
        <v>122</v>
      </c>
      <c r="PBY108" s="1" t="s">
        <v>122</v>
      </c>
      <c r="PBZ108" s="1" t="s">
        <v>122</v>
      </c>
      <c r="PCA108" s="1" t="s">
        <v>122</v>
      </c>
      <c r="PCB108" s="1" t="s">
        <v>122</v>
      </c>
      <c r="PCC108" s="1" t="s">
        <v>122</v>
      </c>
      <c r="PCD108" s="1" t="s">
        <v>122</v>
      </c>
      <c r="PCE108" s="1" t="s">
        <v>122</v>
      </c>
      <c r="PCF108" s="1" t="s">
        <v>122</v>
      </c>
      <c r="PCG108" s="1" t="s">
        <v>122</v>
      </c>
      <c r="PCH108" s="1" t="s">
        <v>122</v>
      </c>
      <c r="PCI108" s="1" t="s">
        <v>122</v>
      </c>
      <c r="PCJ108" s="1" t="s">
        <v>122</v>
      </c>
      <c r="PCK108" s="1" t="s">
        <v>122</v>
      </c>
      <c r="PCL108" s="1" t="s">
        <v>122</v>
      </c>
      <c r="PCM108" s="1" t="s">
        <v>122</v>
      </c>
      <c r="PCN108" s="1" t="s">
        <v>122</v>
      </c>
      <c r="PCO108" s="1" t="s">
        <v>122</v>
      </c>
      <c r="PCP108" s="1" t="s">
        <v>122</v>
      </c>
      <c r="PCQ108" s="1" t="s">
        <v>122</v>
      </c>
      <c r="PCR108" s="1" t="s">
        <v>122</v>
      </c>
      <c r="PCS108" s="1" t="s">
        <v>122</v>
      </c>
      <c r="PCT108" s="1" t="s">
        <v>122</v>
      </c>
      <c r="PCU108" s="1" t="s">
        <v>122</v>
      </c>
      <c r="PCV108" s="1" t="s">
        <v>122</v>
      </c>
      <c r="PCW108" s="1" t="s">
        <v>122</v>
      </c>
      <c r="PCX108" s="1" t="s">
        <v>122</v>
      </c>
      <c r="PCY108" s="1" t="s">
        <v>122</v>
      </c>
      <c r="PCZ108" s="1" t="s">
        <v>122</v>
      </c>
      <c r="PDA108" s="1" t="s">
        <v>122</v>
      </c>
      <c r="PDB108" s="1" t="s">
        <v>122</v>
      </c>
      <c r="PDC108" s="1" t="s">
        <v>122</v>
      </c>
      <c r="PDD108" s="1" t="s">
        <v>122</v>
      </c>
      <c r="PDE108" s="1" t="s">
        <v>122</v>
      </c>
      <c r="PDF108" s="1" t="s">
        <v>122</v>
      </c>
      <c r="PDG108" s="1" t="s">
        <v>122</v>
      </c>
      <c r="PDH108" s="1" t="s">
        <v>122</v>
      </c>
      <c r="PDI108" s="1" t="s">
        <v>122</v>
      </c>
      <c r="PDJ108" s="1" t="s">
        <v>122</v>
      </c>
      <c r="PDK108" s="1" t="s">
        <v>122</v>
      </c>
      <c r="PDL108" s="1" t="s">
        <v>122</v>
      </c>
      <c r="PDM108" s="1" t="s">
        <v>122</v>
      </c>
      <c r="PDN108" s="1" t="s">
        <v>122</v>
      </c>
      <c r="PDO108" s="1" t="s">
        <v>122</v>
      </c>
      <c r="PDP108" s="1" t="s">
        <v>122</v>
      </c>
      <c r="PDQ108" s="1" t="s">
        <v>122</v>
      </c>
      <c r="PDR108" s="1" t="s">
        <v>122</v>
      </c>
      <c r="PDS108" s="1" t="s">
        <v>122</v>
      </c>
      <c r="PDT108" s="1" t="s">
        <v>122</v>
      </c>
      <c r="PDU108" s="1" t="s">
        <v>122</v>
      </c>
      <c r="PDV108" s="1" t="s">
        <v>122</v>
      </c>
      <c r="PDW108" s="1" t="s">
        <v>122</v>
      </c>
      <c r="PDX108" s="1" t="s">
        <v>122</v>
      </c>
      <c r="PDY108" s="1" t="s">
        <v>122</v>
      </c>
      <c r="PDZ108" s="1" t="s">
        <v>122</v>
      </c>
      <c r="PEA108" s="1" t="s">
        <v>122</v>
      </c>
      <c r="PEB108" s="1" t="s">
        <v>122</v>
      </c>
      <c r="PEC108" s="1" t="s">
        <v>122</v>
      </c>
      <c r="PED108" s="1" t="s">
        <v>122</v>
      </c>
      <c r="PEE108" s="1" t="s">
        <v>122</v>
      </c>
      <c r="PEF108" s="1" t="s">
        <v>122</v>
      </c>
      <c r="PEG108" s="1" t="s">
        <v>122</v>
      </c>
      <c r="PEH108" s="1" t="s">
        <v>122</v>
      </c>
      <c r="PEI108" s="1" t="s">
        <v>122</v>
      </c>
      <c r="PEJ108" s="1" t="s">
        <v>122</v>
      </c>
      <c r="PEK108" s="1" t="s">
        <v>122</v>
      </c>
      <c r="PEL108" s="1" t="s">
        <v>122</v>
      </c>
      <c r="PEM108" s="1" t="s">
        <v>122</v>
      </c>
      <c r="PEN108" s="1" t="s">
        <v>122</v>
      </c>
      <c r="PEO108" s="1" t="s">
        <v>122</v>
      </c>
      <c r="PEP108" s="1" t="s">
        <v>122</v>
      </c>
      <c r="PEQ108" s="1" t="s">
        <v>122</v>
      </c>
      <c r="PER108" s="1" t="s">
        <v>122</v>
      </c>
      <c r="PES108" s="1" t="s">
        <v>122</v>
      </c>
      <c r="PET108" s="1" t="s">
        <v>122</v>
      </c>
      <c r="PEU108" s="1" t="s">
        <v>122</v>
      </c>
      <c r="PEV108" s="1" t="s">
        <v>122</v>
      </c>
      <c r="PEW108" s="1" t="s">
        <v>122</v>
      </c>
      <c r="PEX108" s="1" t="s">
        <v>122</v>
      </c>
      <c r="PEY108" s="1" t="s">
        <v>122</v>
      </c>
      <c r="PEZ108" s="1" t="s">
        <v>122</v>
      </c>
      <c r="PFA108" s="1" t="s">
        <v>122</v>
      </c>
      <c r="PFB108" s="1" t="s">
        <v>122</v>
      </c>
      <c r="PFC108" s="1" t="s">
        <v>122</v>
      </c>
      <c r="PFD108" s="1" t="s">
        <v>122</v>
      </c>
      <c r="PFE108" s="1" t="s">
        <v>122</v>
      </c>
      <c r="PFF108" s="1" t="s">
        <v>122</v>
      </c>
      <c r="PFG108" s="1" t="s">
        <v>122</v>
      </c>
      <c r="PFH108" s="1" t="s">
        <v>122</v>
      </c>
      <c r="PFI108" s="1" t="s">
        <v>122</v>
      </c>
      <c r="PFJ108" s="1" t="s">
        <v>122</v>
      </c>
      <c r="PFK108" s="1" t="s">
        <v>122</v>
      </c>
      <c r="PFL108" s="1" t="s">
        <v>122</v>
      </c>
      <c r="PFM108" s="1" t="s">
        <v>122</v>
      </c>
      <c r="PFN108" s="1" t="s">
        <v>122</v>
      </c>
      <c r="PFO108" s="1" t="s">
        <v>122</v>
      </c>
      <c r="PFP108" s="1" t="s">
        <v>122</v>
      </c>
      <c r="PFQ108" s="1" t="s">
        <v>122</v>
      </c>
      <c r="PFR108" s="1" t="s">
        <v>122</v>
      </c>
      <c r="PFS108" s="1" t="s">
        <v>122</v>
      </c>
      <c r="PFT108" s="1" t="s">
        <v>122</v>
      </c>
      <c r="PFU108" s="1" t="s">
        <v>122</v>
      </c>
      <c r="PFV108" s="1" t="s">
        <v>122</v>
      </c>
      <c r="PFW108" s="1" t="s">
        <v>122</v>
      </c>
      <c r="PFX108" s="1" t="s">
        <v>122</v>
      </c>
      <c r="PFY108" s="1" t="s">
        <v>122</v>
      </c>
      <c r="PFZ108" s="1" t="s">
        <v>122</v>
      </c>
      <c r="PGA108" s="1" t="s">
        <v>122</v>
      </c>
      <c r="PGB108" s="1" t="s">
        <v>122</v>
      </c>
      <c r="PGC108" s="1" t="s">
        <v>122</v>
      </c>
      <c r="PGD108" s="1" t="s">
        <v>122</v>
      </c>
      <c r="PGE108" s="1" t="s">
        <v>122</v>
      </c>
      <c r="PGF108" s="1" t="s">
        <v>122</v>
      </c>
      <c r="PGG108" s="1" t="s">
        <v>122</v>
      </c>
      <c r="PGH108" s="1" t="s">
        <v>122</v>
      </c>
      <c r="PGI108" s="1" t="s">
        <v>122</v>
      </c>
      <c r="PGJ108" s="1" t="s">
        <v>122</v>
      </c>
      <c r="PGK108" s="1" t="s">
        <v>122</v>
      </c>
      <c r="PGL108" s="1" t="s">
        <v>122</v>
      </c>
      <c r="PGM108" s="1" t="s">
        <v>122</v>
      </c>
      <c r="PGN108" s="1" t="s">
        <v>122</v>
      </c>
      <c r="PGO108" s="1" t="s">
        <v>122</v>
      </c>
      <c r="PGP108" s="1" t="s">
        <v>122</v>
      </c>
      <c r="PGQ108" s="1" t="s">
        <v>122</v>
      </c>
      <c r="PGR108" s="1" t="s">
        <v>122</v>
      </c>
      <c r="PGS108" s="1" t="s">
        <v>122</v>
      </c>
      <c r="PGT108" s="1" t="s">
        <v>122</v>
      </c>
      <c r="PGU108" s="1" t="s">
        <v>122</v>
      </c>
      <c r="PGV108" s="1" t="s">
        <v>122</v>
      </c>
      <c r="PGW108" s="1" t="s">
        <v>122</v>
      </c>
      <c r="PGX108" s="1" t="s">
        <v>122</v>
      </c>
      <c r="PGY108" s="1" t="s">
        <v>122</v>
      </c>
      <c r="PGZ108" s="1" t="s">
        <v>122</v>
      </c>
      <c r="PHA108" s="1" t="s">
        <v>122</v>
      </c>
      <c r="PHB108" s="1" t="s">
        <v>122</v>
      </c>
      <c r="PHC108" s="1" t="s">
        <v>122</v>
      </c>
      <c r="PHD108" s="1" t="s">
        <v>122</v>
      </c>
      <c r="PHE108" s="1" t="s">
        <v>122</v>
      </c>
      <c r="PHF108" s="1" t="s">
        <v>122</v>
      </c>
      <c r="PHG108" s="1" t="s">
        <v>122</v>
      </c>
      <c r="PHH108" s="1" t="s">
        <v>122</v>
      </c>
      <c r="PHI108" s="1" t="s">
        <v>122</v>
      </c>
      <c r="PHJ108" s="1" t="s">
        <v>122</v>
      </c>
      <c r="PHK108" s="1" t="s">
        <v>122</v>
      </c>
      <c r="PHL108" s="1" t="s">
        <v>122</v>
      </c>
      <c r="PHM108" s="1" t="s">
        <v>122</v>
      </c>
      <c r="PHN108" s="1" t="s">
        <v>122</v>
      </c>
      <c r="PHO108" s="1" t="s">
        <v>122</v>
      </c>
      <c r="PHP108" s="1" t="s">
        <v>122</v>
      </c>
      <c r="PHQ108" s="1" t="s">
        <v>122</v>
      </c>
      <c r="PHR108" s="1" t="s">
        <v>122</v>
      </c>
      <c r="PHS108" s="1" t="s">
        <v>122</v>
      </c>
      <c r="PHT108" s="1" t="s">
        <v>122</v>
      </c>
      <c r="PHU108" s="1" t="s">
        <v>122</v>
      </c>
      <c r="PHV108" s="1" t="s">
        <v>122</v>
      </c>
      <c r="PHW108" s="1" t="s">
        <v>122</v>
      </c>
      <c r="PHX108" s="1" t="s">
        <v>122</v>
      </c>
      <c r="PHY108" s="1" t="s">
        <v>122</v>
      </c>
      <c r="PHZ108" s="1" t="s">
        <v>122</v>
      </c>
      <c r="PIA108" s="1" t="s">
        <v>122</v>
      </c>
      <c r="PIB108" s="1" t="s">
        <v>122</v>
      </c>
      <c r="PIC108" s="1" t="s">
        <v>122</v>
      </c>
      <c r="PID108" s="1" t="s">
        <v>122</v>
      </c>
      <c r="PIE108" s="1" t="s">
        <v>122</v>
      </c>
      <c r="PIF108" s="1" t="s">
        <v>122</v>
      </c>
      <c r="PIG108" s="1" t="s">
        <v>122</v>
      </c>
      <c r="PIH108" s="1" t="s">
        <v>122</v>
      </c>
      <c r="PII108" s="1" t="s">
        <v>122</v>
      </c>
      <c r="PIJ108" s="1" t="s">
        <v>122</v>
      </c>
      <c r="PIK108" s="1" t="s">
        <v>122</v>
      </c>
      <c r="PIL108" s="1" t="s">
        <v>122</v>
      </c>
      <c r="PIM108" s="1" t="s">
        <v>122</v>
      </c>
      <c r="PIN108" s="1" t="s">
        <v>122</v>
      </c>
      <c r="PIO108" s="1" t="s">
        <v>122</v>
      </c>
      <c r="PIP108" s="1" t="s">
        <v>122</v>
      </c>
      <c r="PIQ108" s="1" t="s">
        <v>122</v>
      </c>
      <c r="PIR108" s="1" t="s">
        <v>122</v>
      </c>
      <c r="PIS108" s="1" t="s">
        <v>122</v>
      </c>
      <c r="PIT108" s="1" t="s">
        <v>122</v>
      </c>
      <c r="PIU108" s="1" t="s">
        <v>122</v>
      </c>
      <c r="PIV108" s="1" t="s">
        <v>122</v>
      </c>
      <c r="PIW108" s="1" t="s">
        <v>122</v>
      </c>
      <c r="PIX108" s="1" t="s">
        <v>122</v>
      </c>
      <c r="PIY108" s="1" t="s">
        <v>122</v>
      </c>
      <c r="PIZ108" s="1" t="s">
        <v>122</v>
      </c>
      <c r="PJA108" s="1" t="s">
        <v>122</v>
      </c>
      <c r="PJB108" s="1" t="s">
        <v>122</v>
      </c>
      <c r="PJC108" s="1" t="s">
        <v>122</v>
      </c>
      <c r="PJD108" s="1" t="s">
        <v>122</v>
      </c>
      <c r="PJE108" s="1" t="s">
        <v>122</v>
      </c>
      <c r="PJF108" s="1" t="s">
        <v>122</v>
      </c>
      <c r="PJG108" s="1" t="s">
        <v>122</v>
      </c>
      <c r="PJH108" s="1" t="s">
        <v>122</v>
      </c>
      <c r="PJI108" s="1" t="s">
        <v>122</v>
      </c>
      <c r="PJJ108" s="1" t="s">
        <v>122</v>
      </c>
      <c r="PJK108" s="1" t="s">
        <v>122</v>
      </c>
      <c r="PJL108" s="1" t="s">
        <v>122</v>
      </c>
      <c r="PJM108" s="1" t="s">
        <v>122</v>
      </c>
      <c r="PJN108" s="1" t="s">
        <v>122</v>
      </c>
      <c r="PJO108" s="1" t="s">
        <v>122</v>
      </c>
      <c r="PJP108" s="1" t="s">
        <v>122</v>
      </c>
      <c r="PJQ108" s="1" t="s">
        <v>122</v>
      </c>
      <c r="PJR108" s="1" t="s">
        <v>122</v>
      </c>
      <c r="PJS108" s="1" t="s">
        <v>122</v>
      </c>
      <c r="PJT108" s="1" t="s">
        <v>122</v>
      </c>
      <c r="PJU108" s="1" t="s">
        <v>122</v>
      </c>
      <c r="PJV108" s="1" t="s">
        <v>122</v>
      </c>
      <c r="PJW108" s="1" t="s">
        <v>122</v>
      </c>
      <c r="PJX108" s="1" t="s">
        <v>122</v>
      </c>
      <c r="PJY108" s="1" t="s">
        <v>122</v>
      </c>
      <c r="PJZ108" s="1" t="s">
        <v>122</v>
      </c>
      <c r="PKA108" s="1" t="s">
        <v>122</v>
      </c>
      <c r="PKB108" s="1" t="s">
        <v>122</v>
      </c>
      <c r="PKC108" s="1" t="s">
        <v>122</v>
      </c>
      <c r="PKD108" s="1" t="s">
        <v>122</v>
      </c>
      <c r="PKE108" s="1" t="s">
        <v>122</v>
      </c>
      <c r="PKF108" s="1" t="s">
        <v>122</v>
      </c>
      <c r="PKG108" s="1" t="s">
        <v>122</v>
      </c>
      <c r="PKH108" s="1" t="s">
        <v>122</v>
      </c>
      <c r="PKI108" s="1" t="s">
        <v>122</v>
      </c>
      <c r="PKJ108" s="1" t="s">
        <v>122</v>
      </c>
      <c r="PKK108" s="1" t="s">
        <v>122</v>
      </c>
      <c r="PKL108" s="1" t="s">
        <v>122</v>
      </c>
      <c r="PKM108" s="1" t="s">
        <v>122</v>
      </c>
      <c r="PKN108" s="1" t="s">
        <v>122</v>
      </c>
      <c r="PKO108" s="1" t="s">
        <v>122</v>
      </c>
      <c r="PKP108" s="1" t="s">
        <v>122</v>
      </c>
      <c r="PKQ108" s="1" t="s">
        <v>122</v>
      </c>
      <c r="PKR108" s="1" t="s">
        <v>122</v>
      </c>
      <c r="PKS108" s="1" t="s">
        <v>122</v>
      </c>
      <c r="PKT108" s="1" t="s">
        <v>122</v>
      </c>
      <c r="PKU108" s="1" t="s">
        <v>122</v>
      </c>
      <c r="PKV108" s="1" t="s">
        <v>122</v>
      </c>
      <c r="PKW108" s="1" t="s">
        <v>122</v>
      </c>
      <c r="PKX108" s="1" t="s">
        <v>122</v>
      </c>
      <c r="PKY108" s="1" t="s">
        <v>122</v>
      </c>
      <c r="PKZ108" s="1" t="s">
        <v>122</v>
      </c>
      <c r="PLA108" s="1" t="s">
        <v>122</v>
      </c>
      <c r="PLB108" s="1" t="s">
        <v>122</v>
      </c>
      <c r="PLC108" s="1" t="s">
        <v>122</v>
      </c>
      <c r="PLD108" s="1" t="s">
        <v>122</v>
      </c>
      <c r="PLE108" s="1" t="s">
        <v>122</v>
      </c>
      <c r="PLF108" s="1" t="s">
        <v>122</v>
      </c>
      <c r="PLG108" s="1" t="s">
        <v>122</v>
      </c>
      <c r="PLH108" s="1" t="s">
        <v>122</v>
      </c>
      <c r="PLI108" s="1" t="s">
        <v>122</v>
      </c>
      <c r="PLJ108" s="1" t="s">
        <v>122</v>
      </c>
      <c r="PLK108" s="1" t="s">
        <v>122</v>
      </c>
      <c r="PLL108" s="1" t="s">
        <v>122</v>
      </c>
      <c r="PLM108" s="1" t="s">
        <v>122</v>
      </c>
      <c r="PLN108" s="1" t="s">
        <v>122</v>
      </c>
      <c r="PLO108" s="1" t="s">
        <v>122</v>
      </c>
      <c r="PLP108" s="1" t="s">
        <v>122</v>
      </c>
      <c r="PLQ108" s="1" t="s">
        <v>122</v>
      </c>
      <c r="PLR108" s="1" t="s">
        <v>122</v>
      </c>
      <c r="PLS108" s="1" t="s">
        <v>122</v>
      </c>
      <c r="PLT108" s="1" t="s">
        <v>122</v>
      </c>
      <c r="PLU108" s="1" t="s">
        <v>122</v>
      </c>
      <c r="PLV108" s="1" t="s">
        <v>122</v>
      </c>
      <c r="PLW108" s="1" t="s">
        <v>122</v>
      </c>
      <c r="PLX108" s="1" t="s">
        <v>122</v>
      </c>
      <c r="PLY108" s="1" t="s">
        <v>122</v>
      </c>
      <c r="PLZ108" s="1" t="s">
        <v>122</v>
      </c>
      <c r="PMA108" s="1" t="s">
        <v>122</v>
      </c>
      <c r="PMB108" s="1" t="s">
        <v>122</v>
      </c>
      <c r="PMC108" s="1" t="s">
        <v>122</v>
      </c>
      <c r="PMD108" s="1" t="s">
        <v>122</v>
      </c>
      <c r="PME108" s="1" t="s">
        <v>122</v>
      </c>
      <c r="PMF108" s="1" t="s">
        <v>122</v>
      </c>
      <c r="PMG108" s="1" t="s">
        <v>122</v>
      </c>
      <c r="PMH108" s="1" t="s">
        <v>122</v>
      </c>
      <c r="PMI108" s="1" t="s">
        <v>122</v>
      </c>
      <c r="PMJ108" s="1" t="s">
        <v>122</v>
      </c>
      <c r="PMK108" s="1" t="s">
        <v>122</v>
      </c>
      <c r="PML108" s="1" t="s">
        <v>122</v>
      </c>
      <c r="PMM108" s="1" t="s">
        <v>122</v>
      </c>
      <c r="PMN108" s="1" t="s">
        <v>122</v>
      </c>
      <c r="PMO108" s="1" t="s">
        <v>122</v>
      </c>
      <c r="PMP108" s="1" t="s">
        <v>122</v>
      </c>
      <c r="PMQ108" s="1" t="s">
        <v>122</v>
      </c>
      <c r="PMR108" s="1" t="s">
        <v>122</v>
      </c>
      <c r="PMS108" s="1" t="s">
        <v>122</v>
      </c>
      <c r="PMT108" s="1" t="s">
        <v>122</v>
      </c>
      <c r="PMU108" s="1" t="s">
        <v>122</v>
      </c>
      <c r="PMV108" s="1" t="s">
        <v>122</v>
      </c>
      <c r="PMW108" s="1" t="s">
        <v>122</v>
      </c>
      <c r="PMX108" s="1" t="s">
        <v>122</v>
      </c>
      <c r="PMY108" s="1" t="s">
        <v>122</v>
      </c>
      <c r="PMZ108" s="1" t="s">
        <v>122</v>
      </c>
      <c r="PNA108" s="1" t="s">
        <v>122</v>
      </c>
      <c r="PNB108" s="1" t="s">
        <v>122</v>
      </c>
      <c r="PNC108" s="1" t="s">
        <v>122</v>
      </c>
      <c r="PND108" s="1" t="s">
        <v>122</v>
      </c>
      <c r="PNE108" s="1" t="s">
        <v>122</v>
      </c>
      <c r="PNF108" s="1" t="s">
        <v>122</v>
      </c>
      <c r="PNG108" s="1" t="s">
        <v>122</v>
      </c>
      <c r="PNH108" s="1" t="s">
        <v>122</v>
      </c>
      <c r="PNI108" s="1" t="s">
        <v>122</v>
      </c>
      <c r="PNJ108" s="1" t="s">
        <v>122</v>
      </c>
      <c r="PNK108" s="1" t="s">
        <v>122</v>
      </c>
      <c r="PNL108" s="1" t="s">
        <v>122</v>
      </c>
      <c r="PNM108" s="1" t="s">
        <v>122</v>
      </c>
      <c r="PNN108" s="1" t="s">
        <v>122</v>
      </c>
      <c r="PNO108" s="1" t="s">
        <v>122</v>
      </c>
      <c r="PNP108" s="1" t="s">
        <v>122</v>
      </c>
      <c r="PNQ108" s="1" t="s">
        <v>122</v>
      </c>
      <c r="PNR108" s="1" t="s">
        <v>122</v>
      </c>
      <c r="PNS108" s="1" t="s">
        <v>122</v>
      </c>
      <c r="PNT108" s="1" t="s">
        <v>122</v>
      </c>
      <c r="PNU108" s="1" t="s">
        <v>122</v>
      </c>
      <c r="PNV108" s="1" t="s">
        <v>122</v>
      </c>
      <c r="PNW108" s="1" t="s">
        <v>122</v>
      </c>
      <c r="PNX108" s="1" t="s">
        <v>122</v>
      </c>
      <c r="PNY108" s="1" t="s">
        <v>122</v>
      </c>
      <c r="PNZ108" s="1" t="s">
        <v>122</v>
      </c>
      <c r="POA108" s="1" t="s">
        <v>122</v>
      </c>
      <c r="POB108" s="1" t="s">
        <v>122</v>
      </c>
      <c r="POC108" s="1" t="s">
        <v>122</v>
      </c>
      <c r="POD108" s="1" t="s">
        <v>122</v>
      </c>
      <c r="POE108" s="1" t="s">
        <v>122</v>
      </c>
      <c r="POF108" s="1" t="s">
        <v>122</v>
      </c>
      <c r="POG108" s="1" t="s">
        <v>122</v>
      </c>
      <c r="POH108" s="1" t="s">
        <v>122</v>
      </c>
      <c r="POI108" s="1" t="s">
        <v>122</v>
      </c>
      <c r="POJ108" s="1" t="s">
        <v>122</v>
      </c>
      <c r="POK108" s="1" t="s">
        <v>122</v>
      </c>
      <c r="POL108" s="1" t="s">
        <v>122</v>
      </c>
      <c r="POM108" s="1" t="s">
        <v>122</v>
      </c>
      <c r="PON108" s="1" t="s">
        <v>122</v>
      </c>
      <c r="POO108" s="1" t="s">
        <v>122</v>
      </c>
      <c r="POP108" s="1" t="s">
        <v>122</v>
      </c>
      <c r="POQ108" s="1" t="s">
        <v>122</v>
      </c>
      <c r="POR108" s="1" t="s">
        <v>122</v>
      </c>
      <c r="POS108" s="1" t="s">
        <v>122</v>
      </c>
      <c r="POT108" s="1" t="s">
        <v>122</v>
      </c>
      <c r="POU108" s="1" t="s">
        <v>122</v>
      </c>
      <c r="POV108" s="1" t="s">
        <v>122</v>
      </c>
      <c r="POW108" s="1" t="s">
        <v>122</v>
      </c>
      <c r="POX108" s="1" t="s">
        <v>122</v>
      </c>
      <c r="POY108" s="1" t="s">
        <v>122</v>
      </c>
      <c r="POZ108" s="1" t="s">
        <v>122</v>
      </c>
      <c r="PPA108" s="1" t="s">
        <v>122</v>
      </c>
      <c r="PPB108" s="1" t="s">
        <v>122</v>
      </c>
      <c r="PPC108" s="1" t="s">
        <v>122</v>
      </c>
      <c r="PPD108" s="1" t="s">
        <v>122</v>
      </c>
      <c r="PPE108" s="1" t="s">
        <v>122</v>
      </c>
      <c r="PPF108" s="1" t="s">
        <v>122</v>
      </c>
      <c r="PPG108" s="1" t="s">
        <v>122</v>
      </c>
      <c r="PPH108" s="1" t="s">
        <v>122</v>
      </c>
      <c r="PPI108" s="1" t="s">
        <v>122</v>
      </c>
      <c r="PPJ108" s="1" t="s">
        <v>122</v>
      </c>
      <c r="PPK108" s="1" t="s">
        <v>122</v>
      </c>
      <c r="PPL108" s="1" t="s">
        <v>122</v>
      </c>
      <c r="PPM108" s="1" t="s">
        <v>122</v>
      </c>
      <c r="PPN108" s="1" t="s">
        <v>122</v>
      </c>
      <c r="PPO108" s="1" t="s">
        <v>122</v>
      </c>
      <c r="PPP108" s="1" t="s">
        <v>122</v>
      </c>
      <c r="PPQ108" s="1" t="s">
        <v>122</v>
      </c>
      <c r="PPR108" s="1" t="s">
        <v>122</v>
      </c>
      <c r="PPS108" s="1" t="s">
        <v>122</v>
      </c>
      <c r="PPT108" s="1" t="s">
        <v>122</v>
      </c>
      <c r="PPU108" s="1" t="s">
        <v>122</v>
      </c>
      <c r="PPV108" s="1" t="s">
        <v>122</v>
      </c>
      <c r="PPW108" s="1" t="s">
        <v>122</v>
      </c>
      <c r="PPX108" s="1" t="s">
        <v>122</v>
      </c>
      <c r="PPY108" s="1" t="s">
        <v>122</v>
      </c>
      <c r="PPZ108" s="1" t="s">
        <v>122</v>
      </c>
      <c r="PQA108" s="1" t="s">
        <v>122</v>
      </c>
      <c r="PQB108" s="1" t="s">
        <v>122</v>
      </c>
      <c r="PQC108" s="1" t="s">
        <v>122</v>
      </c>
      <c r="PQD108" s="1" t="s">
        <v>122</v>
      </c>
      <c r="PQE108" s="1" t="s">
        <v>122</v>
      </c>
      <c r="PQF108" s="1" t="s">
        <v>122</v>
      </c>
      <c r="PQG108" s="1" t="s">
        <v>122</v>
      </c>
      <c r="PQH108" s="1" t="s">
        <v>122</v>
      </c>
      <c r="PQI108" s="1" t="s">
        <v>122</v>
      </c>
      <c r="PQJ108" s="1" t="s">
        <v>122</v>
      </c>
      <c r="PQK108" s="1" t="s">
        <v>122</v>
      </c>
      <c r="PQL108" s="1" t="s">
        <v>122</v>
      </c>
      <c r="PQM108" s="1" t="s">
        <v>122</v>
      </c>
      <c r="PQN108" s="1" t="s">
        <v>122</v>
      </c>
      <c r="PQO108" s="1" t="s">
        <v>122</v>
      </c>
      <c r="PQP108" s="1" t="s">
        <v>122</v>
      </c>
      <c r="PQQ108" s="1" t="s">
        <v>122</v>
      </c>
      <c r="PQR108" s="1" t="s">
        <v>122</v>
      </c>
      <c r="PQS108" s="1" t="s">
        <v>122</v>
      </c>
      <c r="PQT108" s="1" t="s">
        <v>122</v>
      </c>
      <c r="PQU108" s="1" t="s">
        <v>122</v>
      </c>
      <c r="PQV108" s="1" t="s">
        <v>122</v>
      </c>
      <c r="PQW108" s="1" t="s">
        <v>122</v>
      </c>
      <c r="PQX108" s="1" t="s">
        <v>122</v>
      </c>
      <c r="PQY108" s="1" t="s">
        <v>122</v>
      </c>
      <c r="PQZ108" s="1" t="s">
        <v>122</v>
      </c>
      <c r="PRA108" s="1" t="s">
        <v>122</v>
      </c>
      <c r="PRB108" s="1" t="s">
        <v>122</v>
      </c>
      <c r="PRC108" s="1" t="s">
        <v>122</v>
      </c>
      <c r="PRD108" s="1" t="s">
        <v>122</v>
      </c>
      <c r="PRE108" s="1" t="s">
        <v>122</v>
      </c>
      <c r="PRF108" s="1" t="s">
        <v>122</v>
      </c>
      <c r="PRG108" s="1" t="s">
        <v>122</v>
      </c>
      <c r="PRH108" s="1" t="s">
        <v>122</v>
      </c>
      <c r="PRI108" s="1" t="s">
        <v>122</v>
      </c>
      <c r="PRJ108" s="1" t="s">
        <v>122</v>
      </c>
      <c r="PRK108" s="1" t="s">
        <v>122</v>
      </c>
      <c r="PRL108" s="1" t="s">
        <v>122</v>
      </c>
      <c r="PRM108" s="1" t="s">
        <v>122</v>
      </c>
      <c r="PRN108" s="1" t="s">
        <v>122</v>
      </c>
      <c r="PRO108" s="1" t="s">
        <v>122</v>
      </c>
      <c r="PRP108" s="1" t="s">
        <v>122</v>
      </c>
      <c r="PRQ108" s="1" t="s">
        <v>122</v>
      </c>
      <c r="PRR108" s="1" t="s">
        <v>122</v>
      </c>
      <c r="PRS108" s="1" t="s">
        <v>122</v>
      </c>
      <c r="PRT108" s="1" t="s">
        <v>122</v>
      </c>
      <c r="PRU108" s="1" t="s">
        <v>122</v>
      </c>
      <c r="PRV108" s="1" t="s">
        <v>122</v>
      </c>
      <c r="PRW108" s="1" t="s">
        <v>122</v>
      </c>
      <c r="PRX108" s="1" t="s">
        <v>122</v>
      </c>
      <c r="PRY108" s="1" t="s">
        <v>122</v>
      </c>
      <c r="PRZ108" s="1" t="s">
        <v>122</v>
      </c>
      <c r="PSA108" s="1" t="s">
        <v>122</v>
      </c>
      <c r="PSB108" s="1" t="s">
        <v>122</v>
      </c>
      <c r="PSC108" s="1" t="s">
        <v>122</v>
      </c>
      <c r="PSD108" s="1" t="s">
        <v>122</v>
      </c>
      <c r="PSE108" s="1" t="s">
        <v>122</v>
      </c>
      <c r="PSF108" s="1" t="s">
        <v>122</v>
      </c>
      <c r="PSG108" s="1" t="s">
        <v>122</v>
      </c>
      <c r="PSH108" s="1" t="s">
        <v>122</v>
      </c>
      <c r="PSI108" s="1" t="s">
        <v>122</v>
      </c>
      <c r="PSJ108" s="1" t="s">
        <v>122</v>
      </c>
      <c r="PSK108" s="1" t="s">
        <v>122</v>
      </c>
      <c r="PSL108" s="1" t="s">
        <v>122</v>
      </c>
      <c r="PSM108" s="1" t="s">
        <v>122</v>
      </c>
      <c r="PSN108" s="1" t="s">
        <v>122</v>
      </c>
      <c r="PSO108" s="1" t="s">
        <v>122</v>
      </c>
      <c r="PSP108" s="1" t="s">
        <v>122</v>
      </c>
      <c r="PSQ108" s="1" t="s">
        <v>122</v>
      </c>
      <c r="PSR108" s="1" t="s">
        <v>122</v>
      </c>
      <c r="PSS108" s="1" t="s">
        <v>122</v>
      </c>
      <c r="PST108" s="1" t="s">
        <v>122</v>
      </c>
      <c r="PSU108" s="1" t="s">
        <v>122</v>
      </c>
      <c r="PSV108" s="1" t="s">
        <v>122</v>
      </c>
      <c r="PSW108" s="1" t="s">
        <v>122</v>
      </c>
      <c r="PSX108" s="1" t="s">
        <v>122</v>
      </c>
      <c r="PSY108" s="1" t="s">
        <v>122</v>
      </c>
      <c r="PSZ108" s="1" t="s">
        <v>122</v>
      </c>
      <c r="PTA108" s="1" t="s">
        <v>122</v>
      </c>
      <c r="PTB108" s="1" t="s">
        <v>122</v>
      </c>
      <c r="PTC108" s="1" t="s">
        <v>122</v>
      </c>
      <c r="PTD108" s="1" t="s">
        <v>122</v>
      </c>
      <c r="PTE108" s="1" t="s">
        <v>122</v>
      </c>
      <c r="PTF108" s="1" t="s">
        <v>122</v>
      </c>
      <c r="PTG108" s="1" t="s">
        <v>122</v>
      </c>
      <c r="PTH108" s="1" t="s">
        <v>122</v>
      </c>
      <c r="PTI108" s="1" t="s">
        <v>122</v>
      </c>
      <c r="PTJ108" s="1" t="s">
        <v>122</v>
      </c>
      <c r="PTK108" s="1" t="s">
        <v>122</v>
      </c>
      <c r="PTL108" s="1" t="s">
        <v>122</v>
      </c>
      <c r="PTM108" s="1" t="s">
        <v>122</v>
      </c>
      <c r="PTN108" s="1" t="s">
        <v>122</v>
      </c>
      <c r="PTO108" s="1" t="s">
        <v>122</v>
      </c>
      <c r="PTP108" s="1" t="s">
        <v>122</v>
      </c>
      <c r="PTQ108" s="1" t="s">
        <v>122</v>
      </c>
      <c r="PTR108" s="1" t="s">
        <v>122</v>
      </c>
      <c r="PTS108" s="1" t="s">
        <v>122</v>
      </c>
      <c r="PTT108" s="1" t="s">
        <v>122</v>
      </c>
      <c r="PTU108" s="1" t="s">
        <v>122</v>
      </c>
      <c r="PTV108" s="1" t="s">
        <v>122</v>
      </c>
      <c r="PTW108" s="1" t="s">
        <v>122</v>
      </c>
      <c r="PTX108" s="1" t="s">
        <v>122</v>
      </c>
      <c r="PTY108" s="1" t="s">
        <v>122</v>
      </c>
      <c r="PTZ108" s="1" t="s">
        <v>122</v>
      </c>
      <c r="PUA108" s="1" t="s">
        <v>122</v>
      </c>
      <c r="PUB108" s="1" t="s">
        <v>122</v>
      </c>
      <c r="PUC108" s="1" t="s">
        <v>122</v>
      </c>
      <c r="PUD108" s="1" t="s">
        <v>122</v>
      </c>
      <c r="PUE108" s="1" t="s">
        <v>122</v>
      </c>
      <c r="PUF108" s="1" t="s">
        <v>122</v>
      </c>
      <c r="PUG108" s="1" t="s">
        <v>122</v>
      </c>
      <c r="PUH108" s="1" t="s">
        <v>122</v>
      </c>
      <c r="PUI108" s="1" t="s">
        <v>122</v>
      </c>
      <c r="PUJ108" s="1" t="s">
        <v>122</v>
      </c>
      <c r="PUK108" s="1" t="s">
        <v>122</v>
      </c>
      <c r="PUL108" s="1" t="s">
        <v>122</v>
      </c>
      <c r="PUM108" s="1" t="s">
        <v>122</v>
      </c>
      <c r="PUN108" s="1" t="s">
        <v>122</v>
      </c>
      <c r="PUO108" s="1" t="s">
        <v>122</v>
      </c>
      <c r="PUP108" s="1" t="s">
        <v>122</v>
      </c>
      <c r="PUQ108" s="1" t="s">
        <v>122</v>
      </c>
      <c r="PUR108" s="1" t="s">
        <v>122</v>
      </c>
      <c r="PUS108" s="1" t="s">
        <v>122</v>
      </c>
      <c r="PUT108" s="1" t="s">
        <v>122</v>
      </c>
      <c r="PUU108" s="1" t="s">
        <v>122</v>
      </c>
      <c r="PUV108" s="1" t="s">
        <v>122</v>
      </c>
      <c r="PUW108" s="1" t="s">
        <v>122</v>
      </c>
      <c r="PUX108" s="1" t="s">
        <v>122</v>
      </c>
      <c r="PUY108" s="1" t="s">
        <v>122</v>
      </c>
      <c r="PUZ108" s="1" t="s">
        <v>122</v>
      </c>
      <c r="PVA108" s="1" t="s">
        <v>122</v>
      </c>
      <c r="PVB108" s="1" t="s">
        <v>122</v>
      </c>
      <c r="PVC108" s="1" t="s">
        <v>122</v>
      </c>
      <c r="PVD108" s="1" t="s">
        <v>122</v>
      </c>
      <c r="PVE108" s="1" t="s">
        <v>122</v>
      </c>
      <c r="PVF108" s="1" t="s">
        <v>122</v>
      </c>
      <c r="PVG108" s="1" t="s">
        <v>122</v>
      </c>
      <c r="PVH108" s="1" t="s">
        <v>122</v>
      </c>
      <c r="PVI108" s="1" t="s">
        <v>122</v>
      </c>
      <c r="PVJ108" s="1" t="s">
        <v>122</v>
      </c>
      <c r="PVK108" s="1" t="s">
        <v>122</v>
      </c>
      <c r="PVL108" s="1" t="s">
        <v>122</v>
      </c>
      <c r="PVM108" s="1" t="s">
        <v>122</v>
      </c>
      <c r="PVN108" s="1" t="s">
        <v>122</v>
      </c>
      <c r="PVO108" s="1" t="s">
        <v>122</v>
      </c>
      <c r="PVP108" s="1" t="s">
        <v>122</v>
      </c>
      <c r="PVQ108" s="1" t="s">
        <v>122</v>
      </c>
      <c r="PVR108" s="1" t="s">
        <v>122</v>
      </c>
      <c r="PVS108" s="1" t="s">
        <v>122</v>
      </c>
      <c r="PVT108" s="1" t="s">
        <v>122</v>
      </c>
      <c r="PVU108" s="1" t="s">
        <v>122</v>
      </c>
      <c r="PVV108" s="1" t="s">
        <v>122</v>
      </c>
      <c r="PVW108" s="1" t="s">
        <v>122</v>
      </c>
      <c r="PVX108" s="1" t="s">
        <v>122</v>
      </c>
      <c r="PVY108" s="1" t="s">
        <v>122</v>
      </c>
      <c r="PVZ108" s="1" t="s">
        <v>122</v>
      </c>
      <c r="PWA108" s="1" t="s">
        <v>122</v>
      </c>
      <c r="PWB108" s="1" t="s">
        <v>122</v>
      </c>
      <c r="PWC108" s="1" t="s">
        <v>122</v>
      </c>
      <c r="PWD108" s="1" t="s">
        <v>122</v>
      </c>
      <c r="PWE108" s="1" t="s">
        <v>122</v>
      </c>
      <c r="PWF108" s="1" t="s">
        <v>122</v>
      </c>
      <c r="PWG108" s="1" t="s">
        <v>122</v>
      </c>
      <c r="PWH108" s="1" t="s">
        <v>122</v>
      </c>
      <c r="PWI108" s="1" t="s">
        <v>122</v>
      </c>
      <c r="PWJ108" s="1" t="s">
        <v>122</v>
      </c>
      <c r="PWK108" s="1" t="s">
        <v>122</v>
      </c>
      <c r="PWL108" s="1" t="s">
        <v>122</v>
      </c>
      <c r="PWM108" s="1" t="s">
        <v>122</v>
      </c>
      <c r="PWN108" s="1" t="s">
        <v>122</v>
      </c>
      <c r="PWO108" s="1" t="s">
        <v>122</v>
      </c>
      <c r="PWP108" s="1" t="s">
        <v>122</v>
      </c>
      <c r="PWQ108" s="1" t="s">
        <v>122</v>
      </c>
      <c r="PWR108" s="1" t="s">
        <v>122</v>
      </c>
      <c r="PWS108" s="1" t="s">
        <v>122</v>
      </c>
      <c r="PWT108" s="1" t="s">
        <v>122</v>
      </c>
      <c r="PWU108" s="1" t="s">
        <v>122</v>
      </c>
      <c r="PWV108" s="1" t="s">
        <v>122</v>
      </c>
      <c r="PWW108" s="1" t="s">
        <v>122</v>
      </c>
      <c r="PWX108" s="1" t="s">
        <v>122</v>
      </c>
      <c r="PWY108" s="1" t="s">
        <v>122</v>
      </c>
      <c r="PWZ108" s="1" t="s">
        <v>122</v>
      </c>
      <c r="PXA108" s="1" t="s">
        <v>122</v>
      </c>
      <c r="PXB108" s="1" t="s">
        <v>122</v>
      </c>
      <c r="PXC108" s="1" t="s">
        <v>122</v>
      </c>
      <c r="PXD108" s="1" t="s">
        <v>122</v>
      </c>
      <c r="PXE108" s="1" t="s">
        <v>122</v>
      </c>
      <c r="PXF108" s="1" t="s">
        <v>122</v>
      </c>
      <c r="PXG108" s="1" t="s">
        <v>122</v>
      </c>
      <c r="PXH108" s="1" t="s">
        <v>122</v>
      </c>
      <c r="PXI108" s="1" t="s">
        <v>122</v>
      </c>
      <c r="PXJ108" s="1" t="s">
        <v>122</v>
      </c>
      <c r="PXK108" s="1" t="s">
        <v>122</v>
      </c>
      <c r="PXL108" s="1" t="s">
        <v>122</v>
      </c>
      <c r="PXM108" s="1" t="s">
        <v>122</v>
      </c>
      <c r="PXN108" s="1" t="s">
        <v>122</v>
      </c>
      <c r="PXO108" s="1" t="s">
        <v>122</v>
      </c>
      <c r="PXP108" s="1" t="s">
        <v>122</v>
      </c>
      <c r="PXQ108" s="1" t="s">
        <v>122</v>
      </c>
      <c r="PXR108" s="1" t="s">
        <v>122</v>
      </c>
      <c r="PXS108" s="1" t="s">
        <v>122</v>
      </c>
      <c r="PXT108" s="1" t="s">
        <v>122</v>
      </c>
      <c r="PXU108" s="1" t="s">
        <v>122</v>
      </c>
      <c r="PXV108" s="1" t="s">
        <v>122</v>
      </c>
      <c r="PXW108" s="1" t="s">
        <v>122</v>
      </c>
      <c r="PXX108" s="1" t="s">
        <v>122</v>
      </c>
      <c r="PXY108" s="1" t="s">
        <v>122</v>
      </c>
      <c r="PXZ108" s="1" t="s">
        <v>122</v>
      </c>
      <c r="PYA108" s="1" t="s">
        <v>122</v>
      </c>
      <c r="PYB108" s="1" t="s">
        <v>122</v>
      </c>
      <c r="PYC108" s="1" t="s">
        <v>122</v>
      </c>
      <c r="PYD108" s="1" t="s">
        <v>122</v>
      </c>
      <c r="PYE108" s="1" t="s">
        <v>122</v>
      </c>
      <c r="PYF108" s="1" t="s">
        <v>122</v>
      </c>
      <c r="PYG108" s="1" t="s">
        <v>122</v>
      </c>
      <c r="PYH108" s="1" t="s">
        <v>122</v>
      </c>
      <c r="PYI108" s="1" t="s">
        <v>122</v>
      </c>
      <c r="PYJ108" s="1" t="s">
        <v>122</v>
      </c>
      <c r="PYK108" s="1" t="s">
        <v>122</v>
      </c>
      <c r="PYL108" s="1" t="s">
        <v>122</v>
      </c>
      <c r="PYM108" s="1" t="s">
        <v>122</v>
      </c>
      <c r="PYN108" s="1" t="s">
        <v>122</v>
      </c>
      <c r="PYO108" s="1" t="s">
        <v>122</v>
      </c>
      <c r="PYP108" s="1" t="s">
        <v>122</v>
      </c>
      <c r="PYQ108" s="1" t="s">
        <v>122</v>
      </c>
      <c r="PYR108" s="1" t="s">
        <v>122</v>
      </c>
      <c r="PYS108" s="1" t="s">
        <v>122</v>
      </c>
      <c r="PYT108" s="1" t="s">
        <v>122</v>
      </c>
      <c r="PYU108" s="1" t="s">
        <v>122</v>
      </c>
      <c r="PYV108" s="1" t="s">
        <v>122</v>
      </c>
      <c r="PYW108" s="1" t="s">
        <v>122</v>
      </c>
      <c r="PYX108" s="1" t="s">
        <v>122</v>
      </c>
      <c r="PYY108" s="1" t="s">
        <v>122</v>
      </c>
      <c r="PYZ108" s="1" t="s">
        <v>122</v>
      </c>
      <c r="PZA108" s="1" t="s">
        <v>122</v>
      </c>
      <c r="PZB108" s="1" t="s">
        <v>122</v>
      </c>
      <c r="PZC108" s="1" t="s">
        <v>122</v>
      </c>
      <c r="PZD108" s="1" t="s">
        <v>122</v>
      </c>
      <c r="PZE108" s="1" t="s">
        <v>122</v>
      </c>
      <c r="PZF108" s="1" t="s">
        <v>122</v>
      </c>
      <c r="PZG108" s="1" t="s">
        <v>122</v>
      </c>
      <c r="PZH108" s="1" t="s">
        <v>122</v>
      </c>
      <c r="PZI108" s="1" t="s">
        <v>122</v>
      </c>
      <c r="PZJ108" s="1" t="s">
        <v>122</v>
      </c>
      <c r="PZK108" s="1" t="s">
        <v>122</v>
      </c>
      <c r="PZL108" s="1" t="s">
        <v>122</v>
      </c>
      <c r="PZM108" s="1" t="s">
        <v>122</v>
      </c>
      <c r="PZN108" s="1" t="s">
        <v>122</v>
      </c>
      <c r="PZO108" s="1" t="s">
        <v>122</v>
      </c>
      <c r="PZP108" s="1" t="s">
        <v>122</v>
      </c>
      <c r="PZQ108" s="1" t="s">
        <v>122</v>
      </c>
      <c r="PZR108" s="1" t="s">
        <v>122</v>
      </c>
      <c r="PZS108" s="1" t="s">
        <v>122</v>
      </c>
      <c r="PZT108" s="1" t="s">
        <v>122</v>
      </c>
      <c r="PZU108" s="1" t="s">
        <v>122</v>
      </c>
      <c r="PZV108" s="1" t="s">
        <v>122</v>
      </c>
      <c r="PZW108" s="1" t="s">
        <v>122</v>
      </c>
      <c r="PZX108" s="1" t="s">
        <v>122</v>
      </c>
      <c r="PZY108" s="1" t="s">
        <v>122</v>
      </c>
      <c r="PZZ108" s="1" t="s">
        <v>122</v>
      </c>
      <c r="QAA108" s="1" t="s">
        <v>122</v>
      </c>
      <c r="QAB108" s="1" t="s">
        <v>122</v>
      </c>
      <c r="QAC108" s="1" t="s">
        <v>122</v>
      </c>
      <c r="QAD108" s="1" t="s">
        <v>122</v>
      </c>
      <c r="QAE108" s="1" t="s">
        <v>122</v>
      </c>
      <c r="QAF108" s="1" t="s">
        <v>122</v>
      </c>
      <c r="QAG108" s="1" t="s">
        <v>122</v>
      </c>
      <c r="QAH108" s="1" t="s">
        <v>122</v>
      </c>
      <c r="QAI108" s="1" t="s">
        <v>122</v>
      </c>
      <c r="QAJ108" s="1" t="s">
        <v>122</v>
      </c>
      <c r="QAK108" s="1" t="s">
        <v>122</v>
      </c>
      <c r="QAL108" s="1" t="s">
        <v>122</v>
      </c>
      <c r="QAM108" s="1" t="s">
        <v>122</v>
      </c>
      <c r="QAN108" s="1" t="s">
        <v>122</v>
      </c>
      <c r="QAO108" s="1" t="s">
        <v>122</v>
      </c>
      <c r="QAP108" s="1" t="s">
        <v>122</v>
      </c>
      <c r="QAQ108" s="1" t="s">
        <v>122</v>
      </c>
      <c r="QAR108" s="1" t="s">
        <v>122</v>
      </c>
      <c r="QAS108" s="1" t="s">
        <v>122</v>
      </c>
      <c r="QAT108" s="1" t="s">
        <v>122</v>
      </c>
      <c r="QAU108" s="1" t="s">
        <v>122</v>
      </c>
      <c r="QAV108" s="1" t="s">
        <v>122</v>
      </c>
      <c r="QAW108" s="1" t="s">
        <v>122</v>
      </c>
      <c r="QAX108" s="1" t="s">
        <v>122</v>
      </c>
      <c r="QAY108" s="1" t="s">
        <v>122</v>
      </c>
      <c r="QAZ108" s="1" t="s">
        <v>122</v>
      </c>
      <c r="QBA108" s="1" t="s">
        <v>122</v>
      </c>
      <c r="QBB108" s="1" t="s">
        <v>122</v>
      </c>
      <c r="QBC108" s="1" t="s">
        <v>122</v>
      </c>
      <c r="QBD108" s="1" t="s">
        <v>122</v>
      </c>
      <c r="QBE108" s="1" t="s">
        <v>122</v>
      </c>
      <c r="QBF108" s="1" t="s">
        <v>122</v>
      </c>
      <c r="QBG108" s="1" t="s">
        <v>122</v>
      </c>
      <c r="QBH108" s="1" t="s">
        <v>122</v>
      </c>
      <c r="QBI108" s="1" t="s">
        <v>122</v>
      </c>
      <c r="QBJ108" s="1" t="s">
        <v>122</v>
      </c>
      <c r="QBK108" s="1" t="s">
        <v>122</v>
      </c>
      <c r="QBL108" s="1" t="s">
        <v>122</v>
      </c>
      <c r="QBM108" s="1" t="s">
        <v>122</v>
      </c>
      <c r="QBN108" s="1" t="s">
        <v>122</v>
      </c>
      <c r="QBO108" s="1" t="s">
        <v>122</v>
      </c>
      <c r="QBP108" s="1" t="s">
        <v>122</v>
      </c>
      <c r="QBQ108" s="1" t="s">
        <v>122</v>
      </c>
      <c r="QBR108" s="1" t="s">
        <v>122</v>
      </c>
      <c r="QBS108" s="1" t="s">
        <v>122</v>
      </c>
      <c r="QBT108" s="1" t="s">
        <v>122</v>
      </c>
      <c r="QBU108" s="1" t="s">
        <v>122</v>
      </c>
      <c r="QBV108" s="1" t="s">
        <v>122</v>
      </c>
      <c r="QBW108" s="1" t="s">
        <v>122</v>
      </c>
      <c r="QBX108" s="1" t="s">
        <v>122</v>
      </c>
      <c r="QBY108" s="1" t="s">
        <v>122</v>
      </c>
      <c r="QBZ108" s="1" t="s">
        <v>122</v>
      </c>
      <c r="QCA108" s="1" t="s">
        <v>122</v>
      </c>
      <c r="QCB108" s="1" t="s">
        <v>122</v>
      </c>
      <c r="QCC108" s="1" t="s">
        <v>122</v>
      </c>
      <c r="QCD108" s="1" t="s">
        <v>122</v>
      </c>
      <c r="QCE108" s="1" t="s">
        <v>122</v>
      </c>
      <c r="QCF108" s="1" t="s">
        <v>122</v>
      </c>
      <c r="QCG108" s="1" t="s">
        <v>122</v>
      </c>
      <c r="QCH108" s="1" t="s">
        <v>122</v>
      </c>
      <c r="QCI108" s="1" t="s">
        <v>122</v>
      </c>
      <c r="QCJ108" s="1" t="s">
        <v>122</v>
      </c>
      <c r="QCK108" s="1" t="s">
        <v>122</v>
      </c>
      <c r="QCL108" s="1" t="s">
        <v>122</v>
      </c>
      <c r="QCM108" s="1" t="s">
        <v>122</v>
      </c>
      <c r="QCN108" s="1" t="s">
        <v>122</v>
      </c>
      <c r="QCO108" s="1" t="s">
        <v>122</v>
      </c>
      <c r="QCP108" s="1" t="s">
        <v>122</v>
      </c>
      <c r="QCQ108" s="1" t="s">
        <v>122</v>
      </c>
      <c r="QCR108" s="1" t="s">
        <v>122</v>
      </c>
      <c r="QCS108" s="1" t="s">
        <v>122</v>
      </c>
      <c r="QCT108" s="1" t="s">
        <v>122</v>
      </c>
      <c r="QCU108" s="1" t="s">
        <v>122</v>
      </c>
      <c r="QCV108" s="1" t="s">
        <v>122</v>
      </c>
      <c r="QCW108" s="1" t="s">
        <v>122</v>
      </c>
      <c r="QCX108" s="1" t="s">
        <v>122</v>
      </c>
      <c r="QCY108" s="1" t="s">
        <v>122</v>
      </c>
      <c r="QCZ108" s="1" t="s">
        <v>122</v>
      </c>
      <c r="QDA108" s="1" t="s">
        <v>122</v>
      </c>
      <c r="QDB108" s="1" t="s">
        <v>122</v>
      </c>
      <c r="QDC108" s="1" t="s">
        <v>122</v>
      </c>
      <c r="QDD108" s="1" t="s">
        <v>122</v>
      </c>
      <c r="QDE108" s="1" t="s">
        <v>122</v>
      </c>
      <c r="QDF108" s="1" t="s">
        <v>122</v>
      </c>
      <c r="QDG108" s="1" t="s">
        <v>122</v>
      </c>
      <c r="QDH108" s="1" t="s">
        <v>122</v>
      </c>
      <c r="QDI108" s="1" t="s">
        <v>122</v>
      </c>
      <c r="QDJ108" s="1" t="s">
        <v>122</v>
      </c>
      <c r="QDK108" s="1" t="s">
        <v>122</v>
      </c>
      <c r="QDL108" s="1" t="s">
        <v>122</v>
      </c>
      <c r="QDM108" s="1" t="s">
        <v>122</v>
      </c>
      <c r="QDN108" s="1" t="s">
        <v>122</v>
      </c>
      <c r="QDO108" s="1" t="s">
        <v>122</v>
      </c>
      <c r="QDP108" s="1" t="s">
        <v>122</v>
      </c>
      <c r="QDQ108" s="1" t="s">
        <v>122</v>
      </c>
      <c r="QDR108" s="1" t="s">
        <v>122</v>
      </c>
      <c r="QDS108" s="1" t="s">
        <v>122</v>
      </c>
      <c r="QDT108" s="1" t="s">
        <v>122</v>
      </c>
      <c r="QDU108" s="1" t="s">
        <v>122</v>
      </c>
      <c r="QDV108" s="1" t="s">
        <v>122</v>
      </c>
      <c r="QDW108" s="1" t="s">
        <v>122</v>
      </c>
      <c r="QDX108" s="1" t="s">
        <v>122</v>
      </c>
      <c r="QDY108" s="1" t="s">
        <v>122</v>
      </c>
      <c r="QDZ108" s="1" t="s">
        <v>122</v>
      </c>
      <c r="QEA108" s="1" t="s">
        <v>122</v>
      </c>
      <c r="QEB108" s="1" t="s">
        <v>122</v>
      </c>
      <c r="QEC108" s="1" t="s">
        <v>122</v>
      </c>
      <c r="QED108" s="1" t="s">
        <v>122</v>
      </c>
      <c r="QEE108" s="1" t="s">
        <v>122</v>
      </c>
      <c r="QEF108" s="1" t="s">
        <v>122</v>
      </c>
      <c r="QEG108" s="1" t="s">
        <v>122</v>
      </c>
      <c r="QEH108" s="1" t="s">
        <v>122</v>
      </c>
      <c r="QEI108" s="1" t="s">
        <v>122</v>
      </c>
      <c r="QEJ108" s="1" t="s">
        <v>122</v>
      </c>
      <c r="QEK108" s="1" t="s">
        <v>122</v>
      </c>
      <c r="QEL108" s="1" t="s">
        <v>122</v>
      </c>
      <c r="QEM108" s="1" t="s">
        <v>122</v>
      </c>
      <c r="QEN108" s="1" t="s">
        <v>122</v>
      </c>
      <c r="QEO108" s="1" t="s">
        <v>122</v>
      </c>
      <c r="QEP108" s="1" t="s">
        <v>122</v>
      </c>
      <c r="QEQ108" s="1" t="s">
        <v>122</v>
      </c>
      <c r="QER108" s="1" t="s">
        <v>122</v>
      </c>
      <c r="QES108" s="1" t="s">
        <v>122</v>
      </c>
      <c r="QET108" s="1" t="s">
        <v>122</v>
      </c>
      <c r="QEU108" s="1" t="s">
        <v>122</v>
      </c>
      <c r="QEV108" s="1" t="s">
        <v>122</v>
      </c>
      <c r="QEW108" s="1" t="s">
        <v>122</v>
      </c>
      <c r="QEX108" s="1" t="s">
        <v>122</v>
      </c>
      <c r="QEY108" s="1" t="s">
        <v>122</v>
      </c>
      <c r="QEZ108" s="1" t="s">
        <v>122</v>
      </c>
      <c r="QFA108" s="1" t="s">
        <v>122</v>
      </c>
      <c r="QFB108" s="1" t="s">
        <v>122</v>
      </c>
      <c r="QFC108" s="1" t="s">
        <v>122</v>
      </c>
      <c r="QFD108" s="1" t="s">
        <v>122</v>
      </c>
      <c r="QFE108" s="1" t="s">
        <v>122</v>
      </c>
      <c r="QFF108" s="1" t="s">
        <v>122</v>
      </c>
      <c r="QFG108" s="1" t="s">
        <v>122</v>
      </c>
      <c r="QFH108" s="1" t="s">
        <v>122</v>
      </c>
      <c r="QFI108" s="1" t="s">
        <v>122</v>
      </c>
      <c r="QFJ108" s="1" t="s">
        <v>122</v>
      </c>
      <c r="QFK108" s="1" t="s">
        <v>122</v>
      </c>
      <c r="QFL108" s="1" t="s">
        <v>122</v>
      </c>
      <c r="QFM108" s="1" t="s">
        <v>122</v>
      </c>
      <c r="QFN108" s="1" t="s">
        <v>122</v>
      </c>
      <c r="QFO108" s="1" t="s">
        <v>122</v>
      </c>
      <c r="QFP108" s="1" t="s">
        <v>122</v>
      </c>
      <c r="QFQ108" s="1" t="s">
        <v>122</v>
      </c>
      <c r="QFR108" s="1" t="s">
        <v>122</v>
      </c>
      <c r="QFS108" s="1" t="s">
        <v>122</v>
      </c>
      <c r="QFT108" s="1" t="s">
        <v>122</v>
      </c>
      <c r="QFU108" s="1" t="s">
        <v>122</v>
      </c>
      <c r="QFV108" s="1" t="s">
        <v>122</v>
      </c>
      <c r="QFW108" s="1" t="s">
        <v>122</v>
      </c>
      <c r="QFX108" s="1" t="s">
        <v>122</v>
      </c>
      <c r="QFY108" s="1" t="s">
        <v>122</v>
      </c>
      <c r="QFZ108" s="1" t="s">
        <v>122</v>
      </c>
      <c r="QGA108" s="1" t="s">
        <v>122</v>
      </c>
      <c r="QGB108" s="1" t="s">
        <v>122</v>
      </c>
      <c r="QGC108" s="1" t="s">
        <v>122</v>
      </c>
      <c r="QGD108" s="1" t="s">
        <v>122</v>
      </c>
      <c r="QGE108" s="1" t="s">
        <v>122</v>
      </c>
      <c r="QGF108" s="1" t="s">
        <v>122</v>
      </c>
      <c r="QGG108" s="1" t="s">
        <v>122</v>
      </c>
      <c r="QGH108" s="1" t="s">
        <v>122</v>
      </c>
      <c r="QGI108" s="1" t="s">
        <v>122</v>
      </c>
      <c r="QGJ108" s="1" t="s">
        <v>122</v>
      </c>
      <c r="QGK108" s="1" t="s">
        <v>122</v>
      </c>
      <c r="QGL108" s="1" t="s">
        <v>122</v>
      </c>
      <c r="QGM108" s="1" t="s">
        <v>122</v>
      </c>
      <c r="QGN108" s="1" t="s">
        <v>122</v>
      </c>
      <c r="QGO108" s="1" t="s">
        <v>122</v>
      </c>
      <c r="QGP108" s="1" t="s">
        <v>122</v>
      </c>
      <c r="QGQ108" s="1" t="s">
        <v>122</v>
      </c>
      <c r="QGR108" s="1" t="s">
        <v>122</v>
      </c>
      <c r="QGS108" s="1" t="s">
        <v>122</v>
      </c>
      <c r="QGT108" s="1" t="s">
        <v>122</v>
      </c>
      <c r="QGU108" s="1" t="s">
        <v>122</v>
      </c>
      <c r="QGV108" s="1" t="s">
        <v>122</v>
      </c>
      <c r="QGW108" s="1" t="s">
        <v>122</v>
      </c>
      <c r="QGX108" s="1" t="s">
        <v>122</v>
      </c>
      <c r="QGY108" s="1" t="s">
        <v>122</v>
      </c>
      <c r="QGZ108" s="1" t="s">
        <v>122</v>
      </c>
      <c r="QHA108" s="1" t="s">
        <v>122</v>
      </c>
      <c r="QHB108" s="1" t="s">
        <v>122</v>
      </c>
      <c r="QHC108" s="1" t="s">
        <v>122</v>
      </c>
      <c r="QHD108" s="1" t="s">
        <v>122</v>
      </c>
      <c r="QHE108" s="1" t="s">
        <v>122</v>
      </c>
      <c r="QHF108" s="1" t="s">
        <v>122</v>
      </c>
      <c r="QHG108" s="1" t="s">
        <v>122</v>
      </c>
      <c r="QHH108" s="1" t="s">
        <v>122</v>
      </c>
      <c r="QHI108" s="1" t="s">
        <v>122</v>
      </c>
      <c r="QHJ108" s="1" t="s">
        <v>122</v>
      </c>
      <c r="QHK108" s="1" t="s">
        <v>122</v>
      </c>
      <c r="QHL108" s="1" t="s">
        <v>122</v>
      </c>
      <c r="QHM108" s="1" t="s">
        <v>122</v>
      </c>
      <c r="QHN108" s="1" t="s">
        <v>122</v>
      </c>
      <c r="QHO108" s="1" t="s">
        <v>122</v>
      </c>
      <c r="QHP108" s="1" t="s">
        <v>122</v>
      </c>
      <c r="QHQ108" s="1" t="s">
        <v>122</v>
      </c>
      <c r="QHR108" s="1" t="s">
        <v>122</v>
      </c>
      <c r="QHS108" s="1" t="s">
        <v>122</v>
      </c>
      <c r="QHT108" s="1" t="s">
        <v>122</v>
      </c>
      <c r="QHU108" s="1" t="s">
        <v>122</v>
      </c>
      <c r="QHV108" s="1" t="s">
        <v>122</v>
      </c>
      <c r="QHW108" s="1" t="s">
        <v>122</v>
      </c>
      <c r="QHX108" s="1" t="s">
        <v>122</v>
      </c>
      <c r="QHY108" s="1" t="s">
        <v>122</v>
      </c>
      <c r="QHZ108" s="1" t="s">
        <v>122</v>
      </c>
      <c r="QIA108" s="1" t="s">
        <v>122</v>
      </c>
      <c r="QIB108" s="1" t="s">
        <v>122</v>
      </c>
      <c r="QIC108" s="1" t="s">
        <v>122</v>
      </c>
      <c r="QID108" s="1" t="s">
        <v>122</v>
      </c>
      <c r="QIE108" s="1" t="s">
        <v>122</v>
      </c>
      <c r="QIF108" s="1" t="s">
        <v>122</v>
      </c>
      <c r="QIG108" s="1" t="s">
        <v>122</v>
      </c>
      <c r="QIH108" s="1" t="s">
        <v>122</v>
      </c>
      <c r="QII108" s="1" t="s">
        <v>122</v>
      </c>
      <c r="QIJ108" s="1" t="s">
        <v>122</v>
      </c>
      <c r="QIK108" s="1" t="s">
        <v>122</v>
      </c>
      <c r="QIL108" s="1" t="s">
        <v>122</v>
      </c>
      <c r="QIM108" s="1" t="s">
        <v>122</v>
      </c>
      <c r="QIN108" s="1" t="s">
        <v>122</v>
      </c>
      <c r="QIO108" s="1" t="s">
        <v>122</v>
      </c>
      <c r="QIP108" s="1" t="s">
        <v>122</v>
      </c>
      <c r="QIQ108" s="1" t="s">
        <v>122</v>
      </c>
      <c r="QIR108" s="1" t="s">
        <v>122</v>
      </c>
      <c r="QIS108" s="1" t="s">
        <v>122</v>
      </c>
      <c r="QIT108" s="1" t="s">
        <v>122</v>
      </c>
      <c r="QIU108" s="1" t="s">
        <v>122</v>
      </c>
      <c r="QIV108" s="1" t="s">
        <v>122</v>
      </c>
      <c r="QIW108" s="1" t="s">
        <v>122</v>
      </c>
      <c r="QIX108" s="1" t="s">
        <v>122</v>
      </c>
      <c r="QIY108" s="1" t="s">
        <v>122</v>
      </c>
      <c r="QIZ108" s="1" t="s">
        <v>122</v>
      </c>
      <c r="QJA108" s="1" t="s">
        <v>122</v>
      </c>
      <c r="QJB108" s="1" t="s">
        <v>122</v>
      </c>
      <c r="QJC108" s="1" t="s">
        <v>122</v>
      </c>
      <c r="QJD108" s="1" t="s">
        <v>122</v>
      </c>
      <c r="QJE108" s="1" t="s">
        <v>122</v>
      </c>
      <c r="QJF108" s="1" t="s">
        <v>122</v>
      </c>
      <c r="QJG108" s="1" t="s">
        <v>122</v>
      </c>
      <c r="QJH108" s="1" t="s">
        <v>122</v>
      </c>
      <c r="QJI108" s="1" t="s">
        <v>122</v>
      </c>
      <c r="QJJ108" s="1" t="s">
        <v>122</v>
      </c>
      <c r="QJK108" s="1" t="s">
        <v>122</v>
      </c>
      <c r="QJL108" s="1" t="s">
        <v>122</v>
      </c>
      <c r="QJM108" s="1" t="s">
        <v>122</v>
      </c>
      <c r="QJN108" s="1" t="s">
        <v>122</v>
      </c>
      <c r="QJO108" s="1" t="s">
        <v>122</v>
      </c>
      <c r="QJP108" s="1" t="s">
        <v>122</v>
      </c>
      <c r="QJQ108" s="1" t="s">
        <v>122</v>
      </c>
      <c r="QJR108" s="1" t="s">
        <v>122</v>
      </c>
      <c r="QJS108" s="1" t="s">
        <v>122</v>
      </c>
      <c r="QJT108" s="1" t="s">
        <v>122</v>
      </c>
      <c r="QJU108" s="1" t="s">
        <v>122</v>
      </c>
      <c r="QJV108" s="1" t="s">
        <v>122</v>
      </c>
      <c r="QJW108" s="1" t="s">
        <v>122</v>
      </c>
      <c r="QJX108" s="1" t="s">
        <v>122</v>
      </c>
      <c r="QJY108" s="1" t="s">
        <v>122</v>
      </c>
      <c r="QJZ108" s="1" t="s">
        <v>122</v>
      </c>
      <c r="QKA108" s="1" t="s">
        <v>122</v>
      </c>
      <c r="QKB108" s="1" t="s">
        <v>122</v>
      </c>
      <c r="QKC108" s="1" t="s">
        <v>122</v>
      </c>
      <c r="QKD108" s="1" t="s">
        <v>122</v>
      </c>
      <c r="QKE108" s="1" t="s">
        <v>122</v>
      </c>
      <c r="QKF108" s="1" t="s">
        <v>122</v>
      </c>
      <c r="QKG108" s="1" t="s">
        <v>122</v>
      </c>
      <c r="QKH108" s="1" t="s">
        <v>122</v>
      </c>
      <c r="QKI108" s="1" t="s">
        <v>122</v>
      </c>
      <c r="QKJ108" s="1" t="s">
        <v>122</v>
      </c>
      <c r="QKK108" s="1" t="s">
        <v>122</v>
      </c>
      <c r="QKL108" s="1" t="s">
        <v>122</v>
      </c>
      <c r="QKM108" s="1" t="s">
        <v>122</v>
      </c>
      <c r="QKN108" s="1" t="s">
        <v>122</v>
      </c>
      <c r="QKO108" s="1" t="s">
        <v>122</v>
      </c>
      <c r="QKP108" s="1" t="s">
        <v>122</v>
      </c>
      <c r="QKQ108" s="1" t="s">
        <v>122</v>
      </c>
      <c r="QKR108" s="1" t="s">
        <v>122</v>
      </c>
      <c r="QKS108" s="1" t="s">
        <v>122</v>
      </c>
      <c r="QKT108" s="1" t="s">
        <v>122</v>
      </c>
      <c r="QKU108" s="1" t="s">
        <v>122</v>
      </c>
      <c r="QKV108" s="1" t="s">
        <v>122</v>
      </c>
      <c r="QKW108" s="1" t="s">
        <v>122</v>
      </c>
      <c r="QKX108" s="1" t="s">
        <v>122</v>
      </c>
      <c r="QKY108" s="1" t="s">
        <v>122</v>
      </c>
      <c r="QKZ108" s="1" t="s">
        <v>122</v>
      </c>
      <c r="QLA108" s="1" t="s">
        <v>122</v>
      </c>
      <c r="QLB108" s="1" t="s">
        <v>122</v>
      </c>
      <c r="QLC108" s="1" t="s">
        <v>122</v>
      </c>
      <c r="QLD108" s="1" t="s">
        <v>122</v>
      </c>
      <c r="QLE108" s="1" t="s">
        <v>122</v>
      </c>
      <c r="QLF108" s="1" t="s">
        <v>122</v>
      </c>
      <c r="QLG108" s="1" t="s">
        <v>122</v>
      </c>
      <c r="QLH108" s="1" t="s">
        <v>122</v>
      </c>
      <c r="QLI108" s="1" t="s">
        <v>122</v>
      </c>
      <c r="QLJ108" s="1" t="s">
        <v>122</v>
      </c>
      <c r="QLK108" s="1" t="s">
        <v>122</v>
      </c>
      <c r="QLL108" s="1" t="s">
        <v>122</v>
      </c>
      <c r="QLM108" s="1" t="s">
        <v>122</v>
      </c>
      <c r="QLN108" s="1" t="s">
        <v>122</v>
      </c>
      <c r="QLO108" s="1" t="s">
        <v>122</v>
      </c>
      <c r="QLP108" s="1" t="s">
        <v>122</v>
      </c>
      <c r="QLQ108" s="1" t="s">
        <v>122</v>
      </c>
      <c r="QLR108" s="1" t="s">
        <v>122</v>
      </c>
      <c r="QLS108" s="1" t="s">
        <v>122</v>
      </c>
      <c r="QLT108" s="1" t="s">
        <v>122</v>
      </c>
      <c r="QLU108" s="1" t="s">
        <v>122</v>
      </c>
      <c r="QLV108" s="1" t="s">
        <v>122</v>
      </c>
      <c r="QLW108" s="1" t="s">
        <v>122</v>
      </c>
      <c r="QLX108" s="1" t="s">
        <v>122</v>
      </c>
      <c r="QLY108" s="1" t="s">
        <v>122</v>
      </c>
      <c r="QLZ108" s="1" t="s">
        <v>122</v>
      </c>
      <c r="QMA108" s="1" t="s">
        <v>122</v>
      </c>
      <c r="QMB108" s="1" t="s">
        <v>122</v>
      </c>
      <c r="QMC108" s="1" t="s">
        <v>122</v>
      </c>
      <c r="QMD108" s="1" t="s">
        <v>122</v>
      </c>
      <c r="QME108" s="1" t="s">
        <v>122</v>
      </c>
      <c r="QMF108" s="1" t="s">
        <v>122</v>
      </c>
      <c r="QMG108" s="1" t="s">
        <v>122</v>
      </c>
      <c r="QMH108" s="1" t="s">
        <v>122</v>
      </c>
      <c r="QMI108" s="1" t="s">
        <v>122</v>
      </c>
      <c r="QMJ108" s="1" t="s">
        <v>122</v>
      </c>
      <c r="QMK108" s="1" t="s">
        <v>122</v>
      </c>
      <c r="QML108" s="1" t="s">
        <v>122</v>
      </c>
      <c r="QMM108" s="1" t="s">
        <v>122</v>
      </c>
      <c r="QMN108" s="1" t="s">
        <v>122</v>
      </c>
      <c r="QMO108" s="1" t="s">
        <v>122</v>
      </c>
      <c r="QMP108" s="1" t="s">
        <v>122</v>
      </c>
      <c r="QMQ108" s="1" t="s">
        <v>122</v>
      </c>
      <c r="QMR108" s="1" t="s">
        <v>122</v>
      </c>
      <c r="QMS108" s="1" t="s">
        <v>122</v>
      </c>
      <c r="QMT108" s="1" t="s">
        <v>122</v>
      </c>
      <c r="QMU108" s="1" t="s">
        <v>122</v>
      </c>
      <c r="QMV108" s="1" t="s">
        <v>122</v>
      </c>
      <c r="QMW108" s="1" t="s">
        <v>122</v>
      </c>
      <c r="QMX108" s="1" t="s">
        <v>122</v>
      </c>
      <c r="QMY108" s="1" t="s">
        <v>122</v>
      </c>
      <c r="QMZ108" s="1" t="s">
        <v>122</v>
      </c>
      <c r="QNA108" s="1" t="s">
        <v>122</v>
      </c>
      <c r="QNB108" s="1" t="s">
        <v>122</v>
      </c>
      <c r="QNC108" s="1" t="s">
        <v>122</v>
      </c>
      <c r="QND108" s="1" t="s">
        <v>122</v>
      </c>
      <c r="QNE108" s="1" t="s">
        <v>122</v>
      </c>
      <c r="QNF108" s="1" t="s">
        <v>122</v>
      </c>
      <c r="QNG108" s="1" t="s">
        <v>122</v>
      </c>
      <c r="QNH108" s="1" t="s">
        <v>122</v>
      </c>
      <c r="QNI108" s="1" t="s">
        <v>122</v>
      </c>
      <c r="QNJ108" s="1" t="s">
        <v>122</v>
      </c>
      <c r="QNK108" s="1" t="s">
        <v>122</v>
      </c>
      <c r="QNL108" s="1" t="s">
        <v>122</v>
      </c>
      <c r="QNM108" s="1" t="s">
        <v>122</v>
      </c>
      <c r="QNN108" s="1" t="s">
        <v>122</v>
      </c>
      <c r="QNO108" s="1" t="s">
        <v>122</v>
      </c>
      <c r="QNP108" s="1" t="s">
        <v>122</v>
      </c>
      <c r="QNQ108" s="1" t="s">
        <v>122</v>
      </c>
      <c r="QNR108" s="1" t="s">
        <v>122</v>
      </c>
      <c r="QNS108" s="1" t="s">
        <v>122</v>
      </c>
      <c r="QNT108" s="1" t="s">
        <v>122</v>
      </c>
      <c r="QNU108" s="1" t="s">
        <v>122</v>
      </c>
      <c r="QNV108" s="1" t="s">
        <v>122</v>
      </c>
      <c r="QNW108" s="1" t="s">
        <v>122</v>
      </c>
      <c r="QNX108" s="1" t="s">
        <v>122</v>
      </c>
      <c r="QNY108" s="1" t="s">
        <v>122</v>
      </c>
      <c r="QNZ108" s="1" t="s">
        <v>122</v>
      </c>
      <c r="QOA108" s="1" t="s">
        <v>122</v>
      </c>
      <c r="QOB108" s="1" t="s">
        <v>122</v>
      </c>
      <c r="QOC108" s="1" t="s">
        <v>122</v>
      </c>
      <c r="QOD108" s="1" t="s">
        <v>122</v>
      </c>
      <c r="QOE108" s="1" t="s">
        <v>122</v>
      </c>
      <c r="QOF108" s="1" t="s">
        <v>122</v>
      </c>
      <c r="QOG108" s="1" t="s">
        <v>122</v>
      </c>
      <c r="QOH108" s="1" t="s">
        <v>122</v>
      </c>
      <c r="QOI108" s="1" t="s">
        <v>122</v>
      </c>
      <c r="QOJ108" s="1" t="s">
        <v>122</v>
      </c>
      <c r="QOK108" s="1" t="s">
        <v>122</v>
      </c>
      <c r="QOL108" s="1" t="s">
        <v>122</v>
      </c>
      <c r="QOM108" s="1" t="s">
        <v>122</v>
      </c>
      <c r="QON108" s="1" t="s">
        <v>122</v>
      </c>
      <c r="QOO108" s="1" t="s">
        <v>122</v>
      </c>
      <c r="QOP108" s="1" t="s">
        <v>122</v>
      </c>
      <c r="QOQ108" s="1" t="s">
        <v>122</v>
      </c>
      <c r="QOR108" s="1" t="s">
        <v>122</v>
      </c>
      <c r="QOS108" s="1" t="s">
        <v>122</v>
      </c>
      <c r="QOT108" s="1" t="s">
        <v>122</v>
      </c>
      <c r="QOU108" s="1" t="s">
        <v>122</v>
      </c>
      <c r="QOV108" s="1" t="s">
        <v>122</v>
      </c>
      <c r="QOW108" s="1" t="s">
        <v>122</v>
      </c>
      <c r="QOX108" s="1" t="s">
        <v>122</v>
      </c>
      <c r="QOY108" s="1" t="s">
        <v>122</v>
      </c>
      <c r="QOZ108" s="1" t="s">
        <v>122</v>
      </c>
      <c r="QPA108" s="1" t="s">
        <v>122</v>
      </c>
      <c r="QPB108" s="1" t="s">
        <v>122</v>
      </c>
      <c r="QPC108" s="1" t="s">
        <v>122</v>
      </c>
      <c r="QPD108" s="1" t="s">
        <v>122</v>
      </c>
      <c r="QPE108" s="1" t="s">
        <v>122</v>
      </c>
      <c r="QPF108" s="1" t="s">
        <v>122</v>
      </c>
      <c r="QPG108" s="1" t="s">
        <v>122</v>
      </c>
      <c r="QPH108" s="1" t="s">
        <v>122</v>
      </c>
      <c r="QPI108" s="1" t="s">
        <v>122</v>
      </c>
      <c r="QPJ108" s="1" t="s">
        <v>122</v>
      </c>
      <c r="QPK108" s="1" t="s">
        <v>122</v>
      </c>
      <c r="QPL108" s="1" t="s">
        <v>122</v>
      </c>
      <c r="QPM108" s="1" t="s">
        <v>122</v>
      </c>
      <c r="QPN108" s="1" t="s">
        <v>122</v>
      </c>
      <c r="QPO108" s="1" t="s">
        <v>122</v>
      </c>
      <c r="QPP108" s="1" t="s">
        <v>122</v>
      </c>
      <c r="QPQ108" s="1" t="s">
        <v>122</v>
      </c>
      <c r="QPR108" s="1" t="s">
        <v>122</v>
      </c>
      <c r="QPS108" s="1" t="s">
        <v>122</v>
      </c>
      <c r="QPT108" s="1" t="s">
        <v>122</v>
      </c>
      <c r="QPU108" s="1" t="s">
        <v>122</v>
      </c>
      <c r="QPV108" s="1" t="s">
        <v>122</v>
      </c>
      <c r="QPW108" s="1" t="s">
        <v>122</v>
      </c>
      <c r="QPX108" s="1" t="s">
        <v>122</v>
      </c>
      <c r="QPY108" s="1" t="s">
        <v>122</v>
      </c>
      <c r="QPZ108" s="1" t="s">
        <v>122</v>
      </c>
      <c r="QQA108" s="1" t="s">
        <v>122</v>
      </c>
      <c r="QQB108" s="1" t="s">
        <v>122</v>
      </c>
      <c r="QQC108" s="1" t="s">
        <v>122</v>
      </c>
      <c r="QQD108" s="1" t="s">
        <v>122</v>
      </c>
      <c r="QQE108" s="1" t="s">
        <v>122</v>
      </c>
      <c r="QQF108" s="1" t="s">
        <v>122</v>
      </c>
      <c r="QQG108" s="1" t="s">
        <v>122</v>
      </c>
      <c r="QQH108" s="1" t="s">
        <v>122</v>
      </c>
      <c r="QQI108" s="1" t="s">
        <v>122</v>
      </c>
      <c r="QQJ108" s="1" t="s">
        <v>122</v>
      </c>
      <c r="QQK108" s="1" t="s">
        <v>122</v>
      </c>
      <c r="QQL108" s="1" t="s">
        <v>122</v>
      </c>
      <c r="QQM108" s="1" t="s">
        <v>122</v>
      </c>
      <c r="QQN108" s="1" t="s">
        <v>122</v>
      </c>
      <c r="QQO108" s="1" t="s">
        <v>122</v>
      </c>
      <c r="QQP108" s="1" t="s">
        <v>122</v>
      </c>
      <c r="QQQ108" s="1" t="s">
        <v>122</v>
      </c>
      <c r="QQR108" s="1" t="s">
        <v>122</v>
      </c>
      <c r="QQS108" s="1" t="s">
        <v>122</v>
      </c>
      <c r="QQT108" s="1" t="s">
        <v>122</v>
      </c>
      <c r="QQU108" s="1" t="s">
        <v>122</v>
      </c>
      <c r="QQV108" s="1" t="s">
        <v>122</v>
      </c>
      <c r="QQW108" s="1" t="s">
        <v>122</v>
      </c>
      <c r="QQX108" s="1" t="s">
        <v>122</v>
      </c>
      <c r="QQY108" s="1" t="s">
        <v>122</v>
      </c>
      <c r="QQZ108" s="1" t="s">
        <v>122</v>
      </c>
      <c r="QRA108" s="1" t="s">
        <v>122</v>
      </c>
      <c r="QRB108" s="1" t="s">
        <v>122</v>
      </c>
      <c r="QRC108" s="1" t="s">
        <v>122</v>
      </c>
      <c r="QRD108" s="1" t="s">
        <v>122</v>
      </c>
      <c r="QRE108" s="1" t="s">
        <v>122</v>
      </c>
      <c r="QRF108" s="1" t="s">
        <v>122</v>
      </c>
      <c r="QRG108" s="1" t="s">
        <v>122</v>
      </c>
      <c r="QRH108" s="1" t="s">
        <v>122</v>
      </c>
      <c r="QRI108" s="1" t="s">
        <v>122</v>
      </c>
      <c r="QRJ108" s="1" t="s">
        <v>122</v>
      </c>
      <c r="QRK108" s="1" t="s">
        <v>122</v>
      </c>
      <c r="QRL108" s="1" t="s">
        <v>122</v>
      </c>
      <c r="QRM108" s="1" t="s">
        <v>122</v>
      </c>
      <c r="QRN108" s="1" t="s">
        <v>122</v>
      </c>
      <c r="QRO108" s="1" t="s">
        <v>122</v>
      </c>
      <c r="QRP108" s="1" t="s">
        <v>122</v>
      </c>
      <c r="QRQ108" s="1" t="s">
        <v>122</v>
      </c>
      <c r="QRR108" s="1" t="s">
        <v>122</v>
      </c>
      <c r="QRS108" s="1" t="s">
        <v>122</v>
      </c>
      <c r="QRT108" s="1" t="s">
        <v>122</v>
      </c>
      <c r="QRU108" s="1" t="s">
        <v>122</v>
      </c>
      <c r="QRV108" s="1" t="s">
        <v>122</v>
      </c>
      <c r="QRW108" s="1" t="s">
        <v>122</v>
      </c>
      <c r="QRX108" s="1" t="s">
        <v>122</v>
      </c>
      <c r="QRY108" s="1" t="s">
        <v>122</v>
      </c>
      <c r="QRZ108" s="1" t="s">
        <v>122</v>
      </c>
      <c r="QSA108" s="1" t="s">
        <v>122</v>
      </c>
      <c r="QSB108" s="1" t="s">
        <v>122</v>
      </c>
      <c r="QSC108" s="1" t="s">
        <v>122</v>
      </c>
      <c r="QSD108" s="1" t="s">
        <v>122</v>
      </c>
      <c r="QSE108" s="1" t="s">
        <v>122</v>
      </c>
      <c r="QSF108" s="1" t="s">
        <v>122</v>
      </c>
      <c r="QSG108" s="1" t="s">
        <v>122</v>
      </c>
      <c r="QSH108" s="1" t="s">
        <v>122</v>
      </c>
      <c r="QSI108" s="1" t="s">
        <v>122</v>
      </c>
      <c r="QSJ108" s="1" t="s">
        <v>122</v>
      </c>
      <c r="QSK108" s="1" t="s">
        <v>122</v>
      </c>
      <c r="QSL108" s="1" t="s">
        <v>122</v>
      </c>
      <c r="QSM108" s="1" t="s">
        <v>122</v>
      </c>
      <c r="QSN108" s="1" t="s">
        <v>122</v>
      </c>
      <c r="QSO108" s="1" t="s">
        <v>122</v>
      </c>
      <c r="QSP108" s="1" t="s">
        <v>122</v>
      </c>
      <c r="QSQ108" s="1" t="s">
        <v>122</v>
      </c>
      <c r="QSR108" s="1" t="s">
        <v>122</v>
      </c>
      <c r="QSS108" s="1" t="s">
        <v>122</v>
      </c>
      <c r="QST108" s="1" t="s">
        <v>122</v>
      </c>
      <c r="QSU108" s="1" t="s">
        <v>122</v>
      </c>
      <c r="QSV108" s="1" t="s">
        <v>122</v>
      </c>
      <c r="QSW108" s="1" t="s">
        <v>122</v>
      </c>
      <c r="QSX108" s="1" t="s">
        <v>122</v>
      </c>
      <c r="QSY108" s="1" t="s">
        <v>122</v>
      </c>
      <c r="QSZ108" s="1" t="s">
        <v>122</v>
      </c>
      <c r="QTA108" s="1" t="s">
        <v>122</v>
      </c>
      <c r="QTB108" s="1" t="s">
        <v>122</v>
      </c>
      <c r="QTC108" s="1" t="s">
        <v>122</v>
      </c>
      <c r="QTD108" s="1" t="s">
        <v>122</v>
      </c>
      <c r="QTE108" s="1" t="s">
        <v>122</v>
      </c>
      <c r="QTF108" s="1" t="s">
        <v>122</v>
      </c>
      <c r="QTG108" s="1" t="s">
        <v>122</v>
      </c>
      <c r="QTH108" s="1" t="s">
        <v>122</v>
      </c>
      <c r="QTI108" s="1" t="s">
        <v>122</v>
      </c>
      <c r="QTJ108" s="1" t="s">
        <v>122</v>
      </c>
      <c r="QTK108" s="1" t="s">
        <v>122</v>
      </c>
      <c r="QTL108" s="1" t="s">
        <v>122</v>
      </c>
      <c r="QTM108" s="1" t="s">
        <v>122</v>
      </c>
      <c r="QTN108" s="1" t="s">
        <v>122</v>
      </c>
      <c r="QTO108" s="1" t="s">
        <v>122</v>
      </c>
      <c r="QTP108" s="1" t="s">
        <v>122</v>
      </c>
      <c r="QTQ108" s="1" t="s">
        <v>122</v>
      </c>
      <c r="QTR108" s="1" t="s">
        <v>122</v>
      </c>
      <c r="QTS108" s="1" t="s">
        <v>122</v>
      </c>
      <c r="QTT108" s="1" t="s">
        <v>122</v>
      </c>
      <c r="QTU108" s="1" t="s">
        <v>122</v>
      </c>
      <c r="QTV108" s="1" t="s">
        <v>122</v>
      </c>
      <c r="QTW108" s="1" t="s">
        <v>122</v>
      </c>
      <c r="QTX108" s="1" t="s">
        <v>122</v>
      </c>
      <c r="QTY108" s="1" t="s">
        <v>122</v>
      </c>
      <c r="QTZ108" s="1" t="s">
        <v>122</v>
      </c>
      <c r="QUA108" s="1" t="s">
        <v>122</v>
      </c>
      <c r="QUB108" s="1" t="s">
        <v>122</v>
      </c>
      <c r="QUC108" s="1" t="s">
        <v>122</v>
      </c>
      <c r="QUD108" s="1" t="s">
        <v>122</v>
      </c>
      <c r="QUE108" s="1" t="s">
        <v>122</v>
      </c>
      <c r="QUF108" s="1" t="s">
        <v>122</v>
      </c>
      <c r="QUG108" s="1" t="s">
        <v>122</v>
      </c>
      <c r="QUH108" s="1" t="s">
        <v>122</v>
      </c>
      <c r="QUI108" s="1" t="s">
        <v>122</v>
      </c>
      <c r="QUJ108" s="1" t="s">
        <v>122</v>
      </c>
      <c r="QUK108" s="1" t="s">
        <v>122</v>
      </c>
      <c r="QUL108" s="1" t="s">
        <v>122</v>
      </c>
      <c r="QUM108" s="1" t="s">
        <v>122</v>
      </c>
      <c r="QUN108" s="1" t="s">
        <v>122</v>
      </c>
      <c r="QUO108" s="1" t="s">
        <v>122</v>
      </c>
      <c r="QUP108" s="1" t="s">
        <v>122</v>
      </c>
      <c r="QUQ108" s="1" t="s">
        <v>122</v>
      </c>
      <c r="QUR108" s="1" t="s">
        <v>122</v>
      </c>
      <c r="QUS108" s="1" t="s">
        <v>122</v>
      </c>
      <c r="QUT108" s="1" t="s">
        <v>122</v>
      </c>
      <c r="QUU108" s="1" t="s">
        <v>122</v>
      </c>
      <c r="QUV108" s="1" t="s">
        <v>122</v>
      </c>
      <c r="QUW108" s="1" t="s">
        <v>122</v>
      </c>
      <c r="QUX108" s="1" t="s">
        <v>122</v>
      </c>
      <c r="QUY108" s="1" t="s">
        <v>122</v>
      </c>
      <c r="QUZ108" s="1" t="s">
        <v>122</v>
      </c>
      <c r="QVA108" s="1" t="s">
        <v>122</v>
      </c>
      <c r="QVB108" s="1" t="s">
        <v>122</v>
      </c>
      <c r="QVC108" s="1" t="s">
        <v>122</v>
      </c>
      <c r="QVD108" s="1" t="s">
        <v>122</v>
      </c>
      <c r="QVE108" s="1" t="s">
        <v>122</v>
      </c>
      <c r="QVF108" s="1" t="s">
        <v>122</v>
      </c>
      <c r="QVG108" s="1" t="s">
        <v>122</v>
      </c>
      <c r="QVH108" s="1" t="s">
        <v>122</v>
      </c>
      <c r="QVI108" s="1" t="s">
        <v>122</v>
      </c>
      <c r="QVJ108" s="1" t="s">
        <v>122</v>
      </c>
      <c r="QVK108" s="1" t="s">
        <v>122</v>
      </c>
      <c r="QVL108" s="1" t="s">
        <v>122</v>
      </c>
      <c r="QVM108" s="1" t="s">
        <v>122</v>
      </c>
      <c r="QVN108" s="1" t="s">
        <v>122</v>
      </c>
      <c r="QVO108" s="1" t="s">
        <v>122</v>
      </c>
      <c r="QVP108" s="1" t="s">
        <v>122</v>
      </c>
      <c r="QVQ108" s="1" t="s">
        <v>122</v>
      </c>
      <c r="QVR108" s="1" t="s">
        <v>122</v>
      </c>
      <c r="QVS108" s="1" t="s">
        <v>122</v>
      </c>
      <c r="QVT108" s="1" t="s">
        <v>122</v>
      </c>
      <c r="QVU108" s="1" t="s">
        <v>122</v>
      </c>
      <c r="QVV108" s="1" t="s">
        <v>122</v>
      </c>
      <c r="QVW108" s="1" t="s">
        <v>122</v>
      </c>
      <c r="QVX108" s="1" t="s">
        <v>122</v>
      </c>
      <c r="QVY108" s="1" t="s">
        <v>122</v>
      </c>
      <c r="QVZ108" s="1" t="s">
        <v>122</v>
      </c>
      <c r="QWA108" s="1" t="s">
        <v>122</v>
      </c>
      <c r="QWB108" s="1" t="s">
        <v>122</v>
      </c>
      <c r="QWC108" s="1" t="s">
        <v>122</v>
      </c>
      <c r="QWD108" s="1" t="s">
        <v>122</v>
      </c>
      <c r="QWE108" s="1" t="s">
        <v>122</v>
      </c>
      <c r="QWF108" s="1" t="s">
        <v>122</v>
      </c>
      <c r="QWG108" s="1" t="s">
        <v>122</v>
      </c>
      <c r="QWH108" s="1" t="s">
        <v>122</v>
      </c>
      <c r="QWI108" s="1" t="s">
        <v>122</v>
      </c>
      <c r="QWJ108" s="1" t="s">
        <v>122</v>
      </c>
      <c r="QWK108" s="1" t="s">
        <v>122</v>
      </c>
      <c r="QWL108" s="1" t="s">
        <v>122</v>
      </c>
      <c r="QWM108" s="1" t="s">
        <v>122</v>
      </c>
      <c r="QWN108" s="1" t="s">
        <v>122</v>
      </c>
      <c r="QWO108" s="1" t="s">
        <v>122</v>
      </c>
      <c r="QWP108" s="1" t="s">
        <v>122</v>
      </c>
      <c r="QWQ108" s="1" t="s">
        <v>122</v>
      </c>
      <c r="QWR108" s="1" t="s">
        <v>122</v>
      </c>
      <c r="QWS108" s="1" t="s">
        <v>122</v>
      </c>
      <c r="QWT108" s="1" t="s">
        <v>122</v>
      </c>
      <c r="QWU108" s="1" t="s">
        <v>122</v>
      </c>
      <c r="QWV108" s="1" t="s">
        <v>122</v>
      </c>
      <c r="QWW108" s="1" t="s">
        <v>122</v>
      </c>
      <c r="QWX108" s="1" t="s">
        <v>122</v>
      </c>
      <c r="QWY108" s="1" t="s">
        <v>122</v>
      </c>
      <c r="QWZ108" s="1" t="s">
        <v>122</v>
      </c>
      <c r="QXA108" s="1" t="s">
        <v>122</v>
      </c>
      <c r="QXB108" s="1" t="s">
        <v>122</v>
      </c>
      <c r="QXC108" s="1" t="s">
        <v>122</v>
      </c>
      <c r="QXD108" s="1" t="s">
        <v>122</v>
      </c>
      <c r="QXE108" s="1" t="s">
        <v>122</v>
      </c>
      <c r="QXF108" s="1" t="s">
        <v>122</v>
      </c>
      <c r="QXG108" s="1" t="s">
        <v>122</v>
      </c>
      <c r="QXH108" s="1" t="s">
        <v>122</v>
      </c>
      <c r="QXI108" s="1" t="s">
        <v>122</v>
      </c>
      <c r="QXJ108" s="1" t="s">
        <v>122</v>
      </c>
      <c r="QXK108" s="1" t="s">
        <v>122</v>
      </c>
      <c r="QXL108" s="1" t="s">
        <v>122</v>
      </c>
      <c r="QXM108" s="1" t="s">
        <v>122</v>
      </c>
      <c r="QXN108" s="1" t="s">
        <v>122</v>
      </c>
      <c r="QXO108" s="1" t="s">
        <v>122</v>
      </c>
      <c r="QXP108" s="1" t="s">
        <v>122</v>
      </c>
      <c r="QXQ108" s="1" t="s">
        <v>122</v>
      </c>
      <c r="QXR108" s="1" t="s">
        <v>122</v>
      </c>
      <c r="QXS108" s="1" t="s">
        <v>122</v>
      </c>
      <c r="QXT108" s="1" t="s">
        <v>122</v>
      </c>
      <c r="QXU108" s="1" t="s">
        <v>122</v>
      </c>
      <c r="QXV108" s="1" t="s">
        <v>122</v>
      </c>
      <c r="QXW108" s="1" t="s">
        <v>122</v>
      </c>
      <c r="QXX108" s="1" t="s">
        <v>122</v>
      </c>
      <c r="QXY108" s="1" t="s">
        <v>122</v>
      </c>
      <c r="QXZ108" s="1" t="s">
        <v>122</v>
      </c>
      <c r="QYA108" s="1" t="s">
        <v>122</v>
      </c>
      <c r="QYB108" s="1" t="s">
        <v>122</v>
      </c>
      <c r="QYC108" s="1" t="s">
        <v>122</v>
      </c>
      <c r="QYD108" s="1" t="s">
        <v>122</v>
      </c>
      <c r="QYE108" s="1" t="s">
        <v>122</v>
      </c>
      <c r="QYF108" s="1" t="s">
        <v>122</v>
      </c>
      <c r="QYG108" s="1" t="s">
        <v>122</v>
      </c>
      <c r="QYH108" s="1" t="s">
        <v>122</v>
      </c>
      <c r="QYI108" s="1" t="s">
        <v>122</v>
      </c>
      <c r="QYJ108" s="1" t="s">
        <v>122</v>
      </c>
      <c r="QYK108" s="1" t="s">
        <v>122</v>
      </c>
      <c r="QYL108" s="1" t="s">
        <v>122</v>
      </c>
      <c r="QYM108" s="1" t="s">
        <v>122</v>
      </c>
      <c r="QYN108" s="1" t="s">
        <v>122</v>
      </c>
      <c r="QYO108" s="1" t="s">
        <v>122</v>
      </c>
      <c r="QYP108" s="1" t="s">
        <v>122</v>
      </c>
      <c r="QYQ108" s="1" t="s">
        <v>122</v>
      </c>
      <c r="QYR108" s="1" t="s">
        <v>122</v>
      </c>
      <c r="QYS108" s="1" t="s">
        <v>122</v>
      </c>
      <c r="QYT108" s="1" t="s">
        <v>122</v>
      </c>
      <c r="QYU108" s="1" t="s">
        <v>122</v>
      </c>
      <c r="QYV108" s="1" t="s">
        <v>122</v>
      </c>
      <c r="QYW108" s="1" t="s">
        <v>122</v>
      </c>
      <c r="QYX108" s="1" t="s">
        <v>122</v>
      </c>
      <c r="QYY108" s="1" t="s">
        <v>122</v>
      </c>
      <c r="QYZ108" s="1" t="s">
        <v>122</v>
      </c>
      <c r="QZA108" s="1" t="s">
        <v>122</v>
      </c>
      <c r="QZB108" s="1" t="s">
        <v>122</v>
      </c>
      <c r="QZC108" s="1" t="s">
        <v>122</v>
      </c>
      <c r="QZD108" s="1" t="s">
        <v>122</v>
      </c>
      <c r="QZE108" s="1" t="s">
        <v>122</v>
      </c>
      <c r="QZF108" s="1" t="s">
        <v>122</v>
      </c>
      <c r="QZG108" s="1" t="s">
        <v>122</v>
      </c>
      <c r="QZH108" s="1" t="s">
        <v>122</v>
      </c>
      <c r="QZI108" s="1" t="s">
        <v>122</v>
      </c>
      <c r="QZJ108" s="1" t="s">
        <v>122</v>
      </c>
      <c r="QZK108" s="1" t="s">
        <v>122</v>
      </c>
      <c r="QZL108" s="1" t="s">
        <v>122</v>
      </c>
      <c r="QZM108" s="1" t="s">
        <v>122</v>
      </c>
      <c r="QZN108" s="1" t="s">
        <v>122</v>
      </c>
      <c r="QZO108" s="1" t="s">
        <v>122</v>
      </c>
      <c r="QZP108" s="1" t="s">
        <v>122</v>
      </c>
      <c r="QZQ108" s="1" t="s">
        <v>122</v>
      </c>
      <c r="QZR108" s="1" t="s">
        <v>122</v>
      </c>
      <c r="QZS108" s="1" t="s">
        <v>122</v>
      </c>
      <c r="QZT108" s="1" t="s">
        <v>122</v>
      </c>
      <c r="QZU108" s="1" t="s">
        <v>122</v>
      </c>
      <c r="QZV108" s="1" t="s">
        <v>122</v>
      </c>
      <c r="QZW108" s="1" t="s">
        <v>122</v>
      </c>
      <c r="QZX108" s="1" t="s">
        <v>122</v>
      </c>
      <c r="QZY108" s="1" t="s">
        <v>122</v>
      </c>
      <c r="QZZ108" s="1" t="s">
        <v>122</v>
      </c>
      <c r="RAA108" s="1" t="s">
        <v>122</v>
      </c>
      <c r="RAB108" s="1" t="s">
        <v>122</v>
      </c>
      <c r="RAC108" s="1" t="s">
        <v>122</v>
      </c>
      <c r="RAD108" s="1" t="s">
        <v>122</v>
      </c>
      <c r="RAE108" s="1" t="s">
        <v>122</v>
      </c>
      <c r="RAF108" s="1" t="s">
        <v>122</v>
      </c>
      <c r="RAG108" s="1" t="s">
        <v>122</v>
      </c>
      <c r="RAH108" s="1" t="s">
        <v>122</v>
      </c>
      <c r="RAI108" s="1" t="s">
        <v>122</v>
      </c>
      <c r="RAJ108" s="1" t="s">
        <v>122</v>
      </c>
      <c r="RAK108" s="1" t="s">
        <v>122</v>
      </c>
      <c r="RAL108" s="1" t="s">
        <v>122</v>
      </c>
      <c r="RAM108" s="1" t="s">
        <v>122</v>
      </c>
      <c r="RAN108" s="1" t="s">
        <v>122</v>
      </c>
      <c r="RAO108" s="1" t="s">
        <v>122</v>
      </c>
      <c r="RAP108" s="1" t="s">
        <v>122</v>
      </c>
      <c r="RAQ108" s="1" t="s">
        <v>122</v>
      </c>
      <c r="RAR108" s="1" t="s">
        <v>122</v>
      </c>
      <c r="RAS108" s="1" t="s">
        <v>122</v>
      </c>
      <c r="RAT108" s="1" t="s">
        <v>122</v>
      </c>
      <c r="RAU108" s="1" t="s">
        <v>122</v>
      </c>
      <c r="RAV108" s="1" t="s">
        <v>122</v>
      </c>
      <c r="RAW108" s="1" t="s">
        <v>122</v>
      </c>
      <c r="RAX108" s="1" t="s">
        <v>122</v>
      </c>
      <c r="RAY108" s="1" t="s">
        <v>122</v>
      </c>
      <c r="RAZ108" s="1" t="s">
        <v>122</v>
      </c>
      <c r="RBA108" s="1" t="s">
        <v>122</v>
      </c>
      <c r="RBB108" s="1" t="s">
        <v>122</v>
      </c>
      <c r="RBC108" s="1" t="s">
        <v>122</v>
      </c>
      <c r="RBD108" s="1" t="s">
        <v>122</v>
      </c>
      <c r="RBE108" s="1" t="s">
        <v>122</v>
      </c>
      <c r="RBF108" s="1" t="s">
        <v>122</v>
      </c>
      <c r="RBG108" s="1" t="s">
        <v>122</v>
      </c>
      <c r="RBH108" s="1" t="s">
        <v>122</v>
      </c>
      <c r="RBI108" s="1" t="s">
        <v>122</v>
      </c>
      <c r="RBJ108" s="1" t="s">
        <v>122</v>
      </c>
      <c r="RBK108" s="1" t="s">
        <v>122</v>
      </c>
      <c r="RBL108" s="1" t="s">
        <v>122</v>
      </c>
      <c r="RBM108" s="1" t="s">
        <v>122</v>
      </c>
      <c r="RBN108" s="1" t="s">
        <v>122</v>
      </c>
      <c r="RBO108" s="1" t="s">
        <v>122</v>
      </c>
      <c r="RBP108" s="1" t="s">
        <v>122</v>
      </c>
      <c r="RBQ108" s="1" t="s">
        <v>122</v>
      </c>
      <c r="RBR108" s="1" t="s">
        <v>122</v>
      </c>
      <c r="RBS108" s="1" t="s">
        <v>122</v>
      </c>
      <c r="RBT108" s="1" t="s">
        <v>122</v>
      </c>
      <c r="RBU108" s="1" t="s">
        <v>122</v>
      </c>
      <c r="RBV108" s="1" t="s">
        <v>122</v>
      </c>
      <c r="RBW108" s="1" t="s">
        <v>122</v>
      </c>
      <c r="RBX108" s="1" t="s">
        <v>122</v>
      </c>
      <c r="RBY108" s="1" t="s">
        <v>122</v>
      </c>
      <c r="RBZ108" s="1" t="s">
        <v>122</v>
      </c>
      <c r="RCA108" s="1" t="s">
        <v>122</v>
      </c>
      <c r="RCB108" s="1" t="s">
        <v>122</v>
      </c>
      <c r="RCC108" s="1" t="s">
        <v>122</v>
      </c>
      <c r="RCD108" s="1" t="s">
        <v>122</v>
      </c>
      <c r="RCE108" s="1" t="s">
        <v>122</v>
      </c>
      <c r="RCF108" s="1" t="s">
        <v>122</v>
      </c>
      <c r="RCG108" s="1" t="s">
        <v>122</v>
      </c>
      <c r="RCH108" s="1" t="s">
        <v>122</v>
      </c>
      <c r="RCI108" s="1" t="s">
        <v>122</v>
      </c>
      <c r="RCJ108" s="1" t="s">
        <v>122</v>
      </c>
      <c r="RCK108" s="1" t="s">
        <v>122</v>
      </c>
      <c r="RCL108" s="1" t="s">
        <v>122</v>
      </c>
      <c r="RCM108" s="1" t="s">
        <v>122</v>
      </c>
      <c r="RCN108" s="1" t="s">
        <v>122</v>
      </c>
      <c r="RCO108" s="1" t="s">
        <v>122</v>
      </c>
      <c r="RCP108" s="1" t="s">
        <v>122</v>
      </c>
      <c r="RCQ108" s="1" t="s">
        <v>122</v>
      </c>
      <c r="RCR108" s="1" t="s">
        <v>122</v>
      </c>
      <c r="RCS108" s="1" t="s">
        <v>122</v>
      </c>
      <c r="RCT108" s="1" t="s">
        <v>122</v>
      </c>
      <c r="RCU108" s="1" t="s">
        <v>122</v>
      </c>
      <c r="RCV108" s="1" t="s">
        <v>122</v>
      </c>
      <c r="RCW108" s="1" t="s">
        <v>122</v>
      </c>
      <c r="RCX108" s="1" t="s">
        <v>122</v>
      </c>
      <c r="RCY108" s="1" t="s">
        <v>122</v>
      </c>
      <c r="RCZ108" s="1" t="s">
        <v>122</v>
      </c>
      <c r="RDA108" s="1" t="s">
        <v>122</v>
      </c>
      <c r="RDB108" s="1" t="s">
        <v>122</v>
      </c>
      <c r="RDC108" s="1" t="s">
        <v>122</v>
      </c>
      <c r="RDD108" s="1" t="s">
        <v>122</v>
      </c>
      <c r="RDE108" s="1" t="s">
        <v>122</v>
      </c>
      <c r="RDF108" s="1" t="s">
        <v>122</v>
      </c>
      <c r="RDG108" s="1" t="s">
        <v>122</v>
      </c>
      <c r="RDH108" s="1" t="s">
        <v>122</v>
      </c>
      <c r="RDI108" s="1" t="s">
        <v>122</v>
      </c>
      <c r="RDJ108" s="1" t="s">
        <v>122</v>
      </c>
      <c r="RDK108" s="1" t="s">
        <v>122</v>
      </c>
      <c r="RDL108" s="1" t="s">
        <v>122</v>
      </c>
      <c r="RDM108" s="1" t="s">
        <v>122</v>
      </c>
      <c r="RDN108" s="1" t="s">
        <v>122</v>
      </c>
      <c r="RDO108" s="1" t="s">
        <v>122</v>
      </c>
      <c r="RDP108" s="1" t="s">
        <v>122</v>
      </c>
      <c r="RDQ108" s="1" t="s">
        <v>122</v>
      </c>
      <c r="RDR108" s="1" t="s">
        <v>122</v>
      </c>
      <c r="RDS108" s="1" t="s">
        <v>122</v>
      </c>
      <c r="RDT108" s="1" t="s">
        <v>122</v>
      </c>
      <c r="RDU108" s="1" t="s">
        <v>122</v>
      </c>
      <c r="RDV108" s="1" t="s">
        <v>122</v>
      </c>
      <c r="RDW108" s="1" t="s">
        <v>122</v>
      </c>
      <c r="RDX108" s="1" t="s">
        <v>122</v>
      </c>
      <c r="RDY108" s="1" t="s">
        <v>122</v>
      </c>
      <c r="RDZ108" s="1" t="s">
        <v>122</v>
      </c>
      <c r="REA108" s="1" t="s">
        <v>122</v>
      </c>
      <c r="REB108" s="1" t="s">
        <v>122</v>
      </c>
      <c r="REC108" s="1" t="s">
        <v>122</v>
      </c>
      <c r="RED108" s="1" t="s">
        <v>122</v>
      </c>
      <c r="REE108" s="1" t="s">
        <v>122</v>
      </c>
      <c r="REF108" s="1" t="s">
        <v>122</v>
      </c>
      <c r="REG108" s="1" t="s">
        <v>122</v>
      </c>
      <c r="REH108" s="1" t="s">
        <v>122</v>
      </c>
      <c r="REI108" s="1" t="s">
        <v>122</v>
      </c>
      <c r="REJ108" s="1" t="s">
        <v>122</v>
      </c>
      <c r="REK108" s="1" t="s">
        <v>122</v>
      </c>
      <c r="REL108" s="1" t="s">
        <v>122</v>
      </c>
      <c r="REM108" s="1" t="s">
        <v>122</v>
      </c>
      <c r="REN108" s="1" t="s">
        <v>122</v>
      </c>
      <c r="REO108" s="1" t="s">
        <v>122</v>
      </c>
      <c r="REP108" s="1" t="s">
        <v>122</v>
      </c>
      <c r="REQ108" s="1" t="s">
        <v>122</v>
      </c>
      <c r="RER108" s="1" t="s">
        <v>122</v>
      </c>
      <c r="RES108" s="1" t="s">
        <v>122</v>
      </c>
      <c r="RET108" s="1" t="s">
        <v>122</v>
      </c>
      <c r="REU108" s="1" t="s">
        <v>122</v>
      </c>
      <c r="REV108" s="1" t="s">
        <v>122</v>
      </c>
      <c r="REW108" s="1" t="s">
        <v>122</v>
      </c>
      <c r="REX108" s="1" t="s">
        <v>122</v>
      </c>
      <c r="REY108" s="1" t="s">
        <v>122</v>
      </c>
      <c r="REZ108" s="1" t="s">
        <v>122</v>
      </c>
      <c r="RFA108" s="1" t="s">
        <v>122</v>
      </c>
      <c r="RFB108" s="1" t="s">
        <v>122</v>
      </c>
      <c r="RFC108" s="1" t="s">
        <v>122</v>
      </c>
      <c r="RFD108" s="1" t="s">
        <v>122</v>
      </c>
      <c r="RFE108" s="1" t="s">
        <v>122</v>
      </c>
      <c r="RFF108" s="1" t="s">
        <v>122</v>
      </c>
      <c r="RFG108" s="1" t="s">
        <v>122</v>
      </c>
      <c r="RFH108" s="1" t="s">
        <v>122</v>
      </c>
      <c r="RFI108" s="1" t="s">
        <v>122</v>
      </c>
      <c r="RFJ108" s="1" t="s">
        <v>122</v>
      </c>
      <c r="RFK108" s="1" t="s">
        <v>122</v>
      </c>
      <c r="RFL108" s="1" t="s">
        <v>122</v>
      </c>
      <c r="RFM108" s="1" t="s">
        <v>122</v>
      </c>
      <c r="RFN108" s="1" t="s">
        <v>122</v>
      </c>
      <c r="RFO108" s="1" t="s">
        <v>122</v>
      </c>
      <c r="RFP108" s="1" t="s">
        <v>122</v>
      </c>
      <c r="RFQ108" s="1" t="s">
        <v>122</v>
      </c>
      <c r="RFR108" s="1" t="s">
        <v>122</v>
      </c>
      <c r="RFS108" s="1" t="s">
        <v>122</v>
      </c>
      <c r="RFT108" s="1" t="s">
        <v>122</v>
      </c>
      <c r="RFU108" s="1" t="s">
        <v>122</v>
      </c>
      <c r="RFV108" s="1" t="s">
        <v>122</v>
      </c>
      <c r="RFW108" s="1" t="s">
        <v>122</v>
      </c>
      <c r="RFX108" s="1" t="s">
        <v>122</v>
      </c>
      <c r="RFY108" s="1" t="s">
        <v>122</v>
      </c>
      <c r="RFZ108" s="1" t="s">
        <v>122</v>
      </c>
      <c r="RGA108" s="1" t="s">
        <v>122</v>
      </c>
      <c r="RGB108" s="1" t="s">
        <v>122</v>
      </c>
      <c r="RGC108" s="1" t="s">
        <v>122</v>
      </c>
      <c r="RGD108" s="1" t="s">
        <v>122</v>
      </c>
      <c r="RGE108" s="1" t="s">
        <v>122</v>
      </c>
      <c r="RGF108" s="1" t="s">
        <v>122</v>
      </c>
      <c r="RGG108" s="1" t="s">
        <v>122</v>
      </c>
      <c r="RGH108" s="1" t="s">
        <v>122</v>
      </c>
      <c r="RGI108" s="1" t="s">
        <v>122</v>
      </c>
      <c r="RGJ108" s="1" t="s">
        <v>122</v>
      </c>
      <c r="RGK108" s="1" t="s">
        <v>122</v>
      </c>
      <c r="RGL108" s="1" t="s">
        <v>122</v>
      </c>
      <c r="RGM108" s="1" t="s">
        <v>122</v>
      </c>
      <c r="RGN108" s="1" t="s">
        <v>122</v>
      </c>
      <c r="RGO108" s="1" t="s">
        <v>122</v>
      </c>
      <c r="RGP108" s="1" t="s">
        <v>122</v>
      </c>
      <c r="RGQ108" s="1" t="s">
        <v>122</v>
      </c>
      <c r="RGR108" s="1" t="s">
        <v>122</v>
      </c>
      <c r="RGS108" s="1" t="s">
        <v>122</v>
      </c>
      <c r="RGT108" s="1" t="s">
        <v>122</v>
      </c>
      <c r="RGU108" s="1" t="s">
        <v>122</v>
      </c>
      <c r="RGV108" s="1" t="s">
        <v>122</v>
      </c>
      <c r="RGW108" s="1" t="s">
        <v>122</v>
      </c>
      <c r="RGX108" s="1" t="s">
        <v>122</v>
      </c>
      <c r="RGY108" s="1" t="s">
        <v>122</v>
      </c>
      <c r="RGZ108" s="1" t="s">
        <v>122</v>
      </c>
      <c r="RHA108" s="1" t="s">
        <v>122</v>
      </c>
      <c r="RHB108" s="1" t="s">
        <v>122</v>
      </c>
      <c r="RHC108" s="1" t="s">
        <v>122</v>
      </c>
      <c r="RHD108" s="1" t="s">
        <v>122</v>
      </c>
      <c r="RHE108" s="1" t="s">
        <v>122</v>
      </c>
      <c r="RHF108" s="1" t="s">
        <v>122</v>
      </c>
      <c r="RHG108" s="1" t="s">
        <v>122</v>
      </c>
      <c r="RHH108" s="1" t="s">
        <v>122</v>
      </c>
      <c r="RHI108" s="1" t="s">
        <v>122</v>
      </c>
      <c r="RHJ108" s="1" t="s">
        <v>122</v>
      </c>
      <c r="RHK108" s="1" t="s">
        <v>122</v>
      </c>
      <c r="RHL108" s="1" t="s">
        <v>122</v>
      </c>
      <c r="RHM108" s="1" t="s">
        <v>122</v>
      </c>
      <c r="RHN108" s="1" t="s">
        <v>122</v>
      </c>
      <c r="RHO108" s="1" t="s">
        <v>122</v>
      </c>
      <c r="RHP108" s="1" t="s">
        <v>122</v>
      </c>
      <c r="RHQ108" s="1" t="s">
        <v>122</v>
      </c>
      <c r="RHR108" s="1" t="s">
        <v>122</v>
      </c>
      <c r="RHS108" s="1" t="s">
        <v>122</v>
      </c>
      <c r="RHT108" s="1" t="s">
        <v>122</v>
      </c>
      <c r="RHU108" s="1" t="s">
        <v>122</v>
      </c>
      <c r="RHV108" s="1" t="s">
        <v>122</v>
      </c>
      <c r="RHW108" s="1" t="s">
        <v>122</v>
      </c>
      <c r="RHX108" s="1" t="s">
        <v>122</v>
      </c>
      <c r="RHY108" s="1" t="s">
        <v>122</v>
      </c>
      <c r="RHZ108" s="1" t="s">
        <v>122</v>
      </c>
      <c r="RIA108" s="1" t="s">
        <v>122</v>
      </c>
      <c r="RIB108" s="1" t="s">
        <v>122</v>
      </c>
      <c r="RIC108" s="1" t="s">
        <v>122</v>
      </c>
      <c r="RID108" s="1" t="s">
        <v>122</v>
      </c>
      <c r="RIE108" s="1" t="s">
        <v>122</v>
      </c>
      <c r="RIF108" s="1" t="s">
        <v>122</v>
      </c>
      <c r="RIG108" s="1" t="s">
        <v>122</v>
      </c>
      <c r="RIH108" s="1" t="s">
        <v>122</v>
      </c>
      <c r="RII108" s="1" t="s">
        <v>122</v>
      </c>
      <c r="RIJ108" s="1" t="s">
        <v>122</v>
      </c>
      <c r="RIK108" s="1" t="s">
        <v>122</v>
      </c>
      <c r="RIL108" s="1" t="s">
        <v>122</v>
      </c>
      <c r="RIM108" s="1" t="s">
        <v>122</v>
      </c>
      <c r="RIN108" s="1" t="s">
        <v>122</v>
      </c>
      <c r="RIO108" s="1" t="s">
        <v>122</v>
      </c>
      <c r="RIP108" s="1" t="s">
        <v>122</v>
      </c>
      <c r="RIQ108" s="1" t="s">
        <v>122</v>
      </c>
      <c r="RIR108" s="1" t="s">
        <v>122</v>
      </c>
      <c r="RIS108" s="1" t="s">
        <v>122</v>
      </c>
      <c r="RIT108" s="1" t="s">
        <v>122</v>
      </c>
      <c r="RIU108" s="1" t="s">
        <v>122</v>
      </c>
      <c r="RIV108" s="1" t="s">
        <v>122</v>
      </c>
      <c r="RIW108" s="1" t="s">
        <v>122</v>
      </c>
      <c r="RIX108" s="1" t="s">
        <v>122</v>
      </c>
      <c r="RIY108" s="1" t="s">
        <v>122</v>
      </c>
      <c r="RIZ108" s="1" t="s">
        <v>122</v>
      </c>
      <c r="RJA108" s="1" t="s">
        <v>122</v>
      </c>
      <c r="RJB108" s="1" t="s">
        <v>122</v>
      </c>
      <c r="RJC108" s="1" t="s">
        <v>122</v>
      </c>
      <c r="RJD108" s="1" t="s">
        <v>122</v>
      </c>
      <c r="RJE108" s="1" t="s">
        <v>122</v>
      </c>
      <c r="RJF108" s="1" t="s">
        <v>122</v>
      </c>
      <c r="RJG108" s="1" t="s">
        <v>122</v>
      </c>
      <c r="RJH108" s="1" t="s">
        <v>122</v>
      </c>
      <c r="RJI108" s="1" t="s">
        <v>122</v>
      </c>
      <c r="RJJ108" s="1" t="s">
        <v>122</v>
      </c>
      <c r="RJK108" s="1" t="s">
        <v>122</v>
      </c>
      <c r="RJL108" s="1" t="s">
        <v>122</v>
      </c>
      <c r="RJM108" s="1" t="s">
        <v>122</v>
      </c>
      <c r="RJN108" s="1" t="s">
        <v>122</v>
      </c>
      <c r="RJO108" s="1" t="s">
        <v>122</v>
      </c>
      <c r="RJP108" s="1" t="s">
        <v>122</v>
      </c>
      <c r="RJQ108" s="1" t="s">
        <v>122</v>
      </c>
      <c r="RJR108" s="1" t="s">
        <v>122</v>
      </c>
      <c r="RJS108" s="1" t="s">
        <v>122</v>
      </c>
      <c r="RJT108" s="1" t="s">
        <v>122</v>
      </c>
      <c r="RJU108" s="1" t="s">
        <v>122</v>
      </c>
      <c r="RJV108" s="1" t="s">
        <v>122</v>
      </c>
      <c r="RJW108" s="1" t="s">
        <v>122</v>
      </c>
      <c r="RJX108" s="1" t="s">
        <v>122</v>
      </c>
      <c r="RJY108" s="1" t="s">
        <v>122</v>
      </c>
      <c r="RJZ108" s="1" t="s">
        <v>122</v>
      </c>
      <c r="RKA108" s="1" t="s">
        <v>122</v>
      </c>
      <c r="RKB108" s="1" t="s">
        <v>122</v>
      </c>
      <c r="RKC108" s="1" t="s">
        <v>122</v>
      </c>
      <c r="RKD108" s="1" t="s">
        <v>122</v>
      </c>
      <c r="RKE108" s="1" t="s">
        <v>122</v>
      </c>
      <c r="RKF108" s="1" t="s">
        <v>122</v>
      </c>
      <c r="RKG108" s="1" t="s">
        <v>122</v>
      </c>
      <c r="RKH108" s="1" t="s">
        <v>122</v>
      </c>
      <c r="RKI108" s="1" t="s">
        <v>122</v>
      </c>
      <c r="RKJ108" s="1" t="s">
        <v>122</v>
      </c>
      <c r="RKK108" s="1" t="s">
        <v>122</v>
      </c>
      <c r="RKL108" s="1" t="s">
        <v>122</v>
      </c>
      <c r="RKM108" s="1" t="s">
        <v>122</v>
      </c>
      <c r="RKN108" s="1" t="s">
        <v>122</v>
      </c>
      <c r="RKO108" s="1" t="s">
        <v>122</v>
      </c>
      <c r="RKP108" s="1" t="s">
        <v>122</v>
      </c>
      <c r="RKQ108" s="1" t="s">
        <v>122</v>
      </c>
      <c r="RKR108" s="1" t="s">
        <v>122</v>
      </c>
      <c r="RKS108" s="1" t="s">
        <v>122</v>
      </c>
      <c r="RKT108" s="1" t="s">
        <v>122</v>
      </c>
      <c r="RKU108" s="1" t="s">
        <v>122</v>
      </c>
      <c r="RKV108" s="1" t="s">
        <v>122</v>
      </c>
      <c r="RKW108" s="1" t="s">
        <v>122</v>
      </c>
      <c r="RKX108" s="1" t="s">
        <v>122</v>
      </c>
      <c r="RKY108" s="1" t="s">
        <v>122</v>
      </c>
      <c r="RKZ108" s="1" t="s">
        <v>122</v>
      </c>
      <c r="RLA108" s="1" t="s">
        <v>122</v>
      </c>
      <c r="RLB108" s="1" t="s">
        <v>122</v>
      </c>
      <c r="RLC108" s="1" t="s">
        <v>122</v>
      </c>
      <c r="RLD108" s="1" t="s">
        <v>122</v>
      </c>
      <c r="RLE108" s="1" t="s">
        <v>122</v>
      </c>
      <c r="RLF108" s="1" t="s">
        <v>122</v>
      </c>
      <c r="RLG108" s="1" t="s">
        <v>122</v>
      </c>
      <c r="RLH108" s="1" t="s">
        <v>122</v>
      </c>
      <c r="RLI108" s="1" t="s">
        <v>122</v>
      </c>
      <c r="RLJ108" s="1" t="s">
        <v>122</v>
      </c>
      <c r="RLK108" s="1" t="s">
        <v>122</v>
      </c>
      <c r="RLL108" s="1" t="s">
        <v>122</v>
      </c>
      <c r="RLM108" s="1" t="s">
        <v>122</v>
      </c>
      <c r="RLN108" s="1" t="s">
        <v>122</v>
      </c>
      <c r="RLO108" s="1" t="s">
        <v>122</v>
      </c>
      <c r="RLP108" s="1" t="s">
        <v>122</v>
      </c>
      <c r="RLQ108" s="1" t="s">
        <v>122</v>
      </c>
      <c r="RLR108" s="1" t="s">
        <v>122</v>
      </c>
      <c r="RLS108" s="1" t="s">
        <v>122</v>
      </c>
      <c r="RLT108" s="1" t="s">
        <v>122</v>
      </c>
      <c r="RLU108" s="1" t="s">
        <v>122</v>
      </c>
      <c r="RLV108" s="1" t="s">
        <v>122</v>
      </c>
      <c r="RLW108" s="1" t="s">
        <v>122</v>
      </c>
      <c r="RLX108" s="1" t="s">
        <v>122</v>
      </c>
      <c r="RLY108" s="1" t="s">
        <v>122</v>
      </c>
      <c r="RLZ108" s="1" t="s">
        <v>122</v>
      </c>
      <c r="RMA108" s="1" t="s">
        <v>122</v>
      </c>
      <c r="RMB108" s="1" t="s">
        <v>122</v>
      </c>
      <c r="RMC108" s="1" t="s">
        <v>122</v>
      </c>
      <c r="RMD108" s="1" t="s">
        <v>122</v>
      </c>
      <c r="RME108" s="1" t="s">
        <v>122</v>
      </c>
      <c r="RMF108" s="1" t="s">
        <v>122</v>
      </c>
      <c r="RMG108" s="1" t="s">
        <v>122</v>
      </c>
      <c r="RMH108" s="1" t="s">
        <v>122</v>
      </c>
      <c r="RMI108" s="1" t="s">
        <v>122</v>
      </c>
      <c r="RMJ108" s="1" t="s">
        <v>122</v>
      </c>
      <c r="RMK108" s="1" t="s">
        <v>122</v>
      </c>
      <c r="RML108" s="1" t="s">
        <v>122</v>
      </c>
      <c r="RMM108" s="1" t="s">
        <v>122</v>
      </c>
      <c r="RMN108" s="1" t="s">
        <v>122</v>
      </c>
      <c r="RMO108" s="1" t="s">
        <v>122</v>
      </c>
      <c r="RMP108" s="1" t="s">
        <v>122</v>
      </c>
      <c r="RMQ108" s="1" t="s">
        <v>122</v>
      </c>
      <c r="RMR108" s="1" t="s">
        <v>122</v>
      </c>
      <c r="RMS108" s="1" t="s">
        <v>122</v>
      </c>
      <c r="RMT108" s="1" t="s">
        <v>122</v>
      </c>
      <c r="RMU108" s="1" t="s">
        <v>122</v>
      </c>
      <c r="RMV108" s="1" t="s">
        <v>122</v>
      </c>
      <c r="RMW108" s="1" t="s">
        <v>122</v>
      </c>
      <c r="RMX108" s="1" t="s">
        <v>122</v>
      </c>
      <c r="RMY108" s="1" t="s">
        <v>122</v>
      </c>
      <c r="RMZ108" s="1" t="s">
        <v>122</v>
      </c>
      <c r="RNA108" s="1" t="s">
        <v>122</v>
      </c>
      <c r="RNB108" s="1" t="s">
        <v>122</v>
      </c>
      <c r="RNC108" s="1" t="s">
        <v>122</v>
      </c>
      <c r="RND108" s="1" t="s">
        <v>122</v>
      </c>
      <c r="RNE108" s="1" t="s">
        <v>122</v>
      </c>
      <c r="RNF108" s="1" t="s">
        <v>122</v>
      </c>
      <c r="RNG108" s="1" t="s">
        <v>122</v>
      </c>
      <c r="RNH108" s="1" t="s">
        <v>122</v>
      </c>
      <c r="RNI108" s="1" t="s">
        <v>122</v>
      </c>
      <c r="RNJ108" s="1" t="s">
        <v>122</v>
      </c>
      <c r="RNK108" s="1" t="s">
        <v>122</v>
      </c>
      <c r="RNL108" s="1" t="s">
        <v>122</v>
      </c>
      <c r="RNM108" s="1" t="s">
        <v>122</v>
      </c>
      <c r="RNN108" s="1" t="s">
        <v>122</v>
      </c>
      <c r="RNO108" s="1" t="s">
        <v>122</v>
      </c>
      <c r="RNP108" s="1" t="s">
        <v>122</v>
      </c>
      <c r="RNQ108" s="1" t="s">
        <v>122</v>
      </c>
      <c r="RNR108" s="1" t="s">
        <v>122</v>
      </c>
      <c r="RNS108" s="1" t="s">
        <v>122</v>
      </c>
      <c r="RNT108" s="1" t="s">
        <v>122</v>
      </c>
      <c r="RNU108" s="1" t="s">
        <v>122</v>
      </c>
      <c r="RNV108" s="1" t="s">
        <v>122</v>
      </c>
      <c r="RNW108" s="1" t="s">
        <v>122</v>
      </c>
      <c r="RNX108" s="1" t="s">
        <v>122</v>
      </c>
      <c r="RNY108" s="1" t="s">
        <v>122</v>
      </c>
      <c r="RNZ108" s="1" t="s">
        <v>122</v>
      </c>
      <c r="ROA108" s="1" t="s">
        <v>122</v>
      </c>
      <c r="ROB108" s="1" t="s">
        <v>122</v>
      </c>
      <c r="ROC108" s="1" t="s">
        <v>122</v>
      </c>
      <c r="ROD108" s="1" t="s">
        <v>122</v>
      </c>
      <c r="ROE108" s="1" t="s">
        <v>122</v>
      </c>
      <c r="ROF108" s="1" t="s">
        <v>122</v>
      </c>
      <c r="ROG108" s="1" t="s">
        <v>122</v>
      </c>
      <c r="ROH108" s="1" t="s">
        <v>122</v>
      </c>
      <c r="ROI108" s="1" t="s">
        <v>122</v>
      </c>
      <c r="ROJ108" s="1" t="s">
        <v>122</v>
      </c>
      <c r="ROK108" s="1" t="s">
        <v>122</v>
      </c>
      <c r="ROL108" s="1" t="s">
        <v>122</v>
      </c>
      <c r="ROM108" s="1" t="s">
        <v>122</v>
      </c>
      <c r="RON108" s="1" t="s">
        <v>122</v>
      </c>
      <c r="ROO108" s="1" t="s">
        <v>122</v>
      </c>
      <c r="ROP108" s="1" t="s">
        <v>122</v>
      </c>
      <c r="ROQ108" s="1" t="s">
        <v>122</v>
      </c>
      <c r="ROR108" s="1" t="s">
        <v>122</v>
      </c>
      <c r="ROS108" s="1" t="s">
        <v>122</v>
      </c>
      <c r="ROT108" s="1" t="s">
        <v>122</v>
      </c>
      <c r="ROU108" s="1" t="s">
        <v>122</v>
      </c>
      <c r="ROV108" s="1" t="s">
        <v>122</v>
      </c>
      <c r="ROW108" s="1" t="s">
        <v>122</v>
      </c>
      <c r="ROX108" s="1" t="s">
        <v>122</v>
      </c>
      <c r="ROY108" s="1" t="s">
        <v>122</v>
      </c>
      <c r="ROZ108" s="1" t="s">
        <v>122</v>
      </c>
      <c r="RPA108" s="1" t="s">
        <v>122</v>
      </c>
      <c r="RPB108" s="1" t="s">
        <v>122</v>
      </c>
      <c r="RPC108" s="1" t="s">
        <v>122</v>
      </c>
      <c r="RPD108" s="1" t="s">
        <v>122</v>
      </c>
      <c r="RPE108" s="1" t="s">
        <v>122</v>
      </c>
      <c r="RPF108" s="1" t="s">
        <v>122</v>
      </c>
      <c r="RPG108" s="1" t="s">
        <v>122</v>
      </c>
      <c r="RPH108" s="1" t="s">
        <v>122</v>
      </c>
      <c r="RPI108" s="1" t="s">
        <v>122</v>
      </c>
      <c r="RPJ108" s="1" t="s">
        <v>122</v>
      </c>
      <c r="RPK108" s="1" t="s">
        <v>122</v>
      </c>
      <c r="RPL108" s="1" t="s">
        <v>122</v>
      </c>
      <c r="RPM108" s="1" t="s">
        <v>122</v>
      </c>
      <c r="RPN108" s="1" t="s">
        <v>122</v>
      </c>
      <c r="RPO108" s="1" t="s">
        <v>122</v>
      </c>
      <c r="RPP108" s="1" t="s">
        <v>122</v>
      </c>
      <c r="RPQ108" s="1" t="s">
        <v>122</v>
      </c>
      <c r="RPR108" s="1" t="s">
        <v>122</v>
      </c>
      <c r="RPS108" s="1" t="s">
        <v>122</v>
      </c>
      <c r="RPT108" s="1" t="s">
        <v>122</v>
      </c>
      <c r="RPU108" s="1" t="s">
        <v>122</v>
      </c>
      <c r="RPV108" s="1" t="s">
        <v>122</v>
      </c>
      <c r="RPW108" s="1" t="s">
        <v>122</v>
      </c>
      <c r="RPX108" s="1" t="s">
        <v>122</v>
      </c>
      <c r="RPY108" s="1" t="s">
        <v>122</v>
      </c>
      <c r="RPZ108" s="1" t="s">
        <v>122</v>
      </c>
      <c r="RQA108" s="1" t="s">
        <v>122</v>
      </c>
      <c r="RQB108" s="1" t="s">
        <v>122</v>
      </c>
      <c r="RQC108" s="1" t="s">
        <v>122</v>
      </c>
      <c r="RQD108" s="1" t="s">
        <v>122</v>
      </c>
      <c r="RQE108" s="1" t="s">
        <v>122</v>
      </c>
      <c r="RQF108" s="1" t="s">
        <v>122</v>
      </c>
      <c r="RQG108" s="1" t="s">
        <v>122</v>
      </c>
      <c r="RQH108" s="1" t="s">
        <v>122</v>
      </c>
      <c r="RQI108" s="1" t="s">
        <v>122</v>
      </c>
      <c r="RQJ108" s="1" t="s">
        <v>122</v>
      </c>
      <c r="RQK108" s="1" t="s">
        <v>122</v>
      </c>
      <c r="RQL108" s="1" t="s">
        <v>122</v>
      </c>
      <c r="RQM108" s="1" t="s">
        <v>122</v>
      </c>
      <c r="RQN108" s="1" t="s">
        <v>122</v>
      </c>
      <c r="RQO108" s="1" t="s">
        <v>122</v>
      </c>
      <c r="RQP108" s="1" t="s">
        <v>122</v>
      </c>
      <c r="RQQ108" s="1" t="s">
        <v>122</v>
      </c>
      <c r="RQR108" s="1" t="s">
        <v>122</v>
      </c>
      <c r="RQS108" s="1" t="s">
        <v>122</v>
      </c>
      <c r="RQT108" s="1" t="s">
        <v>122</v>
      </c>
      <c r="RQU108" s="1" t="s">
        <v>122</v>
      </c>
      <c r="RQV108" s="1" t="s">
        <v>122</v>
      </c>
      <c r="RQW108" s="1" t="s">
        <v>122</v>
      </c>
      <c r="RQX108" s="1" t="s">
        <v>122</v>
      </c>
      <c r="RQY108" s="1" t="s">
        <v>122</v>
      </c>
      <c r="RQZ108" s="1" t="s">
        <v>122</v>
      </c>
      <c r="RRA108" s="1" t="s">
        <v>122</v>
      </c>
      <c r="RRB108" s="1" t="s">
        <v>122</v>
      </c>
      <c r="RRC108" s="1" t="s">
        <v>122</v>
      </c>
      <c r="RRD108" s="1" t="s">
        <v>122</v>
      </c>
      <c r="RRE108" s="1" t="s">
        <v>122</v>
      </c>
      <c r="RRF108" s="1" t="s">
        <v>122</v>
      </c>
      <c r="RRG108" s="1" t="s">
        <v>122</v>
      </c>
      <c r="RRH108" s="1" t="s">
        <v>122</v>
      </c>
      <c r="RRI108" s="1" t="s">
        <v>122</v>
      </c>
      <c r="RRJ108" s="1" t="s">
        <v>122</v>
      </c>
      <c r="RRK108" s="1" t="s">
        <v>122</v>
      </c>
      <c r="RRL108" s="1" t="s">
        <v>122</v>
      </c>
      <c r="RRM108" s="1" t="s">
        <v>122</v>
      </c>
      <c r="RRN108" s="1" t="s">
        <v>122</v>
      </c>
      <c r="RRO108" s="1" t="s">
        <v>122</v>
      </c>
      <c r="RRP108" s="1" t="s">
        <v>122</v>
      </c>
      <c r="RRQ108" s="1" t="s">
        <v>122</v>
      </c>
      <c r="RRR108" s="1" t="s">
        <v>122</v>
      </c>
      <c r="RRS108" s="1" t="s">
        <v>122</v>
      </c>
      <c r="RRT108" s="1" t="s">
        <v>122</v>
      </c>
      <c r="RRU108" s="1" t="s">
        <v>122</v>
      </c>
      <c r="RRV108" s="1" t="s">
        <v>122</v>
      </c>
      <c r="RRW108" s="1" t="s">
        <v>122</v>
      </c>
      <c r="RRX108" s="1" t="s">
        <v>122</v>
      </c>
      <c r="RRY108" s="1" t="s">
        <v>122</v>
      </c>
      <c r="RRZ108" s="1" t="s">
        <v>122</v>
      </c>
      <c r="RSA108" s="1" t="s">
        <v>122</v>
      </c>
      <c r="RSB108" s="1" t="s">
        <v>122</v>
      </c>
      <c r="RSC108" s="1" t="s">
        <v>122</v>
      </c>
      <c r="RSD108" s="1" t="s">
        <v>122</v>
      </c>
      <c r="RSE108" s="1" t="s">
        <v>122</v>
      </c>
      <c r="RSF108" s="1" t="s">
        <v>122</v>
      </c>
      <c r="RSG108" s="1" t="s">
        <v>122</v>
      </c>
      <c r="RSH108" s="1" t="s">
        <v>122</v>
      </c>
      <c r="RSI108" s="1" t="s">
        <v>122</v>
      </c>
      <c r="RSJ108" s="1" t="s">
        <v>122</v>
      </c>
      <c r="RSK108" s="1" t="s">
        <v>122</v>
      </c>
      <c r="RSL108" s="1" t="s">
        <v>122</v>
      </c>
      <c r="RSM108" s="1" t="s">
        <v>122</v>
      </c>
      <c r="RSN108" s="1" t="s">
        <v>122</v>
      </c>
      <c r="RSO108" s="1" t="s">
        <v>122</v>
      </c>
      <c r="RSP108" s="1" t="s">
        <v>122</v>
      </c>
      <c r="RSQ108" s="1" t="s">
        <v>122</v>
      </c>
      <c r="RSR108" s="1" t="s">
        <v>122</v>
      </c>
      <c r="RSS108" s="1" t="s">
        <v>122</v>
      </c>
      <c r="RST108" s="1" t="s">
        <v>122</v>
      </c>
      <c r="RSU108" s="1" t="s">
        <v>122</v>
      </c>
      <c r="RSV108" s="1" t="s">
        <v>122</v>
      </c>
      <c r="RSW108" s="1" t="s">
        <v>122</v>
      </c>
      <c r="RSX108" s="1" t="s">
        <v>122</v>
      </c>
      <c r="RSY108" s="1" t="s">
        <v>122</v>
      </c>
      <c r="RSZ108" s="1" t="s">
        <v>122</v>
      </c>
      <c r="RTA108" s="1" t="s">
        <v>122</v>
      </c>
      <c r="RTB108" s="1" t="s">
        <v>122</v>
      </c>
      <c r="RTC108" s="1" t="s">
        <v>122</v>
      </c>
      <c r="RTD108" s="1" t="s">
        <v>122</v>
      </c>
      <c r="RTE108" s="1" t="s">
        <v>122</v>
      </c>
      <c r="RTF108" s="1" t="s">
        <v>122</v>
      </c>
      <c r="RTG108" s="1" t="s">
        <v>122</v>
      </c>
      <c r="RTH108" s="1" t="s">
        <v>122</v>
      </c>
      <c r="RTI108" s="1" t="s">
        <v>122</v>
      </c>
      <c r="RTJ108" s="1" t="s">
        <v>122</v>
      </c>
      <c r="RTK108" s="1" t="s">
        <v>122</v>
      </c>
      <c r="RTL108" s="1" t="s">
        <v>122</v>
      </c>
      <c r="RTM108" s="1" t="s">
        <v>122</v>
      </c>
      <c r="RTN108" s="1" t="s">
        <v>122</v>
      </c>
      <c r="RTO108" s="1" t="s">
        <v>122</v>
      </c>
      <c r="RTP108" s="1" t="s">
        <v>122</v>
      </c>
      <c r="RTQ108" s="1" t="s">
        <v>122</v>
      </c>
      <c r="RTR108" s="1" t="s">
        <v>122</v>
      </c>
      <c r="RTS108" s="1" t="s">
        <v>122</v>
      </c>
      <c r="RTT108" s="1" t="s">
        <v>122</v>
      </c>
      <c r="RTU108" s="1" t="s">
        <v>122</v>
      </c>
      <c r="RTV108" s="1" t="s">
        <v>122</v>
      </c>
      <c r="RTW108" s="1" t="s">
        <v>122</v>
      </c>
      <c r="RTX108" s="1" t="s">
        <v>122</v>
      </c>
      <c r="RTY108" s="1" t="s">
        <v>122</v>
      </c>
      <c r="RTZ108" s="1" t="s">
        <v>122</v>
      </c>
      <c r="RUA108" s="1" t="s">
        <v>122</v>
      </c>
      <c r="RUB108" s="1" t="s">
        <v>122</v>
      </c>
      <c r="RUC108" s="1" t="s">
        <v>122</v>
      </c>
      <c r="RUD108" s="1" t="s">
        <v>122</v>
      </c>
      <c r="RUE108" s="1" t="s">
        <v>122</v>
      </c>
      <c r="RUF108" s="1" t="s">
        <v>122</v>
      </c>
      <c r="RUG108" s="1" t="s">
        <v>122</v>
      </c>
      <c r="RUH108" s="1" t="s">
        <v>122</v>
      </c>
      <c r="RUI108" s="1" t="s">
        <v>122</v>
      </c>
      <c r="RUJ108" s="1" t="s">
        <v>122</v>
      </c>
      <c r="RUK108" s="1" t="s">
        <v>122</v>
      </c>
      <c r="RUL108" s="1" t="s">
        <v>122</v>
      </c>
      <c r="RUM108" s="1" t="s">
        <v>122</v>
      </c>
      <c r="RUN108" s="1" t="s">
        <v>122</v>
      </c>
      <c r="RUO108" s="1" t="s">
        <v>122</v>
      </c>
      <c r="RUP108" s="1" t="s">
        <v>122</v>
      </c>
      <c r="RUQ108" s="1" t="s">
        <v>122</v>
      </c>
      <c r="RUR108" s="1" t="s">
        <v>122</v>
      </c>
      <c r="RUS108" s="1" t="s">
        <v>122</v>
      </c>
      <c r="RUT108" s="1" t="s">
        <v>122</v>
      </c>
      <c r="RUU108" s="1" t="s">
        <v>122</v>
      </c>
      <c r="RUV108" s="1" t="s">
        <v>122</v>
      </c>
      <c r="RUW108" s="1" t="s">
        <v>122</v>
      </c>
      <c r="RUX108" s="1" t="s">
        <v>122</v>
      </c>
      <c r="RUY108" s="1" t="s">
        <v>122</v>
      </c>
      <c r="RUZ108" s="1" t="s">
        <v>122</v>
      </c>
      <c r="RVA108" s="1" t="s">
        <v>122</v>
      </c>
      <c r="RVB108" s="1" t="s">
        <v>122</v>
      </c>
      <c r="RVC108" s="1" t="s">
        <v>122</v>
      </c>
      <c r="RVD108" s="1" t="s">
        <v>122</v>
      </c>
      <c r="RVE108" s="1" t="s">
        <v>122</v>
      </c>
      <c r="RVF108" s="1" t="s">
        <v>122</v>
      </c>
      <c r="RVG108" s="1" t="s">
        <v>122</v>
      </c>
      <c r="RVH108" s="1" t="s">
        <v>122</v>
      </c>
      <c r="RVI108" s="1" t="s">
        <v>122</v>
      </c>
      <c r="RVJ108" s="1" t="s">
        <v>122</v>
      </c>
      <c r="RVK108" s="1" t="s">
        <v>122</v>
      </c>
      <c r="RVL108" s="1" t="s">
        <v>122</v>
      </c>
      <c r="RVM108" s="1" t="s">
        <v>122</v>
      </c>
      <c r="RVN108" s="1" t="s">
        <v>122</v>
      </c>
      <c r="RVO108" s="1" t="s">
        <v>122</v>
      </c>
      <c r="RVP108" s="1" t="s">
        <v>122</v>
      </c>
      <c r="RVQ108" s="1" t="s">
        <v>122</v>
      </c>
      <c r="RVR108" s="1" t="s">
        <v>122</v>
      </c>
      <c r="RVS108" s="1" t="s">
        <v>122</v>
      </c>
      <c r="RVT108" s="1" t="s">
        <v>122</v>
      </c>
      <c r="RVU108" s="1" t="s">
        <v>122</v>
      </c>
      <c r="RVV108" s="1" t="s">
        <v>122</v>
      </c>
      <c r="RVW108" s="1" t="s">
        <v>122</v>
      </c>
      <c r="RVX108" s="1" t="s">
        <v>122</v>
      </c>
      <c r="RVY108" s="1" t="s">
        <v>122</v>
      </c>
      <c r="RVZ108" s="1" t="s">
        <v>122</v>
      </c>
      <c r="RWA108" s="1" t="s">
        <v>122</v>
      </c>
      <c r="RWB108" s="1" t="s">
        <v>122</v>
      </c>
      <c r="RWC108" s="1" t="s">
        <v>122</v>
      </c>
      <c r="RWD108" s="1" t="s">
        <v>122</v>
      </c>
      <c r="RWE108" s="1" t="s">
        <v>122</v>
      </c>
      <c r="RWF108" s="1" t="s">
        <v>122</v>
      </c>
      <c r="RWG108" s="1" t="s">
        <v>122</v>
      </c>
      <c r="RWH108" s="1" t="s">
        <v>122</v>
      </c>
      <c r="RWI108" s="1" t="s">
        <v>122</v>
      </c>
      <c r="RWJ108" s="1" t="s">
        <v>122</v>
      </c>
      <c r="RWK108" s="1" t="s">
        <v>122</v>
      </c>
      <c r="RWL108" s="1" t="s">
        <v>122</v>
      </c>
      <c r="RWM108" s="1" t="s">
        <v>122</v>
      </c>
      <c r="RWN108" s="1" t="s">
        <v>122</v>
      </c>
      <c r="RWO108" s="1" t="s">
        <v>122</v>
      </c>
      <c r="RWP108" s="1" t="s">
        <v>122</v>
      </c>
      <c r="RWQ108" s="1" t="s">
        <v>122</v>
      </c>
      <c r="RWR108" s="1" t="s">
        <v>122</v>
      </c>
      <c r="RWS108" s="1" t="s">
        <v>122</v>
      </c>
      <c r="RWT108" s="1" t="s">
        <v>122</v>
      </c>
      <c r="RWU108" s="1" t="s">
        <v>122</v>
      </c>
      <c r="RWV108" s="1" t="s">
        <v>122</v>
      </c>
      <c r="RWW108" s="1" t="s">
        <v>122</v>
      </c>
      <c r="RWX108" s="1" t="s">
        <v>122</v>
      </c>
      <c r="RWY108" s="1" t="s">
        <v>122</v>
      </c>
      <c r="RWZ108" s="1" t="s">
        <v>122</v>
      </c>
      <c r="RXA108" s="1" t="s">
        <v>122</v>
      </c>
      <c r="RXB108" s="1" t="s">
        <v>122</v>
      </c>
      <c r="RXC108" s="1" t="s">
        <v>122</v>
      </c>
      <c r="RXD108" s="1" t="s">
        <v>122</v>
      </c>
      <c r="RXE108" s="1" t="s">
        <v>122</v>
      </c>
      <c r="RXF108" s="1" t="s">
        <v>122</v>
      </c>
      <c r="RXG108" s="1" t="s">
        <v>122</v>
      </c>
      <c r="RXH108" s="1" t="s">
        <v>122</v>
      </c>
      <c r="RXI108" s="1" t="s">
        <v>122</v>
      </c>
      <c r="RXJ108" s="1" t="s">
        <v>122</v>
      </c>
      <c r="RXK108" s="1" t="s">
        <v>122</v>
      </c>
      <c r="RXL108" s="1" t="s">
        <v>122</v>
      </c>
      <c r="RXM108" s="1" t="s">
        <v>122</v>
      </c>
      <c r="RXN108" s="1" t="s">
        <v>122</v>
      </c>
      <c r="RXO108" s="1" t="s">
        <v>122</v>
      </c>
      <c r="RXP108" s="1" t="s">
        <v>122</v>
      </c>
      <c r="RXQ108" s="1" t="s">
        <v>122</v>
      </c>
      <c r="RXR108" s="1" t="s">
        <v>122</v>
      </c>
      <c r="RXS108" s="1" t="s">
        <v>122</v>
      </c>
      <c r="RXT108" s="1" t="s">
        <v>122</v>
      </c>
      <c r="RXU108" s="1" t="s">
        <v>122</v>
      </c>
      <c r="RXV108" s="1" t="s">
        <v>122</v>
      </c>
      <c r="RXW108" s="1" t="s">
        <v>122</v>
      </c>
      <c r="RXX108" s="1" t="s">
        <v>122</v>
      </c>
      <c r="RXY108" s="1" t="s">
        <v>122</v>
      </c>
      <c r="RXZ108" s="1" t="s">
        <v>122</v>
      </c>
      <c r="RYA108" s="1" t="s">
        <v>122</v>
      </c>
      <c r="RYB108" s="1" t="s">
        <v>122</v>
      </c>
      <c r="RYC108" s="1" t="s">
        <v>122</v>
      </c>
      <c r="RYD108" s="1" t="s">
        <v>122</v>
      </c>
      <c r="RYE108" s="1" t="s">
        <v>122</v>
      </c>
      <c r="RYF108" s="1" t="s">
        <v>122</v>
      </c>
      <c r="RYG108" s="1" t="s">
        <v>122</v>
      </c>
      <c r="RYH108" s="1" t="s">
        <v>122</v>
      </c>
      <c r="RYI108" s="1" t="s">
        <v>122</v>
      </c>
      <c r="RYJ108" s="1" t="s">
        <v>122</v>
      </c>
      <c r="RYK108" s="1" t="s">
        <v>122</v>
      </c>
      <c r="RYL108" s="1" t="s">
        <v>122</v>
      </c>
      <c r="RYM108" s="1" t="s">
        <v>122</v>
      </c>
      <c r="RYN108" s="1" t="s">
        <v>122</v>
      </c>
      <c r="RYO108" s="1" t="s">
        <v>122</v>
      </c>
      <c r="RYP108" s="1" t="s">
        <v>122</v>
      </c>
      <c r="RYQ108" s="1" t="s">
        <v>122</v>
      </c>
      <c r="RYR108" s="1" t="s">
        <v>122</v>
      </c>
      <c r="RYS108" s="1" t="s">
        <v>122</v>
      </c>
      <c r="RYT108" s="1" t="s">
        <v>122</v>
      </c>
      <c r="RYU108" s="1" t="s">
        <v>122</v>
      </c>
      <c r="RYV108" s="1" t="s">
        <v>122</v>
      </c>
      <c r="RYW108" s="1" t="s">
        <v>122</v>
      </c>
      <c r="RYX108" s="1" t="s">
        <v>122</v>
      </c>
      <c r="RYY108" s="1" t="s">
        <v>122</v>
      </c>
      <c r="RYZ108" s="1" t="s">
        <v>122</v>
      </c>
      <c r="RZA108" s="1" t="s">
        <v>122</v>
      </c>
      <c r="RZB108" s="1" t="s">
        <v>122</v>
      </c>
      <c r="RZC108" s="1" t="s">
        <v>122</v>
      </c>
      <c r="RZD108" s="1" t="s">
        <v>122</v>
      </c>
      <c r="RZE108" s="1" t="s">
        <v>122</v>
      </c>
      <c r="RZF108" s="1" t="s">
        <v>122</v>
      </c>
      <c r="RZG108" s="1" t="s">
        <v>122</v>
      </c>
      <c r="RZH108" s="1" t="s">
        <v>122</v>
      </c>
      <c r="RZI108" s="1" t="s">
        <v>122</v>
      </c>
      <c r="RZJ108" s="1" t="s">
        <v>122</v>
      </c>
      <c r="RZK108" s="1" t="s">
        <v>122</v>
      </c>
      <c r="RZL108" s="1" t="s">
        <v>122</v>
      </c>
      <c r="RZM108" s="1" t="s">
        <v>122</v>
      </c>
      <c r="RZN108" s="1" t="s">
        <v>122</v>
      </c>
      <c r="RZO108" s="1" t="s">
        <v>122</v>
      </c>
      <c r="RZP108" s="1" t="s">
        <v>122</v>
      </c>
      <c r="RZQ108" s="1" t="s">
        <v>122</v>
      </c>
      <c r="RZR108" s="1" t="s">
        <v>122</v>
      </c>
      <c r="RZS108" s="1" t="s">
        <v>122</v>
      </c>
      <c r="RZT108" s="1" t="s">
        <v>122</v>
      </c>
      <c r="RZU108" s="1" t="s">
        <v>122</v>
      </c>
      <c r="RZV108" s="1" t="s">
        <v>122</v>
      </c>
      <c r="RZW108" s="1" t="s">
        <v>122</v>
      </c>
      <c r="RZX108" s="1" t="s">
        <v>122</v>
      </c>
      <c r="RZY108" s="1" t="s">
        <v>122</v>
      </c>
      <c r="RZZ108" s="1" t="s">
        <v>122</v>
      </c>
      <c r="SAA108" s="1" t="s">
        <v>122</v>
      </c>
      <c r="SAB108" s="1" t="s">
        <v>122</v>
      </c>
      <c r="SAC108" s="1" t="s">
        <v>122</v>
      </c>
      <c r="SAD108" s="1" t="s">
        <v>122</v>
      </c>
      <c r="SAE108" s="1" t="s">
        <v>122</v>
      </c>
      <c r="SAF108" s="1" t="s">
        <v>122</v>
      </c>
      <c r="SAG108" s="1" t="s">
        <v>122</v>
      </c>
      <c r="SAH108" s="1" t="s">
        <v>122</v>
      </c>
      <c r="SAI108" s="1" t="s">
        <v>122</v>
      </c>
      <c r="SAJ108" s="1" t="s">
        <v>122</v>
      </c>
      <c r="SAK108" s="1" t="s">
        <v>122</v>
      </c>
      <c r="SAL108" s="1" t="s">
        <v>122</v>
      </c>
      <c r="SAM108" s="1" t="s">
        <v>122</v>
      </c>
      <c r="SAN108" s="1" t="s">
        <v>122</v>
      </c>
      <c r="SAO108" s="1" t="s">
        <v>122</v>
      </c>
      <c r="SAP108" s="1" t="s">
        <v>122</v>
      </c>
      <c r="SAQ108" s="1" t="s">
        <v>122</v>
      </c>
      <c r="SAR108" s="1" t="s">
        <v>122</v>
      </c>
      <c r="SAS108" s="1" t="s">
        <v>122</v>
      </c>
      <c r="SAT108" s="1" t="s">
        <v>122</v>
      </c>
      <c r="SAU108" s="1" t="s">
        <v>122</v>
      </c>
      <c r="SAV108" s="1" t="s">
        <v>122</v>
      </c>
      <c r="SAW108" s="1" t="s">
        <v>122</v>
      </c>
      <c r="SAX108" s="1" t="s">
        <v>122</v>
      </c>
      <c r="SAY108" s="1" t="s">
        <v>122</v>
      </c>
      <c r="SAZ108" s="1" t="s">
        <v>122</v>
      </c>
      <c r="SBA108" s="1" t="s">
        <v>122</v>
      </c>
      <c r="SBB108" s="1" t="s">
        <v>122</v>
      </c>
      <c r="SBC108" s="1" t="s">
        <v>122</v>
      </c>
      <c r="SBD108" s="1" t="s">
        <v>122</v>
      </c>
      <c r="SBE108" s="1" t="s">
        <v>122</v>
      </c>
      <c r="SBF108" s="1" t="s">
        <v>122</v>
      </c>
      <c r="SBG108" s="1" t="s">
        <v>122</v>
      </c>
      <c r="SBH108" s="1" t="s">
        <v>122</v>
      </c>
      <c r="SBI108" s="1" t="s">
        <v>122</v>
      </c>
      <c r="SBJ108" s="1" t="s">
        <v>122</v>
      </c>
      <c r="SBK108" s="1" t="s">
        <v>122</v>
      </c>
      <c r="SBL108" s="1" t="s">
        <v>122</v>
      </c>
      <c r="SBM108" s="1" t="s">
        <v>122</v>
      </c>
      <c r="SBN108" s="1" t="s">
        <v>122</v>
      </c>
      <c r="SBO108" s="1" t="s">
        <v>122</v>
      </c>
      <c r="SBP108" s="1" t="s">
        <v>122</v>
      </c>
      <c r="SBQ108" s="1" t="s">
        <v>122</v>
      </c>
      <c r="SBR108" s="1" t="s">
        <v>122</v>
      </c>
      <c r="SBS108" s="1" t="s">
        <v>122</v>
      </c>
      <c r="SBT108" s="1" t="s">
        <v>122</v>
      </c>
      <c r="SBU108" s="1" t="s">
        <v>122</v>
      </c>
      <c r="SBV108" s="1" t="s">
        <v>122</v>
      </c>
      <c r="SBW108" s="1" t="s">
        <v>122</v>
      </c>
      <c r="SBX108" s="1" t="s">
        <v>122</v>
      </c>
      <c r="SBY108" s="1" t="s">
        <v>122</v>
      </c>
      <c r="SBZ108" s="1" t="s">
        <v>122</v>
      </c>
      <c r="SCA108" s="1" t="s">
        <v>122</v>
      </c>
      <c r="SCB108" s="1" t="s">
        <v>122</v>
      </c>
      <c r="SCC108" s="1" t="s">
        <v>122</v>
      </c>
      <c r="SCD108" s="1" t="s">
        <v>122</v>
      </c>
      <c r="SCE108" s="1" t="s">
        <v>122</v>
      </c>
      <c r="SCF108" s="1" t="s">
        <v>122</v>
      </c>
      <c r="SCG108" s="1" t="s">
        <v>122</v>
      </c>
      <c r="SCH108" s="1" t="s">
        <v>122</v>
      </c>
      <c r="SCI108" s="1" t="s">
        <v>122</v>
      </c>
      <c r="SCJ108" s="1" t="s">
        <v>122</v>
      </c>
      <c r="SCK108" s="1" t="s">
        <v>122</v>
      </c>
      <c r="SCL108" s="1" t="s">
        <v>122</v>
      </c>
      <c r="SCM108" s="1" t="s">
        <v>122</v>
      </c>
      <c r="SCN108" s="1" t="s">
        <v>122</v>
      </c>
      <c r="SCO108" s="1" t="s">
        <v>122</v>
      </c>
      <c r="SCP108" s="1" t="s">
        <v>122</v>
      </c>
      <c r="SCQ108" s="1" t="s">
        <v>122</v>
      </c>
      <c r="SCR108" s="1" t="s">
        <v>122</v>
      </c>
      <c r="SCS108" s="1" t="s">
        <v>122</v>
      </c>
      <c r="SCT108" s="1" t="s">
        <v>122</v>
      </c>
      <c r="SCU108" s="1" t="s">
        <v>122</v>
      </c>
      <c r="SCV108" s="1" t="s">
        <v>122</v>
      </c>
      <c r="SCW108" s="1" t="s">
        <v>122</v>
      </c>
      <c r="SCX108" s="1" t="s">
        <v>122</v>
      </c>
      <c r="SCY108" s="1" t="s">
        <v>122</v>
      </c>
      <c r="SCZ108" s="1" t="s">
        <v>122</v>
      </c>
      <c r="SDA108" s="1" t="s">
        <v>122</v>
      </c>
      <c r="SDB108" s="1" t="s">
        <v>122</v>
      </c>
      <c r="SDC108" s="1" t="s">
        <v>122</v>
      </c>
      <c r="SDD108" s="1" t="s">
        <v>122</v>
      </c>
      <c r="SDE108" s="1" t="s">
        <v>122</v>
      </c>
      <c r="SDF108" s="1" t="s">
        <v>122</v>
      </c>
      <c r="SDG108" s="1" t="s">
        <v>122</v>
      </c>
      <c r="SDH108" s="1" t="s">
        <v>122</v>
      </c>
      <c r="SDI108" s="1" t="s">
        <v>122</v>
      </c>
      <c r="SDJ108" s="1" t="s">
        <v>122</v>
      </c>
      <c r="SDK108" s="1" t="s">
        <v>122</v>
      </c>
      <c r="SDL108" s="1" t="s">
        <v>122</v>
      </c>
      <c r="SDM108" s="1" t="s">
        <v>122</v>
      </c>
      <c r="SDN108" s="1" t="s">
        <v>122</v>
      </c>
      <c r="SDO108" s="1" t="s">
        <v>122</v>
      </c>
      <c r="SDP108" s="1" t="s">
        <v>122</v>
      </c>
      <c r="SDQ108" s="1" t="s">
        <v>122</v>
      </c>
      <c r="SDR108" s="1" t="s">
        <v>122</v>
      </c>
      <c r="SDS108" s="1" t="s">
        <v>122</v>
      </c>
      <c r="SDT108" s="1" t="s">
        <v>122</v>
      </c>
      <c r="SDU108" s="1" t="s">
        <v>122</v>
      </c>
      <c r="SDV108" s="1" t="s">
        <v>122</v>
      </c>
      <c r="SDW108" s="1" t="s">
        <v>122</v>
      </c>
      <c r="SDX108" s="1" t="s">
        <v>122</v>
      </c>
      <c r="SDY108" s="1" t="s">
        <v>122</v>
      </c>
      <c r="SDZ108" s="1" t="s">
        <v>122</v>
      </c>
      <c r="SEA108" s="1" t="s">
        <v>122</v>
      </c>
      <c r="SEB108" s="1" t="s">
        <v>122</v>
      </c>
      <c r="SEC108" s="1" t="s">
        <v>122</v>
      </c>
      <c r="SED108" s="1" t="s">
        <v>122</v>
      </c>
      <c r="SEE108" s="1" t="s">
        <v>122</v>
      </c>
      <c r="SEF108" s="1" t="s">
        <v>122</v>
      </c>
      <c r="SEG108" s="1" t="s">
        <v>122</v>
      </c>
      <c r="SEH108" s="1" t="s">
        <v>122</v>
      </c>
      <c r="SEI108" s="1" t="s">
        <v>122</v>
      </c>
      <c r="SEJ108" s="1" t="s">
        <v>122</v>
      </c>
      <c r="SEK108" s="1" t="s">
        <v>122</v>
      </c>
      <c r="SEL108" s="1" t="s">
        <v>122</v>
      </c>
      <c r="SEM108" s="1" t="s">
        <v>122</v>
      </c>
      <c r="SEN108" s="1" t="s">
        <v>122</v>
      </c>
      <c r="SEO108" s="1" t="s">
        <v>122</v>
      </c>
      <c r="SEP108" s="1" t="s">
        <v>122</v>
      </c>
      <c r="SEQ108" s="1" t="s">
        <v>122</v>
      </c>
      <c r="SER108" s="1" t="s">
        <v>122</v>
      </c>
      <c r="SES108" s="1" t="s">
        <v>122</v>
      </c>
      <c r="SET108" s="1" t="s">
        <v>122</v>
      </c>
      <c r="SEU108" s="1" t="s">
        <v>122</v>
      </c>
      <c r="SEV108" s="1" t="s">
        <v>122</v>
      </c>
      <c r="SEW108" s="1" t="s">
        <v>122</v>
      </c>
      <c r="SEX108" s="1" t="s">
        <v>122</v>
      </c>
      <c r="SEY108" s="1" t="s">
        <v>122</v>
      </c>
      <c r="SEZ108" s="1" t="s">
        <v>122</v>
      </c>
      <c r="SFA108" s="1" t="s">
        <v>122</v>
      </c>
      <c r="SFB108" s="1" t="s">
        <v>122</v>
      </c>
      <c r="SFC108" s="1" t="s">
        <v>122</v>
      </c>
      <c r="SFD108" s="1" t="s">
        <v>122</v>
      </c>
      <c r="SFE108" s="1" t="s">
        <v>122</v>
      </c>
      <c r="SFF108" s="1" t="s">
        <v>122</v>
      </c>
      <c r="SFG108" s="1" t="s">
        <v>122</v>
      </c>
      <c r="SFH108" s="1" t="s">
        <v>122</v>
      </c>
      <c r="SFI108" s="1" t="s">
        <v>122</v>
      </c>
      <c r="SFJ108" s="1" t="s">
        <v>122</v>
      </c>
      <c r="SFK108" s="1" t="s">
        <v>122</v>
      </c>
      <c r="SFL108" s="1" t="s">
        <v>122</v>
      </c>
      <c r="SFM108" s="1" t="s">
        <v>122</v>
      </c>
      <c r="SFN108" s="1" t="s">
        <v>122</v>
      </c>
      <c r="SFO108" s="1" t="s">
        <v>122</v>
      </c>
      <c r="SFP108" s="1" t="s">
        <v>122</v>
      </c>
      <c r="SFQ108" s="1" t="s">
        <v>122</v>
      </c>
      <c r="SFR108" s="1" t="s">
        <v>122</v>
      </c>
      <c r="SFS108" s="1" t="s">
        <v>122</v>
      </c>
      <c r="SFT108" s="1" t="s">
        <v>122</v>
      </c>
      <c r="SFU108" s="1" t="s">
        <v>122</v>
      </c>
      <c r="SFV108" s="1" t="s">
        <v>122</v>
      </c>
      <c r="SFW108" s="1" t="s">
        <v>122</v>
      </c>
      <c r="SFX108" s="1" t="s">
        <v>122</v>
      </c>
      <c r="SFY108" s="1" t="s">
        <v>122</v>
      </c>
      <c r="SFZ108" s="1" t="s">
        <v>122</v>
      </c>
      <c r="SGA108" s="1" t="s">
        <v>122</v>
      </c>
      <c r="SGB108" s="1" t="s">
        <v>122</v>
      </c>
      <c r="SGC108" s="1" t="s">
        <v>122</v>
      </c>
      <c r="SGD108" s="1" t="s">
        <v>122</v>
      </c>
      <c r="SGE108" s="1" t="s">
        <v>122</v>
      </c>
      <c r="SGF108" s="1" t="s">
        <v>122</v>
      </c>
      <c r="SGG108" s="1" t="s">
        <v>122</v>
      </c>
      <c r="SGH108" s="1" t="s">
        <v>122</v>
      </c>
      <c r="SGI108" s="1" t="s">
        <v>122</v>
      </c>
      <c r="SGJ108" s="1" t="s">
        <v>122</v>
      </c>
      <c r="SGK108" s="1" t="s">
        <v>122</v>
      </c>
      <c r="SGL108" s="1" t="s">
        <v>122</v>
      </c>
      <c r="SGM108" s="1" t="s">
        <v>122</v>
      </c>
      <c r="SGN108" s="1" t="s">
        <v>122</v>
      </c>
      <c r="SGO108" s="1" t="s">
        <v>122</v>
      </c>
      <c r="SGP108" s="1" t="s">
        <v>122</v>
      </c>
      <c r="SGQ108" s="1" t="s">
        <v>122</v>
      </c>
      <c r="SGR108" s="1" t="s">
        <v>122</v>
      </c>
      <c r="SGS108" s="1" t="s">
        <v>122</v>
      </c>
      <c r="SGT108" s="1" t="s">
        <v>122</v>
      </c>
      <c r="SGU108" s="1" t="s">
        <v>122</v>
      </c>
      <c r="SGV108" s="1" t="s">
        <v>122</v>
      </c>
      <c r="SGW108" s="1" t="s">
        <v>122</v>
      </c>
      <c r="SGX108" s="1" t="s">
        <v>122</v>
      </c>
      <c r="SGY108" s="1" t="s">
        <v>122</v>
      </c>
      <c r="SGZ108" s="1" t="s">
        <v>122</v>
      </c>
      <c r="SHA108" s="1" t="s">
        <v>122</v>
      </c>
      <c r="SHB108" s="1" t="s">
        <v>122</v>
      </c>
      <c r="SHC108" s="1" t="s">
        <v>122</v>
      </c>
      <c r="SHD108" s="1" t="s">
        <v>122</v>
      </c>
      <c r="SHE108" s="1" t="s">
        <v>122</v>
      </c>
      <c r="SHF108" s="1" t="s">
        <v>122</v>
      </c>
      <c r="SHG108" s="1" t="s">
        <v>122</v>
      </c>
      <c r="SHH108" s="1" t="s">
        <v>122</v>
      </c>
      <c r="SHI108" s="1" t="s">
        <v>122</v>
      </c>
      <c r="SHJ108" s="1" t="s">
        <v>122</v>
      </c>
      <c r="SHK108" s="1" t="s">
        <v>122</v>
      </c>
      <c r="SHL108" s="1" t="s">
        <v>122</v>
      </c>
      <c r="SHM108" s="1" t="s">
        <v>122</v>
      </c>
      <c r="SHN108" s="1" t="s">
        <v>122</v>
      </c>
      <c r="SHO108" s="1" t="s">
        <v>122</v>
      </c>
      <c r="SHP108" s="1" t="s">
        <v>122</v>
      </c>
      <c r="SHQ108" s="1" t="s">
        <v>122</v>
      </c>
      <c r="SHR108" s="1" t="s">
        <v>122</v>
      </c>
      <c r="SHS108" s="1" t="s">
        <v>122</v>
      </c>
      <c r="SHT108" s="1" t="s">
        <v>122</v>
      </c>
      <c r="SHU108" s="1" t="s">
        <v>122</v>
      </c>
      <c r="SHV108" s="1" t="s">
        <v>122</v>
      </c>
      <c r="SHW108" s="1" t="s">
        <v>122</v>
      </c>
      <c r="SHX108" s="1" t="s">
        <v>122</v>
      </c>
      <c r="SHY108" s="1" t="s">
        <v>122</v>
      </c>
      <c r="SHZ108" s="1" t="s">
        <v>122</v>
      </c>
      <c r="SIA108" s="1" t="s">
        <v>122</v>
      </c>
      <c r="SIB108" s="1" t="s">
        <v>122</v>
      </c>
      <c r="SIC108" s="1" t="s">
        <v>122</v>
      </c>
      <c r="SID108" s="1" t="s">
        <v>122</v>
      </c>
      <c r="SIE108" s="1" t="s">
        <v>122</v>
      </c>
      <c r="SIF108" s="1" t="s">
        <v>122</v>
      </c>
      <c r="SIG108" s="1" t="s">
        <v>122</v>
      </c>
      <c r="SIH108" s="1" t="s">
        <v>122</v>
      </c>
      <c r="SII108" s="1" t="s">
        <v>122</v>
      </c>
      <c r="SIJ108" s="1" t="s">
        <v>122</v>
      </c>
      <c r="SIK108" s="1" t="s">
        <v>122</v>
      </c>
      <c r="SIL108" s="1" t="s">
        <v>122</v>
      </c>
      <c r="SIM108" s="1" t="s">
        <v>122</v>
      </c>
      <c r="SIN108" s="1" t="s">
        <v>122</v>
      </c>
      <c r="SIO108" s="1" t="s">
        <v>122</v>
      </c>
      <c r="SIP108" s="1" t="s">
        <v>122</v>
      </c>
      <c r="SIQ108" s="1" t="s">
        <v>122</v>
      </c>
      <c r="SIR108" s="1" t="s">
        <v>122</v>
      </c>
      <c r="SIS108" s="1" t="s">
        <v>122</v>
      </c>
      <c r="SIT108" s="1" t="s">
        <v>122</v>
      </c>
      <c r="SIU108" s="1" t="s">
        <v>122</v>
      </c>
      <c r="SIV108" s="1" t="s">
        <v>122</v>
      </c>
      <c r="SIW108" s="1" t="s">
        <v>122</v>
      </c>
      <c r="SIX108" s="1" t="s">
        <v>122</v>
      </c>
      <c r="SIY108" s="1" t="s">
        <v>122</v>
      </c>
      <c r="SIZ108" s="1" t="s">
        <v>122</v>
      </c>
      <c r="SJA108" s="1" t="s">
        <v>122</v>
      </c>
      <c r="SJB108" s="1" t="s">
        <v>122</v>
      </c>
      <c r="SJC108" s="1" t="s">
        <v>122</v>
      </c>
      <c r="SJD108" s="1" t="s">
        <v>122</v>
      </c>
      <c r="SJE108" s="1" t="s">
        <v>122</v>
      </c>
      <c r="SJF108" s="1" t="s">
        <v>122</v>
      </c>
      <c r="SJG108" s="1" t="s">
        <v>122</v>
      </c>
      <c r="SJH108" s="1" t="s">
        <v>122</v>
      </c>
      <c r="SJI108" s="1" t="s">
        <v>122</v>
      </c>
      <c r="SJJ108" s="1" t="s">
        <v>122</v>
      </c>
      <c r="SJK108" s="1" t="s">
        <v>122</v>
      </c>
      <c r="SJL108" s="1" t="s">
        <v>122</v>
      </c>
      <c r="SJM108" s="1" t="s">
        <v>122</v>
      </c>
      <c r="SJN108" s="1" t="s">
        <v>122</v>
      </c>
      <c r="SJO108" s="1" t="s">
        <v>122</v>
      </c>
      <c r="SJP108" s="1" t="s">
        <v>122</v>
      </c>
      <c r="SJQ108" s="1" t="s">
        <v>122</v>
      </c>
      <c r="SJR108" s="1" t="s">
        <v>122</v>
      </c>
      <c r="SJS108" s="1" t="s">
        <v>122</v>
      </c>
      <c r="SJT108" s="1" t="s">
        <v>122</v>
      </c>
      <c r="SJU108" s="1" t="s">
        <v>122</v>
      </c>
      <c r="SJV108" s="1" t="s">
        <v>122</v>
      </c>
      <c r="SJW108" s="1" t="s">
        <v>122</v>
      </c>
      <c r="SJX108" s="1" t="s">
        <v>122</v>
      </c>
      <c r="SJY108" s="1" t="s">
        <v>122</v>
      </c>
      <c r="SJZ108" s="1" t="s">
        <v>122</v>
      </c>
      <c r="SKA108" s="1" t="s">
        <v>122</v>
      </c>
      <c r="SKB108" s="1" t="s">
        <v>122</v>
      </c>
      <c r="SKC108" s="1" t="s">
        <v>122</v>
      </c>
      <c r="SKD108" s="1" t="s">
        <v>122</v>
      </c>
      <c r="SKE108" s="1" t="s">
        <v>122</v>
      </c>
      <c r="SKF108" s="1" t="s">
        <v>122</v>
      </c>
      <c r="SKG108" s="1" t="s">
        <v>122</v>
      </c>
      <c r="SKH108" s="1" t="s">
        <v>122</v>
      </c>
      <c r="SKI108" s="1" t="s">
        <v>122</v>
      </c>
      <c r="SKJ108" s="1" t="s">
        <v>122</v>
      </c>
      <c r="SKK108" s="1" t="s">
        <v>122</v>
      </c>
      <c r="SKL108" s="1" t="s">
        <v>122</v>
      </c>
      <c r="SKM108" s="1" t="s">
        <v>122</v>
      </c>
      <c r="SKN108" s="1" t="s">
        <v>122</v>
      </c>
      <c r="SKO108" s="1" t="s">
        <v>122</v>
      </c>
      <c r="SKP108" s="1" t="s">
        <v>122</v>
      </c>
      <c r="SKQ108" s="1" t="s">
        <v>122</v>
      </c>
      <c r="SKR108" s="1" t="s">
        <v>122</v>
      </c>
      <c r="SKS108" s="1" t="s">
        <v>122</v>
      </c>
      <c r="SKT108" s="1" t="s">
        <v>122</v>
      </c>
      <c r="SKU108" s="1" t="s">
        <v>122</v>
      </c>
      <c r="SKV108" s="1" t="s">
        <v>122</v>
      </c>
      <c r="SKW108" s="1" t="s">
        <v>122</v>
      </c>
      <c r="SKX108" s="1" t="s">
        <v>122</v>
      </c>
      <c r="SKY108" s="1" t="s">
        <v>122</v>
      </c>
      <c r="SKZ108" s="1" t="s">
        <v>122</v>
      </c>
      <c r="SLA108" s="1" t="s">
        <v>122</v>
      </c>
      <c r="SLB108" s="1" t="s">
        <v>122</v>
      </c>
      <c r="SLC108" s="1" t="s">
        <v>122</v>
      </c>
      <c r="SLD108" s="1" t="s">
        <v>122</v>
      </c>
      <c r="SLE108" s="1" t="s">
        <v>122</v>
      </c>
      <c r="SLF108" s="1" t="s">
        <v>122</v>
      </c>
      <c r="SLG108" s="1" t="s">
        <v>122</v>
      </c>
      <c r="SLH108" s="1" t="s">
        <v>122</v>
      </c>
      <c r="SLI108" s="1" t="s">
        <v>122</v>
      </c>
      <c r="SLJ108" s="1" t="s">
        <v>122</v>
      </c>
      <c r="SLK108" s="1" t="s">
        <v>122</v>
      </c>
      <c r="SLL108" s="1" t="s">
        <v>122</v>
      </c>
      <c r="SLM108" s="1" t="s">
        <v>122</v>
      </c>
      <c r="SLN108" s="1" t="s">
        <v>122</v>
      </c>
      <c r="SLO108" s="1" t="s">
        <v>122</v>
      </c>
      <c r="SLP108" s="1" t="s">
        <v>122</v>
      </c>
      <c r="SLQ108" s="1" t="s">
        <v>122</v>
      </c>
      <c r="SLR108" s="1" t="s">
        <v>122</v>
      </c>
      <c r="SLS108" s="1" t="s">
        <v>122</v>
      </c>
      <c r="SLT108" s="1" t="s">
        <v>122</v>
      </c>
      <c r="SLU108" s="1" t="s">
        <v>122</v>
      </c>
      <c r="SLV108" s="1" t="s">
        <v>122</v>
      </c>
      <c r="SLW108" s="1" t="s">
        <v>122</v>
      </c>
      <c r="SLX108" s="1" t="s">
        <v>122</v>
      </c>
      <c r="SLY108" s="1" t="s">
        <v>122</v>
      </c>
      <c r="SLZ108" s="1" t="s">
        <v>122</v>
      </c>
      <c r="SMA108" s="1" t="s">
        <v>122</v>
      </c>
      <c r="SMB108" s="1" t="s">
        <v>122</v>
      </c>
      <c r="SMC108" s="1" t="s">
        <v>122</v>
      </c>
      <c r="SMD108" s="1" t="s">
        <v>122</v>
      </c>
      <c r="SME108" s="1" t="s">
        <v>122</v>
      </c>
      <c r="SMF108" s="1" t="s">
        <v>122</v>
      </c>
      <c r="SMG108" s="1" t="s">
        <v>122</v>
      </c>
      <c r="SMH108" s="1" t="s">
        <v>122</v>
      </c>
      <c r="SMI108" s="1" t="s">
        <v>122</v>
      </c>
      <c r="SMJ108" s="1" t="s">
        <v>122</v>
      </c>
      <c r="SMK108" s="1" t="s">
        <v>122</v>
      </c>
      <c r="SML108" s="1" t="s">
        <v>122</v>
      </c>
      <c r="SMM108" s="1" t="s">
        <v>122</v>
      </c>
      <c r="SMN108" s="1" t="s">
        <v>122</v>
      </c>
      <c r="SMO108" s="1" t="s">
        <v>122</v>
      </c>
      <c r="SMP108" s="1" t="s">
        <v>122</v>
      </c>
      <c r="SMQ108" s="1" t="s">
        <v>122</v>
      </c>
      <c r="SMR108" s="1" t="s">
        <v>122</v>
      </c>
      <c r="SMS108" s="1" t="s">
        <v>122</v>
      </c>
      <c r="SMT108" s="1" t="s">
        <v>122</v>
      </c>
      <c r="SMU108" s="1" t="s">
        <v>122</v>
      </c>
      <c r="SMV108" s="1" t="s">
        <v>122</v>
      </c>
      <c r="SMW108" s="1" t="s">
        <v>122</v>
      </c>
      <c r="SMX108" s="1" t="s">
        <v>122</v>
      </c>
      <c r="SMY108" s="1" t="s">
        <v>122</v>
      </c>
      <c r="SMZ108" s="1" t="s">
        <v>122</v>
      </c>
      <c r="SNA108" s="1" t="s">
        <v>122</v>
      </c>
      <c r="SNB108" s="1" t="s">
        <v>122</v>
      </c>
      <c r="SNC108" s="1" t="s">
        <v>122</v>
      </c>
      <c r="SND108" s="1" t="s">
        <v>122</v>
      </c>
      <c r="SNE108" s="1" t="s">
        <v>122</v>
      </c>
      <c r="SNF108" s="1" t="s">
        <v>122</v>
      </c>
      <c r="SNG108" s="1" t="s">
        <v>122</v>
      </c>
      <c r="SNH108" s="1" t="s">
        <v>122</v>
      </c>
      <c r="SNI108" s="1" t="s">
        <v>122</v>
      </c>
      <c r="SNJ108" s="1" t="s">
        <v>122</v>
      </c>
      <c r="SNK108" s="1" t="s">
        <v>122</v>
      </c>
      <c r="SNL108" s="1" t="s">
        <v>122</v>
      </c>
      <c r="SNM108" s="1" t="s">
        <v>122</v>
      </c>
      <c r="SNN108" s="1" t="s">
        <v>122</v>
      </c>
      <c r="SNO108" s="1" t="s">
        <v>122</v>
      </c>
      <c r="SNP108" s="1" t="s">
        <v>122</v>
      </c>
      <c r="SNQ108" s="1" t="s">
        <v>122</v>
      </c>
      <c r="SNR108" s="1" t="s">
        <v>122</v>
      </c>
      <c r="SNS108" s="1" t="s">
        <v>122</v>
      </c>
      <c r="SNT108" s="1" t="s">
        <v>122</v>
      </c>
      <c r="SNU108" s="1" t="s">
        <v>122</v>
      </c>
      <c r="SNV108" s="1" t="s">
        <v>122</v>
      </c>
      <c r="SNW108" s="1" t="s">
        <v>122</v>
      </c>
      <c r="SNX108" s="1" t="s">
        <v>122</v>
      </c>
      <c r="SNY108" s="1" t="s">
        <v>122</v>
      </c>
      <c r="SNZ108" s="1" t="s">
        <v>122</v>
      </c>
      <c r="SOA108" s="1" t="s">
        <v>122</v>
      </c>
      <c r="SOB108" s="1" t="s">
        <v>122</v>
      </c>
      <c r="SOC108" s="1" t="s">
        <v>122</v>
      </c>
      <c r="SOD108" s="1" t="s">
        <v>122</v>
      </c>
      <c r="SOE108" s="1" t="s">
        <v>122</v>
      </c>
      <c r="SOF108" s="1" t="s">
        <v>122</v>
      </c>
      <c r="SOG108" s="1" t="s">
        <v>122</v>
      </c>
      <c r="SOH108" s="1" t="s">
        <v>122</v>
      </c>
      <c r="SOI108" s="1" t="s">
        <v>122</v>
      </c>
      <c r="SOJ108" s="1" t="s">
        <v>122</v>
      </c>
      <c r="SOK108" s="1" t="s">
        <v>122</v>
      </c>
      <c r="SOL108" s="1" t="s">
        <v>122</v>
      </c>
      <c r="SOM108" s="1" t="s">
        <v>122</v>
      </c>
      <c r="SON108" s="1" t="s">
        <v>122</v>
      </c>
      <c r="SOO108" s="1" t="s">
        <v>122</v>
      </c>
      <c r="SOP108" s="1" t="s">
        <v>122</v>
      </c>
      <c r="SOQ108" s="1" t="s">
        <v>122</v>
      </c>
      <c r="SOR108" s="1" t="s">
        <v>122</v>
      </c>
      <c r="SOS108" s="1" t="s">
        <v>122</v>
      </c>
      <c r="SOT108" s="1" t="s">
        <v>122</v>
      </c>
      <c r="SOU108" s="1" t="s">
        <v>122</v>
      </c>
      <c r="SOV108" s="1" t="s">
        <v>122</v>
      </c>
      <c r="SOW108" s="1" t="s">
        <v>122</v>
      </c>
      <c r="SOX108" s="1" t="s">
        <v>122</v>
      </c>
      <c r="SOY108" s="1" t="s">
        <v>122</v>
      </c>
      <c r="SOZ108" s="1" t="s">
        <v>122</v>
      </c>
      <c r="SPA108" s="1" t="s">
        <v>122</v>
      </c>
      <c r="SPB108" s="1" t="s">
        <v>122</v>
      </c>
      <c r="SPC108" s="1" t="s">
        <v>122</v>
      </c>
      <c r="SPD108" s="1" t="s">
        <v>122</v>
      </c>
      <c r="SPE108" s="1" t="s">
        <v>122</v>
      </c>
      <c r="SPF108" s="1" t="s">
        <v>122</v>
      </c>
      <c r="SPG108" s="1" t="s">
        <v>122</v>
      </c>
      <c r="SPH108" s="1" t="s">
        <v>122</v>
      </c>
      <c r="SPI108" s="1" t="s">
        <v>122</v>
      </c>
      <c r="SPJ108" s="1" t="s">
        <v>122</v>
      </c>
      <c r="SPK108" s="1" t="s">
        <v>122</v>
      </c>
      <c r="SPL108" s="1" t="s">
        <v>122</v>
      </c>
      <c r="SPM108" s="1" t="s">
        <v>122</v>
      </c>
      <c r="SPN108" s="1" t="s">
        <v>122</v>
      </c>
      <c r="SPO108" s="1" t="s">
        <v>122</v>
      </c>
      <c r="SPP108" s="1" t="s">
        <v>122</v>
      </c>
      <c r="SPQ108" s="1" t="s">
        <v>122</v>
      </c>
      <c r="SPR108" s="1" t="s">
        <v>122</v>
      </c>
      <c r="SPS108" s="1" t="s">
        <v>122</v>
      </c>
      <c r="SPT108" s="1" t="s">
        <v>122</v>
      </c>
      <c r="SPU108" s="1" t="s">
        <v>122</v>
      </c>
      <c r="SPV108" s="1" t="s">
        <v>122</v>
      </c>
      <c r="SPW108" s="1" t="s">
        <v>122</v>
      </c>
      <c r="SPX108" s="1" t="s">
        <v>122</v>
      </c>
      <c r="SPY108" s="1" t="s">
        <v>122</v>
      </c>
      <c r="SPZ108" s="1" t="s">
        <v>122</v>
      </c>
      <c r="SQA108" s="1" t="s">
        <v>122</v>
      </c>
      <c r="SQB108" s="1" t="s">
        <v>122</v>
      </c>
      <c r="SQC108" s="1" t="s">
        <v>122</v>
      </c>
      <c r="SQD108" s="1" t="s">
        <v>122</v>
      </c>
      <c r="SQE108" s="1" t="s">
        <v>122</v>
      </c>
      <c r="SQF108" s="1" t="s">
        <v>122</v>
      </c>
      <c r="SQG108" s="1" t="s">
        <v>122</v>
      </c>
      <c r="SQH108" s="1" t="s">
        <v>122</v>
      </c>
      <c r="SQI108" s="1" t="s">
        <v>122</v>
      </c>
      <c r="SQJ108" s="1" t="s">
        <v>122</v>
      </c>
      <c r="SQK108" s="1" t="s">
        <v>122</v>
      </c>
      <c r="SQL108" s="1" t="s">
        <v>122</v>
      </c>
      <c r="SQM108" s="1" t="s">
        <v>122</v>
      </c>
      <c r="SQN108" s="1" t="s">
        <v>122</v>
      </c>
      <c r="SQO108" s="1" t="s">
        <v>122</v>
      </c>
      <c r="SQP108" s="1" t="s">
        <v>122</v>
      </c>
      <c r="SQQ108" s="1" t="s">
        <v>122</v>
      </c>
      <c r="SQR108" s="1" t="s">
        <v>122</v>
      </c>
      <c r="SQS108" s="1" t="s">
        <v>122</v>
      </c>
      <c r="SQT108" s="1" t="s">
        <v>122</v>
      </c>
      <c r="SQU108" s="1" t="s">
        <v>122</v>
      </c>
      <c r="SQV108" s="1" t="s">
        <v>122</v>
      </c>
      <c r="SQW108" s="1" t="s">
        <v>122</v>
      </c>
      <c r="SQX108" s="1" t="s">
        <v>122</v>
      </c>
      <c r="SQY108" s="1" t="s">
        <v>122</v>
      </c>
      <c r="SQZ108" s="1" t="s">
        <v>122</v>
      </c>
      <c r="SRA108" s="1" t="s">
        <v>122</v>
      </c>
      <c r="SRB108" s="1" t="s">
        <v>122</v>
      </c>
      <c r="SRC108" s="1" t="s">
        <v>122</v>
      </c>
      <c r="SRD108" s="1" t="s">
        <v>122</v>
      </c>
      <c r="SRE108" s="1" t="s">
        <v>122</v>
      </c>
      <c r="SRF108" s="1" t="s">
        <v>122</v>
      </c>
      <c r="SRG108" s="1" t="s">
        <v>122</v>
      </c>
      <c r="SRH108" s="1" t="s">
        <v>122</v>
      </c>
      <c r="SRI108" s="1" t="s">
        <v>122</v>
      </c>
      <c r="SRJ108" s="1" t="s">
        <v>122</v>
      </c>
      <c r="SRK108" s="1" t="s">
        <v>122</v>
      </c>
      <c r="SRL108" s="1" t="s">
        <v>122</v>
      </c>
      <c r="SRM108" s="1" t="s">
        <v>122</v>
      </c>
      <c r="SRN108" s="1" t="s">
        <v>122</v>
      </c>
      <c r="SRO108" s="1" t="s">
        <v>122</v>
      </c>
      <c r="SRP108" s="1" t="s">
        <v>122</v>
      </c>
      <c r="SRQ108" s="1" t="s">
        <v>122</v>
      </c>
      <c r="SRR108" s="1" t="s">
        <v>122</v>
      </c>
      <c r="SRS108" s="1" t="s">
        <v>122</v>
      </c>
      <c r="SRT108" s="1" t="s">
        <v>122</v>
      </c>
      <c r="SRU108" s="1" t="s">
        <v>122</v>
      </c>
      <c r="SRV108" s="1" t="s">
        <v>122</v>
      </c>
      <c r="SRW108" s="1" t="s">
        <v>122</v>
      </c>
      <c r="SRX108" s="1" t="s">
        <v>122</v>
      </c>
      <c r="SRY108" s="1" t="s">
        <v>122</v>
      </c>
      <c r="SRZ108" s="1" t="s">
        <v>122</v>
      </c>
      <c r="SSA108" s="1" t="s">
        <v>122</v>
      </c>
      <c r="SSB108" s="1" t="s">
        <v>122</v>
      </c>
      <c r="SSC108" s="1" t="s">
        <v>122</v>
      </c>
      <c r="SSD108" s="1" t="s">
        <v>122</v>
      </c>
      <c r="SSE108" s="1" t="s">
        <v>122</v>
      </c>
      <c r="SSF108" s="1" t="s">
        <v>122</v>
      </c>
      <c r="SSG108" s="1" t="s">
        <v>122</v>
      </c>
      <c r="SSH108" s="1" t="s">
        <v>122</v>
      </c>
      <c r="SSI108" s="1" t="s">
        <v>122</v>
      </c>
      <c r="SSJ108" s="1" t="s">
        <v>122</v>
      </c>
      <c r="SSK108" s="1" t="s">
        <v>122</v>
      </c>
      <c r="SSL108" s="1" t="s">
        <v>122</v>
      </c>
      <c r="SSM108" s="1" t="s">
        <v>122</v>
      </c>
      <c r="SSN108" s="1" t="s">
        <v>122</v>
      </c>
      <c r="SSO108" s="1" t="s">
        <v>122</v>
      </c>
      <c r="SSP108" s="1" t="s">
        <v>122</v>
      </c>
      <c r="SSQ108" s="1" t="s">
        <v>122</v>
      </c>
      <c r="SSR108" s="1" t="s">
        <v>122</v>
      </c>
      <c r="SSS108" s="1" t="s">
        <v>122</v>
      </c>
      <c r="SST108" s="1" t="s">
        <v>122</v>
      </c>
      <c r="SSU108" s="1" t="s">
        <v>122</v>
      </c>
      <c r="SSV108" s="1" t="s">
        <v>122</v>
      </c>
      <c r="SSW108" s="1" t="s">
        <v>122</v>
      </c>
      <c r="SSX108" s="1" t="s">
        <v>122</v>
      </c>
      <c r="SSY108" s="1" t="s">
        <v>122</v>
      </c>
      <c r="SSZ108" s="1" t="s">
        <v>122</v>
      </c>
      <c r="STA108" s="1" t="s">
        <v>122</v>
      </c>
      <c r="STB108" s="1" t="s">
        <v>122</v>
      </c>
      <c r="STC108" s="1" t="s">
        <v>122</v>
      </c>
      <c r="STD108" s="1" t="s">
        <v>122</v>
      </c>
      <c r="STE108" s="1" t="s">
        <v>122</v>
      </c>
      <c r="STF108" s="1" t="s">
        <v>122</v>
      </c>
      <c r="STG108" s="1" t="s">
        <v>122</v>
      </c>
      <c r="STH108" s="1" t="s">
        <v>122</v>
      </c>
      <c r="STI108" s="1" t="s">
        <v>122</v>
      </c>
      <c r="STJ108" s="1" t="s">
        <v>122</v>
      </c>
      <c r="STK108" s="1" t="s">
        <v>122</v>
      </c>
      <c r="STL108" s="1" t="s">
        <v>122</v>
      </c>
      <c r="STM108" s="1" t="s">
        <v>122</v>
      </c>
      <c r="STN108" s="1" t="s">
        <v>122</v>
      </c>
      <c r="STO108" s="1" t="s">
        <v>122</v>
      </c>
      <c r="STP108" s="1" t="s">
        <v>122</v>
      </c>
      <c r="STQ108" s="1" t="s">
        <v>122</v>
      </c>
      <c r="STR108" s="1" t="s">
        <v>122</v>
      </c>
      <c r="STS108" s="1" t="s">
        <v>122</v>
      </c>
      <c r="STT108" s="1" t="s">
        <v>122</v>
      </c>
      <c r="STU108" s="1" t="s">
        <v>122</v>
      </c>
      <c r="STV108" s="1" t="s">
        <v>122</v>
      </c>
      <c r="STW108" s="1" t="s">
        <v>122</v>
      </c>
      <c r="STX108" s="1" t="s">
        <v>122</v>
      </c>
      <c r="STY108" s="1" t="s">
        <v>122</v>
      </c>
      <c r="STZ108" s="1" t="s">
        <v>122</v>
      </c>
      <c r="SUA108" s="1" t="s">
        <v>122</v>
      </c>
      <c r="SUB108" s="1" t="s">
        <v>122</v>
      </c>
      <c r="SUC108" s="1" t="s">
        <v>122</v>
      </c>
      <c r="SUD108" s="1" t="s">
        <v>122</v>
      </c>
      <c r="SUE108" s="1" t="s">
        <v>122</v>
      </c>
      <c r="SUF108" s="1" t="s">
        <v>122</v>
      </c>
      <c r="SUG108" s="1" t="s">
        <v>122</v>
      </c>
      <c r="SUH108" s="1" t="s">
        <v>122</v>
      </c>
      <c r="SUI108" s="1" t="s">
        <v>122</v>
      </c>
      <c r="SUJ108" s="1" t="s">
        <v>122</v>
      </c>
      <c r="SUK108" s="1" t="s">
        <v>122</v>
      </c>
      <c r="SUL108" s="1" t="s">
        <v>122</v>
      </c>
      <c r="SUM108" s="1" t="s">
        <v>122</v>
      </c>
      <c r="SUN108" s="1" t="s">
        <v>122</v>
      </c>
      <c r="SUO108" s="1" t="s">
        <v>122</v>
      </c>
      <c r="SUP108" s="1" t="s">
        <v>122</v>
      </c>
      <c r="SUQ108" s="1" t="s">
        <v>122</v>
      </c>
      <c r="SUR108" s="1" t="s">
        <v>122</v>
      </c>
      <c r="SUS108" s="1" t="s">
        <v>122</v>
      </c>
      <c r="SUT108" s="1" t="s">
        <v>122</v>
      </c>
      <c r="SUU108" s="1" t="s">
        <v>122</v>
      </c>
      <c r="SUV108" s="1" t="s">
        <v>122</v>
      </c>
      <c r="SUW108" s="1" t="s">
        <v>122</v>
      </c>
      <c r="SUX108" s="1" t="s">
        <v>122</v>
      </c>
      <c r="SUY108" s="1" t="s">
        <v>122</v>
      </c>
      <c r="SUZ108" s="1" t="s">
        <v>122</v>
      </c>
      <c r="SVA108" s="1" t="s">
        <v>122</v>
      </c>
      <c r="SVB108" s="1" t="s">
        <v>122</v>
      </c>
      <c r="SVC108" s="1" t="s">
        <v>122</v>
      </c>
      <c r="SVD108" s="1" t="s">
        <v>122</v>
      </c>
      <c r="SVE108" s="1" t="s">
        <v>122</v>
      </c>
      <c r="SVF108" s="1" t="s">
        <v>122</v>
      </c>
      <c r="SVG108" s="1" t="s">
        <v>122</v>
      </c>
      <c r="SVH108" s="1" t="s">
        <v>122</v>
      </c>
      <c r="SVI108" s="1" t="s">
        <v>122</v>
      </c>
      <c r="SVJ108" s="1" t="s">
        <v>122</v>
      </c>
      <c r="SVK108" s="1" t="s">
        <v>122</v>
      </c>
      <c r="SVL108" s="1" t="s">
        <v>122</v>
      </c>
      <c r="SVM108" s="1" t="s">
        <v>122</v>
      </c>
      <c r="SVN108" s="1" t="s">
        <v>122</v>
      </c>
      <c r="SVO108" s="1" t="s">
        <v>122</v>
      </c>
      <c r="SVP108" s="1" t="s">
        <v>122</v>
      </c>
      <c r="SVQ108" s="1" t="s">
        <v>122</v>
      </c>
      <c r="SVR108" s="1" t="s">
        <v>122</v>
      </c>
      <c r="SVS108" s="1" t="s">
        <v>122</v>
      </c>
      <c r="SVT108" s="1" t="s">
        <v>122</v>
      </c>
      <c r="SVU108" s="1" t="s">
        <v>122</v>
      </c>
      <c r="SVV108" s="1" t="s">
        <v>122</v>
      </c>
      <c r="SVW108" s="1" t="s">
        <v>122</v>
      </c>
      <c r="SVX108" s="1" t="s">
        <v>122</v>
      </c>
      <c r="SVY108" s="1" t="s">
        <v>122</v>
      </c>
      <c r="SVZ108" s="1" t="s">
        <v>122</v>
      </c>
      <c r="SWA108" s="1" t="s">
        <v>122</v>
      </c>
      <c r="SWB108" s="1" t="s">
        <v>122</v>
      </c>
      <c r="SWC108" s="1" t="s">
        <v>122</v>
      </c>
      <c r="SWD108" s="1" t="s">
        <v>122</v>
      </c>
      <c r="SWE108" s="1" t="s">
        <v>122</v>
      </c>
      <c r="SWF108" s="1" t="s">
        <v>122</v>
      </c>
      <c r="SWG108" s="1" t="s">
        <v>122</v>
      </c>
      <c r="SWH108" s="1" t="s">
        <v>122</v>
      </c>
      <c r="SWI108" s="1" t="s">
        <v>122</v>
      </c>
      <c r="SWJ108" s="1" t="s">
        <v>122</v>
      </c>
      <c r="SWK108" s="1" t="s">
        <v>122</v>
      </c>
      <c r="SWL108" s="1" t="s">
        <v>122</v>
      </c>
      <c r="SWM108" s="1" t="s">
        <v>122</v>
      </c>
      <c r="SWN108" s="1" t="s">
        <v>122</v>
      </c>
      <c r="SWO108" s="1" t="s">
        <v>122</v>
      </c>
      <c r="SWP108" s="1" t="s">
        <v>122</v>
      </c>
      <c r="SWQ108" s="1" t="s">
        <v>122</v>
      </c>
      <c r="SWR108" s="1" t="s">
        <v>122</v>
      </c>
      <c r="SWS108" s="1" t="s">
        <v>122</v>
      </c>
      <c r="SWT108" s="1" t="s">
        <v>122</v>
      </c>
      <c r="SWU108" s="1" t="s">
        <v>122</v>
      </c>
      <c r="SWV108" s="1" t="s">
        <v>122</v>
      </c>
      <c r="SWW108" s="1" t="s">
        <v>122</v>
      </c>
      <c r="SWX108" s="1" t="s">
        <v>122</v>
      </c>
      <c r="SWY108" s="1" t="s">
        <v>122</v>
      </c>
      <c r="SWZ108" s="1" t="s">
        <v>122</v>
      </c>
      <c r="SXA108" s="1" t="s">
        <v>122</v>
      </c>
      <c r="SXB108" s="1" t="s">
        <v>122</v>
      </c>
      <c r="SXC108" s="1" t="s">
        <v>122</v>
      </c>
      <c r="SXD108" s="1" t="s">
        <v>122</v>
      </c>
      <c r="SXE108" s="1" t="s">
        <v>122</v>
      </c>
      <c r="SXF108" s="1" t="s">
        <v>122</v>
      </c>
      <c r="SXG108" s="1" t="s">
        <v>122</v>
      </c>
      <c r="SXH108" s="1" t="s">
        <v>122</v>
      </c>
      <c r="SXI108" s="1" t="s">
        <v>122</v>
      </c>
      <c r="SXJ108" s="1" t="s">
        <v>122</v>
      </c>
      <c r="SXK108" s="1" t="s">
        <v>122</v>
      </c>
      <c r="SXL108" s="1" t="s">
        <v>122</v>
      </c>
      <c r="SXM108" s="1" t="s">
        <v>122</v>
      </c>
      <c r="SXN108" s="1" t="s">
        <v>122</v>
      </c>
      <c r="SXO108" s="1" t="s">
        <v>122</v>
      </c>
      <c r="SXP108" s="1" t="s">
        <v>122</v>
      </c>
      <c r="SXQ108" s="1" t="s">
        <v>122</v>
      </c>
      <c r="SXR108" s="1" t="s">
        <v>122</v>
      </c>
      <c r="SXS108" s="1" t="s">
        <v>122</v>
      </c>
      <c r="SXT108" s="1" t="s">
        <v>122</v>
      </c>
      <c r="SXU108" s="1" t="s">
        <v>122</v>
      </c>
      <c r="SXV108" s="1" t="s">
        <v>122</v>
      </c>
      <c r="SXW108" s="1" t="s">
        <v>122</v>
      </c>
      <c r="SXX108" s="1" t="s">
        <v>122</v>
      </c>
      <c r="SXY108" s="1" t="s">
        <v>122</v>
      </c>
      <c r="SXZ108" s="1" t="s">
        <v>122</v>
      </c>
      <c r="SYA108" s="1" t="s">
        <v>122</v>
      </c>
      <c r="SYB108" s="1" t="s">
        <v>122</v>
      </c>
      <c r="SYC108" s="1" t="s">
        <v>122</v>
      </c>
      <c r="SYD108" s="1" t="s">
        <v>122</v>
      </c>
      <c r="SYE108" s="1" t="s">
        <v>122</v>
      </c>
      <c r="SYF108" s="1" t="s">
        <v>122</v>
      </c>
      <c r="SYG108" s="1" t="s">
        <v>122</v>
      </c>
      <c r="SYH108" s="1" t="s">
        <v>122</v>
      </c>
      <c r="SYI108" s="1" t="s">
        <v>122</v>
      </c>
      <c r="SYJ108" s="1" t="s">
        <v>122</v>
      </c>
      <c r="SYK108" s="1" t="s">
        <v>122</v>
      </c>
      <c r="SYL108" s="1" t="s">
        <v>122</v>
      </c>
      <c r="SYM108" s="1" t="s">
        <v>122</v>
      </c>
      <c r="SYN108" s="1" t="s">
        <v>122</v>
      </c>
      <c r="SYO108" s="1" t="s">
        <v>122</v>
      </c>
      <c r="SYP108" s="1" t="s">
        <v>122</v>
      </c>
      <c r="SYQ108" s="1" t="s">
        <v>122</v>
      </c>
      <c r="SYR108" s="1" t="s">
        <v>122</v>
      </c>
      <c r="SYS108" s="1" t="s">
        <v>122</v>
      </c>
      <c r="SYT108" s="1" t="s">
        <v>122</v>
      </c>
      <c r="SYU108" s="1" t="s">
        <v>122</v>
      </c>
      <c r="SYV108" s="1" t="s">
        <v>122</v>
      </c>
      <c r="SYW108" s="1" t="s">
        <v>122</v>
      </c>
      <c r="SYX108" s="1" t="s">
        <v>122</v>
      </c>
      <c r="SYY108" s="1" t="s">
        <v>122</v>
      </c>
      <c r="SYZ108" s="1" t="s">
        <v>122</v>
      </c>
      <c r="SZA108" s="1" t="s">
        <v>122</v>
      </c>
      <c r="SZB108" s="1" t="s">
        <v>122</v>
      </c>
      <c r="SZC108" s="1" t="s">
        <v>122</v>
      </c>
      <c r="SZD108" s="1" t="s">
        <v>122</v>
      </c>
      <c r="SZE108" s="1" t="s">
        <v>122</v>
      </c>
      <c r="SZF108" s="1" t="s">
        <v>122</v>
      </c>
      <c r="SZG108" s="1" t="s">
        <v>122</v>
      </c>
      <c r="SZH108" s="1" t="s">
        <v>122</v>
      </c>
      <c r="SZI108" s="1" t="s">
        <v>122</v>
      </c>
      <c r="SZJ108" s="1" t="s">
        <v>122</v>
      </c>
      <c r="SZK108" s="1" t="s">
        <v>122</v>
      </c>
      <c r="SZL108" s="1" t="s">
        <v>122</v>
      </c>
      <c r="SZM108" s="1" t="s">
        <v>122</v>
      </c>
      <c r="SZN108" s="1" t="s">
        <v>122</v>
      </c>
      <c r="SZO108" s="1" t="s">
        <v>122</v>
      </c>
      <c r="SZP108" s="1" t="s">
        <v>122</v>
      </c>
      <c r="SZQ108" s="1" t="s">
        <v>122</v>
      </c>
      <c r="SZR108" s="1" t="s">
        <v>122</v>
      </c>
      <c r="SZS108" s="1" t="s">
        <v>122</v>
      </c>
      <c r="SZT108" s="1" t="s">
        <v>122</v>
      </c>
      <c r="SZU108" s="1" t="s">
        <v>122</v>
      </c>
      <c r="SZV108" s="1" t="s">
        <v>122</v>
      </c>
      <c r="SZW108" s="1" t="s">
        <v>122</v>
      </c>
      <c r="SZX108" s="1" t="s">
        <v>122</v>
      </c>
      <c r="SZY108" s="1" t="s">
        <v>122</v>
      </c>
      <c r="SZZ108" s="1" t="s">
        <v>122</v>
      </c>
      <c r="TAA108" s="1" t="s">
        <v>122</v>
      </c>
      <c r="TAB108" s="1" t="s">
        <v>122</v>
      </c>
      <c r="TAC108" s="1" t="s">
        <v>122</v>
      </c>
      <c r="TAD108" s="1" t="s">
        <v>122</v>
      </c>
      <c r="TAE108" s="1" t="s">
        <v>122</v>
      </c>
      <c r="TAF108" s="1" t="s">
        <v>122</v>
      </c>
      <c r="TAG108" s="1" t="s">
        <v>122</v>
      </c>
      <c r="TAH108" s="1" t="s">
        <v>122</v>
      </c>
      <c r="TAI108" s="1" t="s">
        <v>122</v>
      </c>
      <c r="TAJ108" s="1" t="s">
        <v>122</v>
      </c>
      <c r="TAK108" s="1" t="s">
        <v>122</v>
      </c>
      <c r="TAL108" s="1" t="s">
        <v>122</v>
      </c>
      <c r="TAM108" s="1" t="s">
        <v>122</v>
      </c>
      <c r="TAN108" s="1" t="s">
        <v>122</v>
      </c>
      <c r="TAO108" s="1" t="s">
        <v>122</v>
      </c>
      <c r="TAP108" s="1" t="s">
        <v>122</v>
      </c>
      <c r="TAQ108" s="1" t="s">
        <v>122</v>
      </c>
      <c r="TAR108" s="1" t="s">
        <v>122</v>
      </c>
      <c r="TAS108" s="1" t="s">
        <v>122</v>
      </c>
      <c r="TAT108" s="1" t="s">
        <v>122</v>
      </c>
      <c r="TAU108" s="1" t="s">
        <v>122</v>
      </c>
      <c r="TAV108" s="1" t="s">
        <v>122</v>
      </c>
      <c r="TAW108" s="1" t="s">
        <v>122</v>
      </c>
      <c r="TAX108" s="1" t="s">
        <v>122</v>
      </c>
      <c r="TAY108" s="1" t="s">
        <v>122</v>
      </c>
      <c r="TAZ108" s="1" t="s">
        <v>122</v>
      </c>
      <c r="TBA108" s="1" t="s">
        <v>122</v>
      </c>
      <c r="TBB108" s="1" t="s">
        <v>122</v>
      </c>
      <c r="TBC108" s="1" t="s">
        <v>122</v>
      </c>
      <c r="TBD108" s="1" t="s">
        <v>122</v>
      </c>
      <c r="TBE108" s="1" t="s">
        <v>122</v>
      </c>
      <c r="TBF108" s="1" t="s">
        <v>122</v>
      </c>
      <c r="TBG108" s="1" t="s">
        <v>122</v>
      </c>
      <c r="TBH108" s="1" t="s">
        <v>122</v>
      </c>
      <c r="TBI108" s="1" t="s">
        <v>122</v>
      </c>
      <c r="TBJ108" s="1" t="s">
        <v>122</v>
      </c>
      <c r="TBK108" s="1" t="s">
        <v>122</v>
      </c>
      <c r="TBL108" s="1" t="s">
        <v>122</v>
      </c>
      <c r="TBM108" s="1" t="s">
        <v>122</v>
      </c>
      <c r="TBN108" s="1" t="s">
        <v>122</v>
      </c>
      <c r="TBO108" s="1" t="s">
        <v>122</v>
      </c>
      <c r="TBP108" s="1" t="s">
        <v>122</v>
      </c>
      <c r="TBQ108" s="1" t="s">
        <v>122</v>
      </c>
      <c r="TBR108" s="1" t="s">
        <v>122</v>
      </c>
      <c r="TBS108" s="1" t="s">
        <v>122</v>
      </c>
      <c r="TBT108" s="1" t="s">
        <v>122</v>
      </c>
      <c r="TBU108" s="1" t="s">
        <v>122</v>
      </c>
      <c r="TBV108" s="1" t="s">
        <v>122</v>
      </c>
      <c r="TBW108" s="1" t="s">
        <v>122</v>
      </c>
      <c r="TBX108" s="1" t="s">
        <v>122</v>
      </c>
      <c r="TBY108" s="1" t="s">
        <v>122</v>
      </c>
      <c r="TBZ108" s="1" t="s">
        <v>122</v>
      </c>
      <c r="TCA108" s="1" t="s">
        <v>122</v>
      </c>
      <c r="TCB108" s="1" t="s">
        <v>122</v>
      </c>
      <c r="TCC108" s="1" t="s">
        <v>122</v>
      </c>
      <c r="TCD108" s="1" t="s">
        <v>122</v>
      </c>
      <c r="TCE108" s="1" t="s">
        <v>122</v>
      </c>
      <c r="TCF108" s="1" t="s">
        <v>122</v>
      </c>
      <c r="TCG108" s="1" t="s">
        <v>122</v>
      </c>
      <c r="TCH108" s="1" t="s">
        <v>122</v>
      </c>
      <c r="TCI108" s="1" t="s">
        <v>122</v>
      </c>
      <c r="TCJ108" s="1" t="s">
        <v>122</v>
      </c>
      <c r="TCK108" s="1" t="s">
        <v>122</v>
      </c>
      <c r="TCL108" s="1" t="s">
        <v>122</v>
      </c>
      <c r="TCM108" s="1" t="s">
        <v>122</v>
      </c>
      <c r="TCN108" s="1" t="s">
        <v>122</v>
      </c>
      <c r="TCO108" s="1" t="s">
        <v>122</v>
      </c>
      <c r="TCP108" s="1" t="s">
        <v>122</v>
      </c>
      <c r="TCQ108" s="1" t="s">
        <v>122</v>
      </c>
      <c r="TCR108" s="1" t="s">
        <v>122</v>
      </c>
      <c r="TCS108" s="1" t="s">
        <v>122</v>
      </c>
      <c r="TCT108" s="1" t="s">
        <v>122</v>
      </c>
      <c r="TCU108" s="1" t="s">
        <v>122</v>
      </c>
      <c r="TCV108" s="1" t="s">
        <v>122</v>
      </c>
      <c r="TCW108" s="1" t="s">
        <v>122</v>
      </c>
      <c r="TCX108" s="1" t="s">
        <v>122</v>
      </c>
      <c r="TCY108" s="1" t="s">
        <v>122</v>
      </c>
      <c r="TCZ108" s="1" t="s">
        <v>122</v>
      </c>
      <c r="TDA108" s="1" t="s">
        <v>122</v>
      </c>
      <c r="TDB108" s="1" t="s">
        <v>122</v>
      </c>
      <c r="TDC108" s="1" t="s">
        <v>122</v>
      </c>
      <c r="TDD108" s="1" t="s">
        <v>122</v>
      </c>
      <c r="TDE108" s="1" t="s">
        <v>122</v>
      </c>
      <c r="TDF108" s="1" t="s">
        <v>122</v>
      </c>
      <c r="TDG108" s="1" t="s">
        <v>122</v>
      </c>
      <c r="TDH108" s="1" t="s">
        <v>122</v>
      </c>
      <c r="TDI108" s="1" t="s">
        <v>122</v>
      </c>
      <c r="TDJ108" s="1" t="s">
        <v>122</v>
      </c>
      <c r="TDK108" s="1" t="s">
        <v>122</v>
      </c>
      <c r="TDL108" s="1" t="s">
        <v>122</v>
      </c>
      <c r="TDM108" s="1" t="s">
        <v>122</v>
      </c>
      <c r="TDN108" s="1" t="s">
        <v>122</v>
      </c>
      <c r="TDO108" s="1" t="s">
        <v>122</v>
      </c>
      <c r="TDP108" s="1" t="s">
        <v>122</v>
      </c>
      <c r="TDQ108" s="1" t="s">
        <v>122</v>
      </c>
      <c r="TDR108" s="1" t="s">
        <v>122</v>
      </c>
      <c r="TDS108" s="1" t="s">
        <v>122</v>
      </c>
      <c r="TDT108" s="1" t="s">
        <v>122</v>
      </c>
      <c r="TDU108" s="1" t="s">
        <v>122</v>
      </c>
      <c r="TDV108" s="1" t="s">
        <v>122</v>
      </c>
      <c r="TDW108" s="1" t="s">
        <v>122</v>
      </c>
      <c r="TDX108" s="1" t="s">
        <v>122</v>
      </c>
      <c r="TDY108" s="1" t="s">
        <v>122</v>
      </c>
      <c r="TDZ108" s="1" t="s">
        <v>122</v>
      </c>
      <c r="TEA108" s="1" t="s">
        <v>122</v>
      </c>
      <c r="TEB108" s="1" t="s">
        <v>122</v>
      </c>
      <c r="TEC108" s="1" t="s">
        <v>122</v>
      </c>
      <c r="TED108" s="1" t="s">
        <v>122</v>
      </c>
      <c r="TEE108" s="1" t="s">
        <v>122</v>
      </c>
      <c r="TEF108" s="1" t="s">
        <v>122</v>
      </c>
      <c r="TEG108" s="1" t="s">
        <v>122</v>
      </c>
      <c r="TEH108" s="1" t="s">
        <v>122</v>
      </c>
      <c r="TEI108" s="1" t="s">
        <v>122</v>
      </c>
      <c r="TEJ108" s="1" t="s">
        <v>122</v>
      </c>
      <c r="TEK108" s="1" t="s">
        <v>122</v>
      </c>
      <c r="TEL108" s="1" t="s">
        <v>122</v>
      </c>
      <c r="TEM108" s="1" t="s">
        <v>122</v>
      </c>
      <c r="TEN108" s="1" t="s">
        <v>122</v>
      </c>
      <c r="TEO108" s="1" t="s">
        <v>122</v>
      </c>
      <c r="TEP108" s="1" t="s">
        <v>122</v>
      </c>
      <c r="TEQ108" s="1" t="s">
        <v>122</v>
      </c>
      <c r="TER108" s="1" t="s">
        <v>122</v>
      </c>
      <c r="TES108" s="1" t="s">
        <v>122</v>
      </c>
      <c r="TET108" s="1" t="s">
        <v>122</v>
      </c>
      <c r="TEU108" s="1" t="s">
        <v>122</v>
      </c>
      <c r="TEV108" s="1" t="s">
        <v>122</v>
      </c>
      <c r="TEW108" s="1" t="s">
        <v>122</v>
      </c>
      <c r="TEX108" s="1" t="s">
        <v>122</v>
      </c>
      <c r="TEY108" s="1" t="s">
        <v>122</v>
      </c>
      <c r="TEZ108" s="1" t="s">
        <v>122</v>
      </c>
      <c r="TFA108" s="1" t="s">
        <v>122</v>
      </c>
      <c r="TFB108" s="1" t="s">
        <v>122</v>
      </c>
      <c r="TFC108" s="1" t="s">
        <v>122</v>
      </c>
      <c r="TFD108" s="1" t="s">
        <v>122</v>
      </c>
      <c r="TFE108" s="1" t="s">
        <v>122</v>
      </c>
      <c r="TFF108" s="1" t="s">
        <v>122</v>
      </c>
      <c r="TFG108" s="1" t="s">
        <v>122</v>
      </c>
      <c r="TFH108" s="1" t="s">
        <v>122</v>
      </c>
      <c r="TFI108" s="1" t="s">
        <v>122</v>
      </c>
      <c r="TFJ108" s="1" t="s">
        <v>122</v>
      </c>
      <c r="TFK108" s="1" t="s">
        <v>122</v>
      </c>
      <c r="TFL108" s="1" t="s">
        <v>122</v>
      </c>
      <c r="TFM108" s="1" t="s">
        <v>122</v>
      </c>
      <c r="TFN108" s="1" t="s">
        <v>122</v>
      </c>
      <c r="TFO108" s="1" t="s">
        <v>122</v>
      </c>
      <c r="TFP108" s="1" t="s">
        <v>122</v>
      </c>
      <c r="TFQ108" s="1" t="s">
        <v>122</v>
      </c>
      <c r="TFR108" s="1" t="s">
        <v>122</v>
      </c>
      <c r="TFS108" s="1" t="s">
        <v>122</v>
      </c>
      <c r="TFT108" s="1" t="s">
        <v>122</v>
      </c>
      <c r="TFU108" s="1" t="s">
        <v>122</v>
      </c>
      <c r="TFV108" s="1" t="s">
        <v>122</v>
      </c>
      <c r="TFW108" s="1" t="s">
        <v>122</v>
      </c>
      <c r="TFX108" s="1" t="s">
        <v>122</v>
      </c>
      <c r="TFY108" s="1" t="s">
        <v>122</v>
      </c>
      <c r="TFZ108" s="1" t="s">
        <v>122</v>
      </c>
      <c r="TGA108" s="1" t="s">
        <v>122</v>
      </c>
      <c r="TGB108" s="1" t="s">
        <v>122</v>
      </c>
      <c r="TGC108" s="1" t="s">
        <v>122</v>
      </c>
      <c r="TGD108" s="1" t="s">
        <v>122</v>
      </c>
      <c r="TGE108" s="1" t="s">
        <v>122</v>
      </c>
      <c r="TGF108" s="1" t="s">
        <v>122</v>
      </c>
      <c r="TGG108" s="1" t="s">
        <v>122</v>
      </c>
      <c r="TGH108" s="1" t="s">
        <v>122</v>
      </c>
      <c r="TGI108" s="1" t="s">
        <v>122</v>
      </c>
      <c r="TGJ108" s="1" t="s">
        <v>122</v>
      </c>
      <c r="TGK108" s="1" t="s">
        <v>122</v>
      </c>
      <c r="TGL108" s="1" t="s">
        <v>122</v>
      </c>
      <c r="TGM108" s="1" t="s">
        <v>122</v>
      </c>
      <c r="TGN108" s="1" t="s">
        <v>122</v>
      </c>
      <c r="TGO108" s="1" t="s">
        <v>122</v>
      </c>
      <c r="TGP108" s="1" t="s">
        <v>122</v>
      </c>
      <c r="TGQ108" s="1" t="s">
        <v>122</v>
      </c>
      <c r="TGR108" s="1" t="s">
        <v>122</v>
      </c>
      <c r="TGS108" s="1" t="s">
        <v>122</v>
      </c>
      <c r="TGT108" s="1" t="s">
        <v>122</v>
      </c>
      <c r="TGU108" s="1" t="s">
        <v>122</v>
      </c>
      <c r="TGV108" s="1" t="s">
        <v>122</v>
      </c>
      <c r="TGW108" s="1" t="s">
        <v>122</v>
      </c>
      <c r="TGX108" s="1" t="s">
        <v>122</v>
      </c>
      <c r="TGY108" s="1" t="s">
        <v>122</v>
      </c>
      <c r="TGZ108" s="1" t="s">
        <v>122</v>
      </c>
      <c r="THA108" s="1" t="s">
        <v>122</v>
      </c>
      <c r="THB108" s="1" t="s">
        <v>122</v>
      </c>
      <c r="THC108" s="1" t="s">
        <v>122</v>
      </c>
      <c r="THD108" s="1" t="s">
        <v>122</v>
      </c>
      <c r="THE108" s="1" t="s">
        <v>122</v>
      </c>
      <c r="THF108" s="1" t="s">
        <v>122</v>
      </c>
      <c r="THG108" s="1" t="s">
        <v>122</v>
      </c>
      <c r="THH108" s="1" t="s">
        <v>122</v>
      </c>
      <c r="THI108" s="1" t="s">
        <v>122</v>
      </c>
      <c r="THJ108" s="1" t="s">
        <v>122</v>
      </c>
      <c r="THK108" s="1" t="s">
        <v>122</v>
      </c>
      <c r="THL108" s="1" t="s">
        <v>122</v>
      </c>
      <c r="THM108" s="1" t="s">
        <v>122</v>
      </c>
      <c r="THN108" s="1" t="s">
        <v>122</v>
      </c>
      <c r="THO108" s="1" t="s">
        <v>122</v>
      </c>
      <c r="THP108" s="1" t="s">
        <v>122</v>
      </c>
      <c r="THQ108" s="1" t="s">
        <v>122</v>
      </c>
      <c r="THR108" s="1" t="s">
        <v>122</v>
      </c>
      <c r="THS108" s="1" t="s">
        <v>122</v>
      </c>
      <c r="THT108" s="1" t="s">
        <v>122</v>
      </c>
      <c r="THU108" s="1" t="s">
        <v>122</v>
      </c>
      <c r="THV108" s="1" t="s">
        <v>122</v>
      </c>
      <c r="THW108" s="1" t="s">
        <v>122</v>
      </c>
      <c r="THX108" s="1" t="s">
        <v>122</v>
      </c>
      <c r="THY108" s="1" t="s">
        <v>122</v>
      </c>
      <c r="THZ108" s="1" t="s">
        <v>122</v>
      </c>
      <c r="TIA108" s="1" t="s">
        <v>122</v>
      </c>
      <c r="TIB108" s="1" t="s">
        <v>122</v>
      </c>
      <c r="TIC108" s="1" t="s">
        <v>122</v>
      </c>
      <c r="TID108" s="1" t="s">
        <v>122</v>
      </c>
      <c r="TIE108" s="1" t="s">
        <v>122</v>
      </c>
      <c r="TIF108" s="1" t="s">
        <v>122</v>
      </c>
      <c r="TIG108" s="1" t="s">
        <v>122</v>
      </c>
      <c r="TIH108" s="1" t="s">
        <v>122</v>
      </c>
      <c r="TII108" s="1" t="s">
        <v>122</v>
      </c>
      <c r="TIJ108" s="1" t="s">
        <v>122</v>
      </c>
      <c r="TIK108" s="1" t="s">
        <v>122</v>
      </c>
      <c r="TIL108" s="1" t="s">
        <v>122</v>
      </c>
      <c r="TIM108" s="1" t="s">
        <v>122</v>
      </c>
      <c r="TIN108" s="1" t="s">
        <v>122</v>
      </c>
      <c r="TIO108" s="1" t="s">
        <v>122</v>
      </c>
      <c r="TIP108" s="1" t="s">
        <v>122</v>
      </c>
      <c r="TIQ108" s="1" t="s">
        <v>122</v>
      </c>
      <c r="TIR108" s="1" t="s">
        <v>122</v>
      </c>
      <c r="TIS108" s="1" t="s">
        <v>122</v>
      </c>
      <c r="TIT108" s="1" t="s">
        <v>122</v>
      </c>
      <c r="TIU108" s="1" t="s">
        <v>122</v>
      </c>
      <c r="TIV108" s="1" t="s">
        <v>122</v>
      </c>
      <c r="TIW108" s="1" t="s">
        <v>122</v>
      </c>
      <c r="TIX108" s="1" t="s">
        <v>122</v>
      </c>
      <c r="TIY108" s="1" t="s">
        <v>122</v>
      </c>
      <c r="TIZ108" s="1" t="s">
        <v>122</v>
      </c>
      <c r="TJA108" s="1" t="s">
        <v>122</v>
      </c>
      <c r="TJB108" s="1" t="s">
        <v>122</v>
      </c>
      <c r="TJC108" s="1" t="s">
        <v>122</v>
      </c>
      <c r="TJD108" s="1" t="s">
        <v>122</v>
      </c>
      <c r="TJE108" s="1" t="s">
        <v>122</v>
      </c>
      <c r="TJF108" s="1" t="s">
        <v>122</v>
      </c>
      <c r="TJG108" s="1" t="s">
        <v>122</v>
      </c>
      <c r="TJH108" s="1" t="s">
        <v>122</v>
      </c>
      <c r="TJI108" s="1" t="s">
        <v>122</v>
      </c>
      <c r="TJJ108" s="1" t="s">
        <v>122</v>
      </c>
      <c r="TJK108" s="1" t="s">
        <v>122</v>
      </c>
      <c r="TJL108" s="1" t="s">
        <v>122</v>
      </c>
      <c r="TJM108" s="1" t="s">
        <v>122</v>
      </c>
      <c r="TJN108" s="1" t="s">
        <v>122</v>
      </c>
      <c r="TJO108" s="1" t="s">
        <v>122</v>
      </c>
      <c r="TJP108" s="1" t="s">
        <v>122</v>
      </c>
      <c r="TJQ108" s="1" t="s">
        <v>122</v>
      </c>
      <c r="TJR108" s="1" t="s">
        <v>122</v>
      </c>
      <c r="TJS108" s="1" t="s">
        <v>122</v>
      </c>
      <c r="TJT108" s="1" t="s">
        <v>122</v>
      </c>
      <c r="TJU108" s="1" t="s">
        <v>122</v>
      </c>
      <c r="TJV108" s="1" t="s">
        <v>122</v>
      </c>
      <c r="TJW108" s="1" t="s">
        <v>122</v>
      </c>
      <c r="TJX108" s="1" t="s">
        <v>122</v>
      </c>
      <c r="TJY108" s="1" t="s">
        <v>122</v>
      </c>
      <c r="TJZ108" s="1" t="s">
        <v>122</v>
      </c>
      <c r="TKA108" s="1" t="s">
        <v>122</v>
      </c>
      <c r="TKB108" s="1" t="s">
        <v>122</v>
      </c>
      <c r="TKC108" s="1" t="s">
        <v>122</v>
      </c>
      <c r="TKD108" s="1" t="s">
        <v>122</v>
      </c>
      <c r="TKE108" s="1" t="s">
        <v>122</v>
      </c>
      <c r="TKF108" s="1" t="s">
        <v>122</v>
      </c>
      <c r="TKG108" s="1" t="s">
        <v>122</v>
      </c>
      <c r="TKH108" s="1" t="s">
        <v>122</v>
      </c>
      <c r="TKI108" s="1" t="s">
        <v>122</v>
      </c>
      <c r="TKJ108" s="1" t="s">
        <v>122</v>
      </c>
      <c r="TKK108" s="1" t="s">
        <v>122</v>
      </c>
      <c r="TKL108" s="1" t="s">
        <v>122</v>
      </c>
      <c r="TKM108" s="1" t="s">
        <v>122</v>
      </c>
      <c r="TKN108" s="1" t="s">
        <v>122</v>
      </c>
      <c r="TKO108" s="1" t="s">
        <v>122</v>
      </c>
      <c r="TKP108" s="1" t="s">
        <v>122</v>
      </c>
      <c r="TKQ108" s="1" t="s">
        <v>122</v>
      </c>
      <c r="TKR108" s="1" t="s">
        <v>122</v>
      </c>
      <c r="TKS108" s="1" t="s">
        <v>122</v>
      </c>
      <c r="TKT108" s="1" t="s">
        <v>122</v>
      </c>
      <c r="TKU108" s="1" t="s">
        <v>122</v>
      </c>
      <c r="TKV108" s="1" t="s">
        <v>122</v>
      </c>
      <c r="TKW108" s="1" t="s">
        <v>122</v>
      </c>
      <c r="TKX108" s="1" t="s">
        <v>122</v>
      </c>
      <c r="TKY108" s="1" t="s">
        <v>122</v>
      </c>
      <c r="TKZ108" s="1" t="s">
        <v>122</v>
      </c>
      <c r="TLA108" s="1" t="s">
        <v>122</v>
      </c>
      <c r="TLB108" s="1" t="s">
        <v>122</v>
      </c>
      <c r="TLC108" s="1" t="s">
        <v>122</v>
      </c>
      <c r="TLD108" s="1" t="s">
        <v>122</v>
      </c>
      <c r="TLE108" s="1" t="s">
        <v>122</v>
      </c>
      <c r="TLF108" s="1" t="s">
        <v>122</v>
      </c>
      <c r="TLG108" s="1" t="s">
        <v>122</v>
      </c>
      <c r="TLH108" s="1" t="s">
        <v>122</v>
      </c>
      <c r="TLI108" s="1" t="s">
        <v>122</v>
      </c>
      <c r="TLJ108" s="1" t="s">
        <v>122</v>
      </c>
      <c r="TLK108" s="1" t="s">
        <v>122</v>
      </c>
      <c r="TLL108" s="1" t="s">
        <v>122</v>
      </c>
      <c r="TLM108" s="1" t="s">
        <v>122</v>
      </c>
      <c r="TLN108" s="1" t="s">
        <v>122</v>
      </c>
      <c r="TLO108" s="1" t="s">
        <v>122</v>
      </c>
      <c r="TLP108" s="1" t="s">
        <v>122</v>
      </c>
      <c r="TLQ108" s="1" t="s">
        <v>122</v>
      </c>
      <c r="TLR108" s="1" t="s">
        <v>122</v>
      </c>
      <c r="TLS108" s="1" t="s">
        <v>122</v>
      </c>
      <c r="TLT108" s="1" t="s">
        <v>122</v>
      </c>
      <c r="TLU108" s="1" t="s">
        <v>122</v>
      </c>
      <c r="TLV108" s="1" t="s">
        <v>122</v>
      </c>
      <c r="TLW108" s="1" t="s">
        <v>122</v>
      </c>
      <c r="TLX108" s="1" t="s">
        <v>122</v>
      </c>
      <c r="TLY108" s="1" t="s">
        <v>122</v>
      </c>
      <c r="TLZ108" s="1" t="s">
        <v>122</v>
      </c>
      <c r="TMA108" s="1" t="s">
        <v>122</v>
      </c>
      <c r="TMB108" s="1" t="s">
        <v>122</v>
      </c>
      <c r="TMC108" s="1" t="s">
        <v>122</v>
      </c>
      <c r="TMD108" s="1" t="s">
        <v>122</v>
      </c>
      <c r="TME108" s="1" t="s">
        <v>122</v>
      </c>
      <c r="TMF108" s="1" t="s">
        <v>122</v>
      </c>
      <c r="TMG108" s="1" t="s">
        <v>122</v>
      </c>
      <c r="TMH108" s="1" t="s">
        <v>122</v>
      </c>
      <c r="TMI108" s="1" t="s">
        <v>122</v>
      </c>
      <c r="TMJ108" s="1" t="s">
        <v>122</v>
      </c>
      <c r="TMK108" s="1" t="s">
        <v>122</v>
      </c>
      <c r="TML108" s="1" t="s">
        <v>122</v>
      </c>
      <c r="TMM108" s="1" t="s">
        <v>122</v>
      </c>
      <c r="TMN108" s="1" t="s">
        <v>122</v>
      </c>
      <c r="TMO108" s="1" t="s">
        <v>122</v>
      </c>
      <c r="TMP108" s="1" t="s">
        <v>122</v>
      </c>
      <c r="TMQ108" s="1" t="s">
        <v>122</v>
      </c>
      <c r="TMR108" s="1" t="s">
        <v>122</v>
      </c>
      <c r="TMS108" s="1" t="s">
        <v>122</v>
      </c>
      <c r="TMT108" s="1" t="s">
        <v>122</v>
      </c>
      <c r="TMU108" s="1" t="s">
        <v>122</v>
      </c>
      <c r="TMV108" s="1" t="s">
        <v>122</v>
      </c>
      <c r="TMW108" s="1" t="s">
        <v>122</v>
      </c>
      <c r="TMX108" s="1" t="s">
        <v>122</v>
      </c>
      <c r="TMY108" s="1" t="s">
        <v>122</v>
      </c>
      <c r="TMZ108" s="1" t="s">
        <v>122</v>
      </c>
      <c r="TNA108" s="1" t="s">
        <v>122</v>
      </c>
      <c r="TNB108" s="1" t="s">
        <v>122</v>
      </c>
      <c r="TNC108" s="1" t="s">
        <v>122</v>
      </c>
      <c r="TND108" s="1" t="s">
        <v>122</v>
      </c>
      <c r="TNE108" s="1" t="s">
        <v>122</v>
      </c>
      <c r="TNF108" s="1" t="s">
        <v>122</v>
      </c>
      <c r="TNG108" s="1" t="s">
        <v>122</v>
      </c>
      <c r="TNH108" s="1" t="s">
        <v>122</v>
      </c>
      <c r="TNI108" s="1" t="s">
        <v>122</v>
      </c>
      <c r="TNJ108" s="1" t="s">
        <v>122</v>
      </c>
      <c r="TNK108" s="1" t="s">
        <v>122</v>
      </c>
      <c r="TNL108" s="1" t="s">
        <v>122</v>
      </c>
      <c r="TNM108" s="1" t="s">
        <v>122</v>
      </c>
      <c r="TNN108" s="1" t="s">
        <v>122</v>
      </c>
      <c r="TNO108" s="1" t="s">
        <v>122</v>
      </c>
      <c r="TNP108" s="1" t="s">
        <v>122</v>
      </c>
      <c r="TNQ108" s="1" t="s">
        <v>122</v>
      </c>
      <c r="TNR108" s="1" t="s">
        <v>122</v>
      </c>
      <c r="TNS108" s="1" t="s">
        <v>122</v>
      </c>
      <c r="TNT108" s="1" t="s">
        <v>122</v>
      </c>
      <c r="TNU108" s="1" t="s">
        <v>122</v>
      </c>
      <c r="TNV108" s="1" t="s">
        <v>122</v>
      </c>
      <c r="TNW108" s="1" t="s">
        <v>122</v>
      </c>
      <c r="TNX108" s="1" t="s">
        <v>122</v>
      </c>
      <c r="TNY108" s="1" t="s">
        <v>122</v>
      </c>
      <c r="TNZ108" s="1" t="s">
        <v>122</v>
      </c>
      <c r="TOA108" s="1" t="s">
        <v>122</v>
      </c>
      <c r="TOB108" s="1" t="s">
        <v>122</v>
      </c>
      <c r="TOC108" s="1" t="s">
        <v>122</v>
      </c>
      <c r="TOD108" s="1" t="s">
        <v>122</v>
      </c>
      <c r="TOE108" s="1" t="s">
        <v>122</v>
      </c>
      <c r="TOF108" s="1" t="s">
        <v>122</v>
      </c>
      <c r="TOG108" s="1" t="s">
        <v>122</v>
      </c>
      <c r="TOH108" s="1" t="s">
        <v>122</v>
      </c>
      <c r="TOI108" s="1" t="s">
        <v>122</v>
      </c>
      <c r="TOJ108" s="1" t="s">
        <v>122</v>
      </c>
      <c r="TOK108" s="1" t="s">
        <v>122</v>
      </c>
      <c r="TOL108" s="1" t="s">
        <v>122</v>
      </c>
      <c r="TOM108" s="1" t="s">
        <v>122</v>
      </c>
      <c r="TON108" s="1" t="s">
        <v>122</v>
      </c>
      <c r="TOO108" s="1" t="s">
        <v>122</v>
      </c>
      <c r="TOP108" s="1" t="s">
        <v>122</v>
      </c>
      <c r="TOQ108" s="1" t="s">
        <v>122</v>
      </c>
      <c r="TOR108" s="1" t="s">
        <v>122</v>
      </c>
      <c r="TOS108" s="1" t="s">
        <v>122</v>
      </c>
      <c r="TOT108" s="1" t="s">
        <v>122</v>
      </c>
      <c r="TOU108" s="1" t="s">
        <v>122</v>
      </c>
      <c r="TOV108" s="1" t="s">
        <v>122</v>
      </c>
      <c r="TOW108" s="1" t="s">
        <v>122</v>
      </c>
      <c r="TOX108" s="1" t="s">
        <v>122</v>
      </c>
      <c r="TOY108" s="1" t="s">
        <v>122</v>
      </c>
      <c r="TOZ108" s="1" t="s">
        <v>122</v>
      </c>
      <c r="TPA108" s="1" t="s">
        <v>122</v>
      </c>
      <c r="TPB108" s="1" t="s">
        <v>122</v>
      </c>
      <c r="TPC108" s="1" t="s">
        <v>122</v>
      </c>
      <c r="TPD108" s="1" t="s">
        <v>122</v>
      </c>
      <c r="TPE108" s="1" t="s">
        <v>122</v>
      </c>
      <c r="TPF108" s="1" t="s">
        <v>122</v>
      </c>
      <c r="TPG108" s="1" t="s">
        <v>122</v>
      </c>
      <c r="TPH108" s="1" t="s">
        <v>122</v>
      </c>
      <c r="TPI108" s="1" t="s">
        <v>122</v>
      </c>
      <c r="TPJ108" s="1" t="s">
        <v>122</v>
      </c>
      <c r="TPK108" s="1" t="s">
        <v>122</v>
      </c>
      <c r="TPL108" s="1" t="s">
        <v>122</v>
      </c>
      <c r="TPM108" s="1" t="s">
        <v>122</v>
      </c>
      <c r="TPN108" s="1" t="s">
        <v>122</v>
      </c>
      <c r="TPO108" s="1" t="s">
        <v>122</v>
      </c>
      <c r="TPP108" s="1" t="s">
        <v>122</v>
      </c>
      <c r="TPQ108" s="1" t="s">
        <v>122</v>
      </c>
      <c r="TPR108" s="1" t="s">
        <v>122</v>
      </c>
      <c r="TPS108" s="1" t="s">
        <v>122</v>
      </c>
      <c r="TPT108" s="1" t="s">
        <v>122</v>
      </c>
      <c r="TPU108" s="1" t="s">
        <v>122</v>
      </c>
      <c r="TPV108" s="1" t="s">
        <v>122</v>
      </c>
      <c r="TPW108" s="1" t="s">
        <v>122</v>
      </c>
      <c r="TPX108" s="1" t="s">
        <v>122</v>
      </c>
      <c r="TPY108" s="1" t="s">
        <v>122</v>
      </c>
      <c r="TPZ108" s="1" t="s">
        <v>122</v>
      </c>
      <c r="TQA108" s="1" t="s">
        <v>122</v>
      </c>
      <c r="TQB108" s="1" t="s">
        <v>122</v>
      </c>
      <c r="TQC108" s="1" t="s">
        <v>122</v>
      </c>
      <c r="TQD108" s="1" t="s">
        <v>122</v>
      </c>
      <c r="TQE108" s="1" t="s">
        <v>122</v>
      </c>
      <c r="TQF108" s="1" t="s">
        <v>122</v>
      </c>
      <c r="TQG108" s="1" t="s">
        <v>122</v>
      </c>
      <c r="TQH108" s="1" t="s">
        <v>122</v>
      </c>
      <c r="TQI108" s="1" t="s">
        <v>122</v>
      </c>
      <c r="TQJ108" s="1" t="s">
        <v>122</v>
      </c>
      <c r="TQK108" s="1" t="s">
        <v>122</v>
      </c>
      <c r="TQL108" s="1" t="s">
        <v>122</v>
      </c>
      <c r="TQM108" s="1" t="s">
        <v>122</v>
      </c>
      <c r="TQN108" s="1" t="s">
        <v>122</v>
      </c>
      <c r="TQO108" s="1" t="s">
        <v>122</v>
      </c>
      <c r="TQP108" s="1" t="s">
        <v>122</v>
      </c>
      <c r="TQQ108" s="1" t="s">
        <v>122</v>
      </c>
      <c r="TQR108" s="1" t="s">
        <v>122</v>
      </c>
      <c r="TQS108" s="1" t="s">
        <v>122</v>
      </c>
      <c r="TQT108" s="1" t="s">
        <v>122</v>
      </c>
      <c r="TQU108" s="1" t="s">
        <v>122</v>
      </c>
      <c r="TQV108" s="1" t="s">
        <v>122</v>
      </c>
      <c r="TQW108" s="1" t="s">
        <v>122</v>
      </c>
      <c r="TQX108" s="1" t="s">
        <v>122</v>
      </c>
      <c r="TQY108" s="1" t="s">
        <v>122</v>
      </c>
      <c r="TQZ108" s="1" t="s">
        <v>122</v>
      </c>
      <c r="TRA108" s="1" t="s">
        <v>122</v>
      </c>
      <c r="TRB108" s="1" t="s">
        <v>122</v>
      </c>
      <c r="TRC108" s="1" t="s">
        <v>122</v>
      </c>
      <c r="TRD108" s="1" t="s">
        <v>122</v>
      </c>
      <c r="TRE108" s="1" t="s">
        <v>122</v>
      </c>
      <c r="TRF108" s="1" t="s">
        <v>122</v>
      </c>
      <c r="TRG108" s="1" t="s">
        <v>122</v>
      </c>
      <c r="TRH108" s="1" t="s">
        <v>122</v>
      </c>
      <c r="TRI108" s="1" t="s">
        <v>122</v>
      </c>
      <c r="TRJ108" s="1" t="s">
        <v>122</v>
      </c>
      <c r="TRK108" s="1" t="s">
        <v>122</v>
      </c>
      <c r="TRL108" s="1" t="s">
        <v>122</v>
      </c>
      <c r="TRM108" s="1" t="s">
        <v>122</v>
      </c>
      <c r="TRN108" s="1" t="s">
        <v>122</v>
      </c>
      <c r="TRO108" s="1" t="s">
        <v>122</v>
      </c>
      <c r="TRP108" s="1" t="s">
        <v>122</v>
      </c>
      <c r="TRQ108" s="1" t="s">
        <v>122</v>
      </c>
      <c r="TRR108" s="1" t="s">
        <v>122</v>
      </c>
      <c r="TRS108" s="1" t="s">
        <v>122</v>
      </c>
      <c r="TRT108" s="1" t="s">
        <v>122</v>
      </c>
      <c r="TRU108" s="1" t="s">
        <v>122</v>
      </c>
      <c r="TRV108" s="1" t="s">
        <v>122</v>
      </c>
      <c r="TRW108" s="1" t="s">
        <v>122</v>
      </c>
      <c r="TRX108" s="1" t="s">
        <v>122</v>
      </c>
      <c r="TRY108" s="1" t="s">
        <v>122</v>
      </c>
      <c r="TRZ108" s="1" t="s">
        <v>122</v>
      </c>
      <c r="TSA108" s="1" t="s">
        <v>122</v>
      </c>
      <c r="TSB108" s="1" t="s">
        <v>122</v>
      </c>
      <c r="TSC108" s="1" t="s">
        <v>122</v>
      </c>
      <c r="TSD108" s="1" t="s">
        <v>122</v>
      </c>
      <c r="TSE108" s="1" t="s">
        <v>122</v>
      </c>
      <c r="TSF108" s="1" t="s">
        <v>122</v>
      </c>
      <c r="TSG108" s="1" t="s">
        <v>122</v>
      </c>
      <c r="TSH108" s="1" t="s">
        <v>122</v>
      </c>
      <c r="TSI108" s="1" t="s">
        <v>122</v>
      </c>
      <c r="TSJ108" s="1" t="s">
        <v>122</v>
      </c>
      <c r="TSK108" s="1" t="s">
        <v>122</v>
      </c>
      <c r="TSL108" s="1" t="s">
        <v>122</v>
      </c>
      <c r="TSM108" s="1" t="s">
        <v>122</v>
      </c>
      <c r="TSN108" s="1" t="s">
        <v>122</v>
      </c>
      <c r="TSO108" s="1" t="s">
        <v>122</v>
      </c>
      <c r="TSP108" s="1" t="s">
        <v>122</v>
      </c>
      <c r="TSQ108" s="1" t="s">
        <v>122</v>
      </c>
      <c r="TSR108" s="1" t="s">
        <v>122</v>
      </c>
      <c r="TSS108" s="1" t="s">
        <v>122</v>
      </c>
      <c r="TST108" s="1" t="s">
        <v>122</v>
      </c>
      <c r="TSU108" s="1" t="s">
        <v>122</v>
      </c>
      <c r="TSV108" s="1" t="s">
        <v>122</v>
      </c>
      <c r="TSW108" s="1" t="s">
        <v>122</v>
      </c>
      <c r="TSX108" s="1" t="s">
        <v>122</v>
      </c>
      <c r="TSY108" s="1" t="s">
        <v>122</v>
      </c>
      <c r="TSZ108" s="1" t="s">
        <v>122</v>
      </c>
      <c r="TTA108" s="1" t="s">
        <v>122</v>
      </c>
      <c r="TTB108" s="1" t="s">
        <v>122</v>
      </c>
      <c r="TTC108" s="1" t="s">
        <v>122</v>
      </c>
      <c r="TTD108" s="1" t="s">
        <v>122</v>
      </c>
      <c r="TTE108" s="1" t="s">
        <v>122</v>
      </c>
      <c r="TTF108" s="1" t="s">
        <v>122</v>
      </c>
      <c r="TTG108" s="1" t="s">
        <v>122</v>
      </c>
      <c r="TTH108" s="1" t="s">
        <v>122</v>
      </c>
      <c r="TTI108" s="1" t="s">
        <v>122</v>
      </c>
      <c r="TTJ108" s="1" t="s">
        <v>122</v>
      </c>
      <c r="TTK108" s="1" t="s">
        <v>122</v>
      </c>
      <c r="TTL108" s="1" t="s">
        <v>122</v>
      </c>
      <c r="TTM108" s="1" t="s">
        <v>122</v>
      </c>
      <c r="TTN108" s="1" t="s">
        <v>122</v>
      </c>
      <c r="TTO108" s="1" t="s">
        <v>122</v>
      </c>
      <c r="TTP108" s="1" t="s">
        <v>122</v>
      </c>
      <c r="TTQ108" s="1" t="s">
        <v>122</v>
      </c>
      <c r="TTR108" s="1" t="s">
        <v>122</v>
      </c>
      <c r="TTS108" s="1" t="s">
        <v>122</v>
      </c>
      <c r="TTT108" s="1" t="s">
        <v>122</v>
      </c>
      <c r="TTU108" s="1" t="s">
        <v>122</v>
      </c>
      <c r="TTV108" s="1" t="s">
        <v>122</v>
      </c>
      <c r="TTW108" s="1" t="s">
        <v>122</v>
      </c>
      <c r="TTX108" s="1" t="s">
        <v>122</v>
      </c>
      <c r="TTY108" s="1" t="s">
        <v>122</v>
      </c>
      <c r="TTZ108" s="1" t="s">
        <v>122</v>
      </c>
      <c r="TUA108" s="1" t="s">
        <v>122</v>
      </c>
      <c r="TUB108" s="1" t="s">
        <v>122</v>
      </c>
      <c r="TUC108" s="1" t="s">
        <v>122</v>
      </c>
      <c r="TUD108" s="1" t="s">
        <v>122</v>
      </c>
      <c r="TUE108" s="1" t="s">
        <v>122</v>
      </c>
      <c r="TUF108" s="1" t="s">
        <v>122</v>
      </c>
      <c r="TUG108" s="1" t="s">
        <v>122</v>
      </c>
      <c r="TUH108" s="1" t="s">
        <v>122</v>
      </c>
      <c r="TUI108" s="1" t="s">
        <v>122</v>
      </c>
      <c r="TUJ108" s="1" t="s">
        <v>122</v>
      </c>
      <c r="TUK108" s="1" t="s">
        <v>122</v>
      </c>
      <c r="TUL108" s="1" t="s">
        <v>122</v>
      </c>
      <c r="TUM108" s="1" t="s">
        <v>122</v>
      </c>
      <c r="TUN108" s="1" t="s">
        <v>122</v>
      </c>
      <c r="TUO108" s="1" t="s">
        <v>122</v>
      </c>
      <c r="TUP108" s="1" t="s">
        <v>122</v>
      </c>
      <c r="TUQ108" s="1" t="s">
        <v>122</v>
      </c>
      <c r="TUR108" s="1" t="s">
        <v>122</v>
      </c>
      <c r="TUS108" s="1" t="s">
        <v>122</v>
      </c>
      <c r="TUT108" s="1" t="s">
        <v>122</v>
      </c>
      <c r="TUU108" s="1" t="s">
        <v>122</v>
      </c>
      <c r="TUV108" s="1" t="s">
        <v>122</v>
      </c>
      <c r="TUW108" s="1" t="s">
        <v>122</v>
      </c>
      <c r="TUX108" s="1" t="s">
        <v>122</v>
      </c>
      <c r="TUY108" s="1" t="s">
        <v>122</v>
      </c>
      <c r="TUZ108" s="1" t="s">
        <v>122</v>
      </c>
      <c r="TVA108" s="1" t="s">
        <v>122</v>
      </c>
      <c r="TVB108" s="1" t="s">
        <v>122</v>
      </c>
      <c r="TVC108" s="1" t="s">
        <v>122</v>
      </c>
      <c r="TVD108" s="1" t="s">
        <v>122</v>
      </c>
      <c r="TVE108" s="1" t="s">
        <v>122</v>
      </c>
      <c r="TVF108" s="1" t="s">
        <v>122</v>
      </c>
      <c r="TVG108" s="1" t="s">
        <v>122</v>
      </c>
      <c r="TVH108" s="1" t="s">
        <v>122</v>
      </c>
      <c r="TVI108" s="1" t="s">
        <v>122</v>
      </c>
      <c r="TVJ108" s="1" t="s">
        <v>122</v>
      </c>
      <c r="TVK108" s="1" t="s">
        <v>122</v>
      </c>
      <c r="TVL108" s="1" t="s">
        <v>122</v>
      </c>
      <c r="TVM108" s="1" t="s">
        <v>122</v>
      </c>
      <c r="TVN108" s="1" t="s">
        <v>122</v>
      </c>
      <c r="TVO108" s="1" t="s">
        <v>122</v>
      </c>
      <c r="TVP108" s="1" t="s">
        <v>122</v>
      </c>
      <c r="TVQ108" s="1" t="s">
        <v>122</v>
      </c>
      <c r="TVR108" s="1" t="s">
        <v>122</v>
      </c>
      <c r="TVS108" s="1" t="s">
        <v>122</v>
      </c>
      <c r="TVT108" s="1" t="s">
        <v>122</v>
      </c>
      <c r="TVU108" s="1" t="s">
        <v>122</v>
      </c>
      <c r="TVV108" s="1" t="s">
        <v>122</v>
      </c>
      <c r="TVW108" s="1" t="s">
        <v>122</v>
      </c>
      <c r="TVX108" s="1" t="s">
        <v>122</v>
      </c>
      <c r="TVY108" s="1" t="s">
        <v>122</v>
      </c>
      <c r="TVZ108" s="1" t="s">
        <v>122</v>
      </c>
      <c r="TWA108" s="1" t="s">
        <v>122</v>
      </c>
      <c r="TWB108" s="1" t="s">
        <v>122</v>
      </c>
      <c r="TWC108" s="1" t="s">
        <v>122</v>
      </c>
      <c r="TWD108" s="1" t="s">
        <v>122</v>
      </c>
      <c r="TWE108" s="1" t="s">
        <v>122</v>
      </c>
      <c r="TWF108" s="1" t="s">
        <v>122</v>
      </c>
      <c r="TWG108" s="1" t="s">
        <v>122</v>
      </c>
      <c r="TWH108" s="1" t="s">
        <v>122</v>
      </c>
      <c r="TWI108" s="1" t="s">
        <v>122</v>
      </c>
      <c r="TWJ108" s="1" t="s">
        <v>122</v>
      </c>
      <c r="TWK108" s="1" t="s">
        <v>122</v>
      </c>
      <c r="TWL108" s="1" t="s">
        <v>122</v>
      </c>
      <c r="TWM108" s="1" t="s">
        <v>122</v>
      </c>
      <c r="TWN108" s="1" t="s">
        <v>122</v>
      </c>
      <c r="TWO108" s="1" t="s">
        <v>122</v>
      </c>
      <c r="TWP108" s="1" t="s">
        <v>122</v>
      </c>
      <c r="TWQ108" s="1" t="s">
        <v>122</v>
      </c>
      <c r="TWR108" s="1" t="s">
        <v>122</v>
      </c>
      <c r="TWS108" s="1" t="s">
        <v>122</v>
      </c>
      <c r="TWT108" s="1" t="s">
        <v>122</v>
      </c>
      <c r="TWU108" s="1" t="s">
        <v>122</v>
      </c>
      <c r="TWV108" s="1" t="s">
        <v>122</v>
      </c>
      <c r="TWW108" s="1" t="s">
        <v>122</v>
      </c>
      <c r="TWX108" s="1" t="s">
        <v>122</v>
      </c>
      <c r="TWY108" s="1" t="s">
        <v>122</v>
      </c>
      <c r="TWZ108" s="1" t="s">
        <v>122</v>
      </c>
      <c r="TXA108" s="1" t="s">
        <v>122</v>
      </c>
      <c r="TXB108" s="1" t="s">
        <v>122</v>
      </c>
      <c r="TXC108" s="1" t="s">
        <v>122</v>
      </c>
      <c r="TXD108" s="1" t="s">
        <v>122</v>
      </c>
      <c r="TXE108" s="1" t="s">
        <v>122</v>
      </c>
      <c r="TXF108" s="1" t="s">
        <v>122</v>
      </c>
      <c r="TXG108" s="1" t="s">
        <v>122</v>
      </c>
      <c r="TXH108" s="1" t="s">
        <v>122</v>
      </c>
      <c r="TXI108" s="1" t="s">
        <v>122</v>
      </c>
      <c r="TXJ108" s="1" t="s">
        <v>122</v>
      </c>
      <c r="TXK108" s="1" t="s">
        <v>122</v>
      </c>
      <c r="TXL108" s="1" t="s">
        <v>122</v>
      </c>
      <c r="TXM108" s="1" t="s">
        <v>122</v>
      </c>
      <c r="TXN108" s="1" t="s">
        <v>122</v>
      </c>
      <c r="TXO108" s="1" t="s">
        <v>122</v>
      </c>
      <c r="TXP108" s="1" t="s">
        <v>122</v>
      </c>
      <c r="TXQ108" s="1" t="s">
        <v>122</v>
      </c>
      <c r="TXR108" s="1" t="s">
        <v>122</v>
      </c>
      <c r="TXS108" s="1" t="s">
        <v>122</v>
      </c>
      <c r="TXT108" s="1" t="s">
        <v>122</v>
      </c>
      <c r="TXU108" s="1" t="s">
        <v>122</v>
      </c>
      <c r="TXV108" s="1" t="s">
        <v>122</v>
      </c>
      <c r="TXW108" s="1" t="s">
        <v>122</v>
      </c>
      <c r="TXX108" s="1" t="s">
        <v>122</v>
      </c>
      <c r="TXY108" s="1" t="s">
        <v>122</v>
      </c>
      <c r="TXZ108" s="1" t="s">
        <v>122</v>
      </c>
      <c r="TYA108" s="1" t="s">
        <v>122</v>
      </c>
      <c r="TYB108" s="1" t="s">
        <v>122</v>
      </c>
      <c r="TYC108" s="1" t="s">
        <v>122</v>
      </c>
      <c r="TYD108" s="1" t="s">
        <v>122</v>
      </c>
      <c r="TYE108" s="1" t="s">
        <v>122</v>
      </c>
      <c r="TYF108" s="1" t="s">
        <v>122</v>
      </c>
      <c r="TYG108" s="1" t="s">
        <v>122</v>
      </c>
      <c r="TYH108" s="1" t="s">
        <v>122</v>
      </c>
      <c r="TYI108" s="1" t="s">
        <v>122</v>
      </c>
      <c r="TYJ108" s="1" t="s">
        <v>122</v>
      </c>
      <c r="TYK108" s="1" t="s">
        <v>122</v>
      </c>
      <c r="TYL108" s="1" t="s">
        <v>122</v>
      </c>
      <c r="TYM108" s="1" t="s">
        <v>122</v>
      </c>
      <c r="TYN108" s="1" t="s">
        <v>122</v>
      </c>
      <c r="TYO108" s="1" t="s">
        <v>122</v>
      </c>
      <c r="TYP108" s="1" t="s">
        <v>122</v>
      </c>
      <c r="TYQ108" s="1" t="s">
        <v>122</v>
      </c>
      <c r="TYR108" s="1" t="s">
        <v>122</v>
      </c>
      <c r="TYS108" s="1" t="s">
        <v>122</v>
      </c>
      <c r="TYT108" s="1" t="s">
        <v>122</v>
      </c>
      <c r="TYU108" s="1" t="s">
        <v>122</v>
      </c>
      <c r="TYV108" s="1" t="s">
        <v>122</v>
      </c>
      <c r="TYW108" s="1" t="s">
        <v>122</v>
      </c>
      <c r="TYX108" s="1" t="s">
        <v>122</v>
      </c>
      <c r="TYY108" s="1" t="s">
        <v>122</v>
      </c>
      <c r="TYZ108" s="1" t="s">
        <v>122</v>
      </c>
      <c r="TZA108" s="1" t="s">
        <v>122</v>
      </c>
      <c r="TZB108" s="1" t="s">
        <v>122</v>
      </c>
      <c r="TZC108" s="1" t="s">
        <v>122</v>
      </c>
      <c r="TZD108" s="1" t="s">
        <v>122</v>
      </c>
      <c r="TZE108" s="1" t="s">
        <v>122</v>
      </c>
      <c r="TZF108" s="1" t="s">
        <v>122</v>
      </c>
      <c r="TZG108" s="1" t="s">
        <v>122</v>
      </c>
      <c r="TZH108" s="1" t="s">
        <v>122</v>
      </c>
      <c r="TZI108" s="1" t="s">
        <v>122</v>
      </c>
      <c r="TZJ108" s="1" t="s">
        <v>122</v>
      </c>
      <c r="TZK108" s="1" t="s">
        <v>122</v>
      </c>
      <c r="TZL108" s="1" t="s">
        <v>122</v>
      </c>
      <c r="TZM108" s="1" t="s">
        <v>122</v>
      </c>
      <c r="TZN108" s="1" t="s">
        <v>122</v>
      </c>
      <c r="TZO108" s="1" t="s">
        <v>122</v>
      </c>
      <c r="TZP108" s="1" t="s">
        <v>122</v>
      </c>
      <c r="TZQ108" s="1" t="s">
        <v>122</v>
      </c>
      <c r="TZR108" s="1" t="s">
        <v>122</v>
      </c>
      <c r="TZS108" s="1" t="s">
        <v>122</v>
      </c>
      <c r="TZT108" s="1" t="s">
        <v>122</v>
      </c>
      <c r="TZU108" s="1" t="s">
        <v>122</v>
      </c>
      <c r="TZV108" s="1" t="s">
        <v>122</v>
      </c>
      <c r="TZW108" s="1" t="s">
        <v>122</v>
      </c>
      <c r="TZX108" s="1" t="s">
        <v>122</v>
      </c>
      <c r="TZY108" s="1" t="s">
        <v>122</v>
      </c>
      <c r="TZZ108" s="1" t="s">
        <v>122</v>
      </c>
      <c r="UAA108" s="1" t="s">
        <v>122</v>
      </c>
      <c r="UAB108" s="1" t="s">
        <v>122</v>
      </c>
      <c r="UAC108" s="1" t="s">
        <v>122</v>
      </c>
      <c r="UAD108" s="1" t="s">
        <v>122</v>
      </c>
      <c r="UAE108" s="1" t="s">
        <v>122</v>
      </c>
      <c r="UAF108" s="1" t="s">
        <v>122</v>
      </c>
      <c r="UAG108" s="1" t="s">
        <v>122</v>
      </c>
      <c r="UAH108" s="1" t="s">
        <v>122</v>
      </c>
      <c r="UAI108" s="1" t="s">
        <v>122</v>
      </c>
      <c r="UAJ108" s="1" t="s">
        <v>122</v>
      </c>
      <c r="UAK108" s="1" t="s">
        <v>122</v>
      </c>
      <c r="UAL108" s="1" t="s">
        <v>122</v>
      </c>
      <c r="UAM108" s="1" t="s">
        <v>122</v>
      </c>
      <c r="UAN108" s="1" t="s">
        <v>122</v>
      </c>
      <c r="UAO108" s="1" t="s">
        <v>122</v>
      </c>
      <c r="UAP108" s="1" t="s">
        <v>122</v>
      </c>
      <c r="UAQ108" s="1" t="s">
        <v>122</v>
      </c>
      <c r="UAR108" s="1" t="s">
        <v>122</v>
      </c>
      <c r="UAS108" s="1" t="s">
        <v>122</v>
      </c>
      <c r="UAT108" s="1" t="s">
        <v>122</v>
      </c>
      <c r="UAU108" s="1" t="s">
        <v>122</v>
      </c>
      <c r="UAV108" s="1" t="s">
        <v>122</v>
      </c>
      <c r="UAW108" s="1" t="s">
        <v>122</v>
      </c>
      <c r="UAX108" s="1" t="s">
        <v>122</v>
      </c>
      <c r="UAY108" s="1" t="s">
        <v>122</v>
      </c>
      <c r="UAZ108" s="1" t="s">
        <v>122</v>
      </c>
      <c r="UBA108" s="1" t="s">
        <v>122</v>
      </c>
      <c r="UBB108" s="1" t="s">
        <v>122</v>
      </c>
      <c r="UBC108" s="1" t="s">
        <v>122</v>
      </c>
      <c r="UBD108" s="1" t="s">
        <v>122</v>
      </c>
      <c r="UBE108" s="1" t="s">
        <v>122</v>
      </c>
      <c r="UBF108" s="1" t="s">
        <v>122</v>
      </c>
      <c r="UBG108" s="1" t="s">
        <v>122</v>
      </c>
      <c r="UBH108" s="1" t="s">
        <v>122</v>
      </c>
      <c r="UBI108" s="1" t="s">
        <v>122</v>
      </c>
      <c r="UBJ108" s="1" t="s">
        <v>122</v>
      </c>
      <c r="UBK108" s="1" t="s">
        <v>122</v>
      </c>
      <c r="UBL108" s="1" t="s">
        <v>122</v>
      </c>
      <c r="UBM108" s="1" t="s">
        <v>122</v>
      </c>
      <c r="UBN108" s="1" t="s">
        <v>122</v>
      </c>
      <c r="UBO108" s="1" t="s">
        <v>122</v>
      </c>
      <c r="UBP108" s="1" t="s">
        <v>122</v>
      </c>
      <c r="UBQ108" s="1" t="s">
        <v>122</v>
      </c>
      <c r="UBR108" s="1" t="s">
        <v>122</v>
      </c>
      <c r="UBS108" s="1" t="s">
        <v>122</v>
      </c>
      <c r="UBT108" s="1" t="s">
        <v>122</v>
      </c>
      <c r="UBU108" s="1" t="s">
        <v>122</v>
      </c>
      <c r="UBV108" s="1" t="s">
        <v>122</v>
      </c>
      <c r="UBW108" s="1" t="s">
        <v>122</v>
      </c>
      <c r="UBX108" s="1" t="s">
        <v>122</v>
      </c>
      <c r="UBY108" s="1" t="s">
        <v>122</v>
      </c>
      <c r="UBZ108" s="1" t="s">
        <v>122</v>
      </c>
      <c r="UCA108" s="1" t="s">
        <v>122</v>
      </c>
      <c r="UCB108" s="1" t="s">
        <v>122</v>
      </c>
      <c r="UCC108" s="1" t="s">
        <v>122</v>
      </c>
      <c r="UCD108" s="1" t="s">
        <v>122</v>
      </c>
      <c r="UCE108" s="1" t="s">
        <v>122</v>
      </c>
      <c r="UCF108" s="1" t="s">
        <v>122</v>
      </c>
      <c r="UCG108" s="1" t="s">
        <v>122</v>
      </c>
      <c r="UCH108" s="1" t="s">
        <v>122</v>
      </c>
      <c r="UCI108" s="1" t="s">
        <v>122</v>
      </c>
      <c r="UCJ108" s="1" t="s">
        <v>122</v>
      </c>
      <c r="UCK108" s="1" t="s">
        <v>122</v>
      </c>
      <c r="UCL108" s="1" t="s">
        <v>122</v>
      </c>
      <c r="UCM108" s="1" t="s">
        <v>122</v>
      </c>
      <c r="UCN108" s="1" t="s">
        <v>122</v>
      </c>
      <c r="UCO108" s="1" t="s">
        <v>122</v>
      </c>
      <c r="UCP108" s="1" t="s">
        <v>122</v>
      </c>
      <c r="UCQ108" s="1" t="s">
        <v>122</v>
      </c>
      <c r="UCR108" s="1" t="s">
        <v>122</v>
      </c>
      <c r="UCS108" s="1" t="s">
        <v>122</v>
      </c>
      <c r="UCT108" s="1" t="s">
        <v>122</v>
      </c>
      <c r="UCU108" s="1" t="s">
        <v>122</v>
      </c>
      <c r="UCV108" s="1" t="s">
        <v>122</v>
      </c>
      <c r="UCW108" s="1" t="s">
        <v>122</v>
      </c>
      <c r="UCX108" s="1" t="s">
        <v>122</v>
      </c>
      <c r="UCY108" s="1" t="s">
        <v>122</v>
      </c>
      <c r="UCZ108" s="1" t="s">
        <v>122</v>
      </c>
      <c r="UDA108" s="1" t="s">
        <v>122</v>
      </c>
      <c r="UDB108" s="1" t="s">
        <v>122</v>
      </c>
      <c r="UDC108" s="1" t="s">
        <v>122</v>
      </c>
      <c r="UDD108" s="1" t="s">
        <v>122</v>
      </c>
      <c r="UDE108" s="1" t="s">
        <v>122</v>
      </c>
      <c r="UDF108" s="1" t="s">
        <v>122</v>
      </c>
      <c r="UDG108" s="1" t="s">
        <v>122</v>
      </c>
      <c r="UDH108" s="1" t="s">
        <v>122</v>
      </c>
      <c r="UDI108" s="1" t="s">
        <v>122</v>
      </c>
      <c r="UDJ108" s="1" t="s">
        <v>122</v>
      </c>
      <c r="UDK108" s="1" t="s">
        <v>122</v>
      </c>
      <c r="UDL108" s="1" t="s">
        <v>122</v>
      </c>
      <c r="UDM108" s="1" t="s">
        <v>122</v>
      </c>
      <c r="UDN108" s="1" t="s">
        <v>122</v>
      </c>
      <c r="UDO108" s="1" t="s">
        <v>122</v>
      </c>
      <c r="UDP108" s="1" t="s">
        <v>122</v>
      </c>
      <c r="UDQ108" s="1" t="s">
        <v>122</v>
      </c>
      <c r="UDR108" s="1" t="s">
        <v>122</v>
      </c>
      <c r="UDS108" s="1" t="s">
        <v>122</v>
      </c>
      <c r="UDT108" s="1" t="s">
        <v>122</v>
      </c>
      <c r="UDU108" s="1" t="s">
        <v>122</v>
      </c>
      <c r="UDV108" s="1" t="s">
        <v>122</v>
      </c>
      <c r="UDW108" s="1" t="s">
        <v>122</v>
      </c>
      <c r="UDX108" s="1" t="s">
        <v>122</v>
      </c>
      <c r="UDY108" s="1" t="s">
        <v>122</v>
      </c>
      <c r="UDZ108" s="1" t="s">
        <v>122</v>
      </c>
      <c r="UEA108" s="1" t="s">
        <v>122</v>
      </c>
      <c r="UEB108" s="1" t="s">
        <v>122</v>
      </c>
      <c r="UEC108" s="1" t="s">
        <v>122</v>
      </c>
      <c r="UED108" s="1" t="s">
        <v>122</v>
      </c>
      <c r="UEE108" s="1" t="s">
        <v>122</v>
      </c>
      <c r="UEF108" s="1" t="s">
        <v>122</v>
      </c>
      <c r="UEG108" s="1" t="s">
        <v>122</v>
      </c>
      <c r="UEH108" s="1" t="s">
        <v>122</v>
      </c>
      <c r="UEI108" s="1" t="s">
        <v>122</v>
      </c>
      <c r="UEJ108" s="1" t="s">
        <v>122</v>
      </c>
      <c r="UEK108" s="1" t="s">
        <v>122</v>
      </c>
      <c r="UEL108" s="1" t="s">
        <v>122</v>
      </c>
      <c r="UEM108" s="1" t="s">
        <v>122</v>
      </c>
      <c r="UEN108" s="1" t="s">
        <v>122</v>
      </c>
      <c r="UEO108" s="1" t="s">
        <v>122</v>
      </c>
      <c r="UEP108" s="1" t="s">
        <v>122</v>
      </c>
      <c r="UEQ108" s="1" t="s">
        <v>122</v>
      </c>
      <c r="UER108" s="1" t="s">
        <v>122</v>
      </c>
      <c r="UES108" s="1" t="s">
        <v>122</v>
      </c>
      <c r="UET108" s="1" t="s">
        <v>122</v>
      </c>
      <c r="UEU108" s="1" t="s">
        <v>122</v>
      </c>
      <c r="UEV108" s="1" t="s">
        <v>122</v>
      </c>
      <c r="UEW108" s="1" t="s">
        <v>122</v>
      </c>
      <c r="UEX108" s="1" t="s">
        <v>122</v>
      </c>
      <c r="UEY108" s="1" t="s">
        <v>122</v>
      </c>
      <c r="UEZ108" s="1" t="s">
        <v>122</v>
      </c>
      <c r="UFA108" s="1" t="s">
        <v>122</v>
      </c>
      <c r="UFB108" s="1" t="s">
        <v>122</v>
      </c>
      <c r="UFC108" s="1" t="s">
        <v>122</v>
      </c>
      <c r="UFD108" s="1" t="s">
        <v>122</v>
      </c>
      <c r="UFE108" s="1" t="s">
        <v>122</v>
      </c>
      <c r="UFF108" s="1" t="s">
        <v>122</v>
      </c>
      <c r="UFG108" s="1" t="s">
        <v>122</v>
      </c>
      <c r="UFH108" s="1" t="s">
        <v>122</v>
      </c>
      <c r="UFI108" s="1" t="s">
        <v>122</v>
      </c>
      <c r="UFJ108" s="1" t="s">
        <v>122</v>
      </c>
      <c r="UFK108" s="1" t="s">
        <v>122</v>
      </c>
      <c r="UFL108" s="1" t="s">
        <v>122</v>
      </c>
      <c r="UFM108" s="1" t="s">
        <v>122</v>
      </c>
      <c r="UFN108" s="1" t="s">
        <v>122</v>
      </c>
      <c r="UFO108" s="1" t="s">
        <v>122</v>
      </c>
      <c r="UFP108" s="1" t="s">
        <v>122</v>
      </c>
      <c r="UFQ108" s="1" t="s">
        <v>122</v>
      </c>
      <c r="UFR108" s="1" t="s">
        <v>122</v>
      </c>
      <c r="UFS108" s="1" t="s">
        <v>122</v>
      </c>
      <c r="UFT108" s="1" t="s">
        <v>122</v>
      </c>
      <c r="UFU108" s="1" t="s">
        <v>122</v>
      </c>
      <c r="UFV108" s="1" t="s">
        <v>122</v>
      </c>
      <c r="UFW108" s="1" t="s">
        <v>122</v>
      </c>
      <c r="UFX108" s="1" t="s">
        <v>122</v>
      </c>
      <c r="UFY108" s="1" t="s">
        <v>122</v>
      </c>
      <c r="UFZ108" s="1" t="s">
        <v>122</v>
      </c>
      <c r="UGA108" s="1" t="s">
        <v>122</v>
      </c>
      <c r="UGB108" s="1" t="s">
        <v>122</v>
      </c>
      <c r="UGC108" s="1" t="s">
        <v>122</v>
      </c>
      <c r="UGD108" s="1" t="s">
        <v>122</v>
      </c>
      <c r="UGE108" s="1" t="s">
        <v>122</v>
      </c>
      <c r="UGF108" s="1" t="s">
        <v>122</v>
      </c>
      <c r="UGG108" s="1" t="s">
        <v>122</v>
      </c>
      <c r="UGH108" s="1" t="s">
        <v>122</v>
      </c>
      <c r="UGI108" s="1" t="s">
        <v>122</v>
      </c>
      <c r="UGJ108" s="1" t="s">
        <v>122</v>
      </c>
      <c r="UGK108" s="1" t="s">
        <v>122</v>
      </c>
      <c r="UGL108" s="1" t="s">
        <v>122</v>
      </c>
      <c r="UGM108" s="1" t="s">
        <v>122</v>
      </c>
      <c r="UGN108" s="1" t="s">
        <v>122</v>
      </c>
      <c r="UGO108" s="1" t="s">
        <v>122</v>
      </c>
      <c r="UGP108" s="1" t="s">
        <v>122</v>
      </c>
      <c r="UGQ108" s="1" t="s">
        <v>122</v>
      </c>
      <c r="UGR108" s="1" t="s">
        <v>122</v>
      </c>
      <c r="UGS108" s="1" t="s">
        <v>122</v>
      </c>
      <c r="UGT108" s="1" t="s">
        <v>122</v>
      </c>
      <c r="UGU108" s="1" t="s">
        <v>122</v>
      </c>
      <c r="UGV108" s="1" t="s">
        <v>122</v>
      </c>
      <c r="UGW108" s="1" t="s">
        <v>122</v>
      </c>
      <c r="UGX108" s="1" t="s">
        <v>122</v>
      </c>
      <c r="UGY108" s="1" t="s">
        <v>122</v>
      </c>
      <c r="UGZ108" s="1" t="s">
        <v>122</v>
      </c>
      <c r="UHA108" s="1" t="s">
        <v>122</v>
      </c>
      <c r="UHB108" s="1" t="s">
        <v>122</v>
      </c>
      <c r="UHC108" s="1" t="s">
        <v>122</v>
      </c>
      <c r="UHD108" s="1" t="s">
        <v>122</v>
      </c>
      <c r="UHE108" s="1" t="s">
        <v>122</v>
      </c>
      <c r="UHF108" s="1" t="s">
        <v>122</v>
      </c>
      <c r="UHG108" s="1" t="s">
        <v>122</v>
      </c>
      <c r="UHH108" s="1" t="s">
        <v>122</v>
      </c>
      <c r="UHI108" s="1" t="s">
        <v>122</v>
      </c>
      <c r="UHJ108" s="1" t="s">
        <v>122</v>
      </c>
      <c r="UHK108" s="1" t="s">
        <v>122</v>
      </c>
      <c r="UHL108" s="1" t="s">
        <v>122</v>
      </c>
      <c r="UHM108" s="1" t="s">
        <v>122</v>
      </c>
      <c r="UHN108" s="1" t="s">
        <v>122</v>
      </c>
      <c r="UHO108" s="1" t="s">
        <v>122</v>
      </c>
      <c r="UHP108" s="1" t="s">
        <v>122</v>
      </c>
      <c r="UHQ108" s="1" t="s">
        <v>122</v>
      </c>
      <c r="UHR108" s="1" t="s">
        <v>122</v>
      </c>
      <c r="UHS108" s="1" t="s">
        <v>122</v>
      </c>
      <c r="UHT108" s="1" t="s">
        <v>122</v>
      </c>
      <c r="UHU108" s="1" t="s">
        <v>122</v>
      </c>
      <c r="UHV108" s="1" t="s">
        <v>122</v>
      </c>
      <c r="UHW108" s="1" t="s">
        <v>122</v>
      </c>
      <c r="UHX108" s="1" t="s">
        <v>122</v>
      </c>
      <c r="UHY108" s="1" t="s">
        <v>122</v>
      </c>
      <c r="UHZ108" s="1" t="s">
        <v>122</v>
      </c>
      <c r="UIA108" s="1" t="s">
        <v>122</v>
      </c>
      <c r="UIB108" s="1" t="s">
        <v>122</v>
      </c>
      <c r="UIC108" s="1" t="s">
        <v>122</v>
      </c>
      <c r="UID108" s="1" t="s">
        <v>122</v>
      </c>
      <c r="UIE108" s="1" t="s">
        <v>122</v>
      </c>
      <c r="UIF108" s="1" t="s">
        <v>122</v>
      </c>
      <c r="UIG108" s="1" t="s">
        <v>122</v>
      </c>
      <c r="UIH108" s="1" t="s">
        <v>122</v>
      </c>
      <c r="UII108" s="1" t="s">
        <v>122</v>
      </c>
      <c r="UIJ108" s="1" t="s">
        <v>122</v>
      </c>
      <c r="UIK108" s="1" t="s">
        <v>122</v>
      </c>
      <c r="UIL108" s="1" t="s">
        <v>122</v>
      </c>
      <c r="UIM108" s="1" t="s">
        <v>122</v>
      </c>
      <c r="UIN108" s="1" t="s">
        <v>122</v>
      </c>
      <c r="UIO108" s="1" t="s">
        <v>122</v>
      </c>
      <c r="UIP108" s="1" t="s">
        <v>122</v>
      </c>
      <c r="UIQ108" s="1" t="s">
        <v>122</v>
      </c>
      <c r="UIR108" s="1" t="s">
        <v>122</v>
      </c>
      <c r="UIS108" s="1" t="s">
        <v>122</v>
      </c>
      <c r="UIT108" s="1" t="s">
        <v>122</v>
      </c>
      <c r="UIU108" s="1" t="s">
        <v>122</v>
      </c>
      <c r="UIV108" s="1" t="s">
        <v>122</v>
      </c>
      <c r="UIW108" s="1" t="s">
        <v>122</v>
      </c>
      <c r="UIX108" s="1" t="s">
        <v>122</v>
      </c>
      <c r="UIY108" s="1" t="s">
        <v>122</v>
      </c>
      <c r="UIZ108" s="1" t="s">
        <v>122</v>
      </c>
      <c r="UJA108" s="1" t="s">
        <v>122</v>
      </c>
      <c r="UJB108" s="1" t="s">
        <v>122</v>
      </c>
      <c r="UJC108" s="1" t="s">
        <v>122</v>
      </c>
      <c r="UJD108" s="1" t="s">
        <v>122</v>
      </c>
      <c r="UJE108" s="1" t="s">
        <v>122</v>
      </c>
      <c r="UJF108" s="1" t="s">
        <v>122</v>
      </c>
      <c r="UJG108" s="1" t="s">
        <v>122</v>
      </c>
      <c r="UJH108" s="1" t="s">
        <v>122</v>
      </c>
      <c r="UJI108" s="1" t="s">
        <v>122</v>
      </c>
      <c r="UJJ108" s="1" t="s">
        <v>122</v>
      </c>
      <c r="UJK108" s="1" t="s">
        <v>122</v>
      </c>
      <c r="UJL108" s="1" t="s">
        <v>122</v>
      </c>
      <c r="UJM108" s="1" t="s">
        <v>122</v>
      </c>
      <c r="UJN108" s="1" t="s">
        <v>122</v>
      </c>
      <c r="UJO108" s="1" t="s">
        <v>122</v>
      </c>
      <c r="UJP108" s="1" t="s">
        <v>122</v>
      </c>
      <c r="UJQ108" s="1" t="s">
        <v>122</v>
      </c>
      <c r="UJR108" s="1" t="s">
        <v>122</v>
      </c>
      <c r="UJS108" s="1" t="s">
        <v>122</v>
      </c>
      <c r="UJT108" s="1" t="s">
        <v>122</v>
      </c>
      <c r="UJU108" s="1" t="s">
        <v>122</v>
      </c>
      <c r="UJV108" s="1" t="s">
        <v>122</v>
      </c>
      <c r="UJW108" s="1" t="s">
        <v>122</v>
      </c>
      <c r="UJX108" s="1" t="s">
        <v>122</v>
      </c>
      <c r="UJY108" s="1" t="s">
        <v>122</v>
      </c>
      <c r="UJZ108" s="1" t="s">
        <v>122</v>
      </c>
      <c r="UKA108" s="1" t="s">
        <v>122</v>
      </c>
      <c r="UKB108" s="1" t="s">
        <v>122</v>
      </c>
      <c r="UKC108" s="1" t="s">
        <v>122</v>
      </c>
      <c r="UKD108" s="1" t="s">
        <v>122</v>
      </c>
      <c r="UKE108" s="1" t="s">
        <v>122</v>
      </c>
      <c r="UKF108" s="1" t="s">
        <v>122</v>
      </c>
      <c r="UKG108" s="1" t="s">
        <v>122</v>
      </c>
      <c r="UKH108" s="1" t="s">
        <v>122</v>
      </c>
      <c r="UKI108" s="1" t="s">
        <v>122</v>
      </c>
      <c r="UKJ108" s="1" t="s">
        <v>122</v>
      </c>
      <c r="UKK108" s="1" t="s">
        <v>122</v>
      </c>
      <c r="UKL108" s="1" t="s">
        <v>122</v>
      </c>
      <c r="UKM108" s="1" t="s">
        <v>122</v>
      </c>
      <c r="UKN108" s="1" t="s">
        <v>122</v>
      </c>
      <c r="UKO108" s="1" t="s">
        <v>122</v>
      </c>
      <c r="UKP108" s="1" t="s">
        <v>122</v>
      </c>
      <c r="UKQ108" s="1" t="s">
        <v>122</v>
      </c>
      <c r="UKR108" s="1" t="s">
        <v>122</v>
      </c>
      <c r="UKS108" s="1" t="s">
        <v>122</v>
      </c>
      <c r="UKT108" s="1" t="s">
        <v>122</v>
      </c>
      <c r="UKU108" s="1" t="s">
        <v>122</v>
      </c>
      <c r="UKV108" s="1" t="s">
        <v>122</v>
      </c>
      <c r="UKW108" s="1" t="s">
        <v>122</v>
      </c>
      <c r="UKX108" s="1" t="s">
        <v>122</v>
      </c>
      <c r="UKY108" s="1" t="s">
        <v>122</v>
      </c>
      <c r="UKZ108" s="1" t="s">
        <v>122</v>
      </c>
      <c r="ULA108" s="1" t="s">
        <v>122</v>
      </c>
      <c r="ULB108" s="1" t="s">
        <v>122</v>
      </c>
      <c r="ULC108" s="1" t="s">
        <v>122</v>
      </c>
      <c r="ULD108" s="1" t="s">
        <v>122</v>
      </c>
      <c r="ULE108" s="1" t="s">
        <v>122</v>
      </c>
      <c r="ULF108" s="1" t="s">
        <v>122</v>
      </c>
      <c r="ULG108" s="1" t="s">
        <v>122</v>
      </c>
      <c r="ULH108" s="1" t="s">
        <v>122</v>
      </c>
      <c r="ULI108" s="1" t="s">
        <v>122</v>
      </c>
      <c r="ULJ108" s="1" t="s">
        <v>122</v>
      </c>
      <c r="ULK108" s="1" t="s">
        <v>122</v>
      </c>
      <c r="ULL108" s="1" t="s">
        <v>122</v>
      </c>
      <c r="ULM108" s="1" t="s">
        <v>122</v>
      </c>
      <c r="ULN108" s="1" t="s">
        <v>122</v>
      </c>
      <c r="ULO108" s="1" t="s">
        <v>122</v>
      </c>
      <c r="ULP108" s="1" t="s">
        <v>122</v>
      </c>
      <c r="ULQ108" s="1" t="s">
        <v>122</v>
      </c>
      <c r="ULR108" s="1" t="s">
        <v>122</v>
      </c>
      <c r="ULS108" s="1" t="s">
        <v>122</v>
      </c>
      <c r="ULT108" s="1" t="s">
        <v>122</v>
      </c>
      <c r="ULU108" s="1" t="s">
        <v>122</v>
      </c>
      <c r="ULV108" s="1" t="s">
        <v>122</v>
      </c>
      <c r="ULW108" s="1" t="s">
        <v>122</v>
      </c>
      <c r="ULX108" s="1" t="s">
        <v>122</v>
      </c>
      <c r="ULY108" s="1" t="s">
        <v>122</v>
      </c>
      <c r="ULZ108" s="1" t="s">
        <v>122</v>
      </c>
      <c r="UMA108" s="1" t="s">
        <v>122</v>
      </c>
      <c r="UMB108" s="1" t="s">
        <v>122</v>
      </c>
      <c r="UMC108" s="1" t="s">
        <v>122</v>
      </c>
      <c r="UMD108" s="1" t="s">
        <v>122</v>
      </c>
      <c r="UME108" s="1" t="s">
        <v>122</v>
      </c>
      <c r="UMF108" s="1" t="s">
        <v>122</v>
      </c>
      <c r="UMG108" s="1" t="s">
        <v>122</v>
      </c>
      <c r="UMH108" s="1" t="s">
        <v>122</v>
      </c>
      <c r="UMI108" s="1" t="s">
        <v>122</v>
      </c>
      <c r="UMJ108" s="1" t="s">
        <v>122</v>
      </c>
      <c r="UMK108" s="1" t="s">
        <v>122</v>
      </c>
      <c r="UML108" s="1" t="s">
        <v>122</v>
      </c>
      <c r="UMM108" s="1" t="s">
        <v>122</v>
      </c>
      <c r="UMN108" s="1" t="s">
        <v>122</v>
      </c>
      <c r="UMO108" s="1" t="s">
        <v>122</v>
      </c>
      <c r="UMP108" s="1" t="s">
        <v>122</v>
      </c>
      <c r="UMQ108" s="1" t="s">
        <v>122</v>
      </c>
      <c r="UMR108" s="1" t="s">
        <v>122</v>
      </c>
      <c r="UMS108" s="1" t="s">
        <v>122</v>
      </c>
      <c r="UMT108" s="1" t="s">
        <v>122</v>
      </c>
      <c r="UMU108" s="1" t="s">
        <v>122</v>
      </c>
      <c r="UMV108" s="1" t="s">
        <v>122</v>
      </c>
      <c r="UMW108" s="1" t="s">
        <v>122</v>
      </c>
      <c r="UMX108" s="1" t="s">
        <v>122</v>
      </c>
      <c r="UMY108" s="1" t="s">
        <v>122</v>
      </c>
      <c r="UMZ108" s="1" t="s">
        <v>122</v>
      </c>
      <c r="UNA108" s="1" t="s">
        <v>122</v>
      </c>
      <c r="UNB108" s="1" t="s">
        <v>122</v>
      </c>
      <c r="UNC108" s="1" t="s">
        <v>122</v>
      </c>
      <c r="UND108" s="1" t="s">
        <v>122</v>
      </c>
      <c r="UNE108" s="1" t="s">
        <v>122</v>
      </c>
      <c r="UNF108" s="1" t="s">
        <v>122</v>
      </c>
      <c r="UNG108" s="1" t="s">
        <v>122</v>
      </c>
      <c r="UNH108" s="1" t="s">
        <v>122</v>
      </c>
      <c r="UNI108" s="1" t="s">
        <v>122</v>
      </c>
      <c r="UNJ108" s="1" t="s">
        <v>122</v>
      </c>
      <c r="UNK108" s="1" t="s">
        <v>122</v>
      </c>
      <c r="UNL108" s="1" t="s">
        <v>122</v>
      </c>
      <c r="UNM108" s="1" t="s">
        <v>122</v>
      </c>
      <c r="UNN108" s="1" t="s">
        <v>122</v>
      </c>
      <c r="UNO108" s="1" t="s">
        <v>122</v>
      </c>
      <c r="UNP108" s="1" t="s">
        <v>122</v>
      </c>
      <c r="UNQ108" s="1" t="s">
        <v>122</v>
      </c>
      <c r="UNR108" s="1" t="s">
        <v>122</v>
      </c>
      <c r="UNS108" s="1" t="s">
        <v>122</v>
      </c>
      <c r="UNT108" s="1" t="s">
        <v>122</v>
      </c>
      <c r="UNU108" s="1" t="s">
        <v>122</v>
      </c>
      <c r="UNV108" s="1" t="s">
        <v>122</v>
      </c>
      <c r="UNW108" s="1" t="s">
        <v>122</v>
      </c>
      <c r="UNX108" s="1" t="s">
        <v>122</v>
      </c>
      <c r="UNY108" s="1" t="s">
        <v>122</v>
      </c>
      <c r="UNZ108" s="1" t="s">
        <v>122</v>
      </c>
      <c r="UOA108" s="1" t="s">
        <v>122</v>
      </c>
      <c r="UOB108" s="1" t="s">
        <v>122</v>
      </c>
      <c r="UOC108" s="1" t="s">
        <v>122</v>
      </c>
      <c r="UOD108" s="1" t="s">
        <v>122</v>
      </c>
      <c r="UOE108" s="1" t="s">
        <v>122</v>
      </c>
      <c r="UOF108" s="1" t="s">
        <v>122</v>
      </c>
      <c r="UOG108" s="1" t="s">
        <v>122</v>
      </c>
      <c r="UOH108" s="1" t="s">
        <v>122</v>
      </c>
      <c r="UOI108" s="1" t="s">
        <v>122</v>
      </c>
      <c r="UOJ108" s="1" t="s">
        <v>122</v>
      </c>
      <c r="UOK108" s="1" t="s">
        <v>122</v>
      </c>
      <c r="UOL108" s="1" t="s">
        <v>122</v>
      </c>
      <c r="UOM108" s="1" t="s">
        <v>122</v>
      </c>
      <c r="UON108" s="1" t="s">
        <v>122</v>
      </c>
      <c r="UOO108" s="1" t="s">
        <v>122</v>
      </c>
      <c r="UOP108" s="1" t="s">
        <v>122</v>
      </c>
      <c r="UOQ108" s="1" t="s">
        <v>122</v>
      </c>
      <c r="UOR108" s="1" t="s">
        <v>122</v>
      </c>
      <c r="UOS108" s="1" t="s">
        <v>122</v>
      </c>
      <c r="UOT108" s="1" t="s">
        <v>122</v>
      </c>
      <c r="UOU108" s="1" t="s">
        <v>122</v>
      </c>
      <c r="UOV108" s="1" t="s">
        <v>122</v>
      </c>
      <c r="UOW108" s="1" t="s">
        <v>122</v>
      </c>
      <c r="UOX108" s="1" t="s">
        <v>122</v>
      </c>
      <c r="UOY108" s="1" t="s">
        <v>122</v>
      </c>
      <c r="UOZ108" s="1" t="s">
        <v>122</v>
      </c>
      <c r="UPA108" s="1" t="s">
        <v>122</v>
      </c>
      <c r="UPB108" s="1" t="s">
        <v>122</v>
      </c>
      <c r="UPC108" s="1" t="s">
        <v>122</v>
      </c>
      <c r="UPD108" s="1" t="s">
        <v>122</v>
      </c>
      <c r="UPE108" s="1" t="s">
        <v>122</v>
      </c>
      <c r="UPF108" s="1" t="s">
        <v>122</v>
      </c>
      <c r="UPG108" s="1" t="s">
        <v>122</v>
      </c>
      <c r="UPH108" s="1" t="s">
        <v>122</v>
      </c>
      <c r="UPI108" s="1" t="s">
        <v>122</v>
      </c>
      <c r="UPJ108" s="1" t="s">
        <v>122</v>
      </c>
      <c r="UPK108" s="1" t="s">
        <v>122</v>
      </c>
      <c r="UPL108" s="1" t="s">
        <v>122</v>
      </c>
      <c r="UPM108" s="1" t="s">
        <v>122</v>
      </c>
      <c r="UPN108" s="1" t="s">
        <v>122</v>
      </c>
      <c r="UPO108" s="1" t="s">
        <v>122</v>
      </c>
      <c r="UPP108" s="1" t="s">
        <v>122</v>
      </c>
      <c r="UPQ108" s="1" t="s">
        <v>122</v>
      </c>
      <c r="UPR108" s="1" t="s">
        <v>122</v>
      </c>
      <c r="UPS108" s="1" t="s">
        <v>122</v>
      </c>
      <c r="UPT108" s="1" t="s">
        <v>122</v>
      </c>
      <c r="UPU108" s="1" t="s">
        <v>122</v>
      </c>
      <c r="UPV108" s="1" t="s">
        <v>122</v>
      </c>
      <c r="UPW108" s="1" t="s">
        <v>122</v>
      </c>
      <c r="UPX108" s="1" t="s">
        <v>122</v>
      </c>
      <c r="UPY108" s="1" t="s">
        <v>122</v>
      </c>
      <c r="UPZ108" s="1" t="s">
        <v>122</v>
      </c>
      <c r="UQA108" s="1" t="s">
        <v>122</v>
      </c>
      <c r="UQB108" s="1" t="s">
        <v>122</v>
      </c>
      <c r="UQC108" s="1" t="s">
        <v>122</v>
      </c>
      <c r="UQD108" s="1" t="s">
        <v>122</v>
      </c>
      <c r="UQE108" s="1" t="s">
        <v>122</v>
      </c>
      <c r="UQF108" s="1" t="s">
        <v>122</v>
      </c>
      <c r="UQG108" s="1" t="s">
        <v>122</v>
      </c>
      <c r="UQH108" s="1" t="s">
        <v>122</v>
      </c>
      <c r="UQI108" s="1" t="s">
        <v>122</v>
      </c>
      <c r="UQJ108" s="1" t="s">
        <v>122</v>
      </c>
      <c r="UQK108" s="1" t="s">
        <v>122</v>
      </c>
      <c r="UQL108" s="1" t="s">
        <v>122</v>
      </c>
      <c r="UQM108" s="1" t="s">
        <v>122</v>
      </c>
      <c r="UQN108" s="1" t="s">
        <v>122</v>
      </c>
      <c r="UQO108" s="1" t="s">
        <v>122</v>
      </c>
      <c r="UQP108" s="1" t="s">
        <v>122</v>
      </c>
      <c r="UQQ108" s="1" t="s">
        <v>122</v>
      </c>
      <c r="UQR108" s="1" t="s">
        <v>122</v>
      </c>
      <c r="UQS108" s="1" t="s">
        <v>122</v>
      </c>
      <c r="UQT108" s="1" t="s">
        <v>122</v>
      </c>
      <c r="UQU108" s="1" t="s">
        <v>122</v>
      </c>
      <c r="UQV108" s="1" t="s">
        <v>122</v>
      </c>
      <c r="UQW108" s="1" t="s">
        <v>122</v>
      </c>
      <c r="UQX108" s="1" t="s">
        <v>122</v>
      </c>
      <c r="UQY108" s="1" t="s">
        <v>122</v>
      </c>
      <c r="UQZ108" s="1" t="s">
        <v>122</v>
      </c>
      <c r="URA108" s="1" t="s">
        <v>122</v>
      </c>
      <c r="URB108" s="1" t="s">
        <v>122</v>
      </c>
      <c r="URC108" s="1" t="s">
        <v>122</v>
      </c>
      <c r="URD108" s="1" t="s">
        <v>122</v>
      </c>
      <c r="URE108" s="1" t="s">
        <v>122</v>
      </c>
      <c r="URF108" s="1" t="s">
        <v>122</v>
      </c>
      <c r="URG108" s="1" t="s">
        <v>122</v>
      </c>
      <c r="URH108" s="1" t="s">
        <v>122</v>
      </c>
      <c r="URI108" s="1" t="s">
        <v>122</v>
      </c>
      <c r="URJ108" s="1" t="s">
        <v>122</v>
      </c>
      <c r="URK108" s="1" t="s">
        <v>122</v>
      </c>
      <c r="URL108" s="1" t="s">
        <v>122</v>
      </c>
      <c r="URM108" s="1" t="s">
        <v>122</v>
      </c>
      <c r="URN108" s="1" t="s">
        <v>122</v>
      </c>
      <c r="URO108" s="1" t="s">
        <v>122</v>
      </c>
      <c r="URP108" s="1" t="s">
        <v>122</v>
      </c>
      <c r="URQ108" s="1" t="s">
        <v>122</v>
      </c>
      <c r="URR108" s="1" t="s">
        <v>122</v>
      </c>
      <c r="URS108" s="1" t="s">
        <v>122</v>
      </c>
      <c r="URT108" s="1" t="s">
        <v>122</v>
      </c>
      <c r="URU108" s="1" t="s">
        <v>122</v>
      </c>
      <c r="URV108" s="1" t="s">
        <v>122</v>
      </c>
      <c r="URW108" s="1" t="s">
        <v>122</v>
      </c>
      <c r="URX108" s="1" t="s">
        <v>122</v>
      </c>
      <c r="URY108" s="1" t="s">
        <v>122</v>
      </c>
      <c r="URZ108" s="1" t="s">
        <v>122</v>
      </c>
      <c r="USA108" s="1" t="s">
        <v>122</v>
      </c>
      <c r="USB108" s="1" t="s">
        <v>122</v>
      </c>
      <c r="USC108" s="1" t="s">
        <v>122</v>
      </c>
      <c r="USD108" s="1" t="s">
        <v>122</v>
      </c>
      <c r="USE108" s="1" t="s">
        <v>122</v>
      </c>
      <c r="USF108" s="1" t="s">
        <v>122</v>
      </c>
      <c r="USG108" s="1" t="s">
        <v>122</v>
      </c>
      <c r="USH108" s="1" t="s">
        <v>122</v>
      </c>
      <c r="USI108" s="1" t="s">
        <v>122</v>
      </c>
      <c r="USJ108" s="1" t="s">
        <v>122</v>
      </c>
      <c r="USK108" s="1" t="s">
        <v>122</v>
      </c>
      <c r="USL108" s="1" t="s">
        <v>122</v>
      </c>
      <c r="USM108" s="1" t="s">
        <v>122</v>
      </c>
      <c r="USN108" s="1" t="s">
        <v>122</v>
      </c>
      <c r="USO108" s="1" t="s">
        <v>122</v>
      </c>
      <c r="USP108" s="1" t="s">
        <v>122</v>
      </c>
      <c r="USQ108" s="1" t="s">
        <v>122</v>
      </c>
      <c r="USR108" s="1" t="s">
        <v>122</v>
      </c>
      <c r="USS108" s="1" t="s">
        <v>122</v>
      </c>
      <c r="UST108" s="1" t="s">
        <v>122</v>
      </c>
      <c r="USU108" s="1" t="s">
        <v>122</v>
      </c>
      <c r="USV108" s="1" t="s">
        <v>122</v>
      </c>
      <c r="USW108" s="1" t="s">
        <v>122</v>
      </c>
      <c r="USX108" s="1" t="s">
        <v>122</v>
      </c>
      <c r="USY108" s="1" t="s">
        <v>122</v>
      </c>
      <c r="USZ108" s="1" t="s">
        <v>122</v>
      </c>
      <c r="UTA108" s="1" t="s">
        <v>122</v>
      </c>
      <c r="UTB108" s="1" t="s">
        <v>122</v>
      </c>
      <c r="UTC108" s="1" t="s">
        <v>122</v>
      </c>
      <c r="UTD108" s="1" t="s">
        <v>122</v>
      </c>
      <c r="UTE108" s="1" t="s">
        <v>122</v>
      </c>
      <c r="UTF108" s="1" t="s">
        <v>122</v>
      </c>
      <c r="UTG108" s="1" t="s">
        <v>122</v>
      </c>
      <c r="UTH108" s="1" t="s">
        <v>122</v>
      </c>
      <c r="UTI108" s="1" t="s">
        <v>122</v>
      </c>
      <c r="UTJ108" s="1" t="s">
        <v>122</v>
      </c>
      <c r="UTK108" s="1" t="s">
        <v>122</v>
      </c>
      <c r="UTL108" s="1" t="s">
        <v>122</v>
      </c>
      <c r="UTM108" s="1" t="s">
        <v>122</v>
      </c>
      <c r="UTN108" s="1" t="s">
        <v>122</v>
      </c>
      <c r="UTO108" s="1" t="s">
        <v>122</v>
      </c>
      <c r="UTP108" s="1" t="s">
        <v>122</v>
      </c>
      <c r="UTQ108" s="1" t="s">
        <v>122</v>
      </c>
      <c r="UTR108" s="1" t="s">
        <v>122</v>
      </c>
      <c r="UTS108" s="1" t="s">
        <v>122</v>
      </c>
      <c r="UTT108" s="1" t="s">
        <v>122</v>
      </c>
      <c r="UTU108" s="1" t="s">
        <v>122</v>
      </c>
      <c r="UTV108" s="1" t="s">
        <v>122</v>
      </c>
      <c r="UTW108" s="1" t="s">
        <v>122</v>
      </c>
      <c r="UTX108" s="1" t="s">
        <v>122</v>
      </c>
      <c r="UTY108" s="1" t="s">
        <v>122</v>
      </c>
      <c r="UTZ108" s="1" t="s">
        <v>122</v>
      </c>
      <c r="UUA108" s="1" t="s">
        <v>122</v>
      </c>
      <c r="UUB108" s="1" t="s">
        <v>122</v>
      </c>
      <c r="UUC108" s="1" t="s">
        <v>122</v>
      </c>
      <c r="UUD108" s="1" t="s">
        <v>122</v>
      </c>
      <c r="UUE108" s="1" t="s">
        <v>122</v>
      </c>
      <c r="UUF108" s="1" t="s">
        <v>122</v>
      </c>
      <c r="UUG108" s="1" t="s">
        <v>122</v>
      </c>
      <c r="UUH108" s="1" t="s">
        <v>122</v>
      </c>
      <c r="UUI108" s="1" t="s">
        <v>122</v>
      </c>
      <c r="UUJ108" s="1" t="s">
        <v>122</v>
      </c>
      <c r="UUK108" s="1" t="s">
        <v>122</v>
      </c>
      <c r="UUL108" s="1" t="s">
        <v>122</v>
      </c>
      <c r="UUM108" s="1" t="s">
        <v>122</v>
      </c>
      <c r="UUN108" s="1" t="s">
        <v>122</v>
      </c>
      <c r="UUO108" s="1" t="s">
        <v>122</v>
      </c>
      <c r="UUP108" s="1" t="s">
        <v>122</v>
      </c>
      <c r="UUQ108" s="1" t="s">
        <v>122</v>
      </c>
      <c r="UUR108" s="1" t="s">
        <v>122</v>
      </c>
      <c r="UUS108" s="1" t="s">
        <v>122</v>
      </c>
      <c r="UUT108" s="1" t="s">
        <v>122</v>
      </c>
      <c r="UUU108" s="1" t="s">
        <v>122</v>
      </c>
      <c r="UUV108" s="1" t="s">
        <v>122</v>
      </c>
      <c r="UUW108" s="1" t="s">
        <v>122</v>
      </c>
      <c r="UUX108" s="1" t="s">
        <v>122</v>
      </c>
      <c r="UUY108" s="1" t="s">
        <v>122</v>
      </c>
      <c r="UUZ108" s="1" t="s">
        <v>122</v>
      </c>
      <c r="UVA108" s="1" t="s">
        <v>122</v>
      </c>
      <c r="UVB108" s="1" t="s">
        <v>122</v>
      </c>
      <c r="UVC108" s="1" t="s">
        <v>122</v>
      </c>
      <c r="UVD108" s="1" t="s">
        <v>122</v>
      </c>
      <c r="UVE108" s="1" t="s">
        <v>122</v>
      </c>
      <c r="UVF108" s="1" t="s">
        <v>122</v>
      </c>
      <c r="UVG108" s="1" t="s">
        <v>122</v>
      </c>
      <c r="UVH108" s="1" t="s">
        <v>122</v>
      </c>
      <c r="UVI108" s="1" t="s">
        <v>122</v>
      </c>
      <c r="UVJ108" s="1" t="s">
        <v>122</v>
      </c>
      <c r="UVK108" s="1" t="s">
        <v>122</v>
      </c>
      <c r="UVL108" s="1" t="s">
        <v>122</v>
      </c>
      <c r="UVM108" s="1" t="s">
        <v>122</v>
      </c>
      <c r="UVN108" s="1" t="s">
        <v>122</v>
      </c>
      <c r="UVO108" s="1" t="s">
        <v>122</v>
      </c>
      <c r="UVP108" s="1" t="s">
        <v>122</v>
      </c>
      <c r="UVQ108" s="1" t="s">
        <v>122</v>
      </c>
      <c r="UVR108" s="1" t="s">
        <v>122</v>
      </c>
      <c r="UVS108" s="1" t="s">
        <v>122</v>
      </c>
      <c r="UVT108" s="1" t="s">
        <v>122</v>
      </c>
      <c r="UVU108" s="1" t="s">
        <v>122</v>
      </c>
      <c r="UVV108" s="1" t="s">
        <v>122</v>
      </c>
      <c r="UVW108" s="1" t="s">
        <v>122</v>
      </c>
      <c r="UVX108" s="1" t="s">
        <v>122</v>
      </c>
      <c r="UVY108" s="1" t="s">
        <v>122</v>
      </c>
      <c r="UVZ108" s="1" t="s">
        <v>122</v>
      </c>
      <c r="UWA108" s="1" t="s">
        <v>122</v>
      </c>
      <c r="UWB108" s="1" t="s">
        <v>122</v>
      </c>
      <c r="UWC108" s="1" t="s">
        <v>122</v>
      </c>
      <c r="UWD108" s="1" t="s">
        <v>122</v>
      </c>
      <c r="UWE108" s="1" t="s">
        <v>122</v>
      </c>
      <c r="UWF108" s="1" t="s">
        <v>122</v>
      </c>
      <c r="UWG108" s="1" t="s">
        <v>122</v>
      </c>
      <c r="UWH108" s="1" t="s">
        <v>122</v>
      </c>
      <c r="UWI108" s="1" t="s">
        <v>122</v>
      </c>
      <c r="UWJ108" s="1" t="s">
        <v>122</v>
      </c>
      <c r="UWK108" s="1" t="s">
        <v>122</v>
      </c>
      <c r="UWL108" s="1" t="s">
        <v>122</v>
      </c>
      <c r="UWM108" s="1" t="s">
        <v>122</v>
      </c>
      <c r="UWN108" s="1" t="s">
        <v>122</v>
      </c>
      <c r="UWO108" s="1" t="s">
        <v>122</v>
      </c>
      <c r="UWP108" s="1" t="s">
        <v>122</v>
      </c>
      <c r="UWQ108" s="1" t="s">
        <v>122</v>
      </c>
      <c r="UWR108" s="1" t="s">
        <v>122</v>
      </c>
      <c r="UWS108" s="1" t="s">
        <v>122</v>
      </c>
      <c r="UWT108" s="1" t="s">
        <v>122</v>
      </c>
      <c r="UWU108" s="1" t="s">
        <v>122</v>
      </c>
      <c r="UWV108" s="1" t="s">
        <v>122</v>
      </c>
      <c r="UWW108" s="1" t="s">
        <v>122</v>
      </c>
      <c r="UWX108" s="1" t="s">
        <v>122</v>
      </c>
      <c r="UWY108" s="1" t="s">
        <v>122</v>
      </c>
      <c r="UWZ108" s="1" t="s">
        <v>122</v>
      </c>
      <c r="UXA108" s="1" t="s">
        <v>122</v>
      </c>
      <c r="UXB108" s="1" t="s">
        <v>122</v>
      </c>
      <c r="UXC108" s="1" t="s">
        <v>122</v>
      </c>
      <c r="UXD108" s="1" t="s">
        <v>122</v>
      </c>
      <c r="UXE108" s="1" t="s">
        <v>122</v>
      </c>
      <c r="UXF108" s="1" t="s">
        <v>122</v>
      </c>
      <c r="UXG108" s="1" t="s">
        <v>122</v>
      </c>
      <c r="UXH108" s="1" t="s">
        <v>122</v>
      </c>
      <c r="UXI108" s="1" t="s">
        <v>122</v>
      </c>
      <c r="UXJ108" s="1" t="s">
        <v>122</v>
      </c>
      <c r="UXK108" s="1" t="s">
        <v>122</v>
      </c>
      <c r="UXL108" s="1" t="s">
        <v>122</v>
      </c>
      <c r="UXM108" s="1" t="s">
        <v>122</v>
      </c>
      <c r="UXN108" s="1" t="s">
        <v>122</v>
      </c>
      <c r="UXO108" s="1" t="s">
        <v>122</v>
      </c>
      <c r="UXP108" s="1" t="s">
        <v>122</v>
      </c>
      <c r="UXQ108" s="1" t="s">
        <v>122</v>
      </c>
      <c r="UXR108" s="1" t="s">
        <v>122</v>
      </c>
      <c r="UXS108" s="1" t="s">
        <v>122</v>
      </c>
      <c r="UXT108" s="1" t="s">
        <v>122</v>
      </c>
      <c r="UXU108" s="1" t="s">
        <v>122</v>
      </c>
      <c r="UXV108" s="1" t="s">
        <v>122</v>
      </c>
      <c r="UXW108" s="1" t="s">
        <v>122</v>
      </c>
      <c r="UXX108" s="1" t="s">
        <v>122</v>
      </c>
      <c r="UXY108" s="1" t="s">
        <v>122</v>
      </c>
      <c r="UXZ108" s="1" t="s">
        <v>122</v>
      </c>
      <c r="UYA108" s="1" t="s">
        <v>122</v>
      </c>
      <c r="UYB108" s="1" t="s">
        <v>122</v>
      </c>
      <c r="UYC108" s="1" t="s">
        <v>122</v>
      </c>
      <c r="UYD108" s="1" t="s">
        <v>122</v>
      </c>
      <c r="UYE108" s="1" t="s">
        <v>122</v>
      </c>
      <c r="UYF108" s="1" t="s">
        <v>122</v>
      </c>
      <c r="UYG108" s="1" t="s">
        <v>122</v>
      </c>
      <c r="UYH108" s="1" t="s">
        <v>122</v>
      </c>
      <c r="UYI108" s="1" t="s">
        <v>122</v>
      </c>
      <c r="UYJ108" s="1" t="s">
        <v>122</v>
      </c>
      <c r="UYK108" s="1" t="s">
        <v>122</v>
      </c>
      <c r="UYL108" s="1" t="s">
        <v>122</v>
      </c>
      <c r="UYM108" s="1" t="s">
        <v>122</v>
      </c>
      <c r="UYN108" s="1" t="s">
        <v>122</v>
      </c>
      <c r="UYO108" s="1" t="s">
        <v>122</v>
      </c>
      <c r="UYP108" s="1" t="s">
        <v>122</v>
      </c>
      <c r="UYQ108" s="1" t="s">
        <v>122</v>
      </c>
      <c r="UYR108" s="1" t="s">
        <v>122</v>
      </c>
      <c r="UYS108" s="1" t="s">
        <v>122</v>
      </c>
      <c r="UYT108" s="1" t="s">
        <v>122</v>
      </c>
      <c r="UYU108" s="1" t="s">
        <v>122</v>
      </c>
      <c r="UYV108" s="1" t="s">
        <v>122</v>
      </c>
      <c r="UYW108" s="1" t="s">
        <v>122</v>
      </c>
      <c r="UYX108" s="1" t="s">
        <v>122</v>
      </c>
      <c r="UYY108" s="1" t="s">
        <v>122</v>
      </c>
      <c r="UYZ108" s="1" t="s">
        <v>122</v>
      </c>
      <c r="UZA108" s="1" t="s">
        <v>122</v>
      </c>
      <c r="UZB108" s="1" t="s">
        <v>122</v>
      </c>
      <c r="UZC108" s="1" t="s">
        <v>122</v>
      </c>
      <c r="UZD108" s="1" t="s">
        <v>122</v>
      </c>
      <c r="UZE108" s="1" t="s">
        <v>122</v>
      </c>
      <c r="UZF108" s="1" t="s">
        <v>122</v>
      </c>
      <c r="UZG108" s="1" t="s">
        <v>122</v>
      </c>
      <c r="UZH108" s="1" t="s">
        <v>122</v>
      </c>
      <c r="UZI108" s="1" t="s">
        <v>122</v>
      </c>
      <c r="UZJ108" s="1" t="s">
        <v>122</v>
      </c>
      <c r="UZK108" s="1" t="s">
        <v>122</v>
      </c>
      <c r="UZL108" s="1" t="s">
        <v>122</v>
      </c>
      <c r="UZM108" s="1" t="s">
        <v>122</v>
      </c>
      <c r="UZN108" s="1" t="s">
        <v>122</v>
      </c>
      <c r="UZO108" s="1" t="s">
        <v>122</v>
      </c>
      <c r="UZP108" s="1" t="s">
        <v>122</v>
      </c>
      <c r="UZQ108" s="1" t="s">
        <v>122</v>
      </c>
      <c r="UZR108" s="1" t="s">
        <v>122</v>
      </c>
      <c r="UZS108" s="1" t="s">
        <v>122</v>
      </c>
      <c r="UZT108" s="1" t="s">
        <v>122</v>
      </c>
      <c r="UZU108" s="1" t="s">
        <v>122</v>
      </c>
      <c r="UZV108" s="1" t="s">
        <v>122</v>
      </c>
      <c r="UZW108" s="1" t="s">
        <v>122</v>
      </c>
      <c r="UZX108" s="1" t="s">
        <v>122</v>
      </c>
      <c r="UZY108" s="1" t="s">
        <v>122</v>
      </c>
      <c r="UZZ108" s="1" t="s">
        <v>122</v>
      </c>
      <c r="VAA108" s="1" t="s">
        <v>122</v>
      </c>
      <c r="VAB108" s="1" t="s">
        <v>122</v>
      </c>
      <c r="VAC108" s="1" t="s">
        <v>122</v>
      </c>
      <c r="VAD108" s="1" t="s">
        <v>122</v>
      </c>
      <c r="VAE108" s="1" t="s">
        <v>122</v>
      </c>
      <c r="VAF108" s="1" t="s">
        <v>122</v>
      </c>
      <c r="VAG108" s="1" t="s">
        <v>122</v>
      </c>
      <c r="VAH108" s="1" t="s">
        <v>122</v>
      </c>
      <c r="VAI108" s="1" t="s">
        <v>122</v>
      </c>
      <c r="VAJ108" s="1" t="s">
        <v>122</v>
      </c>
      <c r="VAK108" s="1" t="s">
        <v>122</v>
      </c>
      <c r="VAL108" s="1" t="s">
        <v>122</v>
      </c>
      <c r="VAM108" s="1" t="s">
        <v>122</v>
      </c>
      <c r="VAN108" s="1" t="s">
        <v>122</v>
      </c>
      <c r="VAO108" s="1" t="s">
        <v>122</v>
      </c>
      <c r="VAP108" s="1" t="s">
        <v>122</v>
      </c>
      <c r="VAQ108" s="1" t="s">
        <v>122</v>
      </c>
      <c r="VAR108" s="1" t="s">
        <v>122</v>
      </c>
      <c r="VAS108" s="1" t="s">
        <v>122</v>
      </c>
      <c r="VAT108" s="1" t="s">
        <v>122</v>
      </c>
      <c r="VAU108" s="1" t="s">
        <v>122</v>
      </c>
      <c r="VAV108" s="1" t="s">
        <v>122</v>
      </c>
      <c r="VAW108" s="1" t="s">
        <v>122</v>
      </c>
      <c r="VAX108" s="1" t="s">
        <v>122</v>
      </c>
      <c r="VAY108" s="1" t="s">
        <v>122</v>
      </c>
      <c r="VAZ108" s="1" t="s">
        <v>122</v>
      </c>
      <c r="VBA108" s="1" t="s">
        <v>122</v>
      </c>
      <c r="VBB108" s="1" t="s">
        <v>122</v>
      </c>
      <c r="VBC108" s="1" t="s">
        <v>122</v>
      </c>
      <c r="VBD108" s="1" t="s">
        <v>122</v>
      </c>
      <c r="VBE108" s="1" t="s">
        <v>122</v>
      </c>
      <c r="VBF108" s="1" t="s">
        <v>122</v>
      </c>
      <c r="VBG108" s="1" t="s">
        <v>122</v>
      </c>
      <c r="VBH108" s="1" t="s">
        <v>122</v>
      </c>
      <c r="VBI108" s="1" t="s">
        <v>122</v>
      </c>
      <c r="VBJ108" s="1" t="s">
        <v>122</v>
      </c>
      <c r="VBK108" s="1" t="s">
        <v>122</v>
      </c>
      <c r="VBL108" s="1" t="s">
        <v>122</v>
      </c>
      <c r="VBM108" s="1" t="s">
        <v>122</v>
      </c>
      <c r="VBN108" s="1" t="s">
        <v>122</v>
      </c>
      <c r="VBO108" s="1" t="s">
        <v>122</v>
      </c>
      <c r="VBP108" s="1" t="s">
        <v>122</v>
      </c>
      <c r="VBQ108" s="1" t="s">
        <v>122</v>
      </c>
      <c r="VBR108" s="1" t="s">
        <v>122</v>
      </c>
      <c r="VBS108" s="1" t="s">
        <v>122</v>
      </c>
      <c r="VBT108" s="1" t="s">
        <v>122</v>
      </c>
      <c r="VBU108" s="1" t="s">
        <v>122</v>
      </c>
      <c r="VBV108" s="1" t="s">
        <v>122</v>
      </c>
      <c r="VBW108" s="1" t="s">
        <v>122</v>
      </c>
      <c r="VBX108" s="1" t="s">
        <v>122</v>
      </c>
      <c r="VBY108" s="1" t="s">
        <v>122</v>
      </c>
      <c r="VBZ108" s="1" t="s">
        <v>122</v>
      </c>
      <c r="VCA108" s="1" t="s">
        <v>122</v>
      </c>
      <c r="VCB108" s="1" t="s">
        <v>122</v>
      </c>
      <c r="VCC108" s="1" t="s">
        <v>122</v>
      </c>
      <c r="VCD108" s="1" t="s">
        <v>122</v>
      </c>
      <c r="VCE108" s="1" t="s">
        <v>122</v>
      </c>
      <c r="VCF108" s="1" t="s">
        <v>122</v>
      </c>
      <c r="VCG108" s="1" t="s">
        <v>122</v>
      </c>
      <c r="VCH108" s="1" t="s">
        <v>122</v>
      </c>
      <c r="VCI108" s="1" t="s">
        <v>122</v>
      </c>
      <c r="VCJ108" s="1" t="s">
        <v>122</v>
      </c>
      <c r="VCK108" s="1" t="s">
        <v>122</v>
      </c>
      <c r="VCL108" s="1" t="s">
        <v>122</v>
      </c>
      <c r="VCM108" s="1" t="s">
        <v>122</v>
      </c>
      <c r="VCN108" s="1" t="s">
        <v>122</v>
      </c>
      <c r="VCO108" s="1" t="s">
        <v>122</v>
      </c>
      <c r="VCP108" s="1" t="s">
        <v>122</v>
      </c>
      <c r="VCQ108" s="1" t="s">
        <v>122</v>
      </c>
      <c r="VCR108" s="1" t="s">
        <v>122</v>
      </c>
      <c r="VCS108" s="1" t="s">
        <v>122</v>
      </c>
      <c r="VCT108" s="1" t="s">
        <v>122</v>
      </c>
      <c r="VCU108" s="1" t="s">
        <v>122</v>
      </c>
      <c r="VCV108" s="1" t="s">
        <v>122</v>
      </c>
      <c r="VCW108" s="1" t="s">
        <v>122</v>
      </c>
      <c r="VCX108" s="1" t="s">
        <v>122</v>
      </c>
      <c r="VCY108" s="1" t="s">
        <v>122</v>
      </c>
      <c r="VCZ108" s="1" t="s">
        <v>122</v>
      </c>
      <c r="VDA108" s="1" t="s">
        <v>122</v>
      </c>
      <c r="VDB108" s="1" t="s">
        <v>122</v>
      </c>
      <c r="VDC108" s="1" t="s">
        <v>122</v>
      </c>
      <c r="VDD108" s="1" t="s">
        <v>122</v>
      </c>
      <c r="VDE108" s="1" t="s">
        <v>122</v>
      </c>
      <c r="VDF108" s="1" t="s">
        <v>122</v>
      </c>
      <c r="VDG108" s="1" t="s">
        <v>122</v>
      </c>
      <c r="VDH108" s="1" t="s">
        <v>122</v>
      </c>
      <c r="VDI108" s="1" t="s">
        <v>122</v>
      </c>
      <c r="VDJ108" s="1" t="s">
        <v>122</v>
      </c>
      <c r="VDK108" s="1" t="s">
        <v>122</v>
      </c>
      <c r="VDL108" s="1" t="s">
        <v>122</v>
      </c>
      <c r="VDM108" s="1" t="s">
        <v>122</v>
      </c>
      <c r="VDN108" s="1" t="s">
        <v>122</v>
      </c>
      <c r="VDO108" s="1" t="s">
        <v>122</v>
      </c>
      <c r="VDP108" s="1" t="s">
        <v>122</v>
      </c>
      <c r="VDQ108" s="1" t="s">
        <v>122</v>
      </c>
      <c r="VDR108" s="1" t="s">
        <v>122</v>
      </c>
      <c r="VDS108" s="1" t="s">
        <v>122</v>
      </c>
      <c r="VDT108" s="1" t="s">
        <v>122</v>
      </c>
      <c r="VDU108" s="1" t="s">
        <v>122</v>
      </c>
      <c r="VDV108" s="1" t="s">
        <v>122</v>
      </c>
      <c r="VDW108" s="1" t="s">
        <v>122</v>
      </c>
      <c r="VDX108" s="1" t="s">
        <v>122</v>
      </c>
      <c r="VDY108" s="1" t="s">
        <v>122</v>
      </c>
      <c r="VDZ108" s="1" t="s">
        <v>122</v>
      </c>
      <c r="VEA108" s="1" t="s">
        <v>122</v>
      </c>
      <c r="VEB108" s="1" t="s">
        <v>122</v>
      </c>
      <c r="VEC108" s="1" t="s">
        <v>122</v>
      </c>
      <c r="VED108" s="1" t="s">
        <v>122</v>
      </c>
      <c r="VEE108" s="1" t="s">
        <v>122</v>
      </c>
      <c r="VEF108" s="1" t="s">
        <v>122</v>
      </c>
      <c r="VEG108" s="1" t="s">
        <v>122</v>
      </c>
      <c r="VEH108" s="1" t="s">
        <v>122</v>
      </c>
      <c r="VEI108" s="1" t="s">
        <v>122</v>
      </c>
      <c r="VEJ108" s="1" t="s">
        <v>122</v>
      </c>
      <c r="VEK108" s="1" t="s">
        <v>122</v>
      </c>
      <c r="VEL108" s="1" t="s">
        <v>122</v>
      </c>
      <c r="VEM108" s="1" t="s">
        <v>122</v>
      </c>
      <c r="VEN108" s="1" t="s">
        <v>122</v>
      </c>
      <c r="VEO108" s="1" t="s">
        <v>122</v>
      </c>
      <c r="VEP108" s="1" t="s">
        <v>122</v>
      </c>
      <c r="VEQ108" s="1" t="s">
        <v>122</v>
      </c>
      <c r="VER108" s="1" t="s">
        <v>122</v>
      </c>
      <c r="VES108" s="1" t="s">
        <v>122</v>
      </c>
      <c r="VET108" s="1" t="s">
        <v>122</v>
      </c>
      <c r="VEU108" s="1" t="s">
        <v>122</v>
      </c>
      <c r="VEV108" s="1" t="s">
        <v>122</v>
      </c>
      <c r="VEW108" s="1" t="s">
        <v>122</v>
      </c>
      <c r="VEX108" s="1" t="s">
        <v>122</v>
      </c>
      <c r="VEY108" s="1" t="s">
        <v>122</v>
      </c>
      <c r="VEZ108" s="1" t="s">
        <v>122</v>
      </c>
      <c r="VFA108" s="1" t="s">
        <v>122</v>
      </c>
      <c r="VFB108" s="1" t="s">
        <v>122</v>
      </c>
      <c r="VFC108" s="1" t="s">
        <v>122</v>
      </c>
      <c r="VFD108" s="1" t="s">
        <v>122</v>
      </c>
      <c r="VFE108" s="1" t="s">
        <v>122</v>
      </c>
      <c r="VFF108" s="1" t="s">
        <v>122</v>
      </c>
      <c r="VFG108" s="1" t="s">
        <v>122</v>
      </c>
      <c r="VFH108" s="1" t="s">
        <v>122</v>
      </c>
      <c r="VFI108" s="1" t="s">
        <v>122</v>
      </c>
      <c r="VFJ108" s="1" t="s">
        <v>122</v>
      </c>
      <c r="VFK108" s="1" t="s">
        <v>122</v>
      </c>
      <c r="VFL108" s="1" t="s">
        <v>122</v>
      </c>
      <c r="VFM108" s="1" t="s">
        <v>122</v>
      </c>
      <c r="VFN108" s="1" t="s">
        <v>122</v>
      </c>
      <c r="VFO108" s="1" t="s">
        <v>122</v>
      </c>
      <c r="VFP108" s="1" t="s">
        <v>122</v>
      </c>
      <c r="VFQ108" s="1" t="s">
        <v>122</v>
      </c>
      <c r="VFR108" s="1" t="s">
        <v>122</v>
      </c>
      <c r="VFS108" s="1" t="s">
        <v>122</v>
      </c>
      <c r="VFT108" s="1" t="s">
        <v>122</v>
      </c>
      <c r="VFU108" s="1" t="s">
        <v>122</v>
      </c>
      <c r="VFV108" s="1" t="s">
        <v>122</v>
      </c>
      <c r="VFW108" s="1" t="s">
        <v>122</v>
      </c>
      <c r="VFX108" s="1" t="s">
        <v>122</v>
      </c>
      <c r="VFY108" s="1" t="s">
        <v>122</v>
      </c>
      <c r="VFZ108" s="1" t="s">
        <v>122</v>
      </c>
      <c r="VGA108" s="1" t="s">
        <v>122</v>
      </c>
      <c r="VGB108" s="1" t="s">
        <v>122</v>
      </c>
      <c r="VGC108" s="1" t="s">
        <v>122</v>
      </c>
      <c r="VGD108" s="1" t="s">
        <v>122</v>
      </c>
      <c r="VGE108" s="1" t="s">
        <v>122</v>
      </c>
      <c r="VGF108" s="1" t="s">
        <v>122</v>
      </c>
      <c r="VGG108" s="1" t="s">
        <v>122</v>
      </c>
      <c r="VGH108" s="1" t="s">
        <v>122</v>
      </c>
      <c r="VGI108" s="1" t="s">
        <v>122</v>
      </c>
      <c r="VGJ108" s="1" t="s">
        <v>122</v>
      </c>
      <c r="VGK108" s="1" t="s">
        <v>122</v>
      </c>
      <c r="VGL108" s="1" t="s">
        <v>122</v>
      </c>
      <c r="VGM108" s="1" t="s">
        <v>122</v>
      </c>
      <c r="VGN108" s="1" t="s">
        <v>122</v>
      </c>
      <c r="VGO108" s="1" t="s">
        <v>122</v>
      </c>
      <c r="VGP108" s="1" t="s">
        <v>122</v>
      </c>
      <c r="VGQ108" s="1" t="s">
        <v>122</v>
      </c>
      <c r="VGR108" s="1" t="s">
        <v>122</v>
      </c>
      <c r="VGS108" s="1" t="s">
        <v>122</v>
      </c>
      <c r="VGT108" s="1" t="s">
        <v>122</v>
      </c>
      <c r="VGU108" s="1" t="s">
        <v>122</v>
      </c>
      <c r="VGV108" s="1" t="s">
        <v>122</v>
      </c>
      <c r="VGW108" s="1" t="s">
        <v>122</v>
      </c>
      <c r="VGX108" s="1" t="s">
        <v>122</v>
      </c>
      <c r="VGY108" s="1" t="s">
        <v>122</v>
      </c>
      <c r="VGZ108" s="1" t="s">
        <v>122</v>
      </c>
      <c r="VHA108" s="1" t="s">
        <v>122</v>
      </c>
      <c r="VHB108" s="1" t="s">
        <v>122</v>
      </c>
      <c r="VHC108" s="1" t="s">
        <v>122</v>
      </c>
      <c r="VHD108" s="1" t="s">
        <v>122</v>
      </c>
      <c r="VHE108" s="1" t="s">
        <v>122</v>
      </c>
      <c r="VHF108" s="1" t="s">
        <v>122</v>
      </c>
      <c r="VHG108" s="1" t="s">
        <v>122</v>
      </c>
      <c r="VHH108" s="1" t="s">
        <v>122</v>
      </c>
      <c r="VHI108" s="1" t="s">
        <v>122</v>
      </c>
      <c r="VHJ108" s="1" t="s">
        <v>122</v>
      </c>
      <c r="VHK108" s="1" t="s">
        <v>122</v>
      </c>
      <c r="VHL108" s="1" t="s">
        <v>122</v>
      </c>
      <c r="VHM108" s="1" t="s">
        <v>122</v>
      </c>
      <c r="VHN108" s="1" t="s">
        <v>122</v>
      </c>
      <c r="VHO108" s="1" t="s">
        <v>122</v>
      </c>
      <c r="VHP108" s="1" t="s">
        <v>122</v>
      </c>
      <c r="VHQ108" s="1" t="s">
        <v>122</v>
      </c>
      <c r="VHR108" s="1" t="s">
        <v>122</v>
      </c>
      <c r="VHS108" s="1" t="s">
        <v>122</v>
      </c>
      <c r="VHT108" s="1" t="s">
        <v>122</v>
      </c>
      <c r="VHU108" s="1" t="s">
        <v>122</v>
      </c>
      <c r="VHV108" s="1" t="s">
        <v>122</v>
      </c>
      <c r="VHW108" s="1" t="s">
        <v>122</v>
      </c>
      <c r="VHX108" s="1" t="s">
        <v>122</v>
      </c>
      <c r="VHY108" s="1" t="s">
        <v>122</v>
      </c>
      <c r="VHZ108" s="1" t="s">
        <v>122</v>
      </c>
      <c r="VIA108" s="1" t="s">
        <v>122</v>
      </c>
      <c r="VIB108" s="1" t="s">
        <v>122</v>
      </c>
      <c r="VIC108" s="1" t="s">
        <v>122</v>
      </c>
      <c r="VID108" s="1" t="s">
        <v>122</v>
      </c>
      <c r="VIE108" s="1" t="s">
        <v>122</v>
      </c>
      <c r="VIF108" s="1" t="s">
        <v>122</v>
      </c>
      <c r="VIG108" s="1" t="s">
        <v>122</v>
      </c>
      <c r="VIH108" s="1" t="s">
        <v>122</v>
      </c>
      <c r="VII108" s="1" t="s">
        <v>122</v>
      </c>
      <c r="VIJ108" s="1" t="s">
        <v>122</v>
      </c>
      <c r="VIK108" s="1" t="s">
        <v>122</v>
      </c>
      <c r="VIL108" s="1" t="s">
        <v>122</v>
      </c>
      <c r="VIM108" s="1" t="s">
        <v>122</v>
      </c>
      <c r="VIN108" s="1" t="s">
        <v>122</v>
      </c>
      <c r="VIO108" s="1" t="s">
        <v>122</v>
      </c>
      <c r="VIP108" s="1" t="s">
        <v>122</v>
      </c>
      <c r="VIQ108" s="1" t="s">
        <v>122</v>
      </c>
      <c r="VIR108" s="1" t="s">
        <v>122</v>
      </c>
      <c r="VIS108" s="1" t="s">
        <v>122</v>
      </c>
      <c r="VIT108" s="1" t="s">
        <v>122</v>
      </c>
      <c r="VIU108" s="1" t="s">
        <v>122</v>
      </c>
      <c r="VIV108" s="1" t="s">
        <v>122</v>
      </c>
      <c r="VIW108" s="1" t="s">
        <v>122</v>
      </c>
      <c r="VIX108" s="1" t="s">
        <v>122</v>
      </c>
      <c r="VIY108" s="1" t="s">
        <v>122</v>
      </c>
      <c r="VIZ108" s="1" t="s">
        <v>122</v>
      </c>
      <c r="VJA108" s="1" t="s">
        <v>122</v>
      </c>
      <c r="VJB108" s="1" t="s">
        <v>122</v>
      </c>
      <c r="VJC108" s="1" t="s">
        <v>122</v>
      </c>
      <c r="VJD108" s="1" t="s">
        <v>122</v>
      </c>
      <c r="VJE108" s="1" t="s">
        <v>122</v>
      </c>
      <c r="VJF108" s="1" t="s">
        <v>122</v>
      </c>
      <c r="VJG108" s="1" t="s">
        <v>122</v>
      </c>
      <c r="VJH108" s="1" t="s">
        <v>122</v>
      </c>
      <c r="VJI108" s="1" t="s">
        <v>122</v>
      </c>
      <c r="VJJ108" s="1" t="s">
        <v>122</v>
      </c>
      <c r="VJK108" s="1" t="s">
        <v>122</v>
      </c>
      <c r="VJL108" s="1" t="s">
        <v>122</v>
      </c>
      <c r="VJM108" s="1" t="s">
        <v>122</v>
      </c>
      <c r="VJN108" s="1" t="s">
        <v>122</v>
      </c>
      <c r="VJO108" s="1" t="s">
        <v>122</v>
      </c>
      <c r="VJP108" s="1" t="s">
        <v>122</v>
      </c>
      <c r="VJQ108" s="1" t="s">
        <v>122</v>
      </c>
      <c r="VJR108" s="1" t="s">
        <v>122</v>
      </c>
      <c r="VJS108" s="1" t="s">
        <v>122</v>
      </c>
      <c r="VJT108" s="1" t="s">
        <v>122</v>
      </c>
      <c r="VJU108" s="1" t="s">
        <v>122</v>
      </c>
      <c r="VJV108" s="1" t="s">
        <v>122</v>
      </c>
      <c r="VJW108" s="1" t="s">
        <v>122</v>
      </c>
      <c r="VJX108" s="1" t="s">
        <v>122</v>
      </c>
      <c r="VJY108" s="1" t="s">
        <v>122</v>
      </c>
      <c r="VJZ108" s="1" t="s">
        <v>122</v>
      </c>
      <c r="VKA108" s="1" t="s">
        <v>122</v>
      </c>
      <c r="VKB108" s="1" t="s">
        <v>122</v>
      </c>
      <c r="VKC108" s="1" t="s">
        <v>122</v>
      </c>
      <c r="VKD108" s="1" t="s">
        <v>122</v>
      </c>
      <c r="VKE108" s="1" t="s">
        <v>122</v>
      </c>
      <c r="VKF108" s="1" t="s">
        <v>122</v>
      </c>
      <c r="VKG108" s="1" t="s">
        <v>122</v>
      </c>
      <c r="VKH108" s="1" t="s">
        <v>122</v>
      </c>
      <c r="VKI108" s="1" t="s">
        <v>122</v>
      </c>
      <c r="VKJ108" s="1" t="s">
        <v>122</v>
      </c>
      <c r="VKK108" s="1" t="s">
        <v>122</v>
      </c>
      <c r="VKL108" s="1" t="s">
        <v>122</v>
      </c>
      <c r="VKM108" s="1" t="s">
        <v>122</v>
      </c>
      <c r="VKN108" s="1" t="s">
        <v>122</v>
      </c>
      <c r="VKO108" s="1" t="s">
        <v>122</v>
      </c>
      <c r="VKP108" s="1" t="s">
        <v>122</v>
      </c>
      <c r="VKQ108" s="1" t="s">
        <v>122</v>
      </c>
      <c r="VKR108" s="1" t="s">
        <v>122</v>
      </c>
      <c r="VKS108" s="1" t="s">
        <v>122</v>
      </c>
      <c r="VKT108" s="1" t="s">
        <v>122</v>
      </c>
      <c r="VKU108" s="1" t="s">
        <v>122</v>
      </c>
      <c r="VKV108" s="1" t="s">
        <v>122</v>
      </c>
      <c r="VKW108" s="1" t="s">
        <v>122</v>
      </c>
      <c r="VKX108" s="1" t="s">
        <v>122</v>
      </c>
      <c r="VKY108" s="1" t="s">
        <v>122</v>
      </c>
      <c r="VKZ108" s="1" t="s">
        <v>122</v>
      </c>
      <c r="VLA108" s="1" t="s">
        <v>122</v>
      </c>
      <c r="VLB108" s="1" t="s">
        <v>122</v>
      </c>
      <c r="VLC108" s="1" t="s">
        <v>122</v>
      </c>
      <c r="VLD108" s="1" t="s">
        <v>122</v>
      </c>
      <c r="VLE108" s="1" t="s">
        <v>122</v>
      </c>
      <c r="VLF108" s="1" t="s">
        <v>122</v>
      </c>
      <c r="VLG108" s="1" t="s">
        <v>122</v>
      </c>
      <c r="VLH108" s="1" t="s">
        <v>122</v>
      </c>
      <c r="VLI108" s="1" t="s">
        <v>122</v>
      </c>
      <c r="VLJ108" s="1" t="s">
        <v>122</v>
      </c>
      <c r="VLK108" s="1" t="s">
        <v>122</v>
      </c>
      <c r="VLL108" s="1" t="s">
        <v>122</v>
      </c>
      <c r="VLM108" s="1" t="s">
        <v>122</v>
      </c>
      <c r="VLN108" s="1" t="s">
        <v>122</v>
      </c>
      <c r="VLO108" s="1" t="s">
        <v>122</v>
      </c>
      <c r="VLP108" s="1" t="s">
        <v>122</v>
      </c>
      <c r="VLQ108" s="1" t="s">
        <v>122</v>
      </c>
      <c r="VLR108" s="1" t="s">
        <v>122</v>
      </c>
      <c r="VLS108" s="1" t="s">
        <v>122</v>
      </c>
      <c r="VLT108" s="1" t="s">
        <v>122</v>
      </c>
      <c r="VLU108" s="1" t="s">
        <v>122</v>
      </c>
      <c r="VLV108" s="1" t="s">
        <v>122</v>
      </c>
      <c r="VLW108" s="1" t="s">
        <v>122</v>
      </c>
      <c r="VLX108" s="1" t="s">
        <v>122</v>
      </c>
      <c r="VLY108" s="1" t="s">
        <v>122</v>
      </c>
      <c r="VLZ108" s="1" t="s">
        <v>122</v>
      </c>
      <c r="VMA108" s="1" t="s">
        <v>122</v>
      </c>
      <c r="VMB108" s="1" t="s">
        <v>122</v>
      </c>
      <c r="VMC108" s="1" t="s">
        <v>122</v>
      </c>
      <c r="VMD108" s="1" t="s">
        <v>122</v>
      </c>
      <c r="VME108" s="1" t="s">
        <v>122</v>
      </c>
      <c r="VMF108" s="1" t="s">
        <v>122</v>
      </c>
      <c r="VMG108" s="1" t="s">
        <v>122</v>
      </c>
      <c r="VMH108" s="1" t="s">
        <v>122</v>
      </c>
      <c r="VMI108" s="1" t="s">
        <v>122</v>
      </c>
      <c r="VMJ108" s="1" t="s">
        <v>122</v>
      </c>
      <c r="VMK108" s="1" t="s">
        <v>122</v>
      </c>
      <c r="VML108" s="1" t="s">
        <v>122</v>
      </c>
      <c r="VMM108" s="1" t="s">
        <v>122</v>
      </c>
      <c r="VMN108" s="1" t="s">
        <v>122</v>
      </c>
      <c r="VMO108" s="1" t="s">
        <v>122</v>
      </c>
      <c r="VMP108" s="1" t="s">
        <v>122</v>
      </c>
      <c r="VMQ108" s="1" t="s">
        <v>122</v>
      </c>
      <c r="VMR108" s="1" t="s">
        <v>122</v>
      </c>
      <c r="VMS108" s="1" t="s">
        <v>122</v>
      </c>
      <c r="VMT108" s="1" t="s">
        <v>122</v>
      </c>
      <c r="VMU108" s="1" t="s">
        <v>122</v>
      </c>
      <c r="VMV108" s="1" t="s">
        <v>122</v>
      </c>
      <c r="VMW108" s="1" t="s">
        <v>122</v>
      </c>
      <c r="VMX108" s="1" t="s">
        <v>122</v>
      </c>
      <c r="VMY108" s="1" t="s">
        <v>122</v>
      </c>
      <c r="VMZ108" s="1" t="s">
        <v>122</v>
      </c>
      <c r="VNA108" s="1" t="s">
        <v>122</v>
      </c>
      <c r="VNB108" s="1" t="s">
        <v>122</v>
      </c>
      <c r="VNC108" s="1" t="s">
        <v>122</v>
      </c>
      <c r="VND108" s="1" t="s">
        <v>122</v>
      </c>
      <c r="VNE108" s="1" t="s">
        <v>122</v>
      </c>
      <c r="VNF108" s="1" t="s">
        <v>122</v>
      </c>
      <c r="VNG108" s="1" t="s">
        <v>122</v>
      </c>
      <c r="VNH108" s="1" t="s">
        <v>122</v>
      </c>
      <c r="VNI108" s="1" t="s">
        <v>122</v>
      </c>
      <c r="VNJ108" s="1" t="s">
        <v>122</v>
      </c>
      <c r="VNK108" s="1" t="s">
        <v>122</v>
      </c>
      <c r="VNL108" s="1" t="s">
        <v>122</v>
      </c>
      <c r="VNM108" s="1" t="s">
        <v>122</v>
      </c>
      <c r="VNN108" s="1" t="s">
        <v>122</v>
      </c>
      <c r="VNO108" s="1" t="s">
        <v>122</v>
      </c>
      <c r="VNP108" s="1" t="s">
        <v>122</v>
      </c>
      <c r="VNQ108" s="1" t="s">
        <v>122</v>
      </c>
      <c r="VNR108" s="1" t="s">
        <v>122</v>
      </c>
      <c r="VNS108" s="1" t="s">
        <v>122</v>
      </c>
      <c r="VNT108" s="1" t="s">
        <v>122</v>
      </c>
      <c r="VNU108" s="1" t="s">
        <v>122</v>
      </c>
      <c r="VNV108" s="1" t="s">
        <v>122</v>
      </c>
      <c r="VNW108" s="1" t="s">
        <v>122</v>
      </c>
      <c r="VNX108" s="1" t="s">
        <v>122</v>
      </c>
      <c r="VNY108" s="1" t="s">
        <v>122</v>
      </c>
      <c r="VNZ108" s="1" t="s">
        <v>122</v>
      </c>
      <c r="VOA108" s="1" t="s">
        <v>122</v>
      </c>
      <c r="VOB108" s="1" t="s">
        <v>122</v>
      </c>
      <c r="VOC108" s="1" t="s">
        <v>122</v>
      </c>
      <c r="VOD108" s="1" t="s">
        <v>122</v>
      </c>
      <c r="VOE108" s="1" t="s">
        <v>122</v>
      </c>
      <c r="VOF108" s="1" t="s">
        <v>122</v>
      </c>
      <c r="VOG108" s="1" t="s">
        <v>122</v>
      </c>
      <c r="VOH108" s="1" t="s">
        <v>122</v>
      </c>
      <c r="VOI108" s="1" t="s">
        <v>122</v>
      </c>
      <c r="VOJ108" s="1" t="s">
        <v>122</v>
      </c>
      <c r="VOK108" s="1" t="s">
        <v>122</v>
      </c>
      <c r="VOL108" s="1" t="s">
        <v>122</v>
      </c>
      <c r="VOM108" s="1" t="s">
        <v>122</v>
      </c>
      <c r="VON108" s="1" t="s">
        <v>122</v>
      </c>
      <c r="VOO108" s="1" t="s">
        <v>122</v>
      </c>
      <c r="VOP108" s="1" t="s">
        <v>122</v>
      </c>
      <c r="VOQ108" s="1" t="s">
        <v>122</v>
      </c>
      <c r="VOR108" s="1" t="s">
        <v>122</v>
      </c>
      <c r="VOS108" s="1" t="s">
        <v>122</v>
      </c>
      <c r="VOT108" s="1" t="s">
        <v>122</v>
      </c>
      <c r="VOU108" s="1" t="s">
        <v>122</v>
      </c>
      <c r="VOV108" s="1" t="s">
        <v>122</v>
      </c>
      <c r="VOW108" s="1" t="s">
        <v>122</v>
      </c>
      <c r="VOX108" s="1" t="s">
        <v>122</v>
      </c>
      <c r="VOY108" s="1" t="s">
        <v>122</v>
      </c>
      <c r="VOZ108" s="1" t="s">
        <v>122</v>
      </c>
      <c r="VPA108" s="1" t="s">
        <v>122</v>
      </c>
      <c r="VPB108" s="1" t="s">
        <v>122</v>
      </c>
      <c r="VPC108" s="1" t="s">
        <v>122</v>
      </c>
      <c r="VPD108" s="1" t="s">
        <v>122</v>
      </c>
      <c r="VPE108" s="1" t="s">
        <v>122</v>
      </c>
      <c r="VPF108" s="1" t="s">
        <v>122</v>
      </c>
      <c r="VPG108" s="1" t="s">
        <v>122</v>
      </c>
      <c r="VPH108" s="1" t="s">
        <v>122</v>
      </c>
      <c r="VPI108" s="1" t="s">
        <v>122</v>
      </c>
      <c r="VPJ108" s="1" t="s">
        <v>122</v>
      </c>
      <c r="VPK108" s="1" t="s">
        <v>122</v>
      </c>
      <c r="VPL108" s="1" t="s">
        <v>122</v>
      </c>
      <c r="VPM108" s="1" t="s">
        <v>122</v>
      </c>
      <c r="VPN108" s="1" t="s">
        <v>122</v>
      </c>
      <c r="VPO108" s="1" t="s">
        <v>122</v>
      </c>
      <c r="VPP108" s="1" t="s">
        <v>122</v>
      </c>
      <c r="VPQ108" s="1" t="s">
        <v>122</v>
      </c>
      <c r="VPR108" s="1" t="s">
        <v>122</v>
      </c>
      <c r="VPS108" s="1" t="s">
        <v>122</v>
      </c>
      <c r="VPT108" s="1" t="s">
        <v>122</v>
      </c>
      <c r="VPU108" s="1" t="s">
        <v>122</v>
      </c>
      <c r="VPV108" s="1" t="s">
        <v>122</v>
      </c>
      <c r="VPW108" s="1" t="s">
        <v>122</v>
      </c>
      <c r="VPX108" s="1" t="s">
        <v>122</v>
      </c>
      <c r="VPY108" s="1" t="s">
        <v>122</v>
      </c>
      <c r="VPZ108" s="1" t="s">
        <v>122</v>
      </c>
      <c r="VQA108" s="1" t="s">
        <v>122</v>
      </c>
      <c r="VQB108" s="1" t="s">
        <v>122</v>
      </c>
      <c r="VQC108" s="1" t="s">
        <v>122</v>
      </c>
      <c r="VQD108" s="1" t="s">
        <v>122</v>
      </c>
      <c r="VQE108" s="1" t="s">
        <v>122</v>
      </c>
      <c r="VQF108" s="1" t="s">
        <v>122</v>
      </c>
      <c r="VQG108" s="1" t="s">
        <v>122</v>
      </c>
      <c r="VQH108" s="1" t="s">
        <v>122</v>
      </c>
      <c r="VQI108" s="1" t="s">
        <v>122</v>
      </c>
      <c r="VQJ108" s="1" t="s">
        <v>122</v>
      </c>
      <c r="VQK108" s="1" t="s">
        <v>122</v>
      </c>
      <c r="VQL108" s="1" t="s">
        <v>122</v>
      </c>
      <c r="VQM108" s="1" t="s">
        <v>122</v>
      </c>
      <c r="VQN108" s="1" t="s">
        <v>122</v>
      </c>
      <c r="VQO108" s="1" t="s">
        <v>122</v>
      </c>
      <c r="VQP108" s="1" t="s">
        <v>122</v>
      </c>
      <c r="VQQ108" s="1" t="s">
        <v>122</v>
      </c>
      <c r="VQR108" s="1" t="s">
        <v>122</v>
      </c>
      <c r="VQS108" s="1" t="s">
        <v>122</v>
      </c>
      <c r="VQT108" s="1" t="s">
        <v>122</v>
      </c>
      <c r="VQU108" s="1" t="s">
        <v>122</v>
      </c>
      <c r="VQV108" s="1" t="s">
        <v>122</v>
      </c>
      <c r="VQW108" s="1" t="s">
        <v>122</v>
      </c>
      <c r="VQX108" s="1" t="s">
        <v>122</v>
      </c>
      <c r="VQY108" s="1" t="s">
        <v>122</v>
      </c>
      <c r="VQZ108" s="1" t="s">
        <v>122</v>
      </c>
      <c r="VRA108" s="1" t="s">
        <v>122</v>
      </c>
      <c r="VRB108" s="1" t="s">
        <v>122</v>
      </c>
      <c r="VRC108" s="1" t="s">
        <v>122</v>
      </c>
      <c r="VRD108" s="1" t="s">
        <v>122</v>
      </c>
      <c r="VRE108" s="1" t="s">
        <v>122</v>
      </c>
      <c r="VRF108" s="1" t="s">
        <v>122</v>
      </c>
      <c r="VRG108" s="1" t="s">
        <v>122</v>
      </c>
      <c r="VRH108" s="1" t="s">
        <v>122</v>
      </c>
      <c r="VRI108" s="1" t="s">
        <v>122</v>
      </c>
      <c r="VRJ108" s="1" t="s">
        <v>122</v>
      </c>
      <c r="VRK108" s="1" t="s">
        <v>122</v>
      </c>
      <c r="VRL108" s="1" t="s">
        <v>122</v>
      </c>
      <c r="VRM108" s="1" t="s">
        <v>122</v>
      </c>
      <c r="VRN108" s="1" t="s">
        <v>122</v>
      </c>
      <c r="VRO108" s="1" t="s">
        <v>122</v>
      </c>
      <c r="VRP108" s="1" t="s">
        <v>122</v>
      </c>
      <c r="VRQ108" s="1" t="s">
        <v>122</v>
      </c>
      <c r="VRR108" s="1" t="s">
        <v>122</v>
      </c>
      <c r="VRS108" s="1" t="s">
        <v>122</v>
      </c>
      <c r="VRT108" s="1" t="s">
        <v>122</v>
      </c>
      <c r="VRU108" s="1" t="s">
        <v>122</v>
      </c>
      <c r="VRV108" s="1" t="s">
        <v>122</v>
      </c>
      <c r="VRW108" s="1" t="s">
        <v>122</v>
      </c>
      <c r="VRX108" s="1" t="s">
        <v>122</v>
      </c>
      <c r="VRY108" s="1" t="s">
        <v>122</v>
      </c>
      <c r="VRZ108" s="1" t="s">
        <v>122</v>
      </c>
      <c r="VSA108" s="1" t="s">
        <v>122</v>
      </c>
      <c r="VSB108" s="1" t="s">
        <v>122</v>
      </c>
      <c r="VSC108" s="1" t="s">
        <v>122</v>
      </c>
      <c r="VSD108" s="1" t="s">
        <v>122</v>
      </c>
      <c r="VSE108" s="1" t="s">
        <v>122</v>
      </c>
      <c r="VSF108" s="1" t="s">
        <v>122</v>
      </c>
      <c r="VSG108" s="1" t="s">
        <v>122</v>
      </c>
      <c r="VSH108" s="1" t="s">
        <v>122</v>
      </c>
      <c r="VSI108" s="1" t="s">
        <v>122</v>
      </c>
      <c r="VSJ108" s="1" t="s">
        <v>122</v>
      </c>
      <c r="VSK108" s="1" t="s">
        <v>122</v>
      </c>
      <c r="VSL108" s="1" t="s">
        <v>122</v>
      </c>
      <c r="VSM108" s="1" t="s">
        <v>122</v>
      </c>
      <c r="VSN108" s="1" t="s">
        <v>122</v>
      </c>
      <c r="VSO108" s="1" t="s">
        <v>122</v>
      </c>
      <c r="VSP108" s="1" t="s">
        <v>122</v>
      </c>
      <c r="VSQ108" s="1" t="s">
        <v>122</v>
      </c>
      <c r="VSR108" s="1" t="s">
        <v>122</v>
      </c>
      <c r="VSS108" s="1" t="s">
        <v>122</v>
      </c>
      <c r="VST108" s="1" t="s">
        <v>122</v>
      </c>
      <c r="VSU108" s="1" t="s">
        <v>122</v>
      </c>
      <c r="VSV108" s="1" t="s">
        <v>122</v>
      </c>
      <c r="VSW108" s="1" t="s">
        <v>122</v>
      </c>
      <c r="VSX108" s="1" t="s">
        <v>122</v>
      </c>
      <c r="VSY108" s="1" t="s">
        <v>122</v>
      </c>
      <c r="VSZ108" s="1" t="s">
        <v>122</v>
      </c>
      <c r="VTA108" s="1" t="s">
        <v>122</v>
      </c>
      <c r="VTB108" s="1" t="s">
        <v>122</v>
      </c>
      <c r="VTC108" s="1" t="s">
        <v>122</v>
      </c>
      <c r="VTD108" s="1" t="s">
        <v>122</v>
      </c>
      <c r="VTE108" s="1" t="s">
        <v>122</v>
      </c>
      <c r="VTF108" s="1" t="s">
        <v>122</v>
      </c>
      <c r="VTG108" s="1" t="s">
        <v>122</v>
      </c>
      <c r="VTH108" s="1" t="s">
        <v>122</v>
      </c>
      <c r="VTI108" s="1" t="s">
        <v>122</v>
      </c>
      <c r="VTJ108" s="1" t="s">
        <v>122</v>
      </c>
      <c r="VTK108" s="1" t="s">
        <v>122</v>
      </c>
      <c r="VTL108" s="1" t="s">
        <v>122</v>
      </c>
      <c r="VTM108" s="1" t="s">
        <v>122</v>
      </c>
      <c r="VTN108" s="1" t="s">
        <v>122</v>
      </c>
      <c r="VTO108" s="1" t="s">
        <v>122</v>
      </c>
      <c r="VTP108" s="1" t="s">
        <v>122</v>
      </c>
      <c r="VTQ108" s="1" t="s">
        <v>122</v>
      </c>
      <c r="VTR108" s="1" t="s">
        <v>122</v>
      </c>
      <c r="VTS108" s="1" t="s">
        <v>122</v>
      </c>
      <c r="VTT108" s="1" t="s">
        <v>122</v>
      </c>
      <c r="VTU108" s="1" t="s">
        <v>122</v>
      </c>
      <c r="VTV108" s="1" t="s">
        <v>122</v>
      </c>
      <c r="VTW108" s="1" t="s">
        <v>122</v>
      </c>
      <c r="VTX108" s="1" t="s">
        <v>122</v>
      </c>
      <c r="VTY108" s="1" t="s">
        <v>122</v>
      </c>
      <c r="VTZ108" s="1" t="s">
        <v>122</v>
      </c>
      <c r="VUA108" s="1" t="s">
        <v>122</v>
      </c>
      <c r="VUB108" s="1" t="s">
        <v>122</v>
      </c>
      <c r="VUC108" s="1" t="s">
        <v>122</v>
      </c>
      <c r="VUD108" s="1" t="s">
        <v>122</v>
      </c>
      <c r="VUE108" s="1" t="s">
        <v>122</v>
      </c>
      <c r="VUF108" s="1" t="s">
        <v>122</v>
      </c>
      <c r="VUG108" s="1" t="s">
        <v>122</v>
      </c>
      <c r="VUH108" s="1" t="s">
        <v>122</v>
      </c>
      <c r="VUI108" s="1" t="s">
        <v>122</v>
      </c>
      <c r="VUJ108" s="1" t="s">
        <v>122</v>
      </c>
      <c r="VUK108" s="1" t="s">
        <v>122</v>
      </c>
      <c r="VUL108" s="1" t="s">
        <v>122</v>
      </c>
      <c r="VUM108" s="1" t="s">
        <v>122</v>
      </c>
      <c r="VUN108" s="1" t="s">
        <v>122</v>
      </c>
      <c r="VUO108" s="1" t="s">
        <v>122</v>
      </c>
      <c r="VUP108" s="1" t="s">
        <v>122</v>
      </c>
      <c r="VUQ108" s="1" t="s">
        <v>122</v>
      </c>
      <c r="VUR108" s="1" t="s">
        <v>122</v>
      </c>
      <c r="VUS108" s="1" t="s">
        <v>122</v>
      </c>
      <c r="VUT108" s="1" t="s">
        <v>122</v>
      </c>
      <c r="VUU108" s="1" t="s">
        <v>122</v>
      </c>
      <c r="VUV108" s="1" t="s">
        <v>122</v>
      </c>
      <c r="VUW108" s="1" t="s">
        <v>122</v>
      </c>
      <c r="VUX108" s="1" t="s">
        <v>122</v>
      </c>
      <c r="VUY108" s="1" t="s">
        <v>122</v>
      </c>
      <c r="VUZ108" s="1" t="s">
        <v>122</v>
      </c>
      <c r="VVA108" s="1" t="s">
        <v>122</v>
      </c>
      <c r="VVB108" s="1" t="s">
        <v>122</v>
      </c>
      <c r="VVC108" s="1" t="s">
        <v>122</v>
      </c>
      <c r="VVD108" s="1" t="s">
        <v>122</v>
      </c>
      <c r="VVE108" s="1" t="s">
        <v>122</v>
      </c>
      <c r="VVF108" s="1" t="s">
        <v>122</v>
      </c>
      <c r="VVG108" s="1" t="s">
        <v>122</v>
      </c>
      <c r="VVH108" s="1" t="s">
        <v>122</v>
      </c>
      <c r="VVI108" s="1" t="s">
        <v>122</v>
      </c>
      <c r="VVJ108" s="1" t="s">
        <v>122</v>
      </c>
      <c r="VVK108" s="1" t="s">
        <v>122</v>
      </c>
      <c r="VVL108" s="1" t="s">
        <v>122</v>
      </c>
      <c r="VVM108" s="1" t="s">
        <v>122</v>
      </c>
      <c r="VVN108" s="1" t="s">
        <v>122</v>
      </c>
      <c r="VVO108" s="1" t="s">
        <v>122</v>
      </c>
      <c r="VVP108" s="1" t="s">
        <v>122</v>
      </c>
      <c r="VVQ108" s="1" t="s">
        <v>122</v>
      </c>
      <c r="VVR108" s="1" t="s">
        <v>122</v>
      </c>
      <c r="VVS108" s="1" t="s">
        <v>122</v>
      </c>
      <c r="VVT108" s="1" t="s">
        <v>122</v>
      </c>
      <c r="VVU108" s="1" t="s">
        <v>122</v>
      </c>
      <c r="VVV108" s="1" t="s">
        <v>122</v>
      </c>
      <c r="VVW108" s="1" t="s">
        <v>122</v>
      </c>
      <c r="VVX108" s="1" t="s">
        <v>122</v>
      </c>
      <c r="VVY108" s="1" t="s">
        <v>122</v>
      </c>
      <c r="VVZ108" s="1" t="s">
        <v>122</v>
      </c>
      <c r="VWA108" s="1" t="s">
        <v>122</v>
      </c>
      <c r="VWB108" s="1" t="s">
        <v>122</v>
      </c>
      <c r="VWC108" s="1" t="s">
        <v>122</v>
      </c>
      <c r="VWD108" s="1" t="s">
        <v>122</v>
      </c>
      <c r="VWE108" s="1" t="s">
        <v>122</v>
      </c>
      <c r="VWF108" s="1" t="s">
        <v>122</v>
      </c>
      <c r="VWG108" s="1" t="s">
        <v>122</v>
      </c>
      <c r="VWH108" s="1" t="s">
        <v>122</v>
      </c>
      <c r="VWI108" s="1" t="s">
        <v>122</v>
      </c>
      <c r="VWJ108" s="1" t="s">
        <v>122</v>
      </c>
      <c r="VWK108" s="1" t="s">
        <v>122</v>
      </c>
      <c r="VWL108" s="1" t="s">
        <v>122</v>
      </c>
      <c r="VWM108" s="1" t="s">
        <v>122</v>
      </c>
      <c r="VWN108" s="1" t="s">
        <v>122</v>
      </c>
      <c r="VWO108" s="1" t="s">
        <v>122</v>
      </c>
      <c r="VWP108" s="1" t="s">
        <v>122</v>
      </c>
      <c r="VWQ108" s="1" t="s">
        <v>122</v>
      </c>
      <c r="VWR108" s="1" t="s">
        <v>122</v>
      </c>
      <c r="VWS108" s="1" t="s">
        <v>122</v>
      </c>
      <c r="VWT108" s="1" t="s">
        <v>122</v>
      </c>
      <c r="VWU108" s="1" t="s">
        <v>122</v>
      </c>
      <c r="VWV108" s="1" t="s">
        <v>122</v>
      </c>
      <c r="VWW108" s="1" t="s">
        <v>122</v>
      </c>
      <c r="VWX108" s="1" t="s">
        <v>122</v>
      </c>
      <c r="VWY108" s="1" t="s">
        <v>122</v>
      </c>
      <c r="VWZ108" s="1" t="s">
        <v>122</v>
      </c>
      <c r="VXA108" s="1" t="s">
        <v>122</v>
      </c>
      <c r="VXB108" s="1" t="s">
        <v>122</v>
      </c>
      <c r="VXC108" s="1" t="s">
        <v>122</v>
      </c>
      <c r="VXD108" s="1" t="s">
        <v>122</v>
      </c>
      <c r="VXE108" s="1" t="s">
        <v>122</v>
      </c>
      <c r="VXF108" s="1" t="s">
        <v>122</v>
      </c>
      <c r="VXG108" s="1" t="s">
        <v>122</v>
      </c>
      <c r="VXH108" s="1" t="s">
        <v>122</v>
      </c>
      <c r="VXI108" s="1" t="s">
        <v>122</v>
      </c>
      <c r="VXJ108" s="1" t="s">
        <v>122</v>
      </c>
      <c r="VXK108" s="1" t="s">
        <v>122</v>
      </c>
      <c r="VXL108" s="1" t="s">
        <v>122</v>
      </c>
      <c r="VXM108" s="1" t="s">
        <v>122</v>
      </c>
      <c r="VXN108" s="1" t="s">
        <v>122</v>
      </c>
      <c r="VXO108" s="1" t="s">
        <v>122</v>
      </c>
      <c r="VXP108" s="1" t="s">
        <v>122</v>
      </c>
      <c r="VXQ108" s="1" t="s">
        <v>122</v>
      </c>
      <c r="VXR108" s="1" t="s">
        <v>122</v>
      </c>
      <c r="VXS108" s="1" t="s">
        <v>122</v>
      </c>
      <c r="VXT108" s="1" t="s">
        <v>122</v>
      </c>
      <c r="VXU108" s="1" t="s">
        <v>122</v>
      </c>
      <c r="VXV108" s="1" t="s">
        <v>122</v>
      </c>
      <c r="VXW108" s="1" t="s">
        <v>122</v>
      </c>
      <c r="VXX108" s="1" t="s">
        <v>122</v>
      </c>
      <c r="VXY108" s="1" t="s">
        <v>122</v>
      </c>
      <c r="VXZ108" s="1" t="s">
        <v>122</v>
      </c>
      <c r="VYA108" s="1" t="s">
        <v>122</v>
      </c>
      <c r="VYB108" s="1" t="s">
        <v>122</v>
      </c>
      <c r="VYC108" s="1" t="s">
        <v>122</v>
      </c>
      <c r="VYD108" s="1" t="s">
        <v>122</v>
      </c>
      <c r="VYE108" s="1" t="s">
        <v>122</v>
      </c>
      <c r="VYF108" s="1" t="s">
        <v>122</v>
      </c>
      <c r="VYG108" s="1" t="s">
        <v>122</v>
      </c>
      <c r="VYH108" s="1" t="s">
        <v>122</v>
      </c>
      <c r="VYI108" s="1" t="s">
        <v>122</v>
      </c>
      <c r="VYJ108" s="1" t="s">
        <v>122</v>
      </c>
      <c r="VYK108" s="1" t="s">
        <v>122</v>
      </c>
      <c r="VYL108" s="1" t="s">
        <v>122</v>
      </c>
      <c r="VYM108" s="1" t="s">
        <v>122</v>
      </c>
      <c r="VYN108" s="1" t="s">
        <v>122</v>
      </c>
      <c r="VYO108" s="1" t="s">
        <v>122</v>
      </c>
      <c r="VYP108" s="1" t="s">
        <v>122</v>
      </c>
      <c r="VYQ108" s="1" t="s">
        <v>122</v>
      </c>
      <c r="VYR108" s="1" t="s">
        <v>122</v>
      </c>
      <c r="VYS108" s="1" t="s">
        <v>122</v>
      </c>
      <c r="VYT108" s="1" t="s">
        <v>122</v>
      </c>
      <c r="VYU108" s="1" t="s">
        <v>122</v>
      </c>
      <c r="VYV108" s="1" t="s">
        <v>122</v>
      </c>
      <c r="VYW108" s="1" t="s">
        <v>122</v>
      </c>
      <c r="VYX108" s="1" t="s">
        <v>122</v>
      </c>
      <c r="VYY108" s="1" t="s">
        <v>122</v>
      </c>
      <c r="VYZ108" s="1" t="s">
        <v>122</v>
      </c>
      <c r="VZA108" s="1" t="s">
        <v>122</v>
      </c>
      <c r="VZB108" s="1" t="s">
        <v>122</v>
      </c>
      <c r="VZC108" s="1" t="s">
        <v>122</v>
      </c>
      <c r="VZD108" s="1" t="s">
        <v>122</v>
      </c>
      <c r="VZE108" s="1" t="s">
        <v>122</v>
      </c>
      <c r="VZF108" s="1" t="s">
        <v>122</v>
      </c>
      <c r="VZG108" s="1" t="s">
        <v>122</v>
      </c>
      <c r="VZH108" s="1" t="s">
        <v>122</v>
      </c>
      <c r="VZI108" s="1" t="s">
        <v>122</v>
      </c>
      <c r="VZJ108" s="1" t="s">
        <v>122</v>
      </c>
      <c r="VZK108" s="1" t="s">
        <v>122</v>
      </c>
      <c r="VZL108" s="1" t="s">
        <v>122</v>
      </c>
      <c r="VZM108" s="1" t="s">
        <v>122</v>
      </c>
      <c r="VZN108" s="1" t="s">
        <v>122</v>
      </c>
      <c r="VZO108" s="1" t="s">
        <v>122</v>
      </c>
      <c r="VZP108" s="1" t="s">
        <v>122</v>
      </c>
      <c r="VZQ108" s="1" t="s">
        <v>122</v>
      </c>
      <c r="VZR108" s="1" t="s">
        <v>122</v>
      </c>
      <c r="VZS108" s="1" t="s">
        <v>122</v>
      </c>
      <c r="VZT108" s="1" t="s">
        <v>122</v>
      </c>
      <c r="VZU108" s="1" t="s">
        <v>122</v>
      </c>
      <c r="VZV108" s="1" t="s">
        <v>122</v>
      </c>
      <c r="VZW108" s="1" t="s">
        <v>122</v>
      </c>
      <c r="VZX108" s="1" t="s">
        <v>122</v>
      </c>
      <c r="VZY108" s="1" t="s">
        <v>122</v>
      </c>
      <c r="VZZ108" s="1" t="s">
        <v>122</v>
      </c>
      <c r="WAA108" s="1" t="s">
        <v>122</v>
      </c>
      <c r="WAB108" s="1" t="s">
        <v>122</v>
      </c>
      <c r="WAC108" s="1" t="s">
        <v>122</v>
      </c>
      <c r="WAD108" s="1" t="s">
        <v>122</v>
      </c>
      <c r="WAE108" s="1" t="s">
        <v>122</v>
      </c>
      <c r="WAF108" s="1" t="s">
        <v>122</v>
      </c>
      <c r="WAG108" s="1" t="s">
        <v>122</v>
      </c>
      <c r="WAH108" s="1" t="s">
        <v>122</v>
      </c>
      <c r="WAI108" s="1" t="s">
        <v>122</v>
      </c>
      <c r="WAJ108" s="1" t="s">
        <v>122</v>
      </c>
      <c r="WAK108" s="1" t="s">
        <v>122</v>
      </c>
      <c r="WAL108" s="1" t="s">
        <v>122</v>
      </c>
      <c r="WAM108" s="1" t="s">
        <v>122</v>
      </c>
      <c r="WAN108" s="1" t="s">
        <v>122</v>
      </c>
      <c r="WAO108" s="1" t="s">
        <v>122</v>
      </c>
      <c r="WAP108" s="1" t="s">
        <v>122</v>
      </c>
      <c r="WAQ108" s="1" t="s">
        <v>122</v>
      </c>
      <c r="WAR108" s="1" t="s">
        <v>122</v>
      </c>
      <c r="WAS108" s="1" t="s">
        <v>122</v>
      </c>
      <c r="WAT108" s="1" t="s">
        <v>122</v>
      </c>
      <c r="WAU108" s="1" t="s">
        <v>122</v>
      </c>
      <c r="WAV108" s="1" t="s">
        <v>122</v>
      </c>
      <c r="WAW108" s="1" t="s">
        <v>122</v>
      </c>
      <c r="WAX108" s="1" t="s">
        <v>122</v>
      </c>
      <c r="WAY108" s="1" t="s">
        <v>122</v>
      </c>
      <c r="WAZ108" s="1" t="s">
        <v>122</v>
      </c>
      <c r="WBA108" s="1" t="s">
        <v>122</v>
      </c>
      <c r="WBB108" s="1" t="s">
        <v>122</v>
      </c>
      <c r="WBC108" s="1" t="s">
        <v>122</v>
      </c>
      <c r="WBD108" s="1" t="s">
        <v>122</v>
      </c>
      <c r="WBE108" s="1" t="s">
        <v>122</v>
      </c>
      <c r="WBF108" s="1" t="s">
        <v>122</v>
      </c>
      <c r="WBG108" s="1" t="s">
        <v>122</v>
      </c>
      <c r="WBH108" s="1" t="s">
        <v>122</v>
      </c>
      <c r="WBI108" s="1" t="s">
        <v>122</v>
      </c>
      <c r="WBJ108" s="1" t="s">
        <v>122</v>
      </c>
      <c r="WBK108" s="1" t="s">
        <v>122</v>
      </c>
      <c r="WBL108" s="1" t="s">
        <v>122</v>
      </c>
      <c r="WBM108" s="1" t="s">
        <v>122</v>
      </c>
      <c r="WBN108" s="1" t="s">
        <v>122</v>
      </c>
      <c r="WBO108" s="1" t="s">
        <v>122</v>
      </c>
      <c r="WBP108" s="1" t="s">
        <v>122</v>
      </c>
      <c r="WBQ108" s="1" t="s">
        <v>122</v>
      </c>
      <c r="WBR108" s="1" t="s">
        <v>122</v>
      </c>
      <c r="WBS108" s="1" t="s">
        <v>122</v>
      </c>
      <c r="WBT108" s="1" t="s">
        <v>122</v>
      </c>
      <c r="WBU108" s="1" t="s">
        <v>122</v>
      </c>
      <c r="WBV108" s="1" t="s">
        <v>122</v>
      </c>
      <c r="WBW108" s="1" t="s">
        <v>122</v>
      </c>
      <c r="WBX108" s="1" t="s">
        <v>122</v>
      </c>
      <c r="WBY108" s="1" t="s">
        <v>122</v>
      </c>
      <c r="WBZ108" s="1" t="s">
        <v>122</v>
      </c>
      <c r="WCA108" s="1" t="s">
        <v>122</v>
      </c>
      <c r="WCB108" s="1" t="s">
        <v>122</v>
      </c>
      <c r="WCC108" s="1" t="s">
        <v>122</v>
      </c>
      <c r="WCD108" s="1" t="s">
        <v>122</v>
      </c>
      <c r="WCE108" s="1" t="s">
        <v>122</v>
      </c>
      <c r="WCF108" s="1" t="s">
        <v>122</v>
      </c>
      <c r="WCG108" s="1" t="s">
        <v>122</v>
      </c>
      <c r="WCH108" s="1" t="s">
        <v>122</v>
      </c>
      <c r="WCI108" s="1" t="s">
        <v>122</v>
      </c>
      <c r="WCJ108" s="1" t="s">
        <v>122</v>
      </c>
      <c r="WCK108" s="1" t="s">
        <v>122</v>
      </c>
      <c r="WCL108" s="1" t="s">
        <v>122</v>
      </c>
      <c r="WCM108" s="1" t="s">
        <v>122</v>
      </c>
      <c r="WCN108" s="1" t="s">
        <v>122</v>
      </c>
      <c r="WCO108" s="1" t="s">
        <v>122</v>
      </c>
      <c r="WCP108" s="1" t="s">
        <v>122</v>
      </c>
      <c r="WCQ108" s="1" t="s">
        <v>122</v>
      </c>
      <c r="WCR108" s="1" t="s">
        <v>122</v>
      </c>
      <c r="WCS108" s="1" t="s">
        <v>122</v>
      </c>
      <c r="WCT108" s="1" t="s">
        <v>122</v>
      </c>
      <c r="WCU108" s="1" t="s">
        <v>122</v>
      </c>
      <c r="WCV108" s="1" t="s">
        <v>122</v>
      </c>
      <c r="WCW108" s="1" t="s">
        <v>122</v>
      </c>
      <c r="WCX108" s="1" t="s">
        <v>122</v>
      </c>
      <c r="WCY108" s="1" t="s">
        <v>122</v>
      </c>
      <c r="WCZ108" s="1" t="s">
        <v>122</v>
      </c>
      <c r="WDA108" s="1" t="s">
        <v>122</v>
      </c>
      <c r="WDB108" s="1" t="s">
        <v>122</v>
      </c>
      <c r="WDC108" s="1" t="s">
        <v>122</v>
      </c>
      <c r="WDD108" s="1" t="s">
        <v>122</v>
      </c>
      <c r="WDE108" s="1" t="s">
        <v>122</v>
      </c>
      <c r="WDF108" s="1" t="s">
        <v>122</v>
      </c>
      <c r="WDG108" s="1" t="s">
        <v>122</v>
      </c>
      <c r="WDH108" s="1" t="s">
        <v>122</v>
      </c>
      <c r="WDI108" s="1" t="s">
        <v>122</v>
      </c>
      <c r="WDJ108" s="1" t="s">
        <v>122</v>
      </c>
      <c r="WDK108" s="1" t="s">
        <v>122</v>
      </c>
      <c r="WDL108" s="1" t="s">
        <v>122</v>
      </c>
      <c r="WDM108" s="1" t="s">
        <v>122</v>
      </c>
      <c r="WDN108" s="1" t="s">
        <v>122</v>
      </c>
      <c r="WDO108" s="1" t="s">
        <v>122</v>
      </c>
      <c r="WDP108" s="1" t="s">
        <v>122</v>
      </c>
      <c r="WDQ108" s="1" t="s">
        <v>122</v>
      </c>
      <c r="WDR108" s="1" t="s">
        <v>122</v>
      </c>
      <c r="WDS108" s="1" t="s">
        <v>122</v>
      </c>
      <c r="WDT108" s="1" t="s">
        <v>122</v>
      </c>
      <c r="WDU108" s="1" t="s">
        <v>122</v>
      </c>
      <c r="WDV108" s="1" t="s">
        <v>122</v>
      </c>
      <c r="WDW108" s="1" t="s">
        <v>122</v>
      </c>
      <c r="WDX108" s="1" t="s">
        <v>122</v>
      </c>
      <c r="WDY108" s="1" t="s">
        <v>122</v>
      </c>
      <c r="WDZ108" s="1" t="s">
        <v>122</v>
      </c>
      <c r="WEA108" s="1" t="s">
        <v>122</v>
      </c>
      <c r="WEB108" s="1" t="s">
        <v>122</v>
      </c>
      <c r="WEC108" s="1" t="s">
        <v>122</v>
      </c>
      <c r="WED108" s="1" t="s">
        <v>122</v>
      </c>
      <c r="WEE108" s="1" t="s">
        <v>122</v>
      </c>
      <c r="WEF108" s="1" t="s">
        <v>122</v>
      </c>
      <c r="WEG108" s="1" t="s">
        <v>122</v>
      </c>
      <c r="WEH108" s="1" t="s">
        <v>122</v>
      </c>
      <c r="WEI108" s="1" t="s">
        <v>122</v>
      </c>
      <c r="WEJ108" s="1" t="s">
        <v>122</v>
      </c>
      <c r="WEK108" s="1" t="s">
        <v>122</v>
      </c>
      <c r="WEL108" s="1" t="s">
        <v>122</v>
      </c>
      <c r="WEM108" s="1" t="s">
        <v>122</v>
      </c>
      <c r="WEN108" s="1" t="s">
        <v>122</v>
      </c>
      <c r="WEO108" s="1" t="s">
        <v>122</v>
      </c>
      <c r="WEP108" s="1" t="s">
        <v>122</v>
      </c>
      <c r="WEQ108" s="1" t="s">
        <v>122</v>
      </c>
      <c r="WER108" s="1" t="s">
        <v>122</v>
      </c>
      <c r="WES108" s="1" t="s">
        <v>122</v>
      </c>
      <c r="WET108" s="1" t="s">
        <v>122</v>
      </c>
      <c r="WEU108" s="1" t="s">
        <v>122</v>
      </c>
      <c r="WEV108" s="1" t="s">
        <v>122</v>
      </c>
      <c r="WEW108" s="1" t="s">
        <v>122</v>
      </c>
      <c r="WEX108" s="1" t="s">
        <v>122</v>
      </c>
      <c r="WEY108" s="1" t="s">
        <v>122</v>
      </c>
      <c r="WEZ108" s="1" t="s">
        <v>122</v>
      </c>
      <c r="WFA108" s="1" t="s">
        <v>122</v>
      </c>
      <c r="WFB108" s="1" t="s">
        <v>122</v>
      </c>
      <c r="WFC108" s="1" t="s">
        <v>122</v>
      </c>
      <c r="WFD108" s="1" t="s">
        <v>122</v>
      </c>
      <c r="WFE108" s="1" t="s">
        <v>122</v>
      </c>
      <c r="WFF108" s="1" t="s">
        <v>122</v>
      </c>
      <c r="WFG108" s="1" t="s">
        <v>122</v>
      </c>
      <c r="WFH108" s="1" t="s">
        <v>122</v>
      </c>
      <c r="WFI108" s="1" t="s">
        <v>122</v>
      </c>
      <c r="WFJ108" s="1" t="s">
        <v>122</v>
      </c>
      <c r="WFK108" s="1" t="s">
        <v>122</v>
      </c>
      <c r="WFL108" s="1" t="s">
        <v>122</v>
      </c>
      <c r="WFM108" s="1" t="s">
        <v>122</v>
      </c>
      <c r="WFN108" s="1" t="s">
        <v>122</v>
      </c>
      <c r="WFO108" s="1" t="s">
        <v>122</v>
      </c>
      <c r="WFP108" s="1" t="s">
        <v>122</v>
      </c>
      <c r="WFQ108" s="1" t="s">
        <v>122</v>
      </c>
      <c r="WFR108" s="1" t="s">
        <v>122</v>
      </c>
      <c r="WFS108" s="1" t="s">
        <v>122</v>
      </c>
      <c r="WFT108" s="1" t="s">
        <v>122</v>
      </c>
      <c r="WFU108" s="1" t="s">
        <v>122</v>
      </c>
      <c r="WFV108" s="1" t="s">
        <v>122</v>
      </c>
      <c r="WFW108" s="1" t="s">
        <v>122</v>
      </c>
      <c r="WFX108" s="1" t="s">
        <v>122</v>
      </c>
      <c r="WFY108" s="1" t="s">
        <v>122</v>
      </c>
      <c r="WFZ108" s="1" t="s">
        <v>122</v>
      </c>
      <c r="WGA108" s="1" t="s">
        <v>122</v>
      </c>
      <c r="WGB108" s="1" t="s">
        <v>122</v>
      </c>
      <c r="WGC108" s="1" t="s">
        <v>122</v>
      </c>
      <c r="WGD108" s="1" t="s">
        <v>122</v>
      </c>
      <c r="WGE108" s="1" t="s">
        <v>122</v>
      </c>
      <c r="WGF108" s="1" t="s">
        <v>122</v>
      </c>
      <c r="WGG108" s="1" t="s">
        <v>122</v>
      </c>
      <c r="WGH108" s="1" t="s">
        <v>122</v>
      </c>
      <c r="WGI108" s="1" t="s">
        <v>122</v>
      </c>
      <c r="WGJ108" s="1" t="s">
        <v>122</v>
      </c>
      <c r="WGK108" s="1" t="s">
        <v>122</v>
      </c>
      <c r="WGL108" s="1" t="s">
        <v>122</v>
      </c>
      <c r="WGM108" s="1" t="s">
        <v>122</v>
      </c>
      <c r="WGN108" s="1" t="s">
        <v>122</v>
      </c>
      <c r="WGO108" s="1" t="s">
        <v>122</v>
      </c>
      <c r="WGP108" s="1" t="s">
        <v>122</v>
      </c>
      <c r="WGQ108" s="1" t="s">
        <v>122</v>
      </c>
      <c r="WGR108" s="1" t="s">
        <v>122</v>
      </c>
      <c r="WGS108" s="1" t="s">
        <v>122</v>
      </c>
      <c r="WGT108" s="1" t="s">
        <v>122</v>
      </c>
      <c r="WGU108" s="1" t="s">
        <v>122</v>
      </c>
      <c r="WGV108" s="1" t="s">
        <v>122</v>
      </c>
      <c r="WGW108" s="1" t="s">
        <v>122</v>
      </c>
      <c r="WGX108" s="1" t="s">
        <v>122</v>
      </c>
      <c r="WGY108" s="1" t="s">
        <v>122</v>
      </c>
      <c r="WGZ108" s="1" t="s">
        <v>122</v>
      </c>
      <c r="WHA108" s="1" t="s">
        <v>122</v>
      </c>
      <c r="WHB108" s="1" t="s">
        <v>122</v>
      </c>
      <c r="WHC108" s="1" t="s">
        <v>122</v>
      </c>
      <c r="WHD108" s="1" t="s">
        <v>122</v>
      </c>
      <c r="WHE108" s="1" t="s">
        <v>122</v>
      </c>
      <c r="WHF108" s="1" t="s">
        <v>122</v>
      </c>
      <c r="WHG108" s="1" t="s">
        <v>122</v>
      </c>
      <c r="WHH108" s="1" t="s">
        <v>122</v>
      </c>
      <c r="WHI108" s="1" t="s">
        <v>122</v>
      </c>
      <c r="WHJ108" s="1" t="s">
        <v>122</v>
      </c>
      <c r="WHK108" s="1" t="s">
        <v>122</v>
      </c>
      <c r="WHL108" s="1" t="s">
        <v>122</v>
      </c>
      <c r="WHM108" s="1" t="s">
        <v>122</v>
      </c>
      <c r="WHN108" s="1" t="s">
        <v>122</v>
      </c>
      <c r="WHO108" s="1" t="s">
        <v>122</v>
      </c>
      <c r="WHP108" s="1" t="s">
        <v>122</v>
      </c>
      <c r="WHQ108" s="1" t="s">
        <v>122</v>
      </c>
      <c r="WHR108" s="1" t="s">
        <v>122</v>
      </c>
      <c r="WHS108" s="1" t="s">
        <v>122</v>
      </c>
      <c r="WHT108" s="1" t="s">
        <v>122</v>
      </c>
      <c r="WHU108" s="1" t="s">
        <v>122</v>
      </c>
      <c r="WHV108" s="1" t="s">
        <v>122</v>
      </c>
      <c r="WHW108" s="1" t="s">
        <v>122</v>
      </c>
      <c r="WHX108" s="1" t="s">
        <v>122</v>
      </c>
      <c r="WHY108" s="1" t="s">
        <v>122</v>
      </c>
      <c r="WHZ108" s="1" t="s">
        <v>122</v>
      </c>
      <c r="WIA108" s="1" t="s">
        <v>122</v>
      </c>
      <c r="WIB108" s="1" t="s">
        <v>122</v>
      </c>
      <c r="WIC108" s="1" t="s">
        <v>122</v>
      </c>
      <c r="WID108" s="1" t="s">
        <v>122</v>
      </c>
      <c r="WIE108" s="1" t="s">
        <v>122</v>
      </c>
      <c r="WIF108" s="1" t="s">
        <v>122</v>
      </c>
      <c r="WIG108" s="1" t="s">
        <v>122</v>
      </c>
      <c r="WIH108" s="1" t="s">
        <v>122</v>
      </c>
      <c r="WII108" s="1" t="s">
        <v>122</v>
      </c>
      <c r="WIJ108" s="1" t="s">
        <v>122</v>
      </c>
      <c r="WIK108" s="1" t="s">
        <v>122</v>
      </c>
      <c r="WIL108" s="1" t="s">
        <v>122</v>
      </c>
      <c r="WIM108" s="1" t="s">
        <v>122</v>
      </c>
      <c r="WIN108" s="1" t="s">
        <v>122</v>
      </c>
      <c r="WIO108" s="1" t="s">
        <v>122</v>
      </c>
      <c r="WIP108" s="1" t="s">
        <v>122</v>
      </c>
      <c r="WIQ108" s="1" t="s">
        <v>122</v>
      </c>
      <c r="WIR108" s="1" t="s">
        <v>122</v>
      </c>
      <c r="WIS108" s="1" t="s">
        <v>122</v>
      </c>
      <c r="WIT108" s="1" t="s">
        <v>122</v>
      </c>
      <c r="WIU108" s="1" t="s">
        <v>122</v>
      </c>
      <c r="WIV108" s="1" t="s">
        <v>122</v>
      </c>
      <c r="WIW108" s="1" t="s">
        <v>122</v>
      </c>
      <c r="WIX108" s="1" t="s">
        <v>122</v>
      </c>
      <c r="WIY108" s="1" t="s">
        <v>122</v>
      </c>
      <c r="WIZ108" s="1" t="s">
        <v>122</v>
      </c>
      <c r="WJA108" s="1" t="s">
        <v>122</v>
      </c>
      <c r="WJB108" s="1" t="s">
        <v>122</v>
      </c>
      <c r="WJC108" s="1" t="s">
        <v>122</v>
      </c>
      <c r="WJD108" s="1" t="s">
        <v>122</v>
      </c>
      <c r="WJE108" s="1" t="s">
        <v>122</v>
      </c>
      <c r="WJF108" s="1" t="s">
        <v>122</v>
      </c>
      <c r="WJG108" s="1" t="s">
        <v>122</v>
      </c>
      <c r="WJH108" s="1" t="s">
        <v>122</v>
      </c>
      <c r="WJI108" s="1" t="s">
        <v>122</v>
      </c>
      <c r="WJJ108" s="1" t="s">
        <v>122</v>
      </c>
      <c r="WJK108" s="1" t="s">
        <v>122</v>
      </c>
      <c r="WJL108" s="1" t="s">
        <v>122</v>
      </c>
      <c r="WJM108" s="1" t="s">
        <v>122</v>
      </c>
      <c r="WJN108" s="1" t="s">
        <v>122</v>
      </c>
      <c r="WJO108" s="1" t="s">
        <v>122</v>
      </c>
      <c r="WJP108" s="1" t="s">
        <v>122</v>
      </c>
      <c r="WJQ108" s="1" t="s">
        <v>122</v>
      </c>
      <c r="WJR108" s="1" t="s">
        <v>122</v>
      </c>
      <c r="WJS108" s="1" t="s">
        <v>122</v>
      </c>
      <c r="WJT108" s="1" t="s">
        <v>122</v>
      </c>
      <c r="WJU108" s="1" t="s">
        <v>122</v>
      </c>
      <c r="WJV108" s="1" t="s">
        <v>122</v>
      </c>
      <c r="WJW108" s="1" t="s">
        <v>122</v>
      </c>
      <c r="WJX108" s="1" t="s">
        <v>122</v>
      </c>
      <c r="WJY108" s="1" t="s">
        <v>122</v>
      </c>
      <c r="WJZ108" s="1" t="s">
        <v>122</v>
      </c>
      <c r="WKA108" s="1" t="s">
        <v>122</v>
      </c>
      <c r="WKB108" s="1" t="s">
        <v>122</v>
      </c>
      <c r="WKC108" s="1" t="s">
        <v>122</v>
      </c>
      <c r="WKD108" s="1" t="s">
        <v>122</v>
      </c>
      <c r="WKE108" s="1" t="s">
        <v>122</v>
      </c>
      <c r="WKF108" s="1" t="s">
        <v>122</v>
      </c>
      <c r="WKG108" s="1" t="s">
        <v>122</v>
      </c>
      <c r="WKH108" s="1" t="s">
        <v>122</v>
      </c>
      <c r="WKI108" s="1" t="s">
        <v>122</v>
      </c>
      <c r="WKJ108" s="1" t="s">
        <v>122</v>
      </c>
      <c r="WKK108" s="1" t="s">
        <v>122</v>
      </c>
      <c r="WKL108" s="1" t="s">
        <v>122</v>
      </c>
      <c r="WKM108" s="1" t="s">
        <v>122</v>
      </c>
      <c r="WKN108" s="1" t="s">
        <v>122</v>
      </c>
      <c r="WKO108" s="1" t="s">
        <v>122</v>
      </c>
      <c r="WKP108" s="1" t="s">
        <v>122</v>
      </c>
      <c r="WKQ108" s="1" t="s">
        <v>122</v>
      </c>
      <c r="WKR108" s="1" t="s">
        <v>122</v>
      </c>
      <c r="WKS108" s="1" t="s">
        <v>122</v>
      </c>
      <c r="WKT108" s="1" t="s">
        <v>122</v>
      </c>
      <c r="WKU108" s="1" t="s">
        <v>122</v>
      </c>
      <c r="WKV108" s="1" t="s">
        <v>122</v>
      </c>
      <c r="WKW108" s="1" t="s">
        <v>122</v>
      </c>
      <c r="WKX108" s="1" t="s">
        <v>122</v>
      </c>
      <c r="WKY108" s="1" t="s">
        <v>122</v>
      </c>
      <c r="WKZ108" s="1" t="s">
        <v>122</v>
      </c>
      <c r="WLA108" s="1" t="s">
        <v>122</v>
      </c>
      <c r="WLB108" s="1" t="s">
        <v>122</v>
      </c>
      <c r="WLC108" s="1" t="s">
        <v>122</v>
      </c>
      <c r="WLD108" s="1" t="s">
        <v>122</v>
      </c>
      <c r="WLE108" s="1" t="s">
        <v>122</v>
      </c>
      <c r="WLF108" s="1" t="s">
        <v>122</v>
      </c>
      <c r="WLG108" s="1" t="s">
        <v>122</v>
      </c>
      <c r="WLH108" s="1" t="s">
        <v>122</v>
      </c>
      <c r="WLI108" s="1" t="s">
        <v>122</v>
      </c>
      <c r="WLJ108" s="1" t="s">
        <v>122</v>
      </c>
      <c r="WLK108" s="1" t="s">
        <v>122</v>
      </c>
      <c r="WLL108" s="1" t="s">
        <v>122</v>
      </c>
      <c r="WLM108" s="1" t="s">
        <v>122</v>
      </c>
      <c r="WLN108" s="1" t="s">
        <v>122</v>
      </c>
      <c r="WLO108" s="1" t="s">
        <v>122</v>
      </c>
      <c r="WLP108" s="1" t="s">
        <v>122</v>
      </c>
      <c r="WLQ108" s="1" t="s">
        <v>122</v>
      </c>
      <c r="WLR108" s="1" t="s">
        <v>122</v>
      </c>
      <c r="WLS108" s="1" t="s">
        <v>122</v>
      </c>
      <c r="WLT108" s="1" t="s">
        <v>122</v>
      </c>
      <c r="WLU108" s="1" t="s">
        <v>122</v>
      </c>
      <c r="WLV108" s="1" t="s">
        <v>122</v>
      </c>
      <c r="WLW108" s="1" t="s">
        <v>122</v>
      </c>
      <c r="WLX108" s="1" t="s">
        <v>122</v>
      </c>
      <c r="WLY108" s="1" t="s">
        <v>122</v>
      </c>
      <c r="WLZ108" s="1" t="s">
        <v>122</v>
      </c>
      <c r="WMA108" s="1" t="s">
        <v>122</v>
      </c>
      <c r="WMB108" s="1" t="s">
        <v>122</v>
      </c>
      <c r="WMC108" s="1" t="s">
        <v>122</v>
      </c>
      <c r="WMD108" s="1" t="s">
        <v>122</v>
      </c>
      <c r="WME108" s="1" t="s">
        <v>122</v>
      </c>
      <c r="WMF108" s="1" t="s">
        <v>122</v>
      </c>
      <c r="WMG108" s="1" t="s">
        <v>122</v>
      </c>
      <c r="WMH108" s="1" t="s">
        <v>122</v>
      </c>
      <c r="WMI108" s="1" t="s">
        <v>122</v>
      </c>
      <c r="WMJ108" s="1" t="s">
        <v>122</v>
      </c>
      <c r="WMK108" s="1" t="s">
        <v>122</v>
      </c>
      <c r="WML108" s="1" t="s">
        <v>122</v>
      </c>
      <c r="WMM108" s="1" t="s">
        <v>122</v>
      </c>
      <c r="WMN108" s="1" t="s">
        <v>122</v>
      </c>
      <c r="WMO108" s="1" t="s">
        <v>122</v>
      </c>
      <c r="WMP108" s="1" t="s">
        <v>122</v>
      </c>
      <c r="WMQ108" s="1" t="s">
        <v>122</v>
      </c>
      <c r="WMR108" s="1" t="s">
        <v>122</v>
      </c>
      <c r="WMS108" s="1" t="s">
        <v>122</v>
      </c>
      <c r="WMT108" s="1" t="s">
        <v>122</v>
      </c>
      <c r="WMU108" s="1" t="s">
        <v>122</v>
      </c>
      <c r="WMV108" s="1" t="s">
        <v>122</v>
      </c>
      <c r="WMW108" s="1" t="s">
        <v>122</v>
      </c>
      <c r="WMX108" s="1" t="s">
        <v>122</v>
      </c>
      <c r="WMY108" s="1" t="s">
        <v>122</v>
      </c>
      <c r="WMZ108" s="1" t="s">
        <v>122</v>
      </c>
      <c r="WNA108" s="1" t="s">
        <v>122</v>
      </c>
      <c r="WNB108" s="1" t="s">
        <v>122</v>
      </c>
      <c r="WNC108" s="1" t="s">
        <v>122</v>
      </c>
      <c r="WND108" s="1" t="s">
        <v>122</v>
      </c>
      <c r="WNE108" s="1" t="s">
        <v>122</v>
      </c>
      <c r="WNF108" s="1" t="s">
        <v>122</v>
      </c>
      <c r="WNG108" s="1" t="s">
        <v>122</v>
      </c>
      <c r="WNH108" s="1" t="s">
        <v>122</v>
      </c>
      <c r="WNI108" s="1" t="s">
        <v>122</v>
      </c>
      <c r="WNJ108" s="1" t="s">
        <v>122</v>
      </c>
      <c r="WNK108" s="1" t="s">
        <v>122</v>
      </c>
      <c r="WNL108" s="1" t="s">
        <v>122</v>
      </c>
      <c r="WNM108" s="1" t="s">
        <v>122</v>
      </c>
      <c r="WNN108" s="1" t="s">
        <v>122</v>
      </c>
      <c r="WNO108" s="1" t="s">
        <v>122</v>
      </c>
      <c r="WNP108" s="1" t="s">
        <v>122</v>
      </c>
      <c r="WNQ108" s="1" t="s">
        <v>122</v>
      </c>
      <c r="WNR108" s="1" t="s">
        <v>122</v>
      </c>
      <c r="WNS108" s="1" t="s">
        <v>122</v>
      </c>
      <c r="WNT108" s="1" t="s">
        <v>122</v>
      </c>
      <c r="WNU108" s="1" t="s">
        <v>122</v>
      </c>
      <c r="WNV108" s="1" t="s">
        <v>122</v>
      </c>
      <c r="WNW108" s="1" t="s">
        <v>122</v>
      </c>
      <c r="WNX108" s="1" t="s">
        <v>122</v>
      </c>
      <c r="WNY108" s="1" t="s">
        <v>122</v>
      </c>
      <c r="WNZ108" s="1" t="s">
        <v>122</v>
      </c>
      <c r="WOA108" s="1" t="s">
        <v>122</v>
      </c>
      <c r="WOB108" s="1" t="s">
        <v>122</v>
      </c>
      <c r="WOC108" s="1" t="s">
        <v>122</v>
      </c>
      <c r="WOD108" s="1" t="s">
        <v>122</v>
      </c>
      <c r="WOE108" s="1" t="s">
        <v>122</v>
      </c>
      <c r="WOF108" s="1" t="s">
        <v>122</v>
      </c>
      <c r="WOG108" s="1" t="s">
        <v>122</v>
      </c>
      <c r="WOH108" s="1" t="s">
        <v>122</v>
      </c>
      <c r="WOI108" s="1" t="s">
        <v>122</v>
      </c>
      <c r="WOJ108" s="1" t="s">
        <v>122</v>
      </c>
      <c r="WOK108" s="1" t="s">
        <v>122</v>
      </c>
      <c r="WOL108" s="1" t="s">
        <v>122</v>
      </c>
      <c r="WOM108" s="1" t="s">
        <v>122</v>
      </c>
      <c r="WON108" s="1" t="s">
        <v>122</v>
      </c>
      <c r="WOO108" s="1" t="s">
        <v>122</v>
      </c>
      <c r="WOP108" s="1" t="s">
        <v>122</v>
      </c>
      <c r="WOQ108" s="1" t="s">
        <v>122</v>
      </c>
      <c r="WOR108" s="1" t="s">
        <v>122</v>
      </c>
      <c r="WOS108" s="1" t="s">
        <v>122</v>
      </c>
      <c r="WOT108" s="1" t="s">
        <v>122</v>
      </c>
      <c r="WOU108" s="1" t="s">
        <v>122</v>
      </c>
      <c r="WOV108" s="1" t="s">
        <v>122</v>
      </c>
      <c r="WOW108" s="1" t="s">
        <v>122</v>
      </c>
      <c r="WOX108" s="1" t="s">
        <v>122</v>
      </c>
      <c r="WOY108" s="1" t="s">
        <v>122</v>
      </c>
      <c r="WOZ108" s="1" t="s">
        <v>122</v>
      </c>
      <c r="WPA108" s="1" t="s">
        <v>122</v>
      </c>
      <c r="WPB108" s="1" t="s">
        <v>122</v>
      </c>
      <c r="WPC108" s="1" t="s">
        <v>122</v>
      </c>
      <c r="WPD108" s="1" t="s">
        <v>122</v>
      </c>
      <c r="WPE108" s="1" t="s">
        <v>122</v>
      </c>
      <c r="WPF108" s="1" t="s">
        <v>122</v>
      </c>
      <c r="WPG108" s="1" t="s">
        <v>122</v>
      </c>
      <c r="WPH108" s="1" t="s">
        <v>122</v>
      </c>
      <c r="WPI108" s="1" t="s">
        <v>122</v>
      </c>
      <c r="WPJ108" s="1" t="s">
        <v>122</v>
      </c>
      <c r="WPK108" s="1" t="s">
        <v>122</v>
      </c>
      <c r="WPL108" s="1" t="s">
        <v>122</v>
      </c>
      <c r="WPM108" s="1" t="s">
        <v>122</v>
      </c>
      <c r="WPN108" s="1" t="s">
        <v>122</v>
      </c>
      <c r="WPO108" s="1" t="s">
        <v>122</v>
      </c>
      <c r="WPP108" s="1" t="s">
        <v>122</v>
      </c>
      <c r="WPQ108" s="1" t="s">
        <v>122</v>
      </c>
      <c r="WPR108" s="1" t="s">
        <v>122</v>
      </c>
      <c r="WPS108" s="1" t="s">
        <v>122</v>
      </c>
      <c r="WPT108" s="1" t="s">
        <v>122</v>
      </c>
      <c r="WPU108" s="1" t="s">
        <v>122</v>
      </c>
      <c r="WPV108" s="1" t="s">
        <v>122</v>
      </c>
      <c r="WPW108" s="1" t="s">
        <v>122</v>
      </c>
      <c r="WPX108" s="1" t="s">
        <v>122</v>
      </c>
      <c r="WPY108" s="1" t="s">
        <v>122</v>
      </c>
      <c r="WPZ108" s="1" t="s">
        <v>122</v>
      </c>
      <c r="WQA108" s="1" t="s">
        <v>122</v>
      </c>
      <c r="WQB108" s="1" t="s">
        <v>122</v>
      </c>
      <c r="WQC108" s="1" t="s">
        <v>122</v>
      </c>
      <c r="WQD108" s="1" t="s">
        <v>122</v>
      </c>
      <c r="WQE108" s="1" t="s">
        <v>122</v>
      </c>
      <c r="WQF108" s="1" t="s">
        <v>122</v>
      </c>
      <c r="WQG108" s="1" t="s">
        <v>122</v>
      </c>
      <c r="WQH108" s="1" t="s">
        <v>122</v>
      </c>
      <c r="WQI108" s="1" t="s">
        <v>122</v>
      </c>
      <c r="WQJ108" s="1" t="s">
        <v>122</v>
      </c>
      <c r="WQK108" s="1" t="s">
        <v>122</v>
      </c>
      <c r="WQL108" s="1" t="s">
        <v>122</v>
      </c>
      <c r="WQM108" s="1" t="s">
        <v>122</v>
      </c>
      <c r="WQN108" s="1" t="s">
        <v>122</v>
      </c>
      <c r="WQO108" s="1" t="s">
        <v>122</v>
      </c>
      <c r="WQP108" s="1" t="s">
        <v>122</v>
      </c>
      <c r="WQQ108" s="1" t="s">
        <v>122</v>
      </c>
      <c r="WQR108" s="1" t="s">
        <v>122</v>
      </c>
      <c r="WQS108" s="1" t="s">
        <v>122</v>
      </c>
      <c r="WQT108" s="1" t="s">
        <v>122</v>
      </c>
      <c r="WQU108" s="1" t="s">
        <v>122</v>
      </c>
      <c r="WQV108" s="1" t="s">
        <v>122</v>
      </c>
      <c r="WQW108" s="1" t="s">
        <v>122</v>
      </c>
      <c r="WQX108" s="1" t="s">
        <v>122</v>
      </c>
      <c r="WQY108" s="1" t="s">
        <v>122</v>
      </c>
      <c r="WQZ108" s="1" t="s">
        <v>122</v>
      </c>
      <c r="WRA108" s="1" t="s">
        <v>122</v>
      </c>
      <c r="WRB108" s="1" t="s">
        <v>122</v>
      </c>
      <c r="WRC108" s="1" t="s">
        <v>122</v>
      </c>
      <c r="WRD108" s="1" t="s">
        <v>122</v>
      </c>
      <c r="WRE108" s="1" t="s">
        <v>122</v>
      </c>
      <c r="WRF108" s="1" t="s">
        <v>122</v>
      </c>
      <c r="WRG108" s="1" t="s">
        <v>122</v>
      </c>
      <c r="WRH108" s="1" t="s">
        <v>122</v>
      </c>
      <c r="WRI108" s="1" t="s">
        <v>122</v>
      </c>
      <c r="WRJ108" s="1" t="s">
        <v>122</v>
      </c>
      <c r="WRK108" s="1" t="s">
        <v>122</v>
      </c>
      <c r="WRL108" s="1" t="s">
        <v>122</v>
      </c>
      <c r="WRM108" s="1" t="s">
        <v>122</v>
      </c>
      <c r="WRN108" s="1" t="s">
        <v>122</v>
      </c>
      <c r="WRO108" s="1" t="s">
        <v>122</v>
      </c>
      <c r="WRP108" s="1" t="s">
        <v>122</v>
      </c>
      <c r="WRQ108" s="1" t="s">
        <v>122</v>
      </c>
      <c r="WRR108" s="1" t="s">
        <v>122</v>
      </c>
      <c r="WRS108" s="1" t="s">
        <v>122</v>
      </c>
      <c r="WRT108" s="1" t="s">
        <v>122</v>
      </c>
      <c r="WRU108" s="1" t="s">
        <v>122</v>
      </c>
      <c r="WRV108" s="1" t="s">
        <v>122</v>
      </c>
      <c r="WRW108" s="1" t="s">
        <v>122</v>
      </c>
      <c r="WRX108" s="1" t="s">
        <v>122</v>
      </c>
      <c r="WRY108" s="1" t="s">
        <v>122</v>
      </c>
      <c r="WRZ108" s="1" t="s">
        <v>122</v>
      </c>
      <c r="WSA108" s="1" t="s">
        <v>122</v>
      </c>
      <c r="WSB108" s="1" t="s">
        <v>122</v>
      </c>
      <c r="WSC108" s="1" t="s">
        <v>122</v>
      </c>
      <c r="WSD108" s="1" t="s">
        <v>122</v>
      </c>
      <c r="WSE108" s="1" t="s">
        <v>122</v>
      </c>
      <c r="WSF108" s="1" t="s">
        <v>122</v>
      </c>
      <c r="WSG108" s="1" t="s">
        <v>122</v>
      </c>
      <c r="WSH108" s="1" t="s">
        <v>122</v>
      </c>
      <c r="WSI108" s="1" t="s">
        <v>122</v>
      </c>
      <c r="WSJ108" s="1" t="s">
        <v>122</v>
      </c>
      <c r="WSK108" s="1" t="s">
        <v>122</v>
      </c>
      <c r="WSL108" s="1" t="s">
        <v>122</v>
      </c>
      <c r="WSM108" s="1" t="s">
        <v>122</v>
      </c>
      <c r="WSN108" s="1" t="s">
        <v>122</v>
      </c>
      <c r="WSO108" s="1" t="s">
        <v>122</v>
      </c>
      <c r="WSP108" s="1" t="s">
        <v>122</v>
      </c>
      <c r="WSQ108" s="1" t="s">
        <v>122</v>
      </c>
      <c r="WSR108" s="1" t="s">
        <v>122</v>
      </c>
      <c r="WSS108" s="1" t="s">
        <v>122</v>
      </c>
      <c r="WST108" s="1" t="s">
        <v>122</v>
      </c>
      <c r="WSU108" s="1" t="s">
        <v>122</v>
      </c>
      <c r="WSV108" s="1" t="s">
        <v>122</v>
      </c>
      <c r="WSW108" s="1" t="s">
        <v>122</v>
      </c>
      <c r="WSX108" s="1" t="s">
        <v>122</v>
      </c>
      <c r="WSY108" s="1" t="s">
        <v>122</v>
      </c>
      <c r="WSZ108" s="1" t="s">
        <v>122</v>
      </c>
      <c r="WTA108" s="1" t="s">
        <v>122</v>
      </c>
      <c r="WTB108" s="1" t="s">
        <v>122</v>
      </c>
      <c r="WTC108" s="1" t="s">
        <v>122</v>
      </c>
      <c r="WTD108" s="1" t="s">
        <v>122</v>
      </c>
      <c r="WTE108" s="1" t="s">
        <v>122</v>
      </c>
      <c r="WTF108" s="1" t="s">
        <v>122</v>
      </c>
      <c r="WTG108" s="1" t="s">
        <v>122</v>
      </c>
      <c r="WTH108" s="1" t="s">
        <v>122</v>
      </c>
      <c r="WTI108" s="1" t="s">
        <v>122</v>
      </c>
      <c r="WTJ108" s="1" t="s">
        <v>122</v>
      </c>
      <c r="WTK108" s="1" t="s">
        <v>122</v>
      </c>
      <c r="WTL108" s="1" t="s">
        <v>122</v>
      </c>
      <c r="WTM108" s="1" t="s">
        <v>122</v>
      </c>
      <c r="WTN108" s="1" t="s">
        <v>122</v>
      </c>
      <c r="WTO108" s="1" t="s">
        <v>122</v>
      </c>
      <c r="WTP108" s="1" t="s">
        <v>122</v>
      </c>
      <c r="WTQ108" s="1" t="s">
        <v>122</v>
      </c>
      <c r="WTR108" s="1" t="s">
        <v>122</v>
      </c>
      <c r="WTS108" s="1" t="s">
        <v>122</v>
      </c>
      <c r="WTT108" s="1" t="s">
        <v>122</v>
      </c>
      <c r="WTU108" s="1" t="s">
        <v>122</v>
      </c>
      <c r="WTV108" s="1" t="s">
        <v>122</v>
      </c>
      <c r="WTW108" s="1" t="s">
        <v>122</v>
      </c>
      <c r="WTX108" s="1" t="s">
        <v>122</v>
      </c>
      <c r="WTY108" s="1" t="s">
        <v>122</v>
      </c>
      <c r="WTZ108" s="1" t="s">
        <v>122</v>
      </c>
      <c r="WUA108" s="1" t="s">
        <v>122</v>
      </c>
      <c r="WUB108" s="1" t="s">
        <v>122</v>
      </c>
      <c r="WUC108" s="1" t="s">
        <v>122</v>
      </c>
      <c r="WUD108" s="1" t="s">
        <v>122</v>
      </c>
      <c r="WUE108" s="1" t="s">
        <v>122</v>
      </c>
      <c r="WUF108" s="1" t="s">
        <v>122</v>
      </c>
      <c r="WUG108" s="1" t="s">
        <v>122</v>
      </c>
      <c r="WUH108" s="1" t="s">
        <v>122</v>
      </c>
      <c r="WUI108" s="1" t="s">
        <v>122</v>
      </c>
      <c r="WUJ108" s="1" t="s">
        <v>122</v>
      </c>
      <c r="WUK108" s="1" t="s">
        <v>122</v>
      </c>
      <c r="WUL108" s="1" t="s">
        <v>122</v>
      </c>
      <c r="WUM108" s="1" t="s">
        <v>122</v>
      </c>
      <c r="WUN108" s="1" t="s">
        <v>122</v>
      </c>
      <c r="WUO108" s="1" t="s">
        <v>122</v>
      </c>
      <c r="WUP108" s="1" t="s">
        <v>122</v>
      </c>
      <c r="WUQ108" s="1" t="s">
        <v>122</v>
      </c>
      <c r="WUR108" s="1" t="s">
        <v>122</v>
      </c>
      <c r="WUS108" s="1" t="s">
        <v>122</v>
      </c>
      <c r="WUT108" s="1" t="s">
        <v>122</v>
      </c>
      <c r="WUU108" s="1" t="s">
        <v>122</v>
      </c>
      <c r="WUV108" s="1" t="s">
        <v>122</v>
      </c>
      <c r="WUW108" s="1" t="s">
        <v>122</v>
      </c>
      <c r="WUX108" s="1" t="s">
        <v>122</v>
      </c>
      <c r="WUY108" s="1" t="s">
        <v>122</v>
      </c>
      <c r="WUZ108" s="1" t="s">
        <v>122</v>
      </c>
      <c r="WVA108" s="1" t="s">
        <v>122</v>
      </c>
      <c r="WVB108" s="1" t="s">
        <v>122</v>
      </c>
      <c r="WVC108" s="1" t="s">
        <v>122</v>
      </c>
      <c r="WVD108" s="1" t="s">
        <v>122</v>
      </c>
      <c r="WVE108" s="1" t="s">
        <v>122</v>
      </c>
      <c r="WVF108" s="1" t="s">
        <v>122</v>
      </c>
      <c r="WVG108" s="1" t="s">
        <v>122</v>
      </c>
      <c r="WVH108" s="1" t="s">
        <v>122</v>
      </c>
      <c r="WVI108" s="1" t="s">
        <v>122</v>
      </c>
      <c r="WVJ108" s="1" t="s">
        <v>122</v>
      </c>
      <c r="WVK108" s="1" t="s">
        <v>122</v>
      </c>
      <c r="WVL108" s="1" t="s">
        <v>122</v>
      </c>
      <c r="WVM108" s="1" t="s">
        <v>122</v>
      </c>
      <c r="WVN108" s="1" t="s">
        <v>122</v>
      </c>
      <c r="WVO108" s="1" t="s">
        <v>122</v>
      </c>
      <c r="WVP108" s="1" t="s">
        <v>122</v>
      </c>
      <c r="WVQ108" s="1" t="s">
        <v>122</v>
      </c>
      <c r="WVR108" s="1" t="s">
        <v>122</v>
      </c>
      <c r="WVS108" s="1" t="s">
        <v>122</v>
      </c>
      <c r="WVT108" s="1" t="s">
        <v>122</v>
      </c>
      <c r="WVU108" s="1" t="s">
        <v>122</v>
      </c>
      <c r="WVV108" s="1" t="s">
        <v>122</v>
      </c>
      <c r="WVW108" s="1" t="s">
        <v>122</v>
      </c>
      <c r="WVX108" s="1" t="s">
        <v>122</v>
      </c>
      <c r="WVY108" s="1" t="s">
        <v>122</v>
      </c>
      <c r="WVZ108" s="1" t="s">
        <v>122</v>
      </c>
      <c r="WWA108" s="1" t="s">
        <v>122</v>
      </c>
      <c r="WWB108" s="1" t="s">
        <v>122</v>
      </c>
      <c r="WWC108" s="1" t="s">
        <v>122</v>
      </c>
      <c r="WWD108" s="1" t="s">
        <v>122</v>
      </c>
      <c r="WWE108" s="1" t="s">
        <v>122</v>
      </c>
      <c r="WWF108" s="1" t="s">
        <v>122</v>
      </c>
      <c r="WWG108" s="1" t="s">
        <v>122</v>
      </c>
      <c r="WWH108" s="1" t="s">
        <v>122</v>
      </c>
      <c r="WWI108" s="1" t="s">
        <v>122</v>
      </c>
      <c r="WWJ108" s="1" t="s">
        <v>122</v>
      </c>
      <c r="WWK108" s="1" t="s">
        <v>122</v>
      </c>
      <c r="WWL108" s="1" t="s">
        <v>122</v>
      </c>
      <c r="WWM108" s="1" t="s">
        <v>122</v>
      </c>
      <c r="WWN108" s="1" t="s">
        <v>122</v>
      </c>
      <c r="WWO108" s="1" t="s">
        <v>122</v>
      </c>
      <c r="WWP108" s="1" t="s">
        <v>122</v>
      </c>
      <c r="WWQ108" s="1" t="s">
        <v>122</v>
      </c>
      <c r="WWR108" s="1" t="s">
        <v>122</v>
      </c>
      <c r="WWS108" s="1" t="s">
        <v>122</v>
      </c>
      <c r="WWT108" s="1" t="s">
        <v>122</v>
      </c>
      <c r="WWU108" s="1" t="s">
        <v>122</v>
      </c>
      <c r="WWV108" s="1" t="s">
        <v>122</v>
      </c>
      <c r="WWW108" s="1" t="s">
        <v>122</v>
      </c>
      <c r="WWX108" s="1" t="s">
        <v>122</v>
      </c>
      <c r="WWY108" s="1" t="s">
        <v>122</v>
      </c>
      <c r="WWZ108" s="1" t="s">
        <v>122</v>
      </c>
      <c r="WXA108" s="1" t="s">
        <v>122</v>
      </c>
      <c r="WXB108" s="1" t="s">
        <v>122</v>
      </c>
      <c r="WXC108" s="1" t="s">
        <v>122</v>
      </c>
      <c r="WXD108" s="1" t="s">
        <v>122</v>
      </c>
      <c r="WXE108" s="1" t="s">
        <v>122</v>
      </c>
      <c r="WXF108" s="1" t="s">
        <v>122</v>
      </c>
      <c r="WXG108" s="1" t="s">
        <v>122</v>
      </c>
      <c r="WXH108" s="1" t="s">
        <v>122</v>
      </c>
      <c r="WXI108" s="1" t="s">
        <v>122</v>
      </c>
      <c r="WXJ108" s="1" t="s">
        <v>122</v>
      </c>
      <c r="WXK108" s="1" t="s">
        <v>122</v>
      </c>
      <c r="WXL108" s="1" t="s">
        <v>122</v>
      </c>
      <c r="WXM108" s="1" t="s">
        <v>122</v>
      </c>
      <c r="WXN108" s="1" t="s">
        <v>122</v>
      </c>
      <c r="WXO108" s="1" t="s">
        <v>122</v>
      </c>
      <c r="WXP108" s="1" t="s">
        <v>122</v>
      </c>
      <c r="WXQ108" s="1" t="s">
        <v>122</v>
      </c>
      <c r="WXR108" s="1" t="s">
        <v>122</v>
      </c>
      <c r="WXS108" s="1" t="s">
        <v>122</v>
      </c>
      <c r="WXT108" s="1" t="s">
        <v>122</v>
      </c>
      <c r="WXU108" s="1" t="s">
        <v>122</v>
      </c>
      <c r="WXV108" s="1" t="s">
        <v>122</v>
      </c>
      <c r="WXW108" s="1" t="s">
        <v>122</v>
      </c>
      <c r="WXX108" s="1" t="s">
        <v>122</v>
      </c>
      <c r="WXY108" s="1" t="s">
        <v>122</v>
      </c>
      <c r="WXZ108" s="1" t="s">
        <v>122</v>
      </c>
      <c r="WYA108" s="1" t="s">
        <v>122</v>
      </c>
      <c r="WYB108" s="1" t="s">
        <v>122</v>
      </c>
      <c r="WYC108" s="1" t="s">
        <v>122</v>
      </c>
      <c r="WYD108" s="1" t="s">
        <v>122</v>
      </c>
      <c r="WYE108" s="1" t="s">
        <v>122</v>
      </c>
      <c r="WYF108" s="1" t="s">
        <v>122</v>
      </c>
      <c r="WYG108" s="1" t="s">
        <v>122</v>
      </c>
      <c r="WYH108" s="1" t="s">
        <v>122</v>
      </c>
      <c r="WYI108" s="1" t="s">
        <v>122</v>
      </c>
      <c r="WYJ108" s="1" t="s">
        <v>122</v>
      </c>
      <c r="WYK108" s="1" t="s">
        <v>122</v>
      </c>
      <c r="WYL108" s="1" t="s">
        <v>122</v>
      </c>
      <c r="WYM108" s="1" t="s">
        <v>122</v>
      </c>
      <c r="WYN108" s="1" t="s">
        <v>122</v>
      </c>
      <c r="WYO108" s="1" t="s">
        <v>122</v>
      </c>
      <c r="WYP108" s="1" t="s">
        <v>122</v>
      </c>
      <c r="WYQ108" s="1" t="s">
        <v>122</v>
      </c>
      <c r="WYR108" s="1" t="s">
        <v>122</v>
      </c>
      <c r="WYS108" s="1" t="s">
        <v>122</v>
      </c>
      <c r="WYT108" s="1" t="s">
        <v>122</v>
      </c>
      <c r="WYU108" s="1" t="s">
        <v>122</v>
      </c>
      <c r="WYV108" s="1" t="s">
        <v>122</v>
      </c>
      <c r="WYW108" s="1" t="s">
        <v>122</v>
      </c>
      <c r="WYX108" s="1" t="s">
        <v>122</v>
      </c>
      <c r="WYY108" s="1" t="s">
        <v>122</v>
      </c>
      <c r="WYZ108" s="1" t="s">
        <v>122</v>
      </c>
      <c r="WZA108" s="1" t="s">
        <v>122</v>
      </c>
      <c r="WZB108" s="1" t="s">
        <v>122</v>
      </c>
      <c r="WZC108" s="1" t="s">
        <v>122</v>
      </c>
      <c r="WZD108" s="1" t="s">
        <v>122</v>
      </c>
      <c r="WZE108" s="1" t="s">
        <v>122</v>
      </c>
      <c r="WZF108" s="1" t="s">
        <v>122</v>
      </c>
      <c r="WZG108" s="1" t="s">
        <v>122</v>
      </c>
      <c r="WZH108" s="1" t="s">
        <v>122</v>
      </c>
      <c r="WZI108" s="1" t="s">
        <v>122</v>
      </c>
      <c r="WZJ108" s="1" t="s">
        <v>122</v>
      </c>
      <c r="WZK108" s="1" t="s">
        <v>122</v>
      </c>
      <c r="WZL108" s="1" t="s">
        <v>122</v>
      </c>
      <c r="WZM108" s="1" t="s">
        <v>122</v>
      </c>
      <c r="WZN108" s="1" t="s">
        <v>122</v>
      </c>
      <c r="WZO108" s="1" t="s">
        <v>122</v>
      </c>
      <c r="WZP108" s="1" t="s">
        <v>122</v>
      </c>
      <c r="WZQ108" s="1" t="s">
        <v>122</v>
      </c>
      <c r="WZR108" s="1" t="s">
        <v>122</v>
      </c>
      <c r="WZS108" s="1" t="s">
        <v>122</v>
      </c>
      <c r="WZT108" s="1" t="s">
        <v>122</v>
      </c>
      <c r="WZU108" s="1" t="s">
        <v>122</v>
      </c>
      <c r="WZV108" s="1" t="s">
        <v>122</v>
      </c>
      <c r="WZW108" s="1" t="s">
        <v>122</v>
      </c>
      <c r="WZX108" s="1" t="s">
        <v>122</v>
      </c>
      <c r="WZY108" s="1" t="s">
        <v>122</v>
      </c>
      <c r="WZZ108" s="1" t="s">
        <v>122</v>
      </c>
      <c r="XAA108" s="1" t="s">
        <v>122</v>
      </c>
      <c r="XAB108" s="1" t="s">
        <v>122</v>
      </c>
      <c r="XAC108" s="1" t="s">
        <v>122</v>
      </c>
      <c r="XAD108" s="1" t="s">
        <v>122</v>
      </c>
      <c r="XAE108" s="1" t="s">
        <v>122</v>
      </c>
      <c r="XAF108" s="1" t="s">
        <v>122</v>
      </c>
      <c r="XAG108" s="1" t="s">
        <v>122</v>
      </c>
      <c r="XAH108" s="1" t="s">
        <v>122</v>
      </c>
      <c r="XAI108" s="1" t="s">
        <v>122</v>
      </c>
      <c r="XAJ108" s="1" t="s">
        <v>122</v>
      </c>
      <c r="XAK108" s="1" t="s">
        <v>122</v>
      </c>
      <c r="XAL108" s="1" t="s">
        <v>122</v>
      </c>
      <c r="XAM108" s="1" t="s">
        <v>122</v>
      </c>
      <c r="XAN108" s="1" t="s">
        <v>122</v>
      </c>
      <c r="XAO108" s="1" t="s">
        <v>122</v>
      </c>
      <c r="XAP108" s="1" t="s">
        <v>122</v>
      </c>
      <c r="XAQ108" s="1" t="s">
        <v>122</v>
      </c>
      <c r="XAR108" s="1" t="s">
        <v>122</v>
      </c>
      <c r="XAS108" s="1" t="s">
        <v>122</v>
      </c>
      <c r="XAT108" s="1" t="s">
        <v>122</v>
      </c>
      <c r="XAU108" s="1" t="s">
        <v>122</v>
      </c>
      <c r="XAV108" s="1" t="s">
        <v>122</v>
      </c>
      <c r="XAW108" s="1" t="s">
        <v>122</v>
      </c>
      <c r="XAX108" s="1" t="s">
        <v>122</v>
      </c>
      <c r="XAY108" s="1" t="s">
        <v>122</v>
      </c>
      <c r="XAZ108" s="1" t="s">
        <v>122</v>
      </c>
      <c r="XBA108" s="1" t="s">
        <v>122</v>
      </c>
      <c r="XBB108" s="1" t="s">
        <v>122</v>
      </c>
      <c r="XBC108" s="1" t="s">
        <v>122</v>
      </c>
      <c r="XBD108" s="1" t="s">
        <v>122</v>
      </c>
      <c r="XBE108" s="1" t="s">
        <v>122</v>
      </c>
      <c r="XBF108" s="1" t="s">
        <v>122</v>
      </c>
      <c r="XBG108" s="1" t="s">
        <v>122</v>
      </c>
      <c r="XBH108" s="1" t="s">
        <v>122</v>
      </c>
      <c r="XBI108" s="1" t="s">
        <v>122</v>
      </c>
      <c r="XBJ108" s="1" t="s">
        <v>122</v>
      </c>
      <c r="XBK108" s="1" t="s">
        <v>122</v>
      </c>
      <c r="XBL108" s="1" t="s">
        <v>122</v>
      </c>
      <c r="XBM108" s="1" t="s">
        <v>122</v>
      </c>
      <c r="XBN108" s="1" t="s">
        <v>122</v>
      </c>
      <c r="XBO108" s="1" t="s">
        <v>122</v>
      </c>
      <c r="XBP108" s="1" t="s">
        <v>122</v>
      </c>
      <c r="XBQ108" s="1" t="s">
        <v>122</v>
      </c>
      <c r="XBR108" s="1" t="s">
        <v>122</v>
      </c>
      <c r="XBS108" s="1" t="s">
        <v>122</v>
      </c>
      <c r="XBT108" s="1" t="s">
        <v>122</v>
      </c>
      <c r="XBU108" s="1" t="s">
        <v>122</v>
      </c>
      <c r="XBV108" s="1" t="s">
        <v>122</v>
      </c>
      <c r="XBW108" s="1" t="s">
        <v>122</v>
      </c>
      <c r="XBX108" s="1" t="s">
        <v>122</v>
      </c>
      <c r="XBY108" s="1" t="s">
        <v>122</v>
      </c>
      <c r="XBZ108" s="1" t="s">
        <v>122</v>
      </c>
      <c r="XCA108" s="1" t="s">
        <v>122</v>
      </c>
      <c r="XCB108" s="1" t="s">
        <v>122</v>
      </c>
      <c r="XCC108" s="1" t="s">
        <v>122</v>
      </c>
      <c r="XCD108" s="1" t="s">
        <v>122</v>
      </c>
      <c r="XCE108" s="1" t="s">
        <v>122</v>
      </c>
      <c r="XCF108" s="1" t="s">
        <v>122</v>
      </c>
      <c r="XCG108" s="1" t="s">
        <v>122</v>
      </c>
      <c r="XCH108" s="1" t="s">
        <v>122</v>
      </c>
      <c r="XCI108" s="1" t="s">
        <v>122</v>
      </c>
      <c r="XCJ108" s="1" t="s">
        <v>122</v>
      </c>
      <c r="XCK108" s="1" t="s">
        <v>122</v>
      </c>
      <c r="XCL108" s="1" t="s">
        <v>122</v>
      </c>
      <c r="XCM108" s="1" t="s">
        <v>122</v>
      </c>
      <c r="XCN108" s="1" t="s">
        <v>122</v>
      </c>
      <c r="XCO108" s="1" t="s">
        <v>122</v>
      </c>
      <c r="XCP108" s="1" t="s">
        <v>122</v>
      </c>
      <c r="XCQ108" s="1" t="s">
        <v>122</v>
      </c>
      <c r="XCR108" s="1" t="s">
        <v>122</v>
      </c>
      <c r="XCS108" s="1" t="s">
        <v>122</v>
      </c>
      <c r="XCT108" s="1" t="s">
        <v>122</v>
      </c>
      <c r="XCU108" s="1" t="s">
        <v>122</v>
      </c>
      <c r="XCV108" s="1" t="s">
        <v>122</v>
      </c>
      <c r="XCW108" s="1" t="s">
        <v>122</v>
      </c>
      <c r="XCX108" s="1" t="s">
        <v>122</v>
      </c>
      <c r="XCY108" s="1" t="s">
        <v>122</v>
      </c>
      <c r="XCZ108" s="1" t="s">
        <v>122</v>
      </c>
      <c r="XDA108" s="1" t="s">
        <v>122</v>
      </c>
      <c r="XDB108" s="1" t="s">
        <v>122</v>
      </c>
      <c r="XDC108" s="1" t="s">
        <v>122</v>
      </c>
      <c r="XDD108" s="1" t="s">
        <v>122</v>
      </c>
      <c r="XDE108" s="1" t="s">
        <v>122</v>
      </c>
      <c r="XDF108" s="1" t="s">
        <v>122</v>
      </c>
      <c r="XDG108" s="1" t="s">
        <v>122</v>
      </c>
      <c r="XDH108" s="1" t="s">
        <v>122</v>
      </c>
      <c r="XDI108" s="1" t="s">
        <v>122</v>
      </c>
      <c r="XDJ108" s="1" t="s">
        <v>122</v>
      </c>
      <c r="XDK108" s="1" t="s">
        <v>122</v>
      </c>
      <c r="XDL108" s="1" t="s">
        <v>122</v>
      </c>
      <c r="XDM108" s="1" t="s">
        <v>122</v>
      </c>
      <c r="XDN108" s="1" t="s">
        <v>122</v>
      </c>
      <c r="XDO108" s="1" t="s">
        <v>122</v>
      </c>
      <c r="XDP108" s="1" t="s">
        <v>122</v>
      </c>
      <c r="XDQ108" s="1" t="s">
        <v>122</v>
      </c>
      <c r="XDR108" s="1" t="s">
        <v>122</v>
      </c>
      <c r="XDS108" s="1" t="s">
        <v>122</v>
      </c>
      <c r="XDT108" s="1" t="s">
        <v>122</v>
      </c>
      <c r="XDU108" s="1" t="s">
        <v>122</v>
      </c>
      <c r="XDV108" s="1" t="s">
        <v>122</v>
      </c>
      <c r="XDW108" s="1" t="s">
        <v>122</v>
      </c>
      <c r="XDX108" s="1" t="s">
        <v>122</v>
      </c>
      <c r="XDY108" s="1" t="s">
        <v>122</v>
      </c>
      <c r="XDZ108" s="1" t="s">
        <v>122</v>
      </c>
      <c r="XEA108" s="1" t="s">
        <v>122</v>
      </c>
      <c r="XEB108" s="1" t="s">
        <v>122</v>
      </c>
      <c r="XEC108" s="1" t="s">
        <v>122</v>
      </c>
      <c r="XED108" s="1" t="s">
        <v>122</v>
      </c>
      <c r="XEE108" s="1" t="s">
        <v>122</v>
      </c>
      <c r="XEF108" s="1" t="s">
        <v>122</v>
      </c>
      <c r="XEG108" s="1" t="s">
        <v>122</v>
      </c>
      <c r="XEH108" s="1" t="s">
        <v>122</v>
      </c>
      <c r="XEI108" s="1" t="s">
        <v>122</v>
      </c>
      <c r="XEJ108" s="1" t="s">
        <v>122</v>
      </c>
      <c r="XEK108" s="1" t="s">
        <v>122</v>
      </c>
      <c r="XEL108" s="1" t="s">
        <v>122</v>
      </c>
      <c r="XEM108" s="1" t="s">
        <v>122</v>
      </c>
      <c r="XEN108" s="1" t="s">
        <v>122</v>
      </c>
      <c r="XEO108" s="1" t="s">
        <v>122</v>
      </c>
      <c r="XEP108" s="1" t="s">
        <v>122</v>
      </c>
      <c r="XEQ108" s="1" t="s">
        <v>122</v>
      </c>
      <c r="XER108" s="1" t="s">
        <v>122</v>
      </c>
      <c r="XES108" s="1" t="s">
        <v>122</v>
      </c>
      <c r="XET108" s="1" t="s">
        <v>122</v>
      </c>
      <c r="XEU108" s="1" t="s">
        <v>122</v>
      </c>
      <c r="XEV108" s="1" t="s">
        <v>122</v>
      </c>
      <c r="XEW108" s="1" t="s">
        <v>122</v>
      </c>
      <c r="XEX108" s="1" t="s">
        <v>122</v>
      </c>
      <c r="XEY108" s="1" t="s">
        <v>122</v>
      </c>
      <c r="XEZ108" s="1" t="s">
        <v>122</v>
      </c>
      <c r="XFA108" s="1" t="s">
        <v>122</v>
      </c>
      <c r="XFB108" s="1" t="s">
        <v>122</v>
      </c>
      <c r="XFC108" s="1" t="s">
        <v>122</v>
      </c>
      <c r="XFD108" s="1" t="s">
        <v>122</v>
      </c>
    </row>
  </sheetData>
  <sortState ref="AQ3:BK107">
    <sortCondition ref="AQ3:AQ107"/>
  </sortState>
  <mergeCells count="15">
    <mergeCell ref="AA1:AD1"/>
    <mergeCell ref="AE1:AH1"/>
    <mergeCell ref="AI1:AL1"/>
    <mergeCell ref="AM1:AP1"/>
    <mergeCell ref="B1:E1"/>
    <mergeCell ref="F1:I1"/>
    <mergeCell ref="J1:M1"/>
    <mergeCell ref="N1:Q1"/>
    <mergeCell ref="R1:U1"/>
    <mergeCell ref="W1:Z1"/>
    <mergeCell ref="AR1:AU1"/>
    <mergeCell ref="AV1:AY1"/>
    <mergeCell ref="AZ1:BC1"/>
    <mergeCell ref="BD1:BG1"/>
    <mergeCell ref="BH1:BK1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K108"/>
  <sheetViews>
    <sheetView topLeftCell="P1" workbookViewId="0">
      <pane ySplit="2" topLeftCell="A91" activePane="bottomLeft" state="frozen"/>
      <selection pane="bottomLeft" activeCell="AR108" sqref="AR108"/>
    </sheetView>
  </sheetViews>
  <sheetFormatPr baseColWidth="10" defaultRowHeight="15" x14ac:dyDescent="0"/>
  <cols>
    <col min="22" max="22" width="0" hidden="1" customWidth="1"/>
    <col min="43" max="43" width="0" hidden="1" customWidth="1"/>
  </cols>
  <sheetData>
    <row r="1" spans="1:63">
      <c r="B1" s="12" t="s">
        <v>135</v>
      </c>
      <c r="C1" s="12"/>
      <c r="D1" s="12"/>
      <c r="E1" s="12"/>
      <c r="F1" s="12" t="s">
        <v>136</v>
      </c>
      <c r="G1" s="12"/>
      <c r="H1" s="12"/>
      <c r="I1" s="12"/>
      <c r="J1" s="12" t="s">
        <v>137</v>
      </c>
      <c r="K1" s="12"/>
      <c r="L1" s="12"/>
      <c r="M1" s="12"/>
      <c r="N1" s="12" t="s">
        <v>138</v>
      </c>
      <c r="O1" s="12"/>
      <c r="P1" s="12"/>
      <c r="Q1" s="12"/>
      <c r="R1" s="12" t="s">
        <v>139</v>
      </c>
      <c r="S1" s="12"/>
      <c r="T1" s="12"/>
      <c r="U1" s="12"/>
      <c r="W1" s="12" t="s">
        <v>135</v>
      </c>
      <c r="X1" s="12"/>
      <c r="Y1" s="12"/>
      <c r="Z1" s="12"/>
      <c r="AA1" s="12" t="s">
        <v>140</v>
      </c>
      <c r="AB1" s="12"/>
      <c r="AC1" s="12"/>
      <c r="AD1" s="12"/>
      <c r="AE1" s="12" t="s">
        <v>141</v>
      </c>
      <c r="AF1" s="12"/>
      <c r="AG1" s="12"/>
      <c r="AH1" s="12"/>
      <c r="AI1" s="12" t="s">
        <v>142</v>
      </c>
      <c r="AJ1" s="12"/>
      <c r="AK1" s="12"/>
      <c r="AL1" s="12"/>
      <c r="AM1" s="12" t="s">
        <v>143</v>
      </c>
      <c r="AN1" s="12"/>
      <c r="AO1" s="12"/>
      <c r="AP1" s="12"/>
      <c r="AR1" s="12" t="s">
        <v>136</v>
      </c>
      <c r="AS1" s="12"/>
      <c r="AT1" s="12"/>
      <c r="AU1" s="12"/>
      <c r="AV1" s="12" t="s">
        <v>140</v>
      </c>
      <c r="AW1" s="12"/>
      <c r="AX1" s="12"/>
      <c r="AY1" s="12"/>
      <c r="AZ1" s="12" t="s">
        <v>144</v>
      </c>
      <c r="BA1" s="12"/>
      <c r="BB1" s="12"/>
      <c r="BC1" s="12"/>
      <c r="BD1" s="12" t="s">
        <v>145</v>
      </c>
      <c r="BE1" s="12"/>
      <c r="BF1" s="12"/>
      <c r="BG1" s="12"/>
      <c r="BH1" s="12" t="s">
        <v>146</v>
      </c>
      <c r="BI1" s="12"/>
      <c r="BJ1" s="12"/>
      <c r="BK1" s="12"/>
    </row>
    <row r="2" spans="1:63">
      <c r="A2" t="s">
        <v>114</v>
      </c>
      <c r="B2" t="s">
        <v>105</v>
      </c>
      <c r="C2" t="s">
        <v>106</v>
      </c>
      <c r="D2" t="s">
        <v>107</v>
      </c>
      <c r="E2" t="s">
        <v>108</v>
      </c>
      <c r="F2" t="s">
        <v>105</v>
      </c>
      <c r="G2" t="s">
        <v>106</v>
      </c>
      <c r="H2" t="s">
        <v>107</v>
      </c>
      <c r="I2" t="s">
        <v>108</v>
      </c>
      <c r="J2" t="s">
        <v>105</v>
      </c>
      <c r="K2" t="s">
        <v>106</v>
      </c>
      <c r="L2" t="s">
        <v>107</v>
      </c>
      <c r="M2" t="s">
        <v>108</v>
      </c>
      <c r="N2" t="s">
        <v>105</v>
      </c>
      <c r="O2" t="s">
        <v>106</v>
      </c>
      <c r="P2" t="s">
        <v>107</v>
      </c>
      <c r="Q2" t="s">
        <v>108</v>
      </c>
      <c r="R2" t="s">
        <v>105</v>
      </c>
      <c r="S2" t="s">
        <v>106</v>
      </c>
      <c r="T2" t="s">
        <v>107</v>
      </c>
      <c r="U2" t="s">
        <v>108</v>
      </c>
      <c r="V2" t="s">
        <v>114</v>
      </c>
      <c r="W2" t="s">
        <v>105</v>
      </c>
      <c r="X2" t="s">
        <v>106</v>
      </c>
      <c r="Y2" t="s">
        <v>107</v>
      </c>
      <c r="Z2" t="s">
        <v>108</v>
      </c>
      <c r="AA2" t="s">
        <v>105</v>
      </c>
      <c r="AB2" t="s">
        <v>106</v>
      </c>
      <c r="AC2" t="s">
        <v>107</v>
      </c>
      <c r="AD2" t="s">
        <v>108</v>
      </c>
      <c r="AE2" t="s">
        <v>105</v>
      </c>
      <c r="AF2" t="s">
        <v>106</v>
      </c>
      <c r="AG2" t="s">
        <v>107</v>
      </c>
      <c r="AH2" t="s">
        <v>108</v>
      </c>
      <c r="AI2" t="s">
        <v>105</v>
      </c>
      <c r="AJ2" t="s">
        <v>106</v>
      </c>
      <c r="AK2" t="s">
        <v>107</v>
      </c>
      <c r="AL2" t="s">
        <v>108</v>
      </c>
      <c r="AM2" t="s">
        <v>105</v>
      </c>
      <c r="AN2" t="s">
        <v>106</v>
      </c>
      <c r="AO2" t="s">
        <v>107</v>
      </c>
      <c r="AP2" t="s">
        <v>108</v>
      </c>
      <c r="AQ2" t="s">
        <v>114</v>
      </c>
      <c r="AR2" t="s">
        <v>105</v>
      </c>
      <c r="AS2" t="s">
        <v>106</v>
      </c>
      <c r="AT2" t="s">
        <v>107</v>
      </c>
      <c r="AU2" t="s">
        <v>108</v>
      </c>
      <c r="AV2" t="s">
        <v>105</v>
      </c>
      <c r="AW2" t="s">
        <v>106</v>
      </c>
      <c r="AX2" t="s">
        <v>107</v>
      </c>
      <c r="AY2" t="s">
        <v>108</v>
      </c>
      <c r="AZ2" t="s">
        <v>105</v>
      </c>
      <c r="BA2" t="s">
        <v>106</v>
      </c>
      <c r="BB2" t="s">
        <v>107</v>
      </c>
      <c r="BC2" t="s">
        <v>108</v>
      </c>
      <c r="BD2" t="s">
        <v>105</v>
      </c>
      <c r="BE2" t="s">
        <v>106</v>
      </c>
      <c r="BF2" t="s">
        <v>107</v>
      </c>
      <c r="BG2" t="s">
        <v>108</v>
      </c>
      <c r="BH2" t="s">
        <v>105</v>
      </c>
      <c r="BI2" t="s">
        <v>106</v>
      </c>
      <c r="BJ2" t="s">
        <v>107</v>
      </c>
      <c r="BK2" t="s">
        <v>108</v>
      </c>
    </row>
    <row r="3" spans="1:63">
      <c r="A3" t="s">
        <v>32</v>
      </c>
      <c r="B3">
        <v>14</v>
      </c>
      <c r="C3">
        <v>0</v>
      </c>
      <c r="D3">
        <v>0</v>
      </c>
      <c r="E3">
        <v>0</v>
      </c>
      <c r="F3">
        <v>14</v>
      </c>
      <c r="G3">
        <v>0</v>
      </c>
      <c r="H3">
        <v>0</v>
      </c>
      <c r="I3">
        <v>0</v>
      </c>
      <c r="J3">
        <v>14</v>
      </c>
      <c r="K3">
        <v>0</v>
      </c>
      <c r="L3">
        <v>0</v>
      </c>
      <c r="M3">
        <v>0</v>
      </c>
      <c r="N3">
        <v>14</v>
      </c>
      <c r="O3">
        <v>0</v>
      </c>
      <c r="P3">
        <v>0</v>
      </c>
      <c r="Q3">
        <v>0</v>
      </c>
      <c r="R3">
        <v>14</v>
      </c>
      <c r="S3">
        <v>0</v>
      </c>
      <c r="T3">
        <v>0</v>
      </c>
      <c r="U3">
        <v>0</v>
      </c>
      <c r="V3" t="s">
        <v>32</v>
      </c>
      <c r="W3">
        <v>14</v>
      </c>
      <c r="X3">
        <v>0</v>
      </c>
      <c r="Y3">
        <v>0</v>
      </c>
      <c r="Z3">
        <v>0</v>
      </c>
      <c r="AA3">
        <v>14</v>
      </c>
      <c r="AB3">
        <v>0</v>
      </c>
      <c r="AC3">
        <v>0</v>
      </c>
      <c r="AD3">
        <v>0</v>
      </c>
      <c r="AE3">
        <v>14</v>
      </c>
      <c r="AF3">
        <v>0</v>
      </c>
      <c r="AG3">
        <v>0</v>
      </c>
      <c r="AH3">
        <v>0</v>
      </c>
      <c r="AI3">
        <v>14</v>
      </c>
      <c r="AJ3">
        <v>0</v>
      </c>
      <c r="AK3">
        <v>0</v>
      </c>
      <c r="AL3">
        <v>0</v>
      </c>
      <c r="AM3">
        <v>14</v>
      </c>
      <c r="AN3">
        <v>0</v>
      </c>
      <c r="AO3">
        <v>0</v>
      </c>
      <c r="AP3">
        <v>0</v>
      </c>
      <c r="AQ3" t="s">
        <v>32</v>
      </c>
      <c r="AR3">
        <v>14</v>
      </c>
      <c r="AS3">
        <v>0</v>
      </c>
      <c r="AT3">
        <v>0</v>
      </c>
      <c r="AU3">
        <v>0</v>
      </c>
      <c r="AV3">
        <v>14</v>
      </c>
      <c r="AW3">
        <v>0</v>
      </c>
      <c r="AX3">
        <v>0</v>
      </c>
      <c r="AY3">
        <v>0</v>
      </c>
      <c r="AZ3">
        <v>14</v>
      </c>
      <c r="BA3">
        <v>0</v>
      </c>
      <c r="BB3">
        <v>0</v>
      </c>
      <c r="BC3">
        <v>0</v>
      </c>
      <c r="BD3">
        <v>14</v>
      </c>
      <c r="BE3">
        <v>0</v>
      </c>
      <c r="BF3">
        <v>0</v>
      </c>
      <c r="BG3">
        <v>0</v>
      </c>
      <c r="BH3">
        <v>14</v>
      </c>
      <c r="BI3">
        <v>0</v>
      </c>
      <c r="BJ3">
        <v>0</v>
      </c>
      <c r="BK3">
        <v>0</v>
      </c>
    </row>
    <row r="4" spans="1:63">
      <c r="A4" t="s">
        <v>58</v>
      </c>
      <c r="B4">
        <v>14</v>
      </c>
      <c r="C4">
        <v>0</v>
      </c>
      <c r="D4">
        <v>0</v>
      </c>
      <c r="E4">
        <v>0</v>
      </c>
      <c r="F4">
        <v>14</v>
      </c>
      <c r="G4">
        <v>0</v>
      </c>
      <c r="H4">
        <v>0</v>
      </c>
      <c r="I4">
        <v>0</v>
      </c>
      <c r="J4">
        <v>14</v>
      </c>
      <c r="K4">
        <v>0</v>
      </c>
      <c r="L4">
        <v>0</v>
      </c>
      <c r="M4">
        <v>0</v>
      </c>
      <c r="N4">
        <v>14</v>
      </c>
      <c r="O4">
        <v>0</v>
      </c>
      <c r="P4">
        <v>0</v>
      </c>
      <c r="Q4">
        <v>0</v>
      </c>
      <c r="R4">
        <v>14</v>
      </c>
      <c r="S4">
        <v>0</v>
      </c>
      <c r="T4">
        <v>0</v>
      </c>
      <c r="U4">
        <v>0</v>
      </c>
      <c r="V4" t="s">
        <v>58</v>
      </c>
      <c r="W4">
        <v>14</v>
      </c>
      <c r="X4">
        <v>0</v>
      </c>
      <c r="Y4">
        <v>0</v>
      </c>
      <c r="Z4">
        <v>0</v>
      </c>
      <c r="AA4">
        <v>14</v>
      </c>
      <c r="AB4">
        <v>0</v>
      </c>
      <c r="AC4">
        <v>0</v>
      </c>
      <c r="AD4">
        <v>0</v>
      </c>
      <c r="AE4">
        <v>14</v>
      </c>
      <c r="AF4">
        <v>0</v>
      </c>
      <c r="AG4">
        <v>0</v>
      </c>
      <c r="AH4">
        <v>0</v>
      </c>
      <c r="AI4">
        <v>14</v>
      </c>
      <c r="AJ4">
        <v>0</v>
      </c>
      <c r="AK4">
        <v>0</v>
      </c>
      <c r="AL4">
        <v>0</v>
      </c>
      <c r="AM4">
        <v>14</v>
      </c>
      <c r="AN4">
        <v>0</v>
      </c>
      <c r="AO4">
        <v>0</v>
      </c>
      <c r="AP4">
        <v>0</v>
      </c>
      <c r="AQ4" t="s">
        <v>58</v>
      </c>
      <c r="AR4">
        <v>14</v>
      </c>
      <c r="AS4">
        <v>0</v>
      </c>
      <c r="AT4">
        <v>0</v>
      </c>
      <c r="AU4">
        <v>0</v>
      </c>
      <c r="AV4">
        <v>14</v>
      </c>
      <c r="AW4">
        <v>0</v>
      </c>
      <c r="AX4">
        <v>0</v>
      </c>
      <c r="AY4">
        <v>0</v>
      </c>
      <c r="AZ4">
        <v>14</v>
      </c>
      <c r="BA4">
        <v>0</v>
      </c>
      <c r="BB4">
        <v>0</v>
      </c>
      <c r="BC4">
        <v>0</v>
      </c>
      <c r="BD4">
        <v>14</v>
      </c>
      <c r="BE4">
        <v>0</v>
      </c>
      <c r="BF4">
        <v>0</v>
      </c>
      <c r="BG4">
        <v>0</v>
      </c>
      <c r="BH4">
        <v>14</v>
      </c>
      <c r="BI4">
        <v>0</v>
      </c>
      <c r="BJ4">
        <v>0</v>
      </c>
      <c r="BK4">
        <v>0</v>
      </c>
    </row>
    <row r="5" spans="1:63">
      <c r="A5" t="s">
        <v>14</v>
      </c>
      <c r="B5">
        <v>18</v>
      </c>
      <c r="C5">
        <v>0</v>
      </c>
      <c r="D5">
        <v>0</v>
      </c>
      <c r="E5">
        <v>0</v>
      </c>
      <c r="F5">
        <v>18</v>
      </c>
      <c r="G5">
        <v>0</v>
      </c>
      <c r="H5">
        <v>0</v>
      </c>
      <c r="I5">
        <v>0</v>
      </c>
      <c r="J5">
        <v>18</v>
      </c>
      <c r="K5">
        <v>0</v>
      </c>
      <c r="L5">
        <v>0</v>
      </c>
      <c r="M5">
        <v>0</v>
      </c>
      <c r="N5">
        <v>18</v>
      </c>
      <c r="O5">
        <v>0</v>
      </c>
      <c r="P5">
        <v>0</v>
      </c>
      <c r="Q5">
        <v>0</v>
      </c>
      <c r="R5">
        <v>18</v>
      </c>
      <c r="S5">
        <v>0</v>
      </c>
      <c r="T5">
        <v>0</v>
      </c>
      <c r="U5">
        <v>0</v>
      </c>
      <c r="V5" t="s">
        <v>14</v>
      </c>
      <c r="W5">
        <v>18</v>
      </c>
      <c r="X5">
        <v>0</v>
      </c>
      <c r="Y5">
        <v>0</v>
      </c>
      <c r="Z5">
        <v>0</v>
      </c>
      <c r="AA5">
        <v>18</v>
      </c>
      <c r="AB5">
        <v>0</v>
      </c>
      <c r="AC5">
        <v>0</v>
      </c>
      <c r="AD5">
        <v>0</v>
      </c>
      <c r="AE5">
        <v>18</v>
      </c>
      <c r="AF5">
        <v>0</v>
      </c>
      <c r="AG5">
        <v>0</v>
      </c>
      <c r="AH5">
        <v>0</v>
      </c>
      <c r="AI5">
        <v>18</v>
      </c>
      <c r="AJ5">
        <v>0</v>
      </c>
      <c r="AK5">
        <v>0</v>
      </c>
      <c r="AL5">
        <v>0</v>
      </c>
      <c r="AM5">
        <v>18</v>
      </c>
      <c r="AN5">
        <v>0</v>
      </c>
      <c r="AO5">
        <v>0</v>
      </c>
      <c r="AP5">
        <v>0</v>
      </c>
      <c r="AQ5" t="s">
        <v>14</v>
      </c>
      <c r="AR5">
        <v>18</v>
      </c>
      <c r="AS5">
        <v>0</v>
      </c>
      <c r="AT5">
        <v>0</v>
      </c>
      <c r="AU5">
        <v>0</v>
      </c>
      <c r="AV5">
        <v>18</v>
      </c>
      <c r="AW5">
        <v>0</v>
      </c>
      <c r="AX5">
        <v>0</v>
      </c>
      <c r="AY5">
        <v>0</v>
      </c>
      <c r="AZ5">
        <v>18</v>
      </c>
      <c r="BA5">
        <v>0</v>
      </c>
      <c r="BB5">
        <v>0</v>
      </c>
      <c r="BC5">
        <v>0</v>
      </c>
      <c r="BD5">
        <v>18</v>
      </c>
      <c r="BE5">
        <v>0</v>
      </c>
      <c r="BF5">
        <v>0</v>
      </c>
      <c r="BG5">
        <v>0</v>
      </c>
      <c r="BH5">
        <v>18</v>
      </c>
      <c r="BI5">
        <v>0</v>
      </c>
      <c r="BJ5">
        <v>0</v>
      </c>
      <c r="BK5">
        <v>0</v>
      </c>
    </row>
    <row r="6" spans="1:63">
      <c r="A6" t="s">
        <v>39</v>
      </c>
      <c r="B6">
        <v>60</v>
      </c>
      <c r="C6">
        <v>0</v>
      </c>
      <c r="D6">
        <v>0</v>
      </c>
      <c r="E6">
        <v>0</v>
      </c>
      <c r="F6">
        <v>60</v>
      </c>
      <c r="G6">
        <v>0</v>
      </c>
      <c r="H6">
        <v>0</v>
      </c>
      <c r="I6">
        <v>0</v>
      </c>
      <c r="J6">
        <v>60</v>
      </c>
      <c r="K6">
        <v>0</v>
      </c>
      <c r="L6">
        <v>0</v>
      </c>
      <c r="M6">
        <v>0</v>
      </c>
      <c r="N6">
        <v>60</v>
      </c>
      <c r="O6">
        <v>0</v>
      </c>
      <c r="P6">
        <v>0</v>
      </c>
      <c r="Q6">
        <v>0</v>
      </c>
      <c r="R6">
        <v>60</v>
      </c>
      <c r="S6">
        <v>0</v>
      </c>
      <c r="T6">
        <v>0</v>
      </c>
      <c r="U6">
        <v>0</v>
      </c>
      <c r="V6" t="s">
        <v>39</v>
      </c>
      <c r="W6">
        <v>60</v>
      </c>
      <c r="X6">
        <v>0</v>
      </c>
      <c r="Y6">
        <v>0</v>
      </c>
      <c r="Z6">
        <v>0</v>
      </c>
      <c r="AA6">
        <v>60</v>
      </c>
      <c r="AB6">
        <v>0</v>
      </c>
      <c r="AC6">
        <v>0</v>
      </c>
      <c r="AD6">
        <v>0</v>
      </c>
      <c r="AE6">
        <v>60</v>
      </c>
      <c r="AF6">
        <v>0</v>
      </c>
      <c r="AG6">
        <v>0</v>
      </c>
      <c r="AH6">
        <v>0</v>
      </c>
      <c r="AI6">
        <v>60</v>
      </c>
      <c r="AJ6">
        <v>0</v>
      </c>
      <c r="AK6">
        <v>0</v>
      </c>
      <c r="AL6">
        <v>0</v>
      </c>
      <c r="AM6">
        <v>60</v>
      </c>
      <c r="AN6">
        <v>0</v>
      </c>
      <c r="AO6">
        <v>0</v>
      </c>
      <c r="AP6">
        <v>0</v>
      </c>
      <c r="AQ6" t="s">
        <v>39</v>
      </c>
      <c r="AR6">
        <v>60</v>
      </c>
      <c r="AS6">
        <v>0</v>
      </c>
      <c r="AT6">
        <v>0</v>
      </c>
      <c r="AU6">
        <v>0</v>
      </c>
      <c r="AV6">
        <v>60</v>
      </c>
      <c r="AW6">
        <v>0</v>
      </c>
      <c r="AX6">
        <v>0</v>
      </c>
      <c r="AY6">
        <v>0</v>
      </c>
      <c r="AZ6">
        <v>60</v>
      </c>
      <c r="BA6">
        <v>0</v>
      </c>
      <c r="BB6">
        <v>0</v>
      </c>
      <c r="BC6">
        <v>0</v>
      </c>
      <c r="BD6">
        <v>60</v>
      </c>
      <c r="BE6">
        <v>0</v>
      </c>
      <c r="BF6">
        <v>0</v>
      </c>
      <c r="BG6">
        <v>0</v>
      </c>
      <c r="BH6">
        <v>60</v>
      </c>
      <c r="BI6">
        <v>0</v>
      </c>
      <c r="BJ6">
        <v>0</v>
      </c>
      <c r="BK6">
        <v>0</v>
      </c>
    </row>
    <row r="7" spans="1:63">
      <c r="A7" t="s">
        <v>51</v>
      </c>
      <c r="B7">
        <v>9</v>
      </c>
      <c r="C7">
        <v>2</v>
      </c>
      <c r="D7">
        <v>0</v>
      </c>
      <c r="E7">
        <v>0</v>
      </c>
      <c r="F7">
        <v>9</v>
      </c>
      <c r="G7">
        <v>2</v>
      </c>
      <c r="H7">
        <v>0</v>
      </c>
      <c r="I7">
        <v>0</v>
      </c>
      <c r="J7">
        <v>11</v>
      </c>
      <c r="K7">
        <v>0</v>
      </c>
      <c r="L7">
        <v>0</v>
      </c>
      <c r="M7">
        <v>0</v>
      </c>
      <c r="N7">
        <v>9</v>
      </c>
      <c r="O7">
        <v>0</v>
      </c>
      <c r="P7">
        <v>2</v>
      </c>
      <c r="Q7">
        <v>0</v>
      </c>
      <c r="R7">
        <v>11</v>
      </c>
      <c r="S7">
        <v>0</v>
      </c>
      <c r="T7">
        <v>0</v>
      </c>
      <c r="U7">
        <v>0</v>
      </c>
      <c r="V7" t="s">
        <v>51</v>
      </c>
      <c r="W7">
        <v>9</v>
      </c>
      <c r="X7">
        <v>2</v>
      </c>
      <c r="Y7">
        <v>0</v>
      </c>
      <c r="Z7">
        <v>0</v>
      </c>
      <c r="AA7">
        <v>9</v>
      </c>
      <c r="AB7">
        <v>2</v>
      </c>
      <c r="AC7">
        <v>0</v>
      </c>
      <c r="AD7">
        <v>0</v>
      </c>
      <c r="AE7">
        <v>11</v>
      </c>
      <c r="AF7">
        <v>0</v>
      </c>
      <c r="AG7">
        <v>0</v>
      </c>
      <c r="AH7">
        <v>0</v>
      </c>
      <c r="AI7">
        <v>9</v>
      </c>
      <c r="AJ7">
        <v>0</v>
      </c>
      <c r="AK7">
        <v>2</v>
      </c>
      <c r="AL7">
        <v>0</v>
      </c>
      <c r="AM7">
        <v>11</v>
      </c>
      <c r="AN7">
        <v>0</v>
      </c>
      <c r="AO7">
        <v>0</v>
      </c>
      <c r="AP7">
        <v>0</v>
      </c>
      <c r="AQ7" t="s">
        <v>51</v>
      </c>
      <c r="AR7">
        <v>9</v>
      </c>
      <c r="AS7">
        <v>2</v>
      </c>
      <c r="AT7">
        <v>0</v>
      </c>
      <c r="AU7">
        <v>0</v>
      </c>
      <c r="AV7">
        <v>9</v>
      </c>
      <c r="AW7">
        <v>2</v>
      </c>
      <c r="AX7">
        <v>0</v>
      </c>
      <c r="AY7">
        <v>0</v>
      </c>
      <c r="AZ7">
        <v>11</v>
      </c>
      <c r="BA7">
        <v>0</v>
      </c>
      <c r="BB7">
        <v>0</v>
      </c>
      <c r="BC7">
        <v>0</v>
      </c>
      <c r="BD7">
        <v>9</v>
      </c>
      <c r="BE7">
        <v>0</v>
      </c>
      <c r="BF7">
        <v>2</v>
      </c>
      <c r="BG7">
        <v>0</v>
      </c>
      <c r="BH7">
        <v>11</v>
      </c>
      <c r="BI7">
        <v>0</v>
      </c>
      <c r="BJ7">
        <v>0</v>
      </c>
      <c r="BK7">
        <v>0</v>
      </c>
    </row>
    <row r="8" spans="1:63">
      <c r="A8" t="s">
        <v>55</v>
      </c>
      <c r="B8">
        <v>33</v>
      </c>
      <c r="C8">
        <v>0</v>
      </c>
      <c r="D8">
        <v>0</v>
      </c>
      <c r="E8">
        <v>0</v>
      </c>
      <c r="F8">
        <v>33</v>
      </c>
      <c r="G8">
        <v>0</v>
      </c>
      <c r="H8">
        <v>0</v>
      </c>
      <c r="I8">
        <v>0</v>
      </c>
      <c r="J8">
        <v>33</v>
      </c>
      <c r="K8">
        <v>0</v>
      </c>
      <c r="L8">
        <v>0</v>
      </c>
      <c r="M8">
        <v>0</v>
      </c>
      <c r="N8">
        <v>33</v>
      </c>
      <c r="O8">
        <v>0</v>
      </c>
      <c r="P8">
        <v>0</v>
      </c>
      <c r="Q8">
        <v>0</v>
      </c>
      <c r="R8">
        <v>33</v>
      </c>
      <c r="S8">
        <v>0</v>
      </c>
      <c r="T8">
        <v>0</v>
      </c>
      <c r="U8">
        <v>0</v>
      </c>
      <c r="V8" t="s">
        <v>55</v>
      </c>
      <c r="W8">
        <v>33</v>
      </c>
      <c r="X8">
        <v>0</v>
      </c>
      <c r="Y8">
        <v>0</v>
      </c>
      <c r="Z8">
        <v>0</v>
      </c>
      <c r="AA8">
        <v>33</v>
      </c>
      <c r="AB8">
        <v>0</v>
      </c>
      <c r="AC8">
        <v>0</v>
      </c>
      <c r="AD8">
        <v>0</v>
      </c>
      <c r="AE8">
        <v>33</v>
      </c>
      <c r="AF8">
        <v>0</v>
      </c>
      <c r="AG8">
        <v>0</v>
      </c>
      <c r="AH8">
        <v>0</v>
      </c>
      <c r="AI8">
        <v>33</v>
      </c>
      <c r="AJ8">
        <v>0</v>
      </c>
      <c r="AK8">
        <v>0</v>
      </c>
      <c r="AL8">
        <v>0</v>
      </c>
      <c r="AM8">
        <v>33</v>
      </c>
      <c r="AN8">
        <v>0</v>
      </c>
      <c r="AO8">
        <v>0</v>
      </c>
      <c r="AP8">
        <v>0</v>
      </c>
      <c r="AQ8" t="s">
        <v>55</v>
      </c>
      <c r="AR8">
        <v>33</v>
      </c>
      <c r="AS8">
        <v>0</v>
      </c>
      <c r="AT8">
        <v>0</v>
      </c>
      <c r="AU8">
        <v>0</v>
      </c>
      <c r="AV8">
        <v>33</v>
      </c>
      <c r="AW8">
        <v>0</v>
      </c>
      <c r="AX8">
        <v>0</v>
      </c>
      <c r="AY8">
        <v>0</v>
      </c>
      <c r="AZ8">
        <v>33</v>
      </c>
      <c r="BA8">
        <v>0</v>
      </c>
      <c r="BB8">
        <v>0</v>
      </c>
      <c r="BC8">
        <v>0</v>
      </c>
      <c r="BD8">
        <v>33</v>
      </c>
      <c r="BE8">
        <v>0</v>
      </c>
      <c r="BF8">
        <v>0</v>
      </c>
      <c r="BG8">
        <v>0</v>
      </c>
      <c r="BH8">
        <v>33</v>
      </c>
      <c r="BI8">
        <v>0</v>
      </c>
      <c r="BJ8">
        <v>0</v>
      </c>
      <c r="BK8">
        <v>0</v>
      </c>
    </row>
    <row r="9" spans="1:63">
      <c r="A9" t="s">
        <v>85</v>
      </c>
      <c r="B9">
        <v>132</v>
      </c>
      <c r="C9">
        <v>0</v>
      </c>
      <c r="D9">
        <v>0</v>
      </c>
      <c r="E9">
        <v>0</v>
      </c>
      <c r="F9">
        <v>132</v>
      </c>
      <c r="G9">
        <v>0</v>
      </c>
      <c r="H9">
        <v>0</v>
      </c>
      <c r="I9">
        <v>0</v>
      </c>
      <c r="J9">
        <v>132</v>
      </c>
      <c r="K9">
        <v>0</v>
      </c>
      <c r="L9">
        <v>0</v>
      </c>
      <c r="M9">
        <v>0</v>
      </c>
      <c r="N9">
        <v>132</v>
      </c>
      <c r="O9">
        <v>0</v>
      </c>
      <c r="P9">
        <v>0</v>
      </c>
      <c r="Q9">
        <v>0</v>
      </c>
      <c r="R9">
        <v>132</v>
      </c>
      <c r="S9">
        <v>0</v>
      </c>
      <c r="T9">
        <v>0</v>
      </c>
      <c r="U9">
        <v>0</v>
      </c>
      <c r="V9" t="s">
        <v>85</v>
      </c>
      <c r="W9">
        <v>132</v>
      </c>
      <c r="X9">
        <v>0</v>
      </c>
      <c r="Y9">
        <v>0</v>
      </c>
      <c r="Z9">
        <v>0</v>
      </c>
      <c r="AA9">
        <v>132</v>
      </c>
      <c r="AB9">
        <v>0</v>
      </c>
      <c r="AC9">
        <v>0</v>
      </c>
      <c r="AD9">
        <v>0</v>
      </c>
      <c r="AE9">
        <v>132</v>
      </c>
      <c r="AF9">
        <v>0</v>
      </c>
      <c r="AG9">
        <v>0</v>
      </c>
      <c r="AH9">
        <v>0</v>
      </c>
      <c r="AI9">
        <v>132</v>
      </c>
      <c r="AJ9">
        <v>0</v>
      </c>
      <c r="AK9">
        <v>0</v>
      </c>
      <c r="AL9">
        <v>0</v>
      </c>
      <c r="AM9">
        <v>132</v>
      </c>
      <c r="AN9">
        <v>0</v>
      </c>
      <c r="AO9">
        <v>0</v>
      </c>
      <c r="AP9">
        <v>0</v>
      </c>
      <c r="AQ9" t="s">
        <v>85</v>
      </c>
      <c r="AR9">
        <v>132</v>
      </c>
      <c r="AS9">
        <v>0</v>
      </c>
      <c r="AT9">
        <v>0</v>
      </c>
      <c r="AU9">
        <v>0</v>
      </c>
      <c r="AV9">
        <v>132</v>
      </c>
      <c r="AW9">
        <v>0</v>
      </c>
      <c r="AX9">
        <v>0</v>
      </c>
      <c r="AY9">
        <v>0</v>
      </c>
      <c r="AZ9">
        <v>132</v>
      </c>
      <c r="BA9">
        <v>0</v>
      </c>
      <c r="BB9">
        <v>0</v>
      </c>
      <c r="BC9">
        <v>0</v>
      </c>
      <c r="BD9">
        <v>132</v>
      </c>
      <c r="BE9">
        <v>0</v>
      </c>
      <c r="BF9">
        <v>0</v>
      </c>
      <c r="BG9">
        <v>0</v>
      </c>
      <c r="BH9">
        <v>132</v>
      </c>
      <c r="BI9">
        <v>0</v>
      </c>
      <c r="BJ9">
        <v>0</v>
      </c>
      <c r="BK9">
        <v>0</v>
      </c>
    </row>
    <row r="10" spans="1:63">
      <c r="A10" t="s">
        <v>30</v>
      </c>
      <c r="B10">
        <v>51</v>
      </c>
      <c r="C10">
        <v>3</v>
      </c>
      <c r="D10">
        <v>0</v>
      </c>
      <c r="E10">
        <v>0</v>
      </c>
      <c r="F10">
        <v>51</v>
      </c>
      <c r="G10">
        <v>3</v>
      </c>
      <c r="H10">
        <v>0</v>
      </c>
      <c r="I10">
        <v>0</v>
      </c>
      <c r="J10">
        <v>54</v>
      </c>
      <c r="K10">
        <v>0</v>
      </c>
      <c r="L10">
        <v>0</v>
      </c>
      <c r="M10">
        <v>0</v>
      </c>
      <c r="N10">
        <v>51</v>
      </c>
      <c r="O10">
        <v>0</v>
      </c>
      <c r="P10">
        <v>3</v>
      </c>
      <c r="Q10">
        <v>0</v>
      </c>
      <c r="R10">
        <v>54</v>
      </c>
      <c r="S10">
        <v>0</v>
      </c>
      <c r="T10">
        <v>0</v>
      </c>
      <c r="U10">
        <v>0</v>
      </c>
      <c r="V10" t="s">
        <v>30</v>
      </c>
      <c r="W10">
        <v>51</v>
      </c>
      <c r="X10">
        <v>3</v>
      </c>
      <c r="Y10">
        <v>0</v>
      </c>
      <c r="Z10">
        <v>0</v>
      </c>
      <c r="AA10">
        <v>51</v>
      </c>
      <c r="AB10">
        <v>3</v>
      </c>
      <c r="AC10">
        <v>0</v>
      </c>
      <c r="AD10">
        <v>0</v>
      </c>
      <c r="AE10">
        <v>54</v>
      </c>
      <c r="AF10">
        <v>0</v>
      </c>
      <c r="AG10">
        <v>0</v>
      </c>
      <c r="AH10">
        <v>0</v>
      </c>
      <c r="AI10">
        <v>51</v>
      </c>
      <c r="AJ10">
        <v>0</v>
      </c>
      <c r="AK10">
        <v>3</v>
      </c>
      <c r="AL10">
        <v>0</v>
      </c>
      <c r="AM10">
        <v>54</v>
      </c>
      <c r="AN10">
        <v>0</v>
      </c>
      <c r="AO10">
        <v>0</v>
      </c>
      <c r="AP10">
        <v>0</v>
      </c>
      <c r="AQ10" t="s">
        <v>30</v>
      </c>
      <c r="AR10">
        <v>51</v>
      </c>
      <c r="AS10">
        <v>3</v>
      </c>
      <c r="AT10">
        <v>0</v>
      </c>
      <c r="AU10">
        <v>0</v>
      </c>
      <c r="AV10">
        <v>51</v>
      </c>
      <c r="AW10">
        <v>3</v>
      </c>
      <c r="AX10">
        <v>0</v>
      </c>
      <c r="AY10">
        <v>0</v>
      </c>
      <c r="AZ10">
        <v>54</v>
      </c>
      <c r="BA10">
        <v>0</v>
      </c>
      <c r="BB10">
        <v>0</v>
      </c>
      <c r="BC10">
        <v>0</v>
      </c>
      <c r="BD10">
        <v>51</v>
      </c>
      <c r="BE10">
        <v>0</v>
      </c>
      <c r="BF10">
        <v>3</v>
      </c>
      <c r="BG10">
        <v>0</v>
      </c>
      <c r="BH10">
        <v>54</v>
      </c>
      <c r="BI10">
        <v>0</v>
      </c>
      <c r="BJ10">
        <v>0</v>
      </c>
      <c r="BK10">
        <v>0</v>
      </c>
    </row>
    <row r="11" spans="1:63">
      <c r="A11" t="s">
        <v>89</v>
      </c>
      <c r="B11">
        <v>51</v>
      </c>
      <c r="C11">
        <v>0</v>
      </c>
      <c r="D11">
        <v>0</v>
      </c>
      <c r="E11">
        <v>0</v>
      </c>
      <c r="F11">
        <v>51</v>
      </c>
      <c r="G11">
        <v>0</v>
      </c>
      <c r="H11">
        <v>0</v>
      </c>
      <c r="I11">
        <v>0</v>
      </c>
      <c r="J11">
        <v>51</v>
      </c>
      <c r="K11">
        <v>0</v>
      </c>
      <c r="L11">
        <v>0</v>
      </c>
      <c r="M11">
        <v>0</v>
      </c>
      <c r="N11">
        <v>51</v>
      </c>
      <c r="O11">
        <v>0</v>
      </c>
      <c r="P11">
        <v>0</v>
      </c>
      <c r="Q11">
        <v>0</v>
      </c>
      <c r="R11">
        <v>51</v>
      </c>
      <c r="S11">
        <v>0</v>
      </c>
      <c r="T11">
        <v>0</v>
      </c>
      <c r="U11">
        <v>0</v>
      </c>
      <c r="V11" t="s">
        <v>89</v>
      </c>
      <c r="W11">
        <v>51</v>
      </c>
      <c r="X11">
        <v>0</v>
      </c>
      <c r="Y11">
        <v>0</v>
      </c>
      <c r="Z11">
        <v>0</v>
      </c>
      <c r="AA11">
        <v>51</v>
      </c>
      <c r="AB11">
        <v>0</v>
      </c>
      <c r="AC11">
        <v>0</v>
      </c>
      <c r="AD11">
        <v>0</v>
      </c>
      <c r="AE11">
        <v>51</v>
      </c>
      <c r="AF11">
        <v>0</v>
      </c>
      <c r="AG11">
        <v>0</v>
      </c>
      <c r="AH11">
        <v>0</v>
      </c>
      <c r="AI11">
        <v>51</v>
      </c>
      <c r="AJ11">
        <v>0</v>
      </c>
      <c r="AK11">
        <v>0</v>
      </c>
      <c r="AL11">
        <v>0</v>
      </c>
      <c r="AM11">
        <v>51</v>
      </c>
      <c r="AN11">
        <v>0</v>
      </c>
      <c r="AO11">
        <v>0</v>
      </c>
      <c r="AP11">
        <v>0</v>
      </c>
      <c r="AQ11" t="s">
        <v>89</v>
      </c>
      <c r="AR11">
        <v>51</v>
      </c>
      <c r="AS11">
        <v>0</v>
      </c>
      <c r="AT11">
        <v>0</v>
      </c>
      <c r="AU11">
        <v>0</v>
      </c>
      <c r="AV11">
        <v>51</v>
      </c>
      <c r="AW11">
        <v>0</v>
      </c>
      <c r="AX11">
        <v>0</v>
      </c>
      <c r="AY11">
        <v>0</v>
      </c>
      <c r="AZ11">
        <v>51</v>
      </c>
      <c r="BA11">
        <v>0</v>
      </c>
      <c r="BB11">
        <v>0</v>
      </c>
      <c r="BC11">
        <v>0</v>
      </c>
      <c r="BD11">
        <v>51</v>
      </c>
      <c r="BE11">
        <v>0</v>
      </c>
      <c r="BF11">
        <v>0</v>
      </c>
      <c r="BG11">
        <v>0</v>
      </c>
      <c r="BH11">
        <v>51</v>
      </c>
      <c r="BI11">
        <v>0</v>
      </c>
      <c r="BJ11">
        <v>0</v>
      </c>
      <c r="BK11">
        <v>0</v>
      </c>
    </row>
    <row r="12" spans="1:63">
      <c r="A12" t="s">
        <v>2</v>
      </c>
      <c r="B12">
        <v>3</v>
      </c>
      <c r="C12">
        <v>0</v>
      </c>
      <c r="D12">
        <v>0</v>
      </c>
      <c r="E12">
        <v>0</v>
      </c>
      <c r="F12">
        <v>3</v>
      </c>
      <c r="G12">
        <v>0</v>
      </c>
      <c r="H12">
        <v>0</v>
      </c>
      <c r="I12">
        <v>0</v>
      </c>
      <c r="J12">
        <v>3</v>
      </c>
      <c r="K12">
        <v>0</v>
      </c>
      <c r="L12">
        <v>0</v>
      </c>
      <c r="M12">
        <v>0</v>
      </c>
      <c r="N12">
        <v>3</v>
      </c>
      <c r="O12">
        <v>0</v>
      </c>
      <c r="P12">
        <v>0</v>
      </c>
      <c r="Q12">
        <v>0</v>
      </c>
      <c r="R12">
        <v>3</v>
      </c>
      <c r="S12">
        <v>0</v>
      </c>
      <c r="T12">
        <v>0</v>
      </c>
      <c r="U12">
        <v>0</v>
      </c>
      <c r="V12" t="s">
        <v>2</v>
      </c>
      <c r="W12">
        <v>3</v>
      </c>
      <c r="X12">
        <v>0</v>
      </c>
      <c r="Y12">
        <v>0</v>
      </c>
      <c r="Z12">
        <v>0</v>
      </c>
      <c r="AA12">
        <v>3</v>
      </c>
      <c r="AB12">
        <v>0</v>
      </c>
      <c r="AC12">
        <v>0</v>
      </c>
      <c r="AD12">
        <v>0</v>
      </c>
      <c r="AE12">
        <v>3</v>
      </c>
      <c r="AF12">
        <v>0</v>
      </c>
      <c r="AG12">
        <v>0</v>
      </c>
      <c r="AH12">
        <v>0</v>
      </c>
      <c r="AI12">
        <v>3</v>
      </c>
      <c r="AJ12">
        <v>0</v>
      </c>
      <c r="AK12">
        <v>0</v>
      </c>
      <c r="AL12">
        <v>0</v>
      </c>
      <c r="AM12">
        <v>3</v>
      </c>
      <c r="AN12">
        <v>0</v>
      </c>
      <c r="AO12">
        <v>0</v>
      </c>
      <c r="AP12">
        <v>0</v>
      </c>
      <c r="AQ12" t="s">
        <v>2</v>
      </c>
      <c r="AR12">
        <v>3</v>
      </c>
      <c r="AS12">
        <v>0</v>
      </c>
      <c r="AT12">
        <v>0</v>
      </c>
      <c r="AU12">
        <v>0</v>
      </c>
      <c r="AV12">
        <v>3</v>
      </c>
      <c r="AW12">
        <v>0</v>
      </c>
      <c r="AX12">
        <v>0</v>
      </c>
      <c r="AY12">
        <v>0</v>
      </c>
      <c r="AZ12">
        <v>3</v>
      </c>
      <c r="BA12">
        <v>0</v>
      </c>
      <c r="BB12">
        <v>0</v>
      </c>
      <c r="BC12">
        <v>0</v>
      </c>
      <c r="BD12">
        <v>3</v>
      </c>
      <c r="BE12">
        <v>0</v>
      </c>
      <c r="BF12">
        <v>0</v>
      </c>
      <c r="BG12">
        <v>0</v>
      </c>
      <c r="BH12">
        <v>3</v>
      </c>
      <c r="BI12">
        <v>0</v>
      </c>
      <c r="BJ12">
        <v>0</v>
      </c>
      <c r="BK12">
        <v>0</v>
      </c>
    </row>
    <row r="13" spans="1:63">
      <c r="A13" t="s">
        <v>37</v>
      </c>
      <c r="B13">
        <v>2</v>
      </c>
      <c r="C13">
        <v>0</v>
      </c>
      <c r="D13">
        <v>0</v>
      </c>
      <c r="E13">
        <v>0</v>
      </c>
      <c r="F13">
        <v>2</v>
      </c>
      <c r="G13">
        <v>0</v>
      </c>
      <c r="H13">
        <v>0</v>
      </c>
      <c r="I13">
        <v>0</v>
      </c>
      <c r="J13">
        <v>2</v>
      </c>
      <c r="K13">
        <v>0</v>
      </c>
      <c r="L13">
        <v>0</v>
      </c>
      <c r="M13">
        <v>0</v>
      </c>
      <c r="N13">
        <v>2</v>
      </c>
      <c r="O13">
        <v>0</v>
      </c>
      <c r="P13">
        <v>0</v>
      </c>
      <c r="Q13">
        <v>0</v>
      </c>
      <c r="R13">
        <v>2</v>
      </c>
      <c r="S13">
        <v>0</v>
      </c>
      <c r="T13">
        <v>0</v>
      </c>
      <c r="U13">
        <v>0</v>
      </c>
      <c r="V13" t="s">
        <v>37</v>
      </c>
      <c r="W13">
        <v>2</v>
      </c>
      <c r="X13">
        <v>0</v>
      </c>
      <c r="Y13">
        <v>0</v>
      </c>
      <c r="Z13">
        <v>0</v>
      </c>
      <c r="AA13">
        <v>2</v>
      </c>
      <c r="AB13">
        <v>0</v>
      </c>
      <c r="AC13">
        <v>0</v>
      </c>
      <c r="AD13">
        <v>0</v>
      </c>
      <c r="AE13">
        <v>2</v>
      </c>
      <c r="AF13">
        <v>0</v>
      </c>
      <c r="AG13">
        <v>0</v>
      </c>
      <c r="AH13">
        <v>0</v>
      </c>
      <c r="AI13">
        <v>2</v>
      </c>
      <c r="AJ13">
        <v>0</v>
      </c>
      <c r="AK13">
        <v>0</v>
      </c>
      <c r="AL13">
        <v>0</v>
      </c>
      <c r="AM13">
        <v>2</v>
      </c>
      <c r="AN13">
        <v>0</v>
      </c>
      <c r="AO13">
        <v>0</v>
      </c>
      <c r="AP13">
        <v>0</v>
      </c>
      <c r="AQ13" t="s">
        <v>37</v>
      </c>
      <c r="AR13">
        <v>2</v>
      </c>
      <c r="AS13">
        <v>0</v>
      </c>
      <c r="AT13">
        <v>0</v>
      </c>
      <c r="AU13">
        <v>0</v>
      </c>
      <c r="AV13">
        <v>2</v>
      </c>
      <c r="AW13">
        <v>0</v>
      </c>
      <c r="AX13">
        <v>0</v>
      </c>
      <c r="AY13">
        <v>0</v>
      </c>
      <c r="AZ13">
        <v>2</v>
      </c>
      <c r="BA13">
        <v>0</v>
      </c>
      <c r="BB13">
        <v>0</v>
      </c>
      <c r="BC13">
        <v>0</v>
      </c>
      <c r="BD13">
        <v>2</v>
      </c>
      <c r="BE13">
        <v>0</v>
      </c>
      <c r="BF13">
        <v>0</v>
      </c>
      <c r="BG13">
        <v>0</v>
      </c>
      <c r="BH13">
        <v>2</v>
      </c>
      <c r="BI13">
        <v>0</v>
      </c>
      <c r="BJ13">
        <v>0</v>
      </c>
      <c r="BK13">
        <v>0</v>
      </c>
    </row>
    <row r="14" spans="1:63">
      <c r="A14" t="s">
        <v>72</v>
      </c>
      <c r="B14">
        <v>8</v>
      </c>
      <c r="C14">
        <v>0</v>
      </c>
      <c r="D14">
        <v>0</v>
      </c>
      <c r="E14">
        <v>0</v>
      </c>
      <c r="F14">
        <v>8</v>
      </c>
      <c r="G14">
        <v>0</v>
      </c>
      <c r="H14">
        <v>0</v>
      </c>
      <c r="I14">
        <v>0</v>
      </c>
      <c r="J14">
        <v>8</v>
      </c>
      <c r="K14">
        <v>0</v>
      </c>
      <c r="L14">
        <v>0</v>
      </c>
      <c r="M14">
        <v>0</v>
      </c>
      <c r="N14">
        <v>8</v>
      </c>
      <c r="O14">
        <v>0</v>
      </c>
      <c r="P14">
        <v>0</v>
      </c>
      <c r="Q14">
        <v>0</v>
      </c>
      <c r="R14">
        <v>8</v>
      </c>
      <c r="S14">
        <v>0</v>
      </c>
      <c r="T14">
        <v>0</v>
      </c>
      <c r="U14">
        <v>0</v>
      </c>
      <c r="V14" t="s">
        <v>72</v>
      </c>
      <c r="W14">
        <v>8</v>
      </c>
      <c r="X14">
        <v>0</v>
      </c>
      <c r="Y14">
        <v>0</v>
      </c>
      <c r="Z14">
        <v>0</v>
      </c>
      <c r="AA14">
        <v>8</v>
      </c>
      <c r="AB14">
        <v>0</v>
      </c>
      <c r="AC14">
        <v>0</v>
      </c>
      <c r="AD14">
        <v>0</v>
      </c>
      <c r="AE14">
        <v>8</v>
      </c>
      <c r="AF14">
        <v>0</v>
      </c>
      <c r="AG14">
        <v>0</v>
      </c>
      <c r="AH14">
        <v>0</v>
      </c>
      <c r="AI14">
        <v>8</v>
      </c>
      <c r="AJ14">
        <v>0</v>
      </c>
      <c r="AK14">
        <v>0</v>
      </c>
      <c r="AL14">
        <v>0</v>
      </c>
      <c r="AM14">
        <v>8</v>
      </c>
      <c r="AN14">
        <v>0</v>
      </c>
      <c r="AO14">
        <v>0</v>
      </c>
      <c r="AP14">
        <v>0</v>
      </c>
      <c r="AQ14" t="s">
        <v>72</v>
      </c>
      <c r="AR14">
        <v>8</v>
      </c>
      <c r="AS14">
        <v>0</v>
      </c>
      <c r="AT14">
        <v>0</v>
      </c>
      <c r="AU14">
        <v>0</v>
      </c>
      <c r="AV14">
        <v>8</v>
      </c>
      <c r="AW14">
        <v>0</v>
      </c>
      <c r="AX14">
        <v>0</v>
      </c>
      <c r="AY14">
        <v>0</v>
      </c>
      <c r="AZ14">
        <v>8</v>
      </c>
      <c r="BA14">
        <v>0</v>
      </c>
      <c r="BB14">
        <v>0</v>
      </c>
      <c r="BC14">
        <v>0</v>
      </c>
      <c r="BD14">
        <v>8</v>
      </c>
      <c r="BE14">
        <v>0</v>
      </c>
      <c r="BF14">
        <v>0</v>
      </c>
      <c r="BG14">
        <v>0</v>
      </c>
      <c r="BH14">
        <v>8</v>
      </c>
      <c r="BI14">
        <v>0</v>
      </c>
      <c r="BJ14">
        <v>0</v>
      </c>
      <c r="BK14">
        <v>0</v>
      </c>
    </row>
    <row r="15" spans="1:63">
      <c r="A15" t="s">
        <v>8</v>
      </c>
      <c r="B15">
        <v>3</v>
      </c>
      <c r="C15">
        <v>0</v>
      </c>
      <c r="D15">
        <v>0</v>
      </c>
      <c r="E15">
        <v>0</v>
      </c>
      <c r="F15">
        <v>3</v>
      </c>
      <c r="G15">
        <v>0</v>
      </c>
      <c r="H15">
        <v>0</v>
      </c>
      <c r="I15">
        <v>0</v>
      </c>
      <c r="J15">
        <v>3</v>
      </c>
      <c r="K15">
        <v>0</v>
      </c>
      <c r="L15">
        <v>0</v>
      </c>
      <c r="M15">
        <v>0</v>
      </c>
      <c r="N15">
        <v>3</v>
      </c>
      <c r="O15">
        <v>0</v>
      </c>
      <c r="P15">
        <v>0</v>
      </c>
      <c r="Q15">
        <v>0</v>
      </c>
      <c r="R15">
        <v>3</v>
      </c>
      <c r="S15">
        <v>0</v>
      </c>
      <c r="T15">
        <v>0</v>
      </c>
      <c r="U15">
        <v>0</v>
      </c>
      <c r="V15" t="s">
        <v>8</v>
      </c>
      <c r="W15">
        <v>3</v>
      </c>
      <c r="X15">
        <v>0</v>
      </c>
      <c r="Y15">
        <v>0</v>
      </c>
      <c r="Z15">
        <v>0</v>
      </c>
      <c r="AA15">
        <v>3</v>
      </c>
      <c r="AB15">
        <v>0</v>
      </c>
      <c r="AC15">
        <v>0</v>
      </c>
      <c r="AD15">
        <v>0</v>
      </c>
      <c r="AE15">
        <v>3</v>
      </c>
      <c r="AF15">
        <v>0</v>
      </c>
      <c r="AG15">
        <v>0</v>
      </c>
      <c r="AH15">
        <v>0</v>
      </c>
      <c r="AI15">
        <v>3</v>
      </c>
      <c r="AJ15">
        <v>0</v>
      </c>
      <c r="AK15">
        <v>0</v>
      </c>
      <c r="AL15">
        <v>0</v>
      </c>
      <c r="AM15">
        <v>3</v>
      </c>
      <c r="AN15">
        <v>0</v>
      </c>
      <c r="AO15">
        <v>0</v>
      </c>
      <c r="AP15">
        <v>0</v>
      </c>
      <c r="AQ15" t="s">
        <v>8</v>
      </c>
      <c r="AR15">
        <v>3</v>
      </c>
      <c r="AS15">
        <v>0</v>
      </c>
      <c r="AT15">
        <v>0</v>
      </c>
      <c r="AU15">
        <v>0</v>
      </c>
      <c r="AV15">
        <v>3</v>
      </c>
      <c r="AW15">
        <v>0</v>
      </c>
      <c r="AX15">
        <v>0</v>
      </c>
      <c r="AY15">
        <v>0</v>
      </c>
      <c r="AZ15">
        <v>3</v>
      </c>
      <c r="BA15">
        <v>0</v>
      </c>
      <c r="BB15">
        <v>0</v>
      </c>
      <c r="BC15">
        <v>0</v>
      </c>
      <c r="BD15">
        <v>3</v>
      </c>
      <c r="BE15">
        <v>0</v>
      </c>
      <c r="BF15">
        <v>0</v>
      </c>
      <c r="BG15">
        <v>0</v>
      </c>
      <c r="BH15">
        <v>3</v>
      </c>
      <c r="BI15">
        <v>0</v>
      </c>
      <c r="BJ15">
        <v>0</v>
      </c>
      <c r="BK15">
        <v>0</v>
      </c>
    </row>
    <row r="16" spans="1:63">
      <c r="A16" t="s">
        <v>101</v>
      </c>
      <c r="B16">
        <v>132</v>
      </c>
      <c r="C16">
        <v>9</v>
      </c>
      <c r="D16">
        <v>0</v>
      </c>
      <c r="E16">
        <v>0</v>
      </c>
      <c r="F16">
        <v>132</v>
      </c>
      <c r="G16">
        <v>9</v>
      </c>
      <c r="H16">
        <v>0</v>
      </c>
      <c r="I16">
        <v>0</v>
      </c>
      <c r="J16">
        <v>138</v>
      </c>
      <c r="K16">
        <v>3</v>
      </c>
      <c r="L16">
        <v>0</v>
      </c>
      <c r="M16">
        <v>0</v>
      </c>
      <c r="N16">
        <v>129</v>
      </c>
      <c r="O16">
        <v>3</v>
      </c>
      <c r="P16">
        <v>9</v>
      </c>
      <c r="Q16">
        <v>0</v>
      </c>
      <c r="R16">
        <v>138</v>
      </c>
      <c r="S16">
        <v>3</v>
      </c>
      <c r="T16">
        <v>0</v>
      </c>
      <c r="U16">
        <v>0</v>
      </c>
      <c r="V16" t="s">
        <v>101</v>
      </c>
      <c r="W16">
        <v>132</v>
      </c>
      <c r="X16">
        <v>9</v>
      </c>
      <c r="Y16">
        <v>0</v>
      </c>
      <c r="Z16">
        <v>0</v>
      </c>
      <c r="AA16">
        <v>132</v>
      </c>
      <c r="AB16">
        <v>9</v>
      </c>
      <c r="AC16">
        <v>0</v>
      </c>
      <c r="AD16">
        <v>0</v>
      </c>
      <c r="AE16">
        <v>138</v>
      </c>
      <c r="AF16">
        <v>3</v>
      </c>
      <c r="AG16">
        <v>0</v>
      </c>
      <c r="AH16">
        <v>0</v>
      </c>
      <c r="AI16">
        <v>129</v>
      </c>
      <c r="AJ16">
        <v>3</v>
      </c>
      <c r="AK16">
        <v>9</v>
      </c>
      <c r="AL16">
        <v>0</v>
      </c>
      <c r="AM16">
        <v>138</v>
      </c>
      <c r="AN16">
        <v>3</v>
      </c>
      <c r="AO16">
        <v>0</v>
      </c>
      <c r="AP16">
        <v>0</v>
      </c>
      <c r="AQ16" t="s">
        <v>101</v>
      </c>
      <c r="AR16">
        <v>132</v>
      </c>
      <c r="AS16">
        <v>9</v>
      </c>
      <c r="AT16">
        <v>0</v>
      </c>
      <c r="AU16">
        <v>0</v>
      </c>
      <c r="AV16">
        <v>132</v>
      </c>
      <c r="AW16">
        <v>9</v>
      </c>
      <c r="AX16">
        <v>0</v>
      </c>
      <c r="AY16">
        <v>0</v>
      </c>
      <c r="AZ16">
        <v>141</v>
      </c>
      <c r="BA16">
        <v>0</v>
      </c>
      <c r="BB16">
        <v>0</v>
      </c>
      <c r="BC16">
        <v>0</v>
      </c>
      <c r="BD16">
        <v>132</v>
      </c>
      <c r="BE16">
        <v>0</v>
      </c>
      <c r="BF16">
        <v>9</v>
      </c>
      <c r="BG16">
        <v>0</v>
      </c>
      <c r="BH16">
        <v>141</v>
      </c>
      <c r="BI16">
        <v>0</v>
      </c>
      <c r="BJ16">
        <v>0</v>
      </c>
      <c r="BK16">
        <v>0</v>
      </c>
    </row>
    <row r="17" spans="1:63">
      <c r="A17" t="s">
        <v>3</v>
      </c>
      <c r="B17">
        <v>31</v>
      </c>
      <c r="C17">
        <v>0</v>
      </c>
      <c r="D17">
        <v>0</v>
      </c>
      <c r="E17">
        <v>0</v>
      </c>
      <c r="F17">
        <v>31</v>
      </c>
      <c r="G17">
        <v>0</v>
      </c>
      <c r="H17">
        <v>0</v>
      </c>
      <c r="I17">
        <v>0</v>
      </c>
      <c r="J17">
        <v>31</v>
      </c>
      <c r="K17">
        <v>0</v>
      </c>
      <c r="L17">
        <v>0</v>
      </c>
      <c r="M17">
        <v>0</v>
      </c>
      <c r="N17">
        <v>31</v>
      </c>
      <c r="O17">
        <v>0</v>
      </c>
      <c r="P17">
        <v>0</v>
      </c>
      <c r="Q17">
        <v>0</v>
      </c>
      <c r="R17">
        <v>31</v>
      </c>
      <c r="S17">
        <v>0</v>
      </c>
      <c r="T17">
        <v>0</v>
      </c>
      <c r="U17">
        <v>0</v>
      </c>
      <c r="V17" t="s">
        <v>3</v>
      </c>
      <c r="W17">
        <v>31</v>
      </c>
      <c r="X17">
        <v>0</v>
      </c>
      <c r="Y17">
        <v>0</v>
      </c>
      <c r="Z17">
        <v>0</v>
      </c>
      <c r="AA17">
        <v>31</v>
      </c>
      <c r="AB17">
        <v>0</v>
      </c>
      <c r="AC17">
        <v>0</v>
      </c>
      <c r="AD17">
        <v>0</v>
      </c>
      <c r="AE17">
        <v>31</v>
      </c>
      <c r="AF17">
        <v>0</v>
      </c>
      <c r="AG17">
        <v>0</v>
      </c>
      <c r="AH17">
        <v>0</v>
      </c>
      <c r="AI17">
        <v>31</v>
      </c>
      <c r="AJ17">
        <v>0</v>
      </c>
      <c r="AK17">
        <v>0</v>
      </c>
      <c r="AL17">
        <v>0</v>
      </c>
      <c r="AM17">
        <v>31</v>
      </c>
      <c r="AN17">
        <v>0</v>
      </c>
      <c r="AO17">
        <v>0</v>
      </c>
      <c r="AP17">
        <v>0</v>
      </c>
      <c r="AQ17" t="s">
        <v>3</v>
      </c>
      <c r="AR17">
        <v>31</v>
      </c>
      <c r="AS17">
        <v>0</v>
      </c>
      <c r="AT17">
        <v>0</v>
      </c>
      <c r="AU17">
        <v>0</v>
      </c>
      <c r="AV17">
        <v>31</v>
      </c>
      <c r="AW17">
        <v>0</v>
      </c>
      <c r="AX17">
        <v>0</v>
      </c>
      <c r="AY17">
        <v>0</v>
      </c>
      <c r="AZ17">
        <v>31</v>
      </c>
      <c r="BA17">
        <v>0</v>
      </c>
      <c r="BB17">
        <v>0</v>
      </c>
      <c r="BC17">
        <v>0</v>
      </c>
      <c r="BD17">
        <v>31</v>
      </c>
      <c r="BE17">
        <v>0</v>
      </c>
      <c r="BF17">
        <v>0</v>
      </c>
      <c r="BG17">
        <v>0</v>
      </c>
      <c r="BH17">
        <v>31</v>
      </c>
      <c r="BI17">
        <v>0</v>
      </c>
      <c r="BJ17">
        <v>0</v>
      </c>
      <c r="BK17">
        <v>0</v>
      </c>
    </row>
    <row r="18" spans="1:63">
      <c r="A18" t="s">
        <v>76</v>
      </c>
      <c r="B18">
        <v>31</v>
      </c>
      <c r="C18">
        <v>0</v>
      </c>
      <c r="D18">
        <v>0</v>
      </c>
      <c r="E18">
        <v>0</v>
      </c>
      <c r="F18">
        <v>31</v>
      </c>
      <c r="G18">
        <v>0</v>
      </c>
      <c r="H18">
        <v>0</v>
      </c>
      <c r="I18">
        <v>0</v>
      </c>
      <c r="J18">
        <v>31</v>
      </c>
      <c r="K18">
        <v>0</v>
      </c>
      <c r="L18">
        <v>0</v>
      </c>
      <c r="M18">
        <v>0</v>
      </c>
      <c r="N18">
        <v>31</v>
      </c>
      <c r="O18">
        <v>0</v>
      </c>
      <c r="P18">
        <v>0</v>
      </c>
      <c r="Q18">
        <v>0</v>
      </c>
      <c r="R18">
        <v>31</v>
      </c>
      <c r="S18">
        <v>0</v>
      </c>
      <c r="T18">
        <v>0</v>
      </c>
      <c r="U18">
        <v>0</v>
      </c>
      <c r="V18" t="s">
        <v>76</v>
      </c>
      <c r="W18">
        <v>31</v>
      </c>
      <c r="X18">
        <v>0</v>
      </c>
      <c r="Y18">
        <v>0</v>
      </c>
      <c r="Z18">
        <v>0</v>
      </c>
      <c r="AA18">
        <v>31</v>
      </c>
      <c r="AB18">
        <v>0</v>
      </c>
      <c r="AC18">
        <v>0</v>
      </c>
      <c r="AD18">
        <v>0</v>
      </c>
      <c r="AE18">
        <v>31</v>
      </c>
      <c r="AF18">
        <v>0</v>
      </c>
      <c r="AG18">
        <v>0</v>
      </c>
      <c r="AH18">
        <v>0</v>
      </c>
      <c r="AI18">
        <v>31</v>
      </c>
      <c r="AJ18">
        <v>0</v>
      </c>
      <c r="AK18">
        <v>0</v>
      </c>
      <c r="AL18">
        <v>0</v>
      </c>
      <c r="AM18">
        <v>31</v>
      </c>
      <c r="AN18">
        <v>0</v>
      </c>
      <c r="AO18">
        <v>0</v>
      </c>
      <c r="AP18">
        <v>0</v>
      </c>
      <c r="AQ18" t="s">
        <v>76</v>
      </c>
      <c r="AR18">
        <v>31</v>
      </c>
      <c r="AS18">
        <v>0</v>
      </c>
      <c r="AT18">
        <v>0</v>
      </c>
      <c r="AU18">
        <v>0</v>
      </c>
      <c r="AV18">
        <v>31</v>
      </c>
      <c r="AW18">
        <v>0</v>
      </c>
      <c r="AX18">
        <v>0</v>
      </c>
      <c r="AY18">
        <v>0</v>
      </c>
      <c r="AZ18">
        <v>31</v>
      </c>
      <c r="BA18">
        <v>0</v>
      </c>
      <c r="BB18">
        <v>0</v>
      </c>
      <c r="BC18">
        <v>0</v>
      </c>
      <c r="BD18">
        <v>31</v>
      </c>
      <c r="BE18">
        <v>0</v>
      </c>
      <c r="BF18">
        <v>0</v>
      </c>
      <c r="BG18">
        <v>0</v>
      </c>
      <c r="BH18">
        <v>31</v>
      </c>
      <c r="BI18">
        <v>0</v>
      </c>
      <c r="BJ18">
        <v>0</v>
      </c>
      <c r="BK18">
        <v>0</v>
      </c>
    </row>
    <row r="19" spans="1:63">
      <c r="A19" t="s">
        <v>29</v>
      </c>
      <c r="B19">
        <v>14</v>
      </c>
      <c r="C19">
        <v>0</v>
      </c>
      <c r="D19">
        <v>0</v>
      </c>
      <c r="E19">
        <v>0</v>
      </c>
      <c r="F19">
        <v>14</v>
      </c>
      <c r="G19">
        <v>0</v>
      </c>
      <c r="H19">
        <v>0</v>
      </c>
      <c r="I19">
        <v>0</v>
      </c>
      <c r="J19">
        <v>14</v>
      </c>
      <c r="K19">
        <v>0</v>
      </c>
      <c r="L19">
        <v>0</v>
      </c>
      <c r="M19">
        <v>0</v>
      </c>
      <c r="N19">
        <v>14</v>
      </c>
      <c r="O19">
        <v>0</v>
      </c>
      <c r="P19">
        <v>0</v>
      </c>
      <c r="Q19">
        <v>0</v>
      </c>
      <c r="R19">
        <v>14</v>
      </c>
      <c r="S19">
        <v>0</v>
      </c>
      <c r="T19">
        <v>0</v>
      </c>
      <c r="U19">
        <v>0</v>
      </c>
      <c r="V19" t="s">
        <v>29</v>
      </c>
      <c r="W19">
        <v>14</v>
      </c>
      <c r="X19">
        <v>0</v>
      </c>
      <c r="Y19">
        <v>0</v>
      </c>
      <c r="Z19">
        <v>0</v>
      </c>
      <c r="AA19">
        <v>14</v>
      </c>
      <c r="AB19">
        <v>0</v>
      </c>
      <c r="AC19">
        <v>0</v>
      </c>
      <c r="AD19">
        <v>0</v>
      </c>
      <c r="AE19">
        <v>14</v>
      </c>
      <c r="AF19">
        <v>0</v>
      </c>
      <c r="AG19">
        <v>0</v>
      </c>
      <c r="AH19">
        <v>0</v>
      </c>
      <c r="AI19">
        <v>14</v>
      </c>
      <c r="AJ19">
        <v>0</v>
      </c>
      <c r="AK19">
        <v>0</v>
      </c>
      <c r="AL19">
        <v>0</v>
      </c>
      <c r="AM19">
        <v>14</v>
      </c>
      <c r="AN19">
        <v>0</v>
      </c>
      <c r="AO19">
        <v>0</v>
      </c>
      <c r="AP19">
        <v>0</v>
      </c>
      <c r="AQ19" t="s">
        <v>29</v>
      </c>
      <c r="AR19">
        <v>14</v>
      </c>
      <c r="AS19">
        <v>0</v>
      </c>
      <c r="AT19">
        <v>0</v>
      </c>
      <c r="AU19">
        <v>0</v>
      </c>
      <c r="AV19">
        <v>14</v>
      </c>
      <c r="AW19">
        <v>0</v>
      </c>
      <c r="AX19">
        <v>0</v>
      </c>
      <c r="AY19">
        <v>0</v>
      </c>
      <c r="AZ19">
        <v>14</v>
      </c>
      <c r="BA19">
        <v>0</v>
      </c>
      <c r="BB19">
        <v>0</v>
      </c>
      <c r="BC19">
        <v>0</v>
      </c>
      <c r="BD19">
        <v>14</v>
      </c>
      <c r="BE19">
        <v>0</v>
      </c>
      <c r="BF19">
        <v>0</v>
      </c>
      <c r="BG19">
        <v>0</v>
      </c>
      <c r="BH19">
        <v>14</v>
      </c>
      <c r="BI19">
        <v>0</v>
      </c>
      <c r="BJ19">
        <v>0</v>
      </c>
      <c r="BK19">
        <v>0</v>
      </c>
    </row>
    <row r="20" spans="1:63">
      <c r="A20" t="s">
        <v>98</v>
      </c>
      <c r="B20">
        <v>176</v>
      </c>
      <c r="C20">
        <v>7</v>
      </c>
      <c r="D20">
        <v>0</v>
      </c>
      <c r="E20">
        <v>0</v>
      </c>
      <c r="F20">
        <v>176</v>
      </c>
      <c r="G20">
        <v>7</v>
      </c>
      <c r="H20">
        <v>0</v>
      </c>
      <c r="I20">
        <v>0</v>
      </c>
      <c r="J20">
        <v>179</v>
      </c>
      <c r="K20">
        <v>4</v>
      </c>
      <c r="L20">
        <v>0</v>
      </c>
      <c r="M20">
        <v>0</v>
      </c>
      <c r="N20">
        <v>172</v>
      </c>
      <c r="O20">
        <v>4</v>
      </c>
      <c r="P20">
        <v>7</v>
      </c>
      <c r="Q20">
        <v>0</v>
      </c>
      <c r="R20">
        <v>179</v>
      </c>
      <c r="S20">
        <v>4</v>
      </c>
      <c r="T20">
        <v>0</v>
      </c>
      <c r="U20">
        <v>0</v>
      </c>
      <c r="V20" t="s">
        <v>98</v>
      </c>
      <c r="W20">
        <v>176</v>
      </c>
      <c r="X20">
        <v>7</v>
      </c>
      <c r="Y20">
        <v>0</v>
      </c>
      <c r="Z20">
        <v>0</v>
      </c>
      <c r="AA20">
        <v>176</v>
      </c>
      <c r="AB20">
        <v>7</v>
      </c>
      <c r="AC20">
        <v>0</v>
      </c>
      <c r="AD20">
        <v>0</v>
      </c>
      <c r="AE20">
        <v>179</v>
      </c>
      <c r="AF20">
        <v>4</v>
      </c>
      <c r="AG20">
        <v>0</v>
      </c>
      <c r="AH20">
        <v>0</v>
      </c>
      <c r="AI20">
        <v>172</v>
      </c>
      <c r="AJ20">
        <v>4</v>
      </c>
      <c r="AK20">
        <v>7</v>
      </c>
      <c r="AL20">
        <v>0</v>
      </c>
      <c r="AM20">
        <v>179</v>
      </c>
      <c r="AN20">
        <v>4</v>
      </c>
      <c r="AO20">
        <v>0</v>
      </c>
      <c r="AP20">
        <v>0</v>
      </c>
      <c r="AQ20" t="s">
        <v>98</v>
      </c>
      <c r="AR20">
        <v>176</v>
      </c>
      <c r="AS20">
        <v>7</v>
      </c>
      <c r="AT20">
        <v>0</v>
      </c>
      <c r="AU20">
        <v>0</v>
      </c>
      <c r="AV20">
        <v>176</v>
      </c>
      <c r="AW20">
        <v>7</v>
      </c>
      <c r="AX20">
        <v>0</v>
      </c>
      <c r="AY20">
        <v>0</v>
      </c>
      <c r="AZ20">
        <v>183</v>
      </c>
      <c r="BA20">
        <v>0</v>
      </c>
      <c r="BB20">
        <v>0</v>
      </c>
      <c r="BC20">
        <v>0</v>
      </c>
      <c r="BD20">
        <v>176</v>
      </c>
      <c r="BE20">
        <v>0</v>
      </c>
      <c r="BF20">
        <v>7</v>
      </c>
      <c r="BG20">
        <v>0</v>
      </c>
      <c r="BH20">
        <v>183</v>
      </c>
      <c r="BI20">
        <v>0</v>
      </c>
      <c r="BJ20">
        <v>0</v>
      </c>
      <c r="BK20">
        <v>0</v>
      </c>
    </row>
    <row r="21" spans="1:63">
      <c r="A21" t="s">
        <v>43</v>
      </c>
      <c r="B21">
        <v>127</v>
      </c>
      <c r="C21">
        <v>0</v>
      </c>
      <c r="D21">
        <v>0</v>
      </c>
      <c r="E21">
        <v>0</v>
      </c>
      <c r="F21">
        <v>127</v>
      </c>
      <c r="G21">
        <v>0</v>
      </c>
      <c r="H21">
        <v>0</v>
      </c>
      <c r="I21">
        <v>0</v>
      </c>
      <c r="J21">
        <v>124</v>
      </c>
      <c r="K21">
        <v>3</v>
      </c>
      <c r="L21">
        <v>0</v>
      </c>
      <c r="M21">
        <v>0</v>
      </c>
      <c r="N21">
        <v>124</v>
      </c>
      <c r="O21">
        <v>3</v>
      </c>
      <c r="P21">
        <v>0</v>
      </c>
      <c r="Q21">
        <v>0</v>
      </c>
      <c r="R21">
        <v>124</v>
      </c>
      <c r="S21">
        <v>3</v>
      </c>
      <c r="T21">
        <v>0</v>
      </c>
      <c r="U21">
        <v>0</v>
      </c>
      <c r="V21" t="s">
        <v>43</v>
      </c>
      <c r="W21">
        <v>127</v>
      </c>
      <c r="X21">
        <v>0</v>
      </c>
      <c r="Y21">
        <v>0</v>
      </c>
      <c r="Z21">
        <v>0</v>
      </c>
      <c r="AA21">
        <v>127</v>
      </c>
      <c r="AB21">
        <v>0</v>
      </c>
      <c r="AC21">
        <v>0</v>
      </c>
      <c r="AD21">
        <v>0</v>
      </c>
      <c r="AE21">
        <v>124</v>
      </c>
      <c r="AF21">
        <v>3</v>
      </c>
      <c r="AG21">
        <v>0</v>
      </c>
      <c r="AH21">
        <v>0</v>
      </c>
      <c r="AI21">
        <v>124</v>
      </c>
      <c r="AJ21">
        <v>3</v>
      </c>
      <c r="AK21">
        <v>0</v>
      </c>
      <c r="AL21">
        <v>0</v>
      </c>
      <c r="AM21">
        <v>124</v>
      </c>
      <c r="AN21">
        <v>3</v>
      </c>
      <c r="AO21">
        <v>0</v>
      </c>
      <c r="AP21">
        <v>0</v>
      </c>
      <c r="AQ21" t="s">
        <v>43</v>
      </c>
      <c r="AR21">
        <v>127</v>
      </c>
      <c r="AS21">
        <v>0</v>
      </c>
      <c r="AT21">
        <v>0</v>
      </c>
      <c r="AU21">
        <v>0</v>
      </c>
      <c r="AV21">
        <v>127</v>
      </c>
      <c r="AW21">
        <v>0</v>
      </c>
      <c r="AX21">
        <v>0</v>
      </c>
      <c r="AY21">
        <v>0</v>
      </c>
      <c r="AZ21">
        <v>127</v>
      </c>
      <c r="BA21">
        <v>0</v>
      </c>
      <c r="BB21">
        <v>0</v>
      </c>
      <c r="BC21">
        <v>0</v>
      </c>
      <c r="BD21">
        <v>127</v>
      </c>
      <c r="BE21">
        <v>0</v>
      </c>
      <c r="BF21">
        <v>0</v>
      </c>
      <c r="BG21">
        <v>0</v>
      </c>
      <c r="BH21">
        <v>127</v>
      </c>
      <c r="BI21">
        <v>0</v>
      </c>
      <c r="BJ21">
        <v>0</v>
      </c>
      <c r="BK21">
        <v>0</v>
      </c>
    </row>
    <row r="22" spans="1:63">
      <c r="A22" t="s">
        <v>28</v>
      </c>
      <c r="B22">
        <v>106</v>
      </c>
      <c r="C22">
        <v>0</v>
      </c>
      <c r="D22">
        <v>0</v>
      </c>
      <c r="E22">
        <v>0</v>
      </c>
      <c r="F22">
        <v>106</v>
      </c>
      <c r="G22">
        <v>0</v>
      </c>
      <c r="H22">
        <v>0</v>
      </c>
      <c r="I22">
        <v>0</v>
      </c>
      <c r="J22">
        <v>103</v>
      </c>
      <c r="K22">
        <v>3</v>
      </c>
      <c r="L22">
        <v>0</v>
      </c>
      <c r="M22">
        <v>0</v>
      </c>
      <c r="N22">
        <v>103</v>
      </c>
      <c r="O22">
        <v>3</v>
      </c>
      <c r="P22">
        <v>0</v>
      </c>
      <c r="Q22">
        <v>0</v>
      </c>
      <c r="R22">
        <v>103</v>
      </c>
      <c r="S22">
        <v>3</v>
      </c>
      <c r="T22">
        <v>0</v>
      </c>
      <c r="U22">
        <v>0</v>
      </c>
      <c r="V22" t="s">
        <v>28</v>
      </c>
      <c r="W22">
        <v>106</v>
      </c>
      <c r="X22">
        <v>0</v>
      </c>
      <c r="Y22">
        <v>0</v>
      </c>
      <c r="Z22">
        <v>0</v>
      </c>
      <c r="AA22">
        <v>106</v>
      </c>
      <c r="AB22">
        <v>0</v>
      </c>
      <c r="AC22">
        <v>0</v>
      </c>
      <c r="AD22">
        <v>0</v>
      </c>
      <c r="AE22">
        <v>103</v>
      </c>
      <c r="AF22">
        <v>3</v>
      </c>
      <c r="AG22">
        <v>0</v>
      </c>
      <c r="AH22">
        <v>0</v>
      </c>
      <c r="AI22">
        <v>103</v>
      </c>
      <c r="AJ22">
        <v>3</v>
      </c>
      <c r="AK22">
        <v>0</v>
      </c>
      <c r="AL22">
        <v>0</v>
      </c>
      <c r="AM22">
        <v>103</v>
      </c>
      <c r="AN22">
        <v>3</v>
      </c>
      <c r="AO22">
        <v>0</v>
      </c>
      <c r="AP22">
        <v>0</v>
      </c>
      <c r="AQ22" t="s">
        <v>28</v>
      </c>
      <c r="AR22">
        <v>106</v>
      </c>
      <c r="AS22">
        <v>0</v>
      </c>
      <c r="AT22">
        <v>0</v>
      </c>
      <c r="AU22">
        <v>0</v>
      </c>
      <c r="AV22">
        <v>106</v>
      </c>
      <c r="AW22">
        <v>0</v>
      </c>
      <c r="AX22">
        <v>0</v>
      </c>
      <c r="AY22">
        <v>0</v>
      </c>
      <c r="AZ22">
        <v>106</v>
      </c>
      <c r="BA22">
        <v>0</v>
      </c>
      <c r="BB22">
        <v>0</v>
      </c>
      <c r="BC22">
        <v>0</v>
      </c>
      <c r="BD22">
        <v>106</v>
      </c>
      <c r="BE22">
        <v>0</v>
      </c>
      <c r="BF22">
        <v>0</v>
      </c>
      <c r="BG22">
        <v>0</v>
      </c>
      <c r="BH22">
        <v>106</v>
      </c>
      <c r="BI22">
        <v>0</v>
      </c>
      <c r="BJ22">
        <v>0</v>
      </c>
      <c r="BK22">
        <v>0</v>
      </c>
    </row>
    <row r="23" spans="1:63">
      <c r="A23" t="s">
        <v>40</v>
      </c>
      <c r="B23">
        <v>3</v>
      </c>
      <c r="C23">
        <v>0</v>
      </c>
      <c r="D23">
        <v>0</v>
      </c>
      <c r="E23">
        <v>0</v>
      </c>
      <c r="F23">
        <v>3</v>
      </c>
      <c r="G23">
        <v>0</v>
      </c>
      <c r="H23">
        <v>0</v>
      </c>
      <c r="I23">
        <v>0</v>
      </c>
      <c r="J23">
        <v>3</v>
      </c>
      <c r="K23">
        <v>0</v>
      </c>
      <c r="L23">
        <v>0</v>
      </c>
      <c r="M23">
        <v>0</v>
      </c>
      <c r="N23">
        <v>3</v>
      </c>
      <c r="O23">
        <v>0</v>
      </c>
      <c r="P23">
        <v>0</v>
      </c>
      <c r="Q23">
        <v>0</v>
      </c>
      <c r="R23">
        <v>3</v>
      </c>
      <c r="S23">
        <v>0</v>
      </c>
      <c r="T23">
        <v>0</v>
      </c>
      <c r="U23">
        <v>0</v>
      </c>
      <c r="V23" t="s">
        <v>40</v>
      </c>
      <c r="W23">
        <v>3</v>
      </c>
      <c r="X23">
        <v>0</v>
      </c>
      <c r="Y23">
        <v>0</v>
      </c>
      <c r="Z23">
        <v>0</v>
      </c>
      <c r="AA23">
        <v>3</v>
      </c>
      <c r="AB23">
        <v>0</v>
      </c>
      <c r="AC23">
        <v>0</v>
      </c>
      <c r="AD23">
        <v>0</v>
      </c>
      <c r="AE23">
        <v>3</v>
      </c>
      <c r="AF23">
        <v>0</v>
      </c>
      <c r="AG23">
        <v>0</v>
      </c>
      <c r="AH23">
        <v>0</v>
      </c>
      <c r="AI23">
        <v>3</v>
      </c>
      <c r="AJ23">
        <v>0</v>
      </c>
      <c r="AK23">
        <v>0</v>
      </c>
      <c r="AL23">
        <v>0</v>
      </c>
      <c r="AM23">
        <v>3</v>
      </c>
      <c r="AN23">
        <v>0</v>
      </c>
      <c r="AO23">
        <v>0</v>
      </c>
      <c r="AP23">
        <v>0</v>
      </c>
      <c r="AQ23" t="s">
        <v>40</v>
      </c>
      <c r="AR23">
        <v>3</v>
      </c>
      <c r="AS23">
        <v>0</v>
      </c>
      <c r="AT23">
        <v>0</v>
      </c>
      <c r="AU23">
        <v>0</v>
      </c>
      <c r="AV23">
        <v>3</v>
      </c>
      <c r="AW23">
        <v>0</v>
      </c>
      <c r="AX23">
        <v>0</v>
      </c>
      <c r="AY23">
        <v>0</v>
      </c>
      <c r="AZ23">
        <v>3</v>
      </c>
      <c r="BA23">
        <v>0</v>
      </c>
      <c r="BB23">
        <v>0</v>
      </c>
      <c r="BC23">
        <v>0</v>
      </c>
      <c r="BD23">
        <v>3</v>
      </c>
      <c r="BE23">
        <v>0</v>
      </c>
      <c r="BF23">
        <v>0</v>
      </c>
      <c r="BG23">
        <v>0</v>
      </c>
      <c r="BH23">
        <v>3</v>
      </c>
      <c r="BI23">
        <v>0</v>
      </c>
      <c r="BJ23">
        <v>0</v>
      </c>
      <c r="BK23">
        <v>0</v>
      </c>
    </row>
    <row r="24" spans="1:63">
      <c r="A24" t="s">
        <v>56</v>
      </c>
      <c r="B24">
        <v>406</v>
      </c>
      <c r="C24">
        <v>0</v>
      </c>
      <c r="D24">
        <v>0</v>
      </c>
      <c r="E24">
        <v>0</v>
      </c>
      <c r="F24">
        <v>406</v>
      </c>
      <c r="G24">
        <v>0</v>
      </c>
      <c r="H24">
        <v>0</v>
      </c>
      <c r="I24">
        <v>0</v>
      </c>
      <c r="J24">
        <v>406</v>
      </c>
      <c r="K24">
        <v>0</v>
      </c>
      <c r="L24">
        <v>0</v>
      </c>
      <c r="M24">
        <v>0</v>
      </c>
      <c r="N24">
        <v>406</v>
      </c>
      <c r="O24">
        <v>0</v>
      </c>
      <c r="P24">
        <v>0</v>
      </c>
      <c r="Q24">
        <v>0</v>
      </c>
      <c r="R24">
        <v>406</v>
      </c>
      <c r="S24">
        <v>0</v>
      </c>
      <c r="T24">
        <v>0</v>
      </c>
      <c r="U24">
        <v>0</v>
      </c>
      <c r="V24" t="s">
        <v>56</v>
      </c>
      <c r="W24">
        <v>406</v>
      </c>
      <c r="X24">
        <v>0</v>
      </c>
      <c r="Y24">
        <v>0</v>
      </c>
      <c r="Z24">
        <v>0</v>
      </c>
      <c r="AA24">
        <v>406</v>
      </c>
      <c r="AB24">
        <v>0</v>
      </c>
      <c r="AC24">
        <v>0</v>
      </c>
      <c r="AD24">
        <v>0</v>
      </c>
      <c r="AE24">
        <v>406</v>
      </c>
      <c r="AF24">
        <v>0</v>
      </c>
      <c r="AG24">
        <v>0</v>
      </c>
      <c r="AH24">
        <v>0</v>
      </c>
      <c r="AI24">
        <v>406</v>
      </c>
      <c r="AJ24">
        <v>0</v>
      </c>
      <c r="AK24">
        <v>0</v>
      </c>
      <c r="AL24">
        <v>0</v>
      </c>
      <c r="AM24">
        <v>406</v>
      </c>
      <c r="AN24">
        <v>0</v>
      </c>
      <c r="AO24">
        <v>0</v>
      </c>
      <c r="AP24">
        <v>0</v>
      </c>
      <c r="AQ24" t="s">
        <v>56</v>
      </c>
      <c r="AR24">
        <v>406</v>
      </c>
      <c r="AS24">
        <v>0</v>
      </c>
      <c r="AT24">
        <v>0</v>
      </c>
      <c r="AU24">
        <v>0</v>
      </c>
      <c r="AV24">
        <v>406</v>
      </c>
      <c r="AW24">
        <v>0</v>
      </c>
      <c r="AX24">
        <v>0</v>
      </c>
      <c r="AY24">
        <v>0</v>
      </c>
      <c r="AZ24">
        <v>406</v>
      </c>
      <c r="BA24">
        <v>0</v>
      </c>
      <c r="BB24">
        <v>0</v>
      </c>
      <c r="BC24">
        <v>0</v>
      </c>
      <c r="BD24">
        <v>406</v>
      </c>
      <c r="BE24">
        <v>0</v>
      </c>
      <c r="BF24">
        <v>0</v>
      </c>
      <c r="BG24">
        <v>0</v>
      </c>
      <c r="BH24">
        <v>406</v>
      </c>
      <c r="BI24">
        <v>0</v>
      </c>
      <c r="BJ24">
        <v>0</v>
      </c>
      <c r="BK24">
        <v>0</v>
      </c>
    </row>
    <row r="25" spans="1:63">
      <c r="A25" t="s">
        <v>18</v>
      </c>
      <c r="B25">
        <v>192</v>
      </c>
      <c r="C25">
        <v>0</v>
      </c>
      <c r="D25">
        <v>0</v>
      </c>
      <c r="E25">
        <v>0</v>
      </c>
      <c r="F25">
        <v>192</v>
      </c>
      <c r="G25">
        <v>0</v>
      </c>
      <c r="H25">
        <v>0</v>
      </c>
      <c r="I25">
        <v>0</v>
      </c>
      <c r="J25">
        <v>192</v>
      </c>
      <c r="K25">
        <v>0</v>
      </c>
      <c r="L25">
        <v>0</v>
      </c>
      <c r="M25">
        <v>0</v>
      </c>
      <c r="N25">
        <v>192</v>
      </c>
      <c r="O25">
        <v>0</v>
      </c>
      <c r="P25">
        <v>0</v>
      </c>
      <c r="Q25">
        <v>0</v>
      </c>
      <c r="R25">
        <v>192</v>
      </c>
      <c r="S25">
        <v>0</v>
      </c>
      <c r="T25">
        <v>0</v>
      </c>
      <c r="U25">
        <v>0</v>
      </c>
      <c r="V25" t="s">
        <v>18</v>
      </c>
      <c r="W25">
        <v>192</v>
      </c>
      <c r="X25">
        <v>0</v>
      </c>
      <c r="Y25">
        <v>0</v>
      </c>
      <c r="Z25">
        <v>0</v>
      </c>
      <c r="AA25">
        <v>192</v>
      </c>
      <c r="AB25">
        <v>0</v>
      </c>
      <c r="AC25">
        <v>0</v>
      </c>
      <c r="AD25">
        <v>0</v>
      </c>
      <c r="AE25">
        <v>192</v>
      </c>
      <c r="AF25">
        <v>0</v>
      </c>
      <c r="AG25">
        <v>0</v>
      </c>
      <c r="AH25">
        <v>0</v>
      </c>
      <c r="AI25">
        <v>192</v>
      </c>
      <c r="AJ25">
        <v>0</v>
      </c>
      <c r="AK25">
        <v>0</v>
      </c>
      <c r="AL25">
        <v>0</v>
      </c>
      <c r="AM25">
        <v>192</v>
      </c>
      <c r="AN25">
        <v>0</v>
      </c>
      <c r="AO25">
        <v>0</v>
      </c>
      <c r="AP25">
        <v>0</v>
      </c>
      <c r="AQ25" t="s">
        <v>18</v>
      </c>
      <c r="AR25">
        <v>192</v>
      </c>
      <c r="AS25">
        <v>0</v>
      </c>
      <c r="AT25">
        <v>0</v>
      </c>
      <c r="AU25">
        <v>0</v>
      </c>
      <c r="AV25">
        <v>192</v>
      </c>
      <c r="AW25">
        <v>0</v>
      </c>
      <c r="AX25">
        <v>0</v>
      </c>
      <c r="AY25">
        <v>0</v>
      </c>
      <c r="AZ25">
        <v>192</v>
      </c>
      <c r="BA25">
        <v>0</v>
      </c>
      <c r="BB25">
        <v>0</v>
      </c>
      <c r="BC25">
        <v>0</v>
      </c>
      <c r="BD25">
        <v>192</v>
      </c>
      <c r="BE25">
        <v>0</v>
      </c>
      <c r="BF25">
        <v>0</v>
      </c>
      <c r="BG25">
        <v>0</v>
      </c>
      <c r="BH25">
        <v>192</v>
      </c>
      <c r="BI25">
        <v>0</v>
      </c>
      <c r="BJ25">
        <v>0</v>
      </c>
      <c r="BK25">
        <v>0</v>
      </c>
    </row>
    <row r="26" spans="1:63">
      <c r="A26" t="s">
        <v>27</v>
      </c>
      <c r="B26">
        <v>118</v>
      </c>
      <c r="C26">
        <v>0</v>
      </c>
      <c r="D26">
        <v>0</v>
      </c>
      <c r="E26">
        <v>0</v>
      </c>
      <c r="F26">
        <v>118</v>
      </c>
      <c r="G26">
        <v>0</v>
      </c>
      <c r="H26">
        <v>0</v>
      </c>
      <c r="I26">
        <v>0</v>
      </c>
      <c r="J26">
        <v>118</v>
      </c>
      <c r="K26">
        <v>0</v>
      </c>
      <c r="L26">
        <v>0</v>
      </c>
      <c r="M26">
        <v>0</v>
      </c>
      <c r="N26">
        <v>118</v>
      </c>
      <c r="O26">
        <v>0</v>
      </c>
      <c r="P26">
        <v>0</v>
      </c>
      <c r="Q26">
        <v>0</v>
      </c>
      <c r="R26">
        <v>118</v>
      </c>
      <c r="S26">
        <v>0</v>
      </c>
      <c r="T26">
        <v>0</v>
      </c>
      <c r="U26">
        <v>0</v>
      </c>
      <c r="V26" t="s">
        <v>27</v>
      </c>
      <c r="W26">
        <v>118</v>
      </c>
      <c r="X26">
        <v>0</v>
      </c>
      <c r="Y26">
        <v>0</v>
      </c>
      <c r="Z26">
        <v>0</v>
      </c>
      <c r="AA26">
        <v>118</v>
      </c>
      <c r="AB26">
        <v>0</v>
      </c>
      <c r="AC26">
        <v>0</v>
      </c>
      <c r="AD26">
        <v>0</v>
      </c>
      <c r="AE26">
        <v>118</v>
      </c>
      <c r="AF26">
        <v>0</v>
      </c>
      <c r="AG26">
        <v>0</v>
      </c>
      <c r="AH26">
        <v>0</v>
      </c>
      <c r="AI26">
        <v>118</v>
      </c>
      <c r="AJ26">
        <v>0</v>
      </c>
      <c r="AK26">
        <v>0</v>
      </c>
      <c r="AL26">
        <v>0</v>
      </c>
      <c r="AM26">
        <v>118</v>
      </c>
      <c r="AN26">
        <v>0</v>
      </c>
      <c r="AO26">
        <v>0</v>
      </c>
      <c r="AP26">
        <v>0</v>
      </c>
      <c r="AQ26" t="s">
        <v>27</v>
      </c>
      <c r="AR26">
        <v>118</v>
      </c>
      <c r="AS26">
        <v>0</v>
      </c>
      <c r="AT26">
        <v>0</v>
      </c>
      <c r="AU26">
        <v>0</v>
      </c>
      <c r="AV26">
        <v>118</v>
      </c>
      <c r="AW26">
        <v>0</v>
      </c>
      <c r="AX26">
        <v>0</v>
      </c>
      <c r="AY26">
        <v>0</v>
      </c>
      <c r="AZ26">
        <v>118</v>
      </c>
      <c r="BA26">
        <v>0</v>
      </c>
      <c r="BB26">
        <v>0</v>
      </c>
      <c r="BC26">
        <v>0</v>
      </c>
      <c r="BD26">
        <v>118</v>
      </c>
      <c r="BE26">
        <v>0</v>
      </c>
      <c r="BF26">
        <v>0</v>
      </c>
      <c r="BG26">
        <v>0</v>
      </c>
      <c r="BH26">
        <v>118</v>
      </c>
      <c r="BI26">
        <v>0</v>
      </c>
      <c r="BJ26">
        <v>0</v>
      </c>
      <c r="BK26">
        <v>0</v>
      </c>
    </row>
    <row r="27" spans="1:63">
      <c r="A27" t="s">
        <v>69</v>
      </c>
      <c r="B27">
        <v>30</v>
      </c>
      <c r="C27">
        <v>0</v>
      </c>
      <c r="D27">
        <v>0</v>
      </c>
      <c r="E27">
        <v>0</v>
      </c>
      <c r="F27">
        <v>30</v>
      </c>
      <c r="G27">
        <v>0</v>
      </c>
      <c r="H27">
        <v>0</v>
      </c>
      <c r="I27">
        <v>0</v>
      </c>
      <c r="J27">
        <v>30</v>
      </c>
      <c r="K27">
        <v>0</v>
      </c>
      <c r="L27">
        <v>0</v>
      </c>
      <c r="M27">
        <v>0</v>
      </c>
      <c r="N27">
        <v>30</v>
      </c>
      <c r="O27">
        <v>0</v>
      </c>
      <c r="P27">
        <v>0</v>
      </c>
      <c r="Q27">
        <v>0</v>
      </c>
      <c r="R27">
        <v>30</v>
      </c>
      <c r="S27">
        <v>0</v>
      </c>
      <c r="T27">
        <v>0</v>
      </c>
      <c r="U27">
        <v>0</v>
      </c>
      <c r="V27" t="s">
        <v>69</v>
      </c>
      <c r="W27">
        <v>30</v>
      </c>
      <c r="X27">
        <v>0</v>
      </c>
      <c r="Y27">
        <v>0</v>
      </c>
      <c r="Z27">
        <v>0</v>
      </c>
      <c r="AA27">
        <v>30</v>
      </c>
      <c r="AB27">
        <v>0</v>
      </c>
      <c r="AC27">
        <v>0</v>
      </c>
      <c r="AD27">
        <v>0</v>
      </c>
      <c r="AE27">
        <v>30</v>
      </c>
      <c r="AF27">
        <v>0</v>
      </c>
      <c r="AG27">
        <v>0</v>
      </c>
      <c r="AH27">
        <v>0</v>
      </c>
      <c r="AI27">
        <v>30</v>
      </c>
      <c r="AJ27">
        <v>0</v>
      </c>
      <c r="AK27">
        <v>0</v>
      </c>
      <c r="AL27">
        <v>0</v>
      </c>
      <c r="AM27">
        <v>30</v>
      </c>
      <c r="AN27">
        <v>0</v>
      </c>
      <c r="AO27">
        <v>0</v>
      </c>
      <c r="AP27">
        <v>0</v>
      </c>
      <c r="AQ27" t="s">
        <v>69</v>
      </c>
      <c r="AR27">
        <v>30</v>
      </c>
      <c r="AS27">
        <v>0</v>
      </c>
      <c r="AT27">
        <v>0</v>
      </c>
      <c r="AU27">
        <v>0</v>
      </c>
      <c r="AV27">
        <v>30</v>
      </c>
      <c r="AW27">
        <v>0</v>
      </c>
      <c r="AX27">
        <v>0</v>
      </c>
      <c r="AY27">
        <v>0</v>
      </c>
      <c r="AZ27">
        <v>30</v>
      </c>
      <c r="BA27">
        <v>0</v>
      </c>
      <c r="BB27">
        <v>0</v>
      </c>
      <c r="BC27">
        <v>0</v>
      </c>
      <c r="BD27">
        <v>30</v>
      </c>
      <c r="BE27">
        <v>0</v>
      </c>
      <c r="BF27">
        <v>0</v>
      </c>
      <c r="BG27">
        <v>0</v>
      </c>
      <c r="BH27">
        <v>30</v>
      </c>
      <c r="BI27">
        <v>0</v>
      </c>
      <c r="BJ27">
        <v>0</v>
      </c>
      <c r="BK27">
        <v>0</v>
      </c>
    </row>
    <row r="28" spans="1:63">
      <c r="A28" t="s">
        <v>71</v>
      </c>
      <c r="B28">
        <v>112</v>
      </c>
      <c r="C28">
        <v>0</v>
      </c>
      <c r="D28">
        <v>0</v>
      </c>
      <c r="E28">
        <v>0</v>
      </c>
      <c r="F28">
        <v>112</v>
      </c>
      <c r="G28">
        <v>0</v>
      </c>
      <c r="H28">
        <v>0</v>
      </c>
      <c r="I28">
        <v>0</v>
      </c>
      <c r="J28">
        <v>112</v>
      </c>
      <c r="K28">
        <v>0</v>
      </c>
      <c r="L28">
        <v>0</v>
      </c>
      <c r="M28">
        <v>0</v>
      </c>
      <c r="N28">
        <v>112</v>
      </c>
      <c r="O28">
        <v>0</v>
      </c>
      <c r="P28">
        <v>0</v>
      </c>
      <c r="Q28">
        <v>0</v>
      </c>
      <c r="R28">
        <v>112</v>
      </c>
      <c r="S28">
        <v>0</v>
      </c>
      <c r="T28">
        <v>0</v>
      </c>
      <c r="U28">
        <v>0</v>
      </c>
      <c r="V28" t="s">
        <v>71</v>
      </c>
      <c r="W28">
        <v>112</v>
      </c>
      <c r="X28">
        <v>0</v>
      </c>
      <c r="Y28">
        <v>0</v>
      </c>
      <c r="Z28">
        <v>0</v>
      </c>
      <c r="AA28">
        <v>112</v>
      </c>
      <c r="AB28">
        <v>0</v>
      </c>
      <c r="AC28">
        <v>0</v>
      </c>
      <c r="AD28">
        <v>0</v>
      </c>
      <c r="AE28">
        <v>112</v>
      </c>
      <c r="AF28">
        <v>0</v>
      </c>
      <c r="AG28">
        <v>0</v>
      </c>
      <c r="AH28">
        <v>0</v>
      </c>
      <c r="AI28">
        <v>112</v>
      </c>
      <c r="AJ28">
        <v>0</v>
      </c>
      <c r="AK28">
        <v>0</v>
      </c>
      <c r="AL28">
        <v>0</v>
      </c>
      <c r="AM28">
        <v>112</v>
      </c>
      <c r="AN28">
        <v>0</v>
      </c>
      <c r="AO28">
        <v>0</v>
      </c>
      <c r="AP28">
        <v>0</v>
      </c>
      <c r="AQ28" t="s">
        <v>71</v>
      </c>
      <c r="AR28">
        <v>112</v>
      </c>
      <c r="AS28">
        <v>0</v>
      </c>
      <c r="AT28">
        <v>0</v>
      </c>
      <c r="AU28">
        <v>0</v>
      </c>
      <c r="AV28">
        <v>112</v>
      </c>
      <c r="AW28">
        <v>0</v>
      </c>
      <c r="AX28">
        <v>0</v>
      </c>
      <c r="AY28">
        <v>0</v>
      </c>
      <c r="AZ28">
        <v>112</v>
      </c>
      <c r="BA28">
        <v>0</v>
      </c>
      <c r="BB28">
        <v>0</v>
      </c>
      <c r="BC28">
        <v>0</v>
      </c>
      <c r="BD28">
        <v>112</v>
      </c>
      <c r="BE28">
        <v>0</v>
      </c>
      <c r="BF28">
        <v>0</v>
      </c>
      <c r="BG28">
        <v>0</v>
      </c>
      <c r="BH28">
        <v>112</v>
      </c>
      <c r="BI28">
        <v>0</v>
      </c>
      <c r="BJ28">
        <v>0</v>
      </c>
      <c r="BK28">
        <v>0</v>
      </c>
    </row>
    <row r="29" spans="1:63">
      <c r="A29" t="s">
        <v>22</v>
      </c>
      <c r="B29">
        <v>44</v>
      </c>
      <c r="C29">
        <v>0</v>
      </c>
      <c r="D29">
        <v>0</v>
      </c>
      <c r="E29">
        <v>0</v>
      </c>
      <c r="F29">
        <v>44</v>
      </c>
      <c r="G29">
        <v>0</v>
      </c>
      <c r="H29">
        <v>0</v>
      </c>
      <c r="I29">
        <v>0</v>
      </c>
      <c r="J29">
        <v>44</v>
      </c>
      <c r="K29">
        <v>0</v>
      </c>
      <c r="L29">
        <v>0</v>
      </c>
      <c r="M29">
        <v>0</v>
      </c>
      <c r="N29">
        <v>44</v>
      </c>
      <c r="O29">
        <v>0</v>
      </c>
      <c r="P29">
        <v>0</v>
      </c>
      <c r="Q29">
        <v>0</v>
      </c>
      <c r="R29">
        <v>44</v>
      </c>
      <c r="S29">
        <v>0</v>
      </c>
      <c r="T29">
        <v>0</v>
      </c>
      <c r="U29">
        <v>0</v>
      </c>
      <c r="V29" t="s">
        <v>22</v>
      </c>
      <c r="W29">
        <v>44</v>
      </c>
      <c r="X29">
        <v>0</v>
      </c>
      <c r="Y29">
        <v>0</v>
      </c>
      <c r="Z29">
        <v>0</v>
      </c>
      <c r="AA29">
        <v>44</v>
      </c>
      <c r="AB29">
        <v>0</v>
      </c>
      <c r="AC29">
        <v>0</v>
      </c>
      <c r="AD29">
        <v>0</v>
      </c>
      <c r="AE29">
        <v>44</v>
      </c>
      <c r="AF29">
        <v>0</v>
      </c>
      <c r="AG29">
        <v>0</v>
      </c>
      <c r="AH29">
        <v>0</v>
      </c>
      <c r="AI29">
        <v>44</v>
      </c>
      <c r="AJ29">
        <v>0</v>
      </c>
      <c r="AK29">
        <v>0</v>
      </c>
      <c r="AL29">
        <v>0</v>
      </c>
      <c r="AM29">
        <v>44</v>
      </c>
      <c r="AN29">
        <v>0</v>
      </c>
      <c r="AO29">
        <v>0</v>
      </c>
      <c r="AP29">
        <v>0</v>
      </c>
      <c r="AQ29" t="s">
        <v>22</v>
      </c>
      <c r="AR29">
        <v>44</v>
      </c>
      <c r="AS29">
        <v>0</v>
      </c>
      <c r="AT29">
        <v>0</v>
      </c>
      <c r="AU29">
        <v>0</v>
      </c>
      <c r="AV29">
        <v>44</v>
      </c>
      <c r="AW29">
        <v>0</v>
      </c>
      <c r="AX29">
        <v>0</v>
      </c>
      <c r="AY29">
        <v>0</v>
      </c>
      <c r="AZ29">
        <v>44</v>
      </c>
      <c r="BA29">
        <v>0</v>
      </c>
      <c r="BB29">
        <v>0</v>
      </c>
      <c r="BC29">
        <v>0</v>
      </c>
      <c r="BD29">
        <v>44</v>
      </c>
      <c r="BE29">
        <v>0</v>
      </c>
      <c r="BF29">
        <v>0</v>
      </c>
      <c r="BG29">
        <v>0</v>
      </c>
      <c r="BH29">
        <v>44</v>
      </c>
      <c r="BI29">
        <v>0</v>
      </c>
      <c r="BJ29">
        <v>0</v>
      </c>
      <c r="BK29">
        <v>0</v>
      </c>
    </row>
    <row r="30" spans="1:63">
      <c r="A30" t="s">
        <v>94</v>
      </c>
      <c r="B30">
        <v>6</v>
      </c>
      <c r="C30">
        <v>0</v>
      </c>
      <c r="D30">
        <v>0</v>
      </c>
      <c r="E30">
        <v>0</v>
      </c>
      <c r="F30">
        <v>6</v>
      </c>
      <c r="G30">
        <v>0</v>
      </c>
      <c r="H30">
        <v>0</v>
      </c>
      <c r="I30">
        <v>0</v>
      </c>
      <c r="J30">
        <v>6</v>
      </c>
      <c r="K30">
        <v>0</v>
      </c>
      <c r="L30">
        <v>0</v>
      </c>
      <c r="M30">
        <v>0</v>
      </c>
      <c r="N30">
        <v>6</v>
      </c>
      <c r="O30">
        <v>0</v>
      </c>
      <c r="P30">
        <v>0</v>
      </c>
      <c r="Q30">
        <v>0</v>
      </c>
      <c r="R30">
        <v>6</v>
      </c>
      <c r="S30">
        <v>0</v>
      </c>
      <c r="T30">
        <v>0</v>
      </c>
      <c r="U30">
        <v>0</v>
      </c>
      <c r="V30" t="s">
        <v>94</v>
      </c>
      <c r="W30">
        <v>6</v>
      </c>
      <c r="X30">
        <v>0</v>
      </c>
      <c r="Y30">
        <v>0</v>
      </c>
      <c r="Z30">
        <v>0</v>
      </c>
      <c r="AA30">
        <v>6</v>
      </c>
      <c r="AB30">
        <v>0</v>
      </c>
      <c r="AC30">
        <v>0</v>
      </c>
      <c r="AD30">
        <v>0</v>
      </c>
      <c r="AE30">
        <v>6</v>
      </c>
      <c r="AF30">
        <v>0</v>
      </c>
      <c r="AG30">
        <v>0</v>
      </c>
      <c r="AH30">
        <v>0</v>
      </c>
      <c r="AI30">
        <v>6</v>
      </c>
      <c r="AJ30">
        <v>0</v>
      </c>
      <c r="AK30">
        <v>0</v>
      </c>
      <c r="AL30">
        <v>0</v>
      </c>
      <c r="AM30">
        <v>6</v>
      </c>
      <c r="AN30">
        <v>0</v>
      </c>
      <c r="AO30">
        <v>0</v>
      </c>
      <c r="AP30">
        <v>0</v>
      </c>
      <c r="AQ30" t="s">
        <v>94</v>
      </c>
      <c r="AR30">
        <v>6</v>
      </c>
      <c r="AS30">
        <v>0</v>
      </c>
      <c r="AT30">
        <v>0</v>
      </c>
      <c r="AU30">
        <v>0</v>
      </c>
      <c r="AV30">
        <v>6</v>
      </c>
      <c r="AW30">
        <v>0</v>
      </c>
      <c r="AX30">
        <v>0</v>
      </c>
      <c r="AY30">
        <v>0</v>
      </c>
      <c r="AZ30">
        <v>6</v>
      </c>
      <c r="BA30">
        <v>0</v>
      </c>
      <c r="BB30">
        <v>0</v>
      </c>
      <c r="BC30">
        <v>0</v>
      </c>
      <c r="BD30">
        <v>6</v>
      </c>
      <c r="BE30">
        <v>0</v>
      </c>
      <c r="BF30">
        <v>0</v>
      </c>
      <c r="BG30">
        <v>0</v>
      </c>
      <c r="BH30">
        <v>6</v>
      </c>
      <c r="BI30">
        <v>0</v>
      </c>
      <c r="BJ30">
        <v>0</v>
      </c>
      <c r="BK30">
        <v>0</v>
      </c>
    </row>
    <row r="31" spans="1:63">
      <c r="A31" t="s">
        <v>20</v>
      </c>
      <c r="B31">
        <v>112</v>
      </c>
      <c r="C31">
        <v>0</v>
      </c>
      <c r="D31">
        <v>0</v>
      </c>
      <c r="E31">
        <v>0</v>
      </c>
      <c r="F31">
        <v>112</v>
      </c>
      <c r="G31">
        <v>0</v>
      </c>
      <c r="H31">
        <v>0</v>
      </c>
      <c r="I31">
        <v>0</v>
      </c>
      <c r="J31">
        <v>112</v>
      </c>
      <c r="K31">
        <v>0</v>
      </c>
      <c r="L31">
        <v>0</v>
      </c>
      <c r="M31">
        <v>0</v>
      </c>
      <c r="N31">
        <v>112</v>
      </c>
      <c r="O31">
        <v>0</v>
      </c>
      <c r="P31">
        <v>0</v>
      </c>
      <c r="Q31">
        <v>0</v>
      </c>
      <c r="R31">
        <v>112</v>
      </c>
      <c r="S31">
        <v>0</v>
      </c>
      <c r="T31">
        <v>0</v>
      </c>
      <c r="U31">
        <v>0</v>
      </c>
      <c r="V31" t="s">
        <v>20</v>
      </c>
      <c r="W31">
        <v>112</v>
      </c>
      <c r="X31">
        <v>0</v>
      </c>
      <c r="Y31">
        <v>0</v>
      </c>
      <c r="Z31">
        <v>0</v>
      </c>
      <c r="AA31">
        <v>112</v>
      </c>
      <c r="AB31">
        <v>0</v>
      </c>
      <c r="AC31">
        <v>0</v>
      </c>
      <c r="AD31">
        <v>0</v>
      </c>
      <c r="AE31">
        <v>112</v>
      </c>
      <c r="AF31">
        <v>0</v>
      </c>
      <c r="AG31">
        <v>0</v>
      </c>
      <c r="AH31">
        <v>0</v>
      </c>
      <c r="AI31">
        <v>112</v>
      </c>
      <c r="AJ31">
        <v>0</v>
      </c>
      <c r="AK31">
        <v>0</v>
      </c>
      <c r="AL31">
        <v>0</v>
      </c>
      <c r="AM31">
        <v>112</v>
      </c>
      <c r="AN31">
        <v>0</v>
      </c>
      <c r="AO31">
        <v>0</v>
      </c>
      <c r="AP31">
        <v>0</v>
      </c>
      <c r="AQ31" t="s">
        <v>20</v>
      </c>
      <c r="AR31">
        <v>112</v>
      </c>
      <c r="AS31">
        <v>0</v>
      </c>
      <c r="AT31">
        <v>0</v>
      </c>
      <c r="AU31">
        <v>0</v>
      </c>
      <c r="AV31">
        <v>112</v>
      </c>
      <c r="AW31">
        <v>0</v>
      </c>
      <c r="AX31">
        <v>0</v>
      </c>
      <c r="AY31">
        <v>0</v>
      </c>
      <c r="AZ31">
        <v>112</v>
      </c>
      <c r="BA31">
        <v>0</v>
      </c>
      <c r="BB31">
        <v>0</v>
      </c>
      <c r="BC31">
        <v>0</v>
      </c>
      <c r="BD31">
        <v>112</v>
      </c>
      <c r="BE31">
        <v>0</v>
      </c>
      <c r="BF31">
        <v>0</v>
      </c>
      <c r="BG31">
        <v>0</v>
      </c>
      <c r="BH31">
        <v>112</v>
      </c>
      <c r="BI31">
        <v>0</v>
      </c>
      <c r="BJ31">
        <v>0</v>
      </c>
      <c r="BK31">
        <v>0</v>
      </c>
    </row>
    <row r="32" spans="1:63">
      <c r="A32" t="s">
        <v>24</v>
      </c>
      <c r="B32">
        <v>43</v>
      </c>
      <c r="C32">
        <v>0</v>
      </c>
      <c r="D32">
        <v>0</v>
      </c>
      <c r="E32">
        <v>0</v>
      </c>
      <c r="F32">
        <v>43</v>
      </c>
      <c r="G32">
        <v>0</v>
      </c>
      <c r="H32">
        <v>0</v>
      </c>
      <c r="I32">
        <v>0</v>
      </c>
      <c r="J32">
        <v>43</v>
      </c>
      <c r="K32">
        <v>0</v>
      </c>
      <c r="L32">
        <v>0</v>
      </c>
      <c r="M32">
        <v>0</v>
      </c>
      <c r="N32">
        <v>43</v>
      </c>
      <c r="O32">
        <v>0</v>
      </c>
      <c r="P32">
        <v>0</v>
      </c>
      <c r="Q32">
        <v>0</v>
      </c>
      <c r="R32">
        <v>43</v>
      </c>
      <c r="S32">
        <v>0</v>
      </c>
      <c r="T32">
        <v>0</v>
      </c>
      <c r="U32">
        <v>0</v>
      </c>
      <c r="V32" t="s">
        <v>24</v>
      </c>
      <c r="W32">
        <v>43</v>
      </c>
      <c r="X32">
        <v>0</v>
      </c>
      <c r="Y32">
        <v>0</v>
      </c>
      <c r="Z32">
        <v>0</v>
      </c>
      <c r="AA32">
        <v>43</v>
      </c>
      <c r="AB32">
        <v>0</v>
      </c>
      <c r="AC32">
        <v>0</v>
      </c>
      <c r="AD32">
        <v>0</v>
      </c>
      <c r="AE32">
        <v>43</v>
      </c>
      <c r="AF32">
        <v>0</v>
      </c>
      <c r="AG32">
        <v>0</v>
      </c>
      <c r="AH32">
        <v>0</v>
      </c>
      <c r="AI32">
        <v>43</v>
      </c>
      <c r="AJ32">
        <v>0</v>
      </c>
      <c r="AK32">
        <v>0</v>
      </c>
      <c r="AL32">
        <v>0</v>
      </c>
      <c r="AM32">
        <v>43</v>
      </c>
      <c r="AN32">
        <v>0</v>
      </c>
      <c r="AO32">
        <v>0</v>
      </c>
      <c r="AP32">
        <v>0</v>
      </c>
      <c r="AQ32" t="s">
        <v>24</v>
      </c>
      <c r="AR32">
        <v>43</v>
      </c>
      <c r="AS32">
        <v>0</v>
      </c>
      <c r="AT32">
        <v>0</v>
      </c>
      <c r="AU32">
        <v>0</v>
      </c>
      <c r="AV32">
        <v>43</v>
      </c>
      <c r="AW32">
        <v>0</v>
      </c>
      <c r="AX32">
        <v>0</v>
      </c>
      <c r="AY32">
        <v>0</v>
      </c>
      <c r="AZ32">
        <v>43</v>
      </c>
      <c r="BA32">
        <v>0</v>
      </c>
      <c r="BB32">
        <v>0</v>
      </c>
      <c r="BC32">
        <v>0</v>
      </c>
      <c r="BD32">
        <v>43</v>
      </c>
      <c r="BE32">
        <v>0</v>
      </c>
      <c r="BF32">
        <v>0</v>
      </c>
      <c r="BG32">
        <v>0</v>
      </c>
      <c r="BH32">
        <v>43</v>
      </c>
      <c r="BI32">
        <v>0</v>
      </c>
      <c r="BJ32">
        <v>0</v>
      </c>
      <c r="BK32">
        <v>0</v>
      </c>
    </row>
    <row r="33" spans="1:63">
      <c r="A33" t="s">
        <v>26</v>
      </c>
      <c r="B33">
        <v>4</v>
      </c>
      <c r="C33">
        <v>0</v>
      </c>
      <c r="D33">
        <v>0</v>
      </c>
      <c r="E33">
        <v>0</v>
      </c>
      <c r="F33">
        <v>4</v>
      </c>
      <c r="G33">
        <v>0</v>
      </c>
      <c r="H33">
        <v>0</v>
      </c>
      <c r="I33">
        <v>0</v>
      </c>
      <c r="J33">
        <v>4</v>
      </c>
      <c r="K33">
        <v>0</v>
      </c>
      <c r="L33">
        <v>0</v>
      </c>
      <c r="M33">
        <v>0</v>
      </c>
      <c r="N33">
        <v>4</v>
      </c>
      <c r="O33">
        <v>0</v>
      </c>
      <c r="P33">
        <v>0</v>
      </c>
      <c r="Q33">
        <v>0</v>
      </c>
      <c r="R33">
        <v>4</v>
      </c>
      <c r="S33">
        <v>0</v>
      </c>
      <c r="T33">
        <v>0</v>
      </c>
      <c r="U33">
        <v>0</v>
      </c>
      <c r="V33" t="s">
        <v>26</v>
      </c>
      <c r="W33">
        <v>4</v>
      </c>
      <c r="X33">
        <v>0</v>
      </c>
      <c r="Y33">
        <v>0</v>
      </c>
      <c r="Z33">
        <v>0</v>
      </c>
      <c r="AA33">
        <v>4</v>
      </c>
      <c r="AB33">
        <v>0</v>
      </c>
      <c r="AC33">
        <v>0</v>
      </c>
      <c r="AD33">
        <v>0</v>
      </c>
      <c r="AE33">
        <v>4</v>
      </c>
      <c r="AF33">
        <v>0</v>
      </c>
      <c r="AG33">
        <v>0</v>
      </c>
      <c r="AH33">
        <v>0</v>
      </c>
      <c r="AI33">
        <v>4</v>
      </c>
      <c r="AJ33">
        <v>0</v>
      </c>
      <c r="AK33">
        <v>0</v>
      </c>
      <c r="AL33">
        <v>0</v>
      </c>
      <c r="AM33">
        <v>4</v>
      </c>
      <c r="AN33">
        <v>0</v>
      </c>
      <c r="AO33">
        <v>0</v>
      </c>
      <c r="AP33">
        <v>0</v>
      </c>
      <c r="AQ33" t="s">
        <v>26</v>
      </c>
      <c r="AR33">
        <v>4</v>
      </c>
      <c r="AS33">
        <v>0</v>
      </c>
      <c r="AT33">
        <v>0</v>
      </c>
      <c r="AU33">
        <v>0</v>
      </c>
      <c r="AV33">
        <v>4</v>
      </c>
      <c r="AW33">
        <v>0</v>
      </c>
      <c r="AX33">
        <v>0</v>
      </c>
      <c r="AY33">
        <v>0</v>
      </c>
      <c r="AZ33">
        <v>4</v>
      </c>
      <c r="BA33">
        <v>0</v>
      </c>
      <c r="BB33">
        <v>0</v>
      </c>
      <c r="BC33">
        <v>0</v>
      </c>
      <c r="BD33">
        <v>4</v>
      </c>
      <c r="BE33">
        <v>0</v>
      </c>
      <c r="BF33">
        <v>0</v>
      </c>
      <c r="BG33">
        <v>0</v>
      </c>
      <c r="BH33">
        <v>4</v>
      </c>
      <c r="BI33">
        <v>0</v>
      </c>
      <c r="BJ33">
        <v>0</v>
      </c>
      <c r="BK33">
        <v>0</v>
      </c>
    </row>
    <row r="34" spans="1:63">
      <c r="A34" t="s">
        <v>104</v>
      </c>
      <c r="B34">
        <v>7</v>
      </c>
      <c r="C34">
        <v>0</v>
      </c>
      <c r="D34">
        <v>0</v>
      </c>
      <c r="E34">
        <v>0</v>
      </c>
      <c r="F34">
        <v>7</v>
      </c>
      <c r="G34">
        <v>0</v>
      </c>
      <c r="H34">
        <v>0</v>
      </c>
      <c r="I34">
        <v>0</v>
      </c>
      <c r="J34">
        <v>7</v>
      </c>
      <c r="K34">
        <v>0</v>
      </c>
      <c r="L34">
        <v>0</v>
      </c>
      <c r="M34">
        <v>0</v>
      </c>
      <c r="N34">
        <v>7</v>
      </c>
      <c r="O34">
        <v>0</v>
      </c>
      <c r="P34">
        <v>0</v>
      </c>
      <c r="Q34">
        <v>0</v>
      </c>
      <c r="R34">
        <v>7</v>
      </c>
      <c r="S34">
        <v>0</v>
      </c>
      <c r="T34">
        <v>0</v>
      </c>
      <c r="U34">
        <v>0</v>
      </c>
      <c r="V34" t="s">
        <v>104</v>
      </c>
      <c r="W34">
        <v>7</v>
      </c>
      <c r="X34">
        <v>0</v>
      </c>
      <c r="Y34">
        <v>0</v>
      </c>
      <c r="Z34">
        <v>0</v>
      </c>
      <c r="AA34">
        <v>7</v>
      </c>
      <c r="AB34">
        <v>0</v>
      </c>
      <c r="AC34">
        <v>0</v>
      </c>
      <c r="AD34">
        <v>0</v>
      </c>
      <c r="AE34">
        <v>7</v>
      </c>
      <c r="AF34">
        <v>0</v>
      </c>
      <c r="AG34">
        <v>0</v>
      </c>
      <c r="AH34">
        <v>0</v>
      </c>
      <c r="AI34">
        <v>7</v>
      </c>
      <c r="AJ34">
        <v>0</v>
      </c>
      <c r="AK34">
        <v>0</v>
      </c>
      <c r="AL34">
        <v>0</v>
      </c>
      <c r="AM34">
        <v>7</v>
      </c>
      <c r="AN34">
        <v>0</v>
      </c>
      <c r="AO34">
        <v>0</v>
      </c>
      <c r="AP34">
        <v>0</v>
      </c>
      <c r="AQ34" t="s">
        <v>104</v>
      </c>
      <c r="AR34">
        <v>7</v>
      </c>
      <c r="AS34">
        <v>0</v>
      </c>
      <c r="AT34">
        <v>0</v>
      </c>
      <c r="AU34">
        <v>0</v>
      </c>
      <c r="AV34">
        <v>7</v>
      </c>
      <c r="AW34">
        <v>0</v>
      </c>
      <c r="AX34">
        <v>0</v>
      </c>
      <c r="AY34">
        <v>0</v>
      </c>
      <c r="AZ34">
        <v>7</v>
      </c>
      <c r="BA34">
        <v>0</v>
      </c>
      <c r="BB34">
        <v>0</v>
      </c>
      <c r="BC34">
        <v>0</v>
      </c>
      <c r="BD34">
        <v>7</v>
      </c>
      <c r="BE34">
        <v>0</v>
      </c>
      <c r="BF34">
        <v>0</v>
      </c>
      <c r="BG34">
        <v>0</v>
      </c>
      <c r="BH34">
        <v>7</v>
      </c>
      <c r="BI34">
        <v>0</v>
      </c>
      <c r="BJ34">
        <v>0</v>
      </c>
      <c r="BK34">
        <v>0</v>
      </c>
    </row>
    <row r="35" spans="1:63">
      <c r="A35" t="s">
        <v>16</v>
      </c>
      <c r="B35">
        <v>88</v>
      </c>
      <c r="C35">
        <v>0</v>
      </c>
      <c r="D35">
        <v>0</v>
      </c>
      <c r="E35">
        <v>0</v>
      </c>
      <c r="F35">
        <v>88</v>
      </c>
      <c r="G35">
        <v>0</v>
      </c>
      <c r="H35">
        <v>0</v>
      </c>
      <c r="I35">
        <v>0</v>
      </c>
      <c r="J35">
        <v>88</v>
      </c>
      <c r="K35">
        <v>0</v>
      </c>
      <c r="L35">
        <v>0</v>
      </c>
      <c r="M35">
        <v>0</v>
      </c>
      <c r="N35">
        <v>88</v>
      </c>
      <c r="O35">
        <v>0</v>
      </c>
      <c r="P35">
        <v>0</v>
      </c>
      <c r="Q35">
        <v>0</v>
      </c>
      <c r="R35">
        <v>88</v>
      </c>
      <c r="S35">
        <v>0</v>
      </c>
      <c r="T35">
        <v>0</v>
      </c>
      <c r="U35">
        <v>0</v>
      </c>
      <c r="V35" t="s">
        <v>16</v>
      </c>
      <c r="W35">
        <v>88</v>
      </c>
      <c r="X35">
        <v>0</v>
      </c>
      <c r="Y35">
        <v>0</v>
      </c>
      <c r="Z35">
        <v>0</v>
      </c>
      <c r="AA35">
        <v>88</v>
      </c>
      <c r="AB35">
        <v>0</v>
      </c>
      <c r="AC35">
        <v>0</v>
      </c>
      <c r="AD35">
        <v>0</v>
      </c>
      <c r="AE35">
        <v>88</v>
      </c>
      <c r="AF35">
        <v>0</v>
      </c>
      <c r="AG35">
        <v>0</v>
      </c>
      <c r="AH35">
        <v>0</v>
      </c>
      <c r="AI35">
        <v>88</v>
      </c>
      <c r="AJ35">
        <v>0</v>
      </c>
      <c r="AK35">
        <v>0</v>
      </c>
      <c r="AL35">
        <v>0</v>
      </c>
      <c r="AM35">
        <v>88</v>
      </c>
      <c r="AN35">
        <v>0</v>
      </c>
      <c r="AO35">
        <v>0</v>
      </c>
      <c r="AP35">
        <v>0</v>
      </c>
      <c r="AQ35" t="s">
        <v>16</v>
      </c>
      <c r="AR35">
        <v>88</v>
      </c>
      <c r="AS35">
        <v>0</v>
      </c>
      <c r="AT35">
        <v>0</v>
      </c>
      <c r="AU35">
        <v>0</v>
      </c>
      <c r="AV35">
        <v>88</v>
      </c>
      <c r="AW35">
        <v>0</v>
      </c>
      <c r="AX35">
        <v>0</v>
      </c>
      <c r="AY35">
        <v>0</v>
      </c>
      <c r="AZ35">
        <v>88</v>
      </c>
      <c r="BA35">
        <v>0</v>
      </c>
      <c r="BB35">
        <v>0</v>
      </c>
      <c r="BC35">
        <v>0</v>
      </c>
      <c r="BD35">
        <v>88</v>
      </c>
      <c r="BE35">
        <v>0</v>
      </c>
      <c r="BF35">
        <v>0</v>
      </c>
      <c r="BG35">
        <v>0</v>
      </c>
      <c r="BH35">
        <v>88</v>
      </c>
      <c r="BI35">
        <v>0</v>
      </c>
      <c r="BJ35">
        <v>0</v>
      </c>
      <c r="BK35">
        <v>0</v>
      </c>
    </row>
    <row r="36" spans="1:63">
      <c r="A36" t="s">
        <v>91</v>
      </c>
      <c r="B36">
        <v>64</v>
      </c>
      <c r="C36">
        <v>7</v>
      </c>
      <c r="D36">
        <v>0</v>
      </c>
      <c r="E36">
        <v>0</v>
      </c>
      <c r="F36">
        <v>64</v>
      </c>
      <c r="G36">
        <v>7</v>
      </c>
      <c r="H36">
        <v>0</v>
      </c>
      <c r="I36">
        <v>0</v>
      </c>
      <c r="J36">
        <v>71</v>
      </c>
      <c r="K36">
        <v>0</v>
      </c>
      <c r="L36">
        <v>0</v>
      </c>
      <c r="M36">
        <v>0</v>
      </c>
      <c r="N36">
        <v>64</v>
      </c>
      <c r="O36">
        <v>0</v>
      </c>
      <c r="P36">
        <v>7</v>
      </c>
      <c r="Q36">
        <v>0</v>
      </c>
      <c r="R36">
        <v>71</v>
      </c>
      <c r="S36">
        <v>0</v>
      </c>
      <c r="T36">
        <v>0</v>
      </c>
      <c r="U36">
        <v>0</v>
      </c>
      <c r="V36" t="s">
        <v>91</v>
      </c>
      <c r="W36">
        <v>64</v>
      </c>
      <c r="X36">
        <v>7</v>
      </c>
      <c r="Y36">
        <v>0</v>
      </c>
      <c r="Z36">
        <v>0</v>
      </c>
      <c r="AA36">
        <v>64</v>
      </c>
      <c r="AB36">
        <v>7</v>
      </c>
      <c r="AC36">
        <v>0</v>
      </c>
      <c r="AD36">
        <v>0</v>
      </c>
      <c r="AE36">
        <v>71</v>
      </c>
      <c r="AF36">
        <v>0</v>
      </c>
      <c r="AG36">
        <v>0</v>
      </c>
      <c r="AH36">
        <v>0</v>
      </c>
      <c r="AI36">
        <v>64</v>
      </c>
      <c r="AJ36">
        <v>0</v>
      </c>
      <c r="AK36">
        <v>7</v>
      </c>
      <c r="AL36">
        <v>0</v>
      </c>
      <c r="AM36">
        <v>71</v>
      </c>
      <c r="AN36">
        <v>0</v>
      </c>
      <c r="AO36">
        <v>0</v>
      </c>
      <c r="AP36">
        <v>0</v>
      </c>
      <c r="AQ36" t="s">
        <v>91</v>
      </c>
      <c r="AR36">
        <v>64</v>
      </c>
      <c r="AS36">
        <v>7</v>
      </c>
      <c r="AT36">
        <v>0</v>
      </c>
      <c r="AU36">
        <v>0</v>
      </c>
      <c r="AV36">
        <v>64</v>
      </c>
      <c r="AW36">
        <v>7</v>
      </c>
      <c r="AX36">
        <v>0</v>
      </c>
      <c r="AY36">
        <v>0</v>
      </c>
      <c r="AZ36">
        <v>71</v>
      </c>
      <c r="BA36">
        <v>0</v>
      </c>
      <c r="BB36">
        <v>0</v>
      </c>
      <c r="BC36">
        <v>0</v>
      </c>
      <c r="BD36">
        <v>64</v>
      </c>
      <c r="BE36">
        <v>0</v>
      </c>
      <c r="BF36">
        <v>7</v>
      </c>
      <c r="BG36">
        <v>0</v>
      </c>
      <c r="BH36">
        <v>71</v>
      </c>
      <c r="BI36">
        <v>0</v>
      </c>
      <c r="BJ36">
        <v>0</v>
      </c>
      <c r="BK36">
        <v>0</v>
      </c>
    </row>
    <row r="37" spans="1:63">
      <c r="A37" t="s">
        <v>64</v>
      </c>
      <c r="B37">
        <v>336</v>
      </c>
      <c r="C37">
        <v>0</v>
      </c>
      <c r="D37">
        <v>0</v>
      </c>
      <c r="E37">
        <v>0</v>
      </c>
      <c r="F37">
        <v>336</v>
      </c>
      <c r="G37">
        <v>0</v>
      </c>
      <c r="H37">
        <v>0</v>
      </c>
      <c r="I37">
        <v>0</v>
      </c>
      <c r="J37">
        <v>336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336</v>
      </c>
      <c r="S37">
        <v>0</v>
      </c>
      <c r="T37">
        <v>0</v>
      </c>
      <c r="U37">
        <v>0</v>
      </c>
      <c r="V37" t="s">
        <v>64</v>
      </c>
      <c r="W37">
        <v>336</v>
      </c>
      <c r="X37">
        <v>0</v>
      </c>
      <c r="Y37">
        <v>0</v>
      </c>
      <c r="Z37">
        <v>0</v>
      </c>
      <c r="AA37">
        <v>336</v>
      </c>
      <c r="AB37">
        <v>0</v>
      </c>
      <c r="AC37">
        <v>0</v>
      </c>
      <c r="AD37">
        <v>0</v>
      </c>
      <c r="AE37">
        <v>336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336</v>
      </c>
      <c r="AN37">
        <v>0</v>
      </c>
      <c r="AO37">
        <v>0</v>
      </c>
      <c r="AP37">
        <v>0</v>
      </c>
      <c r="AQ37" t="s">
        <v>64</v>
      </c>
      <c r="AR37">
        <v>336</v>
      </c>
      <c r="AS37">
        <v>0</v>
      </c>
      <c r="AT37">
        <v>0</v>
      </c>
      <c r="AU37">
        <v>0</v>
      </c>
      <c r="AV37">
        <v>336</v>
      </c>
      <c r="AW37">
        <v>0</v>
      </c>
      <c r="AX37">
        <v>0</v>
      </c>
      <c r="AY37">
        <v>0</v>
      </c>
      <c r="AZ37">
        <v>336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336</v>
      </c>
      <c r="BI37">
        <v>0</v>
      </c>
      <c r="BJ37">
        <v>0</v>
      </c>
      <c r="BK37">
        <v>0</v>
      </c>
    </row>
    <row r="38" spans="1:63">
      <c r="A38" t="s">
        <v>25</v>
      </c>
      <c r="B38">
        <v>152</v>
      </c>
      <c r="C38">
        <v>2</v>
      </c>
      <c r="D38">
        <v>0</v>
      </c>
      <c r="E38">
        <v>0</v>
      </c>
      <c r="F38">
        <v>152</v>
      </c>
      <c r="G38">
        <v>2</v>
      </c>
      <c r="H38">
        <v>0</v>
      </c>
      <c r="I38">
        <v>0</v>
      </c>
      <c r="J38">
        <v>164</v>
      </c>
      <c r="K38">
        <v>1</v>
      </c>
      <c r="L38">
        <v>0</v>
      </c>
      <c r="M38">
        <v>0</v>
      </c>
      <c r="N38">
        <v>141</v>
      </c>
      <c r="O38">
        <v>0</v>
      </c>
      <c r="P38">
        <v>1</v>
      </c>
      <c r="Q38">
        <v>1</v>
      </c>
      <c r="R38">
        <v>153</v>
      </c>
      <c r="S38">
        <v>1</v>
      </c>
      <c r="T38">
        <v>0</v>
      </c>
      <c r="U38">
        <v>0</v>
      </c>
      <c r="V38" t="s">
        <v>25</v>
      </c>
      <c r="W38">
        <v>152</v>
      </c>
      <c r="X38">
        <v>2</v>
      </c>
      <c r="Y38">
        <v>0</v>
      </c>
      <c r="Z38">
        <v>0</v>
      </c>
      <c r="AA38">
        <v>152</v>
      </c>
      <c r="AB38">
        <v>2</v>
      </c>
      <c r="AC38">
        <v>0</v>
      </c>
      <c r="AD38">
        <v>0</v>
      </c>
      <c r="AE38">
        <v>164</v>
      </c>
      <c r="AF38">
        <v>1</v>
      </c>
      <c r="AG38">
        <v>0</v>
      </c>
      <c r="AH38">
        <v>0</v>
      </c>
      <c r="AI38">
        <v>141</v>
      </c>
      <c r="AJ38">
        <v>0</v>
      </c>
      <c r="AK38">
        <v>1</v>
      </c>
      <c r="AL38">
        <v>1</v>
      </c>
      <c r="AM38">
        <v>153</v>
      </c>
      <c r="AN38">
        <v>1</v>
      </c>
      <c r="AO38">
        <v>0</v>
      </c>
      <c r="AP38">
        <v>0</v>
      </c>
      <c r="AQ38" t="s">
        <v>25</v>
      </c>
      <c r="AR38">
        <v>152</v>
      </c>
      <c r="AS38">
        <v>2</v>
      </c>
      <c r="AT38">
        <v>0</v>
      </c>
      <c r="AU38">
        <v>0</v>
      </c>
      <c r="AV38">
        <v>152</v>
      </c>
      <c r="AW38">
        <v>2</v>
      </c>
      <c r="AX38">
        <v>0</v>
      </c>
      <c r="AY38">
        <v>0</v>
      </c>
      <c r="AZ38">
        <v>165</v>
      </c>
      <c r="BA38">
        <v>0</v>
      </c>
      <c r="BB38">
        <v>0</v>
      </c>
      <c r="BC38">
        <v>0</v>
      </c>
      <c r="BD38">
        <v>141</v>
      </c>
      <c r="BE38">
        <v>0</v>
      </c>
      <c r="BF38">
        <v>2</v>
      </c>
      <c r="BG38">
        <v>0</v>
      </c>
      <c r="BH38">
        <v>154</v>
      </c>
      <c r="BI38">
        <v>0</v>
      </c>
      <c r="BJ38">
        <v>0</v>
      </c>
      <c r="BK38">
        <v>0</v>
      </c>
    </row>
    <row r="39" spans="1:63">
      <c r="A39" t="s">
        <v>36</v>
      </c>
      <c r="B39">
        <v>102</v>
      </c>
      <c r="C39">
        <v>15</v>
      </c>
      <c r="D39">
        <v>0</v>
      </c>
      <c r="E39">
        <v>0</v>
      </c>
      <c r="F39">
        <v>102</v>
      </c>
      <c r="G39">
        <v>15</v>
      </c>
      <c r="H39">
        <v>0</v>
      </c>
      <c r="I39">
        <v>0</v>
      </c>
      <c r="J39">
        <v>121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117</v>
      </c>
      <c r="S39">
        <v>0</v>
      </c>
      <c r="T39">
        <v>0</v>
      </c>
      <c r="U39">
        <v>0</v>
      </c>
      <c r="V39" t="s">
        <v>36</v>
      </c>
      <c r="W39">
        <v>102</v>
      </c>
      <c r="X39">
        <v>15</v>
      </c>
      <c r="Y39">
        <v>0</v>
      </c>
      <c r="Z39">
        <v>0</v>
      </c>
      <c r="AA39">
        <v>102</v>
      </c>
      <c r="AB39">
        <v>15</v>
      </c>
      <c r="AC39">
        <v>0</v>
      </c>
      <c r="AD39">
        <v>0</v>
      </c>
      <c r="AE39">
        <v>121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117</v>
      </c>
      <c r="AN39">
        <v>0</v>
      </c>
      <c r="AO39">
        <v>0</v>
      </c>
      <c r="AP39">
        <v>0</v>
      </c>
      <c r="AQ39" t="s">
        <v>36</v>
      </c>
      <c r="AR39">
        <v>102</v>
      </c>
      <c r="AS39">
        <v>15</v>
      </c>
      <c r="AT39">
        <v>0</v>
      </c>
      <c r="AU39">
        <v>0</v>
      </c>
      <c r="AV39">
        <v>102</v>
      </c>
      <c r="AW39">
        <v>15</v>
      </c>
      <c r="AX39">
        <v>0</v>
      </c>
      <c r="AY39">
        <v>0</v>
      </c>
      <c r="AZ39">
        <v>121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117</v>
      </c>
      <c r="BI39">
        <v>0</v>
      </c>
      <c r="BJ39">
        <v>0</v>
      </c>
      <c r="BK39">
        <v>0</v>
      </c>
    </row>
    <row r="40" spans="1:63">
      <c r="A40" t="s">
        <v>100</v>
      </c>
      <c r="B40">
        <v>142</v>
      </c>
      <c r="C40">
        <v>32</v>
      </c>
      <c r="D40">
        <v>0</v>
      </c>
      <c r="E40">
        <v>0</v>
      </c>
      <c r="F40">
        <v>142</v>
      </c>
      <c r="G40">
        <v>32</v>
      </c>
      <c r="H40">
        <v>0</v>
      </c>
      <c r="I40">
        <v>0</v>
      </c>
      <c r="J40">
        <v>148</v>
      </c>
      <c r="K40">
        <v>26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172</v>
      </c>
      <c r="S40">
        <v>2</v>
      </c>
      <c r="T40">
        <v>0</v>
      </c>
      <c r="U40">
        <v>0</v>
      </c>
      <c r="V40" t="s">
        <v>100</v>
      </c>
      <c r="W40">
        <v>142</v>
      </c>
      <c r="X40">
        <v>32</v>
      </c>
      <c r="Y40">
        <v>0</v>
      </c>
      <c r="Z40">
        <v>0</v>
      </c>
      <c r="AA40">
        <v>142</v>
      </c>
      <c r="AB40">
        <v>32</v>
      </c>
      <c r="AC40">
        <v>0</v>
      </c>
      <c r="AD40">
        <v>0</v>
      </c>
      <c r="AE40">
        <v>148</v>
      </c>
      <c r="AF40">
        <v>26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172</v>
      </c>
      <c r="AN40">
        <v>2</v>
      </c>
      <c r="AO40">
        <v>0</v>
      </c>
      <c r="AP40">
        <v>0</v>
      </c>
      <c r="AQ40" t="s">
        <v>100</v>
      </c>
      <c r="AR40">
        <v>142</v>
      </c>
      <c r="AS40">
        <v>32</v>
      </c>
      <c r="AT40">
        <v>0</v>
      </c>
      <c r="AU40">
        <v>0</v>
      </c>
      <c r="AV40">
        <v>142</v>
      </c>
      <c r="AW40">
        <v>32</v>
      </c>
      <c r="AX40">
        <v>0</v>
      </c>
      <c r="AY40">
        <v>0</v>
      </c>
      <c r="AZ40">
        <v>174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174</v>
      </c>
      <c r="BI40">
        <v>0</v>
      </c>
      <c r="BJ40">
        <v>0</v>
      </c>
      <c r="BK40">
        <v>0</v>
      </c>
    </row>
    <row r="41" spans="1:63">
      <c r="A41" t="s">
        <v>66</v>
      </c>
      <c r="B41">
        <v>128</v>
      </c>
      <c r="C41">
        <v>15</v>
      </c>
      <c r="D41">
        <v>0</v>
      </c>
      <c r="E41">
        <v>0</v>
      </c>
      <c r="F41">
        <v>128</v>
      </c>
      <c r="G41">
        <v>15</v>
      </c>
      <c r="H41">
        <v>0</v>
      </c>
      <c r="I41">
        <v>0</v>
      </c>
      <c r="J41">
        <v>147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142</v>
      </c>
      <c r="S41">
        <v>1</v>
      </c>
      <c r="T41">
        <v>0</v>
      </c>
      <c r="U41">
        <v>0</v>
      </c>
      <c r="V41" t="s">
        <v>66</v>
      </c>
      <c r="W41">
        <v>128</v>
      </c>
      <c r="X41">
        <v>15</v>
      </c>
      <c r="Y41">
        <v>0</v>
      </c>
      <c r="Z41">
        <v>0</v>
      </c>
      <c r="AA41">
        <v>128</v>
      </c>
      <c r="AB41">
        <v>15</v>
      </c>
      <c r="AC41">
        <v>0</v>
      </c>
      <c r="AD41">
        <v>0</v>
      </c>
      <c r="AE41">
        <v>147</v>
      </c>
      <c r="AF41">
        <v>1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142</v>
      </c>
      <c r="AN41">
        <v>1</v>
      </c>
      <c r="AO41">
        <v>0</v>
      </c>
      <c r="AP41">
        <v>0</v>
      </c>
      <c r="AQ41" t="s">
        <v>66</v>
      </c>
      <c r="AR41">
        <v>128</v>
      </c>
      <c r="AS41">
        <v>15</v>
      </c>
      <c r="AT41">
        <v>0</v>
      </c>
      <c r="AU41">
        <v>0</v>
      </c>
      <c r="AV41">
        <v>128</v>
      </c>
      <c r="AW41">
        <v>15</v>
      </c>
      <c r="AX41">
        <v>0</v>
      </c>
      <c r="AY41">
        <v>0</v>
      </c>
      <c r="AZ41">
        <v>148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143</v>
      </c>
      <c r="BI41">
        <v>0</v>
      </c>
      <c r="BJ41">
        <v>0</v>
      </c>
      <c r="BK41">
        <v>0</v>
      </c>
    </row>
    <row r="42" spans="1:63">
      <c r="A42" t="s">
        <v>60</v>
      </c>
      <c r="B42">
        <v>116</v>
      </c>
      <c r="C42">
        <v>13</v>
      </c>
      <c r="D42">
        <v>0</v>
      </c>
      <c r="E42">
        <v>0</v>
      </c>
      <c r="F42">
        <v>116</v>
      </c>
      <c r="G42">
        <v>13</v>
      </c>
      <c r="H42">
        <v>0</v>
      </c>
      <c r="I42">
        <v>0</v>
      </c>
      <c r="J42">
        <v>129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129</v>
      </c>
      <c r="S42">
        <v>0</v>
      </c>
      <c r="T42">
        <v>0</v>
      </c>
      <c r="U42">
        <v>0</v>
      </c>
      <c r="V42" t="s">
        <v>60</v>
      </c>
      <c r="W42">
        <v>116</v>
      </c>
      <c r="X42">
        <v>13</v>
      </c>
      <c r="Y42">
        <v>0</v>
      </c>
      <c r="Z42">
        <v>0</v>
      </c>
      <c r="AA42">
        <v>116</v>
      </c>
      <c r="AB42">
        <v>13</v>
      </c>
      <c r="AC42">
        <v>0</v>
      </c>
      <c r="AD42">
        <v>0</v>
      </c>
      <c r="AE42">
        <v>129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129</v>
      </c>
      <c r="AN42">
        <v>0</v>
      </c>
      <c r="AO42">
        <v>0</v>
      </c>
      <c r="AP42">
        <v>0</v>
      </c>
      <c r="AQ42" t="s">
        <v>60</v>
      </c>
      <c r="AR42">
        <v>116</v>
      </c>
      <c r="AS42">
        <v>13</v>
      </c>
      <c r="AT42">
        <v>0</v>
      </c>
      <c r="AU42">
        <v>0</v>
      </c>
      <c r="AV42">
        <v>116</v>
      </c>
      <c r="AW42">
        <v>13</v>
      </c>
      <c r="AX42">
        <v>0</v>
      </c>
      <c r="AY42">
        <v>0</v>
      </c>
      <c r="AZ42">
        <v>129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129</v>
      </c>
      <c r="BI42">
        <v>0</v>
      </c>
      <c r="BJ42">
        <v>0</v>
      </c>
      <c r="BK42">
        <v>0</v>
      </c>
    </row>
    <row r="43" spans="1:63">
      <c r="A43" t="s">
        <v>12</v>
      </c>
      <c r="B43">
        <v>43</v>
      </c>
      <c r="C43">
        <v>0</v>
      </c>
      <c r="D43">
        <v>0</v>
      </c>
      <c r="E43">
        <v>0</v>
      </c>
      <c r="F43">
        <v>43</v>
      </c>
      <c r="G43">
        <v>0</v>
      </c>
      <c r="H43">
        <v>0</v>
      </c>
      <c r="I43">
        <v>0</v>
      </c>
      <c r="J43">
        <v>43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43</v>
      </c>
      <c r="S43">
        <v>0</v>
      </c>
      <c r="T43">
        <v>0</v>
      </c>
      <c r="U43">
        <v>0</v>
      </c>
      <c r="V43" t="s">
        <v>12</v>
      </c>
      <c r="W43">
        <v>43</v>
      </c>
      <c r="X43">
        <v>0</v>
      </c>
      <c r="Y43">
        <v>0</v>
      </c>
      <c r="Z43">
        <v>0</v>
      </c>
      <c r="AA43">
        <v>43</v>
      </c>
      <c r="AB43">
        <v>0</v>
      </c>
      <c r="AC43">
        <v>0</v>
      </c>
      <c r="AD43">
        <v>0</v>
      </c>
      <c r="AE43">
        <v>43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43</v>
      </c>
      <c r="AN43">
        <v>0</v>
      </c>
      <c r="AO43">
        <v>0</v>
      </c>
      <c r="AP43">
        <v>0</v>
      </c>
      <c r="AQ43" t="s">
        <v>12</v>
      </c>
      <c r="AR43">
        <v>43</v>
      </c>
      <c r="AS43">
        <v>0</v>
      </c>
      <c r="AT43">
        <v>0</v>
      </c>
      <c r="AU43">
        <v>0</v>
      </c>
      <c r="AV43">
        <v>43</v>
      </c>
      <c r="AW43">
        <v>0</v>
      </c>
      <c r="AX43">
        <v>0</v>
      </c>
      <c r="AY43">
        <v>0</v>
      </c>
      <c r="AZ43">
        <v>43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43</v>
      </c>
      <c r="BI43">
        <v>0</v>
      </c>
      <c r="BJ43">
        <v>0</v>
      </c>
      <c r="BK43">
        <v>0</v>
      </c>
    </row>
    <row r="44" spans="1:63">
      <c r="A44" t="s">
        <v>21</v>
      </c>
      <c r="B44">
        <v>137</v>
      </c>
      <c r="C44">
        <v>2</v>
      </c>
      <c r="D44">
        <v>0</v>
      </c>
      <c r="E44">
        <v>0</v>
      </c>
      <c r="F44">
        <v>137</v>
      </c>
      <c r="G44">
        <v>2</v>
      </c>
      <c r="H44">
        <v>0</v>
      </c>
      <c r="I44">
        <v>0</v>
      </c>
      <c r="J44">
        <v>139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139</v>
      </c>
      <c r="S44">
        <v>0</v>
      </c>
      <c r="T44">
        <v>0</v>
      </c>
      <c r="U44">
        <v>0</v>
      </c>
      <c r="V44" t="s">
        <v>21</v>
      </c>
      <c r="W44">
        <v>137</v>
      </c>
      <c r="X44">
        <v>2</v>
      </c>
      <c r="Y44">
        <v>0</v>
      </c>
      <c r="Z44">
        <v>0</v>
      </c>
      <c r="AA44">
        <v>137</v>
      </c>
      <c r="AB44">
        <v>2</v>
      </c>
      <c r="AC44">
        <v>0</v>
      </c>
      <c r="AD44">
        <v>0</v>
      </c>
      <c r="AE44">
        <v>139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139</v>
      </c>
      <c r="AN44">
        <v>0</v>
      </c>
      <c r="AO44">
        <v>0</v>
      </c>
      <c r="AP44">
        <v>0</v>
      </c>
      <c r="AQ44" t="s">
        <v>21</v>
      </c>
      <c r="AR44">
        <v>137</v>
      </c>
      <c r="AS44">
        <v>2</v>
      </c>
      <c r="AT44">
        <v>0</v>
      </c>
      <c r="AU44">
        <v>0</v>
      </c>
      <c r="AV44">
        <v>137</v>
      </c>
      <c r="AW44">
        <v>2</v>
      </c>
      <c r="AX44">
        <v>0</v>
      </c>
      <c r="AY44">
        <v>0</v>
      </c>
      <c r="AZ44">
        <v>139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139</v>
      </c>
      <c r="BI44">
        <v>0</v>
      </c>
      <c r="BJ44">
        <v>0</v>
      </c>
      <c r="BK44">
        <v>0</v>
      </c>
    </row>
    <row r="45" spans="1:63">
      <c r="A45" t="s">
        <v>44</v>
      </c>
      <c r="B45">
        <v>50</v>
      </c>
      <c r="C45">
        <v>12</v>
      </c>
      <c r="D45">
        <v>0</v>
      </c>
      <c r="E45">
        <v>0</v>
      </c>
      <c r="F45">
        <v>50</v>
      </c>
      <c r="G45">
        <v>12</v>
      </c>
      <c r="H45">
        <v>0</v>
      </c>
      <c r="I45">
        <v>0</v>
      </c>
      <c r="J45">
        <v>62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62</v>
      </c>
      <c r="S45">
        <v>0</v>
      </c>
      <c r="T45">
        <v>0</v>
      </c>
      <c r="U45">
        <v>0</v>
      </c>
      <c r="V45" t="s">
        <v>44</v>
      </c>
      <c r="W45">
        <v>50</v>
      </c>
      <c r="X45">
        <v>12</v>
      </c>
      <c r="Y45">
        <v>0</v>
      </c>
      <c r="Z45">
        <v>0</v>
      </c>
      <c r="AA45">
        <v>50</v>
      </c>
      <c r="AB45">
        <v>12</v>
      </c>
      <c r="AC45">
        <v>0</v>
      </c>
      <c r="AD45">
        <v>0</v>
      </c>
      <c r="AE45">
        <v>62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62</v>
      </c>
      <c r="AN45">
        <v>0</v>
      </c>
      <c r="AO45">
        <v>0</v>
      </c>
      <c r="AP45">
        <v>0</v>
      </c>
      <c r="AQ45" t="s">
        <v>44</v>
      </c>
      <c r="AR45">
        <v>50</v>
      </c>
      <c r="AS45">
        <v>12</v>
      </c>
      <c r="AT45">
        <v>0</v>
      </c>
      <c r="AU45">
        <v>0</v>
      </c>
      <c r="AV45">
        <v>50</v>
      </c>
      <c r="AW45">
        <v>12</v>
      </c>
      <c r="AX45">
        <v>0</v>
      </c>
      <c r="AY45">
        <v>0</v>
      </c>
      <c r="AZ45">
        <v>62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62</v>
      </c>
      <c r="BI45">
        <v>0</v>
      </c>
      <c r="BJ45">
        <v>0</v>
      </c>
      <c r="BK45">
        <v>0</v>
      </c>
    </row>
    <row r="46" spans="1:63">
      <c r="A46" t="s">
        <v>5</v>
      </c>
      <c r="B46">
        <v>30</v>
      </c>
      <c r="C46">
        <v>0</v>
      </c>
      <c r="D46">
        <v>0</v>
      </c>
      <c r="E46">
        <v>0</v>
      </c>
      <c r="F46">
        <v>30</v>
      </c>
      <c r="G46">
        <v>0</v>
      </c>
      <c r="H46">
        <v>0</v>
      </c>
      <c r="I46">
        <v>0</v>
      </c>
      <c r="J46">
        <v>30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30</v>
      </c>
      <c r="S46">
        <v>0</v>
      </c>
      <c r="T46">
        <v>0</v>
      </c>
      <c r="U46">
        <v>0</v>
      </c>
      <c r="V46" t="s">
        <v>5</v>
      </c>
      <c r="W46">
        <v>30</v>
      </c>
      <c r="X46">
        <v>0</v>
      </c>
      <c r="Y46">
        <v>0</v>
      </c>
      <c r="Z46">
        <v>0</v>
      </c>
      <c r="AA46">
        <v>30</v>
      </c>
      <c r="AB46">
        <v>0</v>
      </c>
      <c r="AC46">
        <v>0</v>
      </c>
      <c r="AD46">
        <v>0</v>
      </c>
      <c r="AE46">
        <v>30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30</v>
      </c>
      <c r="AN46">
        <v>0</v>
      </c>
      <c r="AO46">
        <v>0</v>
      </c>
      <c r="AP46">
        <v>0</v>
      </c>
      <c r="AQ46" t="s">
        <v>5</v>
      </c>
      <c r="AR46">
        <v>30</v>
      </c>
      <c r="AS46">
        <v>0</v>
      </c>
      <c r="AT46">
        <v>0</v>
      </c>
      <c r="AU46">
        <v>0</v>
      </c>
      <c r="AV46">
        <v>30</v>
      </c>
      <c r="AW46">
        <v>0</v>
      </c>
      <c r="AX46">
        <v>0</v>
      </c>
      <c r="AY46">
        <v>0</v>
      </c>
      <c r="AZ46">
        <v>30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30</v>
      </c>
      <c r="BI46">
        <v>0</v>
      </c>
      <c r="BJ46">
        <v>0</v>
      </c>
      <c r="BK46">
        <v>0</v>
      </c>
    </row>
    <row r="47" spans="1:63">
      <c r="A47" t="s">
        <v>62</v>
      </c>
      <c r="B47">
        <v>71</v>
      </c>
      <c r="C47">
        <v>15</v>
      </c>
      <c r="D47">
        <v>0</v>
      </c>
      <c r="E47">
        <v>0</v>
      </c>
      <c r="F47">
        <v>71</v>
      </c>
      <c r="G47">
        <v>15</v>
      </c>
      <c r="H47">
        <v>0</v>
      </c>
      <c r="I47">
        <v>0</v>
      </c>
      <c r="J47">
        <v>86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80</v>
      </c>
      <c r="S47">
        <v>6</v>
      </c>
      <c r="T47">
        <v>0</v>
      </c>
      <c r="U47">
        <v>0</v>
      </c>
      <c r="V47" t="s">
        <v>62</v>
      </c>
      <c r="W47">
        <v>71</v>
      </c>
      <c r="X47">
        <v>15</v>
      </c>
      <c r="Y47">
        <v>0</v>
      </c>
      <c r="Z47">
        <v>0</v>
      </c>
      <c r="AA47">
        <v>71</v>
      </c>
      <c r="AB47">
        <v>15</v>
      </c>
      <c r="AC47">
        <v>0</v>
      </c>
      <c r="AD47">
        <v>0</v>
      </c>
      <c r="AE47">
        <v>86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80</v>
      </c>
      <c r="AN47">
        <v>6</v>
      </c>
      <c r="AO47">
        <v>0</v>
      </c>
      <c r="AP47">
        <v>0</v>
      </c>
      <c r="AQ47" t="s">
        <v>62</v>
      </c>
      <c r="AR47">
        <v>71</v>
      </c>
      <c r="AS47">
        <v>15</v>
      </c>
      <c r="AT47">
        <v>0</v>
      </c>
      <c r="AU47">
        <v>0</v>
      </c>
      <c r="AV47">
        <v>71</v>
      </c>
      <c r="AW47">
        <v>15</v>
      </c>
      <c r="AX47">
        <v>0</v>
      </c>
      <c r="AY47">
        <v>0</v>
      </c>
      <c r="AZ47">
        <v>86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86</v>
      </c>
      <c r="BI47">
        <v>0</v>
      </c>
      <c r="BJ47">
        <v>0</v>
      </c>
      <c r="BK47">
        <v>0</v>
      </c>
    </row>
    <row r="48" spans="1:63">
      <c r="A48" t="s">
        <v>6</v>
      </c>
      <c r="B48">
        <v>47</v>
      </c>
      <c r="C48">
        <v>9</v>
      </c>
      <c r="D48">
        <v>0</v>
      </c>
      <c r="E48">
        <v>0</v>
      </c>
      <c r="F48">
        <v>47</v>
      </c>
      <c r="G48">
        <v>9</v>
      </c>
      <c r="H48">
        <v>0</v>
      </c>
      <c r="I48">
        <v>0</v>
      </c>
      <c r="J48">
        <v>56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50</v>
      </c>
      <c r="S48">
        <v>6</v>
      </c>
      <c r="T48">
        <v>0</v>
      </c>
      <c r="U48">
        <v>0</v>
      </c>
      <c r="V48" t="s">
        <v>6</v>
      </c>
      <c r="W48">
        <v>47</v>
      </c>
      <c r="X48">
        <v>9</v>
      </c>
      <c r="Y48">
        <v>0</v>
      </c>
      <c r="Z48">
        <v>0</v>
      </c>
      <c r="AA48">
        <v>47</v>
      </c>
      <c r="AB48">
        <v>9</v>
      </c>
      <c r="AC48">
        <v>0</v>
      </c>
      <c r="AD48">
        <v>0</v>
      </c>
      <c r="AE48">
        <v>56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50</v>
      </c>
      <c r="AN48">
        <v>6</v>
      </c>
      <c r="AO48">
        <v>0</v>
      </c>
      <c r="AP48">
        <v>0</v>
      </c>
      <c r="AQ48" t="s">
        <v>6</v>
      </c>
      <c r="AR48">
        <v>47</v>
      </c>
      <c r="AS48">
        <v>9</v>
      </c>
      <c r="AT48">
        <v>0</v>
      </c>
      <c r="AU48">
        <v>0</v>
      </c>
      <c r="AV48">
        <v>47</v>
      </c>
      <c r="AW48">
        <v>9</v>
      </c>
      <c r="AX48">
        <v>0</v>
      </c>
      <c r="AY48">
        <v>0</v>
      </c>
      <c r="AZ48">
        <v>56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56</v>
      </c>
      <c r="BI48">
        <v>0</v>
      </c>
      <c r="BJ48">
        <v>0</v>
      </c>
      <c r="BK48">
        <v>0</v>
      </c>
    </row>
    <row r="49" spans="1:63">
      <c r="A49" t="s">
        <v>82</v>
      </c>
      <c r="B49">
        <v>2</v>
      </c>
      <c r="C49">
        <v>0</v>
      </c>
      <c r="D49">
        <v>0</v>
      </c>
      <c r="E49">
        <v>0</v>
      </c>
      <c r="F49">
        <v>2</v>
      </c>
      <c r="G49">
        <v>0</v>
      </c>
      <c r="H49">
        <v>0</v>
      </c>
      <c r="I49">
        <v>0</v>
      </c>
      <c r="J49">
        <v>2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2</v>
      </c>
      <c r="S49">
        <v>0</v>
      </c>
      <c r="T49">
        <v>0</v>
      </c>
      <c r="U49">
        <v>0</v>
      </c>
      <c r="V49" t="s">
        <v>82</v>
      </c>
      <c r="W49">
        <v>2</v>
      </c>
      <c r="X49">
        <v>0</v>
      </c>
      <c r="Y49">
        <v>0</v>
      </c>
      <c r="Z49">
        <v>0</v>
      </c>
      <c r="AA49">
        <v>2</v>
      </c>
      <c r="AB49">
        <v>0</v>
      </c>
      <c r="AC49">
        <v>0</v>
      </c>
      <c r="AD49">
        <v>0</v>
      </c>
      <c r="AE49">
        <v>2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2</v>
      </c>
      <c r="AN49">
        <v>0</v>
      </c>
      <c r="AO49">
        <v>0</v>
      </c>
      <c r="AP49">
        <v>0</v>
      </c>
      <c r="AQ49" t="s">
        <v>82</v>
      </c>
      <c r="AR49">
        <v>2</v>
      </c>
      <c r="AS49">
        <v>0</v>
      </c>
      <c r="AT49">
        <v>0</v>
      </c>
      <c r="AU49">
        <v>0</v>
      </c>
      <c r="AV49">
        <v>2</v>
      </c>
      <c r="AW49">
        <v>0</v>
      </c>
      <c r="AX49">
        <v>0</v>
      </c>
      <c r="AY49">
        <v>0</v>
      </c>
      <c r="AZ49">
        <v>2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2</v>
      </c>
      <c r="BI49">
        <v>0</v>
      </c>
      <c r="BJ49">
        <v>0</v>
      </c>
      <c r="BK49">
        <v>0</v>
      </c>
    </row>
    <row r="50" spans="1:63">
      <c r="A50" t="s">
        <v>92</v>
      </c>
      <c r="B50">
        <v>1</v>
      </c>
      <c r="C50">
        <v>0</v>
      </c>
      <c r="D50">
        <v>0</v>
      </c>
      <c r="E50">
        <v>0</v>
      </c>
      <c r="F50">
        <v>1</v>
      </c>
      <c r="G50">
        <v>0</v>
      </c>
      <c r="H50">
        <v>0</v>
      </c>
      <c r="I50">
        <v>0</v>
      </c>
      <c r="J50">
        <v>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1</v>
      </c>
      <c r="S50">
        <v>0</v>
      </c>
      <c r="T50">
        <v>0</v>
      </c>
      <c r="U50">
        <v>0</v>
      </c>
      <c r="V50" t="s">
        <v>92</v>
      </c>
      <c r="W50">
        <v>1</v>
      </c>
      <c r="X50">
        <v>0</v>
      </c>
      <c r="Y50">
        <v>0</v>
      </c>
      <c r="Z50">
        <v>0</v>
      </c>
      <c r="AA50">
        <v>1</v>
      </c>
      <c r="AB50">
        <v>0</v>
      </c>
      <c r="AC50">
        <v>0</v>
      </c>
      <c r="AD50">
        <v>0</v>
      </c>
      <c r="AE50">
        <v>1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1</v>
      </c>
      <c r="AN50">
        <v>0</v>
      </c>
      <c r="AO50">
        <v>0</v>
      </c>
      <c r="AP50">
        <v>0</v>
      </c>
      <c r="AQ50" t="s">
        <v>92</v>
      </c>
      <c r="AR50">
        <v>1</v>
      </c>
      <c r="AS50">
        <v>0</v>
      </c>
      <c r="AT50">
        <v>0</v>
      </c>
      <c r="AU50">
        <v>0</v>
      </c>
      <c r="AV50">
        <v>1</v>
      </c>
      <c r="AW50">
        <v>0</v>
      </c>
      <c r="AX50">
        <v>0</v>
      </c>
      <c r="AY50">
        <v>0</v>
      </c>
      <c r="AZ50">
        <v>1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1</v>
      </c>
      <c r="BI50">
        <v>0</v>
      </c>
      <c r="BJ50">
        <v>0</v>
      </c>
      <c r="BK50">
        <v>0</v>
      </c>
    </row>
    <row r="51" spans="1:63">
      <c r="A51" t="s">
        <v>53</v>
      </c>
      <c r="B51">
        <v>60</v>
      </c>
      <c r="C51">
        <v>2</v>
      </c>
      <c r="D51">
        <v>0</v>
      </c>
      <c r="E51">
        <v>0</v>
      </c>
      <c r="F51">
        <v>60</v>
      </c>
      <c r="G51">
        <v>2</v>
      </c>
      <c r="H51">
        <v>0</v>
      </c>
      <c r="I51">
        <v>0</v>
      </c>
      <c r="J51">
        <v>60</v>
      </c>
      <c r="K51">
        <v>2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60</v>
      </c>
      <c r="S51">
        <v>2</v>
      </c>
      <c r="T51">
        <v>0</v>
      </c>
      <c r="U51">
        <v>0</v>
      </c>
      <c r="V51" t="s">
        <v>53</v>
      </c>
      <c r="W51">
        <v>60</v>
      </c>
      <c r="X51">
        <v>2</v>
      </c>
      <c r="Y51">
        <v>0</v>
      </c>
      <c r="Z51">
        <v>0</v>
      </c>
      <c r="AA51">
        <v>60</v>
      </c>
      <c r="AB51">
        <v>2</v>
      </c>
      <c r="AC51">
        <v>0</v>
      </c>
      <c r="AD51">
        <v>0</v>
      </c>
      <c r="AE51">
        <v>60</v>
      </c>
      <c r="AF51">
        <v>2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60</v>
      </c>
      <c r="AN51">
        <v>2</v>
      </c>
      <c r="AO51">
        <v>0</v>
      </c>
      <c r="AP51">
        <v>0</v>
      </c>
      <c r="AQ51" t="s">
        <v>53</v>
      </c>
      <c r="AR51">
        <v>60</v>
      </c>
      <c r="AS51">
        <v>2</v>
      </c>
      <c r="AT51">
        <v>0</v>
      </c>
      <c r="AU51">
        <v>0</v>
      </c>
      <c r="AV51">
        <v>60</v>
      </c>
      <c r="AW51">
        <v>2</v>
      </c>
      <c r="AX51">
        <v>0</v>
      </c>
      <c r="AY51">
        <v>0</v>
      </c>
      <c r="AZ51">
        <v>62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62</v>
      </c>
      <c r="BI51">
        <v>0</v>
      </c>
      <c r="BJ51">
        <v>0</v>
      </c>
      <c r="BK51">
        <v>0</v>
      </c>
    </row>
    <row r="52" spans="1:63">
      <c r="A52" t="s">
        <v>11</v>
      </c>
      <c r="B52">
        <v>7</v>
      </c>
      <c r="C52">
        <v>0</v>
      </c>
      <c r="D52">
        <v>0</v>
      </c>
      <c r="E52">
        <v>0</v>
      </c>
      <c r="F52">
        <v>7</v>
      </c>
      <c r="G52">
        <v>0</v>
      </c>
      <c r="H52">
        <v>0</v>
      </c>
      <c r="I52">
        <v>0</v>
      </c>
      <c r="J52">
        <v>6</v>
      </c>
      <c r="K52">
        <v>1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6</v>
      </c>
      <c r="S52">
        <v>1</v>
      </c>
      <c r="T52">
        <v>0</v>
      </c>
      <c r="U52">
        <v>0</v>
      </c>
      <c r="V52" t="s">
        <v>11</v>
      </c>
      <c r="W52">
        <v>7</v>
      </c>
      <c r="X52">
        <v>0</v>
      </c>
      <c r="Y52">
        <v>0</v>
      </c>
      <c r="Z52">
        <v>0</v>
      </c>
      <c r="AA52">
        <v>7</v>
      </c>
      <c r="AB52">
        <v>0</v>
      </c>
      <c r="AC52">
        <v>0</v>
      </c>
      <c r="AD52">
        <v>0</v>
      </c>
      <c r="AE52">
        <v>6</v>
      </c>
      <c r="AF52">
        <v>1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6</v>
      </c>
      <c r="AN52">
        <v>1</v>
      </c>
      <c r="AO52">
        <v>0</v>
      </c>
      <c r="AP52">
        <v>0</v>
      </c>
      <c r="AQ52" t="s">
        <v>11</v>
      </c>
      <c r="AR52">
        <v>7</v>
      </c>
      <c r="AS52">
        <v>0</v>
      </c>
      <c r="AT52">
        <v>0</v>
      </c>
      <c r="AU52">
        <v>0</v>
      </c>
      <c r="AV52">
        <v>7</v>
      </c>
      <c r="AW52">
        <v>0</v>
      </c>
      <c r="AX52">
        <v>0</v>
      </c>
      <c r="AY52">
        <v>0</v>
      </c>
      <c r="AZ52">
        <v>7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7</v>
      </c>
      <c r="BI52">
        <v>0</v>
      </c>
      <c r="BJ52">
        <v>0</v>
      </c>
      <c r="BK52">
        <v>0</v>
      </c>
    </row>
    <row r="53" spans="1:63">
      <c r="A53" t="s">
        <v>84</v>
      </c>
      <c r="B53">
        <v>36</v>
      </c>
      <c r="C53">
        <v>10</v>
      </c>
      <c r="D53">
        <v>0</v>
      </c>
      <c r="E53">
        <v>0</v>
      </c>
      <c r="F53">
        <v>36</v>
      </c>
      <c r="G53">
        <v>10</v>
      </c>
      <c r="H53">
        <v>0</v>
      </c>
      <c r="I53">
        <v>0</v>
      </c>
      <c r="J53">
        <v>46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40</v>
      </c>
      <c r="S53">
        <v>6</v>
      </c>
      <c r="T53">
        <v>0</v>
      </c>
      <c r="U53">
        <v>0</v>
      </c>
      <c r="V53" t="s">
        <v>84</v>
      </c>
      <c r="W53">
        <v>36</v>
      </c>
      <c r="X53">
        <v>10</v>
      </c>
      <c r="Y53">
        <v>0</v>
      </c>
      <c r="Z53">
        <v>0</v>
      </c>
      <c r="AA53">
        <v>36</v>
      </c>
      <c r="AB53">
        <v>10</v>
      </c>
      <c r="AC53">
        <v>0</v>
      </c>
      <c r="AD53">
        <v>0</v>
      </c>
      <c r="AE53">
        <v>46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40</v>
      </c>
      <c r="AN53">
        <v>6</v>
      </c>
      <c r="AO53">
        <v>0</v>
      </c>
      <c r="AP53">
        <v>0</v>
      </c>
      <c r="AQ53" t="s">
        <v>84</v>
      </c>
      <c r="AR53">
        <v>36</v>
      </c>
      <c r="AS53">
        <v>10</v>
      </c>
      <c r="AT53">
        <v>0</v>
      </c>
      <c r="AU53">
        <v>0</v>
      </c>
      <c r="AV53">
        <v>36</v>
      </c>
      <c r="AW53">
        <v>10</v>
      </c>
      <c r="AX53">
        <v>0</v>
      </c>
      <c r="AY53">
        <v>0</v>
      </c>
      <c r="AZ53">
        <v>46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46</v>
      </c>
      <c r="BI53">
        <v>0</v>
      </c>
      <c r="BJ53">
        <v>0</v>
      </c>
      <c r="BK53">
        <v>0</v>
      </c>
    </row>
    <row r="54" spans="1:63">
      <c r="A54" t="s">
        <v>50</v>
      </c>
      <c r="B54">
        <v>26</v>
      </c>
      <c r="C54">
        <v>0</v>
      </c>
      <c r="D54">
        <v>0</v>
      </c>
      <c r="E54">
        <v>0</v>
      </c>
      <c r="F54">
        <v>26</v>
      </c>
      <c r="G54">
        <v>0</v>
      </c>
      <c r="H54">
        <v>0</v>
      </c>
      <c r="I54">
        <v>0</v>
      </c>
      <c r="J54">
        <v>26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26</v>
      </c>
      <c r="S54">
        <v>0</v>
      </c>
      <c r="T54">
        <v>0</v>
      </c>
      <c r="U54">
        <v>0</v>
      </c>
      <c r="V54" t="s">
        <v>50</v>
      </c>
      <c r="W54">
        <v>26</v>
      </c>
      <c r="X54">
        <v>0</v>
      </c>
      <c r="Y54">
        <v>0</v>
      </c>
      <c r="Z54">
        <v>0</v>
      </c>
      <c r="AA54">
        <v>26</v>
      </c>
      <c r="AB54">
        <v>0</v>
      </c>
      <c r="AC54">
        <v>0</v>
      </c>
      <c r="AD54">
        <v>0</v>
      </c>
      <c r="AE54">
        <v>26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26</v>
      </c>
      <c r="AN54">
        <v>0</v>
      </c>
      <c r="AO54">
        <v>0</v>
      </c>
      <c r="AP54">
        <v>0</v>
      </c>
      <c r="AQ54" t="s">
        <v>50</v>
      </c>
      <c r="AR54">
        <v>26</v>
      </c>
      <c r="AS54">
        <v>0</v>
      </c>
      <c r="AT54">
        <v>0</v>
      </c>
      <c r="AU54">
        <v>0</v>
      </c>
      <c r="AV54">
        <v>26</v>
      </c>
      <c r="AW54">
        <v>0</v>
      </c>
      <c r="AX54">
        <v>0</v>
      </c>
      <c r="AY54">
        <v>0</v>
      </c>
      <c r="AZ54">
        <v>26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26</v>
      </c>
      <c r="BI54">
        <v>0</v>
      </c>
      <c r="BJ54">
        <v>0</v>
      </c>
      <c r="BK54">
        <v>0</v>
      </c>
    </row>
    <row r="55" spans="1:63">
      <c r="A55" t="s">
        <v>47</v>
      </c>
      <c r="B55">
        <v>53</v>
      </c>
      <c r="C55">
        <v>0</v>
      </c>
      <c r="D55">
        <v>0</v>
      </c>
      <c r="E55">
        <v>0</v>
      </c>
      <c r="F55">
        <v>53</v>
      </c>
      <c r="G55">
        <v>0</v>
      </c>
      <c r="H55">
        <v>0</v>
      </c>
      <c r="I55">
        <v>0</v>
      </c>
      <c r="J55">
        <v>50</v>
      </c>
      <c r="K55">
        <v>3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50</v>
      </c>
      <c r="S55">
        <v>3</v>
      </c>
      <c r="T55">
        <v>0</v>
      </c>
      <c r="U55">
        <v>0</v>
      </c>
      <c r="V55" t="s">
        <v>47</v>
      </c>
      <c r="W55">
        <v>53</v>
      </c>
      <c r="X55">
        <v>0</v>
      </c>
      <c r="Y55">
        <v>0</v>
      </c>
      <c r="Z55">
        <v>0</v>
      </c>
      <c r="AA55">
        <v>53</v>
      </c>
      <c r="AB55">
        <v>0</v>
      </c>
      <c r="AC55">
        <v>0</v>
      </c>
      <c r="AD55">
        <v>0</v>
      </c>
      <c r="AE55">
        <v>50</v>
      </c>
      <c r="AF55">
        <v>3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50</v>
      </c>
      <c r="AN55">
        <v>3</v>
      </c>
      <c r="AO55">
        <v>0</v>
      </c>
      <c r="AP55">
        <v>0</v>
      </c>
      <c r="AQ55" t="s">
        <v>47</v>
      </c>
      <c r="AR55">
        <v>53</v>
      </c>
      <c r="AS55">
        <v>0</v>
      </c>
      <c r="AT55">
        <v>0</v>
      </c>
      <c r="AU55">
        <v>0</v>
      </c>
      <c r="AV55">
        <v>53</v>
      </c>
      <c r="AW55">
        <v>0</v>
      </c>
      <c r="AX55">
        <v>0</v>
      </c>
      <c r="AY55">
        <v>0</v>
      </c>
      <c r="AZ55">
        <v>53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53</v>
      </c>
      <c r="BI55">
        <v>0</v>
      </c>
      <c r="BJ55">
        <v>0</v>
      </c>
      <c r="BK55">
        <v>0</v>
      </c>
    </row>
    <row r="56" spans="1:63">
      <c r="A56" t="s">
        <v>57</v>
      </c>
      <c r="B56">
        <v>8</v>
      </c>
      <c r="C56">
        <v>2</v>
      </c>
      <c r="D56">
        <v>0</v>
      </c>
      <c r="E56">
        <v>0</v>
      </c>
      <c r="F56">
        <v>8</v>
      </c>
      <c r="G56">
        <v>2</v>
      </c>
      <c r="H56">
        <v>0</v>
      </c>
      <c r="I56">
        <v>0</v>
      </c>
      <c r="J56">
        <v>10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10</v>
      </c>
      <c r="S56">
        <v>0</v>
      </c>
      <c r="T56">
        <v>0</v>
      </c>
      <c r="U56">
        <v>0</v>
      </c>
      <c r="V56" t="s">
        <v>57</v>
      </c>
      <c r="W56">
        <v>8</v>
      </c>
      <c r="X56">
        <v>2</v>
      </c>
      <c r="Y56">
        <v>0</v>
      </c>
      <c r="Z56">
        <v>0</v>
      </c>
      <c r="AA56">
        <v>8</v>
      </c>
      <c r="AB56">
        <v>2</v>
      </c>
      <c r="AC56">
        <v>0</v>
      </c>
      <c r="AD56">
        <v>0</v>
      </c>
      <c r="AE56">
        <v>10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10</v>
      </c>
      <c r="AN56">
        <v>0</v>
      </c>
      <c r="AO56">
        <v>0</v>
      </c>
      <c r="AP56">
        <v>0</v>
      </c>
      <c r="AQ56" t="s">
        <v>57</v>
      </c>
      <c r="AR56">
        <v>8</v>
      </c>
      <c r="AS56">
        <v>2</v>
      </c>
      <c r="AT56">
        <v>0</v>
      </c>
      <c r="AU56">
        <v>0</v>
      </c>
      <c r="AV56">
        <v>8</v>
      </c>
      <c r="AW56">
        <v>2</v>
      </c>
      <c r="AX56">
        <v>0</v>
      </c>
      <c r="AY56">
        <v>0</v>
      </c>
      <c r="AZ56">
        <v>10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10</v>
      </c>
      <c r="BI56">
        <v>0</v>
      </c>
      <c r="BJ56">
        <v>0</v>
      </c>
      <c r="BK56">
        <v>0</v>
      </c>
    </row>
    <row r="57" spans="1:63">
      <c r="A57" t="s">
        <v>95</v>
      </c>
      <c r="B57">
        <v>11</v>
      </c>
      <c r="C57">
        <v>1</v>
      </c>
      <c r="D57">
        <v>0</v>
      </c>
      <c r="E57">
        <v>0</v>
      </c>
      <c r="F57">
        <v>11</v>
      </c>
      <c r="G57">
        <v>1</v>
      </c>
      <c r="H57">
        <v>0</v>
      </c>
      <c r="I57">
        <v>0</v>
      </c>
      <c r="J57">
        <v>12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12</v>
      </c>
      <c r="S57">
        <v>0</v>
      </c>
      <c r="T57">
        <v>0</v>
      </c>
      <c r="U57">
        <v>0</v>
      </c>
      <c r="V57" t="s">
        <v>95</v>
      </c>
      <c r="W57">
        <v>11</v>
      </c>
      <c r="X57">
        <v>1</v>
      </c>
      <c r="Y57">
        <v>0</v>
      </c>
      <c r="Z57">
        <v>0</v>
      </c>
      <c r="AA57">
        <v>11</v>
      </c>
      <c r="AB57">
        <v>1</v>
      </c>
      <c r="AC57">
        <v>0</v>
      </c>
      <c r="AD57">
        <v>0</v>
      </c>
      <c r="AE57">
        <v>12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12</v>
      </c>
      <c r="AN57">
        <v>0</v>
      </c>
      <c r="AO57">
        <v>0</v>
      </c>
      <c r="AP57">
        <v>0</v>
      </c>
      <c r="AQ57" t="s">
        <v>95</v>
      </c>
      <c r="AR57">
        <v>11</v>
      </c>
      <c r="AS57">
        <v>1</v>
      </c>
      <c r="AT57">
        <v>0</v>
      </c>
      <c r="AU57">
        <v>0</v>
      </c>
      <c r="AV57">
        <v>11</v>
      </c>
      <c r="AW57">
        <v>1</v>
      </c>
      <c r="AX57">
        <v>0</v>
      </c>
      <c r="AY57">
        <v>0</v>
      </c>
      <c r="AZ57">
        <v>12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12</v>
      </c>
      <c r="BI57">
        <v>0</v>
      </c>
      <c r="BJ57">
        <v>0</v>
      </c>
      <c r="BK57">
        <v>0</v>
      </c>
    </row>
    <row r="58" spans="1:63">
      <c r="A58" t="s">
        <v>41</v>
      </c>
      <c r="B58">
        <v>9</v>
      </c>
      <c r="C58">
        <v>0</v>
      </c>
      <c r="D58">
        <v>0</v>
      </c>
      <c r="E58">
        <v>0</v>
      </c>
      <c r="F58">
        <v>9</v>
      </c>
      <c r="G58">
        <v>0</v>
      </c>
      <c r="H58">
        <v>0</v>
      </c>
      <c r="I58">
        <v>0</v>
      </c>
      <c r="J58">
        <v>9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9</v>
      </c>
      <c r="S58">
        <v>0</v>
      </c>
      <c r="T58">
        <v>0</v>
      </c>
      <c r="U58">
        <v>0</v>
      </c>
      <c r="V58" t="s">
        <v>41</v>
      </c>
      <c r="W58">
        <v>9</v>
      </c>
      <c r="X58">
        <v>0</v>
      </c>
      <c r="Y58">
        <v>0</v>
      </c>
      <c r="Z58">
        <v>0</v>
      </c>
      <c r="AA58">
        <v>9</v>
      </c>
      <c r="AB58">
        <v>0</v>
      </c>
      <c r="AC58">
        <v>0</v>
      </c>
      <c r="AD58">
        <v>0</v>
      </c>
      <c r="AE58">
        <v>9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9</v>
      </c>
      <c r="AN58">
        <v>0</v>
      </c>
      <c r="AO58">
        <v>0</v>
      </c>
      <c r="AP58">
        <v>0</v>
      </c>
      <c r="AQ58" t="s">
        <v>41</v>
      </c>
      <c r="AR58">
        <v>9</v>
      </c>
      <c r="AS58">
        <v>0</v>
      </c>
      <c r="AT58">
        <v>0</v>
      </c>
      <c r="AU58">
        <v>0</v>
      </c>
      <c r="AV58">
        <v>9</v>
      </c>
      <c r="AW58">
        <v>0</v>
      </c>
      <c r="AX58">
        <v>0</v>
      </c>
      <c r="AY58">
        <v>0</v>
      </c>
      <c r="AZ58">
        <v>9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9</v>
      </c>
      <c r="BI58">
        <v>0</v>
      </c>
      <c r="BJ58">
        <v>0</v>
      </c>
      <c r="BK58">
        <v>0</v>
      </c>
    </row>
    <row r="59" spans="1:63">
      <c r="A59" t="s">
        <v>81</v>
      </c>
      <c r="B59">
        <v>106</v>
      </c>
      <c r="C59">
        <v>6</v>
      </c>
      <c r="D59">
        <v>0</v>
      </c>
      <c r="E59">
        <v>0</v>
      </c>
      <c r="F59">
        <v>106</v>
      </c>
      <c r="G59">
        <v>6</v>
      </c>
      <c r="H59">
        <v>0</v>
      </c>
      <c r="I59">
        <v>0</v>
      </c>
      <c r="J59">
        <v>112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112</v>
      </c>
      <c r="S59">
        <v>0</v>
      </c>
      <c r="T59">
        <v>0</v>
      </c>
      <c r="U59">
        <v>0</v>
      </c>
      <c r="V59" t="s">
        <v>81</v>
      </c>
      <c r="W59">
        <v>106</v>
      </c>
      <c r="X59">
        <v>6</v>
      </c>
      <c r="Y59">
        <v>0</v>
      </c>
      <c r="Z59">
        <v>0</v>
      </c>
      <c r="AA59">
        <v>106</v>
      </c>
      <c r="AB59">
        <v>6</v>
      </c>
      <c r="AC59">
        <v>0</v>
      </c>
      <c r="AD59">
        <v>0</v>
      </c>
      <c r="AE59">
        <v>112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112</v>
      </c>
      <c r="AN59">
        <v>0</v>
      </c>
      <c r="AO59">
        <v>0</v>
      </c>
      <c r="AP59">
        <v>0</v>
      </c>
      <c r="AQ59" t="s">
        <v>81</v>
      </c>
      <c r="AR59">
        <v>106</v>
      </c>
      <c r="AS59">
        <v>6</v>
      </c>
      <c r="AT59">
        <v>0</v>
      </c>
      <c r="AU59">
        <v>0</v>
      </c>
      <c r="AV59">
        <v>106</v>
      </c>
      <c r="AW59">
        <v>6</v>
      </c>
      <c r="AX59">
        <v>0</v>
      </c>
      <c r="AY59">
        <v>0</v>
      </c>
      <c r="AZ59">
        <v>112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</v>
      </c>
      <c r="BJ59">
        <v>0</v>
      </c>
      <c r="BK59">
        <v>0</v>
      </c>
    </row>
    <row r="60" spans="1:63">
      <c r="A60" t="s">
        <v>45</v>
      </c>
      <c r="B60">
        <v>926</v>
      </c>
      <c r="C60">
        <v>32</v>
      </c>
      <c r="D60">
        <v>0</v>
      </c>
      <c r="E60">
        <v>0</v>
      </c>
      <c r="F60">
        <v>926</v>
      </c>
      <c r="G60">
        <v>32</v>
      </c>
      <c r="H60">
        <v>0</v>
      </c>
      <c r="I60">
        <v>0</v>
      </c>
      <c r="J60">
        <v>949</v>
      </c>
      <c r="K60">
        <v>9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949</v>
      </c>
      <c r="S60">
        <v>9</v>
      </c>
      <c r="T60">
        <v>0</v>
      </c>
      <c r="U60">
        <v>0</v>
      </c>
      <c r="V60" t="s">
        <v>45</v>
      </c>
      <c r="W60">
        <v>926</v>
      </c>
      <c r="X60">
        <v>32</v>
      </c>
      <c r="Y60">
        <v>0</v>
      </c>
      <c r="Z60">
        <v>0</v>
      </c>
      <c r="AA60">
        <v>926</v>
      </c>
      <c r="AB60">
        <v>32</v>
      </c>
      <c r="AC60">
        <v>0</v>
      </c>
      <c r="AD60">
        <v>0</v>
      </c>
      <c r="AE60">
        <v>949</v>
      </c>
      <c r="AF60">
        <v>9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949</v>
      </c>
      <c r="AN60">
        <v>9</v>
      </c>
      <c r="AO60">
        <v>0</v>
      </c>
      <c r="AP60">
        <v>0</v>
      </c>
      <c r="AQ60" t="s">
        <v>45</v>
      </c>
      <c r="AR60">
        <v>926</v>
      </c>
      <c r="AS60">
        <v>32</v>
      </c>
      <c r="AT60">
        <v>0</v>
      </c>
      <c r="AU60">
        <v>0</v>
      </c>
      <c r="AV60">
        <v>926</v>
      </c>
      <c r="AW60">
        <v>32</v>
      </c>
      <c r="AX60">
        <v>0</v>
      </c>
      <c r="AY60">
        <v>0</v>
      </c>
      <c r="AZ60">
        <v>958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958</v>
      </c>
      <c r="BI60">
        <v>0</v>
      </c>
      <c r="BJ60">
        <v>0</v>
      </c>
      <c r="BK60">
        <v>0</v>
      </c>
    </row>
    <row r="61" spans="1:63">
      <c r="A61" t="s">
        <v>54</v>
      </c>
      <c r="B61">
        <v>472</v>
      </c>
      <c r="C61">
        <v>4</v>
      </c>
      <c r="D61">
        <v>0</v>
      </c>
      <c r="E61">
        <v>0</v>
      </c>
      <c r="F61">
        <v>472</v>
      </c>
      <c r="G61">
        <v>4</v>
      </c>
      <c r="H61">
        <v>0</v>
      </c>
      <c r="I61">
        <v>0</v>
      </c>
      <c r="J61">
        <v>476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476</v>
      </c>
      <c r="S61">
        <v>0</v>
      </c>
      <c r="T61">
        <v>0</v>
      </c>
      <c r="U61">
        <v>0</v>
      </c>
      <c r="V61" t="s">
        <v>54</v>
      </c>
      <c r="W61">
        <v>472</v>
      </c>
      <c r="X61">
        <v>4</v>
      </c>
      <c r="Y61">
        <v>0</v>
      </c>
      <c r="Z61">
        <v>0</v>
      </c>
      <c r="AA61">
        <v>472</v>
      </c>
      <c r="AB61">
        <v>4</v>
      </c>
      <c r="AC61">
        <v>0</v>
      </c>
      <c r="AD61">
        <v>0</v>
      </c>
      <c r="AE61">
        <v>476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476</v>
      </c>
      <c r="AN61">
        <v>0</v>
      </c>
      <c r="AO61">
        <v>0</v>
      </c>
      <c r="AP61">
        <v>0</v>
      </c>
      <c r="AQ61" t="s">
        <v>54</v>
      </c>
      <c r="AR61">
        <v>472</v>
      </c>
      <c r="AS61">
        <v>4</v>
      </c>
      <c r="AT61">
        <v>0</v>
      </c>
      <c r="AU61">
        <v>0</v>
      </c>
      <c r="AV61">
        <v>472</v>
      </c>
      <c r="AW61">
        <v>4</v>
      </c>
      <c r="AX61">
        <v>0</v>
      </c>
      <c r="AY61">
        <v>0</v>
      </c>
      <c r="AZ61">
        <v>476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476</v>
      </c>
      <c r="BI61">
        <v>0</v>
      </c>
      <c r="BJ61">
        <v>0</v>
      </c>
      <c r="BK61">
        <v>0</v>
      </c>
    </row>
    <row r="62" spans="1:63">
      <c r="A62" t="s">
        <v>79</v>
      </c>
      <c r="B62">
        <v>580</v>
      </c>
      <c r="C62">
        <v>27</v>
      </c>
      <c r="D62">
        <v>0</v>
      </c>
      <c r="E62">
        <v>0</v>
      </c>
      <c r="F62">
        <v>580</v>
      </c>
      <c r="G62">
        <v>27</v>
      </c>
      <c r="H62">
        <v>0</v>
      </c>
      <c r="I62">
        <v>0</v>
      </c>
      <c r="J62">
        <v>603</v>
      </c>
      <c r="K62">
        <v>4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603</v>
      </c>
      <c r="S62">
        <v>4</v>
      </c>
      <c r="T62">
        <v>0</v>
      </c>
      <c r="U62">
        <v>0</v>
      </c>
      <c r="V62" t="s">
        <v>79</v>
      </c>
      <c r="W62">
        <v>580</v>
      </c>
      <c r="X62">
        <v>27</v>
      </c>
      <c r="Y62">
        <v>0</v>
      </c>
      <c r="Z62">
        <v>0</v>
      </c>
      <c r="AA62">
        <v>580</v>
      </c>
      <c r="AB62">
        <v>27</v>
      </c>
      <c r="AC62">
        <v>0</v>
      </c>
      <c r="AD62">
        <v>0</v>
      </c>
      <c r="AE62">
        <v>603</v>
      </c>
      <c r="AF62">
        <v>4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603</v>
      </c>
      <c r="AN62">
        <v>4</v>
      </c>
      <c r="AO62">
        <v>0</v>
      </c>
      <c r="AP62">
        <v>0</v>
      </c>
      <c r="AQ62" t="s">
        <v>79</v>
      </c>
      <c r="AR62">
        <v>580</v>
      </c>
      <c r="AS62">
        <v>27</v>
      </c>
      <c r="AT62">
        <v>0</v>
      </c>
      <c r="AU62">
        <v>0</v>
      </c>
      <c r="AV62">
        <v>580</v>
      </c>
      <c r="AW62">
        <v>27</v>
      </c>
      <c r="AX62">
        <v>0</v>
      </c>
      <c r="AY62">
        <v>0</v>
      </c>
      <c r="AZ62">
        <v>607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607</v>
      </c>
      <c r="BI62">
        <v>0</v>
      </c>
      <c r="BJ62">
        <v>0</v>
      </c>
      <c r="BK62">
        <v>0</v>
      </c>
    </row>
    <row r="63" spans="1:63">
      <c r="A63" t="s">
        <v>9</v>
      </c>
      <c r="B63">
        <v>732</v>
      </c>
      <c r="C63">
        <v>5</v>
      </c>
      <c r="D63">
        <v>0</v>
      </c>
      <c r="E63">
        <v>0</v>
      </c>
      <c r="F63">
        <v>732</v>
      </c>
      <c r="G63">
        <v>5</v>
      </c>
      <c r="H63">
        <v>0</v>
      </c>
      <c r="I63">
        <v>0</v>
      </c>
      <c r="J63">
        <v>737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737</v>
      </c>
      <c r="S63">
        <v>0</v>
      </c>
      <c r="T63">
        <v>0</v>
      </c>
      <c r="U63">
        <v>0</v>
      </c>
      <c r="V63" t="s">
        <v>9</v>
      </c>
      <c r="W63">
        <v>732</v>
      </c>
      <c r="X63">
        <v>5</v>
      </c>
      <c r="Y63">
        <v>0</v>
      </c>
      <c r="Z63">
        <v>0</v>
      </c>
      <c r="AA63">
        <v>732</v>
      </c>
      <c r="AB63">
        <v>5</v>
      </c>
      <c r="AC63">
        <v>0</v>
      </c>
      <c r="AD63">
        <v>0</v>
      </c>
      <c r="AE63">
        <v>737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737</v>
      </c>
      <c r="AN63">
        <v>0</v>
      </c>
      <c r="AO63">
        <v>0</v>
      </c>
      <c r="AP63">
        <v>0</v>
      </c>
      <c r="AQ63" t="s">
        <v>9</v>
      </c>
      <c r="AR63">
        <v>732</v>
      </c>
      <c r="AS63">
        <v>5</v>
      </c>
      <c r="AT63">
        <v>0</v>
      </c>
      <c r="AU63">
        <v>0</v>
      </c>
      <c r="AV63">
        <v>732</v>
      </c>
      <c r="AW63">
        <v>5</v>
      </c>
      <c r="AX63">
        <v>0</v>
      </c>
      <c r="AY63">
        <v>0</v>
      </c>
      <c r="AZ63">
        <v>737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737</v>
      </c>
      <c r="BI63">
        <v>0</v>
      </c>
      <c r="BJ63">
        <v>0</v>
      </c>
      <c r="BK63">
        <v>0</v>
      </c>
    </row>
    <row r="64" spans="1:63">
      <c r="A64" t="s">
        <v>7</v>
      </c>
      <c r="B64">
        <v>56</v>
      </c>
      <c r="C64">
        <v>1</v>
      </c>
      <c r="D64">
        <v>0</v>
      </c>
      <c r="E64">
        <v>0</v>
      </c>
      <c r="F64">
        <v>56</v>
      </c>
      <c r="G64">
        <v>1</v>
      </c>
      <c r="H64">
        <v>0</v>
      </c>
      <c r="I64">
        <v>0</v>
      </c>
      <c r="J64">
        <v>57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57</v>
      </c>
      <c r="S64">
        <v>0</v>
      </c>
      <c r="T64">
        <v>0</v>
      </c>
      <c r="U64">
        <v>0</v>
      </c>
      <c r="V64" t="s">
        <v>7</v>
      </c>
      <c r="W64">
        <v>56</v>
      </c>
      <c r="X64">
        <v>1</v>
      </c>
      <c r="Y64">
        <v>0</v>
      </c>
      <c r="Z64">
        <v>0</v>
      </c>
      <c r="AA64">
        <v>56</v>
      </c>
      <c r="AB64">
        <v>1</v>
      </c>
      <c r="AC64">
        <v>0</v>
      </c>
      <c r="AD64">
        <v>0</v>
      </c>
      <c r="AE64">
        <v>57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57</v>
      </c>
      <c r="AN64">
        <v>0</v>
      </c>
      <c r="AO64">
        <v>0</v>
      </c>
      <c r="AP64">
        <v>0</v>
      </c>
      <c r="AQ64" t="s">
        <v>7</v>
      </c>
      <c r="AR64">
        <v>56</v>
      </c>
      <c r="AS64">
        <v>1</v>
      </c>
      <c r="AT64">
        <v>0</v>
      </c>
      <c r="AU64">
        <v>0</v>
      </c>
      <c r="AV64">
        <v>56</v>
      </c>
      <c r="AW64">
        <v>1</v>
      </c>
      <c r="AX64">
        <v>0</v>
      </c>
      <c r="AY64">
        <v>0</v>
      </c>
      <c r="AZ64">
        <v>57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</v>
      </c>
      <c r="BI64">
        <v>0</v>
      </c>
      <c r="BJ64">
        <v>0</v>
      </c>
      <c r="BK64">
        <v>0</v>
      </c>
    </row>
    <row r="65" spans="1:63">
      <c r="A65" t="s">
        <v>46</v>
      </c>
      <c r="B65">
        <v>26</v>
      </c>
      <c r="C65">
        <v>1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27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 t="s">
        <v>46</v>
      </c>
      <c r="W65">
        <v>26</v>
      </c>
      <c r="X65">
        <v>1</v>
      </c>
      <c r="Y65">
        <v>0</v>
      </c>
      <c r="Z65">
        <v>0</v>
      </c>
      <c r="AA65">
        <v>26</v>
      </c>
      <c r="AB65">
        <v>1</v>
      </c>
      <c r="AC65">
        <v>0</v>
      </c>
      <c r="AD65">
        <v>0</v>
      </c>
      <c r="AE65">
        <v>27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27</v>
      </c>
      <c r="AN65">
        <v>0</v>
      </c>
      <c r="AO65">
        <v>0</v>
      </c>
      <c r="AP65">
        <v>0</v>
      </c>
      <c r="AQ65" t="s">
        <v>46</v>
      </c>
      <c r="AR65">
        <v>0</v>
      </c>
      <c r="AS65">
        <v>0</v>
      </c>
      <c r="AT65">
        <v>0</v>
      </c>
      <c r="AU65">
        <v>0</v>
      </c>
      <c r="AV65">
        <v>26</v>
      </c>
      <c r="AW65">
        <v>1</v>
      </c>
      <c r="AX65">
        <v>0</v>
      </c>
      <c r="AY65">
        <v>0</v>
      </c>
      <c r="AZ65">
        <v>27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I65">
        <v>0</v>
      </c>
      <c r="BJ65">
        <v>0</v>
      </c>
      <c r="BK65">
        <v>0</v>
      </c>
    </row>
    <row r="66" spans="1:63">
      <c r="A66" t="s">
        <v>99</v>
      </c>
      <c r="B66">
        <v>171</v>
      </c>
      <c r="C66">
        <v>4</v>
      </c>
      <c r="D66">
        <v>0</v>
      </c>
      <c r="E66">
        <v>0</v>
      </c>
      <c r="F66">
        <v>171</v>
      </c>
      <c r="G66">
        <v>4</v>
      </c>
      <c r="H66">
        <v>0</v>
      </c>
      <c r="I66">
        <v>0</v>
      </c>
      <c r="J66">
        <v>175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175</v>
      </c>
      <c r="S66">
        <v>0</v>
      </c>
      <c r="T66">
        <v>0</v>
      </c>
      <c r="U66">
        <v>0</v>
      </c>
      <c r="V66" t="s">
        <v>99</v>
      </c>
      <c r="W66">
        <v>171</v>
      </c>
      <c r="X66">
        <v>4</v>
      </c>
      <c r="Y66">
        <v>0</v>
      </c>
      <c r="Z66">
        <v>0</v>
      </c>
      <c r="AA66">
        <v>171</v>
      </c>
      <c r="AB66">
        <v>4</v>
      </c>
      <c r="AC66">
        <v>0</v>
      </c>
      <c r="AD66">
        <v>0</v>
      </c>
      <c r="AE66">
        <v>175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175</v>
      </c>
      <c r="AN66">
        <v>0</v>
      </c>
      <c r="AO66">
        <v>0</v>
      </c>
      <c r="AP66">
        <v>0</v>
      </c>
      <c r="AQ66" t="s">
        <v>99</v>
      </c>
      <c r="AR66">
        <v>171</v>
      </c>
      <c r="AS66">
        <v>4</v>
      </c>
      <c r="AT66">
        <v>0</v>
      </c>
      <c r="AU66">
        <v>0</v>
      </c>
      <c r="AV66">
        <v>171</v>
      </c>
      <c r="AW66">
        <v>4</v>
      </c>
      <c r="AX66">
        <v>0</v>
      </c>
      <c r="AY66">
        <v>0</v>
      </c>
      <c r="AZ66">
        <v>175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I66">
        <v>0</v>
      </c>
      <c r="BJ66">
        <v>0</v>
      </c>
      <c r="BK66">
        <v>0</v>
      </c>
    </row>
    <row r="67" spans="1:63">
      <c r="A67" t="s">
        <v>96</v>
      </c>
      <c r="B67">
        <v>268</v>
      </c>
      <c r="C67">
        <v>4</v>
      </c>
      <c r="D67">
        <v>0</v>
      </c>
      <c r="E67">
        <v>0</v>
      </c>
      <c r="F67">
        <v>268</v>
      </c>
      <c r="G67">
        <v>4</v>
      </c>
      <c r="H67">
        <v>0</v>
      </c>
      <c r="I67">
        <v>0</v>
      </c>
      <c r="J67">
        <v>272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272</v>
      </c>
      <c r="S67">
        <v>0</v>
      </c>
      <c r="T67">
        <v>0</v>
      </c>
      <c r="U67">
        <v>0</v>
      </c>
      <c r="V67" t="s">
        <v>96</v>
      </c>
      <c r="W67">
        <v>268</v>
      </c>
      <c r="X67">
        <v>4</v>
      </c>
      <c r="Y67">
        <v>0</v>
      </c>
      <c r="Z67">
        <v>0</v>
      </c>
      <c r="AA67">
        <v>268</v>
      </c>
      <c r="AB67">
        <v>4</v>
      </c>
      <c r="AC67">
        <v>0</v>
      </c>
      <c r="AD67">
        <v>0</v>
      </c>
      <c r="AE67">
        <v>272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272</v>
      </c>
      <c r="AN67">
        <v>0</v>
      </c>
      <c r="AO67">
        <v>0</v>
      </c>
      <c r="AP67">
        <v>0</v>
      </c>
      <c r="AQ67" t="s">
        <v>96</v>
      </c>
      <c r="AR67">
        <v>268</v>
      </c>
      <c r="AS67">
        <v>4</v>
      </c>
      <c r="AT67">
        <v>0</v>
      </c>
      <c r="AU67">
        <v>0</v>
      </c>
      <c r="AV67">
        <v>268</v>
      </c>
      <c r="AW67">
        <v>4</v>
      </c>
      <c r="AX67">
        <v>0</v>
      </c>
      <c r="AY67">
        <v>0</v>
      </c>
      <c r="AZ67">
        <v>272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0</v>
      </c>
      <c r="BJ67">
        <v>0</v>
      </c>
      <c r="BK67">
        <v>0</v>
      </c>
    </row>
    <row r="68" spans="1:63">
      <c r="A68" t="s">
        <v>13</v>
      </c>
      <c r="B68">
        <v>22</v>
      </c>
      <c r="C68">
        <v>0</v>
      </c>
      <c r="D68">
        <v>0</v>
      </c>
      <c r="E68">
        <v>0</v>
      </c>
      <c r="F68">
        <v>22</v>
      </c>
      <c r="G68">
        <v>0</v>
      </c>
      <c r="H68">
        <v>0</v>
      </c>
      <c r="I68">
        <v>0</v>
      </c>
      <c r="J68">
        <v>22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22</v>
      </c>
      <c r="S68">
        <v>0</v>
      </c>
      <c r="T68">
        <v>0</v>
      </c>
      <c r="U68">
        <v>0</v>
      </c>
      <c r="V68" t="s">
        <v>13</v>
      </c>
      <c r="W68">
        <v>22</v>
      </c>
      <c r="X68">
        <v>0</v>
      </c>
      <c r="Y68">
        <v>0</v>
      </c>
      <c r="Z68">
        <v>0</v>
      </c>
      <c r="AA68">
        <v>22</v>
      </c>
      <c r="AB68">
        <v>0</v>
      </c>
      <c r="AC68">
        <v>0</v>
      </c>
      <c r="AD68">
        <v>0</v>
      </c>
      <c r="AE68">
        <v>22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22</v>
      </c>
      <c r="AN68">
        <v>0</v>
      </c>
      <c r="AO68">
        <v>0</v>
      </c>
      <c r="AP68">
        <v>0</v>
      </c>
      <c r="AQ68" t="s">
        <v>13</v>
      </c>
      <c r="AR68">
        <v>22</v>
      </c>
      <c r="AS68">
        <v>0</v>
      </c>
      <c r="AT68">
        <v>0</v>
      </c>
      <c r="AU68">
        <v>0</v>
      </c>
      <c r="AV68">
        <v>22</v>
      </c>
      <c r="AW68">
        <v>0</v>
      </c>
      <c r="AX68">
        <v>0</v>
      </c>
      <c r="AY68">
        <v>0</v>
      </c>
      <c r="AZ68">
        <v>22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I68">
        <v>0</v>
      </c>
      <c r="BJ68">
        <v>0</v>
      </c>
      <c r="BK68">
        <v>0</v>
      </c>
    </row>
    <row r="69" spans="1:63">
      <c r="A69" t="s">
        <v>93</v>
      </c>
      <c r="B69">
        <v>21</v>
      </c>
      <c r="C69">
        <v>0</v>
      </c>
      <c r="D69">
        <v>0</v>
      </c>
      <c r="E69">
        <v>0</v>
      </c>
      <c r="F69">
        <v>21</v>
      </c>
      <c r="G69">
        <v>0</v>
      </c>
      <c r="H69">
        <v>0</v>
      </c>
      <c r="I69">
        <v>0</v>
      </c>
      <c r="J69">
        <v>21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21</v>
      </c>
      <c r="S69">
        <v>0</v>
      </c>
      <c r="T69">
        <v>0</v>
      </c>
      <c r="U69">
        <v>0</v>
      </c>
      <c r="V69" t="s">
        <v>93</v>
      </c>
      <c r="W69">
        <v>21</v>
      </c>
      <c r="X69">
        <v>0</v>
      </c>
      <c r="Y69">
        <v>0</v>
      </c>
      <c r="Z69">
        <v>0</v>
      </c>
      <c r="AA69">
        <v>21</v>
      </c>
      <c r="AB69">
        <v>0</v>
      </c>
      <c r="AC69">
        <v>0</v>
      </c>
      <c r="AD69">
        <v>0</v>
      </c>
      <c r="AE69">
        <v>21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21</v>
      </c>
      <c r="AN69">
        <v>0</v>
      </c>
      <c r="AO69">
        <v>0</v>
      </c>
      <c r="AP69">
        <v>0</v>
      </c>
      <c r="AQ69" t="s">
        <v>93</v>
      </c>
      <c r="AR69">
        <v>21</v>
      </c>
      <c r="AS69">
        <v>0</v>
      </c>
      <c r="AT69">
        <v>0</v>
      </c>
      <c r="AU69">
        <v>0</v>
      </c>
      <c r="AV69">
        <v>21</v>
      </c>
      <c r="AW69">
        <v>0</v>
      </c>
      <c r="AX69">
        <v>0</v>
      </c>
      <c r="AY69">
        <v>0</v>
      </c>
      <c r="AZ69">
        <v>21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I69">
        <v>0</v>
      </c>
      <c r="BJ69">
        <v>0</v>
      </c>
      <c r="BK69">
        <v>0</v>
      </c>
    </row>
    <row r="70" spans="1:63">
      <c r="A70" t="s">
        <v>48</v>
      </c>
      <c r="B70">
        <v>117</v>
      </c>
      <c r="C70">
        <v>3</v>
      </c>
      <c r="D70">
        <v>0</v>
      </c>
      <c r="E70">
        <v>0</v>
      </c>
      <c r="F70">
        <v>117</v>
      </c>
      <c r="G70">
        <v>3</v>
      </c>
      <c r="H70">
        <v>0</v>
      </c>
      <c r="I70">
        <v>0</v>
      </c>
      <c r="J70">
        <v>119</v>
      </c>
      <c r="K70">
        <v>1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119</v>
      </c>
      <c r="S70">
        <v>1</v>
      </c>
      <c r="T70">
        <v>0</v>
      </c>
      <c r="U70">
        <v>0</v>
      </c>
      <c r="V70" t="s">
        <v>48</v>
      </c>
      <c r="W70">
        <v>117</v>
      </c>
      <c r="X70">
        <v>3</v>
      </c>
      <c r="Y70">
        <v>0</v>
      </c>
      <c r="Z70">
        <v>0</v>
      </c>
      <c r="AA70">
        <v>117</v>
      </c>
      <c r="AB70">
        <v>3</v>
      </c>
      <c r="AC70">
        <v>0</v>
      </c>
      <c r="AD70">
        <v>0</v>
      </c>
      <c r="AE70">
        <v>119</v>
      </c>
      <c r="AF70">
        <v>1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119</v>
      </c>
      <c r="AN70">
        <v>1</v>
      </c>
      <c r="AO70">
        <v>0</v>
      </c>
      <c r="AP70">
        <v>0</v>
      </c>
      <c r="AQ70" t="s">
        <v>48</v>
      </c>
      <c r="AR70">
        <v>117</v>
      </c>
      <c r="AS70">
        <v>3</v>
      </c>
      <c r="AT70">
        <v>0</v>
      </c>
      <c r="AU70">
        <v>0</v>
      </c>
      <c r="AV70">
        <v>117</v>
      </c>
      <c r="AW70">
        <v>3</v>
      </c>
      <c r="AX70">
        <v>0</v>
      </c>
      <c r="AY70">
        <v>0</v>
      </c>
      <c r="AZ70">
        <v>120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I70">
        <v>0</v>
      </c>
      <c r="BJ70">
        <v>0</v>
      </c>
      <c r="BK70">
        <v>0</v>
      </c>
    </row>
    <row r="71" spans="1:63">
      <c r="A71" t="s">
        <v>103</v>
      </c>
      <c r="B71">
        <v>158</v>
      </c>
      <c r="C71">
        <v>4</v>
      </c>
      <c r="D71">
        <v>0</v>
      </c>
      <c r="E71">
        <v>0</v>
      </c>
      <c r="F71">
        <v>158</v>
      </c>
      <c r="G71">
        <v>4</v>
      </c>
      <c r="H71">
        <v>0</v>
      </c>
      <c r="I71">
        <v>0</v>
      </c>
      <c r="J71">
        <v>161</v>
      </c>
      <c r="K71">
        <v>1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161</v>
      </c>
      <c r="S71">
        <v>1</v>
      </c>
      <c r="T71">
        <v>0</v>
      </c>
      <c r="U71">
        <v>0</v>
      </c>
      <c r="V71" t="s">
        <v>103</v>
      </c>
      <c r="W71">
        <v>158</v>
      </c>
      <c r="X71">
        <v>4</v>
      </c>
      <c r="Y71">
        <v>0</v>
      </c>
      <c r="Z71">
        <v>0</v>
      </c>
      <c r="AA71">
        <v>158</v>
      </c>
      <c r="AB71">
        <v>4</v>
      </c>
      <c r="AC71">
        <v>0</v>
      </c>
      <c r="AD71">
        <v>0</v>
      </c>
      <c r="AE71">
        <v>161</v>
      </c>
      <c r="AF71">
        <v>1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161</v>
      </c>
      <c r="AN71">
        <v>1</v>
      </c>
      <c r="AO71">
        <v>0</v>
      </c>
      <c r="AP71">
        <v>0</v>
      </c>
      <c r="AQ71" t="s">
        <v>103</v>
      </c>
      <c r="AR71">
        <v>158</v>
      </c>
      <c r="AS71">
        <v>4</v>
      </c>
      <c r="AT71">
        <v>0</v>
      </c>
      <c r="AU71">
        <v>0</v>
      </c>
      <c r="AV71">
        <v>158</v>
      </c>
      <c r="AW71">
        <v>4</v>
      </c>
      <c r="AX71">
        <v>0</v>
      </c>
      <c r="AY71">
        <v>0</v>
      </c>
      <c r="AZ71">
        <v>162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I71">
        <v>0</v>
      </c>
      <c r="BJ71">
        <v>0</v>
      </c>
      <c r="BK71">
        <v>0</v>
      </c>
    </row>
    <row r="72" spans="1:63">
      <c r="A72" t="s">
        <v>31</v>
      </c>
      <c r="B72">
        <v>254</v>
      </c>
      <c r="C72">
        <v>4</v>
      </c>
      <c r="D72">
        <v>0</v>
      </c>
      <c r="E72">
        <v>0</v>
      </c>
      <c r="F72">
        <v>254</v>
      </c>
      <c r="G72">
        <v>4</v>
      </c>
      <c r="H72">
        <v>0</v>
      </c>
      <c r="I72">
        <v>0</v>
      </c>
      <c r="J72">
        <v>257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257</v>
      </c>
      <c r="S72">
        <v>1</v>
      </c>
      <c r="T72">
        <v>0</v>
      </c>
      <c r="U72">
        <v>0</v>
      </c>
      <c r="V72" t="s">
        <v>31</v>
      </c>
      <c r="W72">
        <v>254</v>
      </c>
      <c r="X72">
        <v>4</v>
      </c>
      <c r="Y72">
        <v>0</v>
      </c>
      <c r="Z72">
        <v>0</v>
      </c>
      <c r="AA72">
        <v>254</v>
      </c>
      <c r="AB72">
        <v>4</v>
      </c>
      <c r="AC72">
        <v>0</v>
      </c>
      <c r="AD72">
        <v>0</v>
      </c>
      <c r="AE72">
        <v>257</v>
      </c>
      <c r="AF72">
        <v>1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257</v>
      </c>
      <c r="AN72">
        <v>1</v>
      </c>
      <c r="AO72">
        <v>0</v>
      </c>
      <c r="AP72">
        <v>0</v>
      </c>
      <c r="AQ72" t="s">
        <v>31</v>
      </c>
      <c r="AR72">
        <v>254</v>
      </c>
      <c r="AS72">
        <v>4</v>
      </c>
      <c r="AT72">
        <v>0</v>
      </c>
      <c r="AU72">
        <v>0</v>
      </c>
      <c r="AV72">
        <v>254</v>
      </c>
      <c r="AW72">
        <v>4</v>
      </c>
      <c r="AX72">
        <v>0</v>
      </c>
      <c r="AY72">
        <v>0</v>
      </c>
      <c r="AZ72">
        <v>258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</v>
      </c>
      <c r="BI72">
        <v>0</v>
      </c>
      <c r="BJ72">
        <v>0</v>
      </c>
      <c r="BK72">
        <v>0</v>
      </c>
    </row>
    <row r="73" spans="1:63">
      <c r="A73" t="s">
        <v>33</v>
      </c>
      <c r="B73">
        <v>295</v>
      </c>
      <c r="C73">
        <v>19</v>
      </c>
      <c r="D73">
        <v>0</v>
      </c>
      <c r="E73">
        <v>0</v>
      </c>
      <c r="F73">
        <v>295</v>
      </c>
      <c r="G73">
        <v>19</v>
      </c>
      <c r="H73">
        <v>0</v>
      </c>
      <c r="I73">
        <v>0</v>
      </c>
      <c r="J73">
        <v>314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314</v>
      </c>
      <c r="S73">
        <v>0</v>
      </c>
      <c r="T73">
        <v>0</v>
      </c>
      <c r="U73">
        <v>0</v>
      </c>
      <c r="V73" t="s">
        <v>33</v>
      </c>
      <c r="W73">
        <v>295</v>
      </c>
      <c r="X73">
        <v>19</v>
      </c>
      <c r="Y73">
        <v>0</v>
      </c>
      <c r="Z73">
        <v>0</v>
      </c>
      <c r="AA73">
        <v>295</v>
      </c>
      <c r="AB73">
        <v>19</v>
      </c>
      <c r="AC73">
        <v>0</v>
      </c>
      <c r="AD73">
        <v>0</v>
      </c>
      <c r="AE73">
        <v>314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314</v>
      </c>
      <c r="AN73">
        <v>0</v>
      </c>
      <c r="AO73">
        <v>0</v>
      </c>
      <c r="AP73">
        <v>0</v>
      </c>
      <c r="AQ73" t="s">
        <v>33</v>
      </c>
      <c r="AR73">
        <v>295</v>
      </c>
      <c r="AS73">
        <v>19</v>
      </c>
      <c r="AT73">
        <v>0</v>
      </c>
      <c r="AU73">
        <v>0</v>
      </c>
      <c r="AV73">
        <v>295</v>
      </c>
      <c r="AW73">
        <v>19</v>
      </c>
      <c r="AX73">
        <v>0</v>
      </c>
      <c r="AY73">
        <v>0</v>
      </c>
      <c r="AZ73">
        <v>314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0</v>
      </c>
      <c r="BI73">
        <v>0</v>
      </c>
      <c r="BJ73">
        <v>0</v>
      </c>
      <c r="BK73">
        <v>0</v>
      </c>
    </row>
    <row r="74" spans="1:63">
      <c r="A74" t="s">
        <v>75</v>
      </c>
      <c r="B74">
        <v>300</v>
      </c>
      <c r="C74">
        <v>12</v>
      </c>
      <c r="D74">
        <v>0</v>
      </c>
      <c r="E74">
        <v>0</v>
      </c>
      <c r="F74">
        <v>300</v>
      </c>
      <c r="G74">
        <v>12</v>
      </c>
      <c r="H74">
        <v>0</v>
      </c>
      <c r="I74">
        <v>0</v>
      </c>
      <c r="J74">
        <v>312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312</v>
      </c>
      <c r="S74">
        <v>0</v>
      </c>
      <c r="T74">
        <v>0</v>
      </c>
      <c r="U74">
        <v>0</v>
      </c>
      <c r="V74" t="s">
        <v>75</v>
      </c>
      <c r="W74">
        <v>300</v>
      </c>
      <c r="X74">
        <v>12</v>
      </c>
      <c r="Y74">
        <v>0</v>
      </c>
      <c r="Z74">
        <v>0</v>
      </c>
      <c r="AA74">
        <v>300</v>
      </c>
      <c r="AB74">
        <v>12</v>
      </c>
      <c r="AC74">
        <v>0</v>
      </c>
      <c r="AD74">
        <v>0</v>
      </c>
      <c r="AE74">
        <v>312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312</v>
      </c>
      <c r="AN74">
        <v>0</v>
      </c>
      <c r="AO74">
        <v>0</v>
      </c>
      <c r="AP74">
        <v>0</v>
      </c>
      <c r="AQ74" t="s">
        <v>75</v>
      </c>
      <c r="AR74">
        <v>300</v>
      </c>
      <c r="AS74">
        <v>12</v>
      </c>
      <c r="AT74">
        <v>0</v>
      </c>
      <c r="AU74">
        <v>0</v>
      </c>
      <c r="AV74">
        <v>300</v>
      </c>
      <c r="AW74">
        <v>12</v>
      </c>
      <c r="AX74">
        <v>0</v>
      </c>
      <c r="AY74">
        <v>0</v>
      </c>
      <c r="AZ74">
        <v>312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0</v>
      </c>
      <c r="BJ74">
        <v>0</v>
      </c>
      <c r="BK74">
        <v>0</v>
      </c>
    </row>
    <row r="75" spans="1:63">
      <c r="A75" t="s">
        <v>23</v>
      </c>
      <c r="B75">
        <v>89</v>
      </c>
      <c r="C75">
        <v>12</v>
      </c>
      <c r="D75">
        <v>0</v>
      </c>
      <c r="E75">
        <v>0</v>
      </c>
      <c r="F75">
        <v>89</v>
      </c>
      <c r="G75">
        <v>12</v>
      </c>
      <c r="H75">
        <v>0</v>
      </c>
      <c r="I75">
        <v>0</v>
      </c>
      <c r="J75">
        <v>240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101</v>
      </c>
      <c r="S75">
        <v>0</v>
      </c>
      <c r="T75">
        <v>0</v>
      </c>
      <c r="U75">
        <v>0</v>
      </c>
      <c r="V75" t="s">
        <v>23</v>
      </c>
      <c r="W75">
        <v>89</v>
      </c>
      <c r="X75">
        <v>12</v>
      </c>
      <c r="Y75">
        <v>0</v>
      </c>
      <c r="Z75">
        <v>0</v>
      </c>
      <c r="AA75">
        <v>89</v>
      </c>
      <c r="AB75">
        <v>12</v>
      </c>
      <c r="AC75">
        <v>0</v>
      </c>
      <c r="AD75">
        <v>0</v>
      </c>
      <c r="AE75">
        <v>240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101</v>
      </c>
      <c r="AN75">
        <v>0</v>
      </c>
      <c r="AO75">
        <v>0</v>
      </c>
      <c r="AP75">
        <v>0</v>
      </c>
      <c r="AQ75" t="s">
        <v>23</v>
      </c>
      <c r="AR75">
        <v>89</v>
      </c>
      <c r="AS75">
        <v>12</v>
      </c>
      <c r="AT75">
        <v>0</v>
      </c>
      <c r="AU75">
        <v>0</v>
      </c>
      <c r="AV75">
        <v>89</v>
      </c>
      <c r="AW75">
        <v>12</v>
      </c>
      <c r="AX75">
        <v>0</v>
      </c>
      <c r="AY75">
        <v>0</v>
      </c>
      <c r="AZ75">
        <v>240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I75">
        <v>0</v>
      </c>
      <c r="BJ75">
        <v>0</v>
      </c>
      <c r="BK75">
        <v>0</v>
      </c>
    </row>
    <row r="76" spans="1:63">
      <c r="A76" t="s">
        <v>102</v>
      </c>
      <c r="B76">
        <v>62</v>
      </c>
      <c r="C76">
        <v>8</v>
      </c>
      <c r="D76">
        <v>0</v>
      </c>
      <c r="E76">
        <v>0</v>
      </c>
      <c r="F76">
        <v>63</v>
      </c>
      <c r="G76">
        <v>7</v>
      </c>
      <c r="H76">
        <v>0</v>
      </c>
      <c r="I76">
        <v>0</v>
      </c>
      <c r="J76">
        <v>68</v>
      </c>
      <c r="K76">
        <v>2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67</v>
      </c>
      <c r="S76">
        <v>2</v>
      </c>
      <c r="T76">
        <v>1</v>
      </c>
      <c r="U76">
        <v>0</v>
      </c>
      <c r="V76" t="s">
        <v>102</v>
      </c>
      <c r="W76">
        <v>62</v>
      </c>
      <c r="X76">
        <v>8</v>
      </c>
      <c r="Y76">
        <v>0</v>
      </c>
      <c r="Z76">
        <v>0</v>
      </c>
      <c r="AA76">
        <v>61</v>
      </c>
      <c r="AB76">
        <v>9</v>
      </c>
      <c r="AC76">
        <v>0</v>
      </c>
      <c r="AD76">
        <v>0</v>
      </c>
      <c r="AE76">
        <v>68</v>
      </c>
      <c r="AF76">
        <v>2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67</v>
      </c>
      <c r="AN76">
        <v>3</v>
      </c>
      <c r="AO76">
        <v>0</v>
      </c>
      <c r="AP76">
        <v>0</v>
      </c>
      <c r="AQ76" t="s">
        <v>102</v>
      </c>
      <c r="AR76">
        <v>63</v>
      </c>
      <c r="AS76">
        <v>7</v>
      </c>
      <c r="AT76">
        <v>0</v>
      </c>
      <c r="AU76">
        <v>0</v>
      </c>
      <c r="AV76">
        <v>61</v>
      </c>
      <c r="AW76">
        <v>9</v>
      </c>
      <c r="AX76">
        <v>0</v>
      </c>
      <c r="AY76">
        <v>0</v>
      </c>
      <c r="AZ76">
        <v>70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  <c r="BI76">
        <v>0</v>
      </c>
      <c r="BJ76">
        <v>0</v>
      </c>
      <c r="BK76">
        <v>0</v>
      </c>
    </row>
    <row r="77" spans="1:63">
      <c r="A77" t="s">
        <v>67</v>
      </c>
      <c r="B77">
        <v>147</v>
      </c>
      <c r="C77">
        <v>0</v>
      </c>
      <c r="D77">
        <v>0</v>
      </c>
      <c r="E77">
        <v>0</v>
      </c>
      <c r="F77">
        <v>147</v>
      </c>
      <c r="G77">
        <v>0</v>
      </c>
      <c r="H77">
        <v>0</v>
      </c>
      <c r="I77">
        <v>0</v>
      </c>
      <c r="J77">
        <v>147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147</v>
      </c>
      <c r="S77">
        <v>0</v>
      </c>
      <c r="T77">
        <v>0</v>
      </c>
      <c r="U77">
        <v>0</v>
      </c>
      <c r="V77" t="s">
        <v>67</v>
      </c>
      <c r="W77">
        <v>147</v>
      </c>
      <c r="X77">
        <v>0</v>
      </c>
      <c r="Y77">
        <v>0</v>
      </c>
      <c r="Z77">
        <v>0</v>
      </c>
      <c r="AA77">
        <v>147</v>
      </c>
      <c r="AB77">
        <v>0</v>
      </c>
      <c r="AC77">
        <v>0</v>
      </c>
      <c r="AD77">
        <v>0</v>
      </c>
      <c r="AE77">
        <v>147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147</v>
      </c>
      <c r="AN77">
        <v>0</v>
      </c>
      <c r="AO77">
        <v>0</v>
      </c>
      <c r="AP77">
        <v>0</v>
      </c>
      <c r="AQ77" t="s">
        <v>67</v>
      </c>
      <c r="AR77">
        <v>147</v>
      </c>
      <c r="AS77">
        <v>0</v>
      </c>
      <c r="AT77">
        <v>0</v>
      </c>
      <c r="AU77">
        <v>0</v>
      </c>
      <c r="AV77">
        <v>147</v>
      </c>
      <c r="AW77">
        <v>0</v>
      </c>
      <c r="AX77">
        <v>0</v>
      </c>
      <c r="AY77">
        <v>0</v>
      </c>
      <c r="AZ77">
        <v>147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0</v>
      </c>
      <c r="BJ77">
        <v>0</v>
      </c>
      <c r="BK77">
        <v>0</v>
      </c>
    </row>
    <row r="78" spans="1:63">
      <c r="A78" t="s">
        <v>52</v>
      </c>
      <c r="B78">
        <v>94</v>
      </c>
      <c r="C78">
        <v>19</v>
      </c>
      <c r="D78">
        <v>0</v>
      </c>
      <c r="E78">
        <v>0</v>
      </c>
      <c r="F78">
        <v>94</v>
      </c>
      <c r="G78">
        <v>19</v>
      </c>
      <c r="H78">
        <v>0</v>
      </c>
      <c r="I78">
        <v>0</v>
      </c>
      <c r="J78">
        <v>113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113</v>
      </c>
      <c r="S78">
        <v>0</v>
      </c>
      <c r="T78">
        <v>0</v>
      </c>
      <c r="U78">
        <v>0</v>
      </c>
      <c r="V78" t="s">
        <v>52</v>
      </c>
      <c r="W78">
        <v>94</v>
      </c>
      <c r="X78">
        <v>19</v>
      </c>
      <c r="Y78">
        <v>0</v>
      </c>
      <c r="Z78">
        <v>0</v>
      </c>
      <c r="AA78">
        <v>94</v>
      </c>
      <c r="AB78">
        <v>19</v>
      </c>
      <c r="AC78">
        <v>0</v>
      </c>
      <c r="AD78">
        <v>0</v>
      </c>
      <c r="AE78">
        <v>113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113</v>
      </c>
      <c r="AN78">
        <v>0</v>
      </c>
      <c r="AO78">
        <v>0</v>
      </c>
      <c r="AP78">
        <v>0</v>
      </c>
      <c r="AQ78" t="s">
        <v>52</v>
      </c>
      <c r="AR78">
        <v>94</v>
      </c>
      <c r="AS78">
        <v>19</v>
      </c>
      <c r="AT78">
        <v>0</v>
      </c>
      <c r="AU78">
        <v>0</v>
      </c>
      <c r="AV78">
        <v>94</v>
      </c>
      <c r="AW78">
        <v>19</v>
      </c>
      <c r="AX78">
        <v>0</v>
      </c>
      <c r="AY78">
        <v>0</v>
      </c>
      <c r="AZ78">
        <v>113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0</v>
      </c>
      <c r="BI78">
        <v>0</v>
      </c>
      <c r="BJ78">
        <v>0</v>
      </c>
      <c r="BK78">
        <v>0</v>
      </c>
    </row>
    <row r="79" spans="1:63">
      <c r="A79" t="s">
        <v>74</v>
      </c>
      <c r="B79">
        <v>13</v>
      </c>
      <c r="C79">
        <v>6</v>
      </c>
      <c r="D79">
        <v>0</v>
      </c>
      <c r="E79">
        <v>0</v>
      </c>
      <c r="F79">
        <v>13</v>
      </c>
      <c r="G79">
        <v>6</v>
      </c>
      <c r="H79">
        <v>0</v>
      </c>
      <c r="I79">
        <v>0</v>
      </c>
      <c r="J79">
        <v>19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19</v>
      </c>
      <c r="S79">
        <v>0</v>
      </c>
      <c r="T79">
        <v>0</v>
      </c>
      <c r="U79">
        <v>0</v>
      </c>
      <c r="V79" t="s">
        <v>74</v>
      </c>
      <c r="W79">
        <v>13</v>
      </c>
      <c r="X79">
        <v>6</v>
      </c>
      <c r="Y79">
        <v>0</v>
      </c>
      <c r="Z79">
        <v>0</v>
      </c>
      <c r="AA79">
        <v>13</v>
      </c>
      <c r="AB79">
        <v>6</v>
      </c>
      <c r="AC79">
        <v>0</v>
      </c>
      <c r="AD79">
        <v>0</v>
      </c>
      <c r="AE79">
        <v>19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19</v>
      </c>
      <c r="AN79">
        <v>0</v>
      </c>
      <c r="AO79">
        <v>0</v>
      </c>
      <c r="AP79">
        <v>0</v>
      </c>
      <c r="AQ79" t="s">
        <v>74</v>
      </c>
      <c r="AR79">
        <v>13</v>
      </c>
      <c r="AS79">
        <v>6</v>
      </c>
      <c r="AT79">
        <v>0</v>
      </c>
      <c r="AU79">
        <v>0</v>
      </c>
      <c r="AV79">
        <v>13</v>
      </c>
      <c r="AW79">
        <v>6</v>
      </c>
      <c r="AX79">
        <v>0</v>
      </c>
      <c r="AY79">
        <v>0</v>
      </c>
      <c r="AZ79">
        <v>19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I79">
        <v>0</v>
      </c>
      <c r="BJ79">
        <v>0</v>
      </c>
      <c r="BK79">
        <v>0</v>
      </c>
    </row>
    <row r="80" spans="1:63">
      <c r="A80" t="s">
        <v>1</v>
      </c>
      <c r="B80">
        <v>8</v>
      </c>
      <c r="C80">
        <v>0</v>
      </c>
      <c r="D80">
        <v>0</v>
      </c>
      <c r="E80">
        <v>0</v>
      </c>
      <c r="F80">
        <v>8</v>
      </c>
      <c r="G80">
        <v>0</v>
      </c>
      <c r="H80">
        <v>0</v>
      </c>
      <c r="I80">
        <v>0</v>
      </c>
      <c r="J80">
        <v>10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8</v>
      </c>
      <c r="S80">
        <v>0</v>
      </c>
      <c r="T80">
        <v>0</v>
      </c>
      <c r="U80">
        <v>0</v>
      </c>
      <c r="V80" t="s">
        <v>1</v>
      </c>
      <c r="W80">
        <v>8</v>
      </c>
      <c r="X80">
        <v>0</v>
      </c>
      <c r="Y80">
        <v>0</v>
      </c>
      <c r="Z80">
        <v>0</v>
      </c>
      <c r="AA80">
        <v>8</v>
      </c>
      <c r="AB80">
        <v>0</v>
      </c>
      <c r="AC80">
        <v>0</v>
      </c>
      <c r="AD80">
        <v>0</v>
      </c>
      <c r="AE80">
        <v>10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8</v>
      </c>
      <c r="AN80">
        <v>0</v>
      </c>
      <c r="AO80">
        <v>0</v>
      </c>
      <c r="AP80">
        <v>0</v>
      </c>
      <c r="AQ80" t="s">
        <v>1</v>
      </c>
      <c r="AR80">
        <v>8</v>
      </c>
      <c r="AS80">
        <v>0</v>
      </c>
      <c r="AT80">
        <v>0</v>
      </c>
      <c r="AU80">
        <v>0</v>
      </c>
      <c r="AV80">
        <v>8</v>
      </c>
      <c r="AW80">
        <v>0</v>
      </c>
      <c r="AX80">
        <v>0</v>
      </c>
      <c r="AY80">
        <v>0</v>
      </c>
      <c r="AZ80">
        <v>10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</v>
      </c>
      <c r="BI80">
        <v>0</v>
      </c>
      <c r="BJ80">
        <v>0</v>
      </c>
      <c r="BK80">
        <v>0</v>
      </c>
    </row>
    <row r="81" spans="1:63">
      <c r="A81" t="s">
        <v>0</v>
      </c>
      <c r="B81">
        <v>50</v>
      </c>
      <c r="C81">
        <v>44</v>
      </c>
      <c r="D81">
        <v>0</v>
      </c>
      <c r="E81">
        <v>0</v>
      </c>
      <c r="F81">
        <v>50</v>
      </c>
      <c r="G81">
        <v>44</v>
      </c>
      <c r="H81">
        <v>0</v>
      </c>
      <c r="I81">
        <v>0</v>
      </c>
      <c r="J81">
        <v>74</v>
      </c>
      <c r="K81">
        <v>20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60</v>
      </c>
      <c r="S81">
        <v>34</v>
      </c>
      <c r="T81">
        <v>0</v>
      </c>
      <c r="U81">
        <v>0</v>
      </c>
      <c r="V81" t="s">
        <v>0</v>
      </c>
      <c r="W81">
        <v>50</v>
      </c>
      <c r="X81">
        <v>44</v>
      </c>
      <c r="Y81">
        <v>0</v>
      </c>
      <c r="Z81">
        <v>0</v>
      </c>
      <c r="AA81">
        <v>50</v>
      </c>
      <c r="AB81">
        <v>44</v>
      </c>
      <c r="AC81">
        <v>0</v>
      </c>
      <c r="AD81">
        <v>0</v>
      </c>
      <c r="AE81">
        <v>74</v>
      </c>
      <c r="AF81">
        <v>20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60</v>
      </c>
      <c r="AN81">
        <v>34</v>
      </c>
      <c r="AO81">
        <v>0</v>
      </c>
      <c r="AP81">
        <v>0</v>
      </c>
      <c r="AQ81" t="s">
        <v>0</v>
      </c>
      <c r="AR81">
        <v>50</v>
      </c>
      <c r="AS81">
        <v>44</v>
      </c>
      <c r="AT81">
        <v>0</v>
      </c>
      <c r="AU81">
        <v>0</v>
      </c>
      <c r="AV81">
        <v>50</v>
      </c>
      <c r="AW81">
        <v>44</v>
      </c>
      <c r="AX81">
        <v>0</v>
      </c>
      <c r="AY81">
        <v>0</v>
      </c>
      <c r="AZ81">
        <v>94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0</v>
      </c>
      <c r="BJ81">
        <v>0</v>
      </c>
      <c r="BK81">
        <v>0</v>
      </c>
    </row>
    <row r="82" spans="1:63">
      <c r="A82" t="s">
        <v>90</v>
      </c>
      <c r="B82">
        <v>5</v>
      </c>
      <c r="C82">
        <v>0</v>
      </c>
      <c r="D82">
        <v>0</v>
      </c>
      <c r="E82">
        <v>0</v>
      </c>
      <c r="F82">
        <v>5</v>
      </c>
      <c r="G82">
        <v>0</v>
      </c>
      <c r="H82">
        <v>0</v>
      </c>
      <c r="I82">
        <v>0</v>
      </c>
      <c r="J82">
        <v>5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5</v>
      </c>
      <c r="S82">
        <v>0</v>
      </c>
      <c r="T82">
        <v>0</v>
      </c>
      <c r="U82">
        <v>0</v>
      </c>
      <c r="V82" t="s">
        <v>90</v>
      </c>
      <c r="W82">
        <v>5</v>
      </c>
      <c r="X82">
        <v>0</v>
      </c>
      <c r="Y82">
        <v>0</v>
      </c>
      <c r="Z82">
        <v>0</v>
      </c>
      <c r="AA82">
        <v>5</v>
      </c>
      <c r="AB82">
        <v>0</v>
      </c>
      <c r="AC82">
        <v>0</v>
      </c>
      <c r="AD82">
        <v>0</v>
      </c>
      <c r="AE82">
        <v>5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5</v>
      </c>
      <c r="AN82">
        <v>0</v>
      </c>
      <c r="AO82">
        <v>0</v>
      </c>
      <c r="AP82">
        <v>0</v>
      </c>
      <c r="AQ82" t="s">
        <v>90</v>
      </c>
      <c r="AR82">
        <v>5</v>
      </c>
      <c r="AS82">
        <v>0</v>
      </c>
      <c r="AT82">
        <v>0</v>
      </c>
      <c r="AU82">
        <v>0</v>
      </c>
      <c r="AV82">
        <v>5</v>
      </c>
      <c r="AW82">
        <v>0</v>
      </c>
      <c r="AX82">
        <v>0</v>
      </c>
      <c r="AY82">
        <v>0</v>
      </c>
      <c r="AZ82">
        <v>5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0</v>
      </c>
      <c r="BJ82">
        <v>0</v>
      </c>
      <c r="BK82">
        <v>0</v>
      </c>
    </row>
    <row r="83" spans="1:63">
      <c r="A83" t="s">
        <v>65</v>
      </c>
      <c r="B83">
        <v>50</v>
      </c>
      <c r="C83">
        <v>0</v>
      </c>
      <c r="D83">
        <v>0</v>
      </c>
      <c r="E83">
        <v>0</v>
      </c>
      <c r="F83">
        <v>50</v>
      </c>
      <c r="G83">
        <v>0</v>
      </c>
      <c r="H83">
        <v>0</v>
      </c>
      <c r="I83">
        <v>0</v>
      </c>
      <c r="J83">
        <v>50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50</v>
      </c>
      <c r="S83">
        <v>0</v>
      </c>
      <c r="T83">
        <v>0</v>
      </c>
      <c r="U83">
        <v>0</v>
      </c>
      <c r="V83" t="s">
        <v>65</v>
      </c>
      <c r="W83">
        <v>50</v>
      </c>
      <c r="X83">
        <v>0</v>
      </c>
      <c r="Y83">
        <v>0</v>
      </c>
      <c r="Z83">
        <v>0</v>
      </c>
      <c r="AA83">
        <v>50</v>
      </c>
      <c r="AB83">
        <v>0</v>
      </c>
      <c r="AC83">
        <v>0</v>
      </c>
      <c r="AD83">
        <v>0</v>
      </c>
      <c r="AE83">
        <v>50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50</v>
      </c>
      <c r="AN83">
        <v>0</v>
      </c>
      <c r="AO83">
        <v>0</v>
      </c>
      <c r="AP83">
        <v>0</v>
      </c>
      <c r="AQ83" t="s">
        <v>65</v>
      </c>
      <c r="AR83">
        <v>50</v>
      </c>
      <c r="AS83">
        <v>0</v>
      </c>
      <c r="AT83">
        <v>0</v>
      </c>
      <c r="AU83">
        <v>0</v>
      </c>
      <c r="AV83">
        <v>50</v>
      </c>
      <c r="AW83">
        <v>0</v>
      </c>
      <c r="AX83">
        <v>0</v>
      </c>
      <c r="AY83">
        <v>0</v>
      </c>
      <c r="AZ83">
        <v>50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0</v>
      </c>
      <c r="BK83">
        <v>0</v>
      </c>
    </row>
    <row r="84" spans="1:63">
      <c r="A84" t="s">
        <v>86</v>
      </c>
      <c r="B84">
        <v>33</v>
      </c>
      <c r="C84">
        <v>0</v>
      </c>
      <c r="D84">
        <v>0</v>
      </c>
      <c r="E84">
        <v>0</v>
      </c>
      <c r="F84">
        <v>33</v>
      </c>
      <c r="G84">
        <v>0</v>
      </c>
      <c r="H84">
        <v>0</v>
      </c>
      <c r="I84">
        <v>0</v>
      </c>
      <c r="J84">
        <v>33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33</v>
      </c>
      <c r="S84">
        <v>0</v>
      </c>
      <c r="T84">
        <v>0</v>
      </c>
      <c r="U84">
        <v>0</v>
      </c>
      <c r="V84" t="s">
        <v>86</v>
      </c>
      <c r="W84">
        <v>33</v>
      </c>
      <c r="X84">
        <v>0</v>
      </c>
      <c r="Y84">
        <v>0</v>
      </c>
      <c r="Z84">
        <v>0</v>
      </c>
      <c r="AA84">
        <v>33</v>
      </c>
      <c r="AB84">
        <v>0</v>
      </c>
      <c r="AC84">
        <v>0</v>
      </c>
      <c r="AD84">
        <v>0</v>
      </c>
      <c r="AE84">
        <v>33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33</v>
      </c>
      <c r="AN84">
        <v>0</v>
      </c>
      <c r="AO84">
        <v>0</v>
      </c>
      <c r="AP84">
        <v>0</v>
      </c>
      <c r="AQ84" t="s">
        <v>86</v>
      </c>
      <c r="AR84">
        <v>33</v>
      </c>
      <c r="AS84">
        <v>0</v>
      </c>
      <c r="AT84">
        <v>0</v>
      </c>
      <c r="AU84">
        <v>0</v>
      </c>
      <c r="AV84">
        <v>33</v>
      </c>
      <c r="AW84">
        <v>0</v>
      </c>
      <c r="AX84">
        <v>0</v>
      </c>
      <c r="AY84">
        <v>0</v>
      </c>
      <c r="AZ84">
        <v>33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0</v>
      </c>
      <c r="BK84">
        <v>0</v>
      </c>
    </row>
    <row r="85" spans="1:63">
      <c r="A85" t="s">
        <v>88</v>
      </c>
      <c r="B85">
        <v>55</v>
      </c>
      <c r="C85">
        <v>1</v>
      </c>
      <c r="D85">
        <v>0</v>
      </c>
      <c r="E85">
        <v>0</v>
      </c>
      <c r="F85">
        <v>55</v>
      </c>
      <c r="G85">
        <v>1</v>
      </c>
      <c r="H85">
        <v>0</v>
      </c>
      <c r="I85">
        <v>0</v>
      </c>
      <c r="J85">
        <v>56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56</v>
      </c>
      <c r="S85">
        <v>0</v>
      </c>
      <c r="T85">
        <v>0</v>
      </c>
      <c r="U85">
        <v>0</v>
      </c>
      <c r="V85" t="s">
        <v>88</v>
      </c>
      <c r="W85">
        <v>55</v>
      </c>
      <c r="X85">
        <v>1</v>
      </c>
      <c r="Y85">
        <v>0</v>
      </c>
      <c r="Z85">
        <v>0</v>
      </c>
      <c r="AA85">
        <v>55</v>
      </c>
      <c r="AB85">
        <v>1</v>
      </c>
      <c r="AC85">
        <v>0</v>
      </c>
      <c r="AD85">
        <v>0</v>
      </c>
      <c r="AE85">
        <v>56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56</v>
      </c>
      <c r="AN85">
        <v>0</v>
      </c>
      <c r="AO85">
        <v>0</v>
      </c>
      <c r="AP85">
        <v>0</v>
      </c>
      <c r="AQ85" t="s">
        <v>88</v>
      </c>
      <c r="AR85">
        <v>55</v>
      </c>
      <c r="AS85">
        <v>1</v>
      </c>
      <c r="AT85">
        <v>0</v>
      </c>
      <c r="AU85">
        <v>0</v>
      </c>
      <c r="AV85">
        <v>55</v>
      </c>
      <c r="AW85">
        <v>1</v>
      </c>
      <c r="AX85">
        <v>0</v>
      </c>
      <c r="AY85">
        <v>0</v>
      </c>
      <c r="AZ85">
        <v>56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</v>
      </c>
      <c r="BJ85">
        <v>0</v>
      </c>
      <c r="BK85">
        <v>0</v>
      </c>
    </row>
    <row r="86" spans="1:63">
      <c r="A86" t="s">
        <v>77</v>
      </c>
      <c r="B86">
        <v>86</v>
      </c>
      <c r="C86">
        <v>2</v>
      </c>
      <c r="D86">
        <v>0</v>
      </c>
      <c r="E86">
        <v>0</v>
      </c>
      <c r="F86">
        <v>86</v>
      </c>
      <c r="G86">
        <v>2</v>
      </c>
      <c r="H86">
        <v>0</v>
      </c>
      <c r="I86">
        <v>0</v>
      </c>
      <c r="J86">
        <v>88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88</v>
      </c>
      <c r="S86">
        <v>0</v>
      </c>
      <c r="T86">
        <v>0</v>
      </c>
      <c r="U86">
        <v>0</v>
      </c>
      <c r="V86" t="s">
        <v>77</v>
      </c>
      <c r="W86">
        <v>86</v>
      </c>
      <c r="X86">
        <v>2</v>
      </c>
      <c r="Y86">
        <v>0</v>
      </c>
      <c r="Z86">
        <v>0</v>
      </c>
      <c r="AA86">
        <v>86</v>
      </c>
      <c r="AB86">
        <v>2</v>
      </c>
      <c r="AC86">
        <v>0</v>
      </c>
      <c r="AD86">
        <v>0</v>
      </c>
      <c r="AE86">
        <v>88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88</v>
      </c>
      <c r="AN86">
        <v>0</v>
      </c>
      <c r="AO86">
        <v>0</v>
      </c>
      <c r="AP86">
        <v>0</v>
      </c>
      <c r="AQ86" t="s">
        <v>77</v>
      </c>
      <c r="AR86">
        <v>86</v>
      </c>
      <c r="AS86">
        <v>2</v>
      </c>
      <c r="AT86">
        <v>0</v>
      </c>
      <c r="AU86">
        <v>0</v>
      </c>
      <c r="AV86">
        <v>86</v>
      </c>
      <c r="AW86">
        <v>2</v>
      </c>
      <c r="AX86">
        <v>0</v>
      </c>
      <c r="AY86">
        <v>0</v>
      </c>
      <c r="AZ86">
        <v>88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</v>
      </c>
      <c r="BJ86">
        <v>0</v>
      </c>
      <c r="BK86">
        <v>0</v>
      </c>
    </row>
    <row r="87" spans="1:63">
      <c r="A87" t="s">
        <v>17</v>
      </c>
      <c r="B87">
        <v>35</v>
      </c>
      <c r="C87">
        <v>1</v>
      </c>
      <c r="D87">
        <v>0</v>
      </c>
      <c r="E87">
        <v>0</v>
      </c>
      <c r="F87">
        <v>35</v>
      </c>
      <c r="G87">
        <v>1</v>
      </c>
      <c r="H87">
        <v>0</v>
      </c>
      <c r="I87">
        <v>0</v>
      </c>
      <c r="J87">
        <v>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36</v>
      </c>
      <c r="S87">
        <v>0</v>
      </c>
      <c r="T87">
        <v>0</v>
      </c>
      <c r="U87">
        <v>0</v>
      </c>
      <c r="V87" t="s">
        <v>17</v>
      </c>
      <c r="W87">
        <v>35</v>
      </c>
      <c r="X87">
        <v>1</v>
      </c>
      <c r="Y87">
        <v>0</v>
      </c>
      <c r="Z87">
        <v>0</v>
      </c>
      <c r="AA87">
        <v>35</v>
      </c>
      <c r="AB87">
        <v>1</v>
      </c>
      <c r="AC87">
        <v>0</v>
      </c>
      <c r="AD87">
        <v>0</v>
      </c>
      <c r="AE87">
        <v>36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36</v>
      </c>
      <c r="AN87">
        <v>0</v>
      </c>
      <c r="AO87">
        <v>0</v>
      </c>
      <c r="AP87">
        <v>0</v>
      </c>
      <c r="AQ87" t="s">
        <v>17</v>
      </c>
      <c r="AR87">
        <v>35</v>
      </c>
      <c r="AS87">
        <v>1</v>
      </c>
      <c r="AT87">
        <v>0</v>
      </c>
      <c r="AU87">
        <v>0</v>
      </c>
      <c r="AV87">
        <v>35</v>
      </c>
      <c r="AW87">
        <v>1</v>
      </c>
      <c r="AX87">
        <v>0</v>
      </c>
      <c r="AY87">
        <v>0</v>
      </c>
      <c r="AZ87">
        <v>36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</row>
    <row r="88" spans="1:63">
      <c r="A88" t="s">
        <v>35</v>
      </c>
      <c r="B88">
        <v>11</v>
      </c>
      <c r="C88">
        <v>0</v>
      </c>
      <c r="D88">
        <v>0</v>
      </c>
      <c r="E88">
        <v>0</v>
      </c>
      <c r="F88">
        <v>11</v>
      </c>
      <c r="G88">
        <v>0</v>
      </c>
      <c r="H88">
        <v>0</v>
      </c>
      <c r="I88">
        <v>0</v>
      </c>
      <c r="J88">
        <v>11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11</v>
      </c>
      <c r="S88">
        <v>0</v>
      </c>
      <c r="T88">
        <v>0</v>
      </c>
      <c r="U88">
        <v>0</v>
      </c>
      <c r="V88" t="s">
        <v>35</v>
      </c>
      <c r="W88">
        <v>11</v>
      </c>
      <c r="X88">
        <v>0</v>
      </c>
      <c r="Y88">
        <v>0</v>
      </c>
      <c r="Z88">
        <v>0</v>
      </c>
      <c r="AA88">
        <v>11</v>
      </c>
      <c r="AB88">
        <v>0</v>
      </c>
      <c r="AC88">
        <v>0</v>
      </c>
      <c r="AD88">
        <v>0</v>
      </c>
      <c r="AE88">
        <v>11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11</v>
      </c>
      <c r="AN88">
        <v>0</v>
      </c>
      <c r="AO88">
        <v>0</v>
      </c>
      <c r="AP88">
        <v>0</v>
      </c>
      <c r="AQ88" t="s">
        <v>35</v>
      </c>
      <c r="AR88">
        <v>11</v>
      </c>
      <c r="AS88">
        <v>0</v>
      </c>
      <c r="AT88">
        <v>0</v>
      </c>
      <c r="AU88">
        <v>0</v>
      </c>
      <c r="AV88">
        <v>11</v>
      </c>
      <c r="AW88">
        <v>0</v>
      </c>
      <c r="AX88">
        <v>0</v>
      </c>
      <c r="AY88">
        <v>0</v>
      </c>
      <c r="AZ88">
        <v>11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0</v>
      </c>
      <c r="BJ88">
        <v>0</v>
      </c>
      <c r="BK88">
        <v>0</v>
      </c>
    </row>
    <row r="89" spans="1:63">
      <c r="A89" t="s">
        <v>83</v>
      </c>
      <c r="B89">
        <v>82</v>
      </c>
      <c r="C89">
        <v>0</v>
      </c>
      <c r="D89">
        <v>0</v>
      </c>
      <c r="E89">
        <v>0</v>
      </c>
      <c r="F89">
        <v>82</v>
      </c>
      <c r="G89">
        <v>0</v>
      </c>
      <c r="H89">
        <v>0</v>
      </c>
      <c r="I89">
        <v>0</v>
      </c>
      <c r="J89">
        <v>82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82</v>
      </c>
      <c r="S89">
        <v>0</v>
      </c>
      <c r="T89">
        <v>0</v>
      </c>
      <c r="U89">
        <v>0</v>
      </c>
      <c r="V89" t="s">
        <v>83</v>
      </c>
      <c r="W89">
        <v>82</v>
      </c>
      <c r="X89">
        <v>0</v>
      </c>
      <c r="Y89">
        <v>0</v>
      </c>
      <c r="Z89">
        <v>0</v>
      </c>
      <c r="AA89">
        <v>82</v>
      </c>
      <c r="AB89">
        <v>0</v>
      </c>
      <c r="AC89">
        <v>0</v>
      </c>
      <c r="AD89">
        <v>0</v>
      </c>
      <c r="AE89">
        <v>82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82</v>
      </c>
      <c r="AN89">
        <v>0</v>
      </c>
      <c r="AO89">
        <v>0</v>
      </c>
      <c r="AP89">
        <v>0</v>
      </c>
      <c r="AQ89" t="s">
        <v>83</v>
      </c>
      <c r="AR89">
        <v>82</v>
      </c>
      <c r="AS89">
        <v>0</v>
      </c>
      <c r="AT89">
        <v>0</v>
      </c>
      <c r="AU89">
        <v>0</v>
      </c>
      <c r="AV89">
        <v>82</v>
      </c>
      <c r="AW89">
        <v>0</v>
      </c>
      <c r="AX89">
        <v>0</v>
      </c>
      <c r="AY89">
        <v>0</v>
      </c>
      <c r="AZ89">
        <v>82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0</v>
      </c>
      <c r="BJ89">
        <v>0</v>
      </c>
      <c r="BK89">
        <v>0</v>
      </c>
    </row>
    <row r="90" spans="1:63">
      <c r="A90" t="s">
        <v>80</v>
      </c>
      <c r="B90">
        <v>126</v>
      </c>
      <c r="C90">
        <v>6</v>
      </c>
      <c r="D90">
        <v>0</v>
      </c>
      <c r="E90">
        <v>0</v>
      </c>
      <c r="F90">
        <v>126</v>
      </c>
      <c r="G90">
        <v>6</v>
      </c>
      <c r="H90">
        <v>0</v>
      </c>
      <c r="I90">
        <v>0</v>
      </c>
      <c r="J90">
        <v>132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132</v>
      </c>
      <c r="S90">
        <v>0</v>
      </c>
      <c r="T90">
        <v>0</v>
      </c>
      <c r="U90">
        <v>0</v>
      </c>
      <c r="V90" t="s">
        <v>80</v>
      </c>
      <c r="W90">
        <v>126</v>
      </c>
      <c r="X90">
        <v>6</v>
      </c>
      <c r="Y90">
        <v>0</v>
      </c>
      <c r="Z90">
        <v>0</v>
      </c>
      <c r="AA90">
        <v>126</v>
      </c>
      <c r="AB90">
        <v>6</v>
      </c>
      <c r="AC90">
        <v>0</v>
      </c>
      <c r="AD90">
        <v>0</v>
      </c>
      <c r="AE90">
        <v>132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132</v>
      </c>
      <c r="AN90">
        <v>0</v>
      </c>
      <c r="AO90">
        <v>0</v>
      </c>
      <c r="AP90">
        <v>0</v>
      </c>
      <c r="AQ90" t="s">
        <v>80</v>
      </c>
      <c r="AR90">
        <v>126</v>
      </c>
      <c r="AS90">
        <v>6</v>
      </c>
      <c r="AT90">
        <v>0</v>
      </c>
      <c r="AU90">
        <v>0</v>
      </c>
      <c r="AV90">
        <v>126</v>
      </c>
      <c r="AW90">
        <v>6</v>
      </c>
      <c r="AX90">
        <v>0</v>
      </c>
      <c r="AY90">
        <v>0</v>
      </c>
      <c r="AZ90">
        <v>132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0</v>
      </c>
      <c r="BJ90">
        <v>0</v>
      </c>
      <c r="BK90">
        <v>0</v>
      </c>
    </row>
    <row r="91" spans="1:63">
      <c r="A91" t="s">
        <v>10</v>
      </c>
      <c r="B91">
        <v>30</v>
      </c>
      <c r="C91">
        <v>0</v>
      </c>
      <c r="D91">
        <v>0</v>
      </c>
      <c r="E91">
        <v>0</v>
      </c>
      <c r="F91">
        <v>30</v>
      </c>
      <c r="G91">
        <v>0</v>
      </c>
      <c r="H91">
        <v>0</v>
      </c>
      <c r="I91">
        <v>0</v>
      </c>
      <c r="J91">
        <v>30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30</v>
      </c>
      <c r="S91">
        <v>0</v>
      </c>
      <c r="T91">
        <v>0</v>
      </c>
      <c r="U91">
        <v>0</v>
      </c>
      <c r="V91" t="s">
        <v>10</v>
      </c>
      <c r="W91">
        <v>30</v>
      </c>
      <c r="X91">
        <v>0</v>
      </c>
      <c r="Y91">
        <v>0</v>
      </c>
      <c r="Z91">
        <v>0</v>
      </c>
      <c r="AA91">
        <v>30</v>
      </c>
      <c r="AB91">
        <v>0</v>
      </c>
      <c r="AC91">
        <v>0</v>
      </c>
      <c r="AD91">
        <v>0</v>
      </c>
      <c r="AE91">
        <v>30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30</v>
      </c>
      <c r="AN91">
        <v>0</v>
      </c>
      <c r="AO91">
        <v>0</v>
      </c>
      <c r="AP91">
        <v>0</v>
      </c>
      <c r="AQ91" t="s">
        <v>10</v>
      </c>
      <c r="AR91">
        <v>30</v>
      </c>
      <c r="AS91">
        <v>0</v>
      </c>
      <c r="AT91">
        <v>0</v>
      </c>
      <c r="AU91">
        <v>0</v>
      </c>
      <c r="AV91">
        <v>30</v>
      </c>
      <c r="AW91">
        <v>0</v>
      </c>
      <c r="AX91">
        <v>0</v>
      </c>
      <c r="AY91">
        <v>0</v>
      </c>
      <c r="AZ91">
        <v>30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0</v>
      </c>
      <c r="BJ91">
        <v>0</v>
      </c>
      <c r="BK91">
        <v>0</v>
      </c>
    </row>
    <row r="92" spans="1:63">
      <c r="A92" t="s">
        <v>97</v>
      </c>
      <c r="B92">
        <v>41</v>
      </c>
      <c r="C92">
        <v>0</v>
      </c>
      <c r="D92">
        <v>0</v>
      </c>
      <c r="E92">
        <v>0</v>
      </c>
      <c r="F92">
        <v>41</v>
      </c>
      <c r="G92">
        <v>0</v>
      </c>
      <c r="H92">
        <v>0</v>
      </c>
      <c r="I92">
        <v>0</v>
      </c>
      <c r="J92">
        <v>41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41</v>
      </c>
      <c r="S92">
        <v>0</v>
      </c>
      <c r="T92">
        <v>0</v>
      </c>
      <c r="U92">
        <v>0</v>
      </c>
      <c r="V92" t="s">
        <v>97</v>
      </c>
      <c r="W92">
        <v>41</v>
      </c>
      <c r="X92">
        <v>0</v>
      </c>
      <c r="Y92">
        <v>0</v>
      </c>
      <c r="Z92">
        <v>0</v>
      </c>
      <c r="AA92">
        <v>41</v>
      </c>
      <c r="AB92">
        <v>0</v>
      </c>
      <c r="AC92">
        <v>0</v>
      </c>
      <c r="AD92">
        <v>0</v>
      </c>
      <c r="AE92">
        <v>41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41</v>
      </c>
      <c r="AN92">
        <v>0</v>
      </c>
      <c r="AO92">
        <v>0</v>
      </c>
      <c r="AP92">
        <v>0</v>
      </c>
      <c r="AQ92" t="s">
        <v>97</v>
      </c>
      <c r="AR92">
        <v>41</v>
      </c>
      <c r="AS92">
        <v>0</v>
      </c>
      <c r="AT92">
        <v>0</v>
      </c>
      <c r="AU92">
        <v>0</v>
      </c>
      <c r="AV92">
        <v>41</v>
      </c>
      <c r="AW92">
        <v>0</v>
      </c>
      <c r="AX92">
        <v>0</v>
      </c>
      <c r="AY92">
        <v>0</v>
      </c>
      <c r="AZ92">
        <v>41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I92">
        <v>0</v>
      </c>
      <c r="BJ92">
        <v>0</v>
      </c>
      <c r="BK92">
        <v>0</v>
      </c>
    </row>
    <row r="93" spans="1:63">
      <c r="A93" t="s">
        <v>15</v>
      </c>
      <c r="B93">
        <v>7</v>
      </c>
      <c r="C93">
        <v>0</v>
      </c>
      <c r="D93">
        <v>0</v>
      </c>
      <c r="E93">
        <v>0</v>
      </c>
      <c r="F93">
        <v>7</v>
      </c>
      <c r="G93">
        <v>0</v>
      </c>
      <c r="H93">
        <v>0</v>
      </c>
      <c r="I93">
        <v>0</v>
      </c>
      <c r="J93">
        <v>7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7</v>
      </c>
      <c r="S93">
        <v>0</v>
      </c>
      <c r="T93">
        <v>0</v>
      </c>
      <c r="U93">
        <v>0</v>
      </c>
      <c r="V93" t="s">
        <v>15</v>
      </c>
      <c r="W93">
        <v>7</v>
      </c>
      <c r="X93">
        <v>0</v>
      </c>
      <c r="Y93">
        <v>0</v>
      </c>
      <c r="Z93">
        <v>0</v>
      </c>
      <c r="AA93">
        <v>7</v>
      </c>
      <c r="AB93">
        <v>0</v>
      </c>
      <c r="AC93">
        <v>0</v>
      </c>
      <c r="AD93">
        <v>0</v>
      </c>
      <c r="AE93">
        <v>7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7</v>
      </c>
      <c r="AN93">
        <v>0</v>
      </c>
      <c r="AO93">
        <v>0</v>
      </c>
      <c r="AP93">
        <v>0</v>
      </c>
      <c r="AQ93" t="s">
        <v>15</v>
      </c>
      <c r="AR93">
        <v>7</v>
      </c>
      <c r="AS93">
        <v>0</v>
      </c>
      <c r="AT93">
        <v>0</v>
      </c>
      <c r="AU93">
        <v>0</v>
      </c>
      <c r="AV93">
        <v>7</v>
      </c>
      <c r="AW93">
        <v>0</v>
      </c>
      <c r="AX93">
        <v>0</v>
      </c>
      <c r="AY93">
        <v>0</v>
      </c>
      <c r="AZ93">
        <v>7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0</v>
      </c>
      <c r="BJ93">
        <v>0</v>
      </c>
      <c r="BK93">
        <v>0</v>
      </c>
    </row>
    <row r="94" spans="1:63">
      <c r="A94" t="s">
        <v>61</v>
      </c>
      <c r="B94">
        <v>48</v>
      </c>
      <c r="C94">
        <v>5</v>
      </c>
      <c r="D94">
        <v>0</v>
      </c>
      <c r="E94">
        <v>0</v>
      </c>
      <c r="F94">
        <v>48</v>
      </c>
      <c r="G94">
        <v>5</v>
      </c>
      <c r="H94">
        <v>0</v>
      </c>
      <c r="I94">
        <v>0</v>
      </c>
      <c r="J94">
        <v>53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53</v>
      </c>
      <c r="S94">
        <v>0</v>
      </c>
      <c r="T94">
        <v>0</v>
      </c>
      <c r="U94">
        <v>0</v>
      </c>
      <c r="V94" t="s">
        <v>61</v>
      </c>
      <c r="W94">
        <v>48</v>
      </c>
      <c r="X94">
        <v>5</v>
      </c>
      <c r="Y94">
        <v>0</v>
      </c>
      <c r="Z94">
        <v>0</v>
      </c>
      <c r="AA94">
        <v>48</v>
      </c>
      <c r="AB94">
        <v>5</v>
      </c>
      <c r="AC94">
        <v>0</v>
      </c>
      <c r="AD94">
        <v>0</v>
      </c>
      <c r="AE94">
        <v>53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53</v>
      </c>
      <c r="AN94">
        <v>0</v>
      </c>
      <c r="AO94">
        <v>0</v>
      </c>
      <c r="AP94">
        <v>0</v>
      </c>
      <c r="AQ94" t="s">
        <v>61</v>
      </c>
      <c r="AR94">
        <v>48</v>
      </c>
      <c r="AS94">
        <v>5</v>
      </c>
      <c r="AT94">
        <v>0</v>
      </c>
      <c r="AU94">
        <v>0</v>
      </c>
      <c r="AV94">
        <v>48</v>
      </c>
      <c r="AW94">
        <v>5</v>
      </c>
      <c r="AX94">
        <v>0</v>
      </c>
      <c r="AY94">
        <v>0</v>
      </c>
      <c r="AZ94">
        <v>53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0</v>
      </c>
      <c r="BJ94">
        <v>0</v>
      </c>
      <c r="BK94">
        <v>0</v>
      </c>
    </row>
    <row r="95" spans="1:63">
      <c r="A95" t="s">
        <v>49</v>
      </c>
      <c r="B95">
        <v>18</v>
      </c>
      <c r="C95">
        <v>1</v>
      </c>
      <c r="D95">
        <v>0</v>
      </c>
      <c r="E95">
        <v>0</v>
      </c>
      <c r="F95">
        <v>18</v>
      </c>
      <c r="G95">
        <v>1</v>
      </c>
      <c r="H95">
        <v>0</v>
      </c>
      <c r="I95">
        <v>0</v>
      </c>
      <c r="J95">
        <v>19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19</v>
      </c>
      <c r="S95">
        <v>0</v>
      </c>
      <c r="T95">
        <v>0</v>
      </c>
      <c r="U95">
        <v>0</v>
      </c>
      <c r="V95" t="s">
        <v>49</v>
      </c>
      <c r="W95">
        <v>18</v>
      </c>
      <c r="X95">
        <v>1</v>
      </c>
      <c r="Y95">
        <v>0</v>
      </c>
      <c r="Z95">
        <v>0</v>
      </c>
      <c r="AA95">
        <v>18</v>
      </c>
      <c r="AB95">
        <v>1</v>
      </c>
      <c r="AC95">
        <v>0</v>
      </c>
      <c r="AD95">
        <v>0</v>
      </c>
      <c r="AE95">
        <v>19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19</v>
      </c>
      <c r="AN95">
        <v>0</v>
      </c>
      <c r="AO95">
        <v>0</v>
      </c>
      <c r="AP95">
        <v>0</v>
      </c>
      <c r="AQ95" t="s">
        <v>49</v>
      </c>
      <c r="AR95">
        <v>18</v>
      </c>
      <c r="AS95">
        <v>1</v>
      </c>
      <c r="AT95">
        <v>0</v>
      </c>
      <c r="AU95">
        <v>0</v>
      </c>
      <c r="AV95">
        <v>18</v>
      </c>
      <c r="AW95">
        <v>1</v>
      </c>
      <c r="AX95">
        <v>0</v>
      </c>
      <c r="AY95">
        <v>0</v>
      </c>
      <c r="AZ95">
        <v>19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0</v>
      </c>
      <c r="BI95">
        <v>0</v>
      </c>
      <c r="BJ95">
        <v>0</v>
      </c>
      <c r="BK95">
        <v>0</v>
      </c>
    </row>
    <row r="96" spans="1:63">
      <c r="A96" t="s">
        <v>78</v>
      </c>
      <c r="B96">
        <v>15</v>
      </c>
      <c r="C96">
        <v>0</v>
      </c>
      <c r="D96">
        <v>0</v>
      </c>
      <c r="E96">
        <v>0</v>
      </c>
      <c r="F96">
        <v>15</v>
      </c>
      <c r="G96">
        <v>0</v>
      </c>
      <c r="H96">
        <v>0</v>
      </c>
      <c r="I96">
        <v>0</v>
      </c>
      <c r="J96">
        <v>15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15</v>
      </c>
      <c r="S96">
        <v>0</v>
      </c>
      <c r="T96">
        <v>0</v>
      </c>
      <c r="U96">
        <v>0</v>
      </c>
      <c r="V96" t="s">
        <v>78</v>
      </c>
      <c r="W96">
        <v>15</v>
      </c>
      <c r="X96">
        <v>0</v>
      </c>
      <c r="Y96">
        <v>0</v>
      </c>
      <c r="Z96">
        <v>0</v>
      </c>
      <c r="AA96">
        <v>15</v>
      </c>
      <c r="AB96">
        <v>0</v>
      </c>
      <c r="AC96">
        <v>0</v>
      </c>
      <c r="AD96">
        <v>0</v>
      </c>
      <c r="AE96">
        <v>15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15</v>
      </c>
      <c r="AN96">
        <v>0</v>
      </c>
      <c r="AO96">
        <v>0</v>
      </c>
      <c r="AP96">
        <v>0</v>
      </c>
      <c r="AQ96" t="s">
        <v>78</v>
      </c>
      <c r="AR96">
        <v>15</v>
      </c>
      <c r="AS96">
        <v>0</v>
      </c>
      <c r="AT96">
        <v>0</v>
      </c>
      <c r="AU96">
        <v>0</v>
      </c>
      <c r="AV96">
        <v>15</v>
      </c>
      <c r="AW96">
        <v>0</v>
      </c>
      <c r="AX96">
        <v>0</v>
      </c>
      <c r="AY96">
        <v>0</v>
      </c>
      <c r="AZ96">
        <v>15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0</v>
      </c>
      <c r="BI96">
        <v>0</v>
      </c>
      <c r="BJ96">
        <v>0</v>
      </c>
      <c r="BK96">
        <v>0</v>
      </c>
    </row>
    <row r="97" spans="1:63">
      <c r="A97" t="s">
        <v>73</v>
      </c>
      <c r="B97">
        <v>29</v>
      </c>
      <c r="C97">
        <v>2</v>
      </c>
      <c r="D97">
        <v>0</v>
      </c>
      <c r="E97">
        <v>0</v>
      </c>
      <c r="F97">
        <v>29</v>
      </c>
      <c r="G97">
        <v>2</v>
      </c>
      <c r="H97">
        <v>0</v>
      </c>
      <c r="I97">
        <v>0</v>
      </c>
      <c r="J97">
        <v>31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31</v>
      </c>
      <c r="S97">
        <v>0</v>
      </c>
      <c r="T97">
        <v>0</v>
      </c>
      <c r="U97">
        <v>0</v>
      </c>
      <c r="V97" t="s">
        <v>73</v>
      </c>
      <c r="W97">
        <v>29</v>
      </c>
      <c r="X97">
        <v>2</v>
      </c>
      <c r="Y97">
        <v>0</v>
      </c>
      <c r="Z97">
        <v>0</v>
      </c>
      <c r="AA97">
        <v>29</v>
      </c>
      <c r="AB97">
        <v>2</v>
      </c>
      <c r="AC97">
        <v>0</v>
      </c>
      <c r="AD97">
        <v>0</v>
      </c>
      <c r="AE97">
        <v>31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31</v>
      </c>
      <c r="AN97">
        <v>0</v>
      </c>
      <c r="AO97">
        <v>0</v>
      </c>
      <c r="AP97">
        <v>0</v>
      </c>
      <c r="AQ97" t="s">
        <v>73</v>
      </c>
      <c r="AR97">
        <v>29</v>
      </c>
      <c r="AS97">
        <v>2</v>
      </c>
      <c r="AT97">
        <v>0</v>
      </c>
      <c r="AU97">
        <v>0</v>
      </c>
      <c r="AV97">
        <v>29</v>
      </c>
      <c r="AW97">
        <v>2</v>
      </c>
      <c r="AX97">
        <v>0</v>
      </c>
      <c r="AY97">
        <v>0</v>
      </c>
      <c r="AZ97">
        <v>31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</v>
      </c>
      <c r="BJ97">
        <v>0</v>
      </c>
      <c r="BK97">
        <v>0</v>
      </c>
    </row>
    <row r="98" spans="1:63">
      <c r="A98" t="s">
        <v>63</v>
      </c>
      <c r="B98">
        <v>29</v>
      </c>
      <c r="C98">
        <v>0</v>
      </c>
      <c r="D98">
        <v>0</v>
      </c>
      <c r="E98">
        <v>0</v>
      </c>
      <c r="F98">
        <v>29</v>
      </c>
      <c r="G98">
        <v>0</v>
      </c>
      <c r="H98">
        <v>0</v>
      </c>
      <c r="I98">
        <v>0</v>
      </c>
      <c r="J98">
        <v>29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29</v>
      </c>
      <c r="S98">
        <v>0</v>
      </c>
      <c r="T98">
        <v>0</v>
      </c>
      <c r="U98">
        <v>0</v>
      </c>
      <c r="V98" t="s">
        <v>63</v>
      </c>
      <c r="W98">
        <v>29</v>
      </c>
      <c r="X98">
        <v>0</v>
      </c>
      <c r="Y98">
        <v>0</v>
      </c>
      <c r="Z98">
        <v>0</v>
      </c>
      <c r="AA98">
        <v>29</v>
      </c>
      <c r="AB98">
        <v>0</v>
      </c>
      <c r="AC98">
        <v>0</v>
      </c>
      <c r="AD98">
        <v>0</v>
      </c>
      <c r="AE98">
        <v>29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29</v>
      </c>
      <c r="AN98">
        <v>0</v>
      </c>
      <c r="AO98">
        <v>0</v>
      </c>
      <c r="AP98">
        <v>0</v>
      </c>
      <c r="AQ98" t="s">
        <v>63</v>
      </c>
      <c r="AR98">
        <v>29</v>
      </c>
      <c r="AS98">
        <v>0</v>
      </c>
      <c r="AT98">
        <v>0</v>
      </c>
      <c r="AU98">
        <v>0</v>
      </c>
      <c r="AV98">
        <v>29</v>
      </c>
      <c r="AW98">
        <v>0</v>
      </c>
      <c r="AX98">
        <v>0</v>
      </c>
      <c r="AY98">
        <v>0</v>
      </c>
      <c r="AZ98">
        <v>29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I98">
        <v>0</v>
      </c>
      <c r="BJ98">
        <v>0</v>
      </c>
      <c r="BK98">
        <v>0</v>
      </c>
    </row>
    <row r="99" spans="1:63">
      <c r="A99" t="s">
        <v>59</v>
      </c>
      <c r="B99">
        <v>22</v>
      </c>
      <c r="C99">
        <v>0</v>
      </c>
      <c r="D99">
        <v>0</v>
      </c>
      <c r="E99">
        <v>0</v>
      </c>
      <c r="F99">
        <v>22</v>
      </c>
      <c r="G99">
        <v>0</v>
      </c>
      <c r="H99">
        <v>0</v>
      </c>
      <c r="I99">
        <v>0</v>
      </c>
      <c r="J99">
        <v>22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22</v>
      </c>
      <c r="S99">
        <v>0</v>
      </c>
      <c r="T99">
        <v>0</v>
      </c>
      <c r="U99">
        <v>0</v>
      </c>
      <c r="V99" t="s">
        <v>59</v>
      </c>
      <c r="W99">
        <v>22</v>
      </c>
      <c r="X99">
        <v>0</v>
      </c>
      <c r="Y99">
        <v>0</v>
      </c>
      <c r="Z99">
        <v>0</v>
      </c>
      <c r="AA99">
        <v>22</v>
      </c>
      <c r="AB99">
        <v>0</v>
      </c>
      <c r="AC99">
        <v>0</v>
      </c>
      <c r="AD99">
        <v>0</v>
      </c>
      <c r="AE99">
        <v>22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22</v>
      </c>
      <c r="AN99">
        <v>0</v>
      </c>
      <c r="AO99">
        <v>0</v>
      </c>
      <c r="AP99">
        <v>0</v>
      </c>
      <c r="AQ99" t="s">
        <v>59</v>
      </c>
      <c r="AR99">
        <v>22</v>
      </c>
      <c r="AS99">
        <v>0</v>
      </c>
      <c r="AT99">
        <v>0</v>
      </c>
      <c r="AU99">
        <v>0</v>
      </c>
      <c r="AV99">
        <v>22</v>
      </c>
      <c r="AW99">
        <v>0</v>
      </c>
      <c r="AX99">
        <v>0</v>
      </c>
      <c r="AY99">
        <v>0</v>
      </c>
      <c r="AZ99">
        <v>22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0</v>
      </c>
      <c r="BJ99">
        <v>0</v>
      </c>
      <c r="BK99">
        <v>0</v>
      </c>
    </row>
    <row r="100" spans="1:63">
      <c r="A100" t="s">
        <v>68</v>
      </c>
      <c r="B100">
        <v>130</v>
      </c>
      <c r="C100">
        <v>4</v>
      </c>
      <c r="D100">
        <v>0</v>
      </c>
      <c r="E100">
        <v>0</v>
      </c>
      <c r="F100">
        <v>130</v>
      </c>
      <c r="G100">
        <v>4</v>
      </c>
      <c r="H100">
        <v>0</v>
      </c>
      <c r="I100">
        <v>0</v>
      </c>
      <c r="J100">
        <v>134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134</v>
      </c>
      <c r="S100">
        <v>0</v>
      </c>
      <c r="T100">
        <v>0</v>
      </c>
      <c r="U100">
        <v>0</v>
      </c>
      <c r="V100" t="s">
        <v>68</v>
      </c>
      <c r="W100">
        <v>130</v>
      </c>
      <c r="X100">
        <v>4</v>
      </c>
      <c r="Y100">
        <v>0</v>
      </c>
      <c r="Z100">
        <v>0</v>
      </c>
      <c r="AA100">
        <v>130</v>
      </c>
      <c r="AB100">
        <v>4</v>
      </c>
      <c r="AC100">
        <v>0</v>
      </c>
      <c r="AD100">
        <v>0</v>
      </c>
      <c r="AE100">
        <v>134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134</v>
      </c>
      <c r="AN100">
        <v>0</v>
      </c>
      <c r="AO100">
        <v>0</v>
      </c>
      <c r="AP100">
        <v>0</v>
      </c>
      <c r="AQ100" t="s">
        <v>68</v>
      </c>
      <c r="AR100">
        <v>130</v>
      </c>
      <c r="AS100">
        <v>4</v>
      </c>
      <c r="AT100">
        <v>0</v>
      </c>
      <c r="AU100">
        <v>0</v>
      </c>
      <c r="AV100">
        <v>130</v>
      </c>
      <c r="AW100">
        <v>4</v>
      </c>
      <c r="AX100">
        <v>0</v>
      </c>
      <c r="AY100">
        <v>0</v>
      </c>
      <c r="AZ100">
        <v>134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0</v>
      </c>
    </row>
    <row r="101" spans="1:63">
      <c r="A101" t="s">
        <v>34</v>
      </c>
      <c r="B101">
        <v>111</v>
      </c>
      <c r="C101">
        <v>0</v>
      </c>
      <c r="D101">
        <v>0</v>
      </c>
      <c r="E101">
        <v>0</v>
      </c>
      <c r="F101">
        <v>111</v>
      </c>
      <c r="G101">
        <v>0</v>
      </c>
      <c r="H101">
        <v>0</v>
      </c>
      <c r="I101">
        <v>0</v>
      </c>
      <c r="J101">
        <v>111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111</v>
      </c>
      <c r="S101">
        <v>0</v>
      </c>
      <c r="T101">
        <v>0</v>
      </c>
      <c r="U101">
        <v>0</v>
      </c>
      <c r="V101" t="s">
        <v>34</v>
      </c>
      <c r="W101">
        <v>111</v>
      </c>
      <c r="X101">
        <v>0</v>
      </c>
      <c r="Y101">
        <v>0</v>
      </c>
      <c r="Z101">
        <v>0</v>
      </c>
      <c r="AA101">
        <v>111</v>
      </c>
      <c r="AB101">
        <v>0</v>
      </c>
      <c r="AC101">
        <v>0</v>
      </c>
      <c r="AD101">
        <v>0</v>
      </c>
      <c r="AE101">
        <v>111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111</v>
      </c>
      <c r="AN101">
        <v>0</v>
      </c>
      <c r="AO101">
        <v>0</v>
      </c>
      <c r="AP101">
        <v>0</v>
      </c>
      <c r="AQ101" t="s">
        <v>34</v>
      </c>
      <c r="AR101">
        <v>111</v>
      </c>
      <c r="AS101">
        <v>0</v>
      </c>
      <c r="AT101">
        <v>0</v>
      </c>
      <c r="AU101">
        <v>0</v>
      </c>
      <c r="AV101">
        <v>111</v>
      </c>
      <c r="AW101">
        <v>0</v>
      </c>
      <c r="AX101">
        <v>0</v>
      </c>
      <c r="AY101">
        <v>0</v>
      </c>
      <c r="AZ101">
        <v>111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I101">
        <v>0</v>
      </c>
      <c r="BJ101">
        <v>0</v>
      </c>
      <c r="BK101">
        <v>0</v>
      </c>
    </row>
    <row r="102" spans="1:63">
      <c r="A102" t="s">
        <v>4</v>
      </c>
      <c r="B102">
        <v>71</v>
      </c>
      <c r="C102">
        <v>0</v>
      </c>
      <c r="D102">
        <v>0</v>
      </c>
      <c r="E102">
        <v>0</v>
      </c>
      <c r="F102">
        <v>71</v>
      </c>
      <c r="G102">
        <v>0</v>
      </c>
      <c r="H102">
        <v>0</v>
      </c>
      <c r="I102">
        <v>0</v>
      </c>
      <c r="J102">
        <v>71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71</v>
      </c>
      <c r="S102">
        <v>0</v>
      </c>
      <c r="T102">
        <v>0</v>
      </c>
      <c r="U102">
        <v>0</v>
      </c>
      <c r="V102" t="s">
        <v>4</v>
      </c>
      <c r="W102">
        <v>71</v>
      </c>
      <c r="X102">
        <v>0</v>
      </c>
      <c r="Y102">
        <v>0</v>
      </c>
      <c r="Z102">
        <v>0</v>
      </c>
      <c r="AA102">
        <v>71</v>
      </c>
      <c r="AB102">
        <v>0</v>
      </c>
      <c r="AC102">
        <v>0</v>
      </c>
      <c r="AD102">
        <v>0</v>
      </c>
      <c r="AE102">
        <v>71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71</v>
      </c>
      <c r="AN102">
        <v>0</v>
      </c>
      <c r="AO102">
        <v>0</v>
      </c>
      <c r="AP102">
        <v>0</v>
      </c>
      <c r="AQ102" t="s">
        <v>4</v>
      </c>
      <c r="AR102">
        <v>71</v>
      </c>
      <c r="AS102">
        <v>0</v>
      </c>
      <c r="AT102">
        <v>0</v>
      </c>
      <c r="AU102">
        <v>0</v>
      </c>
      <c r="AV102">
        <v>71</v>
      </c>
      <c r="AW102">
        <v>0</v>
      </c>
      <c r="AX102">
        <v>0</v>
      </c>
      <c r="AY102">
        <v>0</v>
      </c>
      <c r="AZ102">
        <v>71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0</v>
      </c>
      <c r="BK102">
        <v>0</v>
      </c>
    </row>
    <row r="103" spans="1:63">
      <c r="A103" t="s">
        <v>70</v>
      </c>
      <c r="B103">
        <v>32</v>
      </c>
      <c r="C103">
        <v>0</v>
      </c>
      <c r="D103">
        <v>0</v>
      </c>
      <c r="E103">
        <v>0</v>
      </c>
      <c r="F103">
        <v>32</v>
      </c>
      <c r="G103">
        <v>0</v>
      </c>
      <c r="H103">
        <v>0</v>
      </c>
      <c r="I103">
        <v>0</v>
      </c>
      <c r="J103">
        <v>32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32</v>
      </c>
      <c r="S103">
        <v>0</v>
      </c>
      <c r="T103">
        <v>0</v>
      </c>
      <c r="U103">
        <v>0</v>
      </c>
      <c r="V103" t="s">
        <v>70</v>
      </c>
      <c r="W103">
        <v>32</v>
      </c>
      <c r="X103">
        <v>0</v>
      </c>
      <c r="Y103">
        <v>0</v>
      </c>
      <c r="Z103">
        <v>0</v>
      </c>
      <c r="AA103">
        <v>32</v>
      </c>
      <c r="AB103">
        <v>0</v>
      </c>
      <c r="AC103">
        <v>0</v>
      </c>
      <c r="AD103">
        <v>0</v>
      </c>
      <c r="AE103">
        <v>32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32</v>
      </c>
      <c r="AN103">
        <v>0</v>
      </c>
      <c r="AO103">
        <v>0</v>
      </c>
      <c r="AP103">
        <v>0</v>
      </c>
      <c r="AQ103" t="s">
        <v>70</v>
      </c>
      <c r="AR103">
        <v>32</v>
      </c>
      <c r="AS103">
        <v>0</v>
      </c>
      <c r="AT103">
        <v>0</v>
      </c>
      <c r="AU103">
        <v>0</v>
      </c>
      <c r="AV103">
        <v>32</v>
      </c>
      <c r="AW103">
        <v>0</v>
      </c>
      <c r="AX103">
        <v>0</v>
      </c>
      <c r="AY103">
        <v>0</v>
      </c>
      <c r="AZ103">
        <v>32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I103">
        <v>0</v>
      </c>
      <c r="BJ103">
        <v>0</v>
      </c>
      <c r="BK103">
        <v>0</v>
      </c>
    </row>
    <row r="104" spans="1:63">
      <c r="A104" t="s">
        <v>87</v>
      </c>
      <c r="B104">
        <v>7</v>
      </c>
      <c r="C104">
        <v>0</v>
      </c>
      <c r="D104">
        <v>0</v>
      </c>
      <c r="E104">
        <v>0</v>
      </c>
      <c r="F104">
        <v>7</v>
      </c>
      <c r="G104">
        <v>0</v>
      </c>
      <c r="H104">
        <v>0</v>
      </c>
      <c r="I104">
        <v>0</v>
      </c>
      <c r="J104">
        <v>7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7</v>
      </c>
      <c r="S104">
        <v>0</v>
      </c>
      <c r="T104">
        <v>0</v>
      </c>
      <c r="U104">
        <v>0</v>
      </c>
      <c r="V104" t="s">
        <v>87</v>
      </c>
      <c r="W104">
        <v>7</v>
      </c>
      <c r="X104">
        <v>0</v>
      </c>
      <c r="Y104">
        <v>0</v>
      </c>
      <c r="Z104">
        <v>0</v>
      </c>
      <c r="AA104">
        <v>7</v>
      </c>
      <c r="AB104">
        <v>0</v>
      </c>
      <c r="AC104">
        <v>0</v>
      </c>
      <c r="AD104">
        <v>0</v>
      </c>
      <c r="AE104">
        <v>7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7</v>
      </c>
      <c r="AN104">
        <v>0</v>
      </c>
      <c r="AO104">
        <v>0</v>
      </c>
      <c r="AP104">
        <v>0</v>
      </c>
      <c r="AQ104" t="s">
        <v>87</v>
      </c>
      <c r="AR104">
        <v>7</v>
      </c>
      <c r="AS104">
        <v>0</v>
      </c>
      <c r="AT104">
        <v>0</v>
      </c>
      <c r="AU104">
        <v>0</v>
      </c>
      <c r="AV104">
        <v>7</v>
      </c>
      <c r="AW104">
        <v>0</v>
      </c>
      <c r="AX104">
        <v>0</v>
      </c>
      <c r="AY104">
        <v>0</v>
      </c>
      <c r="AZ104">
        <v>7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0</v>
      </c>
      <c r="BI104">
        <v>0</v>
      </c>
      <c r="BJ104">
        <v>0</v>
      </c>
      <c r="BK104">
        <v>0</v>
      </c>
    </row>
    <row r="105" spans="1:63">
      <c r="A105" t="s">
        <v>19</v>
      </c>
      <c r="B105">
        <v>157</v>
      </c>
      <c r="C105">
        <v>11</v>
      </c>
      <c r="D105">
        <v>0</v>
      </c>
      <c r="E105">
        <v>0</v>
      </c>
      <c r="F105">
        <v>157</v>
      </c>
      <c r="G105">
        <v>11</v>
      </c>
      <c r="H105">
        <v>0</v>
      </c>
      <c r="I105">
        <v>0</v>
      </c>
      <c r="J105">
        <v>168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168</v>
      </c>
      <c r="S105">
        <v>0</v>
      </c>
      <c r="T105">
        <v>0</v>
      </c>
      <c r="U105">
        <v>0</v>
      </c>
      <c r="V105" t="s">
        <v>19</v>
      </c>
      <c r="W105">
        <v>157</v>
      </c>
      <c r="X105">
        <v>11</v>
      </c>
      <c r="Y105">
        <v>0</v>
      </c>
      <c r="Z105">
        <v>0</v>
      </c>
      <c r="AA105">
        <v>157</v>
      </c>
      <c r="AB105">
        <v>11</v>
      </c>
      <c r="AC105">
        <v>0</v>
      </c>
      <c r="AD105">
        <v>0</v>
      </c>
      <c r="AE105">
        <v>168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168</v>
      </c>
      <c r="AN105">
        <v>0</v>
      </c>
      <c r="AO105">
        <v>0</v>
      </c>
      <c r="AP105">
        <v>0</v>
      </c>
      <c r="AQ105" t="s">
        <v>19</v>
      </c>
      <c r="AR105">
        <v>157</v>
      </c>
      <c r="AS105">
        <v>11</v>
      </c>
      <c r="AT105">
        <v>0</v>
      </c>
      <c r="AU105">
        <v>0</v>
      </c>
      <c r="AV105">
        <v>157</v>
      </c>
      <c r="AW105">
        <v>11</v>
      </c>
      <c r="AX105">
        <v>0</v>
      </c>
      <c r="AY105">
        <v>0</v>
      </c>
      <c r="AZ105">
        <v>168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I105">
        <v>0</v>
      </c>
      <c r="BJ105">
        <v>0</v>
      </c>
      <c r="BK105">
        <v>0</v>
      </c>
    </row>
    <row r="106" spans="1:63">
      <c r="A106" t="s">
        <v>38</v>
      </c>
      <c r="B106">
        <v>635</v>
      </c>
      <c r="C106">
        <v>19</v>
      </c>
      <c r="D106">
        <v>0</v>
      </c>
      <c r="E106">
        <v>0</v>
      </c>
      <c r="F106">
        <v>635</v>
      </c>
      <c r="G106">
        <v>19</v>
      </c>
      <c r="H106">
        <v>0</v>
      </c>
      <c r="I106">
        <v>0</v>
      </c>
      <c r="J106">
        <v>648</v>
      </c>
      <c r="K106">
        <v>6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648</v>
      </c>
      <c r="S106">
        <v>6</v>
      </c>
      <c r="T106">
        <v>0</v>
      </c>
      <c r="U106">
        <v>0</v>
      </c>
      <c r="V106" t="s">
        <v>38</v>
      </c>
      <c r="W106">
        <v>635</v>
      </c>
      <c r="X106">
        <v>19</v>
      </c>
      <c r="Y106">
        <v>0</v>
      </c>
      <c r="Z106">
        <v>0</v>
      </c>
      <c r="AA106">
        <v>635</v>
      </c>
      <c r="AB106">
        <v>19</v>
      </c>
      <c r="AC106">
        <v>0</v>
      </c>
      <c r="AD106">
        <v>0</v>
      </c>
      <c r="AE106">
        <v>648</v>
      </c>
      <c r="AF106">
        <v>6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648</v>
      </c>
      <c r="AN106">
        <v>6</v>
      </c>
      <c r="AO106">
        <v>0</v>
      </c>
      <c r="AP106">
        <v>0</v>
      </c>
      <c r="AQ106" t="s">
        <v>38</v>
      </c>
      <c r="AR106">
        <v>635</v>
      </c>
      <c r="AS106">
        <v>19</v>
      </c>
      <c r="AT106">
        <v>0</v>
      </c>
      <c r="AU106">
        <v>0</v>
      </c>
      <c r="AV106">
        <v>635</v>
      </c>
      <c r="AW106">
        <v>19</v>
      </c>
      <c r="AX106">
        <v>0</v>
      </c>
      <c r="AY106">
        <v>0</v>
      </c>
      <c r="AZ106">
        <v>654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0</v>
      </c>
      <c r="BI106">
        <v>0</v>
      </c>
      <c r="BJ106">
        <v>0</v>
      </c>
      <c r="BK106">
        <v>0</v>
      </c>
    </row>
    <row r="107" spans="1:63">
      <c r="A107" t="s">
        <v>42</v>
      </c>
      <c r="B107">
        <v>149</v>
      </c>
      <c r="C107">
        <v>20</v>
      </c>
      <c r="D107">
        <v>0</v>
      </c>
      <c r="E107">
        <v>0</v>
      </c>
      <c r="F107">
        <v>149</v>
      </c>
      <c r="G107">
        <v>20</v>
      </c>
      <c r="H107">
        <v>0</v>
      </c>
      <c r="I107">
        <v>0</v>
      </c>
      <c r="J107">
        <v>169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169</v>
      </c>
      <c r="S107">
        <v>0</v>
      </c>
      <c r="T107">
        <v>0</v>
      </c>
      <c r="U107">
        <v>0</v>
      </c>
      <c r="V107" t="s">
        <v>42</v>
      </c>
      <c r="W107">
        <v>149</v>
      </c>
      <c r="X107">
        <v>20</v>
      </c>
      <c r="Y107">
        <v>0</v>
      </c>
      <c r="Z107">
        <v>0</v>
      </c>
      <c r="AA107">
        <v>149</v>
      </c>
      <c r="AB107">
        <v>20</v>
      </c>
      <c r="AC107">
        <v>0</v>
      </c>
      <c r="AD107">
        <v>0</v>
      </c>
      <c r="AE107">
        <v>169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169</v>
      </c>
      <c r="AN107">
        <v>0</v>
      </c>
      <c r="AO107">
        <v>0</v>
      </c>
      <c r="AP107">
        <v>0</v>
      </c>
      <c r="AQ107" t="s">
        <v>42</v>
      </c>
      <c r="AR107">
        <v>149</v>
      </c>
      <c r="AS107">
        <v>20</v>
      </c>
      <c r="AT107">
        <v>0</v>
      </c>
      <c r="AU107">
        <v>0</v>
      </c>
      <c r="AV107">
        <v>149</v>
      </c>
      <c r="AW107">
        <v>20</v>
      </c>
      <c r="AX107">
        <v>0</v>
      </c>
      <c r="AY107">
        <v>0</v>
      </c>
      <c r="AZ107">
        <v>169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0</v>
      </c>
      <c r="BI107">
        <v>0</v>
      </c>
      <c r="BJ107">
        <v>0</v>
      </c>
      <c r="BK107">
        <v>0</v>
      </c>
    </row>
    <row r="108" spans="1:63" s="1" customFormat="1">
      <c r="A108" s="1" t="s">
        <v>122</v>
      </c>
      <c r="B108" s="1">
        <f>SUM(B3:B107)</f>
        <v>10792</v>
      </c>
      <c r="C108" s="1">
        <f t="shared" ref="C108:BK108" si="0">SUM(C3:C107)</f>
        <v>445</v>
      </c>
      <c r="D108" s="1">
        <f t="shared" si="0"/>
        <v>0</v>
      </c>
      <c r="E108" s="1">
        <f t="shared" si="0"/>
        <v>0</v>
      </c>
      <c r="F108" s="1">
        <f t="shared" si="0"/>
        <v>10767</v>
      </c>
      <c r="G108" s="1">
        <f t="shared" si="0"/>
        <v>443</v>
      </c>
      <c r="H108" s="1">
        <f t="shared" si="0"/>
        <v>0</v>
      </c>
      <c r="I108" s="1">
        <f t="shared" si="0"/>
        <v>0</v>
      </c>
      <c r="J108" s="1">
        <f t="shared" si="0"/>
        <v>11307</v>
      </c>
      <c r="K108" s="1">
        <f t="shared" si="0"/>
        <v>91</v>
      </c>
      <c r="L108" s="1">
        <f t="shared" si="0"/>
        <v>0</v>
      </c>
      <c r="M108" s="1">
        <f t="shared" si="0"/>
        <v>0</v>
      </c>
      <c r="N108" s="1">
        <f t="shared" si="0"/>
        <v>2372</v>
      </c>
      <c r="O108" s="1">
        <f t="shared" si="0"/>
        <v>13</v>
      </c>
      <c r="P108" s="1">
        <f t="shared" si="0"/>
        <v>29</v>
      </c>
      <c r="Q108" s="1">
        <f t="shared" si="0"/>
        <v>1</v>
      </c>
      <c r="R108" s="1">
        <f t="shared" si="0"/>
        <v>11110</v>
      </c>
      <c r="S108" s="1">
        <f t="shared" si="0"/>
        <v>99</v>
      </c>
      <c r="T108" s="1">
        <f t="shared" si="0"/>
        <v>1</v>
      </c>
      <c r="U108" s="1">
        <f t="shared" si="0"/>
        <v>0</v>
      </c>
      <c r="V108" s="1">
        <f t="shared" si="0"/>
        <v>0</v>
      </c>
      <c r="W108" s="1">
        <f t="shared" si="0"/>
        <v>10792</v>
      </c>
      <c r="X108" s="1">
        <f t="shared" si="0"/>
        <v>445</v>
      </c>
      <c r="Y108" s="1">
        <f t="shared" si="0"/>
        <v>0</v>
      </c>
      <c r="Z108" s="1">
        <f t="shared" si="0"/>
        <v>0</v>
      </c>
      <c r="AA108" s="1">
        <f t="shared" si="0"/>
        <v>10791</v>
      </c>
      <c r="AB108" s="1">
        <f t="shared" si="0"/>
        <v>446</v>
      </c>
      <c r="AC108" s="1">
        <f t="shared" si="0"/>
        <v>0</v>
      </c>
      <c r="AD108" s="1">
        <f t="shared" si="0"/>
        <v>0</v>
      </c>
      <c r="AE108" s="1">
        <f t="shared" si="0"/>
        <v>11307</v>
      </c>
      <c r="AF108" s="1">
        <f t="shared" si="0"/>
        <v>91</v>
      </c>
      <c r="AG108" s="1">
        <f t="shared" si="0"/>
        <v>0</v>
      </c>
      <c r="AH108" s="1">
        <f t="shared" si="0"/>
        <v>0</v>
      </c>
      <c r="AI108" s="1">
        <f t="shared" si="0"/>
        <v>2372</v>
      </c>
      <c r="AJ108" s="1">
        <f t="shared" si="0"/>
        <v>13</v>
      </c>
      <c r="AK108" s="1">
        <f t="shared" si="0"/>
        <v>29</v>
      </c>
      <c r="AL108" s="1">
        <f t="shared" si="0"/>
        <v>1</v>
      </c>
      <c r="AM108" s="1">
        <f t="shared" si="0"/>
        <v>11137</v>
      </c>
      <c r="AN108" s="1">
        <f t="shared" si="0"/>
        <v>100</v>
      </c>
      <c r="AO108" s="1">
        <f t="shared" si="0"/>
        <v>0</v>
      </c>
      <c r="AP108" s="1">
        <f t="shared" si="0"/>
        <v>0</v>
      </c>
      <c r="AQ108" s="1">
        <f t="shared" si="0"/>
        <v>0</v>
      </c>
      <c r="AR108" s="1">
        <f t="shared" si="0"/>
        <v>10767</v>
      </c>
      <c r="AS108" s="1">
        <f t="shared" si="0"/>
        <v>443</v>
      </c>
      <c r="AT108" s="1">
        <f t="shared" si="0"/>
        <v>0</v>
      </c>
      <c r="AU108" s="1">
        <f t="shared" si="0"/>
        <v>0</v>
      </c>
      <c r="AV108" s="1">
        <f t="shared" si="0"/>
        <v>10791</v>
      </c>
      <c r="AW108" s="1">
        <f t="shared" si="0"/>
        <v>446</v>
      </c>
      <c r="AX108" s="1">
        <f t="shared" si="0"/>
        <v>0</v>
      </c>
      <c r="AY108" s="1">
        <f t="shared" si="0"/>
        <v>0</v>
      </c>
      <c r="AZ108" s="1">
        <f t="shared" si="0"/>
        <v>11398</v>
      </c>
      <c r="BA108" s="1">
        <f t="shared" si="0"/>
        <v>0</v>
      </c>
      <c r="BB108" s="1">
        <f t="shared" si="0"/>
        <v>0</v>
      </c>
      <c r="BC108" s="1">
        <f t="shared" si="0"/>
        <v>0</v>
      </c>
      <c r="BD108" s="1">
        <f t="shared" si="0"/>
        <v>2385</v>
      </c>
      <c r="BE108" s="1">
        <f t="shared" si="0"/>
        <v>0</v>
      </c>
      <c r="BF108" s="1">
        <f t="shared" si="0"/>
        <v>30</v>
      </c>
      <c r="BG108" s="1">
        <f t="shared" si="0"/>
        <v>0</v>
      </c>
      <c r="BH108" s="1">
        <f t="shared" si="0"/>
        <v>6747</v>
      </c>
      <c r="BI108" s="1">
        <f t="shared" si="0"/>
        <v>0</v>
      </c>
      <c r="BJ108" s="1">
        <f t="shared" si="0"/>
        <v>0</v>
      </c>
      <c r="BK108" s="1">
        <f t="shared" si="0"/>
        <v>0</v>
      </c>
    </row>
  </sheetData>
  <sortState ref="AQ3:BK107">
    <sortCondition ref="AQ3:AQ107"/>
  </sortState>
  <mergeCells count="15">
    <mergeCell ref="W1:Z1"/>
    <mergeCell ref="B1:E1"/>
    <mergeCell ref="F1:I1"/>
    <mergeCell ref="J1:M1"/>
    <mergeCell ref="N1:Q1"/>
    <mergeCell ref="R1:U1"/>
    <mergeCell ref="AZ1:BC1"/>
    <mergeCell ref="BD1:BG1"/>
    <mergeCell ref="BH1:BK1"/>
    <mergeCell ref="AA1:AD1"/>
    <mergeCell ref="AE1:AH1"/>
    <mergeCell ref="AI1:AL1"/>
    <mergeCell ref="AM1:AP1"/>
    <mergeCell ref="AR1:AU1"/>
    <mergeCell ref="AV1:AY1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D220"/>
  <sheetViews>
    <sheetView workbookViewId="0">
      <selection activeCell="V107" sqref="V107:X107"/>
    </sheetView>
  </sheetViews>
  <sheetFormatPr baseColWidth="10" defaultRowHeight="15" x14ac:dyDescent="0"/>
  <cols>
    <col min="2" max="2" width="64.1640625" customWidth="1"/>
    <col min="3" max="3" width="11" bestFit="1" customWidth="1"/>
  </cols>
  <sheetData>
    <row r="1" spans="1:56">
      <c r="A1" s="4"/>
      <c r="B1" s="4"/>
      <c r="C1" s="4" t="s">
        <v>184</v>
      </c>
      <c r="D1" s="4" t="s">
        <v>185</v>
      </c>
      <c r="E1" s="4" t="s">
        <v>186</v>
      </c>
      <c r="F1" s="4" t="s">
        <v>187</v>
      </c>
      <c r="G1" s="4" t="s">
        <v>188</v>
      </c>
      <c r="H1" s="4" t="s">
        <v>189</v>
      </c>
      <c r="I1" s="4" t="s">
        <v>190</v>
      </c>
      <c r="J1" s="4" t="s">
        <v>191</v>
      </c>
      <c r="K1" s="4" t="s">
        <v>192</v>
      </c>
      <c r="L1" s="4" t="s">
        <v>193</v>
      </c>
      <c r="M1" s="4" t="s">
        <v>194</v>
      </c>
      <c r="N1" s="4" t="s">
        <v>195</v>
      </c>
      <c r="O1" s="4" t="s">
        <v>196</v>
      </c>
      <c r="P1" s="4" t="s">
        <v>197</v>
      </c>
      <c r="Q1" s="4" t="s">
        <v>198</v>
      </c>
      <c r="R1" s="4" t="s">
        <v>199</v>
      </c>
      <c r="S1" s="4" t="s">
        <v>200</v>
      </c>
      <c r="T1" s="4" t="s">
        <v>201</v>
      </c>
      <c r="U1" s="4"/>
      <c r="V1" s="5" t="s">
        <v>293</v>
      </c>
      <c r="W1" s="5" t="s">
        <v>294</v>
      </c>
      <c r="X1" s="5" t="s">
        <v>292</v>
      </c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</row>
    <row r="2" spans="1:56">
      <c r="A2" s="4" t="s">
        <v>147</v>
      </c>
      <c r="B2" s="4" t="s">
        <v>32</v>
      </c>
      <c r="C2" s="4">
        <v>110</v>
      </c>
      <c r="D2" s="4">
        <v>109</v>
      </c>
      <c r="E2" s="4">
        <v>516</v>
      </c>
      <c r="F2" s="4">
        <v>474</v>
      </c>
      <c r="G2" s="4">
        <v>126</v>
      </c>
      <c r="H2" s="4">
        <v>92</v>
      </c>
      <c r="I2" s="4">
        <v>139</v>
      </c>
      <c r="J2" s="4">
        <v>155</v>
      </c>
      <c r="K2" s="4">
        <v>709</v>
      </c>
      <c r="L2" s="4">
        <v>655</v>
      </c>
      <c r="M2" s="4">
        <v>113</v>
      </c>
      <c r="N2" s="4">
        <v>115</v>
      </c>
      <c r="O2" s="4">
        <v>181</v>
      </c>
      <c r="P2" s="4">
        <v>178</v>
      </c>
      <c r="Q2" s="4">
        <v>2332</v>
      </c>
      <c r="R2" s="4">
        <v>2109</v>
      </c>
      <c r="S2" s="4">
        <v>129</v>
      </c>
      <c r="T2" s="4">
        <v>129</v>
      </c>
      <c r="U2" s="4"/>
      <c r="V2" s="5">
        <f>E2/G2</f>
        <v>4.0952380952380949</v>
      </c>
      <c r="W2" s="5">
        <f>K2/M2</f>
        <v>6.2743362831858409</v>
      </c>
      <c r="X2" s="5">
        <f>Q2/S2</f>
        <v>18.077519379844961</v>
      </c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</row>
    <row r="3" spans="1:56">
      <c r="A3" s="4" t="s">
        <v>147</v>
      </c>
      <c r="B3" s="4" t="s">
        <v>58</v>
      </c>
      <c r="C3" s="4">
        <v>113</v>
      </c>
      <c r="D3" s="4">
        <v>113</v>
      </c>
      <c r="E3" s="4">
        <v>511</v>
      </c>
      <c r="F3" s="4">
        <v>460</v>
      </c>
      <c r="G3" s="4">
        <v>85</v>
      </c>
      <c r="H3" s="4">
        <v>86</v>
      </c>
      <c r="I3" s="4">
        <v>157</v>
      </c>
      <c r="J3" s="4">
        <v>164</v>
      </c>
      <c r="K3" s="4">
        <v>664</v>
      </c>
      <c r="L3" s="4">
        <v>782</v>
      </c>
      <c r="M3" s="4">
        <v>110</v>
      </c>
      <c r="N3" s="4">
        <v>116</v>
      </c>
      <c r="O3" s="4">
        <v>181</v>
      </c>
      <c r="P3" s="4">
        <v>229</v>
      </c>
      <c r="Q3" s="4">
        <v>2253</v>
      </c>
      <c r="R3" s="4">
        <v>2242</v>
      </c>
      <c r="S3" s="4">
        <v>128</v>
      </c>
      <c r="T3" s="4">
        <v>131</v>
      </c>
      <c r="U3" s="4"/>
      <c r="V3" s="5">
        <f t="shared" ref="V3:V66" si="0">E3/G3</f>
        <v>6.0117647058823529</v>
      </c>
      <c r="W3" s="5">
        <f t="shared" ref="W3:W66" si="1">K3/M3</f>
        <v>6.0363636363636362</v>
      </c>
      <c r="X3" s="5">
        <f t="shared" ref="X3:X66" si="2">Q3/S3</f>
        <v>17.6015625</v>
      </c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</row>
    <row r="4" spans="1:56">
      <c r="A4" s="4" t="s">
        <v>147</v>
      </c>
      <c r="B4" s="4" t="s">
        <v>14</v>
      </c>
      <c r="C4" s="4">
        <v>161</v>
      </c>
      <c r="D4" s="4">
        <v>172</v>
      </c>
      <c r="E4" s="4">
        <v>691</v>
      </c>
      <c r="F4" s="4">
        <v>581</v>
      </c>
      <c r="G4" s="4">
        <v>118</v>
      </c>
      <c r="H4" s="4">
        <v>136</v>
      </c>
      <c r="I4" s="4">
        <v>198</v>
      </c>
      <c r="J4" s="4">
        <v>208</v>
      </c>
      <c r="K4" s="4">
        <v>1006</v>
      </c>
      <c r="L4" s="4">
        <v>1025</v>
      </c>
      <c r="M4" s="4">
        <v>162</v>
      </c>
      <c r="N4" s="4">
        <v>167</v>
      </c>
      <c r="O4" s="4">
        <v>235</v>
      </c>
      <c r="P4" s="4">
        <v>256</v>
      </c>
      <c r="Q4" s="4">
        <v>2670</v>
      </c>
      <c r="R4" s="4">
        <v>2523</v>
      </c>
      <c r="S4" s="4">
        <v>246</v>
      </c>
      <c r="T4" s="4">
        <v>189</v>
      </c>
      <c r="U4" s="4"/>
      <c r="V4" s="5">
        <f t="shared" si="0"/>
        <v>5.8559322033898304</v>
      </c>
      <c r="W4" s="5">
        <f t="shared" si="1"/>
        <v>6.2098765432098766</v>
      </c>
      <c r="X4" s="5">
        <f t="shared" si="2"/>
        <v>10.853658536585366</v>
      </c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</row>
    <row r="5" spans="1:56">
      <c r="A5" s="4" t="s">
        <v>147</v>
      </c>
      <c r="B5" s="4" t="s">
        <v>39</v>
      </c>
      <c r="C5" s="4">
        <v>283</v>
      </c>
      <c r="D5" s="4">
        <v>307</v>
      </c>
      <c r="E5" s="4">
        <v>800</v>
      </c>
      <c r="F5" s="4">
        <v>877</v>
      </c>
      <c r="G5" s="4">
        <v>244</v>
      </c>
      <c r="H5" s="4">
        <v>260</v>
      </c>
      <c r="I5" s="4">
        <v>339</v>
      </c>
      <c r="J5" s="4">
        <v>348</v>
      </c>
      <c r="K5" s="4">
        <v>1599</v>
      </c>
      <c r="L5" s="4">
        <v>1436</v>
      </c>
      <c r="M5" s="4">
        <v>295</v>
      </c>
      <c r="N5" s="4">
        <v>328</v>
      </c>
      <c r="O5" s="4">
        <v>402</v>
      </c>
      <c r="P5" s="4">
        <v>441</v>
      </c>
      <c r="Q5" s="4">
        <v>6845</v>
      </c>
      <c r="R5" s="4">
        <v>6129</v>
      </c>
      <c r="S5" s="4">
        <v>319</v>
      </c>
      <c r="T5" s="4">
        <v>425</v>
      </c>
      <c r="U5" s="4"/>
      <c r="V5" s="5">
        <f t="shared" si="0"/>
        <v>3.278688524590164</v>
      </c>
      <c r="W5" s="5">
        <f t="shared" si="1"/>
        <v>5.420338983050847</v>
      </c>
      <c r="X5" s="5">
        <f t="shared" si="2"/>
        <v>21.457680250783699</v>
      </c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</row>
    <row r="6" spans="1:56">
      <c r="A6" s="4" t="s">
        <v>147</v>
      </c>
      <c r="B6" s="4" t="s">
        <v>51</v>
      </c>
      <c r="C6" s="4">
        <v>76</v>
      </c>
      <c r="D6" s="4">
        <v>74</v>
      </c>
      <c r="E6" s="4">
        <v>353</v>
      </c>
      <c r="F6" s="4">
        <v>309</v>
      </c>
      <c r="G6" s="4">
        <v>98</v>
      </c>
      <c r="H6" s="4">
        <v>83</v>
      </c>
      <c r="I6" s="4">
        <v>94</v>
      </c>
      <c r="J6" s="4">
        <v>99</v>
      </c>
      <c r="K6" s="4">
        <v>395</v>
      </c>
      <c r="L6" s="4">
        <v>444</v>
      </c>
      <c r="M6" s="4">
        <v>75</v>
      </c>
      <c r="N6" s="4">
        <v>73</v>
      </c>
      <c r="O6" s="4">
        <v>109</v>
      </c>
      <c r="P6" s="4">
        <v>109</v>
      </c>
      <c r="Q6" s="4">
        <v>1165</v>
      </c>
      <c r="R6" s="4">
        <v>1481</v>
      </c>
      <c r="S6" s="4">
        <v>84</v>
      </c>
      <c r="T6" s="4">
        <v>90</v>
      </c>
      <c r="U6" s="4"/>
      <c r="V6" s="5">
        <f t="shared" si="0"/>
        <v>3.6020408163265305</v>
      </c>
      <c r="W6" s="5">
        <f t="shared" si="1"/>
        <v>5.2666666666666666</v>
      </c>
      <c r="X6" s="5">
        <f t="shared" si="2"/>
        <v>13.869047619047619</v>
      </c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</row>
    <row r="7" spans="1:56">
      <c r="A7" s="4" t="s">
        <v>147</v>
      </c>
      <c r="B7" s="4" t="s">
        <v>55</v>
      </c>
      <c r="C7" s="4">
        <v>265</v>
      </c>
      <c r="D7" s="4">
        <v>295</v>
      </c>
      <c r="E7" s="4">
        <v>690</v>
      </c>
      <c r="F7" s="4">
        <v>773</v>
      </c>
      <c r="G7" s="4">
        <v>201</v>
      </c>
      <c r="H7" s="4">
        <v>238</v>
      </c>
      <c r="I7" s="4">
        <v>313</v>
      </c>
      <c r="J7" s="4">
        <v>344</v>
      </c>
      <c r="K7" s="4">
        <v>1052</v>
      </c>
      <c r="L7" s="4">
        <v>1546</v>
      </c>
      <c r="M7" s="4">
        <v>261</v>
      </c>
      <c r="N7" s="4">
        <v>298</v>
      </c>
      <c r="O7" s="4">
        <v>356</v>
      </c>
      <c r="P7" s="4">
        <v>416</v>
      </c>
      <c r="Q7" s="4">
        <v>3714</v>
      </c>
      <c r="R7" s="4">
        <v>3393</v>
      </c>
      <c r="S7" s="4">
        <v>290</v>
      </c>
      <c r="T7" s="4">
        <v>336</v>
      </c>
      <c r="U7" s="4"/>
      <c r="V7" s="5">
        <f t="shared" si="0"/>
        <v>3.4328358208955225</v>
      </c>
      <c r="W7" s="5">
        <f t="shared" si="1"/>
        <v>4.0306513409961688</v>
      </c>
      <c r="X7" s="5">
        <f t="shared" si="2"/>
        <v>12.806896551724138</v>
      </c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</row>
    <row r="8" spans="1:56">
      <c r="A8" s="4" t="s">
        <v>147</v>
      </c>
      <c r="B8" s="4" t="s">
        <v>85</v>
      </c>
      <c r="C8" s="4">
        <v>1030</v>
      </c>
      <c r="D8" s="4">
        <v>2173</v>
      </c>
      <c r="E8" s="4">
        <v>6377</v>
      </c>
      <c r="F8" s="4">
        <v>12146</v>
      </c>
      <c r="G8" s="4">
        <v>771</v>
      </c>
      <c r="H8" s="4">
        <v>1692</v>
      </c>
      <c r="I8" s="4">
        <v>1222</v>
      </c>
      <c r="J8" s="4">
        <v>2610</v>
      </c>
      <c r="K8" s="4">
        <v>11359</v>
      </c>
      <c r="L8" s="4">
        <v>17818</v>
      </c>
      <c r="M8" s="4">
        <v>1065</v>
      </c>
      <c r="N8" s="4">
        <v>2123</v>
      </c>
      <c r="O8" s="4">
        <v>1376</v>
      </c>
      <c r="P8" s="4">
        <v>3074</v>
      </c>
      <c r="Q8" s="4">
        <v>38730</v>
      </c>
      <c r="R8" s="4">
        <v>61272</v>
      </c>
      <c r="S8" s="4">
        <v>1221</v>
      </c>
      <c r="T8" s="4">
        <v>2548</v>
      </c>
      <c r="U8" s="4"/>
      <c r="V8" s="5">
        <f t="shared" si="0"/>
        <v>8.2710765239948127</v>
      </c>
      <c r="W8" s="5">
        <f t="shared" si="1"/>
        <v>10.665727699530516</v>
      </c>
      <c r="X8" s="5">
        <f t="shared" si="2"/>
        <v>31.719901719901721</v>
      </c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</row>
    <row r="9" spans="1:56">
      <c r="A9" s="4" t="s">
        <v>147</v>
      </c>
      <c r="B9" s="4" t="s">
        <v>30</v>
      </c>
      <c r="C9" s="4">
        <v>478</v>
      </c>
      <c r="D9" s="4">
        <v>510</v>
      </c>
      <c r="E9" s="4">
        <v>1691</v>
      </c>
      <c r="F9" s="4">
        <v>1907</v>
      </c>
      <c r="G9" s="4">
        <v>374</v>
      </c>
      <c r="H9" s="4">
        <v>408</v>
      </c>
      <c r="I9" s="4">
        <v>557</v>
      </c>
      <c r="J9" s="4">
        <v>586</v>
      </c>
      <c r="K9" s="4">
        <v>2914</v>
      </c>
      <c r="L9" s="4">
        <v>3010</v>
      </c>
      <c r="M9" s="4">
        <v>463</v>
      </c>
      <c r="N9" s="4">
        <v>468</v>
      </c>
      <c r="O9" s="4">
        <v>643</v>
      </c>
      <c r="P9" s="4">
        <v>676</v>
      </c>
      <c r="Q9" s="4">
        <v>9511</v>
      </c>
      <c r="R9" s="4">
        <v>9968</v>
      </c>
      <c r="S9" s="4">
        <v>538</v>
      </c>
      <c r="T9" s="4">
        <v>585</v>
      </c>
      <c r="U9" s="4"/>
      <c r="V9" s="5">
        <f t="shared" si="0"/>
        <v>4.5213903743315509</v>
      </c>
      <c r="W9" s="5">
        <f t="shared" si="1"/>
        <v>6.2937365010799136</v>
      </c>
      <c r="X9" s="5">
        <f t="shared" si="2"/>
        <v>17.678438661710036</v>
      </c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</row>
    <row r="10" spans="1:56">
      <c r="A10" s="4" t="s">
        <v>147</v>
      </c>
      <c r="B10" s="4" t="s">
        <v>89</v>
      </c>
      <c r="C10" s="4">
        <v>1266</v>
      </c>
      <c r="D10" s="4">
        <v>1661</v>
      </c>
      <c r="E10" s="4">
        <v>5764</v>
      </c>
      <c r="F10" s="4">
        <v>6315</v>
      </c>
      <c r="G10" s="4">
        <v>967</v>
      </c>
      <c r="H10" s="4">
        <v>1295</v>
      </c>
      <c r="I10" s="4">
        <v>1757</v>
      </c>
      <c r="J10" s="4">
        <v>2342</v>
      </c>
      <c r="K10" s="4">
        <v>9822</v>
      </c>
      <c r="L10" s="4">
        <v>11374</v>
      </c>
      <c r="M10" s="4">
        <v>1371</v>
      </c>
      <c r="N10" s="4">
        <v>1729</v>
      </c>
      <c r="O10" s="4">
        <v>2298</v>
      </c>
      <c r="P10" s="4">
        <v>3059</v>
      </c>
      <c r="Q10" s="4">
        <v>30499</v>
      </c>
      <c r="R10" s="4">
        <v>31633</v>
      </c>
      <c r="S10" s="4">
        <v>1902</v>
      </c>
      <c r="T10" s="4">
        <v>2428</v>
      </c>
      <c r="U10" s="4"/>
      <c r="V10" s="5">
        <f t="shared" si="0"/>
        <v>5.9607032057911065</v>
      </c>
      <c r="W10" s="5">
        <f t="shared" si="1"/>
        <v>7.1641137855579871</v>
      </c>
      <c r="X10" s="5">
        <f t="shared" si="2"/>
        <v>16.03522607781283</v>
      </c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</row>
    <row r="11" spans="1:56">
      <c r="A11" s="4" t="s">
        <v>166</v>
      </c>
      <c r="B11" s="4" t="s">
        <v>2</v>
      </c>
      <c r="C11" s="4">
        <v>20</v>
      </c>
      <c r="D11" s="4">
        <v>20</v>
      </c>
      <c r="E11" s="4">
        <v>107</v>
      </c>
      <c r="F11" s="4">
        <v>109</v>
      </c>
      <c r="G11" s="4">
        <v>16</v>
      </c>
      <c r="H11" s="4">
        <v>16</v>
      </c>
      <c r="I11" s="4">
        <v>26</v>
      </c>
      <c r="J11" s="4">
        <v>25</v>
      </c>
      <c r="K11" s="4">
        <v>203</v>
      </c>
      <c r="L11" s="4">
        <v>197</v>
      </c>
      <c r="M11" s="4">
        <v>22</v>
      </c>
      <c r="N11" s="4">
        <v>20</v>
      </c>
      <c r="O11" s="4">
        <v>30</v>
      </c>
      <c r="P11" s="4">
        <v>31</v>
      </c>
      <c r="Q11" s="4">
        <v>425</v>
      </c>
      <c r="R11" s="4">
        <v>436</v>
      </c>
      <c r="S11" s="4">
        <v>24</v>
      </c>
      <c r="T11" s="4">
        <v>23</v>
      </c>
      <c r="U11" s="4"/>
      <c r="V11" s="5">
        <f t="shared" si="0"/>
        <v>6.6875</v>
      </c>
      <c r="W11" s="5">
        <f t="shared" si="1"/>
        <v>9.2272727272727266</v>
      </c>
      <c r="X11" s="5">
        <f t="shared" si="2"/>
        <v>17.708333333333332</v>
      </c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</row>
    <row r="12" spans="1:56">
      <c r="A12" s="4" t="s">
        <v>166</v>
      </c>
      <c r="B12" s="4" t="s">
        <v>37</v>
      </c>
      <c r="C12" s="4">
        <v>20</v>
      </c>
      <c r="D12" s="4">
        <v>20</v>
      </c>
      <c r="E12" s="4">
        <v>90</v>
      </c>
      <c r="F12" s="4">
        <v>135</v>
      </c>
      <c r="G12" s="4">
        <v>16</v>
      </c>
      <c r="H12" s="4">
        <v>16</v>
      </c>
      <c r="I12" s="4">
        <v>25</v>
      </c>
      <c r="J12" s="4">
        <v>25</v>
      </c>
      <c r="K12" s="4">
        <v>221</v>
      </c>
      <c r="L12" s="4">
        <v>217</v>
      </c>
      <c r="M12" s="4">
        <v>20</v>
      </c>
      <c r="N12" s="4">
        <v>19</v>
      </c>
      <c r="O12" s="4">
        <v>30</v>
      </c>
      <c r="P12" s="4">
        <v>29</v>
      </c>
      <c r="Q12" s="4">
        <v>475</v>
      </c>
      <c r="R12" s="4">
        <v>456</v>
      </c>
      <c r="S12" s="4">
        <v>25</v>
      </c>
      <c r="T12" s="4">
        <v>24</v>
      </c>
      <c r="U12" s="4"/>
      <c r="V12" s="5">
        <f t="shared" si="0"/>
        <v>5.625</v>
      </c>
      <c r="W12" s="5">
        <f t="shared" si="1"/>
        <v>11.05</v>
      </c>
      <c r="X12" s="5">
        <f t="shared" si="2"/>
        <v>19</v>
      </c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</row>
    <row r="13" spans="1:56">
      <c r="A13" s="4" t="s">
        <v>166</v>
      </c>
      <c r="B13" s="4" t="s">
        <v>72</v>
      </c>
      <c r="C13" s="4">
        <v>77</v>
      </c>
      <c r="D13" s="4">
        <v>82</v>
      </c>
      <c r="E13" s="4">
        <v>401</v>
      </c>
      <c r="F13" s="4">
        <v>343</v>
      </c>
      <c r="G13" s="4">
        <v>62</v>
      </c>
      <c r="H13" s="4">
        <v>62</v>
      </c>
      <c r="I13" s="4">
        <v>96</v>
      </c>
      <c r="J13" s="4">
        <v>101</v>
      </c>
      <c r="K13" s="4">
        <v>417</v>
      </c>
      <c r="L13" s="4">
        <v>386</v>
      </c>
      <c r="M13" s="4">
        <v>79</v>
      </c>
      <c r="N13" s="4">
        <v>82</v>
      </c>
      <c r="O13" s="4">
        <v>122</v>
      </c>
      <c r="P13" s="4">
        <v>123</v>
      </c>
      <c r="Q13" s="4">
        <v>1309</v>
      </c>
      <c r="R13" s="4">
        <v>1312</v>
      </c>
      <c r="S13" s="4">
        <v>94</v>
      </c>
      <c r="T13" s="4">
        <v>93</v>
      </c>
      <c r="U13" s="4"/>
      <c r="V13" s="5">
        <f t="shared" si="0"/>
        <v>6.467741935483871</v>
      </c>
      <c r="W13" s="5">
        <f t="shared" si="1"/>
        <v>5.2784810126582276</v>
      </c>
      <c r="X13" s="5">
        <f t="shared" si="2"/>
        <v>13.925531914893616</v>
      </c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</row>
    <row r="14" spans="1:56">
      <c r="A14" s="4" t="s">
        <v>166</v>
      </c>
      <c r="B14" s="4" t="s">
        <v>8</v>
      </c>
      <c r="C14" s="4">
        <v>21</v>
      </c>
      <c r="D14" s="4">
        <v>21</v>
      </c>
      <c r="E14" s="4">
        <v>107</v>
      </c>
      <c r="F14" s="4">
        <v>135</v>
      </c>
      <c r="G14" s="4">
        <v>16</v>
      </c>
      <c r="H14" s="4">
        <v>16</v>
      </c>
      <c r="I14" s="4">
        <v>25</v>
      </c>
      <c r="J14" s="4">
        <v>25</v>
      </c>
      <c r="K14" s="4">
        <v>231</v>
      </c>
      <c r="L14" s="4">
        <v>236</v>
      </c>
      <c r="M14" s="4">
        <v>20</v>
      </c>
      <c r="N14" s="4">
        <v>21</v>
      </c>
      <c r="O14" s="4">
        <v>31</v>
      </c>
      <c r="P14" s="4">
        <v>31</v>
      </c>
      <c r="Q14" s="4">
        <v>299</v>
      </c>
      <c r="R14" s="4">
        <v>318</v>
      </c>
      <c r="S14" s="4">
        <v>24</v>
      </c>
      <c r="T14" s="4">
        <v>25</v>
      </c>
      <c r="U14" s="4"/>
      <c r="V14" s="5">
        <f t="shared" si="0"/>
        <v>6.6875</v>
      </c>
      <c r="W14" s="5">
        <f t="shared" si="1"/>
        <v>11.55</v>
      </c>
      <c r="X14" s="5">
        <f t="shared" si="2"/>
        <v>12.458333333333334</v>
      </c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</row>
    <row r="15" spans="1:56">
      <c r="A15" s="4" t="s">
        <v>166</v>
      </c>
      <c r="B15" s="4" t="s">
        <v>101</v>
      </c>
      <c r="C15" s="4">
        <v>1848</v>
      </c>
      <c r="D15" s="4">
        <v>2323</v>
      </c>
      <c r="E15" s="4">
        <v>4967</v>
      </c>
      <c r="F15" s="4">
        <v>6391</v>
      </c>
      <c r="G15" s="4">
        <v>1459</v>
      </c>
      <c r="H15" s="4">
        <v>1822</v>
      </c>
      <c r="I15" s="4">
        <v>2616</v>
      </c>
      <c r="J15" s="4">
        <v>3280</v>
      </c>
      <c r="K15" s="4">
        <v>9532</v>
      </c>
      <c r="L15" s="4">
        <v>9794</v>
      </c>
      <c r="M15" s="4">
        <v>2055</v>
      </c>
      <c r="N15" s="4">
        <v>2623</v>
      </c>
      <c r="O15" s="4">
        <v>3509</v>
      </c>
      <c r="P15" s="4">
        <v>4332</v>
      </c>
      <c r="Q15" s="4">
        <v>33509</v>
      </c>
      <c r="R15" s="4">
        <v>32997</v>
      </c>
      <c r="S15" s="4">
        <v>2816</v>
      </c>
      <c r="T15" s="4">
        <v>3496</v>
      </c>
      <c r="U15" s="4"/>
      <c r="V15" s="5">
        <f t="shared" si="0"/>
        <v>3.4043865661411927</v>
      </c>
      <c r="W15" s="5">
        <f t="shared" si="1"/>
        <v>4.6384428223844285</v>
      </c>
      <c r="X15" s="5">
        <f t="shared" si="2"/>
        <v>11.899502840909092</v>
      </c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</row>
    <row r="16" spans="1:56">
      <c r="A16" s="4" t="s">
        <v>166</v>
      </c>
      <c r="B16" s="4" t="s">
        <v>3</v>
      </c>
      <c r="C16" s="4">
        <v>279</v>
      </c>
      <c r="D16" s="4">
        <v>312</v>
      </c>
      <c r="E16" s="4">
        <v>1059</v>
      </c>
      <c r="F16" s="4">
        <v>1220</v>
      </c>
      <c r="G16" s="4">
        <v>266</v>
      </c>
      <c r="H16" s="4">
        <v>239</v>
      </c>
      <c r="I16" s="4">
        <v>310</v>
      </c>
      <c r="J16" s="4">
        <v>388</v>
      </c>
      <c r="K16" s="4">
        <v>1887</v>
      </c>
      <c r="L16" s="4">
        <v>1703</v>
      </c>
      <c r="M16" s="4">
        <v>291</v>
      </c>
      <c r="N16" s="4">
        <v>294</v>
      </c>
      <c r="O16" s="4">
        <v>364</v>
      </c>
      <c r="P16" s="4">
        <v>420</v>
      </c>
      <c r="Q16" s="4">
        <v>5282</v>
      </c>
      <c r="R16" s="4">
        <v>4693</v>
      </c>
      <c r="S16" s="4">
        <v>297</v>
      </c>
      <c r="T16" s="4">
        <v>331</v>
      </c>
      <c r="U16" s="4"/>
      <c r="V16" s="5">
        <f t="shared" si="0"/>
        <v>3.981203007518797</v>
      </c>
      <c r="W16" s="5">
        <f t="shared" si="1"/>
        <v>6.4845360824742269</v>
      </c>
      <c r="X16" s="5">
        <f t="shared" si="2"/>
        <v>17.784511784511785</v>
      </c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</row>
    <row r="17" spans="1:56">
      <c r="A17" s="4" t="s">
        <v>166</v>
      </c>
      <c r="B17" s="4" t="s">
        <v>76</v>
      </c>
      <c r="C17" s="4">
        <v>259</v>
      </c>
      <c r="D17" s="4">
        <v>303</v>
      </c>
      <c r="E17" s="4">
        <v>1078</v>
      </c>
      <c r="F17" s="4">
        <v>1083</v>
      </c>
      <c r="G17" s="4">
        <v>214</v>
      </c>
      <c r="H17" s="4">
        <v>265</v>
      </c>
      <c r="I17" s="4">
        <v>333</v>
      </c>
      <c r="J17" s="4">
        <v>383</v>
      </c>
      <c r="K17" s="4">
        <v>1862</v>
      </c>
      <c r="L17" s="4">
        <v>1590</v>
      </c>
      <c r="M17" s="4">
        <v>256</v>
      </c>
      <c r="N17" s="4">
        <v>292</v>
      </c>
      <c r="O17" s="4">
        <v>367</v>
      </c>
      <c r="P17" s="4">
        <v>415</v>
      </c>
      <c r="Q17" s="4">
        <v>4887</v>
      </c>
      <c r="R17" s="4">
        <v>4422</v>
      </c>
      <c r="S17" s="4">
        <v>324</v>
      </c>
      <c r="T17" s="4">
        <v>347</v>
      </c>
      <c r="U17" s="4"/>
      <c r="V17" s="5">
        <f t="shared" si="0"/>
        <v>5.037383177570093</v>
      </c>
      <c r="W17" s="5">
        <f t="shared" si="1"/>
        <v>7.2734375</v>
      </c>
      <c r="X17" s="5">
        <f t="shared" si="2"/>
        <v>15.083333333333334</v>
      </c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</row>
    <row r="18" spans="1:56">
      <c r="A18" s="4" t="s">
        <v>166</v>
      </c>
      <c r="B18" s="4" t="s">
        <v>29</v>
      </c>
      <c r="C18" s="4">
        <v>413</v>
      </c>
      <c r="D18" s="4">
        <v>401</v>
      </c>
      <c r="E18" s="4">
        <v>1030</v>
      </c>
      <c r="F18" s="4">
        <v>1030</v>
      </c>
      <c r="G18" s="4">
        <v>314</v>
      </c>
      <c r="H18" s="4">
        <v>315</v>
      </c>
      <c r="I18" s="4">
        <v>573</v>
      </c>
      <c r="J18" s="4">
        <v>560</v>
      </c>
      <c r="K18" s="4">
        <v>1546</v>
      </c>
      <c r="L18" s="4">
        <v>1509</v>
      </c>
      <c r="M18" s="4">
        <v>454</v>
      </c>
      <c r="N18" s="4">
        <v>456</v>
      </c>
      <c r="O18" s="4">
        <v>774</v>
      </c>
      <c r="P18" s="4">
        <v>759</v>
      </c>
      <c r="Q18" s="4">
        <v>3050</v>
      </c>
      <c r="R18" s="4">
        <v>2894</v>
      </c>
      <c r="S18" s="4">
        <v>605</v>
      </c>
      <c r="T18" s="4">
        <v>607</v>
      </c>
      <c r="U18" s="4"/>
      <c r="V18" s="5">
        <f t="shared" si="0"/>
        <v>3.2802547770700636</v>
      </c>
      <c r="W18" s="5">
        <f t="shared" si="1"/>
        <v>3.4052863436123348</v>
      </c>
      <c r="X18" s="5">
        <f t="shared" si="2"/>
        <v>5.0413223140495864</v>
      </c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</row>
    <row r="19" spans="1:56">
      <c r="A19" s="4" t="s">
        <v>166</v>
      </c>
      <c r="B19" s="4" t="s">
        <v>98</v>
      </c>
      <c r="C19" s="4">
        <v>3561</v>
      </c>
      <c r="D19" s="4">
        <v>4551</v>
      </c>
      <c r="E19" s="4">
        <v>9082</v>
      </c>
      <c r="F19" s="4">
        <v>13149</v>
      </c>
      <c r="G19" s="4">
        <v>2607</v>
      </c>
      <c r="H19" s="4">
        <v>3507</v>
      </c>
      <c r="I19" s="4">
        <v>4797</v>
      </c>
      <c r="J19" s="4">
        <v>6466</v>
      </c>
      <c r="K19" s="4">
        <v>20595</v>
      </c>
      <c r="L19" s="4">
        <v>24206</v>
      </c>
      <c r="M19" s="4">
        <v>3799</v>
      </c>
      <c r="N19" s="4">
        <v>5124</v>
      </c>
      <c r="O19" s="4">
        <v>6335</v>
      </c>
      <c r="P19" s="4">
        <v>8899</v>
      </c>
      <c r="Q19" s="4">
        <v>60942</v>
      </c>
      <c r="R19" s="4">
        <v>76619</v>
      </c>
      <c r="S19" s="4">
        <v>5429</v>
      </c>
      <c r="T19" s="4">
        <v>7054</v>
      </c>
      <c r="U19" s="4"/>
      <c r="V19" s="5">
        <f t="shared" si="0"/>
        <v>3.4836977368622937</v>
      </c>
      <c r="W19" s="5">
        <f t="shared" si="1"/>
        <v>5.4211634640694921</v>
      </c>
      <c r="X19" s="5">
        <f t="shared" si="2"/>
        <v>11.225271689077179</v>
      </c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</row>
    <row r="20" spans="1:56">
      <c r="A20" s="4" t="s">
        <v>166</v>
      </c>
      <c r="B20" s="4" t="s">
        <v>43</v>
      </c>
      <c r="C20" s="4">
        <v>1600</v>
      </c>
      <c r="D20" s="4">
        <v>1967</v>
      </c>
      <c r="E20" s="4">
        <v>4214</v>
      </c>
      <c r="F20" s="4">
        <v>5500</v>
      </c>
      <c r="G20" s="4">
        <v>1248</v>
      </c>
      <c r="H20" s="4">
        <v>1523</v>
      </c>
      <c r="I20" s="4">
        <v>2167</v>
      </c>
      <c r="J20" s="4">
        <v>2797</v>
      </c>
      <c r="K20" s="4">
        <v>8166</v>
      </c>
      <c r="L20" s="4">
        <v>8945</v>
      </c>
      <c r="M20" s="4">
        <v>1804</v>
      </c>
      <c r="N20" s="4">
        <v>2281</v>
      </c>
      <c r="O20" s="4">
        <v>2959</v>
      </c>
      <c r="P20" s="4">
        <v>3635</v>
      </c>
      <c r="Q20" s="4">
        <v>28972</v>
      </c>
      <c r="R20" s="4">
        <v>29532</v>
      </c>
      <c r="S20" s="4">
        <v>2461</v>
      </c>
      <c r="T20" s="4">
        <v>2918</v>
      </c>
      <c r="U20" s="4"/>
      <c r="V20" s="5">
        <f t="shared" si="0"/>
        <v>3.3766025641025643</v>
      </c>
      <c r="W20" s="5">
        <f t="shared" si="1"/>
        <v>4.5266075388026605</v>
      </c>
      <c r="X20" s="5">
        <f t="shared" si="2"/>
        <v>11.772450223486388</v>
      </c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</row>
    <row r="21" spans="1:56">
      <c r="A21" s="4" t="s">
        <v>166</v>
      </c>
      <c r="B21" s="4" t="s">
        <v>28</v>
      </c>
      <c r="C21" s="4">
        <v>1065</v>
      </c>
      <c r="D21" s="4">
        <v>1173</v>
      </c>
      <c r="E21" s="4">
        <v>3520</v>
      </c>
      <c r="F21" s="4">
        <v>4069</v>
      </c>
      <c r="G21" s="4">
        <v>843</v>
      </c>
      <c r="H21" s="4">
        <v>896</v>
      </c>
      <c r="I21" s="4">
        <v>1516</v>
      </c>
      <c r="J21" s="4">
        <v>1523</v>
      </c>
      <c r="K21" s="4">
        <v>6783</v>
      </c>
      <c r="L21" s="4">
        <v>6885</v>
      </c>
      <c r="M21" s="4">
        <v>1212</v>
      </c>
      <c r="N21" s="4">
        <v>1312</v>
      </c>
      <c r="O21" s="4">
        <v>1989</v>
      </c>
      <c r="P21" s="4">
        <v>2172</v>
      </c>
      <c r="Q21" s="4">
        <v>20775</v>
      </c>
      <c r="R21" s="4">
        <v>21465</v>
      </c>
      <c r="S21" s="4">
        <v>1668</v>
      </c>
      <c r="T21" s="4">
        <v>1726</v>
      </c>
      <c r="U21" s="4"/>
      <c r="V21" s="5">
        <f t="shared" si="0"/>
        <v>4.1755634638196915</v>
      </c>
      <c r="W21" s="5">
        <f t="shared" si="1"/>
        <v>5.5965346534653468</v>
      </c>
      <c r="X21" s="5">
        <f t="shared" si="2"/>
        <v>12.455035971223021</v>
      </c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</row>
    <row r="22" spans="1:56">
      <c r="A22" s="4" t="s">
        <v>166</v>
      </c>
      <c r="B22" s="4" t="s">
        <v>40</v>
      </c>
      <c r="C22" s="4">
        <v>22</v>
      </c>
      <c r="D22" s="4">
        <v>21</v>
      </c>
      <c r="E22" s="4">
        <v>207</v>
      </c>
      <c r="F22" s="4">
        <v>208</v>
      </c>
      <c r="G22" s="4">
        <v>16</v>
      </c>
      <c r="H22" s="4">
        <v>17</v>
      </c>
      <c r="I22" s="4">
        <v>26</v>
      </c>
      <c r="J22" s="4">
        <v>26</v>
      </c>
      <c r="K22" s="4">
        <v>232</v>
      </c>
      <c r="L22" s="4">
        <v>236</v>
      </c>
      <c r="M22" s="4">
        <v>21</v>
      </c>
      <c r="N22" s="4">
        <v>35</v>
      </c>
      <c r="O22" s="4">
        <v>32</v>
      </c>
      <c r="P22" s="4">
        <v>58</v>
      </c>
      <c r="Q22" s="4">
        <v>508</v>
      </c>
      <c r="R22" s="4">
        <v>508</v>
      </c>
      <c r="S22" s="4">
        <v>35</v>
      </c>
      <c r="T22" s="4">
        <v>25</v>
      </c>
      <c r="U22" s="4"/>
      <c r="V22" s="5">
        <f t="shared" si="0"/>
        <v>12.9375</v>
      </c>
      <c r="W22" s="5">
        <f t="shared" si="1"/>
        <v>11.047619047619047</v>
      </c>
      <c r="X22" s="5">
        <f t="shared" si="2"/>
        <v>14.514285714285714</v>
      </c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</row>
    <row r="23" spans="1:56">
      <c r="A23" s="4" t="s">
        <v>167</v>
      </c>
      <c r="B23" s="4" t="s">
        <v>56</v>
      </c>
      <c r="C23" s="4">
        <v>3675</v>
      </c>
      <c r="D23" s="4">
        <v>3805</v>
      </c>
      <c r="E23" s="4">
        <v>18964</v>
      </c>
      <c r="F23" s="4">
        <v>18492</v>
      </c>
      <c r="G23" s="4">
        <v>2790</v>
      </c>
      <c r="H23" s="4">
        <v>2967</v>
      </c>
      <c r="I23" s="4">
        <v>4409</v>
      </c>
      <c r="J23" s="4">
        <v>4764</v>
      </c>
      <c r="K23" s="4">
        <v>37194</v>
      </c>
      <c r="L23" s="4">
        <v>36561</v>
      </c>
      <c r="M23" s="4">
        <v>3496</v>
      </c>
      <c r="N23" s="4">
        <v>3730</v>
      </c>
      <c r="O23" s="4">
        <v>5166</v>
      </c>
      <c r="P23" s="4">
        <v>5548</v>
      </c>
      <c r="Q23" s="4">
        <v>105379</v>
      </c>
      <c r="R23" s="4">
        <v>109562</v>
      </c>
      <c r="S23" s="4">
        <v>4272</v>
      </c>
      <c r="T23" s="4">
        <v>4786</v>
      </c>
      <c r="U23" s="4"/>
      <c r="V23" s="5">
        <f t="shared" si="0"/>
        <v>6.7971326164874553</v>
      </c>
      <c r="W23" s="5">
        <f t="shared" si="1"/>
        <v>10.639016018306636</v>
      </c>
      <c r="X23" s="5">
        <f t="shared" si="2"/>
        <v>24.667368913857679</v>
      </c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</row>
    <row r="24" spans="1:56">
      <c r="A24" s="4" t="s">
        <v>167</v>
      </c>
      <c r="B24" s="4" t="s">
        <v>18</v>
      </c>
      <c r="C24" s="4">
        <v>1724</v>
      </c>
      <c r="D24" s="4">
        <v>1674</v>
      </c>
      <c r="E24" s="4">
        <v>7750</v>
      </c>
      <c r="F24" s="4">
        <v>7749</v>
      </c>
      <c r="G24" s="4">
        <v>1200</v>
      </c>
      <c r="H24" s="4">
        <v>1298</v>
      </c>
      <c r="I24" s="4">
        <v>1868</v>
      </c>
      <c r="J24" s="4">
        <v>2077</v>
      </c>
      <c r="K24" s="4">
        <v>17976</v>
      </c>
      <c r="L24" s="4">
        <v>14261</v>
      </c>
      <c r="M24" s="4">
        <v>1511</v>
      </c>
      <c r="N24" s="4">
        <v>1708</v>
      </c>
      <c r="O24" s="4">
        <v>2196</v>
      </c>
      <c r="P24" s="4">
        <v>2353</v>
      </c>
      <c r="Q24" s="4">
        <v>44359</v>
      </c>
      <c r="R24" s="4">
        <v>42713</v>
      </c>
      <c r="S24" s="4">
        <v>1900</v>
      </c>
      <c r="T24" s="4">
        <v>1997</v>
      </c>
      <c r="U24" s="4"/>
      <c r="V24" s="5">
        <f t="shared" si="0"/>
        <v>6.458333333333333</v>
      </c>
      <c r="W24" s="5">
        <f t="shared" si="1"/>
        <v>11.896757114493713</v>
      </c>
      <c r="X24" s="5">
        <f t="shared" si="2"/>
        <v>23.346842105263157</v>
      </c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</row>
    <row r="25" spans="1:56">
      <c r="A25" s="4" t="s">
        <v>167</v>
      </c>
      <c r="B25" s="4" t="s">
        <v>27</v>
      </c>
      <c r="C25" s="4">
        <v>1056</v>
      </c>
      <c r="D25" s="4">
        <v>1069</v>
      </c>
      <c r="E25" s="4">
        <v>5139</v>
      </c>
      <c r="F25" s="4">
        <v>5072</v>
      </c>
      <c r="G25" s="4">
        <v>793</v>
      </c>
      <c r="H25" s="4">
        <v>827</v>
      </c>
      <c r="I25" s="4">
        <v>1166</v>
      </c>
      <c r="J25" s="4">
        <v>1324</v>
      </c>
      <c r="K25" s="4">
        <v>8377</v>
      </c>
      <c r="L25" s="4">
        <v>7992</v>
      </c>
      <c r="M25" s="4">
        <v>1026</v>
      </c>
      <c r="N25" s="4">
        <v>1044</v>
      </c>
      <c r="O25" s="4">
        <v>1457</v>
      </c>
      <c r="P25" s="4">
        <v>1563</v>
      </c>
      <c r="Q25" s="4">
        <v>25981</v>
      </c>
      <c r="R25" s="4">
        <v>26067</v>
      </c>
      <c r="S25" s="4">
        <v>1196</v>
      </c>
      <c r="T25" s="4">
        <v>1246</v>
      </c>
      <c r="U25" s="4"/>
      <c r="V25" s="5">
        <f t="shared" si="0"/>
        <v>6.4804539722572505</v>
      </c>
      <c r="W25" s="5">
        <f t="shared" si="1"/>
        <v>8.1647173489278746</v>
      </c>
      <c r="X25" s="5">
        <f t="shared" si="2"/>
        <v>21.723244147157189</v>
      </c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</row>
    <row r="26" spans="1:56">
      <c r="A26" s="4" t="s">
        <v>167</v>
      </c>
      <c r="B26" s="4" t="s">
        <v>69</v>
      </c>
      <c r="C26" s="4">
        <v>1023</v>
      </c>
      <c r="D26" s="4">
        <v>1045</v>
      </c>
      <c r="E26" s="4">
        <v>4365</v>
      </c>
      <c r="F26" s="4">
        <v>3235</v>
      </c>
      <c r="G26" s="4">
        <v>762</v>
      </c>
      <c r="H26" s="4">
        <v>753</v>
      </c>
      <c r="I26" s="4">
        <v>1465</v>
      </c>
      <c r="J26" s="4">
        <v>1494</v>
      </c>
      <c r="K26" s="4">
        <v>5390</v>
      </c>
      <c r="L26" s="4">
        <v>5625</v>
      </c>
      <c r="M26" s="4">
        <v>1141</v>
      </c>
      <c r="N26" s="4">
        <v>1176</v>
      </c>
      <c r="O26" s="4">
        <v>2217</v>
      </c>
      <c r="P26" s="4">
        <v>2035</v>
      </c>
      <c r="Q26" s="4">
        <v>13153</v>
      </c>
      <c r="R26" s="4">
        <v>13968</v>
      </c>
      <c r="S26" s="4">
        <v>1648</v>
      </c>
      <c r="T26" s="4">
        <v>1567</v>
      </c>
      <c r="U26" s="4"/>
      <c r="V26" s="5">
        <f t="shared" si="0"/>
        <v>5.728346456692913</v>
      </c>
      <c r="W26" s="5">
        <f t="shared" si="1"/>
        <v>4.7239263803680984</v>
      </c>
      <c r="X26" s="5">
        <f t="shared" si="2"/>
        <v>7.9811893203883493</v>
      </c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</row>
    <row r="27" spans="1:56">
      <c r="A27" s="4" t="s">
        <v>167</v>
      </c>
      <c r="B27" s="4" t="s">
        <v>71</v>
      </c>
      <c r="C27" s="4">
        <v>1012</v>
      </c>
      <c r="D27" s="4">
        <v>1038</v>
      </c>
      <c r="E27" s="4">
        <v>3267</v>
      </c>
      <c r="F27" s="4">
        <v>3968</v>
      </c>
      <c r="G27" s="4">
        <v>824</v>
      </c>
      <c r="H27" s="4">
        <v>914</v>
      </c>
      <c r="I27" s="4">
        <v>1188</v>
      </c>
      <c r="J27" s="4">
        <v>1239</v>
      </c>
      <c r="K27" s="4">
        <v>6057</v>
      </c>
      <c r="L27" s="4">
        <v>5643</v>
      </c>
      <c r="M27" s="4">
        <v>980</v>
      </c>
      <c r="N27" s="4">
        <v>1072</v>
      </c>
      <c r="O27" s="4">
        <v>1430</v>
      </c>
      <c r="P27" s="4">
        <v>1459</v>
      </c>
      <c r="Q27" s="4">
        <v>18038</v>
      </c>
      <c r="R27" s="4">
        <v>19721</v>
      </c>
      <c r="S27" s="4">
        <v>1170</v>
      </c>
      <c r="T27" s="4">
        <v>1206</v>
      </c>
      <c r="U27" s="4"/>
      <c r="V27" s="5">
        <f t="shared" si="0"/>
        <v>3.9648058252427183</v>
      </c>
      <c r="W27" s="5">
        <f t="shared" si="1"/>
        <v>6.1806122448979588</v>
      </c>
      <c r="X27" s="5">
        <f t="shared" si="2"/>
        <v>15.417094017094017</v>
      </c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</row>
    <row r="28" spans="1:56">
      <c r="A28" s="4" t="s">
        <v>167</v>
      </c>
      <c r="B28" s="4" t="s">
        <v>22</v>
      </c>
      <c r="C28" s="4">
        <v>411</v>
      </c>
      <c r="D28" s="4">
        <v>893</v>
      </c>
      <c r="E28" s="4">
        <v>2566</v>
      </c>
      <c r="F28" s="4">
        <v>3231</v>
      </c>
      <c r="G28" s="4">
        <v>321</v>
      </c>
      <c r="H28" s="4">
        <v>687</v>
      </c>
      <c r="I28" s="4">
        <v>481</v>
      </c>
      <c r="J28" s="4">
        <v>1069</v>
      </c>
      <c r="K28" s="4">
        <v>3841</v>
      </c>
      <c r="L28" s="4">
        <v>5500</v>
      </c>
      <c r="M28" s="4">
        <v>454</v>
      </c>
      <c r="N28" s="4">
        <v>853</v>
      </c>
      <c r="O28" s="4">
        <v>576</v>
      </c>
      <c r="P28" s="4">
        <v>1348</v>
      </c>
      <c r="Q28" s="4">
        <v>11587</v>
      </c>
      <c r="R28" s="4">
        <v>15345</v>
      </c>
      <c r="S28" s="4">
        <v>481</v>
      </c>
      <c r="T28" s="4">
        <v>1079</v>
      </c>
      <c r="U28" s="4"/>
      <c r="V28" s="5">
        <f t="shared" si="0"/>
        <v>7.9937694704049846</v>
      </c>
      <c r="W28" s="5">
        <f t="shared" si="1"/>
        <v>8.4603524229074889</v>
      </c>
      <c r="X28" s="5">
        <f t="shared" si="2"/>
        <v>24.089397089397089</v>
      </c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</row>
    <row r="29" spans="1:56">
      <c r="A29" s="4" t="s">
        <v>167</v>
      </c>
      <c r="B29" s="4" t="s">
        <v>94</v>
      </c>
      <c r="C29" s="4">
        <v>26</v>
      </c>
      <c r="D29" s="4">
        <v>27</v>
      </c>
      <c r="E29" s="4">
        <v>148</v>
      </c>
      <c r="F29" s="4">
        <v>142</v>
      </c>
      <c r="G29" s="4">
        <v>36</v>
      </c>
      <c r="H29" s="4">
        <v>24</v>
      </c>
      <c r="I29" s="4">
        <v>35</v>
      </c>
      <c r="J29" s="4">
        <v>35</v>
      </c>
      <c r="K29" s="4">
        <v>247</v>
      </c>
      <c r="L29" s="4">
        <v>262</v>
      </c>
      <c r="M29" s="4">
        <v>28</v>
      </c>
      <c r="N29" s="4">
        <v>28</v>
      </c>
      <c r="O29" s="4">
        <v>45</v>
      </c>
      <c r="P29" s="4">
        <v>43</v>
      </c>
      <c r="Q29" s="4">
        <v>546</v>
      </c>
      <c r="R29" s="4">
        <v>548</v>
      </c>
      <c r="S29" s="4">
        <v>33</v>
      </c>
      <c r="T29" s="4">
        <v>33</v>
      </c>
      <c r="U29" s="4"/>
      <c r="V29" s="5">
        <f t="shared" si="0"/>
        <v>4.1111111111111107</v>
      </c>
      <c r="W29" s="5">
        <f t="shared" si="1"/>
        <v>8.8214285714285712</v>
      </c>
      <c r="X29" s="5">
        <f t="shared" si="2"/>
        <v>16.545454545454547</v>
      </c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</row>
    <row r="30" spans="1:56">
      <c r="A30" s="4" t="s">
        <v>167</v>
      </c>
      <c r="B30" s="4" t="s">
        <v>20</v>
      </c>
      <c r="C30" s="4">
        <v>983</v>
      </c>
      <c r="D30" s="4">
        <v>1385</v>
      </c>
      <c r="E30" s="4">
        <v>3290</v>
      </c>
      <c r="F30" s="4">
        <v>4469</v>
      </c>
      <c r="G30" s="4">
        <v>796</v>
      </c>
      <c r="H30" s="4">
        <v>1423</v>
      </c>
      <c r="I30" s="4">
        <v>1193</v>
      </c>
      <c r="J30" s="4">
        <v>1263</v>
      </c>
      <c r="K30" s="4">
        <v>6069</v>
      </c>
      <c r="L30" s="4">
        <v>5971</v>
      </c>
      <c r="M30" s="4">
        <v>984</v>
      </c>
      <c r="N30" s="4">
        <v>1021</v>
      </c>
      <c r="O30" s="4">
        <v>1394</v>
      </c>
      <c r="P30" s="4">
        <v>1478</v>
      </c>
      <c r="Q30" s="4">
        <v>18341</v>
      </c>
      <c r="R30" s="4">
        <v>22019</v>
      </c>
      <c r="S30" s="4">
        <v>1216</v>
      </c>
      <c r="T30" s="4">
        <v>1228</v>
      </c>
      <c r="U30" s="4"/>
      <c r="V30" s="5">
        <f t="shared" si="0"/>
        <v>4.1331658291457289</v>
      </c>
      <c r="W30" s="5">
        <f t="shared" si="1"/>
        <v>6.1676829268292686</v>
      </c>
      <c r="X30" s="5">
        <f t="shared" si="2"/>
        <v>15.083059210526315</v>
      </c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</row>
    <row r="31" spans="1:56">
      <c r="A31" s="4" t="s">
        <v>167</v>
      </c>
      <c r="B31" s="4" t="s">
        <v>24</v>
      </c>
      <c r="C31" s="4">
        <v>401</v>
      </c>
      <c r="D31" s="4">
        <v>781</v>
      </c>
      <c r="E31" s="4">
        <v>2481</v>
      </c>
      <c r="F31" s="4">
        <v>3201</v>
      </c>
      <c r="G31" s="4">
        <v>325</v>
      </c>
      <c r="H31" s="4">
        <v>607</v>
      </c>
      <c r="I31" s="4">
        <v>513</v>
      </c>
      <c r="J31" s="4">
        <v>930</v>
      </c>
      <c r="K31" s="4">
        <v>3955</v>
      </c>
      <c r="L31" s="4">
        <v>4955</v>
      </c>
      <c r="M31" s="4">
        <v>387</v>
      </c>
      <c r="N31" s="4">
        <v>739</v>
      </c>
      <c r="O31" s="4">
        <v>777</v>
      </c>
      <c r="P31" s="4">
        <v>1094</v>
      </c>
      <c r="Q31" s="4">
        <v>10963</v>
      </c>
      <c r="R31" s="4">
        <v>14017</v>
      </c>
      <c r="S31" s="4">
        <v>460</v>
      </c>
      <c r="T31" s="4">
        <v>894</v>
      </c>
      <c r="U31" s="4"/>
      <c r="V31" s="5">
        <f t="shared" si="0"/>
        <v>7.6338461538461537</v>
      </c>
      <c r="W31" s="5">
        <f t="shared" si="1"/>
        <v>10.219638242894057</v>
      </c>
      <c r="X31" s="5">
        <f t="shared" si="2"/>
        <v>23.832608695652173</v>
      </c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</row>
    <row r="32" spans="1:56">
      <c r="A32" s="4" t="s">
        <v>167</v>
      </c>
      <c r="B32" s="4" t="s">
        <v>26</v>
      </c>
      <c r="C32" s="4">
        <v>26</v>
      </c>
      <c r="D32" s="4">
        <v>33</v>
      </c>
      <c r="E32" s="4">
        <v>136</v>
      </c>
      <c r="F32" s="4">
        <v>143</v>
      </c>
      <c r="G32" s="4">
        <v>33</v>
      </c>
      <c r="H32" s="4">
        <v>24</v>
      </c>
      <c r="I32" s="4">
        <v>29</v>
      </c>
      <c r="J32" s="4">
        <v>37</v>
      </c>
      <c r="K32" s="4">
        <v>277</v>
      </c>
      <c r="L32" s="4">
        <v>287</v>
      </c>
      <c r="M32" s="4">
        <v>24</v>
      </c>
      <c r="N32" s="4">
        <v>30</v>
      </c>
      <c r="O32" s="4">
        <v>41</v>
      </c>
      <c r="P32" s="4">
        <v>82</v>
      </c>
      <c r="Q32" s="4">
        <v>581</v>
      </c>
      <c r="R32" s="4">
        <v>619</v>
      </c>
      <c r="S32" s="4">
        <v>31</v>
      </c>
      <c r="T32" s="4">
        <v>39</v>
      </c>
      <c r="U32" s="4"/>
      <c r="V32" s="5">
        <f t="shared" si="0"/>
        <v>4.1212121212121211</v>
      </c>
      <c r="W32" s="5">
        <f t="shared" si="1"/>
        <v>11.541666666666666</v>
      </c>
      <c r="X32" s="5">
        <f t="shared" si="2"/>
        <v>18.741935483870968</v>
      </c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</row>
    <row r="33" spans="1:56">
      <c r="A33" s="4" t="s">
        <v>167</v>
      </c>
      <c r="B33" s="4" t="s">
        <v>104</v>
      </c>
      <c r="C33" s="4">
        <v>51</v>
      </c>
      <c r="D33" s="4">
        <v>42</v>
      </c>
      <c r="E33" s="4">
        <v>261</v>
      </c>
      <c r="F33" s="4">
        <v>176</v>
      </c>
      <c r="G33" s="4">
        <v>31</v>
      </c>
      <c r="H33" s="4">
        <v>31</v>
      </c>
      <c r="I33" s="4">
        <v>84</v>
      </c>
      <c r="J33" s="4">
        <v>53</v>
      </c>
      <c r="K33" s="4">
        <v>326</v>
      </c>
      <c r="L33" s="4">
        <v>334</v>
      </c>
      <c r="M33" s="4">
        <v>41</v>
      </c>
      <c r="N33" s="4">
        <v>42</v>
      </c>
      <c r="O33" s="4">
        <v>74</v>
      </c>
      <c r="P33" s="4">
        <v>66</v>
      </c>
      <c r="Q33" s="4">
        <v>960</v>
      </c>
      <c r="R33" s="4">
        <v>576</v>
      </c>
      <c r="S33" s="4">
        <v>50</v>
      </c>
      <c r="T33" s="4">
        <v>50</v>
      </c>
      <c r="U33" s="4"/>
      <c r="V33" s="5">
        <f t="shared" si="0"/>
        <v>8.4193548387096779</v>
      </c>
      <c r="W33" s="5">
        <f t="shared" si="1"/>
        <v>7.9512195121951219</v>
      </c>
      <c r="X33" s="5">
        <f t="shared" si="2"/>
        <v>19.2</v>
      </c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</row>
    <row r="34" spans="1:56">
      <c r="A34" s="4" t="s">
        <v>168</v>
      </c>
      <c r="B34" s="4" t="s">
        <v>16</v>
      </c>
      <c r="C34" s="4">
        <v>712</v>
      </c>
      <c r="D34" s="4">
        <v>1131</v>
      </c>
      <c r="E34" s="4">
        <v>7583</v>
      </c>
      <c r="F34" s="4">
        <v>10287</v>
      </c>
      <c r="G34" s="4">
        <v>546</v>
      </c>
      <c r="H34" s="4">
        <v>865</v>
      </c>
      <c r="I34" s="4">
        <v>845</v>
      </c>
      <c r="J34" s="4">
        <v>1369</v>
      </c>
      <c r="K34" s="4">
        <v>10571</v>
      </c>
      <c r="L34" s="4">
        <v>16526</v>
      </c>
      <c r="M34" s="4">
        <v>679</v>
      </c>
      <c r="N34" s="4">
        <v>1112</v>
      </c>
      <c r="O34" s="4">
        <v>1153</v>
      </c>
      <c r="P34" s="4">
        <v>1622</v>
      </c>
      <c r="Q34" s="4">
        <v>30788</v>
      </c>
      <c r="R34" s="4">
        <v>50437</v>
      </c>
      <c r="S34" s="4">
        <v>818</v>
      </c>
      <c r="T34" s="4">
        <v>1360</v>
      </c>
      <c r="U34" s="4"/>
      <c r="V34" s="5">
        <f t="shared" si="0"/>
        <v>13.888278388278389</v>
      </c>
      <c r="W34" s="5">
        <f t="shared" si="1"/>
        <v>15.568483063328424</v>
      </c>
      <c r="X34" s="5">
        <f t="shared" si="2"/>
        <v>37.638141809290957</v>
      </c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</row>
    <row r="35" spans="1:56">
      <c r="A35" s="4" t="s">
        <v>168</v>
      </c>
      <c r="B35" s="4" t="s">
        <v>91</v>
      </c>
      <c r="C35" s="4">
        <v>1523</v>
      </c>
      <c r="D35" s="4">
        <v>1783</v>
      </c>
      <c r="E35" s="4">
        <v>5428</v>
      </c>
      <c r="F35" s="4">
        <v>6736</v>
      </c>
      <c r="G35" s="4">
        <v>1126</v>
      </c>
      <c r="H35" s="4">
        <v>1337</v>
      </c>
      <c r="I35" s="4">
        <v>1923</v>
      </c>
      <c r="J35" s="4">
        <v>2276</v>
      </c>
      <c r="K35" s="4">
        <v>9686</v>
      </c>
      <c r="L35" s="4">
        <v>10541</v>
      </c>
      <c r="M35" s="4">
        <v>1549</v>
      </c>
      <c r="N35" s="4">
        <v>1816</v>
      </c>
      <c r="O35" s="4">
        <v>2555</v>
      </c>
      <c r="P35" s="4">
        <v>2886</v>
      </c>
      <c r="Q35" s="4">
        <v>30723</v>
      </c>
      <c r="R35" s="4">
        <v>37829</v>
      </c>
      <c r="S35" s="4">
        <v>2115</v>
      </c>
      <c r="T35" s="4">
        <v>2372</v>
      </c>
      <c r="U35" s="4"/>
      <c r="V35" s="5">
        <f t="shared" si="0"/>
        <v>4.820603907637655</v>
      </c>
      <c r="W35" s="5">
        <f t="shared" si="1"/>
        <v>6.2530664945125887</v>
      </c>
      <c r="X35" s="5">
        <f t="shared" si="2"/>
        <v>14.526241134751773</v>
      </c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</row>
    <row r="36" spans="1:56">
      <c r="A36" s="4" t="s">
        <v>169</v>
      </c>
      <c r="B36" s="4" t="s">
        <v>64</v>
      </c>
      <c r="C36" s="4">
        <v>5264</v>
      </c>
      <c r="D36" s="4">
        <v>6613</v>
      </c>
      <c r="E36" s="4">
        <v>53582</v>
      </c>
      <c r="F36" s="4">
        <v>73514</v>
      </c>
      <c r="G36" s="4">
        <v>4192</v>
      </c>
      <c r="H36" s="4">
        <v>5317</v>
      </c>
      <c r="I36" s="4">
        <v>6548</v>
      </c>
      <c r="J36" s="4">
        <v>8472</v>
      </c>
      <c r="K36" s="4">
        <v>96908</v>
      </c>
      <c r="L36" s="4">
        <v>180818</v>
      </c>
      <c r="M36" s="4">
        <v>5531</v>
      </c>
      <c r="N36" s="4">
        <v>6722</v>
      </c>
      <c r="O36" s="4">
        <v>8347</v>
      </c>
      <c r="P36" s="4">
        <v>10412</v>
      </c>
      <c r="Q36" s="4">
        <v>320125</v>
      </c>
      <c r="R36" s="4">
        <v>528211</v>
      </c>
      <c r="S36" s="4">
        <v>6986</v>
      </c>
      <c r="T36" s="4">
        <v>8685</v>
      </c>
      <c r="U36" s="4"/>
      <c r="V36" s="5">
        <f t="shared" si="0"/>
        <v>12.781965648854962</v>
      </c>
      <c r="W36" s="5">
        <f t="shared" si="1"/>
        <v>17.52088229976496</v>
      </c>
      <c r="X36" s="5">
        <f t="shared" si="2"/>
        <v>45.823790438018897</v>
      </c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</row>
    <row r="37" spans="1:56">
      <c r="A37" s="4" t="s">
        <v>169</v>
      </c>
      <c r="B37" s="4" t="s">
        <v>25</v>
      </c>
      <c r="C37" s="4">
        <v>2797</v>
      </c>
      <c r="D37" s="4">
        <v>3051</v>
      </c>
      <c r="E37" s="4">
        <v>13529</v>
      </c>
      <c r="F37" s="4">
        <v>13542</v>
      </c>
      <c r="G37" s="4">
        <v>2145</v>
      </c>
      <c r="H37" s="4">
        <v>2398</v>
      </c>
      <c r="I37" s="4">
        <v>3727</v>
      </c>
      <c r="J37" s="4">
        <v>3958</v>
      </c>
      <c r="K37" s="4">
        <v>23352</v>
      </c>
      <c r="L37" s="4">
        <v>23955</v>
      </c>
      <c r="M37" s="4">
        <v>3034</v>
      </c>
      <c r="N37" s="4">
        <v>3326</v>
      </c>
      <c r="O37" s="4">
        <v>4818</v>
      </c>
      <c r="P37" s="4">
        <v>5392</v>
      </c>
      <c r="Q37" s="4">
        <v>82340</v>
      </c>
      <c r="R37" s="4">
        <v>84733</v>
      </c>
      <c r="S37" s="4">
        <v>3925</v>
      </c>
      <c r="T37" s="4">
        <v>4358</v>
      </c>
      <c r="U37" s="4"/>
      <c r="V37" s="5">
        <f t="shared" si="0"/>
        <v>6.3072261072261071</v>
      </c>
      <c r="W37" s="5">
        <f t="shared" si="1"/>
        <v>7.6967699406723797</v>
      </c>
      <c r="X37" s="5">
        <f t="shared" si="2"/>
        <v>20.978343949044586</v>
      </c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</row>
    <row r="38" spans="1:56">
      <c r="A38" s="4" t="s">
        <v>169</v>
      </c>
      <c r="B38" s="4" t="s">
        <v>36</v>
      </c>
      <c r="C38" s="4">
        <v>1635</v>
      </c>
      <c r="D38" s="4">
        <v>2967</v>
      </c>
      <c r="E38" s="4">
        <v>15436</v>
      </c>
      <c r="F38" s="4">
        <v>17075</v>
      </c>
      <c r="G38" s="4">
        <v>1249</v>
      </c>
      <c r="H38" s="4">
        <v>2323</v>
      </c>
      <c r="I38" s="4">
        <v>1932</v>
      </c>
      <c r="J38" s="4">
        <v>3697</v>
      </c>
      <c r="K38" s="4">
        <v>24889</v>
      </c>
      <c r="L38" s="4">
        <v>27724</v>
      </c>
      <c r="M38" s="4">
        <v>1750</v>
      </c>
      <c r="N38" s="4">
        <v>2905</v>
      </c>
      <c r="O38" s="4">
        <v>2410</v>
      </c>
      <c r="P38" s="4">
        <v>4135</v>
      </c>
      <c r="Q38" s="4">
        <v>75365</v>
      </c>
      <c r="R38" s="4">
        <v>87965</v>
      </c>
      <c r="S38" s="4">
        <v>1907</v>
      </c>
      <c r="T38" s="4">
        <v>3582</v>
      </c>
      <c r="U38" s="4"/>
      <c r="V38" s="5">
        <f t="shared" si="0"/>
        <v>12.358686949559647</v>
      </c>
      <c r="W38" s="5">
        <f t="shared" si="1"/>
        <v>14.222285714285714</v>
      </c>
      <c r="X38" s="5">
        <f t="shared" si="2"/>
        <v>39.520188778185634</v>
      </c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</row>
    <row r="39" spans="1:56">
      <c r="A39" s="4" t="s">
        <v>169</v>
      </c>
      <c r="B39" s="4" t="s">
        <v>100</v>
      </c>
      <c r="C39" s="4">
        <v>1847</v>
      </c>
      <c r="D39" s="4">
        <v>2221</v>
      </c>
      <c r="E39" s="4">
        <v>8069</v>
      </c>
      <c r="F39" s="4">
        <v>6732</v>
      </c>
      <c r="G39" s="4">
        <v>1454</v>
      </c>
      <c r="H39" s="4">
        <v>1677</v>
      </c>
      <c r="I39" s="4">
        <v>2037</v>
      </c>
      <c r="J39" s="4">
        <v>2505</v>
      </c>
      <c r="K39" s="4">
        <v>11693</v>
      </c>
      <c r="L39" s="4">
        <v>10371</v>
      </c>
      <c r="M39" s="4">
        <v>1687</v>
      </c>
      <c r="N39" s="4">
        <v>1995</v>
      </c>
      <c r="O39" s="4">
        <v>2786</v>
      </c>
      <c r="P39" s="4">
        <v>3167</v>
      </c>
      <c r="Q39" s="4">
        <v>34121</v>
      </c>
      <c r="R39" s="4">
        <v>32896</v>
      </c>
      <c r="S39" s="4">
        <v>2062</v>
      </c>
      <c r="T39" s="4">
        <v>2526</v>
      </c>
      <c r="U39" s="4"/>
      <c r="V39" s="5">
        <f t="shared" si="0"/>
        <v>5.5495185694635492</v>
      </c>
      <c r="W39" s="5">
        <f t="shared" si="1"/>
        <v>6.9312388855957323</v>
      </c>
      <c r="X39" s="5">
        <f t="shared" si="2"/>
        <v>16.547526673132882</v>
      </c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</row>
    <row r="40" spans="1:56">
      <c r="A40" s="4" t="s">
        <v>169</v>
      </c>
      <c r="B40" s="4" t="s">
        <v>66</v>
      </c>
      <c r="C40" s="4">
        <v>1533</v>
      </c>
      <c r="D40" s="4">
        <v>1886</v>
      </c>
      <c r="E40" s="4">
        <v>5788</v>
      </c>
      <c r="F40" s="4">
        <v>5284</v>
      </c>
      <c r="G40" s="4">
        <v>1222</v>
      </c>
      <c r="H40" s="4">
        <v>1458</v>
      </c>
      <c r="I40" s="4">
        <v>1905</v>
      </c>
      <c r="J40" s="4">
        <v>2325</v>
      </c>
      <c r="K40" s="4">
        <v>8585</v>
      </c>
      <c r="L40" s="4">
        <v>8999</v>
      </c>
      <c r="M40" s="4">
        <v>1585</v>
      </c>
      <c r="N40" s="4">
        <v>1923</v>
      </c>
      <c r="O40" s="4">
        <v>2435</v>
      </c>
      <c r="P40" s="4">
        <v>2827</v>
      </c>
      <c r="Q40" s="4">
        <v>25917</v>
      </c>
      <c r="R40" s="4">
        <v>25732</v>
      </c>
      <c r="S40" s="4">
        <v>2022</v>
      </c>
      <c r="T40" s="4">
        <v>2329</v>
      </c>
      <c r="U40" s="4"/>
      <c r="V40" s="5">
        <f t="shared" si="0"/>
        <v>4.7364975450081834</v>
      </c>
      <c r="W40" s="5">
        <f t="shared" si="1"/>
        <v>5.4164037854889591</v>
      </c>
      <c r="X40" s="5">
        <f t="shared" si="2"/>
        <v>12.817507418397627</v>
      </c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</row>
    <row r="41" spans="1:56">
      <c r="A41" s="4" t="s">
        <v>169</v>
      </c>
      <c r="B41" s="4" t="s">
        <v>60</v>
      </c>
      <c r="C41" s="4">
        <v>1201</v>
      </c>
      <c r="D41" s="4">
        <v>1566</v>
      </c>
      <c r="E41" s="4">
        <v>4078</v>
      </c>
      <c r="F41" s="4">
        <v>4370</v>
      </c>
      <c r="G41" s="4">
        <v>916</v>
      </c>
      <c r="H41" s="4">
        <v>1236</v>
      </c>
      <c r="I41" s="4">
        <v>1451</v>
      </c>
      <c r="J41" s="4">
        <v>2031</v>
      </c>
      <c r="K41" s="4">
        <v>6500</v>
      </c>
      <c r="L41" s="4">
        <v>7598</v>
      </c>
      <c r="M41" s="4">
        <v>1144</v>
      </c>
      <c r="N41" s="4">
        <v>1554</v>
      </c>
      <c r="O41" s="4">
        <v>1663</v>
      </c>
      <c r="P41" s="4">
        <v>2192</v>
      </c>
      <c r="Q41" s="4">
        <v>19483</v>
      </c>
      <c r="R41" s="4">
        <v>20011</v>
      </c>
      <c r="S41" s="4">
        <v>1376</v>
      </c>
      <c r="T41" s="4">
        <v>1789</v>
      </c>
      <c r="U41" s="4"/>
      <c r="V41" s="5">
        <f t="shared" si="0"/>
        <v>4.4519650655021836</v>
      </c>
      <c r="W41" s="5">
        <f t="shared" si="1"/>
        <v>5.6818181818181817</v>
      </c>
      <c r="X41" s="5">
        <f t="shared" si="2"/>
        <v>14.159156976744185</v>
      </c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</row>
    <row r="42" spans="1:56">
      <c r="A42" s="4" t="s">
        <v>169</v>
      </c>
      <c r="B42" s="4" t="s">
        <v>12</v>
      </c>
      <c r="C42" s="4">
        <v>332</v>
      </c>
      <c r="D42" s="4">
        <v>336</v>
      </c>
      <c r="E42" s="4">
        <v>803</v>
      </c>
      <c r="F42" s="4">
        <v>838</v>
      </c>
      <c r="G42" s="4">
        <v>264</v>
      </c>
      <c r="H42" s="4">
        <v>268</v>
      </c>
      <c r="I42" s="4">
        <v>384</v>
      </c>
      <c r="J42" s="4">
        <v>454</v>
      </c>
      <c r="K42" s="4">
        <v>1100</v>
      </c>
      <c r="L42" s="4">
        <v>1471</v>
      </c>
      <c r="M42" s="4">
        <v>309</v>
      </c>
      <c r="N42" s="4">
        <v>319</v>
      </c>
      <c r="O42" s="4">
        <v>445</v>
      </c>
      <c r="P42" s="4">
        <v>470</v>
      </c>
      <c r="Q42" s="4">
        <v>3033</v>
      </c>
      <c r="R42" s="4">
        <v>3236</v>
      </c>
      <c r="S42" s="4">
        <v>375</v>
      </c>
      <c r="T42" s="4">
        <v>386</v>
      </c>
      <c r="U42" s="4"/>
      <c r="V42" s="5">
        <f t="shared" si="0"/>
        <v>3.0416666666666665</v>
      </c>
      <c r="W42" s="5">
        <f t="shared" si="1"/>
        <v>3.5598705501618122</v>
      </c>
      <c r="X42" s="5">
        <f t="shared" si="2"/>
        <v>8.0879999999999992</v>
      </c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</row>
    <row r="43" spans="1:56">
      <c r="A43" s="4" t="s">
        <v>183</v>
      </c>
      <c r="B43" s="4" t="s">
        <v>21</v>
      </c>
      <c r="C43" s="4">
        <v>6465</v>
      </c>
      <c r="D43" s="4">
        <v>8606</v>
      </c>
      <c r="E43" s="4">
        <v>26078</v>
      </c>
      <c r="F43" s="4">
        <v>29267</v>
      </c>
      <c r="G43" s="4">
        <v>4816</v>
      </c>
      <c r="H43" s="4">
        <v>6626</v>
      </c>
      <c r="I43" s="4">
        <v>9026</v>
      </c>
      <c r="J43" s="4">
        <v>12463</v>
      </c>
      <c r="K43" s="4">
        <v>46929</v>
      </c>
      <c r="L43" s="4">
        <v>56986</v>
      </c>
      <c r="M43" s="4">
        <v>7434</v>
      </c>
      <c r="N43" s="4">
        <v>9911</v>
      </c>
      <c r="O43" s="4">
        <v>13237</v>
      </c>
      <c r="P43" s="4">
        <v>18694</v>
      </c>
      <c r="Q43" s="4">
        <v>152266</v>
      </c>
      <c r="R43" s="4">
        <v>214767</v>
      </c>
      <c r="S43" s="4">
        <v>10624</v>
      </c>
      <c r="T43" s="4">
        <v>14989</v>
      </c>
      <c r="U43" s="4"/>
      <c r="V43" s="5">
        <f t="shared" si="0"/>
        <v>5.4148671096345513</v>
      </c>
      <c r="W43" s="5">
        <f t="shared" si="1"/>
        <v>6.3127522195318804</v>
      </c>
      <c r="X43" s="5">
        <f t="shared" si="2"/>
        <v>14.33226656626506</v>
      </c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</row>
    <row r="44" spans="1:56">
      <c r="A44" s="4" t="s">
        <v>171</v>
      </c>
      <c r="B44" s="4" t="s">
        <v>44</v>
      </c>
      <c r="C44" s="4">
        <v>766</v>
      </c>
      <c r="D44" s="4">
        <v>687</v>
      </c>
      <c r="E44" s="4">
        <v>2372</v>
      </c>
      <c r="F44" s="4">
        <v>2094</v>
      </c>
      <c r="G44" s="4">
        <v>592</v>
      </c>
      <c r="H44" s="4">
        <v>577</v>
      </c>
      <c r="I44" s="4">
        <v>740</v>
      </c>
      <c r="J44" s="4">
        <v>806</v>
      </c>
      <c r="K44" s="4">
        <v>4034</v>
      </c>
      <c r="L44" s="4">
        <v>3126</v>
      </c>
      <c r="M44" s="4">
        <v>627</v>
      </c>
      <c r="N44" s="4">
        <v>686</v>
      </c>
      <c r="O44" s="4">
        <v>1110</v>
      </c>
      <c r="P44" s="4">
        <v>983</v>
      </c>
      <c r="Q44" s="4">
        <v>11781</v>
      </c>
      <c r="R44" s="4">
        <v>9856</v>
      </c>
      <c r="S44" s="4">
        <v>838</v>
      </c>
      <c r="T44" s="4">
        <v>800</v>
      </c>
      <c r="U44" s="4"/>
      <c r="V44" s="5">
        <f t="shared" si="0"/>
        <v>4.006756756756757</v>
      </c>
      <c r="W44" s="5">
        <f t="shared" si="1"/>
        <v>6.4338118022328548</v>
      </c>
      <c r="X44" s="5">
        <f t="shared" si="2"/>
        <v>14.058472553699284</v>
      </c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</row>
    <row r="45" spans="1:56">
      <c r="A45" s="4" t="s">
        <v>170</v>
      </c>
      <c r="B45" s="4" t="s">
        <v>5</v>
      </c>
      <c r="C45" s="4">
        <v>262</v>
      </c>
      <c r="D45" s="4">
        <v>261</v>
      </c>
      <c r="E45" s="4">
        <v>1242</v>
      </c>
      <c r="F45" s="4">
        <v>1047</v>
      </c>
      <c r="G45" s="4">
        <v>268</v>
      </c>
      <c r="H45" s="4">
        <v>209</v>
      </c>
      <c r="I45" s="4">
        <v>317</v>
      </c>
      <c r="J45" s="4">
        <v>322</v>
      </c>
      <c r="K45" s="4">
        <v>2146</v>
      </c>
      <c r="L45" s="4">
        <v>1810</v>
      </c>
      <c r="M45" s="4">
        <v>271</v>
      </c>
      <c r="N45" s="4">
        <v>265</v>
      </c>
      <c r="O45" s="4">
        <v>376</v>
      </c>
      <c r="P45" s="4">
        <v>378</v>
      </c>
      <c r="Q45" s="4">
        <v>5507</v>
      </c>
      <c r="R45" s="4">
        <v>4726</v>
      </c>
      <c r="S45" s="4">
        <v>313</v>
      </c>
      <c r="T45" s="4">
        <v>319</v>
      </c>
      <c r="U45" s="4"/>
      <c r="V45" s="5">
        <f t="shared" si="0"/>
        <v>4.6343283582089549</v>
      </c>
      <c r="W45" s="5">
        <f t="shared" si="1"/>
        <v>7.9188191881918817</v>
      </c>
      <c r="X45" s="5">
        <f t="shared" si="2"/>
        <v>17.594249201277954</v>
      </c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</row>
    <row r="46" spans="1:56">
      <c r="A46" s="4" t="s">
        <v>170</v>
      </c>
      <c r="B46" s="4" t="s">
        <v>62</v>
      </c>
      <c r="C46" s="4">
        <v>920</v>
      </c>
      <c r="D46" s="4">
        <v>11016</v>
      </c>
      <c r="E46" s="4">
        <v>3013</v>
      </c>
      <c r="F46" s="4">
        <v>10738</v>
      </c>
      <c r="G46" s="4">
        <v>904</v>
      </c>
      <c r="H46" s="4">
        <v>4828</v>
      </c>
      <c r="I46" s="4">
        <v>1041</v>
      </c>
      <c r="J46" s="4">
        <v>12070</v>
      </c>
      <c r="K46" s="4">
        <v>4911</v>
      </c>
      <c r="L46" s="4">
        <v>12519</v>
      </c>
      <c r="M46" s="4">
        <v>857</v>
      </c>
      <c r="N46" s="4">
        <v>7961</v>
      </c>
      <c r="O46" s="4">
        <v>1348</v>
      </c>
      <c r="P46" s="4">
        <v>13697</v>
      </c>
      <c r="Q46" s="4">
        <v>16760</v>
      </c>
      <c r="R46" s="4">
        <v>25010</v>
      </c>
      <c r="S46" s="4">
        <v>1129</v>
      </c>
      <c r="T46" s="4">
        <v>10004</v>
      </c>
      <c r="U46" s="4"/>
      <c r="V46" s="5">
        <f t="shared" si="0"/>
        <v>3.3329646017699117</v>
      </c>
      <c r="W46" s="5">
        <f t="shared" si="1"/>
        <v>5.730455075845974</v>
      </c>
      <c r="X46" s="5">
        <f t="shared" si="2"/>
        <v>14.844995571302038</v>
      </c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</row>
    <row r="47" spans="1:56">
      <c r="A47" s="4" t="s">
        <v>170</v>
      </c>
      <c r="B47" s="4" t="s">
        <v>6</v>
      </c>
      <c r="C47" s="4">
        <v>998</v>
      </c>
      <c r="D47" s="4">
        <v>3681</v>
      </c>
      <c r="E47" s="4">
        <v>3622</v>
      </c>
      <c r="F47" s="4">
        <v>72356</v>
      </c>
      <c r="G47" s="4">
        <v>771</v>
      </c>
      <c r="H47" s="4">
        <v>2491</v>
      </c>
      <c r="I47" s="4">
        <v>1391</v>
      </c>
      <c r="J47" s="4">
        <v>0</v>
      </c>
      <c r="K47" s="4">
        <v>7081</v>
      </c>
      <c r="L47" s="4">
        <v>21815</v>
      </c>
      <c r="M47" s="4">
        <v>1114</v>
      </c>
      <c r="N47" s="4">
        <v>3360</v>
      </c>
      <c r="O47" s="4">
        <v>2068</v>
      </c>
      <c r="P47" s="4">
        <v>0</v>
      </c>
      <c r="Q47" s="4">
        <v>29427</v>
      </c>
      <c r="R47" s="4">
        <v>24406</v>
      </c>
      <c r="S47" s="4">
        <v>1631</v>
      </c>
      <c r="T47" s="4">
        <v>34685</v>
      </c>
      <c r="U47" s="4"/>
      <c r="V47" s="5">
        <f t="shared" si="0"/>
        <v>4.6977950713359276</v>
      </c>
      <c r="W47" s="5">
        <f t="shared" si="1"/>
        <v>6.356373429084381</v>
      </c>
      <c r="X47" s="5">
        <f t="shared" si="2"/>
        <v>18.042305334150829</v>
      </c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</row>
    <row r="48" spans="1:56">
      <c r="A48" s="4" t="s">
        <v>170</v>
      </c>
      <c r="B48" s="4" t="s">
        <v>82</v>
      </c>
      <c r="C48" s="4">
        <v>25</v>
      </c>
      <c r="D48" s="4">
        <v>25</v>
      </c>
      <c r="E48" s="4">
        <v>98</v>
      </c>
      <c r="F48" s="4">
        <v>97</v>
      </c>
      <c r="G48" s="4">
        <v>24</v>
      </c>
      <c r="H48" s="4">
        <v>21</v>
      </c>
      <c r="I48" s="4">
        <v>33</v>
      </c>
      <c r="J48" s="4">
        <v>31</v>
      </c>
      <c r="K48" s="4">
        <v>146</v>
      </c>
      <c r="L48" s="4">
        <v>146</v>
      </c>
      <c r="M48" s="4">
        <v>25</v>
      </c>
      <c r="N48" s="4">
        <v>26</v>
      </c>
      <c r="O48" s="4">
        <v>37</v>
      </c>
      <c r="P48" s="4">
        <v>38</v>
      </c>
      <c r="Q48" s="4">
        <v>364</v>
      </c>
      <c r="R48" s="4">
        <v>377</v>
      </c>
      <c r="S48" s="4">
        <v>30</v>
      </c>
      <c r="T48" s="4">
        <v>31</v>
      </c>
      <c r="U48" s="4"/>
      <c r="V48" s="5">
        <f t="shared" si="0"/>
        <v>4.083333333333333</v>
      </c>
      <c r="W48" s="5">
        <f t="shared" si="1"/>
        <v>5.84</v>
      </c>
      <c r="X48" s="5">
        <f t="shared" si="2"/>
        <v>12.133333333333333</v>
      </c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</row>
    <row r="49" spans="1:56">
      <c r="A49" s="4" t="s">
        <v>170</v>
      </c>
      <c r="B49" s="4" t="s">
        <v>92</v>
      </c>
      <c r="C49" s="4">
        <v>13</v>
      </c>
      <c r="D49" s="4">
        <v>13</v>
      </c>
      <c r="E49" s="4">
        <v>24</v>
      </c>
      <c r="F49" s="4">
        <v>27</v>
      </c>
      <c r="G49" s="4">
        <v>13</v>
      </c>
      <c r="H49" s="4">
        <v>11</v>
      </c>
      <c r="I49" s="4">
        <v>17</v>
      </c>
      <c r="J49" s="4">
        <v>16</v>
      </c>
      <c r="K49" s="4">
        <v>17</v>
      </c>
      <c r="L49" s="4">
        <v>17</v>
      </c>
      <c r="M49" s="4">
        <v>15</v>
      </c>
      <c r="N49" s="4">
        <v>17</v>
      </c>
      <c r="O49" s="4">
        <v>18</v>
      </c>
      <c r="P49" s="4">
        <v>18</v>
      </c>
      <c r="Q49" s="4">
        <v>23</v>
      </c>
      <c r="R49" s="4">
        <v>23</v>
      </c>
      <c r="S49" s="4">
        <v>15</v>
      </c>
      <c r="T49" s="4">
        <v>15</v>
      </c>
      <c r="U49" s="4"/>
      <c r="V49" s="5">
        <f t="shared" si="0"/>
        <v>1.8461538461538463</v>
      </c>
      <c r="W49" s="5">
        <f t="shared" si="1"/>
        <v>1.1333333333333333</v>
      </c>
      <c r="X49" s="5">
        <f t="shared" si="2"/>
        <v>1.5333333333333334</v>
      </c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</row>
    <row r="50" spans="1:56">
      <c r="A50" s="4" t="s">
        <v>170</v>
      </c>
      <c r="B50" s="4" t="s">
        <v>53</v>
      </c>
      <c r="C50" s="4">
        <v>1134</v>
      </c>
      <c r="D50" s="4">
        <v>36666</v>
      </c>
      <c r="E50" s="4">
        <v>3099</v>
      </c>
      <c r="F50" s="4">
        <v>30723</v>
      </c>
      <c r="G50" s="4">
        <v>866</v>
      </c>
      <c r="H50" s="4">
        <v>32717</v>
      </c>
      <c r="I50" s="4">
        <v>1509</v>
      </c>
      <c r="J50" s="4">
        <v>42615</v>
      </c>
      <c r="K50" s="4">
        <v>4766</v>
      </c>
      <c r="L50" s="4">
        <v>52812</v>
      </c>
      <c r="M50" s="4">
        <v>1180</v>
      </c>
      <c r="N50" s="4">
        <v>43372</v>
      </c>
      <c r="O50" s="4">
        <v>1953</v>
      </c>
      <c r="P50" s="4">
        <v>58847</v>
      </c>
      <c r="Q50" s="4">
        <v>13313</v>
      </c>
      <c r="R50" s="4">
        <v>65940</v>
      </c>
      <c r="S50" s="4">
        <v>1641</v>
      </c>
      <c r="T50" s="4">
        <v>39925</v>
      </c>
      <c r="U50" s="4"/>
      <c r="V50" s="5">
        <f t="shared" si="0"/>
        <v>3.5785219399538106</v>
      </c>
      <c r="W50" s="5">
        <f t="shared" si="1"/>
        <v>4.0389830508474578</v>
      </c>
      <c r="X50" s="5">
        <f t="shared" si="2"/>
        <v>8.1127361365021322</v>
      </c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</row>
    <row r="51" spans="1:56">
      <c r="A51" s="4" t="s">
        <v>170</v>
      </c>
      <c r="B51" s="4" t="s">
        <v>11</v>
      </c>
      <c r="C51" s="4">
        <v>75</v>
      </c>
      <c r="D51" s="4">
        <v>76</v>
      </c>
      <c r="E51" s="4">
        <v>317</v>
      </c>
      <c r="F51" s="4">
        <v>299</v>
      </c>
      <c r="G51" s="4">
        <v>93</v>
      </c>
      <c r="H51" s="4">
        <v>61</v>
      </c>
      <c r="I51" s="4">
        <v>86</v>
      </c>
      <c r="J51" s="4">
        <v>95</v>
      </c>
      <c r="K51" s="4">
        <v>484</v>
      </c>
      <c r="L51" s="4">
        <v>453</v>
      </c>
      <c r="M51" s="4">
        <v>71</v>
      </c>
      <c r="N51" s="4">
        <v>76</v>
      </c>
      <c r="O51" s="4">
        <v>101</v>
      </c>
      <c r="P51" s="4">
        <v>111</v>
      </c>
      <c r="Q51" s="4">
        <v>1257</v>
      </c>
      <c r="R51" s="4">
        <v>1126</v>
      </c>
      <c r="S51" s="4">
        <v>81</v>
      </c>
      <c r="T51" s="4">
        <v>89</v>
      </c>
      <c r="U51" s="4"/>
      <c r="V51" s="5">
        <f t="shared" si="0"/>
        <v>3.4086021505376345</v>
      </c>
      <c r="W51" s="5">
        <f t="shared" si="1"/>
        <v>6.816901408450704</v>
      </c>
      <c r="X51" s="5">
        <f t="shared" si="2"/>
        <v>15.518518518518519</v>
      </c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</row>
    <row r="52" spans="1:56">
      <c r="A52" s="4" t="s">
        <v>170</v>
      </c>
      <c r="B52" s="4" t="s">
        <v>84</v>
      </c>
      <c r="C52" s="4">
        <v>597</v>
      </c>
      <c r="D52" s="4">
        <v>2046</v>
      </c>
      <c r="E52" s="4">
        <v>2035</v>
      </c>
      <c r="F52" s="4">
        <v>5564</v>
      </c>
      <c r="G52" s="4">
        <v>658</v>
      </c>
      <c r="H52" s="4">
        <v>1715</v>
      </c>
      <c r="I52" s="4">
        <v>628</v>
      </c>
      <c r="J52" s="4">
        <v>3041</v>
      </c>
      <c r="K52" s="4">
        <v>3220</v>
      </c>
      <c r="L52" s="4">
        <v>7598</v>
      </c>
      <c r="M52" s="4">
        <v>551</v>
      </c>
      <c r="N52" s="4">
        <v>2185</v>
      </c>
      <c r="O52" s="4">
        <v>840</v>
      </c>
      <c r="P52" s="4">
        <v>3128</v>
      </c>
      <c r="Q52" s="4">
        <v>10733</v>
      </c>
      <c r="R52" s="4">
        <v>12610</v>
      </c>
      <c r="S52" s="4">
        <v>702</v>
      </c>
      <c r="T52" s="4">
        <v>1979</v>
      </c>
      <c r="U52" s="4"/>
      <c r="V52" s="5">
        <f t="shared" si="0"/>
        <v>3.0927051671732522</v>
      </c>
      <c r="W52" s="5">
        <f t="shared" si="1"/>
        <v>5.8439201451905625</v>
      </c>
      <c r="X52" s="5">
        <f t="shared" si="2"/>
        <v>15.289173789173789</v>
      </c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</row>
    <row r="53" spans="1:56">
      <c r="A53" s="4" t="s">
        <v>182</v>
      </c>
      <c r="B53" s="4" t="s">
        <v>50</v>
      </c>
      <c r="C53" s="4">
        <v>599</v>
      </c>
      <c r="D53" s="4">
        <v>701</v>
      </c>
      <c r="E53" s="4">
        <v>1850</v>
      </c>
      <c r="F53" s="4">
        <v>2114</v>
      </c>
      <c r="G53" s="4">
        <v>464</v>
      </c>
      <c r="H53" s="4">
        <v>597</v>
      </c>
      <c r="I53" s="4">
        <v>749</v>
      </c>
      <c r="J53" s="4">
        <v>940</v>
      </c>
      <c r="K53" s="4">
        <v>3124</v>
      </c>
      <c r="L53" s="4">
        <v>4141</v>
      </c>
      <c r="M53" s="4">
        <v>862</v>
      </c>
      <c r="N53" s="4">
        <v>780</v>
      </c>
      <c r="O53" s="4">
        <v>1057</v>
      </c>
      <c r="P53" s="4">
        <v>1262</v>
      </c>
      <c r="Q53" s="4">
        <v>9121</v>
      </c>
      <c r="R53" s="4">
        <v>10011</v>
      </c>
      <c r="S53" s="4">
        <v>787</v>
      </c>
      <c r="T53" s="4">
        <v>954</v>
      </c>
      <c r="U53" s="4"/>
      <c r="V53" s="5">
        <f t="shared" si="0"/>
        <v>3.9870689655172415</v>
      </c>
      <c r="W53" s="5">
        <f t="shared" si="1"/>
        <v>3.6241299303944317</v>
      </c>
      <c r="X53" s="5">
        <f t="shared" si="2"/>
        <v>11.589580686149937</v>
      </c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</row>
    <row r="54" spans="1:56">
      <c r="A54" s="4" t="s">
        <v>182</v>
      </c>
      <c r="B54" s="4" t="s">
        <v>47</v>
      </c>
      <c r="C54" s="4">
        <v>1494</v>
      </c>
      <c r="D54" s="4">
        <v>625602</v>
      </c>
      <c r="E54" s="4">
        <v>3346</v>
      </c>
      <c r="F54" s="4">
        <v>667540</v>
      </c>
      <c r="G54" s="4">
        <v>1138</v>
      </c>
      <c r="H54" s="4">
        <v>476820</v>
      </c>
      <c r="I54" s="4">
        <v>1879</v>
      </c>
      <c r="J54" s="4">
        <v>913226</v>
      </c>
      <c r="K54" s="4">
        <v>5102</v>
      </c>
      <c r="L54" s="4">
        <v>868041</v>
      </c>
      <c r="M54" s="4">
        <v>1569</v>
      </c>
      <c r="N54" s="4">
        <v>721319</v>
      </c>
      <c r="O54" s="4">
        <v>2695</v>
      </c>
      <c r="P54" s="4">
        <v>975532</v>
      </c>
      <c r="Q54" s="4">
        <v>14323</v>
      </c>
      <c r="R54" s="4">
        <v>1140201</v>
      </c>
      <c r="S54" s="4">
        <v>2293</v>
      </c>
      <c r="T54" s="4">
        <v>850395</v>
      </c>
      <c r="U54" s="4"/>
      <c r="V54" s="5">
        <f t="shared" si="0"/>
        <v>2.9402460456942006</v>
      </c>
      <c r="W54" s="5">
        <f t="shared" si="1"/>
        <v>3.2517527087316762</v>
      </c>
      <c r="X54" s="5">
        <f t="shared" si="2"/>
        <v>6.2464020933275188</v>
      </c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</row>
    <row r="55" spans="1:56">
      <c r="A55" s="4" t="s">
        <v>182</v>
      </c>
      <c r="B55" s="4" t="s">
        <v>57</v>
      </c>
      <c r="C55" s="4">
        <v>206</v>
      </c>
      <c r="D55" s="4">
        <v>170</v>
      </c>
      <c r="E55" s="4">
        <v>517</v>
      </c>
      <c r="F55" s="4">
        <v>468</v>
      </c>
      <c r="G55" s="4">
        <v>151</v>
      </c>
      <c r="H55" s="4">
        <v>130</v>
      </c>
      <c r="I55" s="4">
        <v>300</v>
      </c>
      <c r="J55" s="4">
        <v>367</v>
      </c>
      <c r="K55" s="4">
        <v>913</v>
      </c>
      <c r="L55" s="4">
        <v>913</v>
      </c>
      <c r="M55" s="4">
        <v>235</v>
      </c>
      <c r="N55" s="4">
        <v>245</v>
      </c>
      <c r="O55" s="4">
        <v>598</v>
      </c>
      <c r="P55" s="4">
        <v>353</v>
      </c>
      <c r="Q55" s="4">
        <v>1428</v>
      </c>
      <c r="R55" s="4">
        <v>1363</v>
      </c>
      <c r="S55" s="4">
        <v>295</v>
      </c>
      <c r="T55" s="4">
        <v>264</v>
      </c>
      <c r="U55" s="4"/>
      <c r="V55" s="5">
        <f t="shared" si="0"/>
        <v>3.423841059602649</v>
      </c>
      <c r="W55" s="5">
        <f t="shared" si="1"/>
        <v>3.8851063829787233</v>
      </c>
      <c r="X55" s="5">
        <f t="shared" si="2"/>
        <v>4.840677966101695</v>
      </c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</row>
    <row r="56" spans="1:56">
      <c r="A56" s="4" t="s">
        <v>182</v>
      </c>
      <c r="B56" s="4" t="s">
        <v>95</v>
      </c>
      <c r="C56" s="4">
        <v>92</v>
      </c>
      <c r="D56" s="4">
        <v>154</v>
      </c>
      <c r="E56" s="4">
        <v>437</v>
      </c>
      <c r="F56" s="4">
        <v>638</v>
      </c>
      <c r="G56" s="4">
        <v>71</v>
      </c>
      <c r="H56" s="4">
        <v>117</v>
      </c>
      <c r="I56" s="4">
        <v>117</v>
      </c>
      <c r="J56" s="4">
        <v>195</v>
      </c>
      <c r="K56" s="4">
        <v>744</v>
      </c>
      <c r="L56" s="4">
        <v>1012</v>
      </c>
      <c r="M56" s="4">
        <v>93</v>
      </c>
      <c r="N56" s="4">
        <v>153</v>
      </c>
      <c r="O56" s="4">
        <v>227</v>
      </c>
      <c r="P56" s="4">
        <v>233</v>
      </c>
      <c r="Q56" s="4">
        <v>1655</v>
      </c>
      <c r="R56" s="4">
        <v>2758</v>
      </c>
      <c r="S56" s="4">
        <v>107</v>
      </c>
      <c r="T56" s="4">
        <v>167</v>
      </c>
      <c r="U56" s="4"/>
      <c r="V56" s="5">
        <f t="shared" si="0"/>
        <v>6.154929577464789</v>
      </c>
      <c r="W56" s="5">
        <f t="shared" si="1"/>
        <v>8</v>
      </c>
      <c r="X56" s="5">
        <f t="shared" si="2"/>
        <v>15.467289719626168</v>
      </c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</row>
    <row r="57" spans="1:56">
      <c r="A57" s="4" t="s">
        <v>182</v>
      </c>
      <c r="B57" s="4" t="s">
        <v>41</v>
      </c>
      <c r="C57" s="4">
        <v>167</v>
      </c>
      <c r="D57" s="4">
        <v>197</v>
      </c>
      <c r="E57" s="4">
        <v>490</v>
      </c>
      <c r="F57" s="4">
        <v>534</v>
      </c>
      <c r="G57" s="4">
        <v>153</v>
      </c>
      <c r="H57" s="4">
        <v>156</v>
      </c>
      <c r="I57" s="4">
        <v>282</v>
      </c>
      <c r="J57" s="4">
        <v>342</v>
      </c>
      <c r="K57" s="4">
        <v>1064</v>
      </c>
      <c r="L57" s="4">
        <v>839</v>
      </c>
      <c r="M57" s="4">
        <v>244</v>
      </c>
      <c r="N57" s="4">
        <v>338</v>
      </c>
      <c r="O57" s="4">
        <v>333</v>
      </c>
      <c r="P57" s="4">
        <v>395</v>
      </c>
      <c r="Q57" s="4">
        <v>1301</v>
      </c>
      <c r="R57" s="4">
        <v>1306</v>
      </c>
      <c r="S57" s="4">
        <v>257</v>
      </c>
      <c r="T57" s="4">
        <v>308</v>
      </c>
      <c r="U57" s="4"/>
      <c r="V57" s="5">
        <f t="shared" si="0"/>
        <v>3.2026143790849675</v>
      </c>
      <c r="W57" s="5">
        <f t="shared" si="1"/>
        <v>4.360655737704918</v>
      </c>
      <c r="X57" s="5">
        <f t="shared" si="2"/>
        <v>5.0622568093385212</v>
      </c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</row>
    <row r="58" spans="1:56">
      <c r="A58" s="4" t="s">
        <v>182</v>
      </c>
      <c r="B58" s="4" t="s">
        <v>81</v>
      </c>
      <c r="C58" s="4">
        <v>906</v>
      </c>
      <c r="D58" s="4">
        <v>1067</v>
      </c>
      <c r="E58" s="4">
        <v>3841</v>
      </c>
      <c r="F58" s="4">
        <v>3006</v>
      </c>
      <c r="G58" s="4">
        <v>718</v>
      </c>
      <c r="H58" s="4">
        <v>868</v>
      </c>
      <c r="I58" s="4">
        <v>1000</v>
      </c>
      <c r="J58" s="4">
        <v>1231</v>
      </c>
      <c r="K58" s="4">
        <v>4954</v>
      </c>
      <c r="L58" s="4">
        <v>5311</v>
      </c>
      <c r="M58" s="4">
        <v>896</v>
      </c>
      <c r="N58" s="4">
        <v>999</v>
      </c>
      <c r="O58" s="4">
        <v>1331</v>
      </c>
      <c r="P58" s="4">
        <v>1654</v>
      </c>
      <c r="Q58" s="4">
        <v>12397</v>
      </c>
      <c r="R58" s="4">
        <v>12593</v>
      </c>
      <c r="S58" s="4">
        <v>1000</v>
      </c>
      <c r="T58" s="4">
        <v>1350</v>
      </c>
      <c r="U58" s="4"/>
      <c r="V58" s="5">
        <f t="shared" si="0"/>
        <v>5.3495821727019495</v>
      </c>
      <c r="W58" s="5">
        <f t="shared" si="1"/>
        <v>5.5290178571428568</v>
      </c>
      <c r="X58" s="5">
        <f t="shared" si="2"/>
        <v>12.397</v>
      </c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</row>
    <row r="59" spans="1:56">
      <c r="A59" s="4" t="s">
        <v>182</v>
      </c>
      <c r="B59" s="4" t="s">
        <v>45</v>
      </c>
      <c r="C59" s="4">
        <v>13794</v>
      </c>
      <c r="D59" s="4">
        <v>1298706</v>
      </c>
      <c r="E59" s="4">
        <v>86999</v>
      </c>
      <c r="F59" s="4">
        <v>1523459</v>
      </c>
      <c r="G59" s="4">
        <v>10554</v>
      </c>
      <c r="H59" s="4">
        <v>1045152</v>
      </c>
      <c r="I59" s="4">
        <v>17421</v>
      </c>
      <c r="J59" s="4">
        <v>1644571</v>
      </c>
      <c r="K59" s="4">
        <v>129358</v>
      </c>
      <c r="L59" s="4">
        <v>1754352</v>
      </c>
      <c r="M59" s="4">
        <v>14085</v>
      </c>
      <c r="N59" s="4">
        <v>1251792</v>
      </c>
      <c r="O59" s="4">
        <v>22095</v>
      </c>
      <c r="P59" s="4">
        <v>1904757</v>
      </c>
      <c r="Q59" s="4">
        <v>378774</v>
      </c>
      <c r="R59" s="4">
        <v>2542465</v>
      </c>
      <c r="S59" s="4">
        <v>18064</v>
      </c>
      <c r="T59" s="4">
        <v>1590970</v>
      </c>
      <c r="U59" s="4"/>
      <c r="V59" s="5">
        <f t="shared" si="0"/>
        <v>8.2432253174151988</v>
      </c>
      <c r="W59" s="5">
        <f t="shared" si="1"/>
        <v>9.1840965566205188</v>
      </c>
      <c r="X59" s="5">
        <f t="shared" si="2"/>
        <v>20.968445527015056</v>
      </c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</row>
    <row r="60" spans="1:56">
      <c r="A60" s="4" t="s">
        <v>182</v>
      </c>
      <c r="B60" s="4" t="s">
        <v>54</v>
      </c>
      <c r="C60" s="4">
        <v>4168</v>
      </c>
      <c r="D60" s="4">
        <v>23165</v>
      </c>
      <c r="E60" s="4">
        <v>25425</v>
      </c>
      <c r="F60" s="4">
        <v>50835</v>
      </c>
      <c r="G60" s="4">
        <v>3212</v>
      </c>
      <c r="H60" s="4">
        <v>19816</v>
      </c>
      <c r="I60" s="4">
        <v>6231</v>
      </c>
      <c r="J60" s="4">
        <v>24838</v>
      </c>
      <c r="K60" s="4">
        <v>40646</v>
      </c>
      <c r="L60" s="4">
        <v>98613</v>
      </c>
      <c r="M60" s="4">
        <v>5371</v>
      </c>
      <c r="N60" s="4">
        <v>28919</v>
      </c>
      <c r="O60" s="4">
        <v>6002</v>
      </c>
      <c r="P60" s="4">
        <v>25478</v>
      </c>
      <c r="Q60" s="4">
        <v>120017</v>
      </c>
      <c r="R60" s="4">
        <v>197665</v>
      </c>
      <c r="S60" s="4">
        <v>5167</v>
      </c>
      <c r="T60" s="4">
        <v>28446</v>
      </c>
      <c r="U60" s="4"/>
      <c r="V60" s="5">
        <f t="shared" si="0"/>
        <v>7.9156288916562891</v>
      </c>
      <c r="W60" s="5">
        <f t="shared" si="1"/>
        <v>7.5676782722025697</v>
      </c>
      <c r="X60" s="5">
        <f t="shared" si="2"/>
        <v>23.227598219469712</v>
      </c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</row>
    <row r="61" spans="1:56">
      <c r="A61" s="4" t="s">
        <v>182</v>
      </c>
      <c r="B61" s="4" t="s">
        <v>79</v>
      </c>
      <c r="C61" s="4">
        <v>7503</v>
      </c>
      <c r="D61" s="4">
        <v>753729</v>
      </c>
      <c r="E61" s="4">
        <v>41223</v>
      </c>
      <c r="F61" s="4">
        <v>733257</v>
      </c>
      <c r="G61" s="4">
        <v>5977</v>
      </c>
      <c r="H61" s="4">
        <v>530833</v>
      </c>
      <c r="I61" s="4">
        <v>9011</v>
      </c>
      <c r="J61" s="4">
        <v>779306</v>
      </c>
      <c r="K61" s="4">
        <v>62771</v>
      </c>
      <c r="L61" s="4">
        <v>1018600</v>
      </c>
      <c r="M61" s="4">
        <v>7576</v>
      </c>
      <c r="N61" s="4">
        <v>798912</v>
      </c>
      <c r="O61" s="4">
        <v>11391</v>
      </c>
      <c r="P61" s="4">
        <v>1052493</v>
      </c>
      <c r="Q61" s="4">
        <v>202951</v>
      </c>
      <c r="R61" s="4">
        <v>1360610</v>
      </c>
      <c r="S61" s="4">
        <v>9338</v>
      </c>
      <c r="T61" s="4">
        <v>928930</v>
      </c>
      <c r="U61" s="4"/>
      <c r="V61" s="5">
        <f t="shared" si="0"/>
        <v>6.8969382633428138</v>
      </c>
      <c r="W61" s="5">
        <f t="shared" si="1"/>
        <v>8.2855068637803591</v>
      </c>
      <c r="X61" s="5">
        <f t="shared" si="2"/>
        <v>21.733883058470763</v>
      </c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</row>
    <row r="62" spans="1:56">
      <c r="A62" s="4" t="s">
        <v>182</v>
      </c>
      <c r="B62" s="4" t="s">
        <v>9</v>
      </c>
      <c r="C62" s="4">
        <v>5846</v>
      </c>
      <c r="D62" s="4">
        <v>29370</v>
      </c>
      <c r="E62" s="4">
        <v>37277</v>
      </c>
      <c r="F62" s="4">
        <v>66426</v>
      </c>
      <c r="G62" s="4">
        <v>4602</v>
      </c>
      <c r="H62" s="4">
        <v>20792</v>
      </c>
      <c r="I62" s="4">
        <v>6801</v>
      </c>
      <c r="J62" s="4">
        <v>35755</v>
      </c>
      <c r="K62" s="4">
        <v>59786</v>
      </c>
      <c r="L62" s="4">
        <v>142313</v>
      </c>
      <c r="M62" s="4">
        <v>7412</v>
      </c>
      <c r="N62" s="4">
        <v>37699</v>
      </c>
      <c r="O62" s="4">
        <v>8092</v>
      </c>
      <c r="P62" s="4">
        <v>35129</v>
      </c>
      <c r="Q62" s="4">
        <v>166676</v>
      </c>
      <c r="R62" s="4">
        <v>354910</v>
      </c>
      <c r="S62" s="4">
        <v>6631</v>
      </c>
      <c r="T62" s="4">
        <v>38283</v>
      </c>
      <c r="U62" s="4"/>
      <c r="V62" s="5">
        <f t="shared" si="0"/>
        <v>8.1001738374619734</v>
      </c>
      <c r="W62" s="5">
        <f t="shared" si="1"/>
        <v>8.0661090124123049</v>
      </c>
      <c r="X62" s="5">
        <f t="shared" si="2"/>
        <v>25.135876941637761</v>
      </c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</row>
    <row r="63" spans="1:56">
      <c r="A63" s="4" t="s">
        <v>182</v>
      </c>
      <c r="B63" s="4" t="s">
        <v>7</v>
      </c>
      <c r="C63" s="4">
        <v>2467</v>
      </c>
      <c r="D63" s="4">
        <v>3292</v>
      </c>
      <c r="E63" s="4">
        <v>8656</v>
      </c>
      <c r="F63" s="4">
        <v>11848</v>
      </c>
      <c r="G63" s="4">
        <v>1879</v>
      </c>
      <c r="H63" s="4">
        <v>2340</v>
      </c>
      <c r="I63" s="4">
        <v>3606</v>
      </c>
      <c r="J63" s="4">
        <v>4574</v>
      </c>
      <c r="K63" s="4">
        <v>14181</v>
      </c>
      <c r="L63" s="4">
        <v>19910</v>
      </c>
      <c r="M63" s="4">
        <v>2836</v>
      </c>
      <c r="N63" s="4">
        <v>3618</v>
      </c>
      <c r="O63" s="4">
        <v>4980</v>
      </c>
      <c r="P63" s="4">
        <v>6506</v>
      </c>
      <c r="Q63" s="4">
        <v>48963</v>
      </c>
      <c r="R63" s="4">
        <v>70283</v>
      </c>
      <c r="S63" s="4">
        <v>4032</v>
      </c>
      <c r="T63" s="4">
        <v>5748</v>
      </c>
      <c r="U63" s="4"/>
      <c r="V63" s="5">
        <f t="shared" si="0"/>
        <v>4.6067056945183609</v>
      </c>
      <c r="W63" s="5">
        <f t="shared" si="1"/>
        <v>5.0003526093088855</v>
      </c>
      <c r="X63" s="5">
        <f t="shared" si="2"/>
        <v>12.14360119047619</v>
      </c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</row>
    <row r="64" spans="1:56">
      <c r="A64" s="4" t="s">
        <v>182</v>
      </c>
      <c r="B64" s="4" t="s">
        <v>46</v>
      </c>
      <c r="C64" s="4">
        <v>702</v>
      </c>
      <c r="D64" s="4">
        <v>848</v>
      </c>
      <c r="E64" s="4">
        <v>1834</v>
      </c>
      <c r="F64" s="4">
        <v>2082</v>
      </c>
      <c r="G64" s="4">
        <v>555</v>
      </c>
      <c r="H64" s="4">
        <v>623</v>
      </c>
      <c r="I64" s="4">
        <v>939</v>
      </c>
      <c r="J64" s="4">
        <v>1154</v>
      </c>
      <c r="K64" s="4">
        <v>3624</v>
      </c>
      <c r="L64" s="4">
        <v>4703</v>
      </c>
      <c r="M64" s="4">
        <v>779</v>
      </c>
      <c r="N64" s="4">
        <v>906</v>
      </c>
      <c r="O64" s="4">
        <v>1314</v>
      </c>
      <c r="P64" s="4">
        <v>1612</v>
      </c>
      <c r="Q64" s="4">
        <v>10619</v>
      </c>
      <c r="R64" s="4">
        <v>11588</v>
      </c>
      <c r="S64" s="4">
        <v>1020</v>
      </c>
      <c r="T64" s="4">
        <v>1259</v>
      </c>
      <c r="U64" s="4"/>
      <c r="V64" s="5">
        <f t="shared" si="0"/>
        <v>3.3045045045045045</v>
      </c>
      <c r="W64" s="5">
        <f t="shared" si="1"/>
        <v>4.6521181001283693</v>
      </c>
      <c r="X64" s="5">
        <f t="shared" si="2"/>
        <v>10.41078431372549</v>
      </c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</row>
    <row r="65" spans="1:56">
      <c r="A65" s="4" t="s">
        <v>182</v>
      </c>
      <c r="B65" s="4" t="s">
        <v>99</v>
      </c>
      <c r="C65" s="4">
        <v>2285</v>
      </c>
      <c r="D65" s="4">
        <v>3677</v>
      </c>
      <c r="E65" s="4">
        <v>8260</v>
      </c>
      <c r="F65" s="4">
        <v>11564</v>
      </c>
      <c r="G65" s="4">
        <v>1785</v>
      </c>
      <c r="H65" s="4">
        <v>2963</v>
      </c>
      <c r="I65" s="4">
        <v>2755</v>
      </c>
      <c r="J65" s="4">
        <v>4605</v>
      </c>
      <c r="K65" s="4">
        <v>13688</v>
      </c>
      <c r="L65" s="4">
        <v>22812</v>
      </c>
      <c r="M65" s="4">
        <v>2246</v>
      </c>
      <c r="N65" s="4">
        <v>4084</v>
      </c>
      <c r="O65" s="4">
        <v>3664</v>
      </c>
      <c r="P65" s="4">
        <v>6073</v>
      </c>
      <c r="Q65" s="4">
        <v>54678</v>
      </c>
      <c r="R65" s="4">
        <v>79972</v>
      </c>
      <c r="S65" s="4">
        <v>3109</v>
      </c>
      <c r="T65" s="4">
        <v>5022</v>
      </c>
      <c r="U65" s="4"/>
      <c r="V65" s="5">
        <f t="shared" si="0"/>
        <v>4.6274509803921573</v>
      </c>
      <c r="W65" s="5">
        <f t="shared" si="1"/>
        <v>6.0943900267141586</v>
      </c>
      <c r="X65" s="5">
        <f t="shared" si="2"/>
        <v>17.587005467996139</v>
      </c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</row>
    <row r="66" spans="1:56">
      <c r="A66" s="4" t="s">
        <v>182</v>
      </c>
      <c r="B66" s="4" t="s">
        <v>96</v>
      </c>
      <c r="C66" s="4">
        <v>5265</v>
      </c>
      <c r="D66" s="4">
        <v>7449</v>
      </c>
      <c r="E66" s="4">
        <v>20446</v>
      </c>
      <c r="F66" s="4">
        <v>25850</v>
      </c>
      <c r="G66" s="4">
        <v>4074</v>
      </c>
      <c r="H66" s="4">
        <v>5824</v>
      </c>
      <c r="I66" s="4">
        <v>6826</v>
      </c>
      <c r="J66" s="4">
        <v>9834</v>
      </c>
      <c r="K66" s="4">
        <v>34629</v>
      </c>
      <c r="L66" s="4">
        <v>63638</v>
      </c>
      <c r="M66" s="4">
        <v>5615</v>
      </c>
      <c r="N66" s="4">
        <v>8162</v>
      </c>
      <c r="O66" s="4">
        <v>9852</v>
      </c>
      <c r="P66" s="4">
        <v>14311</v>
      </c>
      <c r="Q66" s="4">
        <v>121381</v>
      </c>
      <c r="R66" s="4">
        <v>188994</v>
      </c>
      <c r="S66" s="4">
        <v>7910</v>
      </c>
      <c r="T66" s="4">
        <v>11630</v>
      </c>
      <c r="U66" s="4"/>
      <c r="V66" s="5">
        <f t="shared" si="0"/>
        <v>5.018654884634266</v>
      </c>
      <c r="W66" s="5">
        <f t="shared" si="1"/>
        <v>6.1672306322350847</v>
      </c>
      <c r="X66" s="5">
        <f t="shared" si="2"/>
        <v>15.345259165613149</v>
      </c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</row>
    <row r="67" spans="1:56">
      <c r="A67" s="4" t="s">
        <v>182</v>
      </c>
      <c r="B67" s="4" t="s">
        <v>13</v>
      </c>
      <c r="C67" s="4">
        <v>245</v>
      </c>
      <c r="D67" s="4">
        <v>336</v>
      </c>
      <c r="E67" s="4">
        <v>987</v>
      </c>
      <c r="F67" s="4">
        <v>968</v>
      </c>
      <c r="G67" s="4">
        <v>291</v>
      </c>
      <c r="H67" s="4">
        <v>315</v>
      </c>
      <c r="I67" s="4">
        <v>298</v>
      </c>
      <c r="J67" s="4">
        <v>306</v>
      </c>
      <c r="K67" s="4">
        <v>1377</v>
      </c>
      <c r="L67" s="4">
        <v>1455</v>
      </c>
      <c r="M67" s="4">
        <v>240</v>
      </c>
      <c r="N67" s="4">
        <v>248</v>
      </c>
      <c r="O67" s="4">
        <v>395</v>
      </c>
      <c r="P67" s="4">
        <v>393</v>
      </c>
      <c r="Q67" s="4">
        <v>3256</v>
      </c>
      <c r="R67" s="4">
        <v>3406</v>
      </c>
      <c r="S67" s="4">
        <v>295</v>
      </c>
      <c r="T67" s="4">
        <v>295</v>
      </c>
      <c r="U67" s="4"/>
      <c r="V67" s="5">
        <f t="shared" ref="V67:V106" si="3">E67/G67</f>
        <v>3.3917525773195876</v>
      </c>
      <c r="W67" s="5">
        <f t="shared" ref="W67:W106" si="4">K67/M67</f>
        <v>5.7374999999999998</v>
      </c>
      <c r="X67" s="5">
        <f t="shared" ref="X67:X106" si="5">Q67/S67</f>
        <v>11.03728813559322</v>
      </c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</row>
    <row r="68" spans="1:56">
      <c r="A68" s="4" t="s">
        <v>182</v>
      </c>
      <c r="B68" s="4" t="s">
        <v>93</v>
      </c>
      <c r="C68" s="4">
        <v>284</v>
      </c>
      <c r="D68" s="4">
        <v>321</v>
      </c>
      <c r="E68" s="4">
        <v>1047</v>
      </c>
      <c r="F68" s="4">
        <v>923</v>
      </c>
      <c r="G68" s="4">
        <v>199</v>
      </c>
      <c r="H68" s="4">
        <v>193</v>
      </c>
      <c r="I68" s="4">
        <v>270</v>
      </c>
      <c r="J68" s="4">
        <v>331</v>
      </c>
      <c r="K68" s="4">
        <v>1436</v>
      </c>
      <c r="L68" s="4">
        <v>1663</v>
      </c>
      <c r="M68" s="4">
        <v>307</v>
      </c>
      <c r="N68" s="4">
        <v>272</v>
      </c>
      <c r="O68" s="4">
        <v>427</v>
      </c>
      <c r="P68" s="4">
        <v>449</v>
      </c>
      <c r="Q68" s="4">
        <v>3639</v>
      </c>
      <c r="R68" s="4">
        <v>3643</v>
      </c>
      <c r="S68" s="4">
        <v>289</v>
      </c>
      <c r="T68" s="4">
        <v>373</v>
      </c>
      <c r="U68" s="4"/>
      <c r="V68" s="5">
        <f t="shared" si="3"/>
        <v>5.2613065326633164</v>
      </c>
      <c r="W68" s="5">
        <f t="shared" si="4"/>
        <v>4.677524429967427</v>
      </c>
      <c r="X68" s="5">
        <f t="shared" si="5"/>
        <v>12.591695501730104</v>
      </c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</row>
    <row r="69" spans="1:56">
      <c r="A69" s="4" t="s">
        <v>182</v>
      </c>
      <c r="B69" s="4" t="s">
        <v>48</v>
      </c>
      <c r="C69" s="4">
        <v>836</v>
      </c>
      <c r="D69" s="4">
        <v>859</v>
      </c>
      <c r="E69" s="4">
        <v>2803</v>
      </c>
      <c r="F69" s="4">
        <v>3150</v>
      </c>
      <c r="G69" s="4">
        <v>669</v>
      </c>
      <c r="H69" s="4">
        <v>725</v>
      </c>
      <c r="I69" s="4">
        <v>951</v>
      </c>
      <c r="J69" s="4">
        <v>1066</v>
      </c>
      <c r="K69" s="4">
        <v>4897</v>
      </c>
      <c r="L69" s="4">
        <v>5089</v>
      </c>
      <c r="M69" s="4">
        <v>836</v>
      </c>
      <c r="N69" s="4">
        <v>885</v>
      </c>
      <c r="O69" s="4">
        <v>1282</v>
      </c>
      <c r="P69" s="4">
        <v>1412</v>
      </c>
      <c r="Q69" s="4">
        <v>12183</v>
      </c>
      <c r="R69" s="4">
        <v>13612</v>
      </c>
      <c r="S69" s="4">
        <v>991</v>
      </c>
      <c r="T69" s="4">
        <v>1213</v>
      </c>
      <c r="U69" s="4"/>
      <c r="V69" s="5">
        <f t="shared" si="3"/>
        <v>4.1898355754857999</v>
      </c>
      <c r="W69" s="5">
        <f t="shared" si="4"/>
        <v>5.8576555023923449</v>
      </c>
      <c r="X69" s="5">
        <f t="shared" si="5"/>
        <v>12.29364278506559</v>
      </c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</row>
    <row r="70" spans="1:56">
      <c r="A70" s="4" t="s">
        <v>182</v>
      </c>
      <c r="B70" s="4" t="s">
        <v>103</v>
      </c>
      <c r="C70" s="4">
        <v>2222</v>
      </c>
      <c r="D70" s="4">
        <v>3581</v>
      </c>
      <c r="E70" s="4">
        <v>7725</v>
      </c>
      <c r="F70" s="4">
        <v>11767</v>
      </c>
      <c r="G70" s="4">
        <v>1637</v>
      </c>
      <c r="H70" s="4">
        <v>2856</v>
      </c>
      <c r="I70" s="4">
        <v>2704</v>
      </c>
      <c r="J70" s="4">
        <v>5717</v>
      </c>
      <c r="K70" s="4">
        <v>13011</v>
      </c>
      <c r="L70" s="4">
        <v>22723</v>
      </c>
      <c r="M70" s="4">
        <v>2865</v>
      </c>
      <c r="N70" s="4">
        <v>3868</v>
      </c>
      <c r="O70" s="4">
        <v>3919</v>
      </c>
      <c r="P70" s="4">
        <v>6106</v>
      </c>
      <c r="Q70" s="4">
        <v>52221</v>
      </c>
      <c r="R70" s="4">
        <v>68776</v>
      </c>
      <c r="S70" s="4">
        <v>3134</v>
      </c>
      <c r="T70" s="4">
        <v>4880</v>
      </c>
      <c r="U70" s="4"/>
      <c r="V70" s="5">
        <f t="shared" si="3"/>
        <v>4.7189981673793522</v>
      </c>
      <c r="W70" s="5">
        <f t="shared" si="4"/>
        <v>4.5413612565445023</v>
      </c>
      <c r="X70" s="5">
        <f t="shared" si="5"/>
        <v>16.662731333758774</v>
      </c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</row>
    <row r="71" spans="1:56">
      <c r="A71" s="4" t="s">
        <v>182</v>
      </c>
      <c r="B71" s="4" t="s">
        <v>31</v>
      </c>
      <c r="C71" s="4">
        <v>5275</v>
      </c>
      <c r="D71" s="4">
        <v>7378</v>
      </c>
      <c r="E71" s="4">
        <v>19991</v>
      </c>
      <c r="F71" s="4">
        <v>26721</v>
      </c>
      <c r="G71" s="4">
        <v>4102</v>
      </c>
      <c r="H71" s="4">
        <v>5720</v>
      </c>
      <c r="I71" s="4">
        <v>7278</v>
      </c>
      <c r="J71" s="4">
        <v>9974</v>
      </c>
      <c r="K71" s="4">
        <v>37061</v>
      </c>
      <c r="L71" s="4">
        <v>67966</v>
      </c>
      <c r="M71" s="4">
        <v>5578</v>
      </c>
      <c r="N71" s="4">
        <v>9715</v>
      </c>
      <c r="O71" s="4">
        <v>9980</v>
      </c>
      <c r="P71" s="4">
        <v>14102</v>
      </c>
      <c r="Q71" s="4">
        <v>141829</v>
      </c>
      <c r="R71" s="4">
        <v>210362</v>
      </c>
      <c r="S71" s="4">
        <v>7840</v>
      </c>
      <c r="T71" s="4">
        <v>11291</v>
      </c>
      <c r="U71" s="4"/>
      <c r="V71" s="5">
        <f t="shared" si="3"/>
        <v>4.8734763529985372</v>
      </c>
      <c r="W71" s="5">
        <f t="shared" si="4"/>
        <v>6.6441376837576192</v>
      </c>
      <c r="X71" s="5">
        <f t="shared" si="5"/>
        <v>18.090433673469388</v>
      </c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</row>
    <row r="72" spans="1:56">
      <c r="A72" s="4" t="s">
        <v>177</v>
      </c>
      <c r="B72" s="4" t="s">
        <v>33</v>
      </c>
      <c r="C72" s="4">
        <v>2771</v>
      </c>
      <c r="D72" s="4">
        <v>5177</v>
      </c>
      <c r="E72" s="4">
        <v>92889</v>
      </c>
      <c r="F72" s="4">
        <v>84760</v>
      </c>
      <c r="G72" s="4">
        <v>2124</v>
      </c>
      <c r="H72" s="4">
        <v>4012</v>
      </c>
      <c r="I72" s="4">
        <v>3281</v>
      </c>
      <c r="J72" s="4">
        <v>6270</v>
      </c>
      <c r="K72" s="4">
        <v>125140</v>
      </c>
      <c r="L72" s="4">
        <v>172282</v>
      </c>
      <c r="M72" s="4">
        <v>2723</v>
      </c>
      <c r="N72" s="4">
        <v>5163</v>
      </c>
      <c r="O72" s="4">
        <v>4001</v>
      </c>
      <c r="P72" s="4">
        <v>7690</v>
      </c>
      <c r="Q72" s="4">
        <v>389697</v>
      </c>
      <c r="R72" s="4">
        <v>506904</v>
      </c>
      <c r="S72" s="4">
        <v>3307</v>
      </c>
      <c r="T72" s="4">
        <v>6392</v>
      </c>
      <c r="U72" s="4"/>
      <c r="V72" s="5">
        <f t="shared" si="3"/>
        <v>43.733050847457626</v>
      </c>
      <c r="W72" s="5">
        <f t="shared" si="4"/>
        <v>45.956665442526628</v>
      </c>
      <c r="X72" s="5">
        <f t="shared" si="5"/>
        <v>117.84003628666466</v>
      </c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</row>
    <row r="73" spans="1:56">
      <c r="A73" s="4" t="s">
        <v>178</v>
      </c>
      <c r="B73" s="4" t="s">
        <v>75</v>
      </c>
      <c r="C73" s="4">
        <v>2992</v>
      </c>
      <c r="D73" s="4">
        <v>5643</v>
      </c>
      <c r="E73" s="4">
        <v>118797</v>
      </c>
      <c r="F73" s="4">
        <v>92982</v>
      </c>
      <c r="G73" s="4">
        <v>2391</v>
      </c>
      <c r="H73" s="4">
        <v>4436</v>
      </c>
      <c r="I73" s="4">
        <v>3658</v>
      </c>
      <c r="J73" s="4">
        <v>6788</v>
      </c>
      <c r="K73" s="4">
        <v>140760</v>
      </c>
      <c r="L73" s="4">
        <v>155914</v>
      </c>
      <c r="M73" s="4">
        <v>2886</v>
      </c>
      <c r="N73" s="4">
        <v>5389</v>
      </c>
      <c r="O73" s="4">
        <v>4505</v>
      </c>
      <c r="P73" s="4">
        <v>8236</v>
      </c>
      <c r="Q73" s="4">
        <v>429251</v>
      </c>
      <c r="R73" s="4">
        <v>452178</v>
      </c>
      <c r="S73" s="4">
        <v>3643</v>
      </c>
      <c r="T73" s="4">
        <v>8695</v>
      </c>
      <c r="U73" s="4"/>
      <c r="V73" s="5">
        <f t="shared" si="3"/>
        <v>49.685069008782939</v>
      </c>
      <c r="W73" s="5">
        <f t="shared" si="4"/>
        <v>48.773388773388774</v>
      </c>
      <c r="X73" s="5">
        <f t="shared" si="5"/>
        <v>117.82898709854516</v>
      </c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</row>
    <row r="74" spans="1:56">
      <c r="A74" s="4" t="s">
        <v>176</v>
      </c>
      <c r="B74" s="4" t="s">
        <v>23</v>
      </c>
      <c r="C74" s="4">
        <v>10918</v>
      </c>
      <c r="D74" s="4">
        <v>1633</v>
      </c>
      <c r="E74" s="4">
        <v>64903</v>
      </c>
      <c r="F74" s="4">
        <v>4604</v>
      </c>
      <c r="G74" s="4">
        <v>8427</v>
      </c>
      <c r="H74" s="4">
        <v>1316</v>
      </c>
      <c r="I74" s="4">
        <v>16259</v>
      </c>
      <c r="J74" s="4">
        <v>2296</v>
      </c>
      <c r="K74" s="4">
        <v>123021</v>
      </c>
      <c r="L74" s="4">
        <v>8678</v>
      </c>
      <c r="M74" s="4">
        <v>12997</v>
      </c>
      <c r="N74" s="4">
        <v>1923</v>
      </c>
      <c r="O74" s="4">
        <v>30125</v>
      </c>
      <c r="P74" s="4">
        <v>3209</v>
      </c>
      <c r="Q74" s="4">
        <v>447127</v>
      </c>
      <c r="R74" s="4">
        <v>29984</v>
      </c>
      <c r="S74" s="4">
        <v>20239</v>
      </c>
      <c r="T74" s="4">
        <v>2516</v>
      </c>
      <c r="U74" s="4"/>
      <c r="V74" s="5">
        <f t="shared" si="3"/>
        <v>7.7017918594992283</v>
      </c>
      <c r="W74" s="5">
        <f t="shared" si="4"/>
        <v>9.465338154958836</v>
      </c>
      <c r="X74" s="5">
        <f t="shared" si="5"/>
        <v>22.092346459805327</v>
      </c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</row>
    <row r="75" spans="1:56">
      <c r="A75" s="4" t="s">
        <v>175</v>
      </c>
      <c r="B75" s="4" t="s">
        <v>102</v>
      </c>
      <c r="C75" s="4">
        <v>2726</v>
      </c>
      <c r="D75" s="4">
        <v>3006</v>
      </c>
      <c r="E75" s="4">
        <v>8541</v>
      </c>
      <c r="F75" s="4">
        <v>8322</v>
      </c>
      <c r="G75" s="4">
        <v>2182</v>
      </c>
      <c r="H75" s="4">
        <v>2370</v>
      </c>
      <c r="I75" s="4">
        <v>3824</v>
      </c>
      <c r="J75" s="4">
        <v>4264</v>
      </c>
      <c r="K75" s="4">
        <v>14745</v>
      </c>
      <c r="L75" s="4">
        <v>18156</v>
      </c>
      <c r="M75" s="4">
        <v>3019</v>
      </c>
      <c r="N75" s="4">
        <v>3412</v>
      </c>
      <c r="O75" s="4">
        <v>5407</v>
      </c>
      <c r="P75" s="4">
        <v>6303</v>
      </c>
      <c r="Q75" s="4">
        <v>60192</v>
      </c>
      <c r="R75" s="4">
        <v>68697</v>
      </c>
      <c r="S75" s="4">
        <v>4394</v>
      </c>
      <c r="T75" s="4">
        <v>5012</v>
      </c>
      <c r="U75" s="4"/>
      <c r="V75" s="5">
        <f t="shared" si="3"/>
        <v>3.9142988084326307</v>
      </c>
      <c r="W75" s="5">
        <f t="shared" si="4"/>
        <v>4.8840675720437234</v>
      </c>
      <c r="X75" s="5">
        <f t="shared" si="5"/>
        <v>13.698680018206645</v>
      </c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</row>
    <row r="76" spans="1:56">
      <c r="A76" s="4" t="s">
        <v>175</v>
      </c>
      <c r="B76" s="4" t="s">
        <v>67</v>
      </c>
      <c r="C76" s="4">
        <v>5980</v>
      </c>
      <c r="D76" s="4">
        <v>6664</v>
      </c>
      <c r="E76" s="4">
        <v>64980</v>
      </c>
      <c r="F76" s="4">
        <v>73452</v>
      </c>
      <c r="G76" s="4">
        <v>4785</v>
      </c>
      <c r="H76" s="4">
        <v>5132</v>
      </c>
      <c r="I76" s="4">
        <v>8568</v>
      </c>
      <c r="J76" s="4">
        <v>9692</v>
      </c>
      <c r="K76" s="4">
        <v>127704</v>
      </c>
      <c r="L76" s="4">
        <v>130622</v>
      </c>
      <c r="M76" s="4">
        <v>7273</v>
      </c>
      <c r="N76" s="4">
        <v>7790</v>
      </c>
      <c r="O76" s="4">
        <v>12353</v>
      </c>
      <c r="P76" s="4">
        <v>13643</v>
      </c>
      <c r="Q76" s="4">
        <v>404700</v>
      </c>
      <c r="R76" s="4">
        <v>490079</v>
      </c>
      <c r="S76" s="4">
        <v>10819</v>
      </c>
      <c r="T76" s="4">
        <v>11184</v>
      </c>
      <c r="U76" s="4"/>
      <c r="V76" s="5">
        <f t="shared" si="3"/>
        <v>13.579937304075235</v>
      </c>
      <c r="W76" s="5">
        <f t="shared" si="4"/>
        <v>17.558641550941839</v>
      </c>
      <c r="X76" s="5">
        <f t="shared" si="5"/>
        <v>37.40641464090951</v>
      </c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</row>
    <row r="77" spans="1:56">
      <c r="A77" s="4" t="s">
        <v>172</v>
      </c>
      <c r="B77" s="4" t="s">
        <v>52</v>
      </c>
      <c r="C77" s="4">
        <v>1870</v>
      </c>
      <c r="D77" s="4">
        <v>1771</v>
      </c>
      <c r="E77" s="4">
        <v>6156</v>
      </c>
      <c r="F77" s="4">
        <v>5727</v>
      </c>
      <c r="G77" s="4">
        <v>1364</v>
      </c>
      <c r="H77" s="4">
        <v>1354</v>
      </c>
      <c r="I77" s="4">
        <v>2400</v>
      </c>
      <c r="J77" s="4">
        <v>2311</v>
      </c>
      <c r="K77" s="4">
        <v>11323</v>
      </c>
      <c r="L77" s="4">
        <v>9221</v>
      </c>
      <c r="M77" s="4">
        <v>1959</v>
      </c>
      <c r="N77" s="4">
        <v>1925</v>
      </c>
      <c r="O77" s="4">
        <v>3195</v>
      </c>
      <c r="P77" s="4">
        <v>3078</v>
      </c>
      <c r="Q77" s="4">
        <v>41637</v>
      </c>
      <c r="R77" s="4">
        <v>31563</v>
      </c>
      <c r="S77" s="4">
        <v>2558</v>
      </c>
      <c r="T77" s="4">
        <v>2530</v>
      </c>
      <c r="U77" s="4"/>
      <c r="V77" s="5">
        <f t="shared" si="3"/>
        <v>4.5131964809384169</v>
      </c>
      <c r="W77" s="5">
        <f t="shared" si="4"/>
        <v>5.7799897907095454</v>
      </c>
      <c r="X77" s="5">
        <f t="shared" si="5"/>
        <v>16.277169663799842</v>
      </c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</row>
    <row r="78" spans="1:56">
      <c r="A78" s="4" t="s">
        <v>172</v>
      </c>
      <c r="B78" s="4" t="s">
        <v>74</v>
      </c>
      <c r="C78" s="4">
        <v>160</v>
      </c>
      <c r="D78" s="4">
        <v>282</v>
      </c>
      <c r="E78" s="4">
        <v>791</v>
      </c>
      <c r="F78" s="4">
        <v>604</v>
      </c>
      <c r="G78" s="4">
        <v>118</v>
      </c>
      <c r="H78" s="4">
        <v>230</v>
      </c>
      <c r="I78" s="4">
        <v>180</v>
      </c>
      <c r="J78" s="4">
        <v>0</v>
      </c>
      <c r="K78" s="4">
        <v>1414</v>
      </c>
      <c r="L78" s="4">
        <v>0</v>
      </c>
      <c r="M78" s="4">
        <v>144</v>
      </c>
      <c r="N78" s="4">
        <v>269</v>
      </c>
      <c r="O78" s="4">
        <v>209</v>
      </c>
      <c r="P78" s="4">
        <v>427</v>
      </c>
      <c r="Q78" s="4">
        <v>5080</v>
      </c>
      <c r="R78" s="4">
        <v>2286</v>
      </c>
      <c r="S78" s="4">
        <v>179</v>
      </c>
      <c r="T78" s="4">
        <v>327</v>
      </c>
      <c r="U78" s="4"/>
      <c r="V78" s="5">
        <f t="shared" si="3"/>
        <v>6.7033898305084749</v>
      </c>
      <c r="W78" s="5">
        <f t="shared" si="4"/>
        <v>9.8194444444444446</v>
      </c>
      <c r="X78" s="5">
        <f t="shared" si="5"/>
        <v>28.379888268156424</v>
      </c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</row>
    <row r="79" spans="1:56">
      <c r="A79" s="4" t="s">
        <v>172</v>
      </c>
      <c r="B79" s="4" t="s">
        <v>1</v>
      </c>
      <c r="C79" s="4">
        <v>47</v>
      </c>
      <c r="D79" s="4">
        <v>44</v>
      </c>
      <c r="E79" s="4">
        <v>168</v>
      </c>
      <c r="F79" s="4">
        <v>155</v>
      </c>
      <c r="G79" s="4">
        <v>60</v>
      </c>
      <c r="H79" s="4">
        <v>35</v>
      </c>
      <c r="I79" s="4">
        <v>42</v>
      </c>
      <c r="J79" s="4">
        <v>44</v>
      </c>
      <c r="K79" s="4">
        <v>125</v>
      </c>
      <c r="L79" s="4">
        <v>119</v>
      </c>
      <c r="M79" s="4">
        <v>33</v>
      </c>
      <c r="N79" s="4">
        <v>34</v>
      </c>
      <c r="O79" s="4">
        <v>57</v>
      </c>
      <c r="P79" s="4">
        <v>57</v>
      </c>
      <c r="Q79" s="4">
        <v>331</v>
      </c>
      <c r="R79" s="4">
        <v>323</v>
      </c>
      <c r="S79" s="4">
        <v>46</v>
      </c>
      <c r="T79" s="4">
        <v>46</v>
      </c>
      <c r="U79" s="4"/>
      <c r="V79" s="5">
        <f t="shared" si="3"/>
        <v>2.8</v>
      </c>
      <c r="W79" s="5">
        <f t="shared" si="4"/>
        <v>3.7878787878787881</v>
      </c>
      <c r="X79" s="5">
        <f t="shared" si="5"/>
        <v>7.1956521739130439</v>
      </c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</row>
    <row r="80" spans="1:56">
      <c r="A80" s="4" t="s">
        <v>174</v>
      </c>
      <c r="B80" s="4" t="s">
        <v>0</v>
      </c>
      <c r="C80" s="4">
        <v>1008</v>
      </c>
      <c r="D80" s="4">
        <v>1203</v>
      </c>
      <c r="E80" s="4">
        <v>3435</v>
      </c>
      <c r="F80" s="4">
        <v>2420</v>
      </c>
      <c r="G80" s="4">
        <v>831</v>
      </c>
      <c r="H80" s="4">
        <v>879</v>
      </c>
      <c r="I80" s="4">
        <v>1471</v>
      </c>
      <c r="J80" s="4">
        <v>1293</v>
      </c>
      <c r="K80" s="4">
        <v>4338</v>
      </c>
      <c r="L80" s="4">
        <v>3477</v>
      </c>
      <c r="M80" s="4">
        <v>1197</v>
      </c>
      <c r="N80" s="4">
        <v>1066</v>
      </c>
      <c r="O80" s="4">
        <v>1613</v>
      </c>
      <c r="P80" s="4">
        <v>1665</v>
      </c>
      <c r="Q80" s="4">
        <v>13301</v>
      </c>
      <c r="R80" s="4">
        <v>7352</v>
      </c>
      <c r="S80" s="4">
        <v>1361</v>
      </c>
      <c r="T80" s="4">
        <v>1439</v>
      </c>
      <c r="U80" s="4"/>
      <c r="V80" s="5">
        <f t="shared" si="3"/>
        <v>4.1335740072202167</v>
      </c>
      <c r="W80" s="5">
        <f t="shared" si="4"/>
        <v>3.6240601503759398</v>
      </c>
      <c r="X80" s="5">
        <f t="shared" si="5"/>
        <v>9.7729610580455546</v>
      </c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</row>
    <row r="81" spans="1:56">
      <c r="A81" s="4" t="s">
        <v>180</v>
      </c>
      <c r="B81" s="4" t="s">
        <v>90</v>
      </c>
      <c r="C81" s="4">
        <v>31</v>
      </c>
      <c r="D81" s="4">
        <v>30</v>
      </c>
      <c r="E81" s="4">
        <v>158</v>
      </c>
      <c r="F81" s="4">
        <v>319</v>
      </c>
      <c r="G81" s="4">
        <v>26</v>
      </c>
      <c r="H81" s="4">
        <v>26</v>
      </c>
      <c r="I81" s="4">
        <v>63</v>
      </c>
      <c r="J81" s="4">
        <v>42</v>
      </c>
      <c r="K81" s="4">
        <v>620</v>
      </c>
      <c r="L81" s="4">
        <v>557</v>
      </c>
      <c r="M81" s="4">
        <v>33</v>
      </c>
      <c r="N81" s="4">
        <v>56</v>
      </c>
      <c r="O81" s="4">
        <v>48</v>
      </c>
      <c r="P81" s="4">
        <v>50</v>
      </c>
      <c r="Q81" s="4">
        <v>1134</v>
      </c>
      <c r="R81" s="4">
        <v>910</v>
      </c>
      <c r="S81" s="4">
        <v>36</v>
      </c>
      <c r="T81" s="4">
        <v>36</v>
      </c>
      <c r="U81" s="4"/>
      <c r="V81" s="5">
        <f t="shared" si="3"/>
        <v>6.0769230769230766</v>
      </c>
      <c r="W81" s="5">
        <f t="shared" si="4"/>
        <v>18.787878787878789</v>
      </c>
      <c r="X81" s="5">
        <f t="shared" si="5"/>
        <v>31.5</v>
      </c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</row>
    <row r="82" spans="1:56">
      <c r="A82" s="4" t="s">
        <v>180</v>
      </c>
      <c r="B82" s="4" t="s">
        <v>65</v>
      </c>
      <c r="C82" s="4">
        <v>346</v>
      </c>
      <c r="D82" s="4">
        <v>389</v>
      </c>
      <c r="E82" s="4">
        <v>3284</v>
      </c>
      <c r="F82" s="4">
        <v>3443</v>
      </c>
      <c r="G82" s="4">
        <v>258</v>
      </c>
      <c r="H82" s="4">
        <v>280</v>
      </c>
      <c r="I82" s="4">
        <v>438</v>
      </c>
      <c r="J82" s="4">
        <v>466</v>
      </c>
      <c r="K82" s="4">
        <v>4645</v>
      </c>
      <c r="L82" s="4">
        <v>5093</v>
      </c>
      <c r="M82" s="4">
        <v>329</v>
      </c>
      <c r="N82" s="4">
        <v>365</v>
      </c>
      <c r="O82" s="4">
        <v>498</v>
      </c>
      <c r="P82" s="4">
        <v>556</v>
      </c>
      <c r="Q82" s="4">
        <v>16156</v>
      </c>
      <c r="R82" s="4">
        <v>15564</v>
      </c>
      <c r="S82" s="4">
        <v>367</v>
      </c>
      <c r="T82" s="4">
        <v>415</v>
      </c>
      <c r="U82" s="4"/>
      <c r="V82" s="5">
        <f t="shared" si="3"/>
        <v>12.728682170542635</v>
      </c>
      <c r="W82" s="5">
        <f t="shared" si="4"/>
        <v>14.118541033434651</v>
      </c>
      <c r="X82" s="5">
        <f t="shared" si="5"/>
        <v>44.021798365122613</v>
      </c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</row>
    <row r="83" spans="1:56">
      <c r="A83" s="4" t="s">
        <v>180</v>
      </c>
      <c r="B83" s="4" t="s">
        <v>86</v>
      </c>
      <c r="C83" s="4">
        <v>255</v>
      </c>
      <c r="D83" s="4">
        <v>414</v>
      </c>
      <c r="E83" s="4">
        <v>1360</v>
      </c>
      <c r="F83" s="4">
        <v>1764</v>
      </c>
      <c r="G83" s="4">
        <v>304</v>
      </c>
      <c r="H83" s="4">
        <v>305</v>
      </c>
      <c r="I83" s="4">
        <v>316</v>
      </c>
      <c r="J83" s="4">
        <v>508</v>
      </c>
      <c r="K83" s="4">
        <v>2076</v>
      </c>
      <c r="L83" s="4">
        <v>3345</v>
      </c>
      <c r="M83" s="4">
        <v>241</v>
      </c>
      <c r="N83" s="4">
        <v>395</v>
      </c>
      <c r="O83" s="4">
        <v>386</v>
      </c>
      <c r="P83" s="4">
        <v>601</v>
      </c>
      <c r="Q83" s="4">
        <v>5994</v>
      </c>
      <c r="R83" s="4">
        <v>6495</v>
      </c>
      <c r="S83" s="4">
        <v>347</v>
      </c>
      <c r="T83" s="4">
        <v>439</v>
      </c>
      <c r="U83" s="4"/>
      <c r="V83" s="5">
        <f t="shared" si="3"/>
        <v>4.4736842105263159</v>
      </c>
      <c r="W83" s="5">
        <f t="shared" si="4"/>
        <v>8.614107883817427</v>
      </c>
      <c r="X83" s="5">
        <f t="shared" si="5"/>
        <v>17.273775216138329</v>
      </c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</row>
    <row r="84" spans="1:56">
      <c r="A84" s="4" t="s">
        <v>180</v>
      </c>
      <c r="B84" s="4" t="s">
        <v>88</v>
      </c>
      <c r="C84" s="4">
        <v>352</v>
      </c>
      <c r="D84" s="4">
        <v>370</v>
      </c>
      <c r="E84" s="4">
        <v>1310</v>
      </c>
      <c r="F84" s="4">
        <v>1734</v>
      </c>
      <c r="G84" s="4">
        <v>263</v>
      </c>
      <c r="H84" s="4">
        <v>295</v>
      </c>
      <c r="I84" s="4">
        <v>463</v>
      </c>
      <c r="J84" s="4">
        <v>598</v>
      </c>
      <c r="K84" s="4">
        <v>2216</v>
      </c>
      <c r="L84" s="4">
        <v>2266</v>
      </c>
      <c r="M84" s="4">
        <v>379</v>
      </c>
      <c r="N84" s="4">
        <v>372</v>
      </c>
      <c r="O84" s="4">
        <v>520</v>
      </c>
      <c r="P84" s="4">
        <v>561</v>
      </c>
      <c r="Q84" s="4">
        <v>5937</v>
      </c>
      <c r="R84" s="4">
        <v>5798</v>
      </c>
      <c r="S84" s="4">
        <v>387</v>
      </c>
      <c r="T84" s="4">
        <v>420</v>
      </c>
      <c r="U84" s="4"/>
      <c r="V84" s="5">
        <f t="shared" si="3"/>
        <v>4.9809885931558933</v>
      </c>
      <c r="W84" s="5">
        <f t="shared" si="4"/>
        <v>5.8469656992084431</v>
      </c>
      <c r="X84" s="5">
        <f t="shared" si="5"/>
        <v>15.34108527131783</v>
      </c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</row>
    <row r="85" spans="1:56">
      <c r="A85" s="4" t="s">
        <v>180</v>
      </c>
      <c r="B85" s="4" t="s">
        <v>77</v>
      </c>
      <c r="C85" s="4">
        <v>587</v>
      </c>
      <c r="D85" s="4">
        <v>639</v>
      </c>
      <c r="E85" s="4">
        <v>2388</v>
      </c>
      <c r="F85" s="4">
        <v>2519</v>
      </c>
      <c r="G85" s="4">
        <v>483</v>
      </c>
      <c r="H85" s="4">
        <v>488</v>
      </c>
      <c r="I85" s="4">
        <v>707</v>
      </c>
      <c r="J85" s="4">
        <v>733</v>
      </c>
      <c r="K85" s="4">
        <v>3587</v>
      </c>
      <c r="L85" s="4">
        <v>3451</v>
      </c>
      <c r="M85" s="4">
        <v>592</v>
      </c>
      <c r="N85" s="4">
        <v>622</v>
      </c>
      <c r="O85" s="4">
        <v>835</v>
      </c>
      <c r="P85" s="4">
        <v>857</v>
      </c>
      <c r="Q85" s="4">
        <v>9838</v>
      </c>
      <c r="R85" s="4">
        <v>9477</v>
      </c>
      <c r="S85" s="4">
        <v>643</v>
      </c>
      <c r="T85" s="4">
        <v>686</v>
      </c>
      <c r="U85" s="4"/>
      <c r="V85" s="5">
        <f t="shared" si="3"/>
        <v>4.9440993788819876</v>
      </c>
      <c r="W85" s="5">
        <f t="shared" si="4"/>
        <v>6.0591216216216219</v>
      </c>
      <c r="X85" s="5">
        <f t="shared" si="5"/>
        <v>15.300155520995334</v>
      </c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</row>
    <row r="86" spans="1:56">
      <c r="A86" s="4" t="s">
        <v>180</v>
      </c>
      <c r="B86" s="4" t="s">
        <v>17</v>
      </c>
      <c r="C86" s="4">
        <v>280</v>
      </c>
      <c r="D86" s="4">
        <v>268</v>
      </c>
      <c r="E86" s="4">
        <v>973</v>
      </c>
      <c r="F86" s="4">
        <v>928</v>
      </c>
      <c r="G86" s="4">
        <v>196</v>
      </c>
      <c r="H86" s="4">
        <v>226</v>
      </c>
      <c r="I86" s="4">
        <v>323</v>
      </c>
      <c r="J86" s="4">
        <v>360</v>
      </c>
      <c r="K86" s="4">
        <v>1286</v>
      </c>
      <c r="L86" s="4">
        <v>1627</v>
      </c>
      <c r="M86" s="4">
        <v>265</v>
      </c>
      <c r="N86" s="4">
        <v>395</v>
      </c>
      <c r="O86" s="4">
        <v>405</v>
      </c>
      <c r="P86" s="4">
        <v>430</v>
      </c>
      <c r="Q86" s="4">
        <v>3242</v>
      </c>
      <c r="R86" s="4">
        <v>3071</v>
      </c>
      <c r="S86" s="4">
        <v>326</v>
      </c>
      <c r="T86" s="4">
        <v>351</v>
      </c>
      <c r="U86" s="4"/>
      <c r="V86" s="5">
        <f t="shared" si="3"/>
        <v>4.9642857142857144</v>
      </c>
      <c r="W86" s="5">
        <f t="shared" si="4"/>
        <v>4.8528301886792455</v>
      </c>
      <c r="X86" s="5">
        <f t="shared" si="5"/>
        <v>9.9447852760736204</v>
      </c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</row>
    <row r="87" spans="1:56">
      <c r="A87" s="4" t="s">
        <v>180</v>
      </c>
      <c r="B87" s="4" t="s">
        <v>35</v>
      </c>
      <c r="C87" s="4">
        <v>315</v>
      </c>
      <c r="D87" s="4">
        <v>380</v>
      </c>
      <c r="E87" s="4">
        <v>1326</v>
      </c>
      <c r="F87" s="4">
        <v>1140</v>
      </c>
      <c r="G87" s="4">
        <v>237</v>
      </c>
      <c r="H87" s="4">
        <v>274</v>
      </c>
      <c r="I87" s="4">
        <v>496</v>
      </c>
      <c r="J87" s="4">
        <v>562</v>
      </c>
      <c r="K87" s="4">
        <v>1615</v>
      </c>
      <c r="L87" s="4">
        <v>1713</v>
      </c>
      <c r="M87" s="4">
        <v>379</v>
      </c>
      <c r="N87" s="4">
        <v>417</v>
      </c>
      <c r="O87" s="4">
        <v>647</v>
      </c>
      <c r="P87" s="4">
        <v>869</v>
      </c>
      <c r="Q87" s="4">
        <v>3492</v>
      </c>
      <c r="R87" s="4">
        <v>3966</v>
      </c>
      <c r="S87" s="4">
        <v>509</v>
      </c>
      <c r="T87" s="4">
        <v>549</v>
      </c>
      <c r="U87" s="4"/>
      <c r="V87" s="5">
        <f t="shared" si="3"/>
        <v>5.5949367088607591</v>
      </c>
      <c r="W87" s="5">
        <f t="shared" si="4"/>
        <v>4.2612137203166229</v>
      </c>
      <c r="X87" s="5">
        <f t="shared" si="5"/>
        <v>6.860510805500982</v>
      </c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</row>
    <row r="88" spans="1:56">
      <c r="A88" s="4" t="s">
        <v>180</v>
      </c>
      <c r="B88" s="4" t="s">
        <v>83</v>
      </c>
      <c r="C88" s="4">
        <v>2748</v>
      </c>
      <c r="D88" s="4">
        <v>3344</v>
      </c>
      <c r="E88" s="4">
        <v>15664</v>
      </c>
      <c r="F88" s="4">
        <v>13634</v>
      </c>
      <c r="G88" s="4">
        <v>2105</v>
      </c>
      <c r="H88" s="4">
        <v>2573</v>
      </c>
      <c r="I88" s="4">
        <v>4044</v>
      </c>
      <c r="J88" s="4">
        <v>5038</v>
      </c>
      <c r="K88" s="4">
        <v>22563</v>
      </c>
      <c r="L88" s="4">
        <v>30822</v>
      </c>
      <c r="M88" s="4">
        <v>4152</v>
      </c>
      <c r="N88" s="4">
        <v>4020</v>
      </c>
      <c r="O88" s="4">
        <v>5485</v>
      </c>
      <c r="P88" s="4">
        <v>7363</v>
      </c>
      <c r="Q88" s="4">
        <v>83541</v>
      </c>
      <c r="R88" s="4">
        <v>115564</v>
      </c>
      <c r="S88" s="4">
        <v>4561</v>
      </c>
      <c r="T88" s="4">
        <v>5994</v>
      </c>
      <c r="U88" s="4"/>
      <c r="V88" s="5">
        <f t="shared" si="3"/>
        <v>7.4413301662707836</v>
      </c>
      <c r="W88" s="5">
        <f t="shared" si="4"/>
        <v>5.4342485549132951</v>
      </c>
      <c r="X88" s="5">
        <f t="shared" si="5"/>
        <v>18.316377987283492</v>
      </c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</row>
    <row r="89" spans="1:56">
      <c r="A89" s="4" t="s">
        <v>180</v>
      </c>
      <c r="B89" s="4" t="s">
        <v>80</v>
      </c>
      <c r="C89" s="4">
        <v>5280</v>
      </c>
      <c r="D89" s="4">
        <v>7448</v>
      </c>
      <c r="E89" s="4">
        <v>19475</v>
      </c>
      <c r="F89" s="4">
        <v>24289</v>
      </c>
      <c r="G89" s="4">
        <v>3956</v>
      </c>
      <c r="H89" s="4">
        <v>5179</v>
      </c>
      <c r="I89" s="4">
        <v>7575</v>
      </c>
      <c r="J89" s="4">
        <v>10259</v>
      </c>
      <c r="K89" s="4">
        <v>36189</v>
      </c>
      <c r="L89" s="4">
        <v>47716</v>
      </c>
      <c r="M89" s="4">
        <v>5771</v>
      </c>
      <c r="N89" s="4">
        <v>7837</v>
      </c>
      <c r="O89" s="4">
        <v>12252</v>
      </c>
      <c r="P89" s="4">
        <v>14532</v>
      </c>
      <c r="Q89" s="4">
        <v>115174</v>
      </c>
      <c r="R89" s="4">
        <v>179999</v>
      </c>
      <c r="S89" s="4">
        <v>7955</v>
      </c>
      <c r="T89" s="4">
        <v>10976</v>
      </c>
      <c r="U89" s="4"/>
      <c r="V89" s="5">
        <f t="shared" si="3"/>
        <v>4.9229019211324569</v>
      </c>
      <c r="W89" s="5">
        <f t="shared" si="4"/>
        <v>6.2708369433373763</v>
      </c>
      <c r="X89" s="5">
        <f t="shared" si="5"/>
        <v>14.478189817724701</v>
      </c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</row>
    <row r="90" spans="1:56">
      <c r="A90" s="4" t="s">
        <v>180</v>
      </c>
      <c r="B90" s="4" t="s">
        <v>10</v>
      </c>
      <c r="C90" s="4">
        <v>323</v>
      </c>
      <c r="D90" s="4">
        <v>406</v>
      </c>
      <c r="E90" s="4">
        <v>1907</v>
      </c>
      <c r="F90" s="4">
        <v>2087</v>
      </c>
      <c r="G90" s="4">
        <v>244</v>
      </c>
      <c r="H90" s="4">
        <v>309</v>
      </c>
      <c r="I90" s="4">
        <v>427</v>
      </c>
      <c r="J90" s="4">
        <v>529</v>
      </c>
      <c r="K90" s="4">
        <v>2873</v>
      </c>
      <c r="L90" s="4">
        <v>2854</v>
      </c>
      <c r="M90" s="4">
        <v>332</v>
      </c>
      <c r="N90" s="4">
        <v>414</v>
      </c>
      <c r="O90" s="4">
        <v>527</v>
      </c>
      <c r="P90" s="4">
        <v>592</v>
      </c>
      <c r="Q90" s="4">
        <v>7312</v>
      </c>
      <c r="R90" s="4">
        <v>7590</v>
      </c>
      <c r="S90" s="4">
        <v>377</v>
      </c>
      <c r="T90" s="4">
        <v>566</v>
      </c>
      <c r="U90" s="4"/>
      <c r="V90" s="5">
        <f t="shared" si="3"/>
        <v>7.8155737704918034</v>
      </c>
      <c r="W90" s="5">
        <f t="shared" si="4"/>
        <v>8.6536144578313259</v>
      </c>
      <c r="X90" s="5">
        <f t="shared" si="5"/>
        <v>19.395225464190982</v>
      </c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</row>
    <row r="91" spans="1:56">
      <c r="A91" s="4" t="s">
        <v>180</v>
      </c>
      <c r="B91" s="4" t="s">
        <v>97</v>
      </c>
      <c r="C91" s="4">
        <v>454</v>
      </c>
      <c r="D91" s="4">
        <v>712</v>
      </c>
      <c r="E91" s="4">
        <v>2719</v>
      </c>
      <c r="F91" s="4">
        <v>2991</v>
      </c>
      <c r="G91" s="4">
        <v>353</v>
      </c>
      <c r="H91" s="4">
        <v>548</v>
      </c>
      <c r="I91" s="4">
        <v>578</v>
      </c>
      <c r="J91" s="4">
        <v>843</v>
      </c>
      <c r="K91" s="4">
        <v>3978</v>
      </c>
      <c r="L91" s="4">
        <v>4423</v>
      </c>
      <c r="M91" s="4">
        <v>487</v>
      </c>
      <c r="N91" s="4">
        <v>688</v>
      </c>
      <c r="O91" s="4">
        <v>685</v>
      </c>
      <c r="P91" s="4">
        <v>985</v>
      </c>
      <c r="Q91" s="4">
        <v>11294</v>
      </c>
      <c r="R91" s="4">
        <v>16400</v>
      </c>
      <c r="S91" s="4">
        <v>599</v>
      </c>
      <c r="T91" s="4">
        <v>782</v>
      </c>
      <c r="U91" s="4"/>
      <c r="V91" s="5">
        <f t="shared" si="3"/>
        <v>7.7025495750708215</v>
      </c>
      <c r="W91" s="5">
        <f t="shared" si="4"/>
        <v>8.1683778234086244</v>
      </c>
      <c r="X91" s="5">
        <f t="shared" si="5"/>
        <v>18.854757929883139</v>
      </c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</row>
    <row r="92" spans="1:56">
      <c r="A92" s="4" t="s">
        <v>180</v>
      </c>
      <c r="B92" s="4" t="s">
        <v>15</v>
      </c>
      <c r="C92" s="4">
        <v>65</v>
      </c>
      <c r="D92" s="4">
        <v>55</v>
      </c>
      <c r="E92" s="4">
        <v>548</v>
      </c>
      <c r="F92" s="4">
        <v>463</v>
      </c>
      <c r="G92" s="4">
        <v>52</v>
      </c>
      <c r="H92" s="4">
        <v>42</v>
      </c>
      <c r="I92" s="4">
        <v>70</v>
      </c>
      <c r="J92" s="4">
        <v>74</v>
      </c>
      <c r="K92" s="4">
        <v>671</v>
      </c>
      <c r="L92" s="4">
        <v>733</v>
      </c>
      <c r="M92" s="4">
        <v>55</v>
      </c>
      <c r="N92" s="4">
        <v>56</v>
      </c>
      <c r="O92" s="4">
        <v>81</v>
      </c>
      <c r="P92" s="4">
        <v>88</v>
      </c>
      <c r="Q92" s="4">
        <v>1097</v>
      </c>
      <c r="R92" s="4">
        <v>1241</v>
      </c>
      <c r="S92" s="4">
        <v>64</v>
      </c>
      <c r="T92" s="4">
        <v>66</v>
      </c>
      <c r="U92" s="4"/>
      <c r="V92" s="5">
        <f t="shared" si="3"/>
        <v>10.538461538461538</v>
      </c>
      <c r="W92" s="5">
        <f t="shared" si="4"/>
        <v>12.2</v>
      </c>
      <c r="X92" s="5">
        <f t="shared" si="5"/>
        <v>17.140625</v>
      </c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</row>
    <row r="93" spans="1:56">
      <c r="A93" s="4" t="s">
        <v>181</v>
      </c>
      <c r="B93" s="4" t="s">
        <v>61</v>
      </c>
      <c r="C93" s="4">
        <v>362</v>
      </c>
      <c r="D93" s="4">
        <v>556</v>
      </c>
      <c r="E93" s="4">
        <v>1656</v>
      </c>
      <c r="F93" s="4">
        <v>2005</v>
      </c>
      <c r="G93" s="4">
        <v>283</v>
      </c>
      <c r="H93" s="4">
        <v>436</v>
      </c>
      <c r="I93" s="4">
        <v>428</v>
      </c>
      <c r="J93" s="4">
        <v>653</v>
      </c>
      <c r="K93" s="4">
        <v>2258</v>
      </c>
      <c r="L93" s="4">
        <v>2765</v>
      </c>
      <c r="M93" s="4">
        <v>367</v>
      </c>
      <c r="N93" s="4">
        <v>550</v>
      </c>
      <c r="O93" s="4">
        <v>503</v>
      </c>
      <c r="P93" s="4">
        <v>777</v>
      </c>
      <c r="Q93" s="4">
        <v>6893</v>
      </c>
      <c r="R93" s="4">
        <v>8382</v>
      </c>
      <c r="S93" s="4">
        <v>407</v>
      </c>
      <c r="T93" s="4">
        <v>648</v>
      </c>
      <c r="U93" s="4"/>
      <c r="V93" s="5">
        <f t="shared" si="3"/>
        <v>5.851590106007067</v>
      </c>
      <c r="W93" s="5">
        <f t="shared" si="4"/>
        <v>6.1525885558583102</v>
      </c>
      <c r="X93" s="5">
        <f t="shared" si="5"/>
        <v>16.936117936117935</v>
      </c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</row>
    <row r="94" spans="1:56">
      <c r="A94" s="4" t="s">
        <v>181</v>
      </c>
      <c r="B94" s="4" t="s">
        <v>49</v>
      </c>
      <c r="C94" s="4">
        <v>129</v>
      </c>
      <c r="D94" s="4">
        <v>176</v>
      </c>
      <c r="E94" s="4">
        <v>573</v>
      </c>
      <c r="F94" s="4">
        <v>670</v>
      </c>
      <c r="G94" s="4">
        <v>101</v>
      </c>
      <c r="H94" s="4">
        <v>138</v>
      </c>
      <c r="I94" s="4">
        <v>163</v>
      </c>
      <c r="J94" s="4">
        <v>216</v>
      </c>
      <c r="K94" s="4">
        <v>799</v>
      </c>
      <c r="L94" s="4">
        <v>708</v>
      </c>
      <c r="M94" s="4">
        <v>132</v>
      </c>
      <c r="N94" s="4">
        <v>184</v>
      </c>
      <c r="O94" s="4">
        <v>188</v>
      </c>
      <c r="P94" s="4">
        <v>257</v>
      </c>
      <c r="Q94" s="4">
        <v>2453</v>
      </c>
      <c r="R94" s="4">
        <v>2569</v>
      </c>
      <c r="S94" s="4">
        <v>152</v>
      </c>
      <c r="T94" s="4">
        <v>202</v>
      </c>
      <c r="U94" s="4"/>
      <c r="V94" s="5">
        <f t="shared" si="3"/>
        <v>5.673267326732673</v>
      </c>
      <c r="W94" s="5">
        <f t="shared" si="4"/>
        <v>6.0530303030303028</v>
      </c>
      <c r="X94" s="5">
        <f t="shared" si="5"/>
        <v>16.138157894736842</v>
      </c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</row>
    <row r="95" spans="1:56">
      <c r="A95" s="4" t="s">
        <v>181</v>
      </c>
      <c r="B95" s="4" t="s">
        <v>78</v>
      </c>
      <c r="C95" s="4">
        <v>119</v>
      </c>
      <c r="D95" s="4">
        <v>159</v>
      </c>
      <c r="E95" s="4">
        <v>511</v>
      </c>
      <c r="F95" s="4">
        <v>514</v>
      </c>
      <c r="G95" s="4">
        <v>104</v>
      </c>
      <c r="H95" s="4">
        <v>125</v>
      </c>
      <c r="I95" s="4">
        <v>150</v>
      </c>
      <c r="J95" s="4">
        <v>198</v>
      </c>
      <c r="K95" s="4">
        <v>720</v>
      </c>
      <c r="L95" s="4">
        <v>798</v>
      </c>
      <c r="M95" s="4">
        <v>121</v>
      </c>
      <c r="N95" s="4">
        <v>168</v>
      </c>
      <c r="O95" s="4">
        <v>173</v>
      </c>
      <c r="P95" s="4">
        <v>236</v>
      </c>
      <c r="Q95" s="4">
        <v>2092</v>
      </c>
      <c r="R95" s="4">
        <v>2596</v>
      </c>
      <c r="S95" s="4">
        <v>135</v>
      </c>
      <c r="T95" s="4">
        <v>201</v>
      </c>
      <c r="U95" s="4"/>
      <c r="V95" s="5">
        <f t="shared" si="3"/>
        <v>4.9134615384615383</v>
      </c>
      <c r="W95" s="5">
        <f t="shared" si="4"/>
        <v>5.9504132231404956</v>
      </c>
      <c r="X95" s="5">
        <f t="shared" si="5"/>
        <v>15.496296296296297</v>
      </c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</row>
    <row r="96" spans="1:56">
      <c r="A96" s="4" t="s">
        <v>181</v>
      </c>
      <c r="B96" s="4" t="s">
        <v>73</v>
      </c>
      <c r="C96" s="4">
        <v>258</v>
      </c>
      <c r="D96" s="4">
        <v>262</v>
      </c>
      <c r="E96" s="4">
        <v>890</v>
      </c>
      <c r="F96" s="4">
        <v>796</v>
      </c>
      <c r="G96" s="4">
        <v>200</v>
      </c>
      <c r="H96" s="4">
        <v>214</v>
      </c>
      <c r="I96" s="4">
        <v>301</v>
      </c>
      <c r="J96" s="4">
        <v>334</v>
      </c>
      <c r="K96" s="4">
        <v>1238</v>
      </c>
      <c r="L96" s="4">
        <v>1341</v>
      </c>
      <c r="M96" s="4">
        <v>250</v>
      </c>
      <c r="N96" s="4">
        <v>286</v>
      </c>
      <c r="O96" s="4">
        <v>347</v>
      </c>
      <c r="P96" s="4">
        <v>383</v>
      </c>
      <c r="Q96" s="4">
        <v>3169</v>
      </c>
      <c r="R96" s="4">
        <v>3831</v>
      </c>
      <c r="S96" s="4">
        <v>291</v>
      </c>
      <c r="T96" s="4">
        <v>323</v>
      </c>
      <c r="U96" s="4"/>
      <c r="V96" s="5">
        <f t="shared" si="3"/>
        <v>4.45</v>
      </c>
      <c r="W96" s="5">
        <f t="shared" si="4"/>
        <v>4.952</v>
      </c>
      <c r="X96" s="5">
        <f t="shared" si="5"/>
        <v>10.890034364261169</v>
      </c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</row>
    <row r="97" spans="1:56">
      <c r="A97" s="4" t="s">
        <v>181</v>
      </c>
      <c r="B97" s="4" t="s">
        <v>63</v>
      </c>
      <c r="C97" s="4">
        <v>315</v>
      </c>
      <c r="D97" s="4">
        <v>294</v>
      </c>
      <c r="E97" s="4">
        <v>1155</v>
      </c>
      <c r="F97" s="4">
        <v>1173</v>
      </c>
      <c r="G97" s="4">
        <v>231</v>
      </c>
      <c r="H97" s="4">
        <v>258</v>
      </c>
      <c r="I97" s="4">
        <v>332</v>
      </c>
      <c r="J97" s="4">
        <v>358</v>
      </c>
      <c r="K97" s="4">
        <v>2013</v>
      </c>
      <c r="L97" s="4">
        <v>2037</v>
      </c>
      <c r="M97" s="4">
        <v>285</v>
      </c>
      <c r="N97" s="4">
        <v>306</v>
      </c>
      <c r="O97" s="4">
        <v>400</v>
      </c>
      <c r="P97" s="4">
        <v>423</v>
      </c>
      <c r="Q97" s="4">
        <v>7734</v>
      </c>
      <c r="R97" s="4">
        <v>7192</v>
      </c>
      <c r="S97" s="4">
        <v>332</v>
      </c>
      <c r="T97" s="4">
        <v>349</v>
      </c>
      <c r="U97" s="4"/>
      <c r="V97" s="5">
        <f t="shared" si="3"/>
        <v>5</v>
      </c>
      <c r="W97" s="5">
        <f t="shared" si="4"/>
        <v>7.0631578947368423</v>
      </c>
      <c r="X97" s="5">
        <f t="shared" si="5"/>
        <v>23.295180722891565</v>
      </c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</row>
    <row r="98" spans="1:56">
      <c r="A98" s="4" t="s">
        <v>181</v>
      </c>
      <c r="B98" s="4" t="s">
        <v>59</v>
      </c>
      <c r="C98" s="4">
        <v>311</v>
      </c>
      <c r="D98" s="4">
        <v>313</v>
      </c>
      <c r="E98" s="4">
        <v>862</v>
      </c>
      <c r="F98" s="4">
        <v>895</v>
      </c>
      <c r="G98" s="4">
        <v>241</v>
      </c>
      <c r="H98" s="4">
        <v>267</v>
      </c>
      <c r="I98" s="4">
        <v>507</v>
      </c>
      <c r="J98" s="4">
        <v>529</v>
      </c>
      <c r="K98" s="4">
        <v>1170</v>
      </c>
      <c r="L98" s="4">
        <v>1254</v>
      </c>
      <c r="M98" s="4">
        <v>398</v>
      </c>
      <c r="N98" s="4">
        <v>437</v>
      </c>
      <c r="O98" s="4">
        <v>546</v>
      </c>
      <c r="P98" s="4">
        <v>555</v>
      </c>
      <c r="Q98" s="4">
        <v>2821</v>
      </c>
      <c r="R98" s="4">
        <v>3193</v>
      </c>
      <c r="S98" s="4">
        <v>542</v>
      </c>
      <c r="T98" s="4">
        <v>452</v>
      </c>
      <c r="U98" s="4"/>
      <c r="V98" s="5">
        <f t="shared" si="3"/>
        <v>3.5767634854771786</v>
      </c>
      <c r="W98" s="5">
        <f t="shared" si="4"/>
        <v>2.9396984924623117</v>
      </c>
      <c r="X98" s="5">
        <f t="shared" si="5"/>
        <v>5.2047970479704793</v>
      </c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</row>
    <row r="99" spans="1:56">
      <c r="A99" s="4" t="s">
        <v>181</v>
      </c>
      <c r="B99" s="4" t="s">
        <v>68</v>
      </c>
      <c r="C99" s="4">
        <v>3159</v>
      </c>
      <c r="D99" s="4">
        <v>3687</v>
      </c>
      <c r="E99" s="4">
        <v>13356</v>
      </c>
      <c r="F99" s="4">
        <v>13495</v>
      </c>
      <c r="G99" s="4">
        <v>2371</v>
      </c>
      <c r="H99" s="4">
        <v>2828</v>
      </c>
      <c r="I99" s="4">
        <v>4591</v>
      </c>
      <c r="J99" s="4">
        <v>5223</v>
      </c>
      <c r="K99" s="4">
        <v>25315</v>
      </c>
      <c r="L99" s="4">
        <v>27071</v>
      </c>
      <c r="M99" s="4">
        <v>3573</v>
      </c>
      <c r="N99" s="4">
        <v>4208</v>
      </c>
      <c r="O99" s="4">
        <v>6348</v>
      </c>
      <c r="P99" s="4">
        <v>7056</v>
      </c>
      <c r="Q99" s="4">
        <v>99210</v>
      </c>
      <c r="R99" s="4">
        <v>98900</v>
      </c>
      <c r="S99" s="4">
        <v>5142</v>
      </c>
      <c r="T99" s="4">
        <v>6218</v>
      </c>
      <c r="U99" s="4"/>
      <c r="V99" s="5">
        <f t="shared" si="3"/>
        <v>5.6330662167861663</v>
      </c>
      <c r="W99" s="5">
        <f t="shared" si="4"/>
        <v>7.0850825636719845</v>
      </c>
      <c r="X99" s="5">
        <f t="shared" si="5"/>
        <v>19.294049008168027</v>
      </c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</row>
    <row r="100" spans="1:56">
      <c r="A100" s="4" t="s">
        <v>181</v>
      </c>
      <c r="B100" s="4" t="s">
        <v>34</v>
      </c>
      <c r="C100" s="4">
        <v>2062</v>
      </c>
      <c r="D100" s="4">
        <v>2318</v>
      </c>
      <c r="E100" s="4">
        <v>9651</v>
      </c>
      <c r="F100" s="4">
        <v>12248</v>
      </c>
      <c r="G100" s="4">
        <v>1686</v>
      </c>
      <c r="H100" s="4">
        <v>1809</v>
      </c>
      <c r="I100" s="4">
        <v>2558</v>
      </c>
      <c r="J100" s="4">
        <v>2814</v>
      </c>
      <c r="K100" s="4">
        <v>14882</v>
      </c>
      <c r="L100" s="4">
        <v>16699</v>
      </c>
      <c r="M100" s="4">
        <v>2147</v>
      </c>
      <c r="N100" s="4">
        <v>2281</v>
      </c>
      <c r="O100" s="4">
        <v>3103</v>
      </c>
      <c r="P100" s="4">
        <v>4192</v>
      </c>
      <c r="Q100" s="4">
        <v>54642</v>
      </c>
      <c r="R100" s="4">
        <v>53125</v>
      </c>
      <c r="S100" s="4">
        <v>2545</v>
      </c>
      <c r="T100" s="4">
        <v>2834</v>
      </c>
      <c r="U100" s="4"/>
      <c r="V100" s="5">
        <f t="shared" si="3"/>
        <v>5.7241992882562274</v>
      </c>
      <c r="W100" s="5">
        <f t="shared" si="4"/>
        <v>6.9315323707498839</v>
      </c>
      <c r="X100" s="5">
        <f t="shared" si="5"/>
        <v>21.470333988212182</v>
      </c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</row>
    <row r="101" spans="1:56">
      <c r="A101" s="4" t="s">
        <v>181</v>
      </c>
      <c r="B101" s="4" t="s">
        <v>4</v>
      </c>
      <c r="C101" s="4">
        <v>586</v>
      </c>
      <c r="D101" s="4">
        <v>673</v>
      </c>
      <c r="E101" s="4">
        <v>3037</v>
      </c>
      <c r="F101" s="4">
        <v>3126</v>
      </c>
      <c r="G101" s="4">
        <v>464</v>
      </c>
      <c r="H101" s="4">
        <v>550</v>
      </c>
      <c r="I101" s="4">
        <v>723</v>
      </c>
      <c r="J101" s="4">
        <v>848</v>
      </c>
      <c r="K101" s="4">
        <v>5105</v>
      </c>
      <c r="L101" s="4">
        <v>5318</v>
      </c>
      <c r="M101" s="4">
        <v>582</v>
      </c>
      <c r="N101" s="4">
        <v>708</v>
      </c>
      <c r="O101" s="4">
        <v>866</v>
      </c>
      <c r="P101" s="4">
        <v>978</v>
      </c>
      <c r="Q101" s="4">
        <v>15239</v>
      </c>
      <c r="R101" s="4">
        <v>16460</v>
      </c>
      <c r="S101" s="4">
        <v>888</v>
      </c>
      <c r="T101" s="4">
        <v>810</v>
      </c>
      <c r="U101" s="4"/>
      <c r="V101" s="5">
        <f t="shared" si="3"/>
        <v>6.5452586206896548</v>
      </c>
      <c r="W101" s="5">
        <f t="shared" si="4"/>
        <v>8.7714776632302414</v>
      </c>
      <c r="X101" s="5">
        <f t="shared" si="5"/>
        <v>17.161036036036037</v>
      </c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</row>
    <row r="102" spans="1:56">
      <c r="A102" s="4" t="s">
        <v>173</v>
      </c>
      <c r="B102" s="4" t="s">
        <v>70</v>
      </c>
      <c r="C102" s="4">
        <v>133</v>
      </c>
      <c r="D102" s="4">
        <v>159</v>
      </c>
      <c r="E102" s="4">
        <v>534</v>
      </c>
      <c r="F102" s="4">
        <v>717</v>
      </c>
      <c r="G102" s="4">
        <v>108</v>
      </c>
      <c r="H102" s="4">
        <v>125</v>
      </c>
      <c r="I102" s="4">
        <v>169</v>
      </c>
      <c r="J102" s="4">
        <v>195</v>
      </c>
      <c r="K102" s="4">
        <v>820</v>
      </c>
      <c r="L102" s="4">
        <v>1024</v>
      </c>
      <c r="M102" s="4">
        <v>136</v>
      </c>
      <c r="N102" s="4">
        <v>168</v>
      </c>
      <c r="O102" s="4">
        <v>201</v>
      </c>
      <c r="P102" s="4">
        <v>266</v>
      </c>
      <c r="Q102" s="4">
        <v>2778</v>
      </c>
      <c r="R102" s="4">
        <v>3241</v>
      </c>
      <c r="S102" s="4">
        <v>194</v>
      </c>
      <c r="T102" s="4">
        <v>181</v>
      </c>
      <c r="U102" s="4"/>
      <c r="V102" s="5">
        <f t="shared" si="3"/>
        <v>4.9444444444444446</v>
      </c>
      <c r="W102" s="5">
        <f t="shared" si="4"/>
        <v>6.0294117647058822</v>
      </c>
      <c r="X102" s="5">
        <f t="shared" si="5"/>
        <v>14.31958762886598</v>
      </c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</row>
    <row r="103" spans="1:56">
      <c r="A103" s="4" t="s">
        <v>173</v>
      </c>
      <c r="B103" s="4" t="s">
        <v>87</v>
      </c>
      <c r="C103" s="4">
        <v>54</v>
      </c>
      <c r="D103" s="4">
        <v>58</v>
      </c>
      <c r="E103" s="4">
        <v>400</v>
      </c>
      <c r="F103" s="4">
        <v>331</v>
      </c>
      <c r="G103" s="4">
        <v>41</v>
      </c>
      <c r="H103" s="4">
        <v>41</v>
      </c>
      <c r="I103" s="4">
        <v>68</v>
      </c>
      <c r="J103" s="4">
        <v>70</v>
      </c>
      <c r="K103" s="4">
        <v>503</v>
      </c>
      <c r="L103" s="4">
        <v>495</v>
      </c>
      <c r="M103" s="4">
        <v>55</v>
      </c>
      <c r="N103" s="4">
        <v>56</v>
      </c>
      <c r="O103" s="4">
        <v>84</v>
      </c>
      <c r="P103" s="4">
        <v>89</v>
      </c>
      <c r="Q103" s="4">
        <v>1383</v>
      </c>
      <c r="R103" s="4">
        <v>1494</v>
      </c>
      <c r="S103" s="4">
        <v>62</v>
      </c>
      <c r="T103" s="4">
        <v>67</v>
      </c>
      <c r="U103" s="4"/>
      <c r="V103" s="5">
        <f t="shared" si="3"/>
        <v>9.7560975609756095</v>
      </c>
      <c r="W103" s="5">
        <f t="shared" si="4"/>
        <v>9.1454545454545446</v>
      </c>
      <c r="X103" s="5">
        <f t="shared" si="5"/>
        <v>22.306451612903224</v>
      </c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</row>
    <row r="104" spans="1:56">
      <c r="A104" s="4" t="s">
        <v>173</v>
      </c>
      <c r="B104" s="4" t="s">
        <v>19</v>
      </c>
      <c r="C104" s="4">
        <v>1155</v>
      </c>
      <c r="D104" s="4">
        <v>1310</v>
      </c>
      <c r="E104" s="4">
        <v>3681</v>
      </c>
      <c r="F104" s="4">
        <v>3754</v>
      </c>
      <c r="G104" s="4">
        <v>997</v>
      </c>
      <c r="H104" s="4">
        <v>1071</v>
      </c>
      <c r="I104" s="4">
        <v>1336</v>
      </c>
      <c r="J104" s="4">
        <v>1566</v>
      </c>
      <c r="K104" s="4">
        <v>5205</v>
      </c>
      <c r="L104" s="4">
        <v>6552</v>
      </c>
      <c r="M104" s="4">
        <v>1088</v>
      </c>
      <c r="N104" s="4">
        <v>1267</v>
      </c>
      <c r="O104" s="4">
        <v>1500</v>
      </c>
      <c r="P104" s="4">
        <v>1820</v>
      </c>
      <c r="Q104" s="4">
        <v>18832</v>
      </c>
      <c r="R104" s="4">
        <v>17897</v>
      </c>
      <c r="S104" s="4">
        <v>1290</v>
      </c>
      <c r="T104" s="4">
        <v>1511</v>
      </c>
      <c r="U104" s="4"/>
      <c r="V104" s="5">
        <f t="shared" si="3"/>
        <v>3.6920762286860582</v>
      </c>
      <c r="W104" s="5">
        <f t="shared" si="4"/>
        <v>4.7840073529411766</v>
      </c>
      <c r="X104" s="5">
        <f t="shared" si="5"/>
        <v>14.598449612403101</v>
      </c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</row>
    <row r="105" spans="1:56">
      <c r="A105" s="4" t="s">
        <v>173</v>
      </c>
      <c r="B105" s="4" t="s">
        <v>38</v>
      </c>
      <c r="C105" s="4">
        <v>11174</v>
      </c>
      <c r="D105" s="4">
        <v>13882</v>
      </c>
      <c r="E105" s="4">
        <v>33698</v>
      </c>
      <c r="F105" s="4">
        <v>41870</v>
      </c>
      <c r="G105" s="4">
        <v>8695</v>
      </c>
      <c r="H105" s="4">
        <v>10682</v>
      </c>
      <c r="I105" s="4">
        <v>14647</v>
      </c>
      <c r="J105" s="4">
        <v>19724</v>
      </c>
      <c r="K105" s="4">
        <v>63733</v>
      </c>
      <c r="L105" s="4">
        <v>77018</v>
      </c>
      <c r="M105" s="4">
        <v>11906</v>
      </c>
      <c r="N105" s="4">
        <v>14762</v>
      </c>
      <c r="O105" s="4">
        <v>19490</v>
      </c>
      <c r="P105" s="4">
        <v>25606</v>
      </c>
      <c r="Q105" s="4">
        <v>175147</v>
      </c>
      <c r="R105" s="4">
        <v>257119</v>
      </c>
      <c r="S105" s="4">
        <v>15903</v>
      </c>
      <c r="T105" s="4">
        <v>20940</v>
      </c>
      <c r="U105" s="4"/>
      <c r="V105" s="5">
        <f t="shared" si="3"/>
        <v>3.8755606670500287</v>
      </c>
      <c r="W105" s="5">
        <f t="shared" si="4"/>
        <v>5.353015286410213</v>
      </c>
      <c r="X105" s="5">
        <f t="shared" si="5"/>
        <v>11.013456580519399</v>
      </c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</row>
    <row r="106" spans="1:56">
      <c r="A106" s="4" t="s">
        <v>179</v>
      </c>
      <c r="B106" s="4" t="s">
        <v>42</v>
      </c>
      <c r="C106" s="4">
        <v>5349</v>
      </c>
      <c r="D106" s="4">
        <v>6781</v>
      </c>
      <c r="E106" s="4">
        <v>11106</v>
      </c>
      <c r="F106" s="4">
        <v>9754</v>
      </c>
      <c r="G106" s="4">
        <v>3842</v>
      </c>
      <c r="H106" s="4">
        <v>4959</v>
      </c>
      <c r="I106" s="4">
        <v>7661</v>
      </c>
      <c r="J106" s="4">
        <v>9573</v>
      </c>
      <c r="K106" s="4">
        <v>18633</v>
      </c>
      <c r="L106" s="4">
        <v>20765</v>
      </c>
      <c r="M106" s="4">
        <v>5810</v>
      </c>
      <c r="N106" s="4">
        <v>7606</v>
      </c>
      <c r="O106" s="4">
        <v>9955</v>
      </c>
      <c r="P106" s="4">
        <v>13126</v>
      </c>
      <c r="Q106" s="4">
        <v>50845</v>
      </c>
      <c r="R106" s="4">
        <v>53300</v>
      </c>
      <c r="S106" s="4">
        <v>8006</v>
      </c>
      <c r="T106" s="4">
        <v>10726</v>
      </c>
      <c r="U106" s="4"/>
      <c r="V106" s="5">
        <f t="shared" si="3"/>
        <v>2.8906819364914109</v>
      </c>
      <c r="W106" s="5">
        <f t="shared" si="4"/>
        <v>3.2070567986230638</v>
      </c>
      <c r="X106" s="5">
        <f t="shared" si="5"/>
        <v>6.3508618536097927</v>
      </c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</row>
    <row r="107" spans="1:56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8">
        <f>AVERAGE(V2:V106)</f>
        <v>6.3783818912564012</v>
      </c>
      <c r="W107" s="8">
        <f t="shared" ref="W107:X107" si="6">AVERAGE(W2:W106)</f>
        <v>7.8606270515238199</v>
      </c>
      <c r="X107" s="8">
        <f t="shared" si="6"/>
        <v>18.679809564642529</v>
      </c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</row>
    <row r="108" spans="1:56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</row>
    <row r="109" spans="1:56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3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</row>
    <row r="110" spans="1:56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</row>
    <row r="111" spans="1:56">
      <c r="A111" s="6"/>
      <c r="B111" s="3"/>
      <c r="C111" s="3"/>
      <c r="D111" s="3"/>
      <c r="E111" s="3"/>
      <c r="F111" s="6"/>
      <c r="G111" s="6"/>
      <c r="H111" s="6"/>
      <c r="I111" s="6"/>
      <c r="J111" s="6"/>
      <c r="K111" s="6"/>
      <c r="L111" s="6"/>
      <c r="M111" s="6"/>
      <c r="N111" s="6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</row>
    <row r="112" spans="1:56">
      <c r="A112" s="6"/>
      <c r="B112" s="3"/>
      <c r="C112" s="3"/>
      <c r="D112" s="3"/>
      <c r="E112" s="3"/>
      <c r="F112" s="3"/>
      <c r="G112" s="3"/>
      <c r="H112" s="3"/>
      <c r="I112" s="3"/>
      <c r="J112" s="3"/>
      <c r="K112" s="6"/>
      <c r="L112" s="6"/>
      <c r="M112" s="6"/>
      <c r="N112" s="3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</row>
    <row r="113" spans="1:56">
      <c r="A113" s="6"/>
      <c r="B113" s="3"/>
      <c r="C113" s="3"/>
      <c r="D113" s="3"/>
      <c r="E113" s="3"/>
      <c r="F113" s="3"/>
      <c r="G113" s="3"/>
      <c r="H113" s="3"/>
      <c r="I113" s="3"/>
      <c r="J113" s="3"/>
      <c r="K113" s="6"/>
      <c r="L113" s="3"/>
      <c r="M113" s="6"/>
      <c r="N113" s="3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</row>
    <row r="114" spans="1:56">
      <c r="A114" s="6"/>
      <c r="B114" s="6"/>
      <c r="C114" s="3"/>
      <c r="D114" s="3"/>
      <c r="E114" s="3"/>
      <c r="F114" s="3"/>
      <c r="G114" s="3"/>
      <c r="H114" s="3"/>
      <c r="I114" s="3"/>
      <c r="J114" s="3"/>
      <c r="K114" s="6"/>
      <c r="L114" s="3"/>
      <c r="M114" s="6"/>
      <c r="N114" s="3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</row>
    <row r="115" spans="1:56">
      <c r="A115" s="6"/>
      <c r="B115" s="6"/>
      <c r="C115" s="6"/>
      <c r="D115" s="6"/>
      <c r="E115" s="6"/>
      <c r="F115" s="6"/>
      <c r="G115" s="6"/>
      <c r="H115" s="6"/>
      <c r="I115" s="3"/>
      <c r="J115" s="3"/>
      <c r="K115" s="6"/>
      <c r="L115" s="3"/>
      <c r="M115" s="6"/>
      <c r="N115" s="3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</row>
    <row r="116" spans="1:56">
      <c r="A116" s="6"/>
      <c r="B116" s="3"/>
      <c r="C116" s="3"/>
      <c r="D116" s="6"/>
      <c r="E116" s="6"/>
      <c r="F116" s="6"/>
      <c r="G116" s="3"/>
      <c r="H116" s="6"/>
      <c r="I116" s="3"/>
      <c r="J116" s="3"/>
      <c r="K116" s="6"/>
      <c r="L116" s="3"/>
      <c r="M116" s="6"/>
      <c r="N116" s="3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</row>
    <row r="117" spans="1:56">
      <c r="A117" s="6"/>
      <c r="B117" s="3"/>
      <c r="C117" s="3"/>
      <c r="D117" s="3"/>
      <c r="E117" s="3"/>
      <c r="F117" s="3"/>
      <c r="G117" s="3"/>
      <c r="H117" s="3"/>
      <c r="I117" s="3"/>
      <c r="J117" s="3"/>
      <c r="K117" s="6"/>
      <c r="L117" s="3"/>
      <c r="M117" s="6"/>
      <c r="N117" s="3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</row>
    <row r="118" spans="1:56">
      <c r="A118" s="6"/>
      <c r="B118" s="6"/>
      <c r="C118" s="3"/>
      <c r="D118" s="3"/>
      <c r="E118" s="3"/>
      <c r="F118" s="3"/>
      <c r="G118" s="3"/>
      <c r="H118" s="3"/>
      <c r="I118" s="3"/>
      <c r="J118" s="3"/>
      <c r="K118" s="6"/>
      <c r="L118" s="3"/>
      <c r="M118" s="6"/>
      <c r="N118" s="3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</row>
    <row r="119" spans="1:56">
      <c r="A119" s="6"/>
      <c r="B119" s="6"/>
      <c r="C119" s="6"/>
      <c r="D119" s="6"/>
      <c r="E119" s="6"/>
      <c r="F119" s="6"/>
      <c r="G119" s="3"/>
      <c r="H119" s="3"/>
      <c r="I119" s="3"/>
      <c r="J119" s="3"/>
      <c r="K119" s="6"/>
      <c r="L119" s="3"/>
      <c r="M119" s="6"/>
      <c r="N119" s="3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</row>
    <row r="120" spans="1:56">
      <c r="A120" s="6"/>
      <c r="B120" s="6"/>
      <c r="C120" s="6"/>
      <c r="D120" s="6"/>
      <c r="E120" s="6"/>
      <c r="F120" s="6"/>
      <c r="G120" s="6"/>
      <c r="H120" s="6"/>
      <c r="I120" s="6"/>
      <c r="J120" s="3"/>
      <c r="K120" s="6"/>
      <c r="L120" s="3"/>
      <c r="M120" s="6"/>
      <c r="N120" s="3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</row>
    <row r="121" spans="1:56">
      <c r="A121" s="6"/>
      <c r="B121" s="3"/>
      <c r="C121" s="3"/>
      <c r="D121" s="6"/>
      <c r="E121" s="6"/>
      <c r="F121" s="6"/>
      <c r="G121" s="3"/>
      <c r="H121" s="3"/>
      <c r="I121" s="6"/>
      <c r="J121" s="3"/>
      <c r="K121" s="6"/>
      <c r="L121" s="3"/>
      <c r="M121" s="6"/>
      <c r="N121" s="3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</row>
    <row r="122" spans="1:56">
      <c r="A122" s="6"/>
      <c r="B122" s="3"/>
      <c r="C122" s="3"/>
      <c r="D122" s="3"/>
      <c r="E122" s="3"/>
      <c r="F122" s="3"/>
      <c r="G122" s="3"/>
      <c r="H122" s="3"/>
      <c r="I122" s="6"/>
      <c r="J122" s="3"/>
      <c r="K122" s="6"/>
      <c r="L122" s="3"/>
      <c r="M122" s="6"/>
      <c r="N122" s="3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</row>
    <row r="123" spans="1:56">
      <c r="A123" s="6"/>
      <c r="B123" s="3"/>
      <c r="C123" s="3"/>
      <c r="D123" s="3"/>
      <c r="E123" s="3"/>
      <c r="F123" s="3"/>
      <c r="G123" s="3"/>
      <c r="H123" s="3"/>
      <c r="I123" s="3"/>
      <c r="J123" s="3"/>
      <c r="K123" s="6"/>
      <c r="L123" s="3"/>
      <c r="M123" s="6"/>
      <c r="N123" s="3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</row>
    <row r="124" spans="1:56">
      <c r="A124" s="6"/>
      <c r="B124" s="6"/>
      <c r="C124" s="3"/>
      <c r="D124" s="3"/>
      <c r="E124" s="3"/>
      <c r="F124" s="3"/>
      <c r="G124" s="3"/>
      <c r="H124" s="3"/>
      <c r="I124" s="3"/>
      <c r="J124" s="3"/>
      <c r="K124" s="6"/>
      <c r="L124" s="3"/>
      <c r="M124" s="6"/>
      <c r="N124" s="3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</row>
    <row r="125" spans="1:56">
      <c r="A125" s="6"/>
      <c r="B125" s="6"/>
      <c r="C125" s="6"/>
      <c r="D125" s="6"/>
      <c r="E125" s="6"/>
      <c r="F125" s="6"/>
      <c r="G125" s="3"/>
      <c r="H125" s="3"/>
      <c r="I125" s="3"/>
      <c r="J125" s="3"/>
      <c r="K125" s="6"/>
      <c r="L125" s="3"/>
      <c r="M125" s="6"/>
      <c r="N125" s="3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</row>
    <row r="126" spans="1:56">
      <c r="A126" s="6"/>
      <c r="B126" s="6"/>
      <c r="C126" s="6"/>
      <c r="D126" s="6"/>
      <c r="E126" s="6"/>
      <c r="F126" s="6"/>
      <c r="G126" s="6"/>
      <c r="H126" s="6"/>
      <c r="I126" s="6"/>
      <c r="J126" s="3"/>
      <c r="K126" s="6"/>
      <c r="L126" s="3"/>
      <c r="M126" s="6"/>
      <c r="N126" s="3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</row>
    <row r="127" spans="1:56">
      <c r="A127" s="6"/>
      <c r="B127" s="3"/>
      <c r="C127" s="3"/>
      <c r="D127" s="6"/>
      <c r="E127" s="6"/>
      <c r="F127" s="6"/>
      <c r="G127" s="3"/>
      <c r="H127" s="3"/>
      <c r="I127" s="6"/>
      <c r="J127" s="3"/>
      <c r="K127" s="6"/>
      <c r="L127" s="3"/>
      <c r="M127" s="6"/>
      <c r="N127" s="3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</row>
    <row r="128" spans="1:56">
      <c r="A128" s="6"/>
      <c r="B128" s="3"/>
      <c r="C128" s="3"/>
      <c r="D128" s="3"/>
      <c r="E128" s="3"/>
      <c r="F128" s="3"/>
      <c r="G128" s="3"/>
      <c r="H128" s="3"/>
      <c r="I128" s="6"/>
      <c r="J128" s="3"/>
      <c r="K128" s="6"/>
      <c r="L128" s="3"/>
      <c r="M128" s="6"/>
      <c r="N128" s="3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</row>
    <row r="129" spans="1:56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</row>
    <row r="130" spans="1:56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</row>
    <row r="131" spans="1:56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</row>
    <row r="132" spans="1:56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</row>
    <row r="133" spans="1:56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5"/>
      <c r="W133" s="5"/>
      <c r="X133" s="5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4"/>
      <c r="BD133" s="4"/>
    </row>
    <row r="134" spans="1:56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5"/>
      <c r="W134" s="5"/>
      <c r="X134" s="5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"/>
      <c r="BD134" s="4"/>
    </row>
    <row r="135" spans="1:56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5"/>
      <c r="W135" s="5"/>
      <c r="X135" s="5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"/>
      <c r="BD135" s="4"/>
    </row>
    <row r="136" spans="1:5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5"/>
      <c r="W136" s="5"/>
      <c r="X136" s="5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"/>
      <c r="BD136" s="4"/>
    </row>
    <row r="137" spans="1:56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5"/>
      <c r="W137" s="5"/>
      <c r="X137" s="5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"/>
      <c r="BD137" s="4"/>
    </row>
    <row r="138" spans="1:56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5"/>
      <c r="W138" s="5"/>
      <c r="X138" s="5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"/>
      <c r="BD138" s="4"/>
    </row>
    <row r="139" spans="1:56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5"/>
      <c r="W139" s="5"/>
      <c r="X139" s="5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"/>
      <c r="BD139" s="4"/>
    </row>
    <row r="140" spans="1:56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5"/>
      <c r="W140" s="5"/>
      <c r="X140" s="5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</row>
    <row r="141" spans="1:56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5"/>
      <c r="W141" s="5"/>
      <c r="X141" s="5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</row>
    <row r="142" spans="1:56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5"/>
      <c r="W142" s="5"/>
      <c r="X142" s="5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</row>
    <row r="143" spans="1:56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5"/>
      <c r="W143" s="5"/>
      <c r="X143" s="5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</row>
    <row r="144" spans="1:56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5"/>
      <c r="W144" s="5"/>
      <c r="X144" s="5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</row>
    <row r="145" spans="1:56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5"/>
      <c r="W145" s="5"/>
      <c r="X145" s="5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</row>
    <row r="146" spans="1:5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5"/>
      <c r="W146" s="5"/>
      <c r="X146" s="5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</row>
    <row r="147" spans="1:56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5"/>
      <c r="W147" s="5"/>
      <c r="X147" s="5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</row>
    <row r="148" spans="1:56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5"/>
      <c r="W148" s="5"/>
      <c r="X148" s="5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</row>
    <row r="149" spans="1:56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5"/>
      <c r="W149" s="5"/>
      <c r="X149" s="5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</row>
    <row r="150" spans="1:56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5"/>
      <c r="W150" s="5"/>
      <c r="X150" s="5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</row>
    <row r="151" spans="1:56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5"/>
      <c r="W151" s="5"/>
      <c r="X151" s="5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</row>
    <row r="152" spans="1:56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5"/>
      <c r="W152" s="5"/>
      <c r="X152" s="5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</row>
    <row r="153" spans="1:56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5"/>
      <c r="W153" s="5"/>
      <c r="X153" s="5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</row>
    <row r="154" spans="1:56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5"/>
      <c r="W154" s="5"/>
      <c r="X154" s="5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</row>
    <row r="155" spans="1:56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5"/>
      <c r="W155" s="5"/>
      <c r="X155" s="5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</row>
    <row r="156" spans="1: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5"/>
      <c r="W156" s="5"/>
      <c r="X156" s="5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</row>
    <row r="157" spans="1:56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5"/>
      <c r="W157" s="5"/>
      <c r="X157" s="5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</row>
    <row r="158" spans="1:56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5"/>
      <c r="W158" s="5"/>
      <c r="X158" s="5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</row>
    <row r="159" spans="1:56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5"/>
      <c r="W159" s="5"/>
      <c r="X159" s="5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</row>
    <row r="160" spans="1:56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5"/>
      <c r="W160" s="5"/>
      <c r="X160" s="5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</row>
    <row r="161" spans="1:56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5"/>
      <c r="W161" s="5"/>
      <c r="X161" s="5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</row>
    <row r="162" spans="1:56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5"/>
      <c r="W162" s="5"/>
      <c r="X162" s="5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</row>
    <row r="163" spans="1:56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5"/>
      <c r="W163" s="5"/>
      <c r="X163" s="5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</row>
    <row r="164" spans="1:56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5"/>
      <c r="W164" s="5"/>
      <c r="X164" s="5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</row>
    <row r="165" spans="1:56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5"/>
      <c r="W165" s="5"/>
      <c r="X165" s="5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</row>
    <row r="166" spans="1:5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5"/>
      <c r="W166" s="5"/>
      <c r="X166" s="5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</row>
    <row r="167" spans="1:56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5"/>
      <c r="W167" s="5"/>
      <c r="X167" s="5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</row>
    <row r="168" spans="1:56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5"/>
      <c r="W168" s="5"/>
      <c r="X168" s="5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</row>
    <row r="169" spans="1:56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5"/>
      <c r="W169" s="5"/>
      <c r="X169" s="5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</row>
    <row r="170" spans="1:56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5"/>
      <c r="W170" s="5"/>
      <c r="X170" s="5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</row>
    <row r="171" spans="1:56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5"/>
      <c r="W171" s="5"/>
      <c r="X171" s="5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</row>
    <row r="172" spans="1:56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5"/>
      <c r="W172" s="5"/>
      <c r="X172" s="5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</row>
    <row r="173" spans="1:56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5"/>
      <c r="W173" s="5"/>
      <c r="X173" s="5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</row>
    <row r="174" spans="1:56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5"/>
      <c r="W174" s="5"/>
      <c r="X174" s="5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</row>
    <row r="175" spans="1:56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5"/>
      <c r="W175" s="5"/>
      <c r="X175" s="5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</row>
    <row r="176" spans="1:5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5"/>
      <c r="W176" s="5"/>
      <c r="X176" s="5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</row>
    <row r="177" spans="1:56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5"/>
      <c r="W177" s="5"/>
      <c r="X177" s="5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</row>
    <row r="178" spans="1:56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5"/>
      <c r="W178" s="5"/>
      <c r="X178" s="5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</row>
    <row r="179" spans="1:56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5"/>
      <c r="W179" s="5"/>
      <c r="X179" s="5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</row>
    <row r="180" spans="1:56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5"/>
      <c r="W180" s="5"/>
      <c r="X180" s="5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</row>
    <row r="181" spans="1:56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5"/>
      <c r="W181" s="5"/>
      <c r="X181" s="5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</row>
    <row r="182" spans="1:56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5"/>
      <c r="W182" s="5"/>
      <c r="X182" s="5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</row>
    <row r="183" spans="1:56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5"/>
      <c r="W183" s="5"/>
      <c r="X183" s="5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</row>
    <row r="184" spans="1:56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5"/>
      <c r="W184" s="5"/>
      <c r="X184" s="5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</row>
    <row r="185" spans="1:56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5"/>
      <c r="W185" s="5"/>
      <c r="X185" s="5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</row>
    <row r="186" spans="1:5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5"/>
      <c r="W186" s="5"/>
      <c r="X186" s="5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</row>
    <row r="187" spans="1:56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5"/>
      <c r="W187" s="5"/>
      <c r="X187" s="5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</row>
    <row r="188" spans="1:56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5"/>
      <c r="W188" s="5"/>
      <c r="X188" s="5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</row>
    <row r="189" spans="1:56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5"/>
      <c r="W189" s="5"/>
      <c r="X189" s="5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</row>
    <row r="190" spans="1:56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5"/>
      <c r="W190" s="5"/>
      <c r="X190" s="5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</row>
    <row r="191" spans="1:56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5"/>
      <c r="W191" s="5"/>
      <c r="X191" s="5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</row>
    <row r="192" spans="1:56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5"/>
      <c r="W192" s="5"/>
      <c r="X192" s="5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</row>
    <row r="193" spans="1:56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5"/>
      <c r="W193" s="5"/>
      <c r="X193" s="5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</row>
    <row r="194" spans="1:56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5"/>
      <c r="W194" s="5"/>
      <c r="X194" s="5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</row>
    <row r="195" spans="1:56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5"/>
      <c r="W195" s="5"/>
      <c r="X195" s="5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</row>
    <row r="196" spans="1:5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5"/>
      <c r="W196" s="5"/>
      <c r="X196" s="5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</row>
    <row r="197" spans="1:56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5"/>
      <c r="W197" s="5"/>
      <c r="X197" s="5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</row>
    <row r="198" spans="1:56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5"/>
      <c r="W198" s="5"/>
      <c r="X198" s="5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</row>
    <row r="199" spans="1:56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5"/>
      <c r="W199" s="5"/>
      <c r="X199" s="5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</row>
    <row r="200" spans="1:56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5"/>
      <c r="W200" s="5"/>
      <c r="X200" s="5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</row>
    <row r="201" spans="1:56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5"/>
      <c r="W201" s="5"/>
      <c r="X201" s="5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</row>
    <row r="202" spans="1:56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5"/>
      <c r="W202" s="5"/>
      <c r="X202" s="5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</row>
    <row r="203" spans="1:56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5"/>
      <c r="W203" s="5"/>
      <c r="X203" s="5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</row>
    <row r="204" spans="1:56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5"/>
      <c r="W204" s="5"/>
      <c r="X204" s="5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</row>
    <row r="205" spans="1:56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5"/>
      <c r="W205" s="5"/>
      <c r="X205" s="5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</row>
    <row r="206" spans="1:5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5"/>
      <c r="W206" s="5"/>
      <c r="X206" s="5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</row>
    <row r="207" spans="1:56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5"/>
      <c r="W207" s="5"/>
      <c r="X207" s="5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</row>
    <row r="208" spans="1:56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5"/>
      <c r="W208" s="5"/>
      <c r="X208" s="5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</row>
    <row r="209" spans="1:56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5"/>
      <c r="W209" s="5"/>
      <c r="X209" s="5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</row>
    <row r="210" spans="1:56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5"/>
      <c r="W210" s="5"/>
      <c r="X210" s="5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</row>
    <row r="211" spans="1:56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5"/>
      <c r="W211" s="5"/>
      <c r="X211" s="5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</row>
    <row r="212" spans="1:56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5"/>
      <c r="W212" s="5"/>
      <c r="X212" s="5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</row>
    <row r="213" spans="1:56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5"/>
      <c r="W213" s="5"/>
      <c r="X213" s="5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</row>
    <row r="214" spans="1:56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5"/>
      <c r="W214" s="5"/>
      <c r="X214" s="5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</row>
    <row r="215" spans="1:56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5"/>
      <c r="W215" s="5"/>
      <c r="X215" s="5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</row>
    <row r="216" spans="1:5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5"/>
      <c r="W216" s="5"/>
      <c r="X216" s="5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</row>
    <row r="217" spans="1:56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5"/>
      <c r="W217" s="5"/>
      <c r="X217" s="5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</row>
    <row r="218" spans="1:56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5"/>
      <c r="W218" s="5"/>
      <c r="X218" s="5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</row>
    <row r="219" spans="1:56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5"/>
      <c r="W219" s="5"/>
      <c r="X219" s="5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</row>
    <row r="220" spans="1:56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5"/>
      <c r="W220" s="5"/>
      <c r="X220" s="5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K108"/>
  <sheetViews>
    <sheetView topLeftCell="M1" workbookViewId="0">
      <pane ySplit="2" topLeftCell="A3" activePane="bottomLeft" state="frozen"/>
      <selection pane="bottomLeft" activeCell="AJ76" sqref="A76:XFD76"/>
    </sheetView>
  </sheetViews>
  <sheetFormatPr baseColWidth="10" defaultRowHeight="15" x14ac:dyDescent="0"/>
  <cols>
    <col min="1" max="1" width="61.83203125" customWidth="1"/>
    <col min="22" max="22" width="10.83203125" hidden="1" customWidth="1"/>
    <col min="43" max="43" width="10.83203125" hidden="1" customWidth="1"/>
  </cols>
  <sheetData>
    <row r="1" spans="1:63">
      <c r="B1" s="12" t="s">
        <v>202</v>
      </c>
      <c r="C1" s="12"/>
      <c r="D1" s="12"/>
      <c r="E1" s="12"/>
      <c r="F1" s="12" t="s">
        <v>203</v>
      </c>
      <c r="G1" s="12"/>
      <c r="H1" s="12"/>
      <c r="I1" s="12"/>
      <c r="J1" s="12" t="s">
        <v>211</v>
      </c>
      <c r="K1" s="12"/>
      <c r="L1" s="12"/>
      <c r="M1" s="12"/>
      <c r="N1" s="12" t="s">
        <v>204</v>
      </c>
      <c r="O1" s="12"/>
      <c r="P1" s="12"/>
      <c r="Q1" s="12"/>
      <c r="R1" s="12" t="s">
        <v>210</v>
      </c>
      <c r="S1" s="12"/>
      <c r="T1" s="12"/>
      <c r="U1" s="12"/>
      <c r="W1" s="12" t="s">
        <v>202</v>
      </c>
      <c r="X1" s="12"/>
      <c r="Y1" s="12"/>
      <c r="Z1" s="12"/>
      <c r="AA1" s="12" t="s">
        <v>212</v>
      </c>
      <c r="AB1" s="12"/>
      <c r="AC1" s="12"/>
      <c r="AD1" s="12"/>
      <c r="AE1" s="12" t="s">
        <v>205</v>
      </c>
      <c r="AF1" s="12"/>
      <c r="AG1" s="12"/>
      <c r="AH1" s="12"/>
      <c r="AI1" s="12" t="s">
        <v>213</v>
      </c>
      <c r="AJ1" s="12"/>
      <c r="AK1" s="12"/>
      <c r="AL1" s="12"/>
      <c r="AM1" s="12" t="s">
        <v>206</v>
      </c>
      <c r="AN1" s="12"/>
      <c r="AO1" s="12"/>
      <c r="AP1" s="12"/>
      <c r="AR1" s="12" t="s">
        <v>203</v>
      </c>
      <c r="AS1" s="12"/>
      <c r="AT1" s="12"/>
      <c r="AU1" s="12"/>
      <c r="AV1" s="12" t="s">
        <v>212</v>
      </c>
      <c r="AW1" s="12"/>
      <c r="AX1" s="12"/>
      <c r="AY1" s="12"/>
      <c r="AZ1" s="12" t="s">
        <v>207</v>
      </c>
      <c r="BA1" s="12"/>
      <c r="BB1" s="12"/>
      <c r="BC1" s="12"/>
      <c r="BD1" s="12" t="s">
        <v>208</v>
      </c>
      <c r="BE1" s="12"/>
      <c r="BF1" s="12"/>
      <c r="BG1" s="12"/>
      <c r="BH1" s="12" t="s">
        <v>209</v>
      </c>
      <c r="BI1" s="12"/>
      <c r="BJ1" s="12"/>
      <c r="BK1" s="12"/>
    </row>
    <row r="2" spans="1:63">
      <c r="A2" t="s">
        <v>114</v>
      </c>
      <c r="B2" t="s">
        <v>105</v>
      </c>
      <c r="C2" t="s">
        <v>106</v>
      </c>
      <c r="D2" t="s">
        <v>107</v>
      </c>
      <c r="E2" t="s">
        <v>108</v>
      </c>
      <c r="F2" t="s">
        <v>105</v>
      </c>
      <c r="G2" t="s">
        <v>106</v>
      </c>
      <c r="H2" t="s">
        <v>107</v>
      </c>
      <c r="I2" t="s">
        <v>108</v>
      </c>
      <c r="J2" t="s">
        <v>105</v>
      </c>
      <c r="K2" t="s">
        <v>106</v>
      </c>
      <c r="L2" t="s">
        <v>107</v>
      </c>
      <c r="M2" t="s">
        <v>108</v>
      </c>
      <c r="N2" t="s">
        <v>105</v>
      </c>
      <c r="O2" t="s">
        <v>106</v>
      </c>
      <c r="P2" t="s">
        <v>107</v>
      </c>
      <c r="Q2" t="s">
        <v>108</v>
      </c>
      <c r="R2" t="s">
        <v>105</v>
      </c>
      <c r="S2" t="s">
        <v>106</v>
      </c>
      <c r="T2" t="s">
        <v>107</v>
      </c>
      <c r="U2" t="s">
        <v>108</v>
      </c>
      <c r="W2" t="s">
        <v>105</v>
      </c>
      <c r="X2" t="s">
        <v>106</v>
      </c>
      <c r="Y2" t="s">
        <v>107</v>
      </c>
      <c r="Z2" t="s">
        <v>108</v>
      </c>
      <c r="AA2" t="s">
        <v>105</v>
      </c>
      <c r="AB2" t="s">
        <v>106</v>
      </c>
      <c r="AC2" t="s">
        <v>107</v>
      </c>
      <c r="AD2" t="s">
        <v>108</v>
      </c>
      <c r="AE2" t="s">
        <v>105</v>
      </c>
      <c r="AF2" t="s">
        <v>106</v>
      </c>
      <c r="AG2" t="s">
        <v>107</v>
      </c>
      <c r="AH2" t="s">
        <v>108</v>
      </c>
      <c r="AI2" t="s">
        <v>105</v>
      </c>
      <c r="AJ2" t="s">
        <v>106</v>
      </c>
      <c r="AK2" t="s">
        <v>107</v>
      </c>
      <c r="AL2" t="s">
        <v>108</v>
      </c>
      <c r="AM2" t="s">
        <v>105</v>
      </c>
      <c r="AN2" t="s">
        <v>106</v>
      </c>
      <c r="AO2" t="s">
        <v>107</v>
      </c>
      <c r="AP2" t="s">
        <v>108</v>
      </c>
      <c r="AR2" t="s">
        <v>105</v>
      </c>
      <c r="AS2" t="s">
        <v>106</v>
      </c>
      <c r="AT2" t="s">
        <v>107</v>
      </c>
      <c r="AU2" t="s">
        <v>108</v>
      </c>
      <c r="AV2" t="s">
        <v>105</v>
      </c>
      <c r="AW2" t="s">
        <v>106</v>
      </c>
      <c r="AX2" t="s">
        <v>107</v>
      </c>
      <c r="AY2" t="s">
        <v>108</v>
      </c>
      <c r="AZ2" t="s">
        <v>105</v>
      </c>
      <c r="BA2" t="s">
        <v>106</v>
      </c>
      <c r="BB2" t="s">
        <v>107</v>
      </c>
      <c r="BC2" t="s">
        <v>108</v>
      </c>
      <c r="BD2" t="s">
        <v>105</v>
      </c>
      <c r="BE2" t="s">
        <v>106</v>
      </c>
      <c r="BF2" t="s">
        <v>107</v>
      </c>
      <c r="BG2" t="s">
        <v>108</v>
      </c>
      <c r="BH2" t="s">
        <v>105</v>
      </c>
      <c r="BI2" t="s">
        <v>106</v>
      </c>
      <c r="BJ2" t="s">
        <v>107</v>
      </c>
      <c r="BK2" t="s">
        <v>108</v>
      </c>
    </row>
    <row r="3" spans="1:63">
      <c r="A3" t="s">
        <v>32</v>
      </c>
      <c r="B3">
        <v>14</v>
      </c>
      <c r="C3">
        <v>0</v>
      </c>
      <c r="D3">
        <v>0</v>
      </c>
      <c r="E3">
        <v>0</v>
      </c>
      <c r="F3">
        <v>14</v>
      </c>
      <c r="G3">
        <v>0</v>
      </c>
      <c r="H3">
        <v>0</v>
      </c>
      <c r="I3">
        <v>0</v>
      </c>
      <c r="J3">
        <v>14</v>
      </c>
      <c r="K3">
        <v>0</v>
      </c>
      <c r="L3">
        <v>0</v>
      </c>
      <c r="M3">
        <v>0</v>
      </c>
      <c r="N3">
        <v>14</v>
      </c>
      <c r="O3">
        <v>0</v>
      </c>
      <c r="P3">
        <v>0</v>
      </c>
      <c r="Q3">
        <v>0</v>
      </c>
      <c r="R3">
        <v>14</v>
      </c>
      <c r="S3">
        <v>0</v>
      </c>
      <c r="T3">
        <v>0</v>
      </c>
      <c r="U3">
        <v>0</v>
      </c>
      <c r="V3" t="s">
        <v>32</v>
      </c>
      <c r="W3">
        <v>14</v>
      </c>
      <c r="X3">
        <v>0</v>
      </c>
      <c r="Y3">
        <v>0</v>
      </c>
      <c r="Z3">
        <v>0</v>
      </c>
      <c r="AA3">
        <v>14</v>
      </c>
      <c r="AB3">
        <v>0</v>
      </c>
      <c r="AC3">
        <v>0</v>
      </c>
      <c r="AD3">
        <v>0</v>
      </c>
      <c r="AE3">
        <v>14</v>
      </c>
      <c r="AF3">
        <v>0</v>
      </c>
      <c r="AG3">
        <v>0</v>
      </c>
      <c r="AH3">
        <v>0</v>
      </c>
      <c r="AI3">
        <v>14</v>
      </c>
      <c r="AJ3">
        <v>0</v>
      </c>
      <c r="AK3">
        <v>0</v>
      </c>
      <c r="AL3">
        <v>0</v>
      </c>
      <c r="AM3">
        <v>14</v>
      </c>
      <c r="AN3">
        <v>0</v>
      </c>
      <c r="AO3">
        <v>0</v>
      </c>
      <c r="AP3">
        <v>0</v>
      </c>
      <c r="AQ3" t="s">
        <v>32</v>
      </c>
      <c r="AR3">
        <v>14</v>
      </c>
      <c r="AS3">
        <v>0</v>
      </c>
      <c r="AT3">
        <v>0</v>
      </c>
      <c r="AU3">
        <v>0</v>
      </c>
      <c r="AV3">
        <v>14</v>
      </c>
      <c r="AW3">
        <v>0</v>
      </c>
      <c r="AX3">
        <v>0</v>
      </c>
      <c r="AY3">
        <v>0</v>
      </c>
      <c r="AZ3">
        <v>14</v>
      </c>
      <c r="BA3">
        <v>0</v>
      </c>
      <c r="BB3">
        <v>0</v>
      </c>
      <c r="BC3">
        <v>0</v>
      </c>
      <c r="BD3">
        <v>14</v>
      </c>
      <c r="BE3">
        <v>0</v>
      </c>
      <c r="BF3">
        <v>0</v>
      </c>
      <c r="BG3">
        <v>0</v>
      </c>
      <c r="BH3">
        <v>14</v>
      </c>
      <c r="BI3">
        <v>0</v>
      </c>
      <c r="BJ3">
        <v>0</v>
      </c>
      <c r="BK3">
        <v>0</v>
      </c>
    </row>
    <row r="4" spans="1:63">
      <c r="A4" t="s">
        <v>58</v>
      </c>
      <c r="B4">
        <v>14</v>
      </c>
      <c r="C4">
        <v>0</v>
      </c>
      <c r="D4">
        <v>0</v>
      </c>
      <c r="E4">
        <v>0</v>
      </c>
      <c r="F4">
        <v>14</v>
      </c>
      <c r="G4">
        <v>0</v>
      </c>
      <c r="H4">
        <v>0</v>
      </c>
      <c r="I4">
        <v>0</v>
      </c>
      <c r="J4">
        <v>14</v>
      </c>
      <c r="K4">
        <v>0</v>
      </c>
      <c r="L4">
        <v>0</v>
      </c>
      <c r="M4">
        <v>0</v>
      </c>
      <c r="N4">
        <v>14</v>
      </c>
      <c r="O4">
        <v>0</v>
      </c>
      <c r="P4">
        <v>0</v>
      </c>
      <c r="Q4">
        <v>0</v>
      </c>
      <c r="R4">
        <v>14</v>
      </c>
      <c r="S4">
        <v>0</v>
      </c>
      <c r="T4">
        <v>0</v>
      </c>
      <c r="U4">
        <v>0</v>
      </c>
      <c r="V4" t="s">
        <v>58</v>
      </c>
      <c r="W4">
        <v>14</v>
      </c>
      <c r="X4">
        <v>0</v>
      </c>
      <c r="Y4">
        <v>0</v>
      </c>
      <c r="Z4">
        <v>0</v>
      </c>
      <c r="AA4">
        <v>14</v>
      </c>
      <c r="AB4">
        <v>0</v>
      </c>
      <c r="AC4">
        <v>0</v>
      </c>
      <c r="AD4">
        <v>0</v>
      </c>
      <c r="AE4">
        <v>14</v>
      </c>
      <c r="AF4">
        <v>0</v>
      </c>
      <c r="AG4">
        <v>0</v>
      </c>
      <c r="AH4">
        <v>0</v>
      </c>
      <c r="AI4">
        <v>14</v>
      </c>
      <c r="AJ4">
        <v>0</v>
      </c>
      <c r="AK4">
        <v>0</v>
      </c>
      <c r="AL4">
        <v>0</v>
      </c>
      <c r="AM4">
        <v>14</v>
      </c>
      <c r="AN4">
        <v>0</v>
      </c>
      <c r="AO4">
        <v>0</v>
      </c>
      <c r="AP4">
        <v>0</v>
      </c>
      <c r="AQ4" t="s">
        <v>58</v>
      </c>
      <c r="AR4">
        <v>14</v>
      </c>
      <c r="AS4">
        <v>0</v>
      </c>
      <c r="AT4">
        <v>0</v>
      </c>
      <c r="AU4">
        <v>0</v>
      </c>
      <c r="AV4">
        <v>14</v>
      </c>
      <c r="AW4">
        <v>0</v>
      </c>
      <c r="AX4">
        <v>0</v>
      </c>
      <c r="AY4">
        <v>0</v>
      </c>
      <c r="AZ4">
        <v>14</v>
      </c>
      <c r="BA4">
        <v>0</v>
      </c>
      <c r="BB4">
        <v>0</v>
      </c>
      <c r="BC4">
        <v>0</v>
      </c>
      <c r="BD4">
        <v>14</v>
      </c>
      <c r="BE4">
        <v>0</v>
      </c>
      <c r="BF4">
        <v>0</v>
      </c>
      <c r="BG4">
        <v>0</v>
      </c>
      <c r="BH4">
        <v>14</v>
      </c>
      <c r="BI4">
        <v>0</v>
      </c>
      <c r="BJ4">
        <v>0</v>
      </c>
      <c r="BK4">
        <v>0</v>
      </c>
    </row>
    <row r="5" spans="1:63">
      <c r="A5" t="s">
        <v>14</v>
      </c>
      <c r="B5">
        <v>18</v>
      </c>
      <c r="C5">
        <v>0</v>
      </c>
      <c r="D5">
        <v>0</v>
      </c>
      <c r="E5">
        <v>0</v>
      </c>
      <c r="F5">
        <v>18</v>
      </c>
      <c r="G5">
        <v>0</v>
      </c>
      <c r="H5">
        <v>0</v>
      </c>
      <c r="I5">
        <v>0</v>
      </c>
      <c r="J5">
        <v>18</v>
      </c>
      <c r="K5">
        <v>0</v>
      </c>
      <c r="L5">
        <v>0</v>
      </c>
      <c r="M5">
        <v>0</v>
      </c>
      <c r="N5">
        <v>18</v>
      </c>
      <c r="O5">
        <v>0</v>
      </c>
      <c r="P5">
        <v>0</v>
      </c>
      <c r="Q5">
        <v>0</v>
      </c>
      <c r="R5">
        <v>18</v>
      </c>
      <c r="S5">
        <v>0</v>
      </c>
      <c r="T5">
        <v>0</v>
      </c>
      <c r="U5">
        <v>0</v>
      </c>
      <c r="V5" t="s">
        <v>14</v>
      </c>
      <c r="W5">
        <v>18</v>
      </c>
      <c r="X5">
        <v>0</v>
      </c>
      <c r="Y5">
        <v>0</v>
      </c>
      <c r="Z5">
        <v>0</v>
      </c>
      <c r="AA5">
        <v>18</v>
      </c>
      <c r="AB5">
        <v>0</v>
      </c>
      <c r="AC5">
        <v>0</v>
      </c>
      <c r="AD5">
        <v>0</v>
      </c>
      <c r="AE5">
        <v>18</v>
      </c>
      <c r="AF5">
        <v>0</v>
      </c>
      <c r="AG5">
        <v>0</v>
      </c>
      <c r="AH5">
        <v>0</v>
      </c>
      <c r="AI5">
        <v>18</v>
      </c>
      <c r="AJ5">
        <v>0</v>
      </c>
      <c r="AK5">
        <v>0</v>
      </c>
      <c r="AL5">
        <v>0</v>
      </c>
      <c r="AM5">
        <v>18</v>
      </c>
      <c r="AN5">
        <v>0</v>
      </c>
      <c r="AO5">
        <v>0</v>
      </c>
      <c r="AP5">
        <v>0</v>
      </c>
      <c r="AQ5" t="s">
        <v>14</v>
      </c>
      <c r="AR5">
        <v>18</v>
      </c>
      <c r="AS5">
        <v>0</v>
      </c>
      <c r="AT5">
        <v>0</v>
      </c>
      <c r="AU5">
        <v>0</v>
      </c>
      <c r="AV5">
        <v>18</v>
      </c>
      <c r="AW5">
        <v>0</v>
      </c>
      <c r="AX5">
        <v>0</v>
      </c>
      <c r="AY5">
        <v>0</v>
      </c>
      <c r="AZ5">
        <v>18</v>
      </c>
      <c r="BA5">
        <v>0</v>
      </c>
      <c r="BB5">
        <v>0</v>
      </c>
      <c r="BC5">
        <v>0</v>
      </c>
      <c r="BD5">
        <v>18</v>
      </c>
      <c r="BE5">
        <v>0</v>
      </c>
      <c r="BF5">
        <v>0</v>
      </c>
      <c r="BG5">
        <v>0</v>
      </c>
      <c r="BH5">
        <v>18</v>
      </c>
      <c r="BI5">
        <v>0</v>
      </c>
      <c r="BJ5">
        <v>0</v>
      </c>
      <c r="BK5">
        <v>0</v>
      </c>
    </row>
    <row r="6" spans="1:63">
      <c r="A6" t="s">
        <v>39</v>
      </c>
      <c r="B6">
        <v>60</v>
      </c>
      <c r="C6">
        <v>0</v>
      </c>
      <c r="D6">
        <v>0</v>
      </c>
      <c r="E6">
        <v>0</v>
      </c>
      <c r="F6">
        <v>60</v>
      </c>
      <c r="G6">
        <v>0</v>
      </c>
      <c r="H6">
        <v>0</v>
      </c>
      <c r="I6">
        <v>0</v>
      </c>
      <c r="J6">
        <v>60</v>
      </c>
      <c r="K6">
        <v>0</v>
      </c>
      <c r="L6">
        <v>0</v>
      </c>
      <c r="M6">
        <v>0</v>
      </c>
      <c r="N6">
        <v>60</v>
      </c>
      <c r="O6">
        <v>0</v>
      </c>
      <c r="P6">
        <v>0</v>
      </c>
      <c r="Q6">
        <v>0</v>
      </c>
      <c r="R6">
        <v>60</v>
      </c>
      <c r="S6">
        <v>0</v>
      </c>
      <c r="T6">
        <v>0</v>
      </c>
      <c r="U6">
        <v>0</v>
      </c>
      <c r="V6" t="s">
        <v>39</v>
      </c>
      <c r="W6">
        <v>60</v>
      </c>
      <c r="X6">
        <v>0</v>
      </c>
      <c r="Y6">
        <v>0</v>
      </c>
      <c r="Z6">
        <v>0</v>
      </c>
      <c r="AA6">
        <v>60</v>
      </c>
      <c r="AB6">
        <v>0</v>
      </c>
      <c r="AC6">
        <v>0</v>
      </c>
      <c r="AD6">
        <v>0</v>
      </c>
      <c r="AE6">
        <v>60</v>
      </c>
      <c r="AF6">
        <v>0</v>
      </c>
      <c r="AG6">
        <v>0</v>
      </c>
      <c r="AH6">
        <v>0</v>
      </c>
      <c r="AI6">
        <v>60</v>
      </c>
      <c r="AJ6">
        <v>0</v>
      </c>
      <c r="AK6">
        <v>0</v>
      </c>
      <c r="AL6">
        <v>0</v>
      </c>
      <c r="AM6">
        <v>60</v>
      </c>
      <c r="AN6">
        <v>0</v>
      </c>
      <c r="AO6">
        <v>0</v>
      </c>
      <c r="AP6">
        <v>0</v>
      </c>
      <c r="AQ6" t="s">
        <v>39</v>
      </c>
      <c r="AR6">
        <v>60</v>
      </c>
      <c r="AS6">
        <v>0</v>
      </c>
      <c r="AT6">
        <v>0</v>
      </c>
      <c r="AU6">
        <v>0</v>
      </c>
      <c r="AV6">
        <v>60</v>
      </c>
      <c r="AW6">
        <v>0</v>
      </c>
      <c r="AX6">
        <v>0</v>
      </c>
      <c r="AY6">
        <v>0</v>
      </c>
      <c r="AZ6">
        <v>60</v>
      </c>
      <c r="BA6">
        <v>0</v>
      </c>
      <c r="BB6">
        <v>0</v>
      </c>
      <c r="BC6">
        <v>0</v>
      </c>
      <c r="BD6">
        <v>60</v>
      </c>
      <c r="BE6">
        <v>0</v>
      </c>
      <c r="BF6">
        <v>0</v>
      </c>
      <c r="BG6">
        <v>0</v>
      </c>
      <c r="BH6">
        <v>60</v>
      </c>
      <c r="BI6">
        <v>0</v>
      </c>
      <c r="BJ6">
        <v>0</v>
      </c>
      <c r="BK6">
        <v>0</v>
      </c>
    </row>
    <row r="7" spans="1:63">
      <c r="A7" t="s">
        <v>51</v>
      </c>
      <c r="B7">
        <v>9</v>
      </c>
      <c r="C7">
        <v>2</v>
      </c>
      <c r="D7">
        <v>0</v>
      </c>
      <c r="E7">
        <v>0</v>
      </c>
      <c r="F7">
        <v>9</v>
      </c>
      <c r="G7">
        <v>2</v>
      </c>
      <c r="H7">
        <v>0</v>
      </c>
      <c r="I7">
        <v>0</v>
      </c>
      <c r="J7">
        <v>11</v>
      </c>
      <c r="K7">
        <v>0</v>
      </c>
      <c r="L7">
        <v>0</v>
      </c>
      <c r="M7">
        <v>0</v>
      </c>
      <c r="N7">
        <v>9</v>
      </c>
      <c r="O7">
        <v>0</v>
      </c>
      <c r="P7">
        <v>2</v>
      </c>
      <c r="Q7">
        <v>0</v>
      </c>
      <c r="R7">
        <v>11</v>
      </c>
      <c r="S7">
        <v>0</v>
      </c>
      <c r="T7">
        <v>0</v>
      </c>
      <c r="U7">
        <v>0</v>
      </c>
      <c r="V7" t="s">
        <v>51</v>
      </c>
      <c r="W7">
        <v>9</v>
      </c>
      <c r="X7">
        <v>2</v>
      </c>
      <c r="Y7">
        <v>0</v>
      </c>
      <c r="Z7">
        <v>0</v>
      </c>
      <c r="AA7">
        <v>9</v>
      </c>
      <c r="AB7">
        <v>2</v>
      </c>
      <c r="AC7">
        <v>0</v>
      </c>
      <c r="AD7">
        <v>0</v>
      </c>
      <c r="AE7">
        <v>11</v>
      </c>
      <c r="AF7">
        <v>0</v>
      </c>
      <c r="AG7">
        <v>0</v>
      </c>
      <c r="AH7">
        <v>0</v>
      </c>
      <c r="AI7">
        <v>9</v>
      </c>
      <c r="AJ7">
        <v>0</v>
      </c>
      <c r="AK7">
        <v>2</v>
      </c>
      <c r="AL7">
        <v>0</v>
      </c>
      <c r="AM7">
        <v>11</v>
      </c>
      <c r="AN7">
        <v>0</v>
      </c>
      <c r="AO7">
        <v>0</v>
      </c>
      <c r="AP7">
        <v>0</v>
      </c>
      <c r="AQ7" t="s">
        <v>51</v>
      </c>
      <c r="AR7">
        <v>9</v>
      </c>
      <c r="AS7">
        <v>2</v>
      </c>
      <c r="AT7">
        <v>0</v>
      </c>
      <c r="AU7">
        <v>0</v>
      </c>
      <c r="AV7">
        <v>9</v>
      </c>
      <c r="AW7">
        <v>2</v>
      </c>
      <c r="AX7">
        <v>0</v>
      </c>
      <c r="AY7">
        <v>0</v>
      </c>
      <c r="AZ7">
        <v>11</v>
      </c>
      <c r="BA7">
        <v>0</v>
      </c>
      <c r="BB7">
        <v>0</v>
      </c>
      <c r="BC7">
        <v>0</v>
      </c>
      <c r="BD7">
        <v>9</v>
      </c>
      <c r="BE7">
        <v>0</v>
      </c>
      <c r="BF7">
        <v>2</v>
      </c>
      <c r="BG7">
        <v>0</v>
      </c>
      <c r="BH7">
        <v>11</v>
      </c>
      <c r="BI7">
        <v>0</v>
      </c>
      <c r="BJ7">
        <v>0</v>
      </c>
      <c r="BK7">
        <v>0</v>
      </c>
    </row>
    <row r="8" spans="1:63">
      <c r="A8" t="s">
        <v>55</v>
      </c>
      <c r="B8">
        <v>33</v>
      </c>
      <c r="C8">
        <v>0</v>
      </c>
      <c r="D8">
        <v>0</v>
      </c>
      <c r="E8">
        <v>0</v>
      </c>
      <c r="F8">
        <v>33</v>
      </c>
      <c r="G8">
        <v>0</v>
      </c>
      <c r="H8">
        <v>0</v>
      </c>
      <c r="I8">
        <v>0</v>
      </c>
      <c r="J8">
        <v>33</v>
      </c>
      <c r="K8">
        <v>0</v>
      </c>
      <c r="L8">
        <v>0</v>
      </c>
      <c r="M8">
        <v>0</v>
      </c>
      <c r="N8">
        <v>33</v>
      </c>
      <c r="O8">
        <v>0</v>
      </c>
      <c r="P8">
        <v>0</v>
      </c>
      <c r="Q8">
        <v>0</v>
      </c>
      <c r="R8">
        <v>33</v>
      </c>
      <c r="S8">
        <v>0</v>
      </c>
      <c r="T8">
        <v>0</v>
      </c>
      <c r="U8">
        <v>0</v>
      </c>
      <c r="V8" t="s">
        <v>55</v>
      </c>
      <c r="W8">
        <v>33</v>
      </c>
      <c r="X8">
        <v>0</v>
      </c>
      <c r="Y8">
        <v>0</v>
      </c>
      <c r="Z8">
        <v>0</v>
      </c>
      <c r="AA8">
        <v>33</v>
      </c>
      <c r="AB8">
        <v>0</v>
      </c>
      <c r="AC8">
        <v>0</v>
      </c>
      <c r="AD8">
        <v>0</v>
      </c>
      <c r="AE8">
        <v>33</v>
      </c>
      <c r="AF8">
        <v>0</v>
      </c>
      <c r="AG8">
        <v>0</v>
      </c>
      <c r="AH8">
        <v>0</v>
      </c>
      <c r="AI8">
        <v>33</v>
      </c>
      <c r="AJ8">
        <v>0</v>
      </c>
      <c r="AK8">
        <v>0</v>
      </c>
      <c r="AL8">
        <v>0</v>
      </c>
      <c r="AM8">
        <v>33</v>
      </c>
      <c r="AN8">
        <v>0</v>
      </c>
      <c r="AO8">
        <v>0</v>
      </c>
      <c r="AP8">
        <v>0</v>
      </c>
      <c r="AQ8" t="s">
        <v>55</v>
      </c>
      <c r="AR8">
        <v>33</v>
      </c>
      <c r="AS8">
        <v>0</v>
      </c>
      <c r="AT8">
        <v>0</v>
      </c>
      <c r="AU8">
        <v>0</v>
      </c>
      <c r="AV8">
        <v>33</v>
      </c>
      <c r="AW8">
        <v>0</v>
      </c>
      <c r="AX8">
        <v>0</v>
      </c>
      <c r="AY8">
        <v>0</v>
      </c>
      <c r="AZ8">
        <v>33</v>
      </c>
      <c r="BA8">
        <v>0</v>
      </c>
      <c r="BB8">
        <v>0</v>
      </c>
      <c r="BC8">
        <v>0</v>
      </c>
      <c r="BD8">
        <v>33</v>
      </c>
      <c r="BE8">
        <v>0</v>
      </c>
      <c r="BF8">
        <v>0</v>
      </c>
      <c r="BG8">
        <v>0</v>
      </c>
      <c r="BH8">
        <v>33</v>
      </c>
      <c r="BI8">
        <v>0</v>
      </c>
      <c r="BJ8">
        <v>0</v>
      </c>
      <c r="BK8">
        <v>0</v>
      </c>
    </row>
    <row r="9" spans="1:63">
      <c r="A9" t="s">
        <v>85</v>
      </c>
      <c r="B9">
        <v>132</v>
      </c>
      <c r="C9">
        <v>0</v>
      </c>
      <c r="D9">
        <v>0</v>
      </c>
      <c r="E9">
        <v>0</v>
      </c>
      <c r="F9">
        <v>132</v>
      </c>
      <c r="G9">
        <v>0</v>
      </c>
      <c r="H9">
        <v>0</v>
      </c>
      <c r="I9">
        <v>0</v>
      </c>
      <c r="J9">
        <v>132</v>
      </c>
      <c r="K9">
        <v>0</v>
      </c>
      <c r="L9">
        <v>0</v>
      </c>
      <c r="M9">
        <v>0</v>
      </c>
      <c r="N9">
        <v>132</v>
      </c>
      <c r="O9">
        <v>0</v>
      </c>
      <c r="P9">
        <v>0</v>
      </c>
      <c r="Q9">
        <v>0</v>
      </c>
      <c r="R9">
        <v>132</v>
      </c>
      <c r="S9">
        <v>0</v>
      </c>
      <c r="T9">
        <v>0</v>
      </c>
      <c r="U9">
        <v>0</v>
      </c>
      <c r="V9" t="s">
        <v>85</v>
      </c>
      <c r="W9">
        <v>132</v>
      </c>
      <c r="X9">
        <v>0</v>
      </c>
      <c r="Y9">
        <v>0</v>
      </c>
      <c r="Z9">
        <v>0</v>
      </c>
      <c r="AA9">
        <v>132</v>
      </c>
      <c r="AB9">
        <v>0</v>
      </c>
      <c r="AC9">
        <v>0</v>
      </c>
      <c r="AD9">
        <v>0</v>
      </c>
      <c r="AE9">
        <v>132</v>
      </c>
      <c r="AF9">
        <v>0</v>
      </c>
      <c r="AG9">
        <v>0</v>
      </c>
      <c r="AH9">
        <v>0</v>
      </c>
      <c r="AI9">
        <v>132</v>
      </c>
      <c r="AJ9">
        <v>0</v>
      </c>
      <c r="AK9">
        <v>0</v>
      </c>
      <c r="AL9">
        <v>0</v>
      </c>
      <c r="AM9">
        <v>132</v>
      </c>
      <c r="AN9">
        <v>0</v>
      </c>
      <c r="AO9">
        <v>0</v>
      </c>
      <c r="AP9">
        <v>0</v>
      </c>
      <c r="AQ9" t="s">
        <v>85</v>
      </c>
      <c r="AR9">
        <v>132</v>
      </c>
      <c r="AS9">
        <v>0</v>
      </c>
      <c r="AT9">
        <v>0</v>
      </c>
      <c r="AU9">
        <v>0</v>
      </c>
      <c r="AV9">
        <v>132</v>
      </c>
      <c r="AW9">
        <v>0</v>
      </c>
      <c r="AX9">
        <v>0</v>
      </c>
      <c r="AY9">
        <v>0</v>
      </c>
      <c r="AZ9">
        <v>132</v>
      </c>
      <c r="BA9">
        <v>0</v>
      </c>
      <c r="BB9">
        <v>0</v>
      </c>
      <c r="BC9">
        <v>0</v>
      </c>
      <c r="BD9">
        <v>132</v>
      </c>
      <c r="BE9">
        <v>0</v>
      </c>
      <c r="BF9">
        <v>0</v>
      </c>
      <c r="BG9">
        <v>0</v>
      </c>
      <c r="BH9">
        <v>132</v>
      </c>
      <c r="BI9">
        <v>0</v>
      </c>
      <c r="BJ9">
        <v>0</v>
      </c>
      <c r="BK9">
        <v>0</v>
      </c>
    </row>
    <row r="10" spans="1:63">
      <c r="A10" t="s">
        <v>30</v>
      </c>
      <c r="B10">
        <v>50</v>
      </c>
      <c r="C10">
        <v>4</v>
      </c>
      <c r="D10">
        <v>0</v>
      </c>
      <c r="E10">
        <v>0</v>
      </c>
      <c r="F10">
        <v>50</v>
      </c>
      <c r="G10">
        <v>4</v>
      </c>
      <c r="H10">
        <v>0</v>
      </c>
      <c r="I10">
        <v>0</v>
      </c>
      <c r="J10">
        <v>54</v>
      </c>
      <c r="K10">
        <v>0</v>
      </c>
      <c r="L10">
        <v>0</v>
      </c>
      <c r="M10">
        <v>0</v>
      </c>
      <c r="N10">
        <v>50</v>
      </c>
      <c r="O10">
        <v>0</v>
      </c>
      <c r="P10">
        <v>4</v>
      </c>
      <c r="Q10">
        <v>0</v>
      </c>
      <c r="R10">
        <v>54</v>
      </c>
      <c r="S10">
        <v>0</v>
      </c>
      <c r="T10">
        <v>0</v>
      </c>
      <c r="U10">
        <v>0</v>
      </c>
      <c r="V10" t="s">
        <v>30</v>
      </c>
      <c r="W10">
        <v>50</v>
      </c>
      <c r="X10">
        <v>4</v>
      </c>
      <c r="Y10">
        <v>0</v>
      </c>
      <c r="Z10">
        <v>0</v>
      </c>
      <c r="AA10">
        <v>50</v>
      </c>
      <c r="AB10">
        <v>4</v>
      </c>
      <c r="AC10">
        <v>0</v>
      </c>
      <c r="AD10">
        <v>0</v>
      </c>
      <c r="AE10">
        <v>54</v>
      </c>
      <c r="AF10">
        <v>0</v>
      </c>
      <c r="AG10">
        <v>0</v>
      </c>
      <c r="AH10">
        <v>0</v>
      </c>
      <c r="AI10">
        <v>50</v>
      </c>
      <c r="AJ10">
        <v>0</v>
      </c>
      <c r="AK10">
        <v>4</v>
      </c>
      <c r="AL10">
        <v>0</v>
      </c>
      <c r="AM10">
        <v>54</v>
      </c>
      <c r="AN10">
        <v>0</v>
      </c>
      <c r="AO10">
        <v>0</v>
      </c>
      <c r="AP10">
        <v>0</v>
      </c>
      <c r="AQ10" t="s">
        <v>30</v>
      </c>
      <c r="AR10">
        <v>50</v>
      </c>
      <c r="AS10">
        <v>4</v>
      </c>
      <c r="AT10">
        <v>0</v>
      </c>
      <c r="AU10">
        <v>0</v>
      </c>
      <c r="AV10">
        <v>50</v>
      </c>
      <c r="AW10">
        <v>4</v>
      </c>
      <c r="AX10">
        <v>0</v>
      </c>
      <c r="AY10">
        <v>0</v>
      </c>
      <c r="AZ10">
        <v>54</v>
      </c>
      <c r="BA10">
        <v>0</v>
      </c>
      <c r="BB10">
        <v>0</v>
      </c>
      <c r="BC10">
        <v>0</v>
      </c>
      <c r="BD10">
        <v>50</v>
      </c>
      <c r="BE10">
        <v>0</v>
      </c>
      <c r="BF10">
        <v>4</v>
      </c>
      <c r="BG10">
        <v>0</v>
      </c>
      <c r="BH10">
        <v>54</v>
      </c>
      <c r="BI10">
        <v>0</v>
      </c>
      <c r="BJ10">
        <v>0</v>
      </c>
      <c r="BK10">
        <v>0</v>
      </c>
    </row>
    <row r="11" spans="1:63">
      <c r="A11" t="s">
        <v>89</v>
      </c>
      <c r="B11">
        <v>51</v>
      </c>
      <c r="C11">
        <v>0</v>
      </c>
      <c r="D11">
        <v>0</v>
      </c>
      <c r="E11">
        <v>0</v>
      </c>
      <c r="F11">
        <v>51</v>
      </c>
      <c r="G11">
        <v>0</v>
      </c>
      <c r="H11">
        <v>0</v>
      </c>
      <c r="I11">
        <v>0</v>
      </c>
      <c r="J11">
        <v>51</v>
      </c>
      <c r="K11">
        <v>0</v>
      </c>
      <c r="L11">
        <v>0</v>
      </c>
      <c r="M11">
        <v>0</v>
      </c>
      <c r="N11">
        <v>51</v>
      </c>
      <c r="O11">
        <v>0</v>
      </c>
      <c r="P11">
        <v>0</v>
      </c>
      <c r="Q11">
        <v>0</v>
      </c>
      <c r="R11">
        <v>51</v>
      </c>
      <c r="S11">
        <v>0</v>
      </c>
      <c r="T11">
        <v>0</v>
      </c>
      <c r="U11">
        <v>0</v>
      </c>
      <c r="V11" t="s">
        <v>89</v>
      </c>
      <c r="W11">
        <v>51</v>
      </c>
      <c r="X11">
        <v>0</v>
      </c>
      <c r="Y11">
        <v>0</v>
      </c>
      <c r="Z11">
        <v>0</v>
      </c>
      <c r="AA11">
        <v>51</v>
      </c>
      <c r="AB11">
        <v>0</v>
      </c>
      <c r="AC11">
        <v>0</v>
      </c>
      <c r="AD11">
        <v>0</v>
      </c>
      <c r="AE11">
        <v>51</v>
      </c>
      <c r="AF11">
        <v>0</v>
      </c>
      <c r="AG11">
        <v>0</v>
      </c>
      <c r="AH11">
        <v>0</v>
      </c>
      <c r="AI11">
        <v>51</v>
      </c>
      <c r="AJ11">
        <v>0</v>
      </c>
      <c r="AK11">
        <v>0</v>
      </c>
      <c r="AL11">
        <v>0</v>
      </c>
      <c r="AM11">
        <v>51</v>
      </c>
      <c r="AN11">
        <v>0</v>
      </c>
      <c r="AO11">
        <v>0</v>
      </c>
      <c r="AP11">
        <v>0</v>
      </c>
      <c r="AQ11" t="s">
        <v>89</v>
      </c>
      <c r="AR11">
        <v>51</v>
      </c>
      <c r="AS11">
        <v>0</v>
      </c>
      <c r="AT11">
        <v>0</v>
      </c>
      <c r="AU11">
        <v>0</v>
      </c>
      <c r="AV11">
        <v>51</v>
      </c>
      <c r="AW11">
        <v>0</v>
      </c>
      <c r="AX11">
        <v>0</v>
      </c>
      <c r="AY11">
        <v>0</v>
      </c>
      <c r="AZ11">
        <v>51</v>
      </c>
      <c r="BA11">
        <v>0</v>
      </c>
      <c r="BB11">
        <v>0</v>
      </c>
      <c r="BC11">
        <v>0</v>
      </c>
      <c r="BD11">
        <v>51</v>
      </c>
      <c r="BE11">
        <v>0</v>
      </c>
      <c r="BF11">
        <v>0</v>
      </c>
      <c r="BG11">
        <v>0</v>
      </c>
      <c r="BH11">
        <v>51</v>
      </c>
      <c r="BI11">
        <v>0</v>
      </c>
      <c r="BJ11">
        <v>0</v>
      </c>
      <c r="BK11">
        <v>0</v>
      </c>
    </row>
    <row r="12" spans="1:63">
      <c r="A12" t="s">
        <v>2</v>
      </c>
      <c r="B12">
        <v>3</v>
      </c>
      <c r="C12">
        <v>0</v>
      </c>
      <c r="D12">
        <v>0</v>
      </c>
      <c r="E12">
        <v>0</v>
      </c>
      <c r="F12">
        <v>3</v>
      </c>
      <c r="G12">
        <v>0</v>
      </c>
      <c r="H12">
        <v>0</v>
      </c>
      <c r="I12">
        <v>0</v>
      </c>
      <c r="J12">
        <v>3</v>
      </c>
      <c r="K12">
        <v>0</v>
      </c>
      <c r="L12">
        <v>0</v>
      </c>
      <c r="M12">
        <v>0</v>
      </c>
      <c r="N12">
        <v>3</v>
      </c>
      <c r="O12">
        <v>0</v>
      </c>
      <c r="P12">
        <v>0</v>
      </c>
      <c r="Q12">
        <v>0</v>
      </c>
      <c r="R12">
        <v>3</v>
      </c>
      <c r="S12">
        <v>0</v>
      </c>
      <c r="T12">
        <v>0</v>
      </c>
      <c r="U12">
        <v>0</v>
      </c>
      <c r="V12" t="s">
        <v>2</v>
      </c>
      <c r="W12">
        <v>3</v>
      </c>
      <c r="X12">
        <v>0</v>
      </c>
      <c r="Y12">
        <v>0</v>
      </c>
      <c r="Z12">
        <v>0</v>
      </c>
      <c r="AA12">
        <v>3</v>
      </c>
      <c r="AB12">
        <v>0</v>
      </c>
      <c r="AC12">
        <v>0</v>
      </c>
      <c r="AD12">
        <v>0</v>
      </c>
      <c r="AE12">
        <v>3</v>
      </c>
      <c r="AF12">
        <v>0</v>
      </c>
      <c r="AG12">
        <v>0</v>
      </c>
      <c r="AH12">
        <v>0</v>
      </c>
      <c r="AI12">
        <v>3</v>
      </c>
      <c r="AJ12">
        <v>0</v>
      </c>
      <c r="AK12">
        <v>0</v>
      </c>
      <c r="AL12">
        <v>0</v>
      </c>
      <c r="AM12">
        <v>3</v>
      </c>
      <c r="AN12">
        <v>0</v>
      </c>
      <c r="AO12">
        <v>0</v>
      </c>
      <c r="AP12">
        <v>0</v>
      </c>
      <c r="AQ12" t="s">
        <v>2</v>
      </c>
      <c r="AR12">
        <v>3</v>
      </c>
      <c r="AS12">
        <v>0</v>
      </c>
      <c r="AT12">
        <v>0</v>
      </c>
      <c r="AU12">
        <v>0</v>
      </c>
      <c r="AV12">
        <v>3</v>
      </c>
      <c r="AW12">
        <v>0</v>
      </c>
      <c r="AX12">
        <v>0</v>
      </c>
      <c r="AY12">
        <v>0</v>
      </c>
      <c r="AZ12">
        <v>3</v>
      </c>
      <c r="BA12">
        <v>0</v>
      </c>
      <c r="BB12">
        <v>0</v>
      </c>
      <c r="BC12">
        <v>0</v>
      </c>
      <c r="BD12">
        <v>3</v>
      </c>
      <c r="BE12">
        <v>0</v>
      </c>
      <c r="BF12">
        <v>0</v>
      </c>
      <c r="BG12">
        <v>0</v>
      </c>
      <c r="BH12">
        <v>3</v>
      </c>
      <c r="BI12">
        <v>0</v>
      </c>
      <c r="BJ12">
        <v>0</v>
      </c>
      <c r="BK12">
        <v>0</v>
      </c>
    </row>
    <row r="13" spans="1:63">
      <c r="A13" t="s">
        <v>37</v>
      </c>
      <c r="B13">
        <v>2</v>
      </c>
      <c r="C13">
        <v>0</v>
      </c>
      <c r="D13">
        <v>0</v>
      </c>
      <c r="E13">
        <v>0</v>
      </c>
      <c r="F13">
        <v>2</v>
      </c>
      <c r="G13">
        <v>0</v>
      </c>
      <c r="H13">
        <v>0</v>
      </c>
      <c r="I13">
        <v>0</v>
      </c>
      <c r="J13">
        <v>2</v>
      </c>
      <c r="K13">
        <v>0</v>
      </c>
      <c r="L13">
        <v>0</v>
      </c>
      <c r="M13">
        <v>0</v>
      </c>
      <c r="N13">
        <v>2</v>
      </c>
      <c r="O13">
        <v>0</v>
      </c>
      <c r="P13">
        <v>0</v>
      </c>
      <c r="Q13">
        <v>0</v>
      </c>
      <c r="R13">
        <v>2</v>
      </c>
      <c r="S13">
        <v>0</v>
      </c>
      <c r="T13">
        <v>0</v>
      </c>
      <c r="U13">
        <v>0</v>
      </c>
      <c r="V13" t="s">
        <v>37</v>
      </c>
      <c r="W13">
        <v>2</v>
      </c>
      <c r="X13">
        <v>0</v>
      </c>
      <c r="Y13">
        <v>0</v>
      </c>
      <c r="Z13">
        <v>0</v>
      </c>
      <c r="AA13">
        <v>2</v>
      </c>
      <c r="AB13">
        <v>0</v>
      </c>
      <c r="AC13">
        <v>0</v>
      </c>
      <c r="AD13">
        <v>0</v>
      </c>
      <c r="AE13">
        <v>2</v>
      </c>
      <c r="AF13">
        <v>0</v>
      </c>
      <c r="AG13">
        <v>0</v>
      </c>
      <c r="AH13">
        <v>0</v>
      </c>
      <c r="AI13">
        <v>2</v>
      </c>
      <c r="AJ13">
        <v>0</v>
      </c>
      <c r="AK13">
        <v>0</v>
      </c>
      <c r="AL13">
        <v>0</v>
      </c>
      <c r="AM13">
        <v>2</v>
      </c>
      <c r="AN13">
        <v>0</v>
      </c>
      <c r="AO13">
        <v>0</v>
      </c>
      <c r="AP13">
        <v>0</v>
      </c>
      <c r="AQ13" t="s">
        <v>37</v>
      </c>
      <c r="AR13">
        <v>2</v>
      </c>
      <c r="AS13">
        <v>0</v>
      </c>
      <c r="AT13">
        <v>0</v>
      </c>
      <c r="AU13">
        <v>0</v>
      </c>
      <c r="AV13">
        <v>2</v>
      </c>
      <c r="AW13">
        <v>0</v>
      </c>
      <c r="AX13">
        <v>0</v>
      </c>
      <c r="AY13">
        <v>0</v>
      </c>
      <c r="AZ13">
        <v>2</v>
      </c>
      <c r="BA13">
        <v>0</v>
      </c>
      <c r="BB13">
        <v>0</v>
      </c>
      <c r="BC13">
        <v>0</v>
      </c>
      <c r="BD13">
        <v>2</v>
      </c>
      <c r="BE13">
        <v>0</v>
      </c>
      <c r="BF13">
        <v>0</v>
      </c>
      <c r="BG13">
        <v>0</v>
      </c>
      <c r="BH13">
        <v>2</v>
      </c>
      <c r="BI13">
        <v>0</v>
      </c>
      <c r="BJ13">
        <v>0</v>
      </c>
      <c r="BK13">
        <v>0</v>
      </c>
    </row>
    <row r="14" spans="1:63">
      <c r="A14" t="s">
        <v>72</v>
      </c>
      <c r="B14">
        <v>8</v>
      </c>
      <c r="C14">
        <v>0</v>
      </c>
      <c r="D14">
        <v>0</v>
      </c>
      <c r="E14">
        <v>0</v>
      </c>
      <c r="F14">
        <v>8</v>
      </c>
      <c r="G14">
        <v>0</v>
      </c>
      <c r="H14">
        <v>0</v>
      </c>
      <c r="I14">
        <v>0</v>
      </c>
      <c r="J14">
        <v>8</v>
      </c>
      <c r="K14">
        <v>0</v>
      </c>
      <c r="L14">
        <v>0</v>
      </c>
      <c r="M14">
        <v>0</v>
      </c>
      <c r="N14">
        <v>8</v>
      </c>
      <c r="O14">
        <v>0</v>
      </c>
      <c r="P14">
        <v>0</v>
      </c>
      <c r="Q14">
        <v>0</v>
      </c>
      <c r="R14">
        <v>8</v>
      </c>
      <c r="S14">
        <v>0</v>
      </c>
      <c r="T14">
        <v>0</v>
      </c>
      <c r="U14">
        <v>0</v>
      </c>
      <c r="V14" t="s">
        <v>72</v>
      </c>
      <c r="W14">
        <v>8</v>
      </c>
      <c r="X14">
        <v>0</v>
      </c>
      <c r="Y14">
        <v>0</v>
      </c>
      <c r="Z14">
        <v>0</v>
      </c>
      <c r="AA14">
        <v>8</v>
      </c>
      <c r="AB14">
        <v>0</v>
      </c>
      <c r="AC14">
        <v>0</v>
      </c>
      <c r="AD14">
        <v>0</v>
      </c>
      <c r="AE14">
        <v>8</v>
      </c>
      <c r="AF14">
        <v>0</v>
      </c>
      <c r="AG14">
        <v>0</v>
      </c>
      <c r="AH14">
        <v>0</v>
      </c>
      <c r="AI14">
        <v>8</v>
      </c>
      <c r="AJ14">
        <v>0</v>
      </c>
      <c r="AK14">
        <v>0</v>
      </c>
      <c r="AL14">
        <v>0</v>
      </c>
      <c r="AM14">
        <v>8</v>
      </c>
      <c r="AN14">
        <v>0</v>
      </c>
      <c r="AO14">
        <v>0</v>
      </c>
      <c r="AP14">
        <v>0</v>
      </c>
      <c r="AQ14" t="s">
        <v>72</v>
      </c>
      <c r="AR14">
        <v>8</v>
      </c>
      <c r="AS14">
        <v>0</v>
      </c>
      <c r="AT14">
        <v>0</v>
      </c>
      <c r="AU14">
        <v>0</v>
      </c>
      <c r="AV14">
        <v>8</v>
      </c>
      <c r="AW14">
        <v>0</v>
      </c>
      <c r="AX14">
        <v>0</v>
      </c>
      <c r="AY14">
        <v>0</v>
      </c>
      <c r="AZ14">
        <v>8</v>
      </c>
      <c r="BA14">
        <v>0</v>
      </c>
      <c r="BB14">
        <v>0</v>
      </c>
      <c r="BC14">
        <v>0</v>
      </c>
      <c r="BD14">
        <v>8</v>
      </c>
      <c r="BE14">
        <v>0</v>
      </c>
      <c r="BF14">
        <v>0</v>
      </c>
      <c r="BG14">
        <v>0</v>
      </c>
      <c r="BH14">
        <v>8</v>
      </c>
      <c r="BI14">
        <v>0</v>
      </c>
      <c r="BJ14">
        <v>0</v>
      </c>
      <c r="BK14">
        <v>0</v>
      </c>
    </row>
    <row r="15" spans="1:63">
      <c r="A15" t="s">
        <v>8</v>
      </c>
      <c r="B15">
        <v>3</v>
      </c>
      <c r="C15">
        <v>0</v>
      </c>
      <c r="D15">
        <v>0</v>
      </c>
      <c r="E15">
        <v>0</v>
      </c>
      <c r="F15">
        <v>3</v>
      </c>
      <c r="G15">
        <v>0</v>
      </c>
      <c r="H15">
        <v>0</v>
      </c>
      <c r="I15">
        <v>0</v>
      </c>
      <c r="J15">
        <v>3</v>
      </c>
      <c r="K15">
        <v>0</v>
      </c>
      <c r="L15">
        <v>0</v>
      </c>
      <c r="M15">
        <v>0</v>
      </c>
      <c r="N15">
        <v>3</v>
      </c>
      <c r="O15">
        <v>0</v>
      </c>
      <c r="P15">
        <v>0</v>
      </c>
      <c r="Q15">
        <v>0</v>
      </c>
      <c r="R15">
        <v>3</v>
      </c>
      <c r="S15">
        <v>0</v>
      </c>
      <c r="T15">
        <v>0</v>
      </c>
      <c r="U15">
        <v>0</v>
      </c>
      <c r="V15" t="s">
        <v>8</v>
      </c>
      <c r="W15">
        <v>3</v>
      </c>
      <c r="X15">
        <v>0</v>
      </c>
      <c r="Y15">
        <v>0</v>
      </c>
      <c r="Z15">
        <v>0</v>
      </c>
      <c r="AA15">
        <v>3</v>
      </c>
      <c r="AB15">
        <v>0</v>
      </c>
      <c r="AC15">
        <v>0</v>
      </c>
      <c r="AD15">
        <v>0</v>
      </c>
      <c r="AE15">
        <v>3</v>
      </c>
      <c r="AF15">
        <v>0</v>
      </c>
      <c r="AG15">
        <v>0</v>
      </c>
      <c r="AH15">
        <v>0</v>
      </c>
      <c r="AI15">
        <v>3</v>
      </c>
      <c r="AJ15">
        <v>0</v>
      </c>
      <c r="AK15">
        <v>0</v>
      </c>
      <c r="AL15">
        <v>0</v>
      </c>
      <c r="AM15">
        <v>3</v>
      </c>
      <c r="AN15">
        <v>0</v>
      </c>
      <c r="AO15">
        <v>0</v>
      </c>
      <c r="AP15">
        <v>0</v>
      </c>
      <c r="AQ15" t="s">
        <v>8</v>
      </c>
      <c r="AR15">
        <v>3</v>
      </c>
      <c r="AS15">
        <v>0</v>
      </c>
      <c r="AT15">
        <v>0</v>
      </c>
      <c r="AU15">
        <v>0</v>
      </c>
      <c r="AV15">
        <v>3</v>
      </c>
      <c r="AW15">
        <v>0</v>
      </c>
      <c r="AX15">
        <v>0</v>
      </c>
      <c r="AY15">
        <v>0</v>
      </c>
      <c r="AZ15">
        <v>3</v>
      </c>
      <c r="BA15">
        <v>0</v>
      </c>
      <c r="BB15">
        <v>0</v>
      </c>
      <c r="BC15">
        <v>0</v>
      </c>
      <c r="BD15">
        <v>3</v>
      </c>
      <c r="BE15">
        <v>0</v>
      </c>
      <c r="BF15">
        <v>0</v>
      </c>
      <c r="BG15">
        <v>0</v>
      </c>
      <c r="BH15">
        <v>3</v>
      </c>
      <c r="BI15">
        <v>0</v>
      </c>
      <c r="BJ15">
        <v>0</v>
      </c>
      <c r="BK15">
        <v>0</v>
      </c>
    </row>
    <row r="16" spans="1:63">
      <c r="A16" t="s">
        <v>101</v>
      </c>
      <c r="B16">
        <v>132</v>
      </c>
      <c r="C16">
        <v>9</v>
      </c>
      <c r="D16">
        <v>0</v>
      </c>
      <c r="E16">
        <v>0</v>
      </c>
      <c r="F16">
        <v>132</v>
      </c>
      <c r="G16">
        <v>9</v>
      </c>
      <c r="H16">
        <v>0</v>
      </c>
      <c r="I16">
        <v>0</v>
      </c>
      <c r="J16">
        <v>138</v>
      </c>
      <c r="K16">
        <v>3</v>
      </c>
      <c r="L16">
        <v>0</v>
      </c>
      <c r="M16">
        <v>0</v>
      </c>
      <c r="N16">
        <v>129</v>
      </c>
      <c r="O16">
        <v>3</v>
      </c>
      <c r="P16">
        <v>9</v>
      </c>
      <c r="Q16">
        <v>0</v>
      </c>
      <c r="R16">
        <v>138</v>
      </c>
      <c r="S16">
        <v>3</v>
      </c>
      <c r="T16">
        <v>0</v>
      </c>
      <c r="U16">
        <v>0</v>
      </c>
      <c r="V16" t="s">
        <v>101</v>
      </c>
      <c r="W16">
        <v>132</v>
      </c>
      <c r="X16">
        <v>9</v>
      </c>
      <c r="Y16">
        <v>0</v>
      </c>
      <c r="Z16">
        <v>0</v>
      </c>
      <c r="AA16">
        <v>132</v>
      </c>
      <c r="AB16">
        <v>9</v>
      </c>
      <c r="AC16">
        <v>0</v>
      </c>
      <c r="AD16">
        <v>0</v>
      </c>
      <c r="AE16">
        <v>138</v>
      </c>
      <c r="AF16">
        <v>3</v>
      </c>
      <c r="AG16">
        <v>0</v>
      </c>
      <c r="AH16">
        <v>0</v>
      </c>
      <c r="AI16">
        <v>129</v>
      </c>
      <c r="AJ16">
        <v>3</v>
      </c>
      <c r="AK16">
        <v>9</v>
      </c>
      <c r="AL16">
        <v>0</v>
      </c>
      <c r="AM16">
        <v>138</v>
      </c>
      <c r="AN16">
        <v>3</v>
      </c>
      <c r="AO16">
        <v>0</v>
      </c>
      <c r="AP16">
        <v>0</v>
      </c>
      <c r="AQ16" t="s">
        <v>101</v>
      </c>
      <c r="AR16">
        <v>132</v>
      </c>
      <c r="AS16">
        <v>9</v>
      </c>
      <c r="AT16">
        <v>0</v>
      </c>
      <c r="AU16">
        <v>0</v>
      </c>
      <c r="AV16">
        <v>132</v>
      </c>
      <c r="AW16">
        <v>9</v>
      </c>
      <c r="AX16">
        <v>0</v>
      </c>
      <c r="AY16">
        <v>0</v>
      </c>
      <c r="AZ16">
        <v>141</v>
      </c>
      <c r="BA16">
        <v>0</v>
      </c>
      <c r="BB16">
        <v>0</v>
      </c>
      <c r="BC16">
        <v>0</v>
      </c>
      <c r="BD16">
        <v>132</v>
      </c>
      <c r="BE16">
        <v>0</v>
      </c>
      <c r="BF16">
        <v>9</v>
      </c>
      <c r="BG16">
        <v>0</v>
      </c>
      <c r="BH16">
        <v>141</v>
      </c>
      <c r="BI16">
        <v>0</v>
      </c>
      <c r="BJ16">
        <v>0</v>
      </c>
      <c r="BK16">
        <v>0</v>
      </c>
    </row>
    <row r="17" spans="1:63">
      <c r="A17" t="s">
        <v>3</v>
      </c>
      <c r="B17">
        <v>31</v>
      </c>
      <c r="C17">
        <v>0</v>
      </c>
      <c r="D17">
        <v>0</v>
      </c>
      <c r="E17">
        <v>0</v>
      </c>
      <c r="F17">
        <v>31</v>
      </c>
      <c r="G17">
        <v>0</v>
      </c>
      <c r="H17">
        <v>0</v>
      </c>
      <c r="I17">
        <v>0</v>
      </c>
      <c r="J17">
        <v>31</v>
      </c>
      <c r="K17">
        <v>0</v>
      </c>
      <c r="L17">
        <v>0</v>
      </c>
      <c r="M17">
        <v>0</v>
      </c>
      <c r="N17">
        <v>31</v>
      </c>
      <c r="O17">
        <v>0</v>
      </c>
      <c r="P17">
        <v>0</v>
      </c>
      <c r="Q17">
        <v>0</v>
      </c>
      <c r="R17">
        <v>31</v>
      </c>
      <c r="S17">
        <v>0</v>
      </c>
      <c r="T17">
        <v>0</v>
      </c>
      <c r="U17">
        <v>0</v>
      </c>
      <c r="V17" t="s">
        <v>3</v>
      </c>
      <c r="W17">
        <v>31</v>
      </c>
      <c r="X17">
        <v>0</v>
      </c>
      <c r="Y17">
        <v>0</v>
      </c>
      <c r="Z17">
        <v>0</v>
      </c>
      <c r="AA17">
        <v>31</v>
      </c>
      <c r="AB17">
        <v>0</v>
      </c>
      <c r="AC17">
        <v>0</v>
      </c>
      <c r="AD17">
        <v>0</v>
      </c>
      <c r="AE17">
        <v>31</v>
      </c>
      <c r="AF17">
        <v>0</v>
      </c>
      <c r="AG17">
        <v>0</v>
      </c>
      <c r="AH17">
        <v>0</v>
      </c>
      <c r="AI17">
        <v>31</v>
      </c>
      <c r="AJ17">
        <v>0</v>
      </c>
      <c r="AK17">
        <v>0</v>
      </c>
      <c r="AL17">
        <v>0</v>
      </c>
      <c r="AM17">
        <v>31</v>
      </c>
      <c r="AN17">
        <v>0</v>
      </c>
      <c r="AO17">
        <v>0</v>
      </c>
      <c r="AP17">
        <v>0</v>
      </c>
      <c r="AQ17" t="s">
        <v>3</v>
      </c>
      <c r="AR17">
        <v>31</v>
      </c>
      <c r="AS17">
        <v>0</v>
      </c>
      <c r="AT17">
        <v>0</v>
      </c>
      <c r="AU17">
        <v>0</v>
      </c>
      <c r="AV17">
        <v>31</v>
      </c>
      <c r="AW17">
        <v>0</v>
      </c>
      <c r="AX17">
        <v>0</v>
      </c>
      <c r="AY17">
        <v>0</v>
      </c>
      <c r="AZ17">
        <v>31</v>
      </c>
      <c r="BA17">
        <v>0</v>
      </c>
      <c r="BB17">
        <v>0</v>
      </c>
      <c r="BC17">
        <v>0</v>
      </c>
      <c r="BD17">
        <v>31</v>
      </c>
      <c r="BE17">
        <v>0</v>
      </c>
      <c r="BF17">
        <v>0</v>
      </c>
      <c r="BG17">
        <v>0</v>
      </c>
      <c r="BH17">
        <v>31</v>
      </c>
      <c r="BI17">
        <v>0</v>
      </c>
      <c r="BJ17">
        <v>0</v>
      </c>
      <c r="BK17">
        <v>0</v>
      </c>
    </row>
    <row r="18" spans="1:63">
      <c r="A18" t="s">
        <v>76</v>
      </c>
      <c r="B18">
        <v>31</v>
      </c>
      <c r="C18">
        <v>0</v>
      </c>
      <c r="D18">
        <v>0</v>
      </c>
      <c r="E18">
        <v>0</v>
      </c>
      <c r="F18">
        <v>31</v>
      </c>
      <c r="G18">
        <v>0</v>
      </c>
      <c r="H18">
        <v>0</v>
      </c>
      <c r="I18">
        <v>0</v>
      </c>
      <c r="J18">
        <v>31</v>
      </c>
      <c r="K18">
        <v>0</v>
      </c>
      <c r="L18">
        <v>0</v>
      </c>
      <c r="M18">
        <v>0</v>
      </c>
      <c r="N18">
        <v>31</v>
      </c>
      <c r="O18">
        <v>0</v>
      </c>
      <c r="P18">
        <v>0</v>
      </c>
      <c r="Q18">
        <v>0</v>
      </c>
      <c r="R18">
        <v>31</v>
      </c>
      <c r="S18">
        <v>0</v>
      </c>
      <c r="T18">
        <v>0</v>
      </c>
      <c r="U18">
        <v>0</v>
      </c>
      <c r="V18" t="s">
        <v>76</v>
      </c>
      <c r="W18">
        <v>31</v>
      </c>
      <c r="X18">
        <v>0</v>
      </c>
      <c r="Y18">
        <v>0</v>
      </c>
      <c r="Z18">
        <v>0</v>
      </c>
      <c r="AA18">
        <v>31</v>
      </c>
      <c r="AB18">
        <v>0</v>
      </c>
      <c r="AC18">
        <v>0</v>
      </c>
      <c r="AD18">
        <v>0</v>
      </c>
      <c r="AE18">
        <v>31</v>
      </c>
      <c r="AF18">
        <v>0</v>
      </c>
      <c r="AG18">
        <v>0</v>
      </c>
      <c r="AH18">
        <v>0</v>
      </c>
      <c r="AI18">
        <v>31</v>
      </c>
      <c r="AJ18">
        <v>0</v>
      </c>
      <c r="AK18">
        <v>0</v>
      </c>
      <c r="AL18">
        <v>0</v>
      </c>
      <c r="AM18">
        <v>31</v>
      </c>
      <c r="AN18">
        <v>0</v>
      </c>
      <c r="AO18">
        <v>0</v>
      </c>
      <c r="AP18">
        <v>0</v>
      </c>
      <c r="AQ18" t="s">
        <v>76</v>
      </c>
      <c r="AR18">
        <v>31</v>
      </c>
      <c r="AS18">
        <v>0</v>
      </c>
      <c r="AT18">
        <v>0</v>
      </c>
      <c r="AU18">
        <v>0</v>
      </c>
      <c r="AV18">
        <v>31</v>
      </c>
      <c r="AW18">
        <v>0</v>
      </c>
      <c r="AX18">
        <v>0</v>
      </c>
      <c r="AY18">
        <v>0</v>
      </c>
      <c r="AZ18">
        <v>31</v>
      </c>
      <c r="BA18">
        <v>0</v>
      </c>
      <c r="BB18">
        <v>0</v>
      </c>
      <c r="BC18">
        <v>0</v>
      </c>
      <c r="BD18">
        <v>31</v>
      </c>
      <c r="BE18">
        <v>0</v>
      </c>
      <c r="BF18">
        <v>0</v>
      </c>
      <c r="BG18">
        <v>0</v>
      </c>
      <c r="BH18">
        <v>31</v>
      </c>
      <c r="BI18">
        <v>0</v>
      </c>
      <c r="BJ18">
        <v>0</v>
      </c>
      <c r="BK18">
        <v>0</v>
      </c>
    </row>
    <row r="19" spans="1:63">
      <c r="A19" t="s">
        <v>29</v>
      </c>
      <c r="B19">
        <v>14</v>
      </c>
      <c r="C19">
        <v>0</v>
      </c>
      <c r="D19">
        <v>0</v>
      </c>
      <c r="E19">
        <v>0</v>
      </c>
      <c r="F19">
        <v>14</v>
      </c>
      <c r="G19">
        <v>0</v>
      </c>
      <c r="H19">
        <v>0</v>
      </c>
      <c r="I19">
        <v>0</v>
      </c>
      <c r="J19">
        <v>14</v>
      </c>
      <c r="K19">
        <v>0</v>
      </c>
      <c r="L19">
        <v>0</v>
      </c>
      <c r="M19">
        <v>0</v>
      </c>
      <c r="N19">
        <v>14</v>
      </c>
      <c r="O19">
        <v>0</v>
      </c>
      <c r="P19">
        <v>0</v>
      </c>
      <c r="Q19">
        <v>0</v>
      </c>
      <c r="R19">
        <v>14</v>
      </c>
      <c r="S19">
        <v>0</v>
      </c>
      <c r="T19">
        <v>0</v>
      </c>
      <c r="U19">
        <v>0</v>
      </c>
      <c r="V19" t="s">
        <v>29</v>
      </c>
      <c r="W19">
        <v>14</v>
      </c>
      <c r="X19">
        <v>0</v>
      </c>
      <c r="Y19">
        <v>0</v>
      </c>
      <c r="Z19">
        <v>0</v>
      </c>
      <c r="AA19">
        <v>14</v>
      </c>
      <c r="AB19">
        <v>0</v>
      </c>
      <c r="AC19">
        <v>0</v>
      </c>
      <c r="AD19">
        <v>0</v>
      </c>
      <c r="AE19">
        <v>14</v>
      </c>
      <c r="AF19">
        <v>0</v>
      </c>
      <c r="AG19">
        <v>0</v>
      </c>
      <c r="AH19">
        <v>0</v>
      </c>
      <c r="AI19">
        <v>14</v>
      </c>
      <c r="AJ19">
        <v>0</v>
      </c>
      <c r="AK19">
        <v>0</v>
      </c>
      <c r="AL19">
        <v>0</v>
      </c>
      <c r="AM19">
        <v>14</v>
      </c>
      <c r="AN19">
        <v>0</v>
      </c>
      <c r="AO19">
        <v>0</v>
      </c>
      <c r="AP19">
        <v>0</v>
      </c>
      <c r="AQ19" t="s">
        <v>29</v>
      </c>
      <c r="AR19">
        <v>14</v>
      </c>
      <c r="AS19">
        <v>0</v>
      </c>
      <c r="AT19">
        <v>0</v>
      </c>
      <c r="AU19">
        <v>0</v>
      </c>
      <c r="AV19">
        <v>14</v>
      </c>
      <c r="AW19">
        <v>0</v>
      </c>
      <c r="AX19">
        <v>0</v>
      </c>
      <c r="AY19">
        <v>0</v>
      </c>
      <c r="AZ19">
        <v>14</v>
      </c>
      <c r="BA19">
        <v>0</v>
      </c>
      <c r="BB19">
        <v>0</v>
      </c>
      <c r="BC19">
        <v>0</v>
      </c>
      <c r="BD19">
        <v>14</v>
      </c>
      <c r="BE19">
        <v>0</v>
      </c>
      <c r="BF19">
        <v>0</v>
      </c>
      <c r="BG19">
        <v>0</v>
      </c>
      <c r="BH19">
        <v>14</v>
      </c>
      <c r="BI19">
        <v>0</v>
      </c>
      <c r="BJ19">
        <v>0</v>
      </c>
      <c r="BK19">
        <v>0</v>
      </c>
    </row>
    <row r="20" spans="1:63">
      <c r="A20" t="s">
        <v>98</v>
      </c>
      <c r="B20">
        <v>176</v>
      </c>
      <c r="C20">
        <v>7</v>
      </c>
      <c r="D20">
        <v>0</v>
      </c>
      <c r="E20">
        <v>0</v>
      </c>
      <c r="F20">
        <v>176</v>
      </c>
      <c r="G20">
        <v>7</v>
      </c>
      <c r="H20">
        <v>0</v>
      </c>
      <c r="I20">
        <v>0</v>
      </c>
      <c r="J20">
        <v>179</v>
      </c>
      <c r="K20">
        <v>4</v>
      </c>
      <c r="L20">
        <v>0</v>
      </c>
      <c r="M20">
        <v>0</v>
      </c>
      <c r="N20">
        <v>172</v>
      </c>
      <c r="O20">
        <v>4</v>
      </c>
      <c r="P20">
        <v>7</v>
      </c>
      <c r="Q20">
        <v>0</v>
      </c>
      <c r="R20">
        <v>179</v>
      </c>
      <c r="S20">
        <v>4</v>
      </c>
      <c r="T20">
        <v>0</v>
      </c>
      <c r="U20">
        <v>0</v>
      </c>
      <c r="V20" t="s">
        <v>98</v>
      </c>
      <c r="W20">
        <v>176</v>
      </c>
      <c r="X20">
        <v>7</v>
      </c>
      <c r="Y20">
        <v>0</v>
      </c>
      <c r="Z20">
        <v>0</v>
      </c>
      <c r="AA20">
        <v>176</v>
      </c>
      <c r="AB20">
        <v>7</v>
      </c>
      <c r="AC20">
        <v>0</v>
      </c>
      <c r="AD20">
        <v>0</v>
      </c>
      <c r="AE20">
        <v>179</v>
      </c>
      <c r="AF20">
        <v>4</v>
      </c>
      <c r="AG20">
        <v>0</v>
      </c>
      <c r="AH20">
        <v>0</v>
      </c>
      <c r="AI20">
        <v>172</v>
      </c>
      <c r="AJ20">
        <v>4</v>
      </c>
      <c r="AK20">
        <v>7</v>
      </c>
      <c r="AL20">
        <v>0</v>
      </c>
      <c r="AM20">
        <v>179</v>
      </c>
      <c r="AN20">
        <v>4</v>
      </c>
      <c r="AO20">
        <v>0</v>
      </c>
      <c r="AP20">
        <v>0</v>
      </c>
      <c r="AQ20" t="s">
        <v>98</v>
      </c>
      <c r="AR20">
        <v>176</v>
      </c>
      <c r="AS20">
        <v>7</v>
      </c>
      <c r="AT20">
        <v>0</v>
      </c>
      <c r="AU20">
        <v>0</v>
      </c>
      <c r="AV20">
        <v>176</v>
      </c>
      <c r="AW20">
        <v>7</v>
      </c>
      <c r="AX20">
        <v>0</v>
      </c>
      <c r="AY20">
        <v>0</v>
      </c>
      <c r="AZ20">
        <v>183</v>
      </c>
      <c r="BA20">
        <v>0</v>
      </c>
      <c r="BB20">
        <v>0</v>
      </c>
      <c r="BC20">
        <v>0</v>
      </c>
      <c r="BD20">
        <v>176</v>
      </c>
      <c r="BE20">
        <v>0</v>
      </c>
      <c r="BF20">
        <v>7</v>
      </c>
      <c r="BG20">
        <v>0</v>
      </c>
      <c r="BH20">
        <v>183</v>
      </c>
      <c r="BI20">
        <v>0</v>
      </c>
      <c r="BJ20">
        <v>0</v>
      </c>
      <c r="BK20">
        <v>0</v>
      </c>
    </row>
    <row r="21" spans="1:63">
      <c r="A21" t="s">
        <v>43</v>
      </c>
      <c r="B21">
        <v>127</v>
      </c>
      <c r="C21">
        <v>0</v>
      </c>
      <c r="D21">
        <v>0</v>
      </c>
      <c r="E21">
        <v>0</v>
      </c>
      <c r="F21">
        <v>127</v>
      </c>
      <c r="G21">
        <v>0</v>
      </c>
      <c r="H21">
        <v>0</v>
      </c>
      <c r="I21">
        <v>0</v>
      </c>
      <c r="J21">
        <v>124</v>
      </c>
      <c r="K21">
        <v>3</v>
      </c>
      <c r="L21">
        <v>0</v>
      </c>
      <c r="M21">
        <v>0</v>
      </c>
      <c r="N21">
        <v>124</v>
      </c>
      <c r="O21">
        <v>3</v>
      </c>
      <c r="P21">
        <v>0</v>
      </c>
      <c r="Q21">
        <v>0</v>
      </c>
      <c r="R21">
        <v>124</v>
      </c>
      <c r="S21">
        <v>3</v>
      </c>
      <c r="T21">
        <v>0</v>
      </c>
      <c r="U21">
        <v>0</v>
      </c>
      <c r="V21" t="s">
        <v>43</v>
      </c>
      <c r="W21">
        <v>127</v>
      </c>
      <c r="X21">
        <v>0</v>
      </c>
      <c r="Y21">
        <v>0</v>
      </c>
      <c r="Z21">
        <v>0</v>
      </c>
      <c r="AA21">
        <v>127</v>
      </c>
      <c r="AB21">
        <v>0</v>
      </c>
      <c r="AC21">
        <v>0</v>
      </c>
      <c r="AD21">
        <v>0</v>
      </c>
      <c r="AE21">
        <v>124</v>
      </c>
      <c r="AF21">
        <v>3</v>
      </c>
      <c r="AG21">
        <v>0</v>
      </c>
      <c r="AH21">
        <v>0</v>
      </c>
      <c r="AI21">
        <v>124</v>
      </c>
      <c r="AJ21">
        <v>3</v>
      </c>
      <c r="AK21">
        <v>0</v>
      </c>
      <c r="AL21">
        <v>0</v>
      </c>
      <c r="AM21">
        <v>124</v>
      </c>
      <c r="AN21">
        <v>3</v>
      </c>
      <c r="AO21">
        <v>0</v>
      </c>
      <c r="AP21">
        <v>0</v>
      </c>
      <c r="AQ21" t="s">
        <v>43</v>
      </c>
      <c r="AR21">
        <v>127</v>
      </c>
      <c r="AS21">
        <v>0</v>
      </c>
      <c r="AT21">
        <v>0</v>
      </c>
      <c r="AU21">
        <v>0</v>
      </c>
      <c r="AV21">
        <v>127</v>
      </c>
      <c r="AW21">
        <v>0</v>
      </c>
      <c r="AX21">
        <v>0</v>
      </c>
      <c r="AY21">
        <v>0</v>
      </c>
      <c r="AZ21">
        <v>127</v>
      </c>
      <c r="BA21">
        <v>0</v>
      </c>
      <c r="BB21">
        <v>0</v>
      </c>
      <c r="BC21">
        <v>0</v>
      </c>
      <c r="BD21">
        <v>127</v>
      </c>
      <c r="BE21">
        <v>0</v>
      </c>
      <c r="BF21">
        <v>0</v>
      </c>
      <c r="BG21">
        <v>0</v>
      </c>
      <c r="BH21">
        <v>127</v>
      </c>
      <c r="BI21">
        <v>0</v>
      </c>
      <c r="BJ21">
        <v>0</v>
      </c>
      <c r="BK21">
        <v>0</v>
      </c>
    </row>
    <row r="22" spans="1:63">
      <c r="A22" t="s">
        <v>28</v>
      </c>
      <c r="B22">
        <v>106</v>
      </c>
      <c r="C22">
        <v>0</v>
      </c>
      <c r="D22">
        <v>0</v>
      </c>
      <c r="E22">
        <v>0</v>
      </c>
      <c r="F22">
        <v>106</v>
      </c>
      <c r="G22">
        <v>0</v>
      </c>
      <c r="H22">
        <v>0</v>
      </c>
      <c r="I22">
        <v>0</v>
      </c>
      <c r="J22">
        <v>103</v>
      </c>
      <c r="K22">
        <v>3</v>
      </c>
      <c r="L22">
        <v>0</v>
      </c>
      <c r="M22">
        <v>0</v>
      </c>
      <c r="N22">
        <v>103</v>
      </c>
      <c r="O22">
        <v>3</v>
      </c>
      <c r="P22">
        <v>0</v>
      </c>
      <c r="Q22">
        <v>0</v>
      </c>
      <c r="R22">
        <v>103</v>
      </c>
      <c r="S22">
        <v>3</v>
      </c>
      <c r="T22">
        <v>0</v>
      </c>
      <c r="U22">
        <v>0</v>
      </c>
      <c r="V22" t="s">
        <v>28</v>
      </c>
      <c r="W22">
        <v>106</v>
      </c>
      <c r="X22">
        <v>0</v>
      </c>
      <c r="Y22">
        <v>0</v>
      </c>
      <c r="Z22">
        <v>0</v>
      </c>
      <c r="AA22">
        <v>106</v>
      </c>
      <c r="AB22">
        <v>0</v>
      </c>
      <c r="AC22">
        <v>0</v>
      </c>
      <c r="AD22">
        <v>0</v>
      </c>
      <c r="AE22">
        <v>103</v>
      </c>
      <c r="AF22">
        <v>3</v>
      </c>
      <c r="AG22">
        <v>0</v>
      </c>
      <c r="AH22">
        <v>0</v>
      </c>
      <c r="AI22">
        <v>103</v>
      </c>
      <c r="AJ22">
        <v>3</v>
      </c>
      <c r="AK22">
        <v>0</v>
      </c>
      <c r="AL22">
        <v>0</v>
      </c>
      <c r="AM22">
        <v>103</v>
      </c>
      <c r="AN22">
        <v>3</v>
      </c>
      <c r="AO22">
        <v>0</v>
      </c>
      <c r="AP22">
        <v>0</v>
      </c>
      <c r="AQ22" t="s">
        <v>28</v>
      </c>
      <c r="AR22">
        <v>106</v>
      </c>
      <c r="AS22">
        <v>0</v>
      </c>
      <c r="AT22">
        <v>0</v>
      </c>
      <c r="AU22">
        <v>0</v>
      </c>
      <c r="AV22">
        <v>106</v>
      </c>
      <c r="AW22">
        <v>0</v>
      </c>
      <c r="AX22">
        <v>0</v>
      </c>
      <c r="AY22">
        <v>0</v>
      </c>
      <c r="AZ22">
        <v>106</v>
      </c>
      <c r="BA22">
        <v>0</v>
      </c>
      <c r="BB22">
        <v>0</v>
      </c>
      <c r="BC22">
        <v>0</v>
      </c>
      <c r="BD22">
        <v>106</v>
      </c>
      <c r="BE22">
        <v>0</v>
      </c>
      <c r="BF22">
        <v>0</v>
      </c>
      <c r="BG22">
        <v>0</v>
      </c>
      <c r="BH22">
        <v>106</v>
      </c>
      <c r="BI22">
        <v>0</v>
      </c>
      <c r="BJ22">
        <v>0</v>
      </c>
      <c r="BK22">
        <v>0</v>
      </c>
    </row>
    <row r="23" spans="1:63">
      <c r="A23" t="s">
        <v>40</v>
      </c>
      <c r="B23">
        <v>3</v>
      </c>
      <c r="C23">
        <v>0</v>
      </c>
      <c r="D23">
        <v>0</v>
      </c>
      <c r="E23">
        <v>0</v>
      </c>
      <c r="F23">
        <v>3</v>
      </c>
      <c r="G23">
        <v>0</v>
      </c>
      <c r="H23">
        <v>0</v>
      </c>
      <c r="I23">
        <v>0</v>
      </c>
      <c r="J23">
        <v>3</v>
      </c>
      <c r="K23">
        <v>0</v>
      </c>
      <c r="L23">
        <v>0</v>
      </c>
      <c r="M23">
        <v>0</v>
      </c>
      <c r="N23">
        <v>3</v>
      </c>
      <c r="O23">
        <v>0</v>
      </c>
      <c r="P23">
        <v>0</v>
      </c>
      <c r="Q23">
        <v>0</v>
      </c>
      <c r="R23">
        <v>3</v>
      </c>
      <c r="S23">
        <v>0</v>
      </c>
      <c r="T23">
        <v>0</v>
      </c>
      <c r="U23">
        <v>0</v>
      </c>
      <c r="V23" t="s">
        <v>40</v>
      </c>
      <c r="W23">
        <v>3</v>
      </c>
      <c r="X23">
        <v>0</v>
      </c>
      <c r="Y23">
        <v>0</v>
      </c>
      <c r="Z23">
        <v>0</v>
      </c>
      <c r="AA23">
        <v>3</v>
      </c>
      <c r="AB23">
        <v>0</v>
      </c>
      <c r="AC23">
        <v>0</v>
      </c>
      <c r="AD23">
        <v>0</v>
      </c>
      <c r="AE23">
        <v>3</v>
      </c>
      <c r="AF23">
        <v>0</v>
      </c>
      <c r="AG23">
        <v>0</v>
      </c>
      <c r="AH23">
        <v>0</v>
      </c>
      <c r="AI23">
        <v>3</v>
      </c>
      <c r="AJ23">
        <v>0</v>
      </c>
      <c r="AK23">
        <v>0</v>
      </c>
      <c r="AL23">
        <v>0</v>
      </c>
      <c r="AM23">
        <v>3</v>
      </c>
      <c r="AN23">
        <v>0</v>
      </c>
      <c r="AO23">
        <v>0</v>
      </c>
      <c r="AP23">
        <v>0</v>
      </c>
      <c r="AQ23" t="s">
        <v>40</v>
      </c>
      <c r="AR23">
        <v>3</v>
      </c>
      <c r="AS23">
        <v>0</v>
      </c>
      <c r="AT23">
        <v>0</v>
      </c>
      <c r="AU23">
        <v>0</v>
      </c>
      <c r="AV23">
        <v>3</v>
      </c>
      <c r="AW23">
        <v>0</v>
      </c>
      <c r="AX23">
        <v>0</v>
      </c>
      <c r="AY23">
        <v>0</v>
      </c>
      <c r="AZ23">
        <v>3</v>
      </c>
      <c r="BA23">
        <v>0</v>
      </c>
      <c r="BB23">
        <v>0</v>
      </c>
      <c r="BC23">
        <v>0</v>
      </c>
      <c r="BD23">
        <v>3</v>
      </c>
      <c r="BE23">
        <v>0</v>
      </c>
      <c r="BF23">
        <v>0</v>
      </c>
      <c r="BG23">
        <v>0</v>
      </c>
      <c r="BH23">
        <v>3</v>
      </c>
      <c r="BI23">
        <v>0</v>
      </c>
      <c r="BJ23">
        <v>0</v>
      </c>
      <c r="BK23">
        <v>0</v>
      </c>
    </row>
    <row r="24" spans="1:63">
      <c r="A24" t="s">
        <v>56</v>
      </c>
      <c r="B24">
        <v>406</v>
      </c>
      <c r="C24">
        <v>0</v>
      </c>
      <c r="D24">
        <v>0</v>
      </c>
      <c r="E24">
        <v>0</v>
      </c>
      <c r="F24">
        <v>406</v>
      </c>
      <c r="G24">
        <v>0</v>
      </c>
      <c r="H24">
        <v>0</v>
      </c>
      <c r="I24">
        <v>0</v>
      </c>
      <c r="J24">
        <v>406</v>
      </c>
      <c r="K24">
        <v>0</v>
      </c>
      <c r="L24">
        <v>0</v>
      </c>
      <c r="M24">
        <v>0</v>
      </c>
      <c r="N24">
        <v>406</v>
      </c>
      <c r="O24">
        <v>0</v>
      </c>
      <c r="P24">
        <v>0</v>
      </c>
      <c r="Q24">
        <v>0</v>
      </c>
      <c r="R24">
        <v>406</v>
      </c>
      <c r="S24">
        <v>0</v>
      </c>
      <c r="T24">
        <v>0</v>
      </c>
      <c r="U24">
        <v>0</v>
      </c>
      <c r="V24" t="s">
        <v>56</v>
      </c>
      <c r="W24">
        <v>406</v>
      </c>
      <c r="X24">
        <v>0</v>
      </c>
      <c r="Y24">
        <v>0</v>
      </c>
      <c r="Z24">
        <v>0</v>
      </c>
      <c r="AA24">
        <v>406</v>
      </c>
      <c r="AB24">
        <v>0</v>
      </c>
      <c r="AC24">
        <v>0</v>
      </c>
      <c r="AD24">
        <v>0</v>
      </c>
      <c r="AE24">
        <v>406</v>
      </c>
      <c r="AF24">
        <v>0</v>
      </c>
      <c r="AG24">
        <v>0</v>
      </c>
      <c r="AH24">
        <v>0</v>
      </c>
      <c r="AI24">
        <v>406</v>
      </c>
      <c r="AJ24">
        <v>0</v>
      </c>
      <c r="AK24">
        <v>0</v>
      </c>
      <c r="AL24">
        <v>0</v>
      </c>
      <c r="AM24">
        <v>406</v>
      </c>
      <c r="AN24">
        <v>0</v>
      </c>
      <c r="AO24">
        <v>0</v>
      </c>
      <c r="AP24">
        <v>0</v>
      </c>
      <c r="AQ24" t="s">
        <v>56</v>
      </c>
      <c r="AR24">
        <v>406</v>
      </c>
      <c r="AS24">
        <v>0</v>
      </c>
      <c r="AT24">
        <v>0</v>
      </c>
      <c r="AU24">
        <v>0</v>
      </c>
      <c r="AV24">
        <v>406</v>
      </c>
      <c r="AW24">
        <v>0</v>
      </c>
      <c r="AX24">
        <v>0</v>
      </c>
      <c r="AY24">
        <v>0</v>
      </c>
      <c r="AZ24">
        <v>406</v>
      </c>
      <c r="BA24">
        <v>0</v>
      </c>
      <c r="BB24">
        <v>0</v>
      </c>
      <c r="BC24">
        <v>0</v>
      </c>
      <c r="BD24">
        <v>406</v>
      </c>
      <c r="BE24">
        <v>0</v>
      </c>
      <c r="BF24">
        <v>0</v>
      </c>
      <c r="BG24">
        <v>0</v>
      </c>
      <c r="BH24">
        <v>406</v>
      </c>
      <c r="BI24">
        <v>0</v>
      </c>
      <c r="BJ24">
        <v>0</v>
      </c>
      <c r="BK24">
        <v>0</v>
      </c>
    </row>
    <row r="25" spans="1:63">
      <c r="A25" t="s">
        <v>18</v>
      </c>
      <c r="B25">
        <v>192</v>
      </c>
      <c r="C25">
        <v>0</v>
      </c>
      <c r="D25">
        <v>0</v>
      </c>
      <c r="E25">
        <v>0</v>
      </c>
      <c r="F25">
        <v>192</v>
      </c>
      <c r="G25">
        <v>0</v>
      </c>
      <c r="H25">
        <v>0</v>
      </c>
      <c r="I25">
        <v>0</v>
      </c>
      <c r="J25">
        <v>192</v>
      </c>
      <c r="K25">
        <v>0</v>
      </c>
      <c r="L25">
        <v>0</v>
      </c>
      <c r="M25">
        <v>0</v>
      </c>
      <c r="N25">
        <v>192</v>
      </c>
      <c r="O25">
        <v>0</v>
      </c>
      <c r="P25">
        <v>0</v>
      </c>
      <c r="Q25">
        <v>0</v>
      </c>
      <c r="R25">
        <v>192</v>
      </c>
      <c r="S25">
        <v>0</v>
      </c>
      <c r="T25">
        <v>0</v>
      </c>
      <c r="U25">
        <v>0</v>
      </c>
      <c r="V25" t="s">
        <v>18</v>
      </c>
      <c r="W25">
        <v>192</v>
      </c>
      <c r="X25">
        <v>0</v>
      </c>
      <c r="Y25">
        <v>0</v>
      </c>
      <c r="Z25">
        <v>0</v>
      </c>
      <c r="AA25">
        <v>192</v>
      </c>
      <c r="AB25">
        <v>0</v>
      </c>
      <c r="AC25">
        <v>0</v>
      </c>
      <c r="AD25">
        <v>0</v>
      </c>
      <c r="AE25">
        <v>192</v>
      </c>
      <c r="AF25">
        <v>0</v>
      </c>
      <c r="AG25">
        <v>0</v>
      </c>
      <c r="AH25">
        <v>0</v>
      </c>
      <c r="AI25">
        <v>192</v>
      </c>
      <c r="AJ25">
        <v>0</v>
      </c>
      <c r="AK25">
        <v>0</v>
      </c>
      <c r="AL25">
        <v>0</v>
      </c>
      <c r="AM25">
        <v>192</v>
      </c>
      <c r="AN25">
        <v>0</v>
      </c>
      <c r="AO25">
        <v>0</v>
      </c>
      <c r="AP25">
        <v>0</v>
      </c>
      <c r="AQ25" t="s">
        <v>18</v>
      </c>
      <c r="AR25">
        <v>192</v>
      </c>
      <c r="AS25">
        <v>0</v>
      </c>
      <c r="AT25">
        <v>0</v>
      </c>
      <c r="AU25">
        <v>0</v>
      </c>
      <c r="AV25">
        <v>192</v>
      </c>
      <c r="AW25">
        <v>0</v>
      </c>
      <c r="AX25">
        <v>0</v>
      </c>
      <c r="AY25">
        <v>0</v>
      </c>
      <c r="AZ25">
        <v>192</v>
      </c>
      <c r="BA25">
        <v>0</v>
      </c>
      <c r="BB25">
        <v>0</v>
      </c>
      <c r="BC25">
        <v>0</v>
      </c>
      <c r="BD25">
        <v>192</v>
      </c>
      <c r="BE25">
        <v>0</v>
      </c>
      <c r="BF25">
        <v>0</v>
      </c>
      <c r="BG25">
        <v>0</v>
      </c>
      <c r="BH25">
        <v>192</v>
      </c>
      <c r="BI25">
        <v>0</v>
      </c>
      <c r="BJ25">
        <v>0</v>
      </c>
      <c r="BK25">
        <v>0</v>
      </c>
    </row>
    <row r="26" spans="1:63">
      <c r="A26" t="s">
        <v>27</v>
      </c>
      <c r="B26">
        <v>118</v>
      </c>
      <c r="C26">
        <v>0</v>
      </c>
      <c r="D26">
        <v>0</v>
      </c>
      <c r="E26">
        <v>0</v>
      </c>
      <c r="F26">
        <v>118</v>
      </c>
      <c r="G26">
        <v>0</v>
      </c>
      <c r="H26">
        <v>0</v>
      </c>
      <c r="I26">
        <v>0</v>
      </c>
      <c r="J26">
        <v>118</v>
      </c>
      <c r="K26">
        <v>0</v>
      </c>
      <c r="L26">
        <v>0</v>
      </c>
      <c r="M26">
        <v>0</v>
      </c>
      <c r="N26">
        <v>118</v>
      </c>
      <c r="O26">
        <v>0</v>
      </c>
      <c r="P26">
        <v>0</v>
      </c>
      <c r="Q26">
        <v>0</v>
      </c>
      <c r="R26">
        <v>118</v>
      </c>
      <c r="S26">
        <v>0</v>
      </c>
      <c r="T26">
        <v>0</v>
      </c>
      <c r="U26">
        <v>0</v>
      </c>
      <c r="V26" t="s">
        <v>27</v>
      </c>
      <c r="W26">
        <v>118</v>
      </c>
      <c r="X26">
        <v>0</v>
      </c>
      <c r="Y26">
        <v>0</v>
      </c>
      <c r="Z26">
        <v>0</v>
      </c>
      <c r="AA26">
        <v>118</v>
      </c>
      <c r="AB26">
        <v>0</v>
      </c>
      <c r="AC26">
        <v>0</v>
      </c>
      <c r="AD26">
        <v>0</v>
      </c>
      <c r="AE26">
        <v>118</v>
      </c>
      <c r="AF26">
        <v>0</v>
      </c>
      <c r="AG26">
        <v>0</v>
      </c>
      <c r="AH26">
        <v>0</v>
      </c>
      <c r="AI26">
        <v>118</v>
      </c>
      <c r="AJ26">
        <v>0</v>
      </c>
      <c r="AK26">
        <v>0</v>
      </c>
      <c r="AL26">
        <v>0</v>
      </c>
      <c r="AM26">
        <v>118</v>
      </c>
      <c r="AN26">
        <v>0</v>
      </c>
      <c r="AO26">
        <v>0</v>
      </c>
      <c r="AP26">
        <v>0</v>
      </c>
      <c r="AQ26" t="s">
        <v>27</v>
      </c>
      <c r="AR26">
        <v>118</v>
      </c>
      <c r="AS26">
        <v>0</v>
      </c>
      <c r="AT26">
        <v>0</v>
      </c>
      <c r="AU26">
        <v>0</v>
      </c>
      <c r="AV26">
        <v>118</v>
      </c>
      <c r="AW26">
        <v>0</v>
      </c>
      <c r="AX26">
        <v>0</v>
      </c>
      <c r="AY26">
        <v>0</v>
      </c>
      <c r="AZ26">
        <v>118</v>
      </c>
      <c r="BA26">
        <v>0</v>
      </c>
      <c r="BB26">
        <v>0</v>
      </c>
      <c r="BC26">
        <v>0</v>
      </c>
      <c r="BD26">
        <v>118</v>
      </c>
      <c r="BE26">
        <v>0</v>
      </c>
      <c r="BF26">
        <v>0</v>
      </c>
      <c r="BG26">
        <v>0</v>
      </c>
      <c r="BH26">
        <v>118</v>
      </c>
      <c r="BI26">
        <v>0</v>
      </c>
      <c r="BJ26">
        <v>0</v>
      </c>
      <c r="BK26">
        <v>0</v>
      </c>
    </row>
    <row r="27" spans="1:63">
      <c r="A27" t="s">
        <v>69</v>
      </c>
      <c r="B27">
        <v>30</v>
      </c>
      <c r="C27">
        <v>0</v>
      </c>
      <c r="D27">
        <v>0</v>
      </c>
      <c r="E27">
        <v>0</v>
      </c>
      <c r="F27">
        <v>30</v>
      </c>
      <c r="G27">
        <v>0</v>
      </c>
      <c r="H27">
        <v>0</v>
      </c>
      <c r="I27">
        <v>0</v>
      </c>
      <c r="J27">
        <v>30</v>
      </c>
      <c r="K27">
        <v>0</v>
      </c>
      <c r="L27">
        <v>0</v>
      </c>
      <c r="M27">
        <v>0</v>
      </c>
      <c r="N27">
        <v>30</v>
      </c>
      <c r="O27">
        <v>0</v>
      </c>
      <c r="P27">
        <v>0</v>
      </c>
      <c r="Q27">
        <v>0</v>
      </c>
      <c r="R27">
        <v>30</v>
      </c>
      <c r="S27">
        <v>0</v>
      </c>
      <c r="T27">
        <v>0</v>
      </c>
      <c r="U27">
        <v>0</v>
      </c>
      <c r="V27" t="s">
        <v>69</v>
      </c>
      <c r="W27">
        <v>30</v>
      </c>
      <c r="X27">
        <v>0</v>
      </c>
      <c r="Y27">
        <v>0</v>
      </c>
      <c r="Z27">
        <v>0</v>
      </c>
      <c r="AA27">
        <v>30</v>
      </c>
      <c r="AB27">
        <v>0</v>
      </c>
      <c r="AC27">
        <v>0</v>
      </c>
      <c r="AD27">
        <v>0</v>
      </c>
      <c r="AE27">
        <v>30</v>
      </c>
      <c r="AF27">
        <v>0</v>
      </c>
      <c r="AG27">
        <v>0</v>
      </c>
      <c r="AH27">
        <v>0</v>
      </c>
      <c r="AI27">
        <v>30</v>
      </c>
      <c r="AJ27">
        <v>0</v>
      </c>
      <c r="AK27">
        <v>0</v>
      </c>
      <c r="AL27">
        <v>0</v>
      </c>
      <c r="AM27">
        <v>30</v>
      </c>
      <c r="AN27">
        <v>0</v>
      </c>
      <c r="AO27">
        <v>0</v>
      </c>
      <c r="AP27">
        <v>0</v>
      </c>
      <c r="AQ27" t="s">
        <v>69</v>
      </c>
      <c r="AR27">
        <v>30</v>
      </c>
      <c r="AS27">
        <v>0</v>
      </c>
      <c r="AT27">
        <v>0</v>
      </c>
      <c r="AU27">
        <v>0</v>
      </c>
      <c r="AV27">
        <v>30</v>
      </c>
      <c r="AW27">
        <v>0</v>
      </c>
      <c r="AX27">
        <v>0</v>
      </c>
      <c r="AY27">
        <v>0</v>
      </c>
      <c r="AZ27">
        <v>30</v>
      </c>
      <c r="BA27">
        <v>0</v>
      </c>
      <c r="BB27">
        <v>0</v>
      </c>
      <c r="BC27">
        <v>0</v>
      </c>
      <c r="BD27">
        <v>30</v>
      </c>
      <c r="BE27">
        <v>0</v>
      </c>
      <c r="BF27">
        <v>0</v>
      </c>
      <c r="BG27">
        <v>0</v>
      </c>
      <c r="BH27">
        <v>30</v>
      </c>
      <c r="BI27">
        <v>0</v>
      </c>
      <c r="BJ27">
        <v>0</v>
      </c>
      <c r="BK27">
        <v>0</v>
      </c>
    </row>
    <row r="28" spans="1:63">
      <c r="A28" t="s">
        <v>71</v>
      </c>
      <c r="B28">
        <v>112</v>
      </c>
      <c r="C28">
        <v>0</v>
      </c>
      <c r="D28">
        <v>0</v>
      </c>
      <c r="E28">
        <v>0</v>
      </c>
      <c r="F28">
        <v>112</v>
      </c>
      <c r="G28">
        <v>0</v>
      </c>
      <c r="H28">
        <v>0</v>
      </c>
      <c r="I28">
        <v>0</v>
      </c>
      <c r="J28">
        <v>112</v>
      </c>
      <c r="K28">
        <v>0</v>
      </c>
      <c r="L28">
        <v>0</v>
      </c>
      <c r="M28">
        <v>0</v>
      </c>
      <c r="N28">
        <v>112</v>
      </c>
      <c r="O28">
        <v>0</v>
      </c>
      <c r="P28">
        <v>0</v>
      </c>
      <c r="Q28">
        <v>0</v>
      </c>
      <c r="R28">
        <v>112</v>
      </c>
      <c r="S28">
        <v>0</v>
      </c>
      <c r="T28">
        <v>0</v>
      </c>
      <c r="U28">
        <v>0</v>
      </c>
      <c r="V28" t="s">
        <v>71</v>
      </c>
      <c r="W28">
        <v>112</v>
      </c>
      <c r="X28">
        <v>0</v>
      </c>
      <c r="Y28">
        <v>0</v>
      </c>
      <c r="Z28">
        <v>0</v>
      </c>
      <c r="AA28">
        <v>112</v>
      </c>
      <c r="AB28">
        <v>0</v>
      </c>
      <c r="AC28">
        <v>0</v>
      </c>
      <c r="AD28">
        <v>0</v>
      </c>
      <c r="AE28">
        <v>112</v>
      </c>
      <c r="AF28">
        <v>0</v>
      </c>
      <c r="AG28">
        <v>0</v>
      </c>
      <c r="AH28">
        <v>0</v>
      </c>
      <c r="AI28">
        <v>112</v>
      </c>
      <c r="AJ28">
        <v>0</v>
      </c>
      <c r="AK28">
        <v>0</v>
      </c>
      <c r="AL28">
        <v>0</v>
      </c>
      <c r="AM28">
        <v>112</v>
      </c>
      <c r="AN28">
        <v>0</v>
      </c>
      <c r="AO28">
        <v>0</v>
      </c>
      <c r="AP28">
        <v>0</v>
      </c>
      <c r="AQ28" t="s">
        <v>71</v>
      </c>
      <c r="AR28">
        <v>112</v>
      </c>
      <c r="AS28">
        <v>0</v>
      </c>
      <c r="AT28">
        <v>0</v>
      </c>
      <c r="AU28">
        <v>0</v>
      </c>
      <c r="AV28">
        <v>112</v>
      </c>
      <c r="AW28">
        <v>0</v>
      </c>
      <c r="AX28">
        <v>0</v>
      </c>
      <c r="AY28">
        <v>0</v>
      </c>
      <c r="AZ28">
        <v>112</v>
      </c>
      <c r="BA28">
        <v>0</v>
      </c>
      <c r="BB28">
        <v>0</v>
      </c>
      <c r="BC28">
        <v>0</v>
      </c>
      <c r="BD28">
        <v>112</v>
      </c>
      <c r="BE28">
        <v>0</v>
      </c>
      <c r="BF28">
        <v>0</v>
      </c>
      <c r="BG28">
        <v>0</v>
      </c>
      <c r="BH28">
        <v>112</v>
      </c>
      <c r="BI28">
        <v>0</v>
      </c>
      <c r="BJ28">
        <v>0</v>
      </c>
      <c r="BK28">
        <v>0</v>
      </c>
    </row>
    <row r="29" spans="1:63">
      <c r="A29" t="s">
        <v>22</v>
      </c>
      <c r="B29">
        <v>44</v>
      </c>
      <c r="C29">
        <v>0</v>
      </c>
      <c r="D29">
        <v>0</v>
      </c>
      <c r="E29">
        <v>0</v>
      </c>
      <c r="F29">
        <v>44</v>
      </c>
      <c r="G29">
        <v>0</v>
      </c>
      <c r="H29">
        <v>0</v>
      </c>
      <c r="I29">
        <v>0</v>
      </c>
      <c r="J29">
        <v>44</v>
      </c>
      <c r="K29">
        <v>0</v>
      </c>
      <c r="L29">
        <v>0</v>
      </c>
      <c r="M29">
        <v>0</v>
      </c>
      <c r="N29">
        <v>44</v>
      </c>
      <c r="O29">
        <v>0</v>
      </c>
      <c r="P29">
        <v>0</v>
      </c>
      <c r="Q29">
        <v>0</v>
      </c>
      <c r="R29">
        <v>44</v>
      </c>
      <c r="S29">
        <v>0</v>
      </c>
      <c r="T29">
        <v>0</v>
      </c>
      <c r="U29">
        <v>0</v>
      </c>
      <c r="V29" t="s">
        <v>22</v>
      </c>
      <c r="W29">
        <v>44</v>
      </c>
      <c r="X29">
        <v>0</v>
      </c>
      <c r="Y29">
        <v>0</v>
      </c>
      <c r="Z29">
        <v>0</v>
      </c>
      <c r="AA29">
        <v>44</v>
      </c>
      <c r="AB29">
        <v>0</v>
      </c>
      <c r="AC29">
        <v>0</v>
      </c>
      <c r="AD29">
        <v>0</v>
      </c>
      <c r="AE29">
        <v>44</v>
      </c>
      <c r="AF29">
        <v>0</v>
      </c>
      <c r="AG29">
        <v>0</v>
      </c>
      <c r="AH29">
        <v>0</v>
      </c>
      <c r="AI29">
        <v>44</v>
      </c>
      <c r="AJ29">
        <v>0</v>
      </c>
      <c r="AK29">
        <v>0</v>
      </c>
      <c r="AL29">
        <v>0</v>
      </c>
      <c r="AM29">
        <v>44</v>
      </c>
      <c r="AN29">
        <v>0</v>
      </c>
      <c r="AO29">
        <v>0</v>
      </c>
      <c r="AP29">
        <v>0</v>
      </c>
      <c r="AQ29" t="s">
        <v>22</v>
      </c>
      <c r="AR29">
        <v>44</v>
      </c>
      <c r="AS29">
        <v>0</v>
      </c>
      <c r="AT29">
        <v>0</v>
      </c>
      <c r="AU29">
        <v>0</v>
      </c>
      <c r="AV29">
        <v>44</v>
      </c>
      <c r="AW29">
        <v>0</v>
      </c>
      <c r="AX29">
        <v>0</v>
      </c>
      <c r="AY29">
        <v>0</v>
      </c>
      <c r="AZ29">
        <v>44</v>
      </c>
      <c r="BA29">
        <v>0</v>
      </c>
      <c r="BB29">
        <v>0</v>
      </c>
      <c r="BC29">
        <v>0</v>
      </c>
      <c r="BD29">
        <v>44</v>
      </c>
      <c r="BE29">
        <v>0</v>
      </c>
      <c r="BF29">
        <v>0</v>
      </c>
      <c r="BG29">
        <v>0</v>
      </c>
      <c r="BH29">
        <v>44</v>
      </c>
      <c r="BI29">
        <v>0</v>
      </c>
      <c r="BJ29">
        <v>0</v>
      </c>
      <c r="BK29">
        <v>0</v>
      </c>
    </row>
    <row r="30" spans="1:63">
      <c r="A30" t="s">
        <v>94</v>
      </c>
      <c r="B30">
        <v>6</v>
      </c>
      <c r="C30">
        <v>0</v>
      </c>
      <c r="D30">
        <v>0</v>
      </c>
      <c r="E30">
        <v>0</v>
      </c>
      <c r="F30">
        <v>6</v>
      </c>
      <c r="G30">
        <v>0</v>
      </c>
      <c r="H30">
        <v>0</v>
      </c>
      <c r="I30">
        <v>0</v>
      </c>
      <c r="J30">
        <v>6</v>
      </c>
      <c r="K30">
        <v>0</v>
      </c>
      <c r="L30">
        <v>0</v>
      </c>
      <c r="M30">
        <v>0</v>
      </c>
      <c r="N30">
        <v>6</v>
      </c>
      <c r="O30">
        <v>0</v>
      </c>
      <c r="P30">
        <v>0</v>
      </c>
      <c r="Q30">
        <v>0</v>
      </c>
      <c r="R30">
        <v>6</v>
      </c>
      <c r="S30">
        <v>0</v>
      </c>
      <c r="T30">
        <v>0</v>
      </c>
      <c r="U30">
        <v>0</v>
      </c>
      <c r="V30" t="s">
        <v>94</v>
      </c>
      <c r="W30">
        <v>6</v>
      </c>
      <c r="X30">
        <v>0</v>
      </c>
      <c r="Y30">
        <v>0</v>
      </c>
      <c r="Z30">
        <v>0</v>
      </c>
      <c r="AA30">
        <v>6</v>
      </c>
      <c r="AB30">
        <v>0</v>
      </c>
      <c r="AC30">
        <v>0</v>
      </c>
      <c r="AD30">
        <v>0</v>
      </c>
      <c r="AE30">
        <v>6</v>
      </c>
      <c r="AF30">
        <v>0</v>
      </c>
      <c r="AG30">
        <v>0</v>
      </c>
      <c r="AH30">
        <v>0</v>
      </c>
      <c r="AI30">
        <v>6</v>
      </c>
      <c r="AJ30">
        <v>0</v>
      </c>
      <c r="AK30">
        <v>0</v>
      </c>
      <c r="AL30">
        <v>0</v>
      </c>
      <c r="AM30">
        <v>6</v>
      </c>
      <c r="AN30">
        <v>0</v>
      </c>
      <c r="AO30">
        <v>0</v>
      </c>
      <c r="AP30">
        <v>0</v>
      </c>
      <c r="AQ30" t="s">
        <v>94</v>
      </c>
      <c r="AR30">
        <v>6</v>
      </c>
      <c r="AS30">
        <v>0</v>
      </c>
      <c r="AT30">
        <v>0</v>
      </c>
      <c r="AU30">
        <v>0</v>
      </c>
      <c r="AV30">
        <v>6</v>
      </c>
      <c r="AW30">
        <v>0</v>
      </c>
      <c r="AX30">
        <v>0</v>
      </c>
      <c r="AY30">
        <v>0</v>
      </c>
      <c r="AZ30">
        <v>6</v>
      </c>
      <c r="BA30">
        <v>0</v>
      </c>
      <c r="BB30">
        <v>0</v>
      </c>
      <c r="BC30">
        <v>0</v>
      </c>
      <c r="BD30">
        <v>6</v>
      </c>
      <c r="BE30">
        <v>0</v>
      </c>
      <c r="BF30">
        <v>0</v>
      </c>
      <c r="BG30">
        <v>0</v>
      </c>
      <c r="BH30">
        <v>6</v>
      </c>
      <c r="BI30">
        <v>0</v>
      </c>
      <c r="BJ30">
        <v>0</v>
      </c>
      <c r="BK30">
        <v>0</v>
      </c>
    </row>
    <row r="31" spans="1:63">
      <c r="A31" t="s">
        <v>20</v>
      </c>
      <c r="B31">
        <v>112</v>
      </c>
      <c r="C31">
        <v>0</v>
      </c>
      <c r="D31">
        <v>0</v>
      </c>
      <c r="E31">
        <v>0</v>
      </c>
      <c r="F31">
        <v>112</v>
      </c>
      <c r="G31">
        <v>0</v>
      </c>
      <c r="H31">
        <v>0</v>
      </c>
      <c r="I31">
        <v>0</v>
      </c>
      <c r="J31">
        <v>112</v>
      </c>
      <c r="K31">
        <v>0</v>
      </c>
      <c r="L31">
        <v>0</v>
      </c>
      <c r="M31">
        <v>0</v>
      </c>
      <c r="N31">
        <v>112</v>
      </c>
      <c r="O31">
        <v>0</v>
      </c>
      <c r="P31">
        <v>0</v>
      </c>
      <c r="Q31">
        <v>0</v>
      </c>
      <c r="R31">
        <v>112</v>
      </c>
      <c r="S31">
        <v>0</v>
      </c>
      <c r="T31">
        <v>0</v>
      </c>
      <c r="U31">
        <v>0</v>
      </c>
      <c r="V31" t="s">
        <v>20</v>
      </c>
      <c r="W31">
        <v>112</v>
      </c>
      <c r="X31">
        <v>0</v>
      </c>
      <c r="Y31">
        <v>0</v>
      </c>
      <c r="Z31">
        <v>0</v>
      </c>
      <c r="AA31">
        <v>112</v>
      </c>
      <c r="AB31">
        <v>0</v>
      </c>
      <c r="AC31">
        <v>0</v>
      </c>
      <c r="AD31">
        <v>0</v>
      </c>
      <c r="AE31">
        <v>112</v>
      </c>
      <c r="AF31">
        <v>0</v>
      </c>
      <c r="AG31">
        <v>0</v>
      </c>
      <c r="AH31">
        <v>0</v>
      </c>
      <c r="AI31">
        <v>112</v>
      </c>
      <c r="AJ31">
        <v>0</v>
      </c>
      <c r="AK31">
        <v>0</v>
      </c>
      <c r="AL31">
        <v>0</v>
      </c>
      <c r="AM31">
        <v>112</v>
      </c>
      <c r="AN31">
        <v>0</v>
      </c>
      <c r="AO31">
        <v>0</v>
      </c>
      <c r="AP31">
        <v>0</v>
      </c>
      <c r="AQ31" t="s">
        <v>20</v>
      </c>
      <c r="AR31">
        <v>112</v>
      </c>
      <c r="AS31">
        <v>0</v>
      </c>
      <c r="AT31">
        <v>0</v>
      </c>
      <c r="AU31">
        <v>0</v>
      </c>
      <c r="AV31">
        <v>112</v>
      </c>
      <c r="AW31">
        <v>0</v>
      </c>
      <c r="AX31">
        <v>0</v>
      </c>
      <c r="AY31">
        <v>0</v>
      </c>
      <c r="AZ31">
        <v>112</v>
      </c>
      <c r="BA31">
        <v>0</v>
      </c>
      <c r="BB31">
        <v>0</v>
      </c>
      <c r="BC31">
        <v>0</v>
      </c>
      <c r="BD31">
        <v>112</v>
      </c>
      <c r="BE31">
        <v>0</v>
      </c>
      <c r="BF31">
        <v>0</v>
      </c>
      <c r="BG31">
        <v>0</v>
      </c>
      <c r="BH31">
        <v>112</v>
      </c>
      <c r="BI31">
        <v>0</v>
      </c>
      <c r="BJ31">
        <v>0</v>
      </c>
      <c r="BK31">
        <v>0</v>
      </c>
    </row>
    <row r="32" spans="1:63">
      <c r="A32" t="s">
        <v>24</v>
      </c>
      <c r="B32">
        <v>43</v>
      </c>
      <c r="C32">
        <v>0</v>
      </c>
      <c r="D32">
        <v>0</v>
      </c>
      <c r="E32">
        <v>0</v>
      </c>
      <c r="F32">
        <v>43</v>
      </c>
      <c r="G32">
        <v>0</v>
      </c>
      <c r="H32">
        <v>0</v>
      </c>
      <c r="I32">
        <v>0</v>
      </c>
      <c r="J32">
        <v>43</v>
      </c>
      <c r="K32">
        <v>0</v>
      </c>
      <c r="L32">
        <v>0</v>
      </c>
      <c r="M32">
        <v>0</v>
      </c>
      <c r="N32">
        <v>43</v>
      </c>
      <c r="O32">
        <v>0</v>
      </c>
      <c r="P32">
        <v>0</v>
      </c>
      <c r="Q32">
        <v>0</v>
      </c>
      <c r="R32">
        <v>43</v>
      </c>
      <c r="S32">
        <v>0</v>
      </c>
      <c r="T32">
        <v>0</v>
      </c>
      <c r="U32">
        <v>0</v>
      </c>
      <c r="V32" t="s">
        <v>24</v>
      </c>
      <c r="W32">
        <v>43</v>
      </c>
      <c r="X32">
        <v>0</v>
      </c>
      <c r="Y32">
        <v>0</v>
      </c>
      <c r="Z32">
        <v>0</v>
      </c>
      <c r="AA32">
        <v>43</v>
      </c>
      <c r="AB32">
        <v>0</v>
      </c>
      <c r="AC32">
        <v>0</v>
      </c>
      <c r="AD32">
        <v>0</v>
      </c>
      <c r="AE32">
        <v>43</v>
      </c>
      <c r="AF32">
        <v>0</v>
      </c>
      <c r="AG32">
        <v>0</v>
      </c>
      <c r="AH32">
        <v>0</v>
      </c>
      <c r="AI32">
        <v>43</v>
      </c>
      <c r="AJ32">
        <v>0</v>
      </c>
      <c r="AK32">
        <v>0</v>
      </c>
      <c r="AL32">
        <v>0</v>
      </c>
      <c r="AM32">
        <v>43</v>
      </c>
      <c r="AN32">
        <v>0</v>
      </c>
      <c r="AO32">
        <v>0</v>
      </c>
      <c r="AP32">
        <v>0</v>
      </c>
      <c r="AQ32" t="s">
        <v>24</v>
      </c>
      <c r="AR32">
        <v>43</v>
      </c>
      <c r="AS32">
        <v>0</v>
      </c>
      <c r="AT32">
        <v>0</v>
      </c>
      <c r="AU32">
        <v>0</v>
      </c>
      <c r="AV32">
        <v>43</v>
      </c>
      <c r="AW32">
        <v>0</v>
      </c>
      <c r="AX32">
        <v>0</v>
      </c>
      <c r="AY32">
        <v>0</v>
      </c>
      <c r="AZ32">
        <v>43</v>
      </c>
      <c r="BA32">
        <v>0</v>
      </c>
      <c r="BB32">
        <v>0</v>
      </c>
      <c r="BC32">
        <v>0</v>
      </c>
      <c r="BD32">
        <v>43</v>
      </c>
      <c r="BE32">
        <v>0</v>
      </c>
      <c r="BF32">
        <v>0</v>
      </c>
      <c r="BG32">
        <v>0</v>
      </c>
      <c r="BH32">
        <v>43</v>
      </c>
      <c r="BI32">
        <v>0</v>
      </c>
      <c r="BJ32">
        <v>0</v>
      </c>
      <c r="BK32">
        <v>0</v>
      </c>
    </row>
    <row r="33" spans="1:63">
      <c r="A33" t="s">
        <v>26</v>
      </c>
      <c r="B33">
        <v>4</v>
      </c>
      <c r="C33">
        <v>0</v>
      </c>
      <c r="D33">
        <v>0</v>
      </c>
      <c r="E33">
        <v>0</v>
      </c>
      <c r="F33">
        <v>4</v>
      </c>
      <c r="G33">
        <v>0</v>
      </c>
      <c r="H33">
        <v>0</v>
      </c>
      <c r="I33">
        <v>0</v>
      </c>
      <c r="J33">
        <v>4</v>
      </c>
      <c r="K33">
        <v>0</v>
      </c>
      <c r="L33">
        <v>0</v>
      </c>
      <c r="M33">
        <v>0</v>
      </c>
      <c r="N33">
        <v>4</v>
      </c>
      <c r="O33">
        <v>0</v>
      </c>
      <c r="P33">
        <v>0</v>
      </c>
      <c r="Q33">
        <v>0</v>
      </c>
      <c r="R33">
        <v>4</v>
      </c>
      <c r="S33">
        <v>0</v>
      </c>
      <c r="T33">
        <v>0</v>
      </c>
      <c r="U33">
        <v>0</v>
      </c>
      <c r="V33" t="s">
        <v>26</v>
      </c>
      <c r="W33">
        <v>4</v>
      </c>
      <c r="X33">
        <v>0</v>
      </c>
      <c r="Y33">
        <v>0</v>
      </c>
      <c r="Z33">
        <v>0</v>
      </c>
      <c r="AA33">
        <v>4</v>
      </c>
      <c r="AB33">
        <v>0</v>
      </c>
      <c r="AC33">
        <v>0</v>
      </c>
      <c r="AD33">
        <v>0</v>
      </c>
      <c r="AE33">
        <v>4</v>
      </c>
      <c r="AF33">
        <v>0</v>
      </c>
      <c r="AG33">
        <v>0</v>
      </c>
      <c r="AH33">
        <v>0</v>
      </c>
      <c r="AI33">
        <v>4</v>
      </c>
      <c r="AJ33">
        <v>0</v>
      </c>
      <c r="AK33">
        <v>0</v>
      </c>
      <c r="AL33">
        <v>0</v>
      </c>
      <c r="AM33">
        <v>4</v>
      </c>
      <c r="AN33">
        <v>0</v>
      </c>
      <c r="AO33">
        <v>0</v>
      </c>
      <c r="AP33">
        <v>0</v>
      </c>
      <c r="AQ33" t="s">
        <v>26</v>
      </c>
      <c r="AR33">
        <v>4</v>
      </c>
      <c r="AS33">
        <v>0</v>
      </c>
      <c r="AT33">
        <v>0</v>
      </c>
      <c r="AU33">
        <v>0</v>
      </c>
      <c r="AV33">
        <v>4</v>
      </c>
      <c r="AW33">
        <v>0</v>
      </c>
      <c r="AX33">
        <v>0</v>
      </c>
      <c r="AY33">
        <v>0</v>
      </c>
      <c r="AZ33">
        <v>4</v>
      </c>
      <c r="BA33">
        <v>0</v>
      </c>
      <c r="BB33">
        <v>0</v>
      </c>
      <c r="BC33">
        <v>0</v>
      </c>
      <c r="BD33">
        <v>4</v>
      </c>
      <c r="BE33">
        <v>0</v>
      </c>
      <c r="BF33">
        <v>0</v>
      </c>
      <c r="BG33">
        <v>0</v>
      </c>
      <c r="BH33">
        <v>4</v>
      </c>
      <c r="BI33">
        <v>0</v>
      </c>
      <c r="BJ33">
        <v>0</v>
      </c>
      <c r="BK33">
        <v>0</v>
      </c>
    </row>
    <row r="34" spans="1:63">
      <c r="A34" t="s">
        <v>104</v>
      </c>
      <c r="B34">
        <v>7</v>
      </c>
      <c r="C34">
        <v>0</v>
      </c>
      <c r="D34">
        <v>0</v>
      </c>
      <c r="E34">
        <v>0</v>
      </c>
      <c r="F34">
        <v>7</v>
      </c>
      <c r="G34">
        <v>0</v>
      </c>
      <c r="H34">
        <v>0</v>
      </c>
      <c r="I34">
        <v>0</v>
      </c>
      <c r="J34">
        <v>7</v>
      </c>
      <c r="K34">
        <v>0</v>
      </c>
      <c r="L34">
        <v>0</v>
      </c>
      <c r="M34">
        <v>0</v>
      </c>
      <c r="N34">
        <v>7</v>
      </c>
      <c r="O34">
        <v>0</v>
      </c>
      <c r="P34">
        <v>0</v>
      </c>
      <c r="Q34">
        <v>0</v>
      </c>
      <c r="R34">
        <v>7</v>
      </c>
      <c r="S34">
        <v>0</v>
      </c>
      <c r="T34">
        <v>0</v>
      </c>
      <c r="U34">
        <v>0</v>
      </c>
      <c r="V34" t="s">
        <v>104</v>
      </c>
      <c r="W34">
        <v>7</v>
      </c>
      <c r="X34">
        <v>0</v>
      </c>
      <c r="Y34">
        <v>0</v>
      </c>
      <c r="Z34">
        <v>0</v>
      </c>
      <c r="AA34">
        <v>7</v>
      </c>
      <c r="AB34">
        <v>0</v>
      </c>
      <c r="AC34">
        <v>0</v>
      </c>
      <c r="AD34">
        <v>0</v>
      </c>
      <c r="AE34">
        <v>7</v>
      </c>
      <c r="AF34">
        <v>0</v>
      </c>
      <c r="AG34">
        <v>0</v>
      </c>
      <c r="AH34">
        <v>0</v>
      </c>
      <c r="AI34">
        <v>7</v>
      </c>
      <c r="AJ34">
        <v>0</v>
      </c>
      <c r="AK34">
        <v>0</v>
      </c>
      <c r="AL34">
        <v>0</v>
      </c>
      <c r="AM34">
        <v>7</v>
      </c>
      <c r="AN34">
        <v>0</v>
      </c>
      <c r="AO34">
        <v>0</v>
      </c>
      <c r="AP34">
        <v>0</v>
      </c>
      <c r="AQ34" t="s">
        <v>104</v>
      </c>
      <c r="AR34">
        <v>7</v>
      </c>
      <c r="AS34">
        <v>0</v>
      </c>
      <c r="AT34">
        <v>0</v>
      </c>
      <c r="AU34">
        <v>0</v>
      </c>
      <c r="AV34">
        <v>7</v>
      </c>
      <c r="AW34">
        <v>0</v>
      </c>
      <c r="AX34">
        <v>0</v>
      </c>
      <c r="AY34">
        <v>0</v>
      </c>
      <c r="AZ34">
        <v>7</v>
      </c>
      <c r="BA34">
        <v>0</v>
      </c>
      <c r="BB34">
        <v>0</v>
      </c>
      <c r="BC34">
        <v>0</v>
      </c>
      <c r="BD34">
        <v>7</v>
      </c>
      <c r="BE34">
        <v>0</v>
      </c>
      <c r="BF34">
        <v>0</v>
      </c>
      <c r="BG34">
        <v>0</v>
      </c>
      <c r="BH34">
        <v>7</v>
      </c>
      <c r="BI34">
        <v>0</v>
      </c>
      <c r="BJ34">
        <v>0</v>
      </c>
      <c r="BK34">
        <v>0</v>
      </c>
    </row>
    <row r="35" spans="1:63">
      <c r="A35" t="s">
        <v>16</v>
      </c>
      <c r="B35">
        <v>88</v>
      </c>
      <c r="C35">
        <v>0</v>
      </c>
      <c r="D35">
        <v>0</v>
      </c>
      <c r="E35">
        <v>0</v>
      </c>
      <c r="F35">
        <v>88</v>
      </c>
      <c r="G35">
        <v>0</v>
      </c>
      <c r="H35">
        <v>0</v>
      </c>
      <c r="I35">
        <v>0</v>
      </c>
      <c r="J35">
        <v>88</v>
      </c>
      <c r="K35">
        <v>0</v>
      </c>
      <c r="L35">
        <v>0</v>
      </c>
      <c r="M35">
        <v>0</v>
      </c>
      <c r="N35">
        <v>88</v>
      </c>
      <c r="O35">
        <v>0</v>
      </c>
      <c r="P35">
        <v>0</v>
      </c>
      <c r="Q35">
        <v>0</v>
      </c>
      <c r="R35">
        <v>88</v>
      </c>
      <c r="S35">
        <v>0</v>
      </c>
      <c r="T35">
        <v>0</v>
      </c>
      <c r="U35">
        <v>0</v>
      </c>
      <c r="V35" t="s">
        <v>16</v>
      </c>
      <c r="W35">
        <v>88</v>
      </c>
      <c r="X35">
        <v>0</v>
      </c>
      <c r="Y35">
        <v>0</v>
      </c>
      <c r="Z35">
        <v>0</v>
      </c>
      <c r="AA35">
        <v>88</v>
      </c>
      <c r="AB35">
        <v>0</v>
      </c>
      <c r="AC35">
        <v>0</v>
      </c>
      <c r="AD35">
        <v>0</v>
      </c>
      <c r="AE35">
        <v>88</v>
      </c>
      <c r="AF35">
        <v>0</v>
      </c>
      <c r="AG35">
        <v>0</v>
      </c>
      <c r="AH35">
        <v>0</v>
      </c>
      <c r="AI35">
        <v>88</v>
      </c>
      <c r="AJ35">
        <v>0</v>
      </c>
      <c r="AK35">
        <v>0</v>
      </c>
      <c r="AL35">
        <v>0</v>
      </c>
      <c r="AM35">
        <v>88</v>
      </c>
      <c r="AN35">
        <v>0</v>
      </c>
      <c r="AO35">
        <v>0</v>
      </c>
      <c r="AP35">
        <v>0</v>
      </c>
      <c r="AQ35" t="s">
        <v>16</v>
      </c>
      <c r="AR35">
        <v>88</v>
      </c>
      <c r="AS35">
        <v>0</v>
      </c>
      <c r="AT35">
        <v>0</v>
      </c>
      <c r="AU35">
        <v>0</v>
      </c>
      <c r="AV35">
        <v>88</v>
      </c>
      <c r="AW35">
        <v>0</v>
      </c>
      <c r="AX35">
        <v>0</v>
      </c>
      <c r="AY35">
        <v>0</v>
      </c>
      <c r="AZ35">
        <v>88</v>
      </c>
      <c r="BA35">
        <v>0</v>
      </c>
      <c r="BB35">
        <v>0</v>
      </c>
      <c r="BC35">
        <v>0</v>
      </c>
      <c r="BD35">
        <v>88</v>
      </c>
      <c r="BE35">
        <v>0</v>
      </c>
      <c r="BF35">
        <v>0</v>
      </c>
      <c r="BG35">
        <v>0</v>
      </c>
      <c r="BH35">
        <v>88</v>
      </c>
      <c r="BI35">
        <v>0</v>
      </c>
      <c r="BJ35">
        <v>0</v>
      </c>
      <c r="BK35">
        <v>0</v>
      </c>
    </row>
    <row r="36" spans="1:63">
      <c r="A36" t="s">
        <v>91</v>
      </c>
      <c r="B36">
        <v>65</v>
      </c>
      <c r="C36">
        <v>6</v>
      </c>
      <c r="D36">
        <v>0</v>
      </c>
      <c r="E36">
        <v>0</v>
      </c>
      <c r="F36">
        <v>65</v>
      </c>
      <c r="G36">
        <v>6</v>
      </c>
      <c r="H36">
        <v>0</v>
      </c>
      <c r="I36">
        <v>0</v>
      </c>
      <c r="J36">
        <v>71</v>
      </c>
      <c r="K36">
        <v>0</v>
      </c>
      <c r="L36">
        <v>0</v>
      </c>
      <c r="M36">
        <v>0</v>
      </c>
      <c r="N36">
        <v>65</v>
      </c>
      <c r="O36">
        <v>0</v>
      </c>
      <c r="P36">
        <v>6</v>
      </c>
      <c r="Q36">
        <v>0</v>
      </c>
      <c r="R36">
        <v>71</v>
      </c>
      <c r="S36">
        <v>0</v>
      </c>
      <c r="T36">
        <v>0</v>
      </c>
      <c r="U36">
        <v>0</v>
      </c>
      <c r="V36" t="s">
        <v>91</v>
      </c>
      <c r="W36">
        <v>65</v>
      </c>
      <c r="X36">
        <v>6</v>
      </c>
      <c r="Y36">
        <v>0</v>
      </c>
      <c r="Z36">
        <v>0</v>
      </c>
      <c r="AA36">
        <v>65</v>
      </c>
      <c r="AB36">
        <v>6</v>
      </c>
      <c r="AC36">
        <v>0</v>
      </c>
      <c r="AD36">
        <v>0</v>
      </c>
      <c r="AE36">
        <v>71</v>
      </c>
      <c r="AF36">
        <v>0</v>
      </c>
      <c r="AG36">
        <v>0</v>
      </c>
      <c r="AH36">
        <v>0</v>
      </c>
      <c r="AI36">
        <v>65</v>
      </c>
      <c r="AJ36">
        <v>0</v>
      </c>
      <c r="AK36">
        <v>6</v>
      </c>
      <c r="AL36">
        <v>0</v>
      </c>
      <c r="AM36">
        <v>71</v>
      </c>
      <c r="AN36">
        <v>0</v>
      </c>
      <c r="AO36">
        <v>0</v>
      </c>
      <c r="AP36">
        <v>0</v>
      </c>
      <c r="AQ36" t="s">
        <v>91</v>
      </c>
      <c r="AR36">
        <v>65</v>
      </c>
      <c r="AS36">
        <v>6</v>
      </c>
      <c r="AT36">
        <v>0</v>
      </c>
      <c r="AU36">
        <v>0</v>
      </c>
      <c r="AV36">
        <v>65</v>
      </c>
      <c r="AW36">
        <v>6</v>
      </c>
      <c r="AX36">
        <v>0</v>
      </c>
      <c r="AY36">
        <v>0</v>
      </c>
      <c r="AZ36">
        <v>71</v>
      </c>
      <c r="BA36">
        <v>0</v>
      </c>
      <c r="BB36">
        <v>0</v>
      </c>
      <c r="BC36">
        <v>0</v>
      </c>
      <c r="BD36">
        <v>65</v>
      </c>
      <c r="BE36">
        <v>0</v>
      </c>
      <c r="BF36">
        <v>6</v>
      </c>
      <c r="BG36">
        <v>0</v>
      </c>
      <c r="BH36">
        <v>71</v>
      </c>
      <c r="BI36">
        <v>0</v>
      </c>
      <c r="BJ36">
        <v>0</v>
      </c>
      <c r="BK36">
        <v>0</v>
      </c>
    </row>
    <row r="37" spans="1:63">
      <c r="A37" t="s">
        <v>64</v>
      </c>
      <c r="B37">
        <v>336</v>
      </c>
      <c r="C37">
        <v>0</v>
      </c>
      <c r="D37">
        <v>0</v>
      </c>
      <c r="E37">
        <v>0</v>
      </c>
      <c r="F37">
        <v>336</v>
      </c>
      <c r="G37">
        <v>0</v>
      </c>
      <c r="H37">
        <v>0</v>
      </c>
      <c r="I37">
        <v>0</v>
      </c>
      <c r="J37">
        <v>336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336</v>
      </c>
      <c r="S37">
        <v>0</v>
      </c>
      <c r="T37">
        <v>0</v>
      </c>
      <c r="U37">
        <v>0</v>
      </c>
      <c r="V37" t="s">
        <v>64</v>
      </c>
      <c r="W37">
        <v>336</v>
      </c>
      <c r="X37">
        <v>0</v>
      </c>
      <c r="Y37">
        <v>0</v>
      </c>
      <c r="Z37">
        <v>0</v>
      </c>
      <c r="AA37">
        <v>336</v>
      </c>
      <c r="AB37">
        <v>0</v>
      </c>
      <c r="AC37">
        <v>0</v>
      </c>
      <c r="AD37">
        <v>0</v>
      </c>
      <c r="AE37">
        <v>336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336</v>
      </c>
      <c r="AN37">
        <v>0</v>
      </c>
      <c r="AO37">
        <v>0</v>
      </c>
      <c r="AP37">
        <v>0</v>
      </c>
      <c r="AQ37" t="s">
        <v>64</v>
      </c>
      <c r="AR37">
        <v>336</v>
      </c>
      <c r="AS37">
        <v>0</v>
      </c>
      <c r="AT37">
        <v>0</v>
      </c>
      <c r="AU37">
        <v>0</v>
      </c>
      <c r="AV37">
        <v>336</v>
      </c>
      <c r="AW37">
        <v>0</v>
      </c>
      <c r="AX37">
        <v>0</v>
      </c>
      <c r="AY37">
        <v>0</v>
      </c>
      <c r="AZ37">
        <v>336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336</v>
      </c>
      <c r="BI37">
        <v>0</v>
      </c>
      <c r="BJ37">
        <v>0</v>
      </c>
      <c r="BK37">
        <v>0</v>
      </c>
    </row>
    <row r="38" spans="1:63">
      <c r="A38" t="s">
        <v>25</v>
      </c>
      <c r="B38">
        <v>152</v>
      </c>
      <c r="C38">
        <v>2</v>
      </c>
      <c r="D38">
        <v>0</v>
      </c>
      <c r="E38">
        <v>0</v>
      </c>
      <c r="F38">
        <v>152</v>
      </c>
      <c r="G38">
        <v>2</v>
      </c>
      <c r="H38">
        <v>0</v>
      </c>
      <c r="I38">
        <v>0</v>
      </c>
      <c r="J38">
        <v>165</v>
      </c>
      <c r="K38">
        <v>1</v>
      </c>
      <c r="L38">
        <v>0</v>
      </c>
      <c r="M38">
        <v>0</v>
      </c>
      <c r="N38">
        <v>141</v>
      </c>
      <c r="O38">
        <v>0</v>
      </c>
      <c r="P38">
        <v>2</v>
      </c>
      <c r="Q38">
        <v>0</v>
      </c>
      <c r="R38">
        <v>154</v>
      </c>
      <c r="S38">
        <v>0</v>
      </c>
      <c r="T38">
        <v>0</v>
      </c>
      <c r="U38">
        <v>0</v>
      </c>
      <c r="V38" t="s">
        <v>25</v>
      </c>
      <c r="W38">
        <v>152</v>
      </c>
      <c r="X38">
        <v>2</v>
      </c>
      <c r="Y38">
        <v>0</v>
      </c>
      <c r="Z38">
        <v>0</v>
      </c>
      <c r="AA38">
        <v>152</v>
      </c>
      <c r="AB38">
        <v>2</v>
      </c>
      <c r="AC38">
        <v>0</v>
      </c>
      <c r="AD38">
        <v>0</v>
      </c>
      <c r="AE38">
        <v>165</v>
      </c>
      <c r="AF38">
        <v>1</v>
      </c>
      <c r="AG38">
        <v>0</v>
      </c>
      <c r="AH38">
        <v>0</v>
      </c>
      <c r="AI38">
        <v>141</v>
      </c>
      <c r="AJ38">
        <v>0</v>
      </c>
      <c r="AK38">
        <v>2</v>
      </c>
      <c r="AL38">
        <v>0</v>
      </c>
      <c r="AM38">
        <v>154</v>
      </c>
      <c r="AN38">
        <v>0</v>
      </c>
      <c r="AO38">
        <v>0</v>
      </c>
      <c r="AP38">
        <v>0</v>
      </c>
      <c r="AQ38" t="s">
        <v>25</v>
      </c>
      <c r="AR38">
        <v>152</v>
      </c>
      <c r="AS38">
        <v>2</v>
      </c>
      <c r="AT38">
        <v>0</v>
      </c>
      <c r="AU38">
        <v>0</v>
      </c>
      <c r="AV38">
        <v>152</v>
      </c>
      <c r="AW38">
        <v>2</v>
      </c>
      <c r="AX38">
        <v>0</v>
      </c>
      <c r="AY38">
        <v>0</v>
      </c>
      <c r="AZ38">
        <v>166</v>
      </c>
      <c r="BA38">
        <v>0</v>
      </c>
      <c r="BB38">
        <v>0</v>
      </c>
      <c r="BC38">
        <v>0</v>
      </c>
      <c r="BD38">
        <v>141</v>
      </c>
      <c r="BE38">
        <v>0</v>
      </c>
      <c r="BF38">
        <v>2</v>
      </c>
      <c r="BG38">
        <v>0</v>
      </c>
      <c r="BH38">
        <v>154</v>
      </c>
      <c r="BI38">
        <v>0</v>
      </c>
      <c r="BJ38">
        <v>0</v>
      </c>
      <c r="BK38">
        <v>0</v>
      </c>
    </row>
    <row r="39" spans="1:63">
      <c r="A39" t="s">
        <v>36</v>
      </c>
      <c r="B39">
        <v>102</v>
      </c>
      <c r="C39">
        <v>15</v>
      </c>
      <c r="D39">
        <v>0</v>
      </c>
      <c r="E39">
        <v>0</v>
      </c>
      <c r="F39">
        <v>102</v>
      </c>
      <c r="G39">
        <v>15</v>
      </c>
      <c r="H39">
        <v>0</v>
      </c>
      <c r="I39">
        <v>0</v>
      </c>
      <c r="J39">
        <v>121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117</v>
      </c>
      <c r="S39">
        <v>0</v>
      </c>
      <c r="T39">
        <v>0</v>
      </c>
      <c r="U39">
        <v>0</v>
      </c>
      <c r="V39" t="s">
        <v>36</v>
      </c>
      <c r="W39">
        <v>102</v>
      </c>
      <c r="X39">
        <v>15</v>
      </c>
      <c r="Y39">
        <v>0</v>
      </c>
      <c r="Z39">
        <v>0</v>
      </c>
      <c r="AA39">
        <v>102</v>
      </c>
      <c r="AB39">
        <v>15</v>
      </c>
      <c r="AC39">
        <v>0</v>
      </c>
      <c r="AD39">
        <v>0</v>
      </c>
      <c r="AE39">
        <v>121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117</v>
      </c>
      <c r="AN39">
        <v>0</v>
      </c>
      <c r="AO39">
        <v>0</v>
      </c>
      <c r="AP39">
        <v>0</v>
      </c>
      <c r="AQ39" t="s">
        <v>36</v>
      </c>
      <c r="AR39">
        <v>102</v>
      </c>
      <c r="AS39">
        <v>15</v>
      </c>
      <c r="AT39">
        <v>0</v>
      </c>
      <c r="AU39">
        <v>0</v>
      </c>
      <c r="AV39">
        <v>102</v>
      </c>
      <c r="AW39">
        <v>15</v>
      </c>
      <c r="AX39">
        <v>0</v>
      </c>
      <c r="AY39">
        <v>0</v>
      </c>
      <c r="AZ39">
        <v>121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117</v>
      </c>
      <c r="BI39">
        <v>0</v>
      </c>
      <c r="BJ39">
        <v>0</v>
      </c>
      <c r="BK39">
        <v>0</v>
      </c>
    </row>
    <row r="40" spans="1:63">
      <c r="A40" t="s">
        <v>100</v>
      </c>
      <c r="B40">
        <v>142</v>
      </c>
      <c r="C40">
        <v>32</v>
      </c>
      <c r="D40">
        <v>0</v>
      </c>
      <c r="E40">
        <v>0</v>
      </c>
      <c r="F40">
        <v>142</v>
      </c>
      <c r="G40">
        <v>32</v>
      </c>
      <c r="H40">
        <v>0</v>
      </c>
      <c r="I40">
        <v>0</v>
      </c>
      <c r="J40">
        <v>174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174</v>
      </c>
      <c r="S40">
        <v>0</v>
      </c>
      <c r="T40">
        <v>0</v>
      </c>
      <c r="U40">
        <v>0</v>
      </c>
      <c r="V40" t="s">
        <v>100</v>
      </c>
      <c r="W40">
        <v>142</v>
      </c>
      <c r="X40">
        <v>32</v>
      </c>
      <c r="Y40">
        <v>0</v>
      </c>
      <c r="Z40">
        <v>0</v>
      </c>
      <c r="AA40">
        <v>142</v>
      </c>
      <c r="AB40">
        <v>32</v>
      </c>
      <c r="AC40">
        <v>0</v>
      </c>
      <c r="AD40">
        <v>0</v>
      </c>
      <c r="AE40">
        <v>174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174</v>
      </c>
      <c r="AN40">
        <v>0</v>
      </c>
      <c r="AO40">
        <v>0</v>
      </c>
      <c r="AP40">
        <v>0</v>
      </c>
      <c r="AQ40" t="s">
        <v>100</v>
      </c>
      <c r="AR40">
        <v>142</v>
      </c>
      <c r="AS40">
        <v>32</v>
      </c>
      <c r="AT40">
        <v>0</v>
      </c>
      <c r="AU40">
        <v>0</v>
      </c>
      <c r="AV40">
        <v>142</v>
      </c>
      <c r="AW40">
        <v>32</v>
      </c>
      <c r="AX40">
        <v>0</v>
      </c>
      <c r="AY40">
        <v>0</v>
      </c>
      <c r="AZ40">
        <v>174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174</v>
      </c>
      <c r="BI40">
        <v>0</v>
      </c>
      <c r="BJ40">
        <v>0</v>
      </c>
      <c r="BK40">
        <v>0</v>
      </c>
    </row>
    <row r="41" spans="1:63">
      <c r="A41" t="s">
        <v>66</v>
      </c>
      <c r="B41">
        <v>129</v>
      </c>
      <c r="C41">
        <v>14</v>
      </c>
      <c r="D41">
        <v>0</v>
      </c>
      <c r="E41">
        <v>0</v>
      </c>
      <c r="F41">
        <v>129</v>
      </c>
      <c r="G41">
        <v>14</v>
      </c>
      <c r="H41">
        <v>0</v>
      </c>
      <c r="I41">
        <v>0</v>
      </c>
      <c r="J41">
        <v>147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142</v>
      </c>
      <c r="S41">
        <v>1</v>
      </c>
      <c r="T41">
        <v>0</v>
      </c>
      <c r="U41">
        <v>0</v>
      </c>
      <c r="V41" t="s">
        <v>66</v>
      </c>
      <c r="W41">
        <v>129</v>
      </c>
      <c r="X41">
        <v>14</v>
      </c>
      <c r="Y41">
        <v>0</v>
      </c>
      <c r="Z41">
        <v>0</v>
      </c>
      <c r="AA41">
        <v>129</v>
      </c>
      <c r="AB41">
        <v>14</v>
      </c>
      <c r="AC41">
        <v>0</v>
      </c>
      <c r="AD41">
        <v>0</v>
      </c>
      <c r="AE41">
        <v>147</v>
      </c>
      <c r="AF41">
        <v>1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142</v>
      </c>
      <c r="AN41">
        <v>1</v>
      </c>
      <c r="AO41">
        <v>0</v>
      </c>
      <c r="AP41">
        <v>0</v>
      </c>
      <c r="AQ41" t="s">
        <v>66</v>
      </c>
      <c r="AR41">
        <v>129</v>
      </c>
      <c r="AS41">
        <v>14</v>
      </c>
      <c r="AT41">
        <v>0</v>
      </c>
      <c r="AU41">
        <v>0</v>
      </c>
      <c r="AV41">
        <v>129</v>
      </c>
      <c r="AW41">
        <v>14</v>
      </c>
      <c r="AX41">
        <v>0</v>
      </c>
      <c r="AY41">
        <v>0</v>
      </c>
      <c r="AZ41">
        <v>148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143</v>
      </c>
      <c r="BI41">
        <v>0</v>
      </c>
      <c r="BJ41">
        <v>0</v>
      </c>
      <c r="BK41">
        <v>0</v>
      </c>
    </row>
    <row r="42" spans="1:63">
      <c r="A42" t="s">
        <v>60</v>
      </c>
      <c r="B42">
        <v>116</v>
      </c>
      <c r="C42">
        <v>13</v>
      </c>
      <c r="D42">
        <v>0</v>
      </c>
      <c r="E42">
        <v>0</v>
      </c>
      <c r="F42">
        <v>116</v>
      </c>
      <c r="G42">
        <v>13</v>
      </c>
      <c r="H42">
        <v>0</v>
      </c>
      <c r="I42">
        <v>0</v>
      </c>
      <c r="J42">
        <v>129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129</v>
      </c>
      <c r="S42">
        <v>0</v>
      </c>
      <c r="T42">
        <v>0</v>
      </c>
      <c r="U42">
        <v>0</v>
      </c>
      <c r="V42" t="s">
        <v>60</v>
      </c>
      <c r="W42">
        <v>116</v>
      </c>
      <c r="X42">
        <v>13</v>
      </c>
      <c r="Y42">
        <v>0</v>
      </c>
      <c r="Z42">
        <v>0</v>
      </c>
      <c r="AA42">
        <v>116</v>
      </c>
      <c r="AB42">
        <v>13</v>
      </c>
      <c r="AC42">
        <v>0</v>
      </c>
      <c r="AD42">
        <v>0</v>
      </c>
      <c r="AE42">
        <v>129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129</v>
      </c>
      <c r="AN42">
        <v>0</v>
      </c>
      <c r="AO42">
        <v>0</v>
      </c>
      <c r="AP42">
        <v>0</v>
      </c>
      <c r="AQ42" t="s">
        <v>60</v>
      </c>
      <c r="AR42">
        <v>116</v>
      </c>
      <c r="AS42">
        <v>13</v>
      </c>
      <c r="AT42">
        <v>0</v>
      </c>
      <c r="AU42">
        <v>0</v>
      </c>
      <c r="AV42">
        <v>116</v>
      </c>
      <c r="AW42">
        <v>13</v>
      </c>
      <c r="AX42">
        <v>0</v>
      </c>
      <c r="AY42">
        <v>0</v>
      </c>
      <c r="AZ42">
        <v>129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129</v>
      </c>
      <c r="BI42">
        <v>0</v>
      </c>
      <c r="BJ42">
        <v>0</v>
      </c>
      <c r="BK42">
        <v>0</v>
      </c>
    </row>
    <row r="43" spans="1:63">
      <c r="A43" t="s">
        <v>12</v>
      </c>
      <c r="B43">
        <v>43</v>
      </c>
      <c r="C43">
        <v>0</v>
      </c>
      <c r="D43">
        <v>0</v>
      </c>
      <c r="E43">
        <v>0</v>
      </c>
      <c r="F43">
        <v>43</v>
      </c>
      <c r="G43">
        <v>0</v>
      </c>
      <c r="H43">
        <v>0</v>
      </c>
      <c r="I43">
        <v>0</v>
      </c>
      <c r="J43">
        <v>43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43</v>
      </c>
      <c r="S43">
        <v>0</v>
      </c>
      <c r="T43">
        <v>0</v>
      </c>
      <c r="U43">
        <v>0</v>
      </c>
      <c r="V43" t="s">
        <v>12</v>
      </c>
      <c r="W43">
        <v>43</v>
      </c>
      <c r="X43">
        <v>0</v>
      </c>
      <c r="Y43">
        <v>0</v>
      </c>
      <c r="Z43">
        <v>0</v>
      </c>
      <c r="AA43">
        <v>43</v>
      </c>
      <c r="AB43">
        <v>0</v>
      </c>
      <c r="AC43">
        <v>0</v>
      </c>
      <c r="AD43">
        <v>0</v>
      </c>
      <c r="AE43">
        <v>43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43</v>
      </c>
      <c r="AN43">
        <v>0</v>
      </c>
      <c r="AO43">
        <v>0</v>
      </c>
      <c r="AP43">
        <v>0</v>
      </c>
      <c r="AQ43" t="s">
        <v>12</v>
      </c>
      <c r="AR43">
        <v>43</v>
      </c>
      <c r="AS43">
        <v>0</v>
      </c>
      <c r="AT43">
        <v>0</v>
      </c>
      <c r="AU43">
        <v>0</v>
      </c>
      <c r="AV43">
        <v>43</v>
      </c>
      <c r="AW43">
        <v>0</v>
      </c>
      <c r="AX43">
        <v>0</v>
      </c>
      <c r="AY43">
        <v>0</v>
      </c>
      <c r="AZ43">
        <v>43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43</v>
      </c>
      <c r="BI43">
        <v>0</v>
      </c>
      <c r="BJ43">
        <v>0</v>
      </c>
      <c r="BK43">
        <v>0</v>
      </c>
    </row>
    <row r="44" spans="1:63">
      <c r="A44" t="s">
        <v>21</v>
      </c>
      <c r="B44">
        <v>137</v>
      </c>
      <c r="C44">
        <v>2</v>
      </c>
      <c r="D44">
        <v>0</v>
      </c>
      <c r="E44">
        <v>0</v>
      </c>
      <c r="F44">
        <v>137</v>
      </c>
      <c r="G44">
        <v>2</v>
      </c>
      <c r="H44">
        <v>0</v>
      </c>
      <c r="I44">
        <v>0</v>
      </c>
      <c r="J44">
        <v>139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139</v>
      </c>
      <c r="S44">
        <v>0</v>
      </c>
      <c r="T44">
        <v>0</v>
      </c>
      <c r="U44">
        <v>0</v>
      </c>
      <c r="V44" t="s">
        <v>21</v>
      </c>
      <c r="W44">
        <v>137</v>
      </c>
      <c r="X44">
        <v>2</v>
      </c>
      <c r="Y44">
        <v>0</v>
      </c>
      <c r="Z44">
        <v>0</v>
      </c>
      <c r="AA44">
        <v>137</v>
      </c>
      <c r="AB44">
        <v>2</v>
      </c>
      <c r="AC44">
        <v>0</v>
      </c>
      <c r="AD44">
        <v>0</v>
      </c>
      <c r="AE44">
        <v>139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139</v>
      </c>
      <c r="AN44">
        <v>0</v>
      </c>
      <c r="AO44">
        <v>0</v>
      </c>
      <c r="AP44">
        <v>0</v>
      </c>
      <c r="AQ44" t="s">
        <v>21</v>
      </c>
      <c r="AR44">
        <v>137</v>
      </c>
      <c r="AS44">
        <v>2</v>
      </c>
      <c r="AT44">
        <v>0</v>
      </c>
      <c r="AU44">
        <v>0</v>
      </c>
      <c r="AV44">
        <v>137</v>
      </c>
      <c r="AW44">
        <v>2</v>
      </c>
      <c r="AX44">
        <v>0</v>
      </c>
      <c r="AY44">
        <v>0</v>
      </c>
      <c r="AZ44">
        <v>139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139</v>
      </c>
      <c r="BI44">
        <v>0</v>
      </c>
      <c r="BJ44">
        <v>0</v>
      </c>
      <c r="BK44">
        <v>0</v>
      </c>
    </row>
    <row r="45" spans="1:63">
      <c r="A45" t="s">
        <v>44</v>
      </c>
      <c r="B45">
        <v>50</v>
      </c>
      <c r="C45">
        <v>12</v>
      </c>
      <c r="D45">
        <v>0</v>
      </c>
      <c r="E45">
        <v>0</v>
      </c>
      <c r="F45">
        <v>50</v>
      </c>
      <c r="G45">
        <v>12</v>
      </c>
      <c r="H45">
        <v>0</v>
      </c>
      <c r="I45">
        <v>0</v>
      </c>
      <c r="J45">
        <v>62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62</v>
      </c>
      <c r="S45">
        <v>0</v>
      </c>
      <c r="T45">
        <v>0</v>
      </c>
      <c r="U45">
        <v>0</v>
      </c>
      <c r="V45" t="s">
        <v>44</v>
      </c>
      <c r="W45">
        <v>50</v>
      </c>
      <c r="X45">
        <v>12</v>
      </c>
      <c r="Y45">
        <v>0</v>
      </c>
      <c r="Z45">
        <v>0</v>
      </c>
      <c r="AA45">
        <v>50</v>
      </c>
      <c r="AB45">
        <v>12</v>
      </c>
      <c r="AC45">
        <v>0</v>
      </c>
      <c r="AD45">
        <v>0</v>
      </c>
      <c r="AE45">
        <v>62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62</v>
      </c>
      <c r="AN45">
        <v>0</v>
      </c>
      <c r="AO45">
        <v>0</v>
      </c>
      <c r="AP45">
        <v>0</v>
      </c>
      <c r="AQ45" t="s">
        <v>44</v>
      </c>
      <c r="AR45">
        <v>50</v>
      </c>
      <c r="AS45">
        <v>12</v>
      </c>
      <c r="AT45">
        <v>0</v>
      </c>
      <c r="AU45">
        <v>0</v>
      </c>
      <c r="AV45">
        <v>50</v>
      </c>
      <c r="AW45">
        <v>12</v>
      </c>
      <c r="AX45">
        <v>0</v>
      </c>
      <c r="AY45">
        <v>0</v>
      </c>
      <c r="AZ45">
        <v>62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62</v>
      </c>
      <c r="BI45">
        <v>0</v>
      </c>
      <c r="BJ45">
        <v>0</v>
      </c>
      <c r="BK45">
        <v>0</v>
      </c>
    </row>
    <row r="46" spans="1:63">
      <c r="A46" t="s">
        <v>5</v>
      </c>
      <c r="B46">
        <v>30</v>
      </c>
      <c r="C46">
        <v>0</v>
      </c>
      <c r="D46">
        <v>0</v>
      </c>
      <c r="E46">
        <v>0</v>
      </c>
      <c r="F46">
        <v>30</v>
      </c>
      <c r="G46">
        <v>0</v>
      </c>
      <c r="H46">
        <v>0</v>
      </c>
      <c r="I46">
        <v>0</v>
      </c>
      <c r="J46">
        <v>30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30</v>
      </c>
      <c r="S46">
        <v>0</v>
      </c>
      <c r="T46">
        <v>0</v>
      </c>
      <c r="U46">
        <v>0</v>
      </c>
      <c r="V46" t="s">
        <v>5</v>
      </c>
      <c r="W46">
        <v>30</v>
      </c>
      <c r="X46">
        <v>0</v>
      </c>
      <c r="Y46">
        <v>0</v>
      </c>
      <c r="Z46">
        <v>0</v>
      </c>
      <c r="AA46">
        <v>30</v>
      </c>
      <c r="AB46">
        <v>0</v>
      </c>
      <c r="AC46">
        <v>0</v>
      </c>
      <c r="AD46">
        <v>0</v>
      </c>
      <c r="AE46">
        <v>30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30</v>
      </c>
      <c r="AN46">
        <v>0</v>
      </c>
      <c r="AO46">
        <v>0</v>
      </c>
      <c r="AP46">
        <v>0</v>
      </c>
      <c r="AQ46" t="s">
        <v>5</v>
      </c>
      <c r="AR46">
        <v>30</v>
      </c>
      <c r="AS46">
        <v>0</v>
      </c>
      <c r="AT46">
        <v>0</v>
      </c>
      <c r="AU46">
        <v>0</v>
      </c>
      <c r="AV46">
        <v>30</v>
      </c>
      <c r="AW46">
        <v>0</v>
      </c>
      <c r="AX46">
        <v>0</v>
      </c>
      <c r="AY46">
        <v>0</v>
      </c>
      <c r="AZ46">
        <v>30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30</v>
      </c>
      <c r="BI46">
        <v>0</v>
      </c>
      <c r="BJ46">
        <v>0</v>
      </c>
      <c r="BK46">
        <v>0</v>
      </c>
    </row>
    <row r="47" spans="1:63">
      <c r="A47" t="s">
        <v>62</v>
      </c>
      <c r="B47">
        <v>71</v>
      </c>
      <c r="C47">
        <v>15</v>
      </c>
      <c r="D47">
        <v>0</v>
      </c>
      <c r="E47">
        <v>0</v>
      </c>
      <c r="F47">
        <v>71</v>
      </c>
      <c r="G47">
        <v>15</v>
      </c>
      <c r="H47">
        <v>0</v>
      </c>
      <c r="I47">
        <v>0</v>
      </c>
      <c r="J47">
        <v>86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86</v>
      </c>
      <c r="S47">
        <v>0</v>
      </c>
      <c r="T47">
        <v>0</v>
      </c>
      <c r="U47">
        <v>0</v>
      </c>
      <c r="V47" t="s">
        <v>62</v>
      </c>
      <c r="W47">
        <v>71</v>
      </c>
      <c r="X47">
        <v>15</v>
      </c>
      <c r="Y47">
        <v>0</v>
      </c>
      <c r="Z47">
        <v>0</v>
      </c>
      <c r="AA47">
        <v>71</v>
      </c>
      <c r="AB47">
        <v>15</v>
      </c>
      <c r="AC47">
        <v>0</v>
      </c>
      <c r="AD47">
        <v>0</v>
      </c>
      <c r="AE47">
        <v>86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86</v>
      </c>
      <c r="AN47">
        <v>0</v>
      </c>
      <c r="AO47">
        <v>0</v>
      </c>
      <c r="AP47">
        <v>0</v>
      </c>
      <c r="AQ47" t="s">
        <v>62</v>
      </c>
      <c r="AR47">
        <v>71</v>
      </c>
      <c r="AS47">
        <v>15</v>
      </c>
      <c r="AT47">
        <v>0</v>
      </c>
      <c r="AU47">
        <v>0</v>
      </c>
      <c r="AV47">
        <v>71</v>
      </c>
      <c r="AW47">
        <v>15</v>
      </c>
      <c r="AX47">
        <v>0</v>
      </c>
      <c r="AY47">
        <v>0</v>
      </c>
      <c r="AZ47">
        <v>86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86</v>
      </c>
      <c r="BI47">
        <v>0</v>
      </c>
      <c r="BJ47">
        <v>0</v>
      </c>
      <c r="BK47">
        <v>0</v>
      </c>
    </row>
    <row r="48" spans="1:63">
      <c r="A48" t="s">
        <v>6</v>
      </c>
      <c r="B48">
        <v>50</v>
      </c>
      <c r="C48">
        <v>6</v>
      </c>
      <c r="D48">
        <v>0</v>
      </c>
      <c r="E48">
        <v>0</v>
      </c>
      <c r="F48">
        <v>50</v>
      </c>
      <c r="G48">
        <v>6</v>
      </c>
      <c r="H48">
        <v>0</v>
      </c>
      <c r="I48">
        <v>0</v>
      </c>
      <c r="J48">
        <v>56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56</v>
      </c>
      <c r="S48">
        <v>0</v>
      </c>
      <c r="T48">
        <v>0</v>
      </c>
      <c r="U48">
        <v>0</v>
      </c>
      <c r="V48" t="s">
        <v>6</v>
      </c>
      <c r="W48">
        <v>50</v>
      </c>
      <c r="X48">
        <v>6</v>
      </c>
      <c r="Y48">
        <v>0</v>
      </c>
      <c r="Z48">
        <v>0</v>
      </c>
      <c r="AA48">
        <v>50</v>
      </c>
      <c r="AB48">
        <v>6</v>
      </c>
      <c r="AC48">
        <v>0</v>
      </c>
      <c r="AD48">
        <v>0</v>
      </c>
      <c r="AE48">
        <v>56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56</v>
      </c>
      <c r="AN48">
        <v>0</v>
      </c>
      <c r="AO48">
        <v>0</v>
      </c>
      <c r="AP48">
        <v>0</v>
      </c>
      <c r="AQ48" t="s">
        <v>6</v>
      </c>
      <c r="AR48">
        <v>50</v>
      </c>
      <c r="AS48">
        <v>6</v>
      </c>
      <c r="AT48">
        <v>0</v>
      </c>
      <c r="AU48">
        <v>0</v>
      </c>
      <c r="AV48">
        <v>50</v>
      </c>
      <c r="AW48">
        <v>6</v>
      </c>
      <c r="AX48">
        <v>0</v>
      </c>
      <c r="AY48">
        <v>0</v>
      </c>
      <c r="AZ48">
        <v>56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56</v>
      </c>
      <c r="BI48">
        <v>0</v>
      </c>
      <c r="BJ48">
        <v>0</v>
      </c>
      <c r="BK48">
        <v>0</v>
      </c>
    </row>
    <row r="49" spans="1:63">
      <c r="A49" t="s">
        <v>82</v>
      </c>
      <c r="B49">
        <v>2</v>
      </c>
      <c r="C49">
        <v>0</v>
      </c>
      <c r="D49">
        <v>0</v>
      </c>
      <c r="E49">
        <v>0</v>
      </c>
      <c r="F49">
        <v>2</v>
      </c>
      <c r="G49">
        <v>0</v>
      </c>
      <c r="H49">
        <v>0</v>
      </c>
      <c r="I49">
        <v>0</v>
      </c>
      <c r="J49">
        <v>2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2</v>
      </c>
      <c r="S49">
        <v>0</v>
      </c>
      <c r="T49">
        <v>0</v>
      </c>
      <c r="U49">
        <v>0</v>
      </c>
      <c r="V49" t="s">
        <v>82</v>
      </c>
      <c r="W49">
        <v>2</v>
      </c>
      <c r="X49">
        <v>0</v>
      </c>
      <c r="Y49">
        <v>0</v>
      </c>
      <c r="Z49">
        <v>0</v>
      </c>
      <c r="AA49">
        <v>2</v>
      </c>
      <c r="AB49">
        <v>0</v>
      </c>
      <c r="AC49">
        <v>0</v>
      </c>
      <c r="AD49">
        <v>0</v>
      </c>
      <c r="AE49">
        <v>2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2</v>
      </c>
      <c r="AN49">
        <v>0</v>
      </c>
      <c r="AO49">
        <v>0</v>
      </c>
      <c r="AP49">
        <v>0</v>
      </c>
      <c r="AQ49" t="s">
        <v>82</v>
      </c>
      <c r="AR49">
        <v>2</v>
      </c>
      <c r="AS49">
        <v>0</v>
      </c>
      <c r="AT49">
        <v>0</v>
      </c>
      <c r="AU49">
        <v>0</v>
      </c>
      <c r="AV49">
        <v>2</v>
      </c>
      <c r="AW49">
        <v>0</v>
      </c>
      <c r="AX49">
        <v>0</v>
      </c>
      <c r="AY49">
        <v>0</v>
      </c>
      <c r="AZ49">
        <v>2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2</v>
      </c>
      <c r="BI49">
        <v>0</v>
      </c>
      <c r="BJ49">
        <v>0</v>
      </c>
      <c r="BK49">
        <v>0</v>
      </c>
    </row>
    <row r="50" spans="1:63">
      <c r="A50" t="s">
        <v>92</v>
      </c>
      <c r="B50">
        <v>1</v>
      </c>
      <c r="C50">
        <v>0</v>
      </c>
      <c r="D50">
        <v>0</v>
      </c>
      <c r="E50">
        <v>0</v>
      </c>
      <c r="F50">
        <v>1</v>
      </c>
      <c r="G50">
        <v>0</v>
      </c>
      <c r="H50">
        <v>0</v>
      </c>
      <c r="I50">
        <v>0</v>
      </c>
      <c r="J50">
        <v>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1</v>
      </c>
      <c r="S50">
        <v>0</v>
      </c>
      <c r="T50">
        <v>0</v>
      </c>
      <c r="U50">
        <v>0</v>
      </c>
      <c r="V50" t="s">
        <v>92</v>
      </c>
      <c r="W50">
        <v>1</v>
      </c>
      <c r="X50">
        <v>0</v>
      </c>
      <c r="Y50">
        <v>0</v>
      </c>
      <c r="Z50">
        <v>0</v>
      </c>
      <c r="AA50">
        <v>1</v>
      </c>
      <c r="AB50">
        <v>0</v>
      </c>
      <c r="AC50">
        <v>0</v>
      </c>
      <c r="AD50">
        <v>0</v>
      </c>
      <c r="AE50">
        <v>1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1</v>
      </c>
      <c r="AN50">
        <v>0</v>
      </c>
      <c r="AO50">
        <v>0</v>
      </c>
      <c r="AP50">
        <v>0</v>
      </c>
      <c r="AQ50" t="s">
        <v>92</v>
      </c>
      <c r="AR50">
        <v>1</v>
      </c>
      <c r="AS50">
        <v>0</v>
      </c>
      <c r="AT50">
        <v>0</v>
      </c>
      <c r="AU50">
        <v>0</v>
      </c>
      <c r="AV50">
        <v>1</v>
      </c>
      <c r="AW50">
        <v>0</v>
      </c>
      <c r="AX50">
        <v>0</v>
      </c>
      <c r="AY50">
        <v>0</v>
      </c>
      <c r="AZ50">
        <v>1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1</v>
      </c>
      <c r="BI50">
        <v>0</v>
      </c>
      <c r="BJ50">
        <v>0</v>
      </c>
      <c r="BK50">
        <v>0</v>
      </c>
    </row>
    <row r="51" spans="1:63">
      <c r="A51" t="s">
        <v>53</v>
      </c>
      <c r="B51">
        <v>60</v>
      </c>
      <c r="C51">
        <v>2</v>
      </c>
      <c r="D51">
        <v>0</v>
      </c>
      <c r="E51">
        <v>0</v>
      </c>
      <c r="F51">
        <v>60</v>
      </c>
      <c r="G51">
        <v>2</v>
      </c>
      <c r="H51">
        <v>0</v>
      </c>
      <c r="I51">
        <v>0</v>
      </c>
      <c r="J51">
        <v>62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62</v>
      </c>
      <c r="S51">
        <v>0</v>
      </c>
      <c r="T51">
        <v>0</v>
      </c>
      <c r="U51">
        <v>0</v>
      </c>
      <c r="V51" t="s">
        <v>53</v>
      </c>
      <c r="W51">
        <v>60</v>
      </c>
      <c r="X51">
        <v>2</v>
      </c>
      <c r="Y51">
        <v>0</v>
      </c>
      <c r="Z51">
        <v>0</v>
      </c>
      <c r="AA51">
        <v>60</v>
      </c>
      <c r="AB51">
        <v>2</v>
      </c>
      <c r="AC51">
        <v>0</v>
      </c>
      <c r="AD51">
        <v>0</v>
      </c>
      <c r="AE51">
        <v>62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62</v>
      </c>
      <c r="AN51">
        <v>0</v>
      </c>
      <c r="AO51">
        <v>0</v>
      </c>
      <c r="AP51">
        <v>0</v>
      </c>
      <c r="AQ51" t="s">
        <v>53</v>
      </c>
      <c r="AR51">
        <v>60</v>
      </c>
      <c r="AS51">
        <v>2</v>
      </c>
      <c r="AT51">
        <v>0</v>
      </c>
      <c r="AU51">
        <v>0</v>
      </c>
      <c r="AV51">
        <v>60</v>
      </c>
      <c r="AW51">
        <v>2</v>
      </c>
      <c r="AX51">
        <v>0</v>
      </c>
      <c r="AY51">
        <v>0</v>
      </c>
      <c r="AZ51">
        <v>62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62</v>
      </c>
      <c r="BI51">
        <v>0</v>
      </c>
      <c r="BJ51">
        <v>0</v>
      </c>
      <c r="BK51">
        <v>0</v>
      </c>
    </row>
    <row r="52" spans="1:63">
      <c r="A52" t="s">
        <v>11</v>
      </c>
      <c r="B52">
        <v>7</v>
      </c>
      <c r="C52">
        <v>0</v>
      </c>
      <c r="D52">
        <v>0</v>
      </c>
      <c r="E52">
        <v>0</v>
      </c>
      <c r="F52">
        <v>7</v>
      </c>
      <c r="G52">
        <v>0</v>
      </c>
      <c r="H52">
        <v>0</v>
      </c>
      <c r="I52">
        <v>0</v>
      </c>
      <c r="J52">
        <v>6</v>
      </c>
      <c r="K52">
        <v>1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6</v>
      </c>
      <c r="S52">
        <v>1</v>
      </c>
      <c r="T52">
        <v>0</v>
      </c>
      <c r="U52">
        <v>0</v>
      </c>
      <c r="V52" t="s">
        <v>11</v>
      </c>
      <c r="W52">
        <v>7</v>
      </c>
      <c r="X52">
        <v>0</v>
      </c>
      <c r="Y52">
        <v>0</v>
      </c>
      <c r="Z52">
        <v>0</v>
      </c>
      <c r="AA52">
        <v>7</v>
      </c>
      <c r="AB52">
        <v>0</v>
      </c>
      <c r="AC52">
        <v>0</v>
      </c>
      <c r="AD52">
        <v>0</v>
      </c>
      <c r="AE52">
        <v>6</v>
      </c>
      <c r="AF52">
        <v>1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6</v>
      </c>
      <c r="AN52">
        <v>1</v>
      </c>
      <c r="AO52">
        <v>0</v>
      </c>
      <c r="AP52">
        <v>0</v>
      </c>
      <c r="AQ52" t="s">
        <v>11</v>
      </c>
      <c r="AR52">
        <v>7</v>
      </c>
      <c r="AS52">
        <v>0</v>
      </c>
      <c r="AT52">
        <v>0</v>
      </c>
      <c r="AU52">
        <v>0</v>
      </c>
      <c r="AV52">
        <v>7</v>
      </c>
      <c r="AW52">
        <v>0</v>
      </c>
      <c r="AX52">
        <v>0</v>
      </c>
      <c r="AY52">
        <v>0</v>
      </c>
      <c r="AZ52">
        <v>7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7</v>
      </c>
      <c r="BI52">
        <v>0</v>
      </c>
      <c r="BJ52">
        <v>0</v>
      </c>
      <c r="BK52">
        <v>0</v>
      </c>
    </row>
    <row r="53" spans="1:63">
      <c r="A53" t="s">
        <v>84</v>
      </c>
      <c r="B53">
        <v>36</v>
      </c>
      <c r="C53">
        <v>10</v>
      </c>
      <c r="D53">
        <v>0</v>
      </c>
      <c r="E53">
        <v>0</v>
      </c>
      <c r="F53">
        <v>36</v>
      </c>
      <c r="G53">
        <v>10</v>
      </c>
      <c r="H53">
        <v>0</v>
      </c>
      <c r="I53">
        <v>0</v>
      </c>
      <c r="J53">
        <v>46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46</v>
      </c>
      <c r="S53">
        <v>0</v>
      </c>
      <c r="T53">
        <v>0</v>
      </c>
      <c r="U53">
        <v>0</v>
      </c>
      <c r="V53" t="s">
        <v>84</v>
      </c>
      <c r="W53">
        <v>36</v>
      </c>
      <c r="X53">
        <v>10</v>
      </c>
      <c r="Y53">
        <v>0</v>
      </c>
      <c r="Z53">
        <v>0</v>
      </c>
      <c r="AA53">
        <v>36</v>
      </c>
      <c r="AB53">
        <v>10</v>
      </c>
      <c r="AC53">
        <v>0</v>
      </c>
      <c r="AD53">
        <v>0</v>
      </c>
      <c r="AE53">
        <v>46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46</v>
      </c>
      <c r="AN53">
        <v>0</v>
      </c>
      <c r="AO53">
        <v>0</v>
      </c>
      <c r="AP53">
        <v>0</v>
      </c>
      <c r="AQ53" t="s">
        <v>84</v>
      </c>
      <c r="AR53">
        <v>36</v>
      </c>
      <c r="AS53">
        <v>10</v>
      </c>
      <c r="AT53">
        <v>0</v>
      </c>
      <c r="AU53">
        <v>0</v>
      </c>
      <c r="AV53">
        <v>36</v>
      </c>
      <c r="AW53">
        <v>10</v>
      </c>
      <c r="AX53">
        <v>0</v>
      </c>
      <c r="AY53">
        <v>0</v>
      </c>
      <c r="AZ53">
        <v>46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46</v>
      </c>
      <c r="BI53">
        <v>0</v>
      </c>
      <c r="BJ53">
        <v>0</v>
      </c>
      <c r="BK53">
        <v>0</v>
      </c>
    </row>
    <row r="54" spans="1:63">
      <c r="A54" t="s">
        <v>50</v>
      </c>
      <c r="B54">
        <v>26</v>
      </c>
      <c r="C54">
        <v>0</v>
      </c>
      <c r="D54">
        <v>0</v>
      </c>
      <c r="E54">
        <v>0</v>
      </c>
      <c r="F54">
        <v>26</v>
      </c>
      <c r="G54">
        <v>0</v>
      </c>
      <c r="H54">
        <v>0</v>
      </c>
      <c r="I54">
        <v>0</v>
      </c>
      <c r="J54">
        <v>26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26</v>
      </c>
      <c r="S54">
        <v>0</v>
      </c>
      <c r="T54">
        <v>0</v>
      </c>
      <c r="U54">
        <v>0</v>
      </c>
      <c r="V54" t="s">
        <v>50</v>
      </c>
      <c r="W54">
        <v>26</v>
      </c>
      <c r="X54">
        <v>0</v>
      </c>
      <c r="Y54">
        <v>0</v>
      </c>
      <c r="Z54">
        <v>0</v>
      </c>
      <c r="AA54">
        <v>26</v>
      </c>
      <c r="AB54">
        <v>0</v>
      </c>
      <c r="AC54">
        <v>0</v>
      </c>
      <c r="AD54">
        <v>0</v>
      </c>
      <c r="AE54">
        <v>26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26</v>
      </c>
      <c r="AN54">
        <v>0</v>
      </c>
      <c r="AO54">
        <v>0</v>
      </c>
      <c r="AP54">
        <v>0</v>
      </c>
      <c r="AQ54" t="s">
        <v>50</v>
      </c>
      <c r="AR54">
        <v>26</v>
      </c>
      <c r="AS54">
        <v>0</v>
      </c>
      <c r="AT54">
        <v>0</v>
      </c>
      <c r="AU54">
        <v>0</v>
      </c>
      <c r="AV54">
        <v>26</v>
      </c>
      <c r="AW54">
        <v>0</v>
      </c>
      <c r="AX54">
        <v>0</v>
      </c>
      <c r="AY54">
        <v>0</v>
      </c>
      <c r="AZ54">
        <v>26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26</v>
      </c>
      <c r="BI54">
        <v>0</v>
      </c>
      <c r="BJ54">
        <v>0</v>
      </c>
      <c r="BK54">
        <v>0</v>
      </c>
    </row>
    <row r="55" spans="1:63">
      <c r="A55" t="s">
        <v>47</v>
      </c>
      <c r="B55">
        <v>53</v>
      </c>
      <c r="C55">
        <v>0</v>
      </c>
      <c r="D55">
        <v>0</v>
      </c>
      <c r="E55">
        <v>0</v>
      </c>
      <c r="F55">
        <v>53</v>
      </c>
      <c r="G55">
        <v>0</v>
      </c>
      <c r="H55">
        <v>0</v>
      </c>
      <c r="I55">
        <v>0</v>
      </c>
      <c r="J55">
        <v>53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53</v>
      </c>
      <c r="S55">
        <v>0</v>
      </c>
      <c r="T55">
        <v>0</v>
      </c>
      <c r="U55">
        <v>0</v>
      </c>
      <c r="V55" t="s">
        <v>47</v>
      </c>
      <c r="W55">
        <v>53</v>
      </c>
      <c r="X55">
        <v>0</v>
      </c>
      <c r="Y55">
        <v>0</v>
      </c>
      <c r="Z55">
        <v>0</v>
      </c>
      <c r="AA55">
        <v>53</v>
      </c>
      <c r="AB55">
        <v>0</v>
      </c>
      <c r="AC55">
        <v>0</v>
      </c>
      <c r="AD55">
        <v>0</v>
      </c>
      <c r="AE55">
        <v>53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53</v>
      </c>
      <c r="AN55">
        <v>0</v>
      </c>
      <c r="AO55">
        <v>0</v>
      </c>
      <c r="AP55">
        <v>0</v>
      </c>
      <c r="AQ55" t="s">
        <v>47</v>
      </c>
      <c r="AR55">
        <v>53</v>
      </c>
      <c r="AS55">
        <v>0</v>
      </c>
      <c r="AT55">
        <v>0</v>
      </c>
      <c r="AU55">
        <v>0</v>
      </c>
      <c r="AV55">
        <v>53</v>
      </c>
      <c r="AW55">
        <v>0</v>
      </c>
      <c r="AX55">
        <v>0</v>
      </c>
      <c r="AY55">
        <v>0</v>
      </c>
      <c r="AZ55">
        <v>53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53</v>
      </c>
      <c r="BI55">
        <v>0</v>
      </c>
      <c r="BJ55">
        <v>0</v>
      </c>
      <c r="BK55">
        <v>0</v>
      </c>
    </row>
    <row r="56" spans="1:63">
      <c r="A56" t="s">
        <v>57</v>
      </c>
      <c r="B56">
        <v>8</v>
      </c>
      <c r="C56">
        <v>2</v>
      </c>
      <c r="D56">
        <v>0</v>
      </c>
      <c r="E56">
        <v>0</v>
      </c>
      <c r="F56">
        <v>8</v>
      </c>
      <c r="G56">
        <v>2</v>
      </c>
      <c r="H56">
        <v>0</v>
      </c>
      <c r="I56">
        <v>0</v>
      </c>
      <c r="J56">
        <v>10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10</v>
      </c>
      <c r="S56">
        <v>0</v>
      </c>
      <c r="T56">
        <v>0</v>
      </c>
      <c r="U56">
        <v>0</v>
      </c>
      <c r="V56" t="s">
        <v>57</v>
      </c>
      <c r="W56">
        <v>8</v>
      </c>
      <c r="X56">
        <v>2</v>
      </c>
      <c r="Y56">
        <v>0</v>
      </c>
      <c r="Z56">
        <v>0</v>
      </c>
      <c r="AA56">
        <v>8</v>
      </c>
      <c r="AB56">
        <v>2</v>
      </c>
      <c r="AC56">
        <v>0</v>
      </c>
      <c r="AD56">
        <v>0</v>
      </c>
      <c r="AE56">
        <v>10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10</v>
      </c>
      <c r="AN56">
        <v>0</v>
      </c>
      <c r="AO56">
        <v>0</v>
      </c>
      <c r="AP56">
        <v>0</v>
      </c>
      <c r="AQ56" t="s">
        <v>57</v>
      </c>
      <c r="AR56">
        <v>8</v>
      </c>
      <c r="AS56">
        <v>2</v>
      </c>
      <c r="AT56">
        <v>0</v>
      </c>
      <c r="AU56">
        <v>0</v>
      </c>
      <c r="AV56">
        <v>8</v>
      </c>
      <c r="AW56">
        <v>2</v>
      </c>
      <c r="AX56">
        <v>0</v>
      </c>
      <c r="AY56">
        <v>0</v>
      </c>
      <c r="AZ56">
        <v>10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10</v>
      </c>
      <c r="BI56">
        <v>0</v>
      </c>
      <c r="BJ56">
        <v>0</v>
      </c>
      <c r="BK56">
        <v>0</v>
      </c>
    </row>
    <row r="57" spans="1:63">
      <c r="A57" t="s">
        <v>95</v>
      </c>
      <c r="B57">
        <v>11</v>
      </c>
      <c r="C57">
        <v>1</v>
      </c>
      <c r="D57">
        <v>0</v>
      </c>
      <c r="E57">
        <v>0</v>
      </c>
      <c r="F57">
        <v>11</v>
      </c>
      <c r="G57">
        <v>1</v>
      </c>
      <c r="H57">
        <v>0</v>
      </c>
      <c r="I57">
        <v>0</v>
      </c>
      <c r="J57">
        <v>12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12</v>
      </c>
      <c r="S57">
        <v>0</v>
      </c>
      <c r="T57">
        <v>0</v>
      </c>
      <c r="U57">
        <v>0</v>
      </c>
      <c r="V57" t="s">
        <v>95</v>
      </c>
      <c r="W57">
        <v>11</v>
      </c>
      <c r="X57">
        <v>1</v>
      </c>
      <c r="Y57">
        <v>0</v>
      </c>
      <c r="Z57">
        <v>0</v>
      </c>
      <c r="AA57">
        <v>11</v>
      </c>
      <c r="AB57">
        <v>1</v>
      </c>
      <c r="AC57">
        <v>0</v>
      </c>
      <c r="AD57">
        <v>0</v>
      </c>
      <c r="AE57">
        <v>12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12</v>
      </c>
      <c r="AN57">
        <v>0</v>
      </c>
      <c r="AO57">
        <v>0</v>
      </c>
      <c r="AP57">
        <v>0</v>
      </c>
      <c r="AQ57" t="s">
        <v>95</v>
      </c>
      <c r="AR57">
        <v>11</v>
      </c>
      <c r="AS57">
        <v>1</v>
      </c>
      <c r="AT57">
        <v>0</v>
      </c>
      <c r="AU57">
        <v>0</v>
      </c>
      <c r="AV57">
        <v>11</v>
      </c>
      <c r="AW57">
        <v>1</v>
      </c>
      <c r="AX57">
        <v>0</v>
      </c>
      <c r="AY57">
        <v>0</v>
      </c>
      <c r="AZ57">
        <v>12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12</v>
      </c>
      <c r="BI57">
        <v>0</v>
      </c>
      <c r="BJ57">
        <v>0</v>
      </c>
      <c r="BK57">
        <v>0</v>
      </c>
    </row>
    <row r="58" spans="1:63">
      <c r="A58" t="s">
        <v>41</v>
      </c>
      <c r="B58">
        <v>9</v>
      </c>
      <c r="C58">
        <v>0</v>
      </c>
      <c r="D58">
        <v>0</v>
      </c>
      <c r="E58">
        <v>0</v>
      </c>
      <c r="F58">
        <v>9</v>
      </c>
      <c r="G58">
        <v>0</v>
      </c>
      <c r="H58">
        <v>0</v>
      </c>
      <c r="I58">
        <v>0</v>
      </c>
      <c r="J58">
        <v>9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9</v>
      </c>
      <c r="S58">
        <v>0</v>
      </c>
      <c r="T58">
        <v>0</v>
      </c>
      <c r="U58">
        <v>0</v>
      </c>
      <c r="V58" t="s">
        <v>41</v>
      </c>
      <c r="W58">
        <v>9</v>
      </c>
      <c r="X58">
        <v>0</v>
      </c>
      <c r="Y58">
        <v>0</v>
      </c>
      <c r="Z58">
        <v>0</v>
      </c>
      <c r="AA58">
        <v>9</v>
      </c>
      <c r="AB58">
        <v>0</v>
      </c>
      <c r="AC58">
        <v>0</v>
      </c>
      <c r="AD58">
        <v>0</v>
      </c>
      <c r="AE58">
        <v>9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9</v>
      </c>
      <c r="AN58">
        <v>0</v>
      </c>
      <c r="AO58">
        <v>0</v>
      </c>
      <c r="AP58">
        <v>0</v>
      </c>
      <c r="AQ58" t="s">
        <v>41</v>
      </c>
      <c r="AR58">
        <v>9</v>
      </c>
      <c r="AS58">
        <v>0</v>
      </c>
      <c r="AT58">
        <v>0</v>
      </c>
      <c r="AU58">
        <v>0</v>
      </c>
      <c r="AV58">
        <v>9</v>
      </c>
      <c r="AW58">
        <v>0</v>
      </c>
      <c r="AX58">
        <v>0</v>
      </c>
      <c r="AY58">
        <v>0</v>
      </c>
      <c r="AZ58">
        <v>9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9</v>
      </c>
      <c r="BI58">
        <v>0</v>
      </c>
      <c r="BJ58">
        <v>0</v>
      </c>
      <c r="BK58">
        <v>0</v>
      </c>
    </row>
    <row r="59" spans="1:63">
      <c r="A59" t="s">
        <v>81</v>
      </c>
      <c r="B59">
        <v>106</v>
      </c>
      <c r="C59">
        <v>6</v>
      </c>
      <c r="D59">
        <v>0</v>
      </c>
      <c r="E59">
        <v>0</v>
      </c>
      <c r="F59">
        <v>106</v>
      </c>
      <c r="G59">
        <v>6</v>
      </c>
      <c r="H59">
        <v>0</v>
      </c>
      <c r="I59">
        <v>0</v>
      </c>
      <c r="J59">
        <v>112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112</v>
      </c>
      <c r="S59">
        <v>0</v>
      </c>
      <c r="T59">
        <v>0</v>
      </c>
      <c r="U59">
        <v>0</v>
      </c>
      <c r="V59" t="s">
        <v>81</v>
      </c>
      <c r="W59">
        <v>106</v>
      </c>
      <c r="X59">
        <v>6</v>
      </c>
      <c r="Y59">
        <v>0</v>
      </c>
      <c r="Z59">
        <v>0</v>
      </c>
      <c r="AA59">
        <v>106</v>
      </c>
      <c r="AB59">
        <v>6</v>
      </c>
      <c r="AC59">
        <v>0</v>
      </c>
      <c r="AD59">
        <v>0</v>
      </c>
      <c r="AE59">
        <v>112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112</v>
      </c>
      <c r="AN59">
        <v>0</v>
      </c>
      <c r="AO59">
        <v>0</v>
      </c>
      <c r="AP59">
        <v>0</v>
      </c>
      <c r="AQ59" t="s">
        <v>81</v>
      </c>
      <c r="AR59">
        <v>106</v>
      </c>
      <c r="AS59">
        <v>6</v>
      </c>
      <c r="AT59">
        <v>0</v>
      </c>
      <c r="AU59">
        <v>0</v>
      </c>
      <c r="AV59">
        <v>106</v>
      </c>
      <c r="AW59">
        <v>6</v>
      </c>
      <c r="AX59">
        <v>0</v>
      </c>
      <c r="AY59">
        <v>0</v>
      </c>
      <c r="AZ59">
        <v>112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112</v>
      </c>
      <c r="BI59">
        <v>0</v>
      </c>
      <c r="BJ59">
        <v>0</v>
      </c>
      <c r="BK59">
        <v>0</v>
      </c>
    </row>
    <row r="60" spans="1:63">
      <c r="A60" t="s">
        <v>45</v>
      </c>
      <c r="B60">
        <v>926</v>
      </c>
      <c r="C60">
        <v>32</v>
      </c>
      <c r="D60">
        <v>0</v>
      </c>
      <c r="E60">
        <v>0</v>
      </c>
      <c r="F60">
        <v>926</v>
      </c>
      <c r="G60">
        <v>32</v>
      </c>
      <c r="H60">
        <v>0</v>
      </c>
      <c r="I60">
        <v>0</v>
      </c>
      <c r="J60">
        <v>956</v>
      </c>
      <c r="K60">
        <v>2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956</v>
      </c>
      <c r="S60">
        <v>2</v>
      </c>
      <c r="T60">
        <v>0</v>
      </c>
      <c r="U60">
        <v>0</v>
      </c>
      <c r="V60" t="s">
        <v>45</v>
      </c>
      <c r="W60">
        <v>926</v>
      </c>
      <c r="X60">
        <v>32</v>
      </c>
      <c r="Y60">
        <v>0</v>
      </c>
      <c r="Z60">
        <v>0</v>
      </c>
      <c r="AA60">
        <v>926</v>
      </c>
      <c r="AB60">
        <v>32</v>
      </c>
      <c r="AC60">
        <v>0</v>
      </c>
      <c r="AD60">
        <v>0</v>
      </c>
      <c r="AE60">
        <v>956</v>
      </c>
      <c r="AF60">
        <v>2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956</v>
      </c>
      <c r="AN60">
        <v>2</v>
      </c>
      <c r="AO60">
        <v>0</v>
      </c>
      <c r="AP60">
        <v>0</v>
      </c>
      <c r="AQ60" t="s">
        <v>45</v>
      </c>
      <c r="AR60">
        <v>926</v>
      </c>
      <c r="AS60">
        <v>32</v>
      </c>
      <c r="AT60">
        <v>0</v>
      </c>
      <c r="AU60">
        <v>0</v>
      </c>
      <c r="AV60">
        <v>926</v>
      </c>
      <c r="AW60">
        <v>32</v>
      </c>
      <c r="AX60">
        <v>0</v>
      </c>
      <c r="AY60">
        <v>0</v>
      </c>
      <c r="AZ60">
        <v>958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958</v>
      </c>
      <c r="BI60">
        <v>0</v>
      </c>
      <c r="BJ60">
        <v>0</v>
      </c>
      <c r="BK60">
        <v>0</v>
      </c>
    </row>
    <row r="61" spans="1:63">
      <c r="A61" t="s">
        <v>54</v>
      </c>
      <c r="B61">
        <v>472</v>
      </c>
      <c r="C61">
        <v>4</v>
      </c>
      <c r="D61">
        <v>0</v>
      </c>
      <c r="E61">
        <v>0</v>
      </c>
      <c r="F61">
        <v>472</v>
      </c>
      <c r="G61">
        <v>4</v>
      </c>
      <c r="H61">
        <v>0</v>
      </c>
      <c r="I61">
        <v>0</v>
      </c>
      <c r="J61">
        <v>476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476</v>
      </c>
      <c r="S61">
        <v>0</v>
      </c>
      <c r="T61">
        <v>0</v>
      </c>
      <c r="U61">
        <v>0</v>
      </c>
      <c r="V61" t="s">
        <v>54</v>
      </c>
      <c r="W61">
        <v>472</v>
      </c>
      <c r="X61">
        <v>4</v>
      </c>
      <c r="Y61">
        <v>0</v>
      </c>
      <c r="Z61">
        <v>0</v>
      </c>
      <c r="AA61">
        <v>472</v>
      </c>
      <c r="AB61">
        <v>4</v>
      </c>
      <c r="AC61">
        <v>0</v>
      </c>
      <c r="AD61">
        <v>0</v>
      </c>
      <c r="AE61">
        <v>476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476</v>
      </c>
      <c r="AN61">
        <v>0</v>
      </c>
      <c r="AO61">
        <v>0</v>
      </c>
      <c r="AP61">
        <v>0</v>
      </c>
      <c r="AQ61" t="s">
        <v>54</v>
      </c>
      <c r="AR61">
        <v>472</v>
      </c>
      <c r="AS61">
        <v>4</v>
      </c>
      <c r="AT61">
        <v>0</v>
      </c>
      <c r="AU61">
        <v>0</v>
      </c>
      <c r="AV61">
        <v>472</v>
      </c>
      <c r="AW61">
        <v>4</v>
      </c>
      <c r="AX61">
        <v>0</v>
      </c>
      <c r="AY61">
        <v>0</v>
      </c>
      <c r="AZ61">
        <v>476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476</v>
      </c>
      <c r="BI61">
        <v>0</v>
      </c>
      <c r="BJ61">
        <v>0</v>
      </c>
      <c r="BK61">
        <v>0</v>
      </c>
    </row>
    <row r="62" spans="1:63">
      <c r="A62" t="s">
        <v>79</v>
      </c>
      <c r="B62">
        <v>580</v>
      </c>
      <c r="C62">
        <v>27</v>
      </c>
      <c r="D62">
        <v>0</v>
      </c>
      <c r="E62">
        <v>0</v>
      </c>
      <c r="F62">
        <v>580</v>
      </c>
      <c r="G62">
        <v>27</v>
      </c>
      <c r="H62">
        <v>0</v>
      </c>
      <c r="I62">
        <v>0</v>
      </c>
      <c r="J62">
        <v>607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607</v>
      </c>
      <c r="S62">
        <v>0</v>
      </c>
      <c r="T62">
        <v>0</v>
      </c>
      <c r="U62">
        <v>0</v>
      </c>
      <c r="V62" t="s">
        <v>79</v>
      </c>
      <c r="W62">
        <v>580</v>
      </c>
      <c r="X62">
        <v>27</v>
      </c>
      <c r="Y62">
        <v>0</v>
      </c>
      <c r="Z62">
        <v>0</v>
      </c>
      <c r="AA62">
        <v>580</v>
      </c>
      <c r="AB62">
        <v>27</v>
      </c>
      <c r="AC62">
        <v>0</v>
      </c>
      <c r="AD62">
        <v>0</v>
      </c>
      <c r="AE62">
        <v>607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607</v>
      </c>
      <c r="AN62">
        <v>0</v>
      </c>
      <c r="AO62">
        <v>0</v>
      </c>
      <c r="AP62">
        <v>0</v>
      </c>
      <c r="AQ62" t="s">
        <v>79</v>
      </c>
      <c r="AR62">
        <v>580</v>
      </c>
      <c r="AS62">
        <v>27</v>
      </c>
      <c r="AT62">
        <v>0</v>
      </c>
      <c r="AU62">
        <v>0</v>
      </c>
      <c r="AV62">
        <v>580</v>
      </c>
      <c r="AW62">
        <v>27</v>
      </c>
      <c r="AX62">
        <v>0</v>
      </c>
      <c r="AY62">
        <v>0</v>
      </c>
      <c r="AZ62">
        <v>607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607</v>
      </c>
      <c r="BI62">
        <v>0</v>
      </c>
      <c r="BJ62">
        <v>0</v>
      </c>
      <c r="BK62">
        <v>0</v>
      </c>
    </row>
    <row r="63" spans="1:63">
      <c r="A63" t="s">
        <v>9</v>
      </c>
      <c r="B63">
        <v>732</v>
      </c>
      <c r="C63">
        <v>5</v>
      </c>
      <c r="D63">
        <v>0</v>
      </c>
      <c r="E63">
        <v>0</v>
      </c>
      <c r="F63">
        <v>732</v>
      </c>
      <c r="G63">
        <v>5</v>
      </c>
      <c r="H63">
        <v>0</v>
      </c>
      <c r="I63">
        <v>0</v>
      </c>
      <c r="J63">
        <v>737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737</v>
      </c>
      <c r="S63">
        <v>0</v>
      </c>
      <c r="T63">
        <v>0</v>
      </c>
      <c r="U63">
        <v>0</v>
      </c>
      <c r="V63" t="s">
        <v>9</v>
      </c>
      <c r="W63">
        <v>732</v>
      </c>
      <c r="X63">
        <v>5</v>
      </c>
      <c r="Y63">
        <v>0</v>
      </c>
      <c r="Z63">
        <v>0</v>
      </c>
      <c r="AA63">
        <v>732</v>
      </c>
      <c r="AB63">
        <v>5</v>
      </c>
      <c r="AC63">
        <v>0</v>
      </c>
      <c r="AD63">
        <v>0</v>
      </c>
      <c r="AE63">
        <v>737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737</v>
      </c>
      <c r="AN63">
        <v>0</v>
      </c>
      <c r="AO63">
        <v>0</v>
      </c>
      <c r="AP63">
        <v>0</v>
      </c>
      <c r="AQ63" t="s">
        <v>9</v>
      </c>
      <c r="AR63">
        <v>732</v>
      </c>
      <c r="AS63">
        <v>5</v>
      </c>
      <c r="AT63">
        <v>0</v>
      </c>
      <c r="AU63">
        <v>0</v>
      </c>
      <c r="AV63">
        <v>732</v>
      </c>
      <c r="AW63">
        <v>5</v>
      </c>
      <c r="AX63">
        <v>0</v>
      </c>
      <c r="AY63">
        <v>0</v>
      </c>
      <c r="AZ63">
        <v>737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737</v>
      </c>
      <c r="BI63">
        <v>0</v>
      </c>
      <c r="BJ63">
        <v>0</v>
      </c>
      <c r="BK63">
        <v>0</v>
      </c>
    </row>
    <row r="64" spans="1:63">
      <c r="A64" t="s">
        <v>7</v>
      </c>
      <c r="B64">
        <v>56</v>
      </c>
      <c r="C64">
        <v>1</v>
      </c>
      <c r="D64">
        <v>0</v>
      </c>
      <c r="E64">
        <v>0</v>
      </c>
      <c r="F64">
        <v>56</v>
      </c>
      <c r="G64">
        <v>1</v>
      </c>
      <c r="H64">
        <v>0</v>
      </c>
      <c r="I64">
        <v>0</v>
      </c>
      <c r="J64">
        <v>57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57</v>
      </c>
      <c r="S64">
        <v>0</v>
      </c>
      <c r="T64">
        <v>0</v>
      </c>
      <c r="U64">
        <v>0</v>
      </c>
      <c r="V64" t="s">
        <v>7</v>
      </c>
      <c r="W64">
        <v>56</v>
      </c>
      <c r="X64">
        <v>1</v>
      </c>
      <c r="Y64">
        <v>0</v>
      </c>
      <c r="Z64">
        <v>0</v>
      </c>
      <c r="AA64">
        <v>56</v>
      </c>
      <c r="AB64">
        <v>1</v>
      </c>
      <c r="AC64">
        <v>0</v>
      </c>
      <c r="AD64">
        <v>0</v>
      </c>
      <c r="AE64">
        <v>57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57</v>
      </c>
      <c r="AN64">
        <v>0</v>
      </c>
      <c r="AO64">
        <v>0</v>
      </c>
      <c r="AP64">
        <v>0</v>
      </c>
      <c r="AQ64" t="s">
        <v>7</v>
      </c>
      <c r="AR64">
        <v>56</v>
      </c>
      <c r="AS64">
        <v>1</v>
      </c>
      <c r="AT64">
        <v>0</v>
      </c>
      <c r="AU64">
        <v>0</v>
      </c>
      <c r="AV64">
        <v>56</v>
      </c>
      <c r="AW64">
        <v>1</v>
      </c>
      <c r="AX64">
        <v>0</v>
      </c>
      <c r="AY64">
        <v>0</v>
      </c>
      <c r="AZ64">
        <v>57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57</v>
      </c>
      <c r="BI64">
        <v>0</v>
      </c>
      <c r="BJ64">
        <v>0</v>
      </c>
      <c r="BK64">
        <v>0</v>
      </c>
    </row>
    <row r="65" spans="1:63">
      <c r="A65" t="s">
        <v>46</v>
      </c>
      <c r="B65">
        <v>26</v>
      </c>
      <c r="C65">
        <v>1</v>
      </c>
      <c r="D65">
        <v>0</v>
      </c>
      <c r="E65">
        <v>0</v>
      </c>
      <c r="F65">
        <v>26</v>
      </c>
      <c r="G65">
        <v>1</v>
      </c>
      <c r="H65">
        <v>0</v>
      </c>
      <c r="I65">
        <v>0</v>
      </c>
      <c r="J65">
        <v>27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27</v>
      </c>
      <c r="S65">
        <v>0</v>
      </c>
      <c r="T65">
        <v>0</v>
      </c>
      <c r="U65">
        <v>0</v>
      </c>
      <c r="V65" t="s">
        <v>46</v>
      </c>
      <c r="W65">
        <v>26</v>
      </c>
      <c r="X65">
        <v>1</v>
      </c>
      <c r="Y65">
        <v>0</v>
      </c>
      <c r="Z65">
        <v>0</v>
      </c>
      <c r="AA65">
        <v>26</v>
      </c>
      <c r="AB65">
        <v>1</v>
      </c>
      <c r="AC65">
        <v>0</v>
      </c>
      <c r="AD65">
        <v>0</v>
      </c>
      <c r="AE65">
        <v>27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27</v>
      </c>
      <c r="AN65">
        <v>0</v>
      </c>
      <c r="AO65">
        <v>0</v>
      </c>
      <c r="AP65">
        <v>0</v>
      </c>
      <c r="AQ65" t="s">
        <v>46</v>
      </c>
      <c r="AR65">
        <v>26</v>
      </c>
      <c r="AS65">
        <v>1</v>
      </c>
      <c r="AT65">
        <v>0</v>
      </c>
      <c r="AU65">
        <v>0</v>
      </c>
      <c r="AV65">
        <v>26</v>
      </c>
      <c r="AW65">
        <v>1</v>
      </c>
      <c r="AX65">
        <v>0</v>
      </c>
      <c r="AY65">
        <v>0</v>
      </c>
      <c r="AZ65">
        <v>27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27</v>
      </c>
      <c r="BI65">
        <v>0</v>
      </c>
      <c r="BJ65">
        <v>0</v>
      </c>
      <c r="BK65">
        <v>0</v>
      </c>
    </row>
    <row r="66" spans="1:63">
      <c r="A66" t="s">
        <v>99</v>
      </c>
      <c r="B66">
        <v>171</v>
      </c>
      <c r="C66">
        <v>4</v>
      </c>
      <c r="D66">
        <v>0</v>
      </c>
      <c r="E66">
        <v>0</v>
      </c>
      <c r="F66">
        <v>171</v>
      </c>
      <c r="G66">
        <v>4</v>
      </c>
      <c r="H66">
        <v>0</v>
      </c>
      <c r="I66">
        <v>0</v>
      </c>
      <c r="J66">
        <v>175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175</v>
      </c>
      <c r="S66">
        <v>0</v>
      </c>
      <c r="T66">
        <v>0</v>
      </c>
      <c r="U66">
        <v>0</v>
      </c>
      <c r="V66" t="s">
        <v>99</v>
      </c>
      <c r="W66">
        <v>171</v>
      </c>
      <c r="X66">
        <v>4</v>
      </c>
      <c r="Y66">
        <v>0</v>
      </c>
      <c r="Z66">
        <v>0</v>
      </c>
      <c r="AA66">
        <v>171</v>
      </c>
      <c r="AB66">
        <v>4</v>
      </c>
      <c r="AC66">
        <v>0</v>
      </c>
      <c r="AD66">
        <v>0</v>
      </c>
      <c r="AE66">
        <v>175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175</v>
      </c>
      <c r="AN66">
        <v>0</v>
      </c>
      <c r="AO66">
        <v>0</v>
      </c>
      <c r="AP66">
        <v>0</v>
      </c>
      <c r="AQ66" t="s">
        <v>99</v>
      </c>
      <c r="AR66">
        <v>171</v>
      </c>
      <c r="AS66">
        <v>4</v>
      </c>
      <c r="AT66">
        <v>0</v>
      </c>
      <c r="AU66">
        <v>0</v>
      </c>
      <c r="AV66">
        <v>171</v>
      </c>
      <c r="AW66">
        <v>4</v>
      </c>
      <c r="AX66">
        <v>0</v>
      </c>
      <c r="AY66">
        <v>0</v>
      </c>
      <c r="AZ66">
        <v>175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175</v>
      </c>
      <c r="BI66">
        <v>0</v>
      </c>
      <c r="BJ66">
        <v>0</v>
      </c>
      <c r="BK66">
        <v>0</v>
      </c>
    </row>
    <row r="67" spans="1:63">
      <c r="A67" t="s">
        <v>96</v>
      </c>
      <c r="B67">
        <v>268</v>
      </c>
      <c r="C67">
        <v>4</v>
      </c>
      <c r="D67">
        <v>0</v>
      </c>
      <c r="E67">
        <v>0</v>
      </c>
      <c r="F67">
        <v>268</v>
      </c>
      <c r="G67">
        <v>4</v>
      </c>
      <c r="H67">
        <v>0</v>
      </c>
      <c r="I67">
        <v>0</v>
      </c>
      <c r="J67">
        <v>272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272</v>
      </c>
      <c r="S67">
        <v>0</v>
      </c>
      <c r="T67">
        <v>0</v>
      </c>
      <c r="U67">
        <v>0</v>
      </c>
      <c r="V67" t="s">
        <v>96</v>
      </c>
      <c r="W67">
        <v>268</v>
      </c>
      <c r="X67">
        <v>4</v>
      </c>
      <c r="Y67">
        <v>0</v>
      </c>
      <c r="Z67">
        <v>0</v>
      </c>
      <c r="AA67">
        <v>268</v>
      </c>
      <c r="AB67">
        <v>4</v>
      </c>
      <c r="AC67">
        <v>0</v>
      </c>
      <c r="AD67">
        <v>0</v>
      </c>
      <c r="AE67">
        <v>272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272</v>
      </c>
      <c r="AN67">
        <v>0</v>
      </c>
      <c r="AO67">
        <v>0</v>
      </c>
      <c r="AP67">
        <v>0</v>
      </c>
      <c r="AQ67" t="s">
        <v>96</v>
      </c>
      <c r="AR67">
        <v>268</v>
      </c>
      <c r="AS67">
        <v>4</v>
      </c>
      <c r="AT67">
        <v>0</v>
      </c>
      <c r="AU67">
        <v>0</v>
      </c>
      <c r="AV67">
        <v>268</v>
      </c>
      <c r="AW67">
        <v>4</v>
      </c>
      <c r="AX67">
        <v>0</v>
      </c>
      <c r="AY67">
        <v>0</v>
      </c>
      <c r="AZ67">
        <v>272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272</v>
      </c>
      <c r="BI67">
        <v>0</v>
      </c>
      <c r="BJ67">
        <v>0</v>
      </c>
      <c r="BK67">
        <v>0</v>
      </c>
    </row>
    <row r="68" spans="1:63">
      <c r="A68" t="s">
        <v>13</v>
      </c>
      <c r="B68">
        <v>22</v>
      </c>
      <c r="C68">
        <v>0</v>
      </c>
      <c r="D68">
        <v>0</v>
      </c>
      <c r="E68">
        <v>0</v>
      </c>
      <c r="F68">
        <v>22</v>
      </c>
      <c r="G68">
        <v>0</v>
      </c>
      <c r="H68">
        <v>0</v>
      </c>
      <c r="I68">
        <v>0</v>
      </c>
      <c r="J68">
        <v>22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22</v>
      </c>
      <c r="S68">
        <v>0</v>
      </c>
      <c r="T68">
        <v>0</v>
      </c>
      <c r="U68">
        <v>0</v>
      </c>
      <c r="V68" t="s">
        <v>13</v>
      </c>
      <c r="W68">
        <v>22</v>
      </c>
      <c r="X68">
        <v>0</v>
      </c>
      <c r="Y68">
        <v>0</v>
      </c>
      <c r="Z68">
        <v>0</v>
      </c>
      <c r="AA68">
        <v>22</v>
      </c>
      <c r="AB68">
        <v>0</v>
      </c>
      <c r="AC68">
        <v>0</v>
      </c>
      <c r="AD68">
        <v>0</v>
      </c>
      <c r="AE68">
        <v>22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22</v>
      </c>
      <c r="AN68">
        <v>0</v>
      </c>
      <c r="AO68">
        <v>0</v>
      </c>
      <c r="AP68">
        <v>0</v>
      </c>
      <c r="AQ68" t="s">
        <v>13</v>
      </c>
      <c r="AR68">
        <v>22</v>
      </c>
      <c r="AS68">
        <v>0</v>
      </c>
      <c r="AT68">
        <v>0</v>
      </c>
      <c r="AU68">
        <v>0</v>
      </c>
      <c r="AV68">
        <v>22</v>
      </c>
      <c r="AW68">
        <v>0</v>
      </c>
      <c r="AX68">
        <v>0</v>
      </c>
      <c r="AY68">
        <v>0</v>
      </c>
      <c r="AZ68">
        <v>22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22</v>
      </c>
      <c r="BI68">
        <v>0</v>
      </c>
      <c r="BJ68">
        <v>0</v>
      </c>
      <c r="BK68">
        <v>0</v>
      </c>
    </row>
    <row r="69" spans="1:63">
      <c r="A69" t="s">
        <v>93</v>
      </c>
      <c r="B69">
        <v>21</v>
      </c>
      <c r="C69">
        <v>0</v>
      </c>
      <c r="D69">
        <v>0</v>
      </c>
      <c r="E69">
        <v>0</v>
      </c>
      <c r="F69">
        <v>21</v>
      </c>
      <c r="G69">
        <v>0</v>
      </c>
      <c r="H69">
        <v>0</v>
      </c>
      <c r="I69">
        <v>0</v>
      </c>
      <c r="J69">
        <v>21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21</v>
      </c>
      <c r="S69">
        <v>0</v>
      </c>
      <c r="T69">
        <v>0</v>
      </c>
      <c r="U69">
        <v>0</v>
      </c>
      <c r="V69" t="s">
        <v>93</v>
      </c>
      <c r="W69">
        <v>21</v>
      </c>
      <c r="X69">
        <v>0</v>
      </c>
      <c r="Y69">
        <v>0</v>
      </c>
      <c r="Z69">
        <v>0</v>
      </c>
      <c r="AA69">
        <v>21</v>
      </c>
      <c r="AB69">
        <v>0</v>
      </c>
      <c r="AC69">
        <v>0</v>
      </c>
      <c r="AD69">
        <v>0</v>
      </c>
      <c r="AE69">
        <v>21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21</v>
      </c>
      <c r="AN69">
        <v>0</v>
      </c>
      <c r="AO69">
        <v>0</v>
      </c>
      <c r="AP69">
        <v>0</v>
      </c>
      <c r="AQ69" t="s">
        <v>93</v>
      </c>
      <c r="AR69">
        <v>21</v>
      </c>
      <c r="AS69">
        <v>0</v>
      </c>
      <c r="AT69">
        <v>0</v>
      </c>
      <c r="AU69">
        <v>0</v>
      </c>
      <c r="AV69">
        <v>21</v>
      </c>
      <c r="AW69">
        <v>0</v>
      </c>
      <c r="AX69">
        <v>0</v>
      </c>
      <c r="AY69">
        <v>0</v>
      </c>
      <c r="AZ69">
        <v>21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21</v>
      </c>
      <c r="BI69">
        <v>0</v>
      </c>
      <c r="BJ69">
        <v>0</v>
      </c>
      <c r="BK69">
        <v>0</v>
      </c>
    </row>
    <row r="70" spans="1:63">
      <c r="A70" t="s">
        <v>48</v>
      </c>
      <c r="B70">
        <v>117</v>
      </c>
      <c r="C70">
        <v>3</v>
      </c>
      <c r="D70">
        <v>0</v>
      </c>
      <c r="E70">
        <v>0</v>
      </c>
      <c r="F70">
        <v>117</v>
      </c>
      <c r="G70">
        <v>3</v>
      </c>
      <c r="H70">
        <v>0</v>
      </c>
      <c r="I70">
        <v>0</v>
      </c>
      <c r="J70">
        <v>119</v>
      </c>
      <c r="K70">
        <v>1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119</v>
      </c>
      <c r="S70">
        <v>1</v>
      </c>
      <c r="T70">
        <v>0</v>
      </c>
      <c r="U70">
        <v>0</v>
      </c>
      <c r="V70" t="s">
        <v>48</v>
      </c>
      <c r="W70">
        <v>117</v>
      </c>
      <c r="X70">
        <v>3</v>
      </c>
      <c r="Y70">
        <v>0</v>
      </c>
      <c r="Z70">
        <v>0</v>
      </c>
      <c r="AA70">
        <v>117</v>
      </c>
      <c r="AB70">
        <v>3</v>
      </c>
      <c r="AC70">
        <v>0</v>
      </c>
      <c r="AD70">
        <v>0</v>
      </c>
      <c r="AE70">
        <v>119</v>
      </c>
      <c r="AF70">
        <v>1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119</v>
      </c>
      <c r="AN70">
        <v>1</v>
      </c>
      <c r="AO70">
        <v>0</v>
      </c>
      <c r="AP70">
        <v>0</v>
      </c>
      <c r="AQ70" t="s">
        <v>48</v>
      </c>
      <c r="AR70">
        <v>117</v>
      </c>
      <c r="AS70">
        <v>3</v>
      </c>
      <c r="AT70">
        <v>0</v>
      </c>
      <c r="AU70">
        <v>0</v>
      </c>
      <c r="AV70">
        <v>117</v>
      </c>
      <c r="AW70">
        <v>3</v>
      </c>
      <c r="AX70">
        <v>0</v>
      </c>
      <c r="AY70">
        <v>0</v>
      </c>
      <c r="AZ70">
        <v>120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120</v>
      </c>
      <c r="BI70">
        <v>0</v>
      </c>
      <c r="BJ70">
        <v>0</v>
      </c>
      <c r="BK70">
        <v>0</v>
      </c>
    </row>
    <row r="71" spans="1:63">
      <c r="A71" t="s">
        <v>103</v>
      </c>
      <c r="B71">
        <v>158</v>
      </c>
      <c r="C71">
        <v>4</v>
      </c>
      <c r="D71">
        <v>0</v>
      </c>
      <c r="E71">
        <v>0</v>
      </c>
      <c r="F71">
        <v>158</v>
      </c>
      <c r="G71">
        <v>4</v>
      </c>
      <c r="H71">
        <v>0</v>
      </c>
      <c r="I71">
        <v>0</v>
      </c>
      <c r="J71">
        <v>161</v>
      </c>
      <c r="K71">
        <v>1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161</v>
      </c>
      <c r="S71">
        <v>1</v>
      </c>
      <c r="T71">
        <v>0</v>
      </c>
      <c r="U71">
        <v>0</v>
      </c>
      <c r="V71" t="s">
        <v>103</v>
      </c>
      <c r="W71">
        <v>158</v>
      </c>
      <c r="X71">
        <v>4</v>
      </c>
      <c r="Y71">
        <v>0</v>
      </c>
      <c r="Z71">
        <v>0</v>
      </c>
      <c r="AA71">
        <v>158</v>
      </c>
      <c r="AB71">
        <v>4</v>
      </c>
      <c r="AC71">
        <v>0</v>
      </c>
      <c r="AD71">
        <v>0</v>
      </c>
      <c r="AE71">
        <v>161</v>
      </c>
      <c r="AF71">
        <v>1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161</v>
      </c>
      <c r="AN71">
        <v>1</v>
      </c>
      <c r="AO71">
        <v>0</v>
      </c>
      <c r="AP71">
        <v>0</v>
      </c>
      <c r="AQ71" t="s">
        <v>103</v>
      </c>
      <c r="AR71">
        <v>158</v>
      </c>
      <c r="AS71">
        <v>4</v>
      </c>
      <c r="AT71">
        <v>0</v>
      </c>
      <c r="AU71">
        <v>0</v>
      </c>
      <c r="AV71">
        <v>158</v>
      </c>
      <c r="AW71">
        <v>4</v>
      </c>
      <c r="AX71">
        <v>0</v>
      </c>
      <c r="AY71">
        <v>0</v>
      </c>
      <c r="AZ71">
        <v>162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162</v>
      </c>
      <c r="BI71">
        <v>0</v>
      </c>
      <c r="BJ71">
        <v>0</v>
      </c>
      <c r="BK71">
        <v>0</v>
      </c>
    </row>
    <row r="72" spans="1:63">
      <c r="A72" t="s">
        <v>31</v>
      </c>
      <c r="B72">
        <v>254</v>
      </c>
      <c r="C72">
        <v>4</v>
      </c>
      <c r="D72">
        <v>0</v>
      </c>
      <c r="E72">
        <v>0</v>
      </c>
      <c r="F72">
        <v>254</v>
      </c>
      <c r="G72">
        <v>4</v>
      </c>
      <c r="H72">
        <v>0</v>
      </c>
      <c r="I72">
        <v>0</v>
      </c>
      <c r="J72">
        <v>257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257</v>
      </c>
      <c r="S72">
        <v>1</v>
      </c>
      <c r="T72">
        <v>0</v>
      </c>
      <c r="U72">
        <v>0</v>
      </c>
      <c r="V72" t="s">
        <v>31</v>
      </c>
      <c r="W72">
        <v>254</v>
      </c>
      <c r="X72">
        <v>4</v>
      </c>
      <c r="Y72">
        <v>0</v>
      </c>
      <c r="Z72">
        <v>0</v>
      </c>
      <c r="AA72">
        <v>254</v>
      </c>
      <c r="AB72">
        <v>4</v>
      </c>
      <c r="AC72">
        <v>0</v>
      </c>
      <c r="AD72">
        <v>0</v>
      </c>
      <c r="AE72">
        <v>257</v>
      </c>
      <c r="AF72">
        <v>1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257</v>
      </c>
      <c r="AN72">
        <v>1</v>
      </c>
      <c r="AO72">
        <v>0</v>
      </c>
      <c r="AP72">
        <v>0</v>
      </c>
      <c r="AQ72" t="s">
        <v>31</v>
      </c>
      <c r="AR72">
        <v>254</v>
      </c>
      <c r="AS72">
        <v>4</v>
      </c>
      <c r="AT72">
        <v>0</v>
      </c>
      <c r="AU72">
        <v>0</v>
      </c>
      <c r="AV72">
        <v>254</v>
      </c>
      <c r="AW72">
        <v>4</v>
      </c>
      <c r="AX72">
        <v>0</v>
      </c>
      <c r="AY72">
        <v>0</v>
      </c>
      <c r="AZ72">
        <v>258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258</v>
      </c>
      <c r="BI72">
        <v>0</v>
      </c>
      <c r="BJ72">
        <v>0</v>
      </c>
      <c r="BK72">
        <v>0</v>
      </c>
    </row>
    <row r="73" spans="1:63">
      <c r="A73" t="s">
        <v>33</v>
      </c>
      <c r="B73">
        <v>293</v>
      </c>
      <c r="C73">
        <v>21</v>
      </c>
      <c r="D73">
        <v>0</v>
      </c>
      <c r="E73">
        <v>0</v>
      </c>
      <c r="F73">
        <v>293</v>
      </c>
      <c r="G73">
        <v>21</v>
      </c>
      <c r="H73">
        <v>0</v>
      </c>
      <c r="I73">
        <v>0</v>
      </c>
      <c r="J73">
        <v>314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314</v>
      </c>
      <c r="S73">
        <v>0</v>
      </c>
      <c r="T73">
        <v>0</v>
      </c>
      <c r="U73">
        <v>0</v>
      </c>
      <c r="V73" t="s">
        <v>33</v>
      </c>
      <c r="W73">
        <v>293</v>
      </c>
      <c r="X73">
        <v>21</v>
      </c>
      <c r="Y73">
        <v>0</v>
      </c>
      <c r="Z73">
        <v>0</v>
      </c>
      <c r="AA73">
        <v>293</v>
      </c>
      <c r="AB73">
        <v>21</v>
      </c>
      <c r="AC73">
        <v>0</v>
      </c>
      <c r="AD73">
        <v>0</v>
      </c>
      <c r="AE73">
        <v>314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314</v>
      </c>
      <c r="AN73">
        <v>0</v>
      </c>
      <c r="AO73">
        <v>0</v>
      </c>
      <c r="AP73">
        <v>0</v>
      </c>
      <c r="AQ73" t="s">
        <v>33</v>
      </c>
      <c r="AR73">
        <v>293</v>
      </c>
      <c r="AS73">
        <v>21</v>
      </c>
      <c r="AT73">
        <v>0</v>
      </c>
      <c r="AU73">
        <v>0</v>
      </c>
      <c r="AV73">
        <v>293</v>
      </c>
      <c r="AW73">
        <v>21</v>
      </c>
      <c r="AX73">
        <v>0</v>
      </c>
      <c r="AY73">
        <v>0</v>
      </c>
      <c r="AZ73">
        <v>314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314</v>
      </c>
      <c r="BI73">
        <v>0</v>
      </c>
      <c r="BJ73">
        <v>0</v>
      </c>
      <c r="BK73">
        <v>0</v>
      </c>
    </row>
    <row r="74" spans="1:63">
      <c r="A74" t="s">
        <v>75</v>
      </c>
      <c r="B74">
        <v>300</v>
      </c>
      <c r="C74">
        <v>12</v>
      </c>
      <c r="D74">
        <v>0</v>
      </c>
      <c r="E74">
        <v>0</v>
      </c>
      <c r="F74">
        <v>300</v>
      </c>
      <c r="G74">
        <v>12</v>
      </c>
      <c r="H74">
        <v>0</v>
      </c>
      <c r="I74">
        <v>0</v>
      </c>
      <c r="J74">
        <v>312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312</v>
      </c>
      <c r="S74">
        <v>0</v>
      </c>
      <c r="T74">
        <v>0</v>
      </c>
      <c r="U74">
        <v>0</v>
      </c>
      <c r="V74" t="s">
        <v>75</v>
      </c>
      <c r="W74">
        <v>300</v>
      </c>
      <c r="X74">
        <v>12</v>
      </c>
      <c r="Y74">
        <v>0</v>
      </c>
      <c r="Z74">
        <v>0</v>
      </c>
      <c r="AA74">
        <v>300</v>
      </c>
      <c r="AB74">
        <v>12</v>
      </c>
      <c r="AC74">
        <v>0</v>
      </c>
      <c r="AD74">
        <v>0</v>
      </c>
      <c r="AE74">
        <v>312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312</v>
      </c>
      <c r="AN74">
        <v>0</v>
      </c>
      <c r="AO74">
        <v>0</v>
      </c>
      <c r="AP74">
        <v>0</v>
      </c>
      <c r="AQ74" t="s">
        <v>75</v>
      </c>
      <c r="AR74">
        <v>300</v>
      </c>
      <c r="AS74">
        <v>12</v>
      </c>
      <c r="AT74">
        <v>0</v>
      </c>
      <c r="AU74">
        <v>0</v>
      </c>
      <c r="AV74">
        <v>300</v>
      </c>
      <c r="AW74">
        <v>12</v>
      </c>
      <c r="AX74">
        <v>0</v>
      </c>
      <c r="AY74">
        <v>0</v>
      </c>
      <c r="AZ74">
        <v>312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312</v>
      </c>
      <c r="BI74">
        <v>0</v>
      </c>
      <c r="BJ74">
        <v>0</v>
      </c>
      <c r="BK74">
        <v>0</v>
      </c>
    </row>
    <row r="75" spans="1:63">
      <c r="A75" t="s">
        <v>23</v>
      </c>
      <c r="B75">
        <v>89</v>
      </c>
      <c r="C75">
        <v>12</v>
      </c>
      <c r="D75">
        <v>0</v>
      </c>
      <c r="E75">
        <v>0</v>
      </c>
      <c r="F75">
        <v>89</v>
      </c>
      <c r="G75">
        <v>12</v>
      </c>
      <c r="H75">
        <v>0</v>
      </c>
      <c r="I75">
        <v>0</v>
      </c>
      <c r="J75">
        <v>240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101</v>
      </c>
      <c r="S75">
        <v>0</v>
      </c>
      <c r="T75">
        <v>0</v>
      </c>
      <c r="U75">
        <v>0</v>
      </c>
      <c r="V75" t="s">
        <v>23</v>
      </c>
      <c r="W75">
        <v>89</v>
      </c>
      <c r="X75">
        <v>12</v>
      </c>
      <c r="Y75">
        <v>0</v>
      </c>
      <c r="Z75">
        <v>0</v>
      </c>
      <c r="AA75">
        <v>89</v>
      </c>
      <c r="AB75">
        <v>12</v>
      </c>
      <c r="AC75">
        <v>0</v>
      </c>
      <c r="AD75">
        <v>0</v>
      </c>
      <c r="AE75">
        <v>240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101</v>
      </c>
      <c r="AN75">
        <v>0</v>
      </c>
      <c r="AO75">
        <v>0</v>
      </c>
      <c r="AP75">
        <v>0</v>
      </c>
      <c r="AQ75" t="s">
        <v>23</v>
      </c>
      <c r="AR75">
        <v>89</v>
      </c>
      <c r="AS75">
        <v>12</v>
      </c>
      <c r="AT75">
        <v>0</v>
      </c>
      <c r="AU75">
        <v>0</v>
      </c>
      <c r="AV75">
        <v>89</v>
      </c>
      <c r="AW75">
        <v>12</v>
      </c>
      <c r="AX75">
        <v>0</v>
      </c>
      <c r="AY75">
        <v>0</v>
      </c>
      <c r="AZ75">
        <v>240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101</v>
      </c>
      <c r="BI75">
        <v>0</v>
      </c>
      <c r="BJ75">
        <v>0</v>
      </c>
      <c r="BK75">
        <v>0</v>
      </c>
    </row>
    <row r="76" spans="1:63">
      <c r="A76" t="s">
        <v>102</v>
      </c>
      <c r="B76">
        <v>62</v>
      </c>
      <c r="C76">
        <v>8</v>
      </c>
      <c r="D76">
        <v>0</v>
      </c>
      <c r="E76">
        <v>0</v>
      </c>
      <c r="F76">
        <v>61</v>
      </c>
      <c r="G76">
        <v>9</v>
      </c>
      <c r="H76">
        <v>0</v>
      </c>
      <c r="I76">
        <v>0</v>
      </c>
      <c r="J76">
        <v>70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69</v>
      </c>
      <c r="S76">
        <v>1</v>
      </c>
      <c r="T76">
        <v>0</v>
      </c>
      <c r="U76">
        <v>0</v>
      </c>
      <c r="V76" t="s">
        <v>102</v>
      </c>
      <c r="W76">
        <v>62</v>
      </c>
      <c r="X76">
        <v>8</v>
      </c>
      <c r="Y76">
        <v>0</v>
      </c>
      <c r="Z76">
        <v>0</v>
      </c>
      <c r="AA76">
        <v>62</v>
      </c>
      <c r="AB76">
        <v>8</v>
      </c>
      <c r="AC76">
        <v>0</v>
      </c>
      <c r="AD76">
        <v>0</v>
      </c>
      <c r="AE76">
        <v>70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70</v>
      </c>
      <c r="AN76">
        <v>0</v>
      </c>
      <c r="AO76">
        <v>0</v>
      </c>
      <c r="AP76">
        <v>0</v>
      </c>
      <c r="AQ76" t="s">
        <v>102</v>
      </c>
      <c r="AR76">
        <v>61</v>
      </c>
      <c r="AS76">
        <v>9</v>
      </c>
      <c r="AT76">
        <v>0</v>
      </c>
      <c r="AU76">
        <v>0</v>
      </c>
      <c r="AV76">
        <v>62</v>
      </c>
      <c r="AW76">
        <v>8</v>
      </c>
      <c r="AX76">
        <v>0</v>
      </c>
      <c r="AY76">
        <v>0</v>
      </c>
      <c r="AZ76">
        <v>70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69</v>
      </c>
      <c r="BI76">
        <v>0</v>
      </c>
      <c r="BJ76">
        <v>1</v>
      </c>
      <c r="BK76">
        <v>0</v>
      </c>
    </row>
    <row r="77" spans="1:63">
      <c r="A77" t="s">
        <v>67</v>
      </c>
      <c r="B77">
        <v>147</v>
      </c>
      <c r="C77">
        <v>0</v>
      </c>
      <c r="D77">
        <v>0</v>
      </c>
      <c r="E77">
        <v>0</v>
      </c>
      <c r="F77">
        <v>147</v>
      </c>
      <c r="G77">
        <v>0</v>
      </c>
      <c r="H77">
        <v>0</v>
      </c>
      <c r="I77">
        <v>0</v>
      </c>
      <c r="J77">
        <v>147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147</v>
      </c>
      <c r="S77">
        <v>0</v>
      </c>
      <c r="T77">
        <v>0</v>
      </c>
      <c r="U77">
        <v>0</v>
      </c>
      <c r="V77" t="s">
        <v>67</v>
      </c>
      <c r="W77">
        <v>147</v>
      </c>
      <c r="X77">
        <v>0</v>
      </c>
      <c r="Y77">
        <v>0</v>
      </c>
      <c r="Z77">
        <v>0</v>
      </c>
      <c r="AA77">
        <v>147</v>
      </c>
      <c r="AB77">
        <v>0</v>
      </c>
      <c r="AC77">
        <v>0</v>
      </c>
      <c r="AD77">
        <v>0</v>
      </c>
      <c r="AE77">
        <v>147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147</v>
      </c>
      <c r="AN77">
        <v>0</v>
      </c>
      <c r="AO77">
        <v>0</v>
      </c>
      <c r="AP77">
        <v>0</v>
      </c>
      <c r="AQ77" t="s">
        <v>67</v>
      </c>
      <c r="AR77">
        <v>147</v>
      </c>
      <c r="AS77">
        <v>0</v>
      </c>
      <c r="AT77">
        <v>0</v>
      </c>
      <c r="AU77">
        <v>0</v>
      </c>
      <c r="AV77">
        <v>147</v>
      </c>
      <c r="AW77">
        <v>0</v>
      </c>
      <c r="AX77">
        <v>0</v>
      </c>
      <c r="AY77">
        <v>0</v>
      </c>
      <c r="AZ77">
        <v>147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147</v>
      </c>
      <c r="BI77">
        <v>0</v>
      </c>
      <c r="BJ77">
        <v>0</v>
      </c>
      <c r="BK77">
        <v>0</v>
      </c>
    </row>
    <row r="78" spans="1:63">
      <c r="A78" t="s">
        <v>52</v>
      </c>
      <c r="B78">
        <v>94</v>
      </c>
      <c r="C78">
        <v>19</v>
      </c>
      <c r="D78">
        <v>0</v>
      </c>
      <c r="E78">
        <v>0</v>
      </c>
      <c r="F78">
        <v>94</v>
      </c>
      <c r="G78">
        <v>19</v>
      </c>
      <c r="H78">
        <v>0</v>
      </c>
      <c r="I78">
        <v>0</v>
      </c>
      <c r="J78">
        <v>113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113</v>
      </c>
      <c r="S78">
        <v>0</v>
      </c>
      <c r="T78">
        <v>0</v>
      </c>
      <c r="U78">
        <v>0</v>
      </c>
      <c r="V78" t="s">
        <v>52</v>
      </c>
      <c r="W78">
        <v>94</v>
      </c>
      <c r="X78">
        <v>19</v>
      </c>
      <c r="Y78">
        <v>0</v>
      </c>
      <c r="Z78">
        <v>0</v>
      </c>
      <c r="AA78">
        <v>94</v>
      </c>
      <c r="AB78">
        <v>19</v>
      </c>
      <c r="AC78">
        <v>0</v>
      </c>
      <c r="AD78">
        <v>0</v>
      </c>
      <c r="AE78">
        <v>113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113</v>
      </c>
      <c r="AN78">
        <v>0</v>
      </c>
      <c r="AO78">
        <v>0</v>
      </c>
      <c r="AP78">
        <v>0</v>
      </c>
      <c r="AQ78" t="s">
        <v>52</v>
      </c>
      <c r="AR78">
        <v>94</v>
      </c>
      <c r="AS78">
        <v>19</v>
      </c>
      <c r="AT78">
        <v>0</v>
      </c>
      <c r="AU78">
        <v>0</v>
      </c>
      <c r="AV78">
        <v>94</v>
      </c>
      <c r="AW78">
        <v>19</v>
      </c>
      <c r="AX78">
        <v>0</v>
      </c>
      <c r="AY78">
        <v>0</v>
      </c>
      <c r="AZ78">
        <v>113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113</v>
      </c>
      <c r="BI78">
        <v>0</v>
      </c>
      <c r="BJ78">
        <v>0</v>
      </c>
      <c r="BK78">
        <v>0</v>
      </c>
    </row>
    <row r="79" spans="1:63">
      <c r="A79" t="s">
        <v>74</v>
      </c>
      <c r="B79">
        <v>13</v>
      </c>
      <c r="C79">
        <v>6</v>
      </c>
      <c r="D79">
        <v>0</v>
      </c>
      <c r="E79">
        <v>0</v>
      </c>
      <c r="F79">
        <v>13</v>
      </c>
      <c r="G79">
        <v>6</v>
      </c>
      <c r="H79">
        <v>0</v>
      </c>
      <c r="I79">
        <v>0</v>
      </c>
      <c r="J79">
        <v>19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19</v>
      </c>
      <c r="S79">
        <v>0</v>
      </c>
      <c r="T79">
        <v>0</v>
      </c>
      <c r="U79">
        <v>0</v>
      </c>
      <c r="V79" t="s">
        <v>74</v>
      </c>
      <c r="W79">
        <v>13</v>
      </c>
      <c r="X79">
        <v>6</v>
      </c>
      <c r="Y79">
        <v>0</v>
      </c>
      <c r="Z79">
        <v>0</v>
      </c>
      <c r="AA79">
        <v>13</v>
      </c>
      <c r="AB79">
        <v>6</v>
      </c>
      <c r="AC79">
        <v>0</v>
      </c>
      <c r="AD79">
        <v>0</v>
      </c>
      <c r="AE79">
        <v>19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19</v>
      </c>
      <c r="AN79">
        <v>0</v>
      </c>
      <c r="AO79">
        <v>0</v>
      </c>
      <c r="AP79">
        <v>0</v>
      </c>
      <c r="AQ79" t="s">
        <v>74</v>
      </c>
      <c r="AR79">
        <v>13</v>
      </c>
      <c r="AS79">
        <v>6</v>
      </c>
      <c r="AT79">
        <v>0</v>
      </c>
      <c r="AU79">
        <v>0</v>
      </c>
      <c r="AV79">
        <v>13</v>
      </c>
      <c r="AW79">
        <v>6</v>
      </c>
      <c r="AX79">
        <v>0</v>
      </c>
      <c r="AY79">
        <v>0</v>
      </c>
      <c r="AZ79">
        <v>19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19</v>
      </c>
      <c r="BI79">
        <v>0</v>
      </c>
      <c r="BJ79">
        <v>0</v>
      </c>
      <c r="BK79">
        <v>0</v>
      </c>
    </row>
    <row r="80" spans="1:63">
      <c r="A80" t="s">
        <v>1</v>
      </c>
      <c r="B80">
        <v>8</v>
      </c>
      <c r="C80">
        <v>0</v>
      </c>
      <c r="D80">
        <v>0</v>
      </c>
      <c r="E80">
        <v>0</v>
      </c>
      <c r="F80">
        <v>8</v>
      </c>
      <c r="G80">
        <v>0</v>
      </c>
      <c r="H80">
        <v>0</v>
      </c>
      <c r="I80">
        <v>0</v>
      </c>
      <c r="J80">
        <v>10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8</v>
      </c>
      <c r="S80">
        <v>0</v>
      </c>
      <c r="T80">
        <v>0</v>
      </c>
      <c r="U80">
        <v>0</v>
      </c>
      <c r="V80" t="s">
        <v>1</v>
      </c>
      <c r="W80">
        <v>8</v>
      </c>
      <c r="X80">
        <v>0</v>
      </c>
      <c r="Y80">
        <v>0</v>
      </c>
      <c r="Z80">
        <v>0</v>
      </c>
      <c r="AA80">
        <v>8</v>
      </c>
      <c r="AB80">
        <v>0</v>
      </c>
      <c r="AC80">
        <v>0</v>
      </c>
      <c r="AD80">
        <v>0</v>
      </c>
      <c r="AE80">
        <v>10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8</v>
      </c>
      <c r="AN80">
        <v>0</v>
      </c>
      <c r="AO80">
        <v>0</v>
      </c>
      <c r="AP80">
        <v>0</v>
      </c>
      <c r="AQ80" t="s">
        <v>1</v>
      </c>
      <c r="AR80">
        <v>8</v>
      </c>
      <c r="AS80">
        <v>0</v>
      </c>
      <c r="AT80">
        <v>0</v>
      </c>
      <c r="AU80">
        <v>0</v>
      </c>
      <c r="AV80">
        <v>8</v>
      </c>
      <c r="AW80">
        <v>0</v>
      </c>
      <c r="AX80">
        <v>0</v>
      </c>
      <c r="AY80">
        <v>0</v>
      </c>
      <c r="AZ80">
        <v>10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8</v>
      </c>
      <c r="BI80">
        <v>0</v>
      </c>
      <c r="BJ80">
        <v>0</v>
      </c>
      <c r="BK80">
        <v>0</v>
      </c>
    </row>
    <row r="81" spans="1:63">
      <c r="A81" t="s">
        <v>0</v>
      </c>
      <c r="B81">
        <v>62</v>
      </c>
      <c r="C81">
        <v>32</v>
      </c>
      <c r="D81">
        <v>0</v>
      </c>
      <c r="E81">
        <v>0</v>
      </c>
      <c r="F81">
        <v>62</v>
      </c>
      <c r="G81">
        <v>32</v>
      </c>
      <c r="H81">
        <v>0</v>
      </c>
      <c r="I81">
        <v>0</v>
      </c>
      <c r="J81">
        <v>81</v>
      </c>
      <c r="K81">
        <v>13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80</v>
      </c>
      <c r="S81">
        <v>14</v>
      </c>
      <c r="T81">
        <v>0</v>
      </c>
      <c r="U81">
        <v>0</v>
      </c>
      <c r="V81" t="s">
        <v>0</v>
      </c>
      <c r="W81">
        <v>62</v>
      </c>
      <c r="X81">
        <v>32</v>
      </c>
      <c r="Y81">
        <v>0</v>
      </c>
      <c r="Z81">
        <v>0</v>
      </c>
      <c r="AA81">
        <v>62</v>
      </c>
      <c r="AB81">
        <v>32</v>
      </c>
      <c r="AC81">
        <v>0</v>
      </c>
      <c r="AD81">
        <v>0</v>
      </c>
      <c r="AE81">
        <v>81</v>
      </c>
      <c r="AF81">
        <v>13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80</v>
      </c>
      <c r="AN81">
        <v>14</v>
      </c>
      <c r="AO81">
        <v>0</v>
      </c>
      <c r="AP81">
        <v>0</v>
      </c>
      <c r="AQ81" t="s">
        <v>0</v>
      </c>
      <c r="AR81">
        <v>62</v>
      </c>
      <c r="AS81">
        <v>32</v>
      </c>
      <c r="AT81">
        <v>0</v>
      </c>
      <c r="AU81">
        <v>0</v>
      </c>
      <c r="AV81">
        <v>62</v>
      </c>
      <c r="AW81">
        <v>32</v>
      </c>
      <c r="AX81">
        <v>0</v>
      </c>
      <c r="AY81">
        <v>0</v>
      </c>
      <c r="AZ81">
        <v>94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94</v>
      </c>
      <c r="BI81">
        <v>0</v>
      </c>
      <c r="BJ81">
        <v>0</v>
      </c>
      <c r="BK81">
        <v>0</v>
      </c>
    </row>
    <row r="82" spans="1:63">
      <c r="A82" t="s">
        <v>90</v>
      </c>
      <c r="B82">
        <v>5</v>
      </c>
      <c r="C82">
        <v>0</v>
      </c>
      <c r="D82">
        <v>0</v>
      </c>
      <c r="E82">
        <v>0</v>
      </c>
      <c r="F82">
        <v>5</v>
      </c>
      <c r="G82">
        <v>0</v>
      </c>
      <c r="H82">
        <v>0</v>
      </c>
      <c r="I82">
        <v>0</v>
      </c>
      <c r="J82">
        <v>5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5</v>
      </c>
      <c r="S82">
        <v>0</v>
      </c>
      <c r="T82">
        <v>0</v>
      </c>
      <c r="U82">
        <v>0</v>
      </c>
      <c r="V82" t="s">
        <v>90</v>
      </c>
      <c r="W82">
        <v>5</v>
      </c>
      <c r="X82">
        <v>0</v>
      </c>
      <c r="Y82">
        <v>0</v>
      </c>
      <c r="Z82">
        <v>0</v>
      </c>
      <c r="AA82">
        <v>5</v>
      </c>
      <c r="AB82">
        <v>0</v>
      </c>
      <c r="AC82">
        <v>0</v>
      </c>
      <c r="AD82">
        <v>0</v>
      </c>
      <c r="AE82">
        <v>5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5</v>
      </c>
      <c r="AN82">
        <v>0</v>
      </c>
      <c r="AO82">
        <v>0</v>
      </c>
      <c r="AP82">
        <v>0</v>
      </c>
      <c r="AQ82" t="s">
        <v>90</v>
      </c>
      <c r="AR82">
        <v>5</v>
      </c>
      <c r="AS82">
        <v>0</v>
      </c>
      <c r="AT82">
        <v>0</v>
      </c>
      <c r="AU82">
        <v>0</v>
      </c>
      <c r="AV82">
        <v>5</v>
      </c>
      <c r="AW82">
        <v>0</v>
      </c>
      <c r="AX82">
        <v>0</v>
      </c>
      <c r="AY82">
        <v>0</v>
      </c>
      <c r="AZ82">
        <v>5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5</v>
      </c>
      <c r="BI82">
        <v>0</v>
      </c>
      <c r="BJ82">
        <v>0</v>
      </c>
      <c r="BK82">
        <v>0</v>
      </c>
    </row>
    <row r="83" spans="1:63">
      <c r="A83" t="s">
        <v>65</v>
      </c>
      <c r="B83">
        <v>50</v>
      </c>
      <c r="C83">
        <v>0</v>
      </c>
      <c r="D83">
        <v>0</v>
      </c>
      <c r="E83">
        <v>0</v>
      </c>
      <c r="F83">
        <v>50</v>
      </c>
      <c r="G83">
        <v>0</v>
      </c>
      <c r="H83">
        <v>0</v>
      </c>
      <c r="I83">
        <v>0</v>
      </c>
      <c r="J83">
        <v>50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50</v>
      </c>
      <c r="S83">
        <v>0</v>
      </c>
      <c r="T83">
        <v>0</v>
      </c>
      <c r="U83">
        <v>0</v>
      </c>
      <c r="V83" t="s">
        <v>65</v>
      </c>
      <c r="W83">
        <v>50</v>
      </c>
      <c r="X83">
        <v>0</v>
      </c>
      <c r="Y83">
        <v>0</v>
      </c>
      <c r="Z83">
        <v>0</v>
      </c>
      <c r="AA83">
        <v>50</v>
      </c>
      <c r="AB83">
        <v>0</v>
      </c>
      <c r="AC83">
        <v>0</v>
      </c>
      <c r="AD83">
        <v>0</v>
      </c>
      <c r="AE83">
        <v>50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50</v>
      </c>
      <c r="AN83">
        <v>0</v>
      </c>
      <c r="AO83">
        <v>0</v>
      </c>
      <c r="AP83">
        <v>0</v>
      </c>
      <c r="AQ83" t="s">
        <v>65</v>
      </c>
      <c r="AR83">
        <v>50</v>
      </c>
      <c r="AS83">
        <v>0</v>
      </c>
      <c r="AT83">
        <v>0</v>
      </c>
      <c r="AU83">
        <v>0</v>
      </c>
      <c r="AV83">
        <v>50</v>
      </c>
      <c r="AW83">
        <v>0</v>
      </c>
      <c r="AX83">
        <v>0</v>
      </c>
      <c r="AY83">
        <v>0</v>
      </c>
      <c r="AZ83">
        <v>50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50</v>
      </c>
      <c r="BI83">
        <v>0</v>
      </c>
      <c r="BJ83">
        <v>0</v>
      </c>
      <c r="BK83">
        <v>0</v>
      </c>
    </row>
    <row r="84" spans="1:63">
      <c r="A84" t="s">
        <v>86</v>
      </c>
      <c r="B84">
        <v>33</v>
      </c>
      <c r="C84">
        <v>0</v>
      </c>
      <c r="D84">
        <v>0</v>
      </c>
      <c r="E84">
        <v>0</v>
      </c>
      <c r="F84">
        <v>33</v>
      </c>
      <c r="G84">
        <v>0</v>
      </c>
      <c r="H84">
        <v>0</v>
      </c>
      <c r="I84">
        <v>0</v>
      </c>
      <c r="J84">
        <v>33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33</v>
      </c>
      <c r="S84">
        <v>0</v>
      </c>
      <c r="T84">
        <v>0</v>
      </c>
      <c r="U84">
        <v>0</v>
      </c>
      <c r="V84" t="s">
        <v>86</v>
      </c>
      <c r="W84">
        <v>33</v>
      </c>
      <c r="X84">
        <v>0</v>
      </c>
      <c r="Y84">
        <v>0</v>
      </c>
      <c r="Z84">
        <v>0</v>
      </c>
      <c r="AA84">
        <v>33</v>
      </c>
      <c r="AB84">
        <v>0</v>
      </c>
      <c r="AC84">
        <v>0</v>
      </c>
      <c r="AD84">
        <v>0</v>
      </c>
      <c r="AE84">
        <v>33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33</v>
      </c>
      <c r="AN84">
        <v>0</v>
      </c>
      <c r="AO84">
        <v>0</v>
      </c>
      <c r="AP84">
        <v>0</v>
      </c>
      <c r="AQ84" t="s">
        <v>86</v>
      </c>
      <c r="AR84">
        <v>33</v>
      </c>
      <c r="AS84">
        <v>0</v>
      </c>
      <c r="AT84">
        <v>0</v>
      </c>
      <c r="AU84">
        <v>0</v>
      </c>
      <c r="AV84">
        <v>33</v>
      </c>
      <c r="AW84">
        <v>0</v>
      </c>
      <c r="AX84">
        <v>0</v>
      </c>
      <c r="AY84">
        <v>0</v>
      </c>
      <c r="AZ84">
        <v>33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33</v>
      </c>
      <c r="BI84">
        <v>0</v>
      </c>
      <c r="BJ84">
        <v>0</v>
      </c>
      <c r="BK84">
        <v>0</v>
      </c>
    </row>
    <row r="85" spans="1:63">
      <c r="A85" t="s">
        <v>88</v>
      </c>
      <c r="B85">
        <v>55</v>
      </c>
      <c r="C85">
        <v>1</v>
      </c>
      <c r="D85">
        <v>0</v>
      </c>
      <c r="E85">
        <v>0</v>
      </c>
      <c r="F85">
        <v>55</v>
      </c>
      <c r="G85">
        <v>1</v>
      </c>
      <c r="H85">
        <v>0</v>
      </c>
      <c r="I85">
        <v>0</v>
      </c>
      <c r="J85">
        <v>56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56</v>
      </c>
      <c r="S85">
        <v>0</v>
      </c>
      <c r="T85">
        <v>0</v>
      </c>
      <c r="U85">
        <v>0</v>
      </c>
      <c r="V85" t="s">
        <v>88</v>
      </c>
      <c r="W85">
        <v>55</v>
      </c>
      <c r="X85">
        <v>1</v>
      </c>
      <c r="Y85">
        <v>0</v>
      </c>
      <c r="Z85">
        <v>0</v>
      </c>
      <c r="AA85">
        <v>55</v>
      </c>
      <c r="AB85">
        <v>1</v>
      </c>
      <c r="AC85">
        <v>0</v>
      </c>
      <c r="AD85">
        <v>0</v>
      </c>
      <c r="AE85">
        <v>56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56</v>
      </c>
      <c r="AN85">
        <v>0</v>
      </c>
      <c r="AO85">
        <v>0</v>
      </c>
      <c r="AP85">
        <v>0</v>
      </c>
      <c r="AQ85" t="s">
        <v>88</v>
      </c>
      <c r="AR85">
        <v>55</v>
      </c>
      <c r="AS85">
        <v>1</v>
      </c>
      <c r="AT85">
        <v>0</v>
      </c>
      <c r="AU85">
        <v>0</v>
      </c>
      <c r="AV85">
        <v>55</v>
      </c>
      <c r="AW85">
        <v>1</v>
      </c>
      <c r="AX85">
        <v>0</v>
      </c>
      <c r="AY85">
        <v>0</v>
      </c>
      <c r="AZ85">
        <v>56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56</v>
      </c>
      <c r="BI85">
        <v>0</v>
      </c>
      <c r="BJ85">
        <v>0</v>
      </c>
      <c r="BK85">
        <v>0</v>
      </c>
    </row>
    <row r="86" spans="1:63">
      <c r="A86" t="s">
        <v>77</v>
      </c>
      <c r="B86">
        <v>85</v>
      </c>
      <c r="C86">
        <v>3</v>
      </c>
      <c r="D86">
        <v>0</v>
      </c>
      <c r="E86">
        <v>0</v>
      </c>
      <c r="F86">
        <v>85</v>
      </c>
      <c r="G86">
        <v>3</v>
      </c>
      <c r="H86">
        <v>0</v>
      </c>
      <c r="I86">
        <v>0</v>
      </c>
      <c r="J86">
        <v>88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88</v>
      </c>
      <c r="S86">
        <v>0</v>
      </c>
      <c r="T86">
        <v>0</v>
      </c>
      <c r="U86">
        <v>0</v>
      </c>
      <c r="V86" t="s">
        <v>77</v>
      </c>
      <c r="W86">
        <v>85</v>
      </c>
      <c r="X86">
        <v>3</v>
      </c>
      <c r="Y86">
        <v>0</v>
      </c>
      <c r="Z86">
        <v>0</v>
      </c>
      <c r="AA86">
        <v>85</v>
      </c>
      <c r="AB86">
        <v>3</v>
      </c>
      <c r="AC86">
        <v>0</v>
      </c>
      <c r="AD86">
        <v>0</v>
      </c>
      <c r="AE86">
        <v>88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88</v>
      </c>
      <c r="AN86">
        <v>0</v>
      </c>
      <c r="AO86">
        <v>0</v>
      </c>
      <c r="AP86">
        <v>0</v>
      </c>
      <c r="AQ86" t="s">
        <v>77</v>
      </c>
      <c r="AR86">
        <v>85</v>
      </c>
      <c r="AS86">
        <v>3</v>
      </c>
      <c r="AT86">
        <v>0</v>
      </c>
      <c r="AU86">
        <v>0</v>
      </c>
      <c r="AV86">
        <v>85</v>
      </c>
      <c r="AW86">
        <v>3</v>
      </c>
      <c r="AX86">
        <v>0</v>
      </c>
      <c r="AY86">
        <v>0</v>
      </c>
      <c r="AZ86">
        <v>88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88</v>
      </c>
      <c r="BI86">
        <v>0</v>
      </c>
      <c r="BJ86">
        <v>0</v>
      </c>
      <c r="BK86">
        <v>0</v>
      </c>
    </row>
    <row r="87" spans="1:63">
      <c r="A87" t="s">
        <v>17</v>
      </c>
      <c r="B87">
        <v>35</v>
      </c>
      <c r="C87">
        <v>1</v>
      </c>
      <c r="D87">
        <v>0</v>
      </c>
      <c r="E87">
        <v>0</v>
      </c>
      <c r="F87">
        <v>35</v>
      </c>
      <c r="G87">
        <v>1</v>
      </c>
      <c r="H87">
        <v>0</v>
      </c>
      <c r="I87">
        <v>0</v>
      </c>
      <c r="J87">
        <v>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36</v>
      </c>
      <c r="S87">
        <v>0</v>
      </c>
      <c r="T87">
        <v>0</v>
      </c>
      <c r="U87">
        <v>0</v>
      </c>
      <c r="V87" t="s">
        <v>17</v>
      </c>
      <c r="W87">
        <v>35</v>
      </c>
      <c r="X87">
        <v>1</v>
      </c>
      <c r="Y87">
        <v>0</v>
      </c>
      <c r="Z87">
        <v>0</v>
      </c>
      <c r="AA87">
        <v>35</v>
      </c>
      <c r="AB87">
        <v>1</v>
      </c>
      <c r="AC87">
        <v>0</v>
      </c>
      <c r="AD87">
        <v>0</v>
      </c>
      <c r="AE87">
        <v>36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36</v>
      </c>
      <c r="AN87">
        <v>0</v>
      </c>
      <c r="AO87">
        <v>0</v>
      </c>
      <c r="AP87">
        <v>0</v>
      </c>
      <c r="AQ87" t="s">
        <v>17</v>
      </c>
      <c r="AR87">
        <v>35</v>
      </c>
      <c r="AS87">
        <v>1</v>
      </c>
      <c r="AT87">
        <v>0</v>
      </c>
      <c r="AU87">
        <v>0</v>
      </c>
      <c r="AV87">
        <v>35</v>
      </c>
      <c r="AW87">
        <v>1</v>
      </c>
      <c r="AX87">
        <v>0</v>
      </c>
      <c r="AY87">
        <v>0</v>
      </c>
      <c r="AZ87">
        <v>36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36</v>
      </c>
      <c r="BI87">
        <v>0</v>
      </c>
      <c r="BJ87">
        <v>0</v>
      </c>
      <c r="BK87">
        <v>0</v>
      </c>
    </row>
    <row r="88" spans="1:63">
      <c r="A88" t="s">
        <v>35</v>
      </c>
      <c r="B88">
        <v>11</v>
      </c>
      <c r="C88">
        <v>0</v>
      </c>
      <c r="D88">
        <v>0</v>
      </c>
      <c r="E88">
        <v>0</v>
      </c>
      <c r="F88">
        <v>11</v>
      </c>
      <c r="G88">
        <v>0</v>
      </c>
      <c r="H88">
        <v>0</v>
      </c>
      <c r="I88">
        <v>0</v>
      </c>
      <c r="J88">
        <v>11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11</v>
      </c>
      <c r="S88">
        <v>0</v>
      </c>
      <c r="T88">
        <v>0</v>
      </c>
      <c r="U88">
        <v>0</v>
      </c>
      <c r="V88" t="s">
        <v>35</v>
      </c>
      <c r="W88">
        <v>11</v>
      </c>
      <c r="X88">
        <v>0</v>
      </c>
      <c r="Y88">
        <v>0</v>
      </c>
      <c r="Z88">
        <v>0</v>
      </c>
      <c r="AA88">
        <v>11</v>
      </c>
      <c r="AB88">
        <v>0</v>
      </c>
      <c r="AC88">
        <v>0</v>
      </c>
      <c r="AD88">
        <v>0</v>
      </c>
      <c r="AE88">
        <v>11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11</v>
      </c>
      <c r="AN88">
        <v>0</v>
      </c>
      <c r="AO88">
        <v>0</v>
      </c>
      <c r="AP88">
        <v>0</v>
      </c>
      <c r="AQ88" t="s">
        <v>35</v>
      </c>
      <c r="AR88">
        <v>11</v>
      </c>
      <c r="AS88">
        <v>0</v>
      </c>
      <c r="AT88">
        <v>0</v>
      </c>
      <c r="AU88">
        <v>0</v>
      </c>
      <c r="AV88">
        <v>11</v>
      </c>
      <c r="AW88">
        <v>0</v>
      </c>
      <c r="AX88">
        <v>0</v>
      </c>
      <c r="AY88">
        <v>0</v>
      </c>
      <c r="AZ88">
        <v>11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11</v>
      </c>
      <c r="BI88">
        <v>0</v>
      </c>
      <c r="BJ88">
        <v>0</v>
      </c>
      <c r="BK88">
        <v>0</v>
      </c>
    </row>
    <row r="89" spans="1:63">
      <c r="A89" t="s">
        <v>83</v>
      </c>
      <c r="B89">
        <v>82</v>
      </c>
      <c r="C89">
        <v>0</v>
      </c>
      <c r="D89">
        <v>0</v>
      </c>
      <c r="E89">
        <v>0</v>
      </c>
      <c r="F89">
        <v>82</v>
      </c>
      <c r="G89">
        <v>0</v>
      </c>
      <c r="H89">
        <v>0</v>
      </c>
      <c r="I89">
        <v>0</v>
      </c>
      <c r="J89">
        <v>82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82</v>
      </c>
      <c r="S89">
        <v>0</v>
      </c>
      <c r="T89">
        <v>0</v>
      </c>
      <c r="U89">
        <v>0</v>
      </c>
      <c r="V89" t="s">
        <v>83</v>
      </c>
      <c r="W89">
        <v>82</v>
      </c>
      <c r="X89">
        <v>0</v>
      </c>
      <c r="Y89">
        <v>0</v>
      </c>
      <c r="Z89">
        <v>0</v>
      </c>
      <c r="AA89">
        <v>82</v>
      </c>
      <c r="AB89">
        <v>0</v>
      </c>
      <c r="AC89">
        <v>0</v>
      </c>
      <c r="AD89">
        <v>0</v>
      </c>
      <c r="AE89">
        <v>82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82</v>
      </c>
      <c r="AN89">
        <v>0</v>
      </c>
      <c r="AO89">
        <v>0</v>
      </c>
      <c r="AP89">
        <v>0</v>
      </c>
      <c r="AQ89" t="s">
        <v>83</v>
      </c>
      <c r="AR89">
        <v>82</v>
      </c>
      <c r="AS89">
        <v>0</v>
      </c>
      <c r="AT89">
        <v>0</v>
      </c>
      <c r="AU89">
        <v>0</v>
      </c>
      <c r="AV89">
        <v>82</v>
      </c>
      <c r="AW89">
        <v>0</v>
      </c>
      <c r="AX89">
        <v>0</v>
      </c>
      <c r="AY89">
        <v>0</v>
      </c>
      <c r="AZ89">
        <v>82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82</v>
      </c>
      <c r="BI89">
        <v>0</v>
      </c>
      <c r="BJ89">
        <v>0</v>
      </c>
      <c r="BK89">
        <v>0</v>
      </c>
    </row>
    <row r="90" spans="1:63">
      <c r="A90" t="s">
        <v>80</v>
      </c>
      <c r="B90">
        <v>126</v>
      </c>
      <c r="C90">
        <v>6</v>
      </c>
      <c r="D90">
        <v>0</v>
      </c>
      <c r="E90">
        <v>0</v>
      </c>
      <c r="F90">
        <v>126</v>
      </c>
      <c r="G90">
        <v>6</v>
      </c>
      <c r="H90">
        <v>0</v>
      </c>
      <c r="I90">
        <v>0</v>
      </c>
      <c r="J90">
        <v>132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132</v>
      </c>
      <c r="S90">
        <v>0</v>
      </c>
      <c r="T90">
        <v>0</v>
      </c>
      <c r="U90">
        <v>0</v>
      </c>
      <c r="V90" t="s">
        <v>80</v>
      </c>
      <c r="W90">
        <v>126</v>
      </c>
      <c r="X90">
        <v>6</v>
      </c>
      <c r="Y90">
        <v>0</v>
      </c>
      <c r="Z90">
        <v>0</v>
      </c>
      <c r="AA90">
        <v>126</v>
      </c>
      <c r="AB90">
        <v>6</v>
      </c>
      <c r="AC90">
        <v>0</v>
      </c>
      <c r="AD90">
        <v>0</v>
      </c>
      <c r="AE90">
        <v>132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132</v>
      </c>
      <c r="AN90">
        <v>0</v>
      </c>
      <c r="AO90">
        <v>0</v>
      </c>
      <c r="AP90">
        <v>0</v>
      </c>
      <c r="AQ90" t="s">
        <v>80</v>
      </c>
      <c r="AR90">
        <v>126</v>
      </c>
      <c r="AS90">
        <v>6</v>
      </c>
      <c r="AT90">
        <v>0</v>
      </c>
      <c r="AU90">
        <v>0</v>
      </c>
      <c r="AV90">
        <v>126</v>
      </c>
      <c r="AW90">
        <v>6</v>
      </c>
      <c r="AX90">
        <v>0</v>
      </c>
      <c r="AY90">
        <v>0</v>
      </c>
      <c r="AZ90">
        <v>132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132</v>
      </c>
      <c r="BI90">
        <v>0</v>
      </c>
      <c r="BJ90">
        <v>0</v>
      </c>
      <c r="BK90">
        <v>0</v>
      </c>
    </row>
    <row r="91" spans="1:63">
      <c r="A91" t="s">
        <v>10</v>
      </c>
      <c r="B91">
        <v>30</v>
      </c>
      <c r="C91">
        <v>0</v>
      </c>
      <c r="D91">
        <v>0</v>
      </c>
      <c r="E91">
        <v>0</v>
      </c>
      <c r="F91">
        <v>30</v>
      </c>
      <c r="G91">
        <v>0</v>
      </c>
      <c r="H91">
        <v>0</v>
      </c>
      <c r="I91">
        <v>0</v>
      </c>
      <c r="J91">
        <v>30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30</v>
      </c>
      <c r="S91">
        <v>0</v>
      </c>
      <c r="T91">
        <v>0</v>
      </c>
      <c r="U91">
        <v>0</v>
      </c>
      <c r="V91" t="s">
        <v>10</v>
      </c>
      <c r="W91">
        <v>30</v>
      </c>
      <c r="X91">
        <v>0</v>
      </c>
      <c r="Y91">
        <v>0</v>
      </c>
      <c r="Z91">
        <v>0</v>
      </c>
      <c r="AA91">
        <v>30</v>
      </c>
      <c r="AB91">
        <v>0</v>
      </c>
      <c r="AC91">
        <v>0</v>
      </c>
      <c r="AD91">
        <v>0</v>
      </c>
      <c r="AE91">
        <v>30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30</v>
      </c>
      <c r="AN91">
        <v>0</v>
      </c>
      <c r="AO91">
        <v>0</v>
      </c>
      <c r="AP91">
        <v>0</v>
      </c>
      <c r="AQ91" t="s">
        <v>10</v>
      </c>
      <c r="AR91">
        <v>30</v>
      </c>
      <c r="AS91">
        <v>0</v>
      </c>
      <c r="AT91">
        <v>0</v>
      </c>
      <c r="AU91">
        <v>0</v>
      </c>
      <c r="AV91">
        <v>30</v>
      </c>
      <c r="AW91">
        <v>0</v>
      </c>
      <c r="AX91">
        <v>0</v>
      </c>
      <c r="AY91">
        <v>0</v>
      </c>
      <c r="AZ91">
        <v>30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30</v>
      </c>
      <c r="BI91">
        <v>0</v>
      </c>
      <c r="BJ91">
        <v>0</v>
      </c>
      <c r="BK91">
        <v>0</v>
      </c>
    </row>
    <row r="92" spans="1:63">
      <c r="A92" t="s">
        <v>97</v>
      </c>
      <c r="B92">
        <v>41</v>
      </c>
      <c r="C92">
        <v>0</v>
      </c>
      <c r="D92">
        <v>0</v>
      </c>
      <c r="E92">
        <v>0</v>
      </c>
      <c r="F92">
        <v>41</v>
      </c>
      <c r="G92">
        <v>0</v>
      </c>
      <c r="H92">
        <v>0</v>
      </c>
      <c r="I92">
        <v>0</v>
      </c>
      <c r="J92">
        <v>41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41</v>
      </c>
      <c r="S92">
        <v>0</v>
      </c>
      <c r="T92">
        <v>0</v>
      </c>
      <c r="U92">
        <v>0</v>
      </c>
      <c r="V92" t="s">
        <v>97</v>
      </c>
      <c r="W92">
        <v>41</v>
      </c>
      <c r="X92">
        <v>0</v>
      </c>
      <c r="Y92">
        <v>0</v>
      </c>
      <c r="Z92">
        <v>0</v>
      </c>
      <c r="AA92">
        <v>41</v>
      </c>
      <c r="AB92">
        <v>0</v>
      </c>
      <c r="AC92">
        <v>0</v>
      </c>
      <c r="AD92">
        <v>0</v>
      </c>
      <c r="AE92">
        <v>41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41</v>
      </c>
      <c r="AN92">
        <v>0</v>
      </c>
      <c r="AO92">
        <v>0</v>
      </c>
      <c r="AP92">
        <v>0</v>
      </c>
      <c r="AQ92" t="s">
        <v>97</v>
      </c>
      <c r="AR92">
        <v>41</v>
      </c>
      <c r="AS92">
        <v>0</v>
      </c>
      <c r="AT92">
        <v>0</v>
      </c>
      <c r="AU92">
        <v>0</v>
      </c>
      <c r="AV92">
        <v>41</v>
      </c>
      <c r="AW92">
        <v>0</v>
      </c>
      <c r="AX92">
        <v>0</v>
      </c>
      <c r="AY92">
        <v>0</v>
      </c>
      <c r="AZ92">
        <v>41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41</v>
      </c>
      <c r="BI92">
        <v>0</v>
      </c>
      <c r="BJ92">
        <v>0</v>
      </c>
      <c r="BK92">
        <v>0</v>
      </c>
    </row>
    <row r="93" spans="1:63">
      <c r="A93" t="s">
        <v>15</v>
      </c>
      <c r="B93">
        <v>7</v>
      </c>
      <c r="C93">
        <v>0</v>
      </c>
      <c r="D93">
        <v>0</v>
      </c>
      <c r="E93">
        <v>0</v>
      </c>
      <c r="F93">
        <v>7</v>
      </c>
      <c r="G93">
        <v>0</v>
      </c>
      <c r="H93">
        <v>0</v>
      </c>
      <c r="I93">
        <v>0</v>
      </c>
      <c r="J93">
        <v>7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7</v>
      </c>
      <c r="S93">
        <v>0</v>
      </c>
      <c r="T93">
        <v>0</v>
      </c>
      <c r="U93">
        <v>0</v>
      </c>
      <c r="V93" t="s">
        <v>15</v>
      </c>
      <c r="W93">
        <v>7</v>
      </c>
      <c r="X93">
        <v>0</v>
      </c>
      <c r="Y93">
        <v>0</v>
      </c>
      <c r="Z93">
        <v>0</v>
      </c>
      <c r="AA93">
        <v>7</v>
      </c>
      <c r="AB93">
        <v>0</v>
      </c>
      <c r="AC93">
        <v>0</v>
      </c>
      <c r="AD93">
        <v>0</v>
      </c>
      <c r="AE93">
        <v>7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7</v>
      </c>
      <c r="AN93">
        <v>0</v>
      </c>
      <c r="AO93">
        <v>0</v>
      </c>
      <c r="AP93">
        <v>0</v>
      </c>
      <c r="AQ93" t="s">
        <v>15</v>
      </c>
      <c r="AR93">
        <v>7</v>
      </c>
      <c r="AS93">
        <v>0</v>
      </c>
      <c r="AT93">
        <v>0</v>
      </c>
      <c r="AU93">
        <v>0</v>
      </c>
      <c r="AV93">
        <v>7</v>
      </c>
      <c r="AW93">
        <v>0</v>
      </c>
      <c r="AX93">
        <v>0</v>
      </c>
      <c r="AY93">
        <v>0</v>
      </c>
      <c r="AZ93">
        <v>7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7</v>
      </c>
      <c r="BI93">
        <v>0</v>
      </c>
      <c r="BJ93">
        <v>0</v>
      </c>
      <c r="BK93">
        <v>0</v>
      </c>
    </row>
    <row r="94" spans="1:63">
      <c r="A94" t="s">
        <v>61</v>
      </c>
      <c r="B94">
        <v>48</v>
      </c>
      <c r="C94">
        <v>5</v>
      </c>
      <c r="D94">
        <v>0</v>
      </c>
      <c r="E94">
        <v>0</v>
      </c>
      <c r="F94">
        <v>48</v>
      </c>
      <c r="G94">
        <v>5</v>
      </c>
      <c r="H94">
        <v>0</v>
      </c>
      <c r="I94">
        <v>0</v>
      </c>
      <c r="J94">
        <v>53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53</v>
      </c>
      <c r="S94">
        <v>0</v>
      </c>
      <c r="T94">
        <v>0</v>
      </c>
      <c r="U94">
        <v>0</v>
      </c>
      <c r="V94" t="s">
        <v>61</v>
      </c>
      <c r="W94">
        <v>48</v>
      </c>
      <c r="X94">
        <v>5</v>
      </c>
      <c r="Y94">
        <v>0</v>
      </c>
      <c r="Z94">
        <v>0</v>
      </c>
      <c r="AA94">
        <v>48</v>
      </c>
      <c r="AB94">
        <v>5</v>
      </c>
      <c r="AC94">
        <v>0</v>
      </c>
      <c r="AD94">
        <v>0</v>
      </c>
      <c r="AE94">
        <v>53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53</v>
      </c>
      <c r="AN94">
        <v>0</v>
      </c>
      <c r="AO94">
        <v>0</v>
      </c>
      <c r="AP94">
        <v>0</v>
      </c>
      <c r="AQ94" t="s">
        <v>61</v>
      </c>
      <c r="AR94">
        <v>48</v>
      </c>
      <c r="AS94">
        <v>5</v>
      </c>
      <c r="AT94">
        <v>0</v>
      </c>
      <c r="AU94">
        <v>0</v>
      </c>
      <c r="AV94">
        <v>48</v>
      </c>
      <c r="AW94">
        <v>5</v>
      </c>
      <c r="AX94">
        <v>0</v>
      </c>
      <c r="AY94">
        <v>0</v>
      </c>
      <c r="AZ94">
        <v>53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53</v>
      </c>
      <c r="BI94">
        <v>0</v>
      </c>
      <c r="BJ94">
        <v>0</v>
      </c>
      <c r="BK94">
        <v>0</v>
      </c>
    </row>
    <row r="95" spans="1:63">
      <c r="A95" t="s">
        <v>49</v>
      </c>
      <c r="B95">
        <v>18</v>
      </c>
      <c r="C95">
        <v>1</v>
      </c>
      <c r="D95">
        <v>0</v>
      </c>
      <c r="E95">
        <v>0</v>
      </c>
      <c r="F95">
        <v>18</v>
      </c>
      <c r="G95">
        <v>1</v>
      </c>
      <c r="H95">
        <v>0</v>
      </c>
      <c r="I95">
        <v>0</v>
      </c>
      <c r="J95">
        <v>19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19</v>
      </c>
      <c r="S95">
        <v>0</v>
      </c>
      <c r="T95">
        <v>0</v>
      </c>
      <c r="U95">
        <v>0</v>
      </c>
      <c r="V95" t="s">
        <v>49</v>
      </c>
      <c r="W95">
        <v>18</v>
      </c>
      <c r="X95">
        <v>1</v>
      </c>
      <c r="Y95">
        <v>0</v>
      </c>
      <c r="Z95">
        <v>0</v>
      </c>
      <c r="AA95">
        <v>18</v>
      </c>
      <c r="AB95">
        <v>1</v>
      </c>
      <c r="AC95">
        <v>0</v>
      </c>
      <c r="AD95">
        <v>0</v>
      </c>
      <c r="AE95">
        <v>19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19</v>
      </c>
      <c r="AN95">
        <v>0</v>
      </c>
      <c r="AO95">
        <v>0</v>
      </c>
      <c r="AP95">
        <v>0</v>
      </c>
      <c r="AQ95" t="s">
        <v>49</v>
      </c>
      <c r="AR95">
        <v>18</v>
      </c>
      <c r="AS95">
        <v>1</v>
      </c>
      <c r="AT95">
        <v>0</v>
      </c>
      <c r="AU95">
        <v>0</v>
      </c>
      <c r="AV95">
        <v>18</v>
      </c>
      <c r="AW95">
        <v>1</v>
      </c>
      <c r="AX95">
        <v>0</v>
      </c>
      <c r="AY95">
        <v>0</v>
      </c>
      <c r="AZ95">
        <v>19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19</v>
      </c>
      <c r="BI95">
        <v>0</v>
      </c>
      <c r="BJ95">
        <v>0</v>
      </c>
      <c r="BK95">
        <v>0</v>
      </c>
    </row>
    <row r="96" spans="1:63">
      <c r="A96" t="s">
        <v>78</v>
      </c>
      <c r="B96">
        <v>15</v>
      </c>
      <c r="C96">
        <v>0</v>
      </c>
      <c r="D96">
        <v>0</v>
      </c>
      <c r="E96">
        <v>0</v>
      </c>
      <c r="F96">
        <v>15</v>
      </c>
      <c r="G96">
        <v>0</v>
      </c>
      <c r="H96">
        <v>0</v>
      </c>
      <c r="I96">
        <v>0</v>
      </c>
      <c r="J96">
        <v>15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15</v>
      </c>
      <c r="S96">
        <v>0</v>
      </c>
      <c r="T96">
        <v>0</v>
      </c>
      <c r="U96">
        <v>0</v>
      </c>
      <c r="V96" t="s">
        <v>78</v>
      </c>
      <c r="W96">
        <v>15</v>
      </c>
      <c r="X96">
        <v>0</v>
      </c>
      <c r="Y96">
        <v>0</v>
      </c>
      <c r="Z96">
        <v>0</v>
      </c>
      <c r="AA96">
        <v>15</v>
      </c>
      <c r="AB96">
        <v>0</v>
      </c>
      <c r="AC96">
        <v>0</v>
      </c>
      <c r="AD96">
        <v>0</v>
      </c>
      <c r="AE96">
        <v>15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15</v>
      </c>
      <c r="AN96">
        <v>0</v>
      </c>
      <c r="AO96">
        <v>0</v>
      </c>
      <c r="AP96">
        <v>0</v>
      </c>
      <c r="AQ96" t="s">
        <v>78</v>
      </c>
      <c r="AR96">
        <v>15</v>
      </c>
      <c r="AS96">
        <v>0</v>
      </c>
      <c r="AT96">
        <v>0</v>
      </c>
      <c r="AU96">
        <v>0</v>
      </c>
      <c r="AV96">
        <v>15</v>
      </c>
      <c r="AW96">
        <v>0</v>
      </c>
      <c r="AX96">
        <v>0</v>
      </c>
      <c r="AY96">
        <v>0</v>
      </c>
      <c r="AZ96">
        <v>15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15</v>
      </c>
      <c r="BI96">
        <v>0</v>
      </c>
      <c r="BJ96">
        <v>0</v>
      </c>
      <c r="BK96">
        <v>0</v>
      </c>
    </row>
    <row r="97" spans="1:63">
      <c r="A97" t="s">
        <v>73</v>
      </c>
      <c r="B97">
        <v>29</v>
      </c>
      <c r="C97">
        <v>2</v>
      </c>
      <c r="D97">
        <v>0</v>
      </c>
      <c r="E97">
        <v>0</v>
      </c>
      <c r="F97">
        <v>29</v>
      </c>
      <c r="G97">
        <v>2</v>
      </c>
      <c r="H97">
        <v>0</v>
      </c>
      <c r="I97">
        <v>0</v>
      </c>
      <c r="J97">
        <v>31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31</v>
      </c>
      <c r="S97">
        <v>0</v>
      </c>
      <c r="T97">
        <v>0</v>
      </c>
      <c r="U97">
        <v>0</v>
      </c>
      <c r="V97" t="s">
        <v>73</v>
      </c>
      <c r="W97">
        <v>29</v>
      </c>
      <c r="X97">
        <v>2</v>
      </c>
      <c r="Y97">
        <v>0</v>
      </c>
      <c r="Z97">
        <v>0</v>
      </c>
      <c r="AA97">
        <v>29</v>
      </c>
      <c r="AB97">
        <v>2</v>
      </c>
      <c r="AC97">
        <v>0</v>
      </c>
      <c r="AD97">
        <v>0</v>
      </c>
      <c r="AE97">
        <v>31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31</v>
      </c>
      <c r="AN97">
        <v>0</v>
      </c>
      <c r="AO97">
        <v>0</v>
      </c>
      <c r="AP97">
        <v>0</v>
      </c>
      <c r="AQ97" t="s">
        <v>73</v>
      </c>
      <c r="AR97">
        <v>29</v>
      </c>
      <c r="AS97">
        <v>2</v>
      </c>
      <c r="AT97">
        <v>0</v>
      </c>
      <c r="AU97">
        <v>0</v>
      </c>
      <c r="AV97">
        <v>29</v>
      </c>
      <c r="AW97">
        <v>2</v>
      </c>
      <c r="AX97">
        <v>0</v>
      </c>
      <c r="AY97">
        <v>0</v>
      </c>
      <c r="AZ97">
        <v>31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31</v>
      </c>
      <c r="BI97">
        <v>0</v>
      </c>
      <c r="BJ97">
        <v>0</v>
      </c>
      <c r="BK97">
        <v>0</v>
      </c>
    </row>
    <row r="98" spans="1:63">
      <c r="A98" t="s">
        <v>63</v>
      </c>
      <c r="B98">
        <v>29</v>
      </c>
      <c r="C98">
        <v>0</v>
      </c>
      <c r="D98">
        <v>0</v>
      </c>
      <c r="E98">
        <v>0</v>
      </c>
      <c r="F98">
        <v>29</v>
      </c>
      <c r="G98">
        <v>0</v>
      </c>
      <c r="H98">
        <v>0</v>
      </c>
      <c r="I98">
        <v>0</v>
      </c>
      <c r="J98">
        <v>29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29</v>
      </c>
      <c r="S98">
        <v>0</v>
      </c>
      <c r="T98">
        <v>0</v>
      </c>
      <c r="U98">
        <v>0</v>
      </c>
      <c r="V98" t="s">
        <v>63</v>
      </c>
      <c r="W98">
        <v>29</v>
      </c>
      <c r="X98">
        <v>0</v>
      </c>
      <c r="Y98">
        <v>0</v>
      </c>
      <c r="Z98">
        <v>0</v>
      </c>
      <c r="AA98">
        <v>29</v>
      </c>
      <c r="AB98">
        <v>0</v>
      </c>
      <c r="AC98">
        <v>0</v>
      </c>
      <c r="AD98">
        <v>0</v>
      </c>
      <c r="AE98">
        <v>29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29</v>
      </c>
      <c r="AN98">
        <v>0</v>
      </c>
      <c r="AO98">
        <v>0</v>
      </c>
      <c r="AP98">
        <v>0</v>
      </c>
      <c r="AQ98" t="s">
        <v>63</v>
      </c>
      <c r="AR98">
        <v>29</v>
      </c>
      <c r="AS98">
        <v>0</v>
      </c>
      <c r="AT98">
        <v>0</v>
      </c>
      <c r="AU98">
        <v>0</v>
      </c>
      <c r="AV98">
        <v>29</v>
      </c>
      <c r="AW98">
        <v>0</v>
      </c>
      <c r="AX98">
        <v>0</v>
      </c>
      <c r="AY98">
        <v>0</v>
      </c>
      <c r="AZ98">
        <v>29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29</v>
      </c>
      <c r="BI98">
        <v>0</v>
      </c>
      <c r="BJ98">
        <v>0</v>
      </c>
      <c r="BK98">
        <v>0</v>
      </c>
    </row>
    <row r="99" spans="1:63">
      <c r="A99" t="s">
        <v>59</v>
      </c>
      <c r="B99">
        <v>22</v>
      </c>
      <c r="C99">
        <v>0</v>
      </c>
      <c r="D99">
        <v>0</v>
      </c>
      <c r="E99">
        <v>0</v>
      </c>
      <c r="F99">
        <v>22</v>
      </c>
      <c r="G99">
        <v>0</v>
      </c>
      <c r="H99">
        <v>0</v>
      </c>
      <c r="I99">
        <v>0</v>
      </c>
      <c r="J99">
        <v>22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22</v>
      </c>
      <c r="S99">
        <v>0</v>
      </c>
      <c r="T99">
        <v>0</v>
      </c>
      <c r="U99">
        <v>0</v>
      </c>
      <c r="V99" t="s">
        <v>59</v>
      </c>
      <c r="W99">
        <v>22</v>
      </c>
      <c r="X99">
        <v>0</v>
      </c>
      <c r="Y99">
        <v>0</v>
      </c>
      <c r="Z99">
        <v>0</v>
      </c>
      <c r="AA99">
        <v>22</v>
      </c>
      <c r="AB99">
        <v>0</v>
      </c>
      <c r="AC99">
        <v>0</v>
      </c>
      <c r="AD99">
        <v>0</v>
      </c>
      <c r="AE99">
        <v>22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22</v>
      </c>
      <c r="AN99">
        <v>0</v>
      </c>
      <c r="AO99">
        <v>0</v>
      </c>
      <c r="AP99">
        <v>0</v>
      </c>
      <c r="AQ99" t="s">
        <v>59</v>
      </c>
      <c r="AR99">
        <v>22</v>
      </c>
      <c r="AS99">
        <v>0</v>
      </c>
      <c r="AT99">
        <v>0</v>
      </c>
      <c r="AU99">
        <v>0</v>
      </c>
      <c r="AV99">
        <v>22</v>
      </c>
      <c r="AW99">
        <v>0</v>
      </c>
      <c r="AX99">
        <v>0</v>
      </c>
      <c r="AY99">
        <v>0</v>
      </c>
      <c r="AZ99">
        <v>22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22</v>
      </c>
      <c r="BI99">
        <v>0</v>
      </c>
      <c r="BJ99">
        <v>0</v>
      </c>
      <c r="BK99">
        <v>0</v>
      </c>
    </row>
    <row r="100" spans="1:63">
      <c r="A100" t="s">
        <v>68</v>
      </c>
      <c r="B100">
        <v>130</v>
      </c>
      <c r="C100">
        <v>4</v>
      </c>
      <c r="D100">
        <v>0</v>
      </c>
      <c r="E100">
        <v>0</v>
      </c>
      <c r="F100">
        <v>130</v>
      </c>
      <c r="G100">
        <v>4</v>
      </c>
      <c r="H100">
        <v>0</v>
      </c>
      <c r="I100">
        <v>0</v>
      </c>
      <c r="J100">
        <v>134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134</v>
      </c>
      <c r="S100">
        <v>0</v>
      </c>
      <c r="T100">
        <v>0</v>
      </c>
      <c r="U100">
        <v>0</v>
      </c>
      <c r="V100" t="s">
        <v>68</v>
      </c>
      <c r="W100">
        <v>130</v>
      </c>
      <c r="X100">
        <v>4</v>
      </c>
      <c r="Y100">
        <v>0</v>
      </c>
      <c r="Z100">
        <v>0</v>
      </c>
      <c r="AA100">
        <v>130</v>
      </c>
      <c r="AB100">
        <v>4</v>
      </c>
      <c r="AC100">
        <v>0</v>
      </c>
      <c r="AD100">
        <v>0</v>
      </c>
      <c r="AE100">
        <v>134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134</v>
      </c>
      <c r="AN100">
        <v>0</v>
      </c>
      <c r="AO100">
        <v>0</v>
      </c>
      <c r="AP100">
        <v>0</v>
      </c>
      <c r="AQ100" t="s">
        <v>68</v>
      </c>
      <c r="AR100">
        <v>130</v>
      </c>
      <c r="AS100">
        <v>4</v>
      </c>
      <c r="AT100">
        <v>0</v>
      </c>
      <c r="AU100">
        <v>0</v>
      </c>
      <c r="AV100">
        <v>130</v>
      </c>
      <c r="AW100">
        <v>4</v>
      </c>
      <c r="AX100">
        <v>0</v>
      </c>
      <c r="AY100">
        <v>0</v>
      </c>
      <c r="AZ100">
        <v>134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134</v>
      </c>
      <c r="BI100">
        <v>0</v>
      </c>
      <c r="BJ100">
        <v>0</v>
      </c>
      <c r="BK100">
        <v>0</v>
      </c>
    </row>
    <row r="101" spans="1:63">
      <c r="A101" t="s">
        <v>34</v>
      </c>
      <c r="B101">
        <v>111</v>
      </c>
      <c r="C101">
        <v>0</v>
      </c>
      <c r="D101">
        <v>0</v>
      </c>
      <c r="E101">
        <v>0</v>
      </c>
      <c r="F101">
        <v>111</v>
      </c>
      <c r="G101">
        <v>0</v>
      </c>
      <c r="H101">
        <v>0</v>
      </c>
      <c r="I101">
        <v>0</v>
      </c>
      <c r="J101">
        <v>111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111</v>
      </c>
      <c r="S101">
        <v>0</v>
      </c>
      <c r="T101">
        <v>0</v>
      </c>
      <c r="U101">
        <v>0</v>
      </c>
      <c r="V101" t="s">
        <v>34</v>
      </c>
      <c r="W101">
        <v>111</v>
      </c>
      <c r="X101">
        <v>0</v>
      </c>
      <c r="Y101">
        <v>0</v>
      </c>
      <c r="Z101">
        <v>0</v>
      </c>
      <c r="AA101">
        <v>111</v>
      </c>
      <c r="AB101">
        <v>0</v>
      </c>
      <c r="AC101">
        <v>0</v>
      </c>
      <c r="AD101">
        <v>0</v>
      </c>
      <c r="AE101">
        <v>111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111</v>
      </c>
      <c r="AN101">
        <v>0</v>
      </c>
      <c r="AO101">
        <v>0</v>
      </c>
      <c r="AP101">
        <v>0</v>
      </c>
      <c r="AQ101" t="s">
        <v>34</v>
      </c>
      <c r="AR101">
        <v>111</v>
      </c>
      <c r="AS101">
        <v>0</v>
      </c>
      <c r="AT101">
        <v>0</v>
      </c>
      <c r="AU101">
        <v>0</v>
      </c>
      <c r="AV101">
        <v>111</v>
      </c>
      <c r="AW101">
        <v>0</v>
      </c>
      <c r="AX101">
        <v>0</v>
      </c>
      <c r="AY101">
        <v>0</v>
      </c>
      <c r="AZ101">
        <v>111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111</v>
      </c>
      <c r="BI101">
        <v>0</v>
      </c>
      <c r="BJ101">
        <v>0</v>
      </c>
      <c r="BK101">
        <v>0</v>
      </c>
    </row>
    <row r="102" spans="1:63">
      <c r="A102" t="s">
        <v>4</v>
      </c>
      <c r="B102">
        <v>71</v>
      </c>
      <c r="C102">
        <v>0</v>
      </c>
      <c r="D102">
        <v>0</v>
      </c>
      <c r="E102">
        <v>0</v>
      </c>
      <c r="F102">
        <v>71</v>
      </c>
      <c r="G102">
        <v>0</v>
      </c>
      <c r="H102">
        <v>0</v>
      </c>
      <c r="I102">
        <v>0</v>
      </c>
      <c r="J102">
        <v>71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71</v>
      </c>
      <c r="S102">
        <v>0</v>
      </c>
      <c r="T102">
        <v>0</v>
      </c>
      <c r="U102">
        <v>0</v>
      </c>
      <c r="V102" t="s">
        <v>4</v>
      </c>
      <c r="W102">
        <v>71</v>
      </c>
      <c r="X102">
        <v>0</v>
      </c>
      <c r="Y102">
        <v>0</v>
      </c>
      <c r="Z102">
        <v>0</v>
      </c>
      <c r="AA102">
        <v>71</v>
      </c>
      <c r="AB102">
        <v>0</v>
      </c>
      <c r="AC102">
        <v>0</v>
      </c>
      <c r="AD102">
        <v>0</v>
      </c>
      <c r="AE102">
        <v>71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71</v>
      </c>
      <c r="AN102">
        <v>0</v>
      </c>
      <c r="AO102">
        <v>0</v>
      </c>
      <c r="AP102">
        <v>0</v>
      </c>
      <c r="AQ102" t="s">
        <v>4</v>
      </c>
      <c r="AR102">
        <v>71</v>
      </c>
      <c r="AS102">
        <v>0</v>
      </c>
      <c r="AT102">
        <v>0</v>
      </c>
      <c r="AU102">
        <v>0</v>
      </c>
      <c r="AV102">
        <v>71</v>
      </c>
      <c r="AW102">
        <v>0</v>
      </c>
      <c r="AX102">
        <v>0</v>
      </c>
      <c r="AY102">
        <v>0</v>
      </c>
      <c r="AZ102">
        <v>71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71</v>
      </c>
      <c r="BI102">
        <v>0</v>
      </c>
      <c r="BJ102">
        <v>0</v>
      </c>
      <c r="BK102">
        <v>0</v>
      </c>
    </row>
    <row r="103" spans="1:63">
      <c r="A103" t="s">
        <v>70</v>
      </c>
      <c r="B103">
        <v>32</v>
      </c>
      <c r="C103">
        <v>0</v>
      </c>
      <c r="D103">
        <v>0</v>
      </c>
      <c r="E103">
        <v>0</v>
      </c>
      <c r="F103">
        <v>32</v>
      </c>
      <c r="G103">
        <v>0</v>
      </c>
      <c r="H103">
        <v>0</v>
      </c>
      <c r="I103">
        <v>0</v>
      </c>
      <c r="J103">
        <v>32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32</v>
      </c>
      <c r="S103">
        <v>0</v>
      </c>
      <c r="T103">
        <v>0</v>
      </c>
      <c r="U103">
        <v>0</v>
      </c>
      <c r="V103" t="s">
        <v>70</v>
      </c>
      <c r="W103">
        <v>32</v>
      </c>
      <c r="X103">
        <v>0</v>
      </c>
      <c r="Y103">
        <v>0</v>
      </c>
      <c r="Z103">
        <v>0</v>
      </c>
      <c r="AA103">
        <v>32</v>
      </c>
      <c r="AB103">
        <v>0</v>
      </c>
      <c r="AC103">
        <v>0</v>
      </c>
      <c r="AD103">
        <v>0</v>
      </c>
      <c r="AE103">
        <v>32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32</v>
      </c>
      <c r="AN103">
        <v>0</v>
      </c>
      <c r="AO103">
        <v>0</v>
      </c>
      <c r="AP103">
        <v>0</v>
      </c>
      <c r="AQ103" t="s">
        <v>70</v>
      </c>
      <c r="AR103">
        <v>32</v>
      </c>
      <c r="AS103">
        <v>0</v>
      </c>
      <c r="AT103">
        <v>0</v>
      </c>
      <c r="AU103">
        <v>0</v>
      </c>
      <c r="AV103">
        <v>32</v>
      </c>
      <c r="AW103">
        <v>0</v>
      </c>
      <c r="AX103">
        <v>0</v>
      </c>
      <c r="AY103">
        <v>0</v>
      </c>
      <c r="AZ103">
        <v>32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32</v>
      </c>
      <c r="BI103">
        <v>0</v>
      </c>
      <c r="BJ103">
        <v>0</v>
      </c>
      <c r="BK103">
        <v>0</v>
      </c>
    </row>
    <row r="104" spans="1:63">
      <c r="A104" t="s">
        <v>87</v>
      </c>
      <c r="B104">
        <v>7</v>
      </c>
      <c r="C104">
        <v>0</v>
      </c>
      <c r="D104">
        <v>0</v>
      </c>
      <c r="E104">
        <v>0</v>
      </c>
      <c r="F104">
        <v>7</v>
      </c>
      <c r="G104">
        <v>0</v>
      </c>
      <c r="H104">
        <v>0</v>
      </c>
      <c r="I104">
        <v>0</v>
      </c>
      <c r="J104">
        <v>7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7</v>
      </c>
      <c r="S104">
        <v>0</v>
      </c>
      <c r="T104">
        <v>0</v>
      </c>
      <c r="U104">
        <v>0</v>
      </c>
      <c r="V104" t="s">
        <v>87</v>
      </c>
      <c r="W104">
        <v>7</v>
      </c>
      <c r="X104">
        <v>0</v>
      </c>
      <c r="Y104">
        <v>0</v>
      </c>
      <c r="Z104">
        <v>0</v>
      </c>
      <c r="AA104">
        <v>7</v>
      </c>
      <c r="AB104">
        <v>0</v>
      </c>
      <c r="AC104">
        <v>0</v>
      </c>
      <c r="AD104">
        <v>0</v>
      </c>
      <c r="AE104">
        <v>7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7</v>
      </c>
      <c r="AN104">
        <v>0</v>
      </c>
      <c r="AO104">
        <v>0</v>
      </c>
      <c r="AP104">
        <v>0</v>
      </c>
      <c r="AQ104" t="s">
        <v>87</v>
      </c>
      <c r="AR104">
        <v>7</v>
      </c>
      <c r="AS104">
        <v>0</v>
      </c>
      <c r="AT104">
        <v>0</v>
      </c>
      <c r="AU104">
        <v>0</v>
      </c>
      <c r="AV104">
        <v>7</v>
      </c>
      <c r="AW104">
        <v>0</v>
      </c>
      <c r="AX104">
        <v>0</v>
      </c>
      <c r="AY104">
        <v>0</v>
      </c>
      <c r="AZ104">
        <v>7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7</v>
      </c>
      <c r="BI104">
        <v>0</v>
      </c>
      <c r="BJ104">
        <v>0</v>
      </c>
      <c r="BK104">
        <v>0</v>
      </c>
    </row>
    <row r="105" spans="1:63">
      <c r="A105" t="s">
        <v>19</v>
      </c>
      <c r="B105">
        <v>152</v>
      </c>
      <c r="C105">
        <v>16</v>
      </c>
      <c r="D105">
        <v>0</v>
      </c>
      <c r="E105">
        <v>0</v>
      </c>
      <c r="F105">
        <v>152</v>
      </c>
      <c r="G105">
        <v>16</v>
      </c>
      <c r="H105">
        <v>0</v>
      </c>
      <c r="I105">
        <v>0</v>
      </c>
      <c r="J105">
        <v>168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168</v>
      </c>
      <c r="S105">
        <v>0</v>
      </c>
      <c r="T105">
        <v>0</v>
      </c>
      <c r="U105">
        <v>0</v>
      </c>
      <c r="V105" t="s">
        <v>19</v>
      </c>
      <c r="W105">
        <v>152</v>
      </c>
      <c r="X105">
        <v>16</v>
      </c>
      <c r="Y105">
        <v>0</v>
      </c>
      <c r="Z105">
        <v>0</v>
      </c>
      <c r="AA105">
        <v>152</v>
      </c>
      <c r="AB105">
        <v>16</v>
      </c>
      <c r="AC105">
        <v>0</v>
      </c>
      <c r="AD105">
        <v>0</v>
      </c>
      <c r="AE105">
        <v>168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168</v>
      </c>
      <c r="AN105">
        <v>0</v>
      </c>
      <c r="AO105">
        <v>0</v>
      </c>
      <c r="AP105">
        <v>0</v>
      </c>
      <c r="AQ105" t="s">
        <v>19</v>
      </c>
      <c r="AR105">
        <v>152</v>
      </c>
      <c r="AS105">
        <v>16</v>
      </c>
      <c r="AT105">
        <v>0</v>
      </c>
      <c r="AU105">
        <v>0</v>
      </c>
      <c r="AV105">
        <v>152</v>
      </c>
      <c r="AW105">
        <v>16</v>
      </c>
      <c r="AX105">
        <v>0</v>
      </c>
      <c r="AY105">
        <v>0</v>
      </c>
      <c r="AZ105">
        <v>168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168</v>
      </c>
      <c r="BI105">
        <v>0</v>
      </c>
      <c r="BJ105">
        <v>0</v>
      </c>
      <c r="BK105">
        <v>0</v>
      </c>
    </row>
    <row r="106" spans="1:63">
      <c r="A106" t="s">
        <v>38</v>
      </c>
      <c r="B106">
        <v>629</v>
      </c>
      <c r="C106">
        <v>25</v>
      </c>
      <c r="D106">
        <v>0</v>
      </c>
      <c r="E106">
        <v>0</v>
      </c>
      <c r="F106">
        <v>629</v>
      </c>
      <c r="G106">
        <v>25</v>
      </c>
      <c r="H106">
        <v>0</v>
      </c>
      <c r="I106">
        <v>0</v>
      </c>
      <c r="J106">
        <v>651</v>
      </c>
      <c r="K106">
        <v>3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654</v>
      </c>
      <c r="S106">
        <v>0</v>
      </c>
      <c r="T106">
        <v>0</v>
      </c>
      <c r="U106">
        <v>0</v>
      </c>
      <c r="V106" t="s">
        <v>38</v>
      </c>
      <c r="W106">
        <v>629</v>
      </c>
      <c r="X106">
        <v>25</v>
      </c>
      <c r="Y106">
        <v>0</v>
      </c>
      <c r="Z106">
        <v>0</v>
      </c>
      <c r="AA106">
        <v>629</v>
      </c>
      <c r="AB106">
        <v>25</v>
      </c>
      <c r="AC106">
        <v>0</v>
      </c>
      <c r="AD106">
        <v>0</v>
      </c>
      <c r="AE106">
        <v>651</v>
      </c>
      <c r="AF106">
        <v>3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654</v>
      </c>
      <c r="AN106">
        <v>0</v>
      </c>
      <c r="AO106">
        <v>0</v>
      </c>
      <c r="AP106">
        <v>0</v>
      </c>
      <c r="AQ106" t="s">
        <v>38</v>
      </c>
      <c r="AR106">
        <v>629</v>
      </c>
      <c r="AS106">
        <v>25</v>
      </c>
      <c r="AT106">
        <v>0</v>
      </c>
      <c r="AU106">
        <v>0</v>
      </c>
      <c r="AV106">
        <v>629</v>
      </c>
      <c r="AW106">
        <v>25</v>
      </c>
      <c r="AX106">
        <v>0</v>
      </c>
      <c r="AY106">
        <v>0</v>
      </c>
      <c r="AZ106">
        <v>654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654</v>
      </c>
      <c r="BI106">
        <v>0</v>
      </c>
      <c r="BJ106">
        <v>0</v>
      </c>
      <c r="BK106">
        <v>0</v>
      </c>
    </row>
    <row r="107" spans="1:63">
      <c r="A107" t="s">
        <v>42</v>
      </c>
      <c r="B107">
        <v>149</v>
      </c>
      <c r="C107">
        <v>20</v>
      </c>
      <c r="D107">
        <v>0</v>
      </c>
      <c r="E107">
        <v>0</v>
      </c>
      <c r="F107">
        <v>149</v>
      </c>
      <c r="G107">
        <v>20</v>
      </c>
      <c r="H107">
        <v>0</v>
      </c>
      <c r="I107">
        <v>0</v>
      </c>
      <c r="J107">
        <v>169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169</v>
      </c>
      <c r="S107">
        <v>0</v>
      </c>
      <c r="T107">
        <v>0</v>
      </c>
      <c r="U107">
        <v>0</v>
      </c>
      <c r="V107" t="s">
        <v>42</v>
      </c>
      <c r="W107">
        <v>149</v>
      </c>
      <c r="X107">
        <v>20</v>
      </c>
      <c r="Y107">
        <v>0</v>
      </c>
      <c r="Z107">
        <v>0</v>
      </c>
      <c r="AA107">
        <v>149</v>
      </c>
      <c r="AB107">
        <v>20</v>
      </c>
      <c r="AC107">
        <v>0</v>
      </c>
      <c r="AD107">
        <v>0</v>
      </c>
      <c r="AE107">
        <v>169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169</v>
      </c>
      <c r="AN107">
        <v>0</v>
      </c>
      <c r="AO107">
        <v>0</v>
      </c>
      <c r="AP107">
        <v>0</v>
      </c>
      <c r="AQ107" t="s">
        <v>42</v>
      </c>
      <c r="AR107">
        <v>149</v>
      </c>
      <c r="AS107">
        <v>20</v>
      </c>
      <c r="AT107">
        <v>0</v>
      </c>
      <c r="AU107">
        <v>0</v>
      </c>
      <c r="AV107">
        <v>149</v>
      </c>
      <c r="AW107">
        <v>20</v>
      </c>
      <c r="AX107">
        <v>0</v>
      </c>
      <c r="AY107">
        <v>0</v>
      </c>
      <c r="AZ107">
        <v>169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169</v>
      </c>
      <c r="BI107">
        <v>0</v>
      </c>
      <c r="BJ107">
        <v>0</v>
      </c>
      <c r="BK107">
        <v>0</v>
      </c>
    </row>
    <row r="108" spans="1:63" s="1" customFormat="1">
      <c r="A108" s="1" t="s">
        <v>122</v>
      </c>
      <c r="B108" s="1">
        <f>SUM(B3:B107)</f>
        <v>10794</v>
      </c>
      <c r="C108" s="1">
        <f t="shared" ref="C108:BK108" si="0">SUM(C3:C107)</f>
        <v>443</v>
      </c>
      <c r="D108" s="1">
        <f t="shared" si="0"/>
        <v>0</v>
      </c>
      <c r="E108" s="1">
        <f t="shared" si="0"/>
        <v>0</v>
      </c>
      <c r="F108" s="1">
        <f t="shared" si="0"/>
        <v>10793</v>
      </c>
      <c r="G108" s="1">
        <f t="shared" si="0"/>
        <v>444</v>
      </c>
      <c r="H108" s="1">
        <f t="shared" si="0"/>
        <v>0</v>
      </c>
      <c r="I108" s="1">
        <f t="shared" si="0"/>
        <v>0</v>
      </c>
      <c r="J108" s="1">
        <f t="shared" si="0"/>
        <v>11362</v>
      </c>
      <c r="K108" s="1">
        <f t="shared" si="0"/>
        <v>37</v>
      </c>
      <c r="L108" s="1">
        <f t="shared" si="0"/>
        <v>0</v>
      </c>
      <c r="M108" s="1">
        <f t="shared" si="0"/>
        <v>0</v>
      </c>
      <c r="N108" s="1">
        <f t="shared" si="0"/>
        <v>2372</v>
      </c>
      <c r="O108" s="1">
        <f t="shared" si="0"/>
        <v>13</v>
      </c>
      <c r="P108" s="1">
        <f t="shared" si="0"/>
        <v>30</v>
      </c>
      <c r="Q108" s="1">
        <f t="shared" si="0"/>
        <v>0</v>
      </c>
      <c r="R108" s="1">
        <f t="shared" si="0"/>
        <v>11202</v>
      </c>
      <c r="S108" s="1">
        <f t="shared" si="0"/>
        <v>35</v>
      </c>
      <c r="T108" s="1">
        <f t="shared" si="0"/>
        <v>0</v>
      </c>
      <c r="U108" s="1">
        <f t="shared" si="0"/>
        <v>0</v>
      </c>
      <c r="V108" s="1">
        <f t="shared" si="0"/>
        <v>0</v>
      </c>
      <c r="W108" s="1">
        <f t="shared" si="0"/>
        <v>10794</v>
      </c>
      <c r="X108" s="1">
        <f t="shared" si="0"/>
        <v>443</v>
      </c>
      <c r="Y108" s="1">
        <f t="shared" si="0"/>
        <v>0</v>
      </c>
      <c r="Z108" s="1">
        <f t="shared" si="0"/>
        <v>0</v>
      </c>
      <c r="AA108" s="1">
        <f t="shared" si="0"/>
        <v>10794</v>
      </c>
      <c r="AB108" s="1">
        <f t="shared" si="0"/>
        <v>443</v>
      </c>
      <c r="AC108" s="1">
        <f t="shared" si="0"/>
        <v>0</v>
      </c>
      <c r="AD108" s="1">
        <f t="shared" si="0"/>
        <v>0</v>
      </c>
      <c r="AE108" s="1">
        <f t="shared" si="0"/>
        <v>11362</v>
      </c>
      <c r="AF108" s="1">
        <f t="shared" si="0"/>
        <v>37</v>
      </c>
      <c r="AG108" s="1">
        <f t="shared" si="0"/>
        <v>0</v>
      </c>
      <c r="AH108" s="1">
        <f t="shared" si="0"/>
        <v>0</v>
      </c>
      <c r="AI108" s="1">
        <f t="shared" si="0"/>
        <v>2372</v>
      </c>
      <c r="AJ108" s="1">
        <f t="shared" si="0"/>
        <v>13</v>
      </c>
      <c r="AK108" s="1">
        <f t="shared" si="0"/>
        <v>30</v>
      </c>
      <c r="AL108" s="1">
        <f t="shared" si="0"/>
        <v>0</v>
      </c>
      <c r="AM108" s="1">
        <f t="shared" si="0"/>
        <v>11203</v>
      </c>
      <c r="AN108" s="1">
        <f t="shared" si="0"/>
        <v>34</v>
      </c>
      <c r="AO108" s="1">
        <f t="shared" si="0"/>
        <v>0</v>
      </c>
      <c r="AP108" s="1">
        <f t="shared" si="0"/>
        <v>0</v>
      </c>
      <c r="AQ108" s="1">
        <f t="shared" si="0"/>
        <v>0</v>
      </c>
      <c r="AR108" s="1">
        <f t="shared" si="0"/>
        <v>10793</v>
      </c>
      <c r="AS108" s="1">
        <f t="shared" si="0"/>
        <v>444</v>
      </c>
      <c r="AT108" s="1">
        <f t="shared" si="0"/>
        <v>0</v>
      </c>
      <c r="AU108" s="1">
        <f t="shared" si="0"/>
        <v>0</v>
      </c>
      <c r="AV108" s="1">
        <f t="shared" si="0"/>
        <v>10794</v>
      </c>
      <c r="AW108" s="1">
        <f t="shared" si="0"/>
        <v>443</v>
      </c>
      <c r="AX108" s="1">
        <f t="shared" si="0"/>
        <v>0</v>
      </c>
      <c r="AY108" s="1">
        <f t="shared" si="0"/>
        <v>0</v>
      </c>
      <c r="AZ108" s="1">
        <f t="shared" si="0"/>
        <v>11399</v>
      </c>
      <c r="BA108" s="1">
        <f t="shared" si="0"/>
        <v>0</v>
      </c>
      <c r="BB108" s="1">
        <f t="shared" si="0"/>
        <v>0</v>
      </c>
      <c r="BC108" s="1">
        <f t="shared" si="0"/>
        <v>0</v>
      </c>
      <c r="BD108" s="1">
        <f t="shared" si="0"/>
        <v>2385</v>
      </c>
      <c r="BE108" s="1">
        <f t="shared" si="0"/>
        <v>0</v>
      </c>
      <c r="BF108" s="1">
        <f t="shared" si="0"/>
        <v>30</v>
      </c>
      <c r="BG108" s="1">
        <f t="shared" si="0"/>
        <v>0</v>
      </c>
      <c r="BH108" s="1">
        <f t="shared" si="0"/>
        <v>11236</v>
      </c>
      <c r="BI108" s="1">
        <f t="shared" si="0"/>
        <v>0</v>
      </c>
      <c r="BJ108" s="1">
        <f t="shared" si="0"/>
        <v>1</v>
      </c>
      <c r="BK108" s="1">
        <f t="shared" si="0"/>
        <v>0</v>
      </c>
    </row>
  </sheetData>
  <sortState ref="V3:AP107">
    <sortCondition ref="V3:V107"/>
  </sortState>
  <mergeCells count="15">
    <mergeCell ref="AZ1:BC1"/>
    <mergeCell ref="BD1:BG1"/>
    <mergeCell ref="BH1:BK1"/>
    <mergeCell ref="AA1:AD1"/>
    <mergeCell ref="AE1:AH1"/>
    <mergeCell ref="AI1:AL1"/>
    <mergeCell ref="AM1:AP1"/>
    <mergeCell ref="AR1:AU1"/>
    <mergeCell ref="AV1:AY1"/>
    <mergeCell ref="W1:Z1"/>
    <mergeCell ref="B1:E1"/>
    <mergeCell ref="F1:I1"/>
    <mergeCell ref="J1:M1"/>
    <mergeCell ref="N1:Q1"/>
    <mergeCell ref="R1:U1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D108"/>
  <sheetViews>
    <sheetView workbookViewId="0">
      <pane ySplit="2" topLeftCell="A3" activePane="bottomLeft" state="frozen"/>
      <selection pane="bottomLeft" activeCell="V1" sqref="V1:V1048576"/>
    </sheetView>
  </sheetViews>
  <sheetFormatPr baseColWidth="10" defaultRowHeight="15" x14ac:dyDescent="0"/>
  <cols>
    <col min="1" max="1" width="19" customWidth="1"/>
    <col min="22" max="22" width="10.83203125" hidden="1" customWidth="1"/>
    <col min="43" max="43" width="10.83203125" hidden="1" customWidth="1"/>
  </cols>
  <sheetData>
    <row r="1" spans="1:63">
      <c r="B1" s="12" t="s">
        <v>215</v>
      </c>
      <c r="C1" s="12"/>
      <c r="D1" s="12"/>
      <c r="E1" s="12"/>
      <c r="F1" s="12" t="s">
        <v>214</v>
      </c>
      <c r="G1" s="12"/>
      <c r="H1" s="12"/>
      <c r="I1" s="12"/>
      <c r="J1" s="12" t="s">
        <v>216</v>
      </c>
      <c r="K1" s="12"/>
      <c r="L1" s="12"/>
      <c r="M1" s="12"/>
      <c r="N1" s="12" t="s">
        <v>217</v>
      </c>
      <c r="O1" s="12"/>
      <c r="P1" s="12"/>
      <c r="Q1" s="12"/>
      <c r="R1" s="12" t="s">
        <v>218</v>
      </c>
      <c r="S1" s="12"/>
      <c r="T1" s="12"/>
      <c r="U1" s="12"/>
      <c r="W1" s="12" t="s">
        <v>215</v>
      </c>
      <c r="X1" s="12"/>
      <c r="Y1" s="12"/>
      <c r="Z1" s="12"/>
      <c r="AA1" s="12" t="s">
        <v>219</v>
      </c>
      <c r="AB1" s="12"/>
      <c r="AC1" s="12"/>
      <c r="AD1" s="12"/>
      <c r="AE1" s="12" t="s">
        <v>220</v>
      </c>
      <c r="AF1" s="12"/>
      <c r="AG1" s="12"/>
      <c r="AH1" s="12"/>
      <c r="AI1" s="12" t="s">
        <v>221</v>
      </c>
      <c r="AJ1" s="12"/>
      <c r="AK1" s="12"/>
      <c r="AL1" s="12"/>
      <c r="AM1" s="12" t="s">
        <v>222</v>
      </c>
      <c r="AN1" s="12"/>
      <c r="AO1" s="12"/>
      <c r="AP1" s="12"/>
      <c r="AR1" s="12" t="s">
        <v>214</v>
      </c>
      <c r="AS1" s="12"/>
      <c r="AT1" s="12"/>
      <c r="AU1" s="12"/>
      <c r="AV1" s="12" t="s">
        <v>219</v>
      </c>
      <c r="AW1" s="12"/>
      <c r="AX1" s="12"/>
      <c r="AY1" s="12"/>
      <c r="AZ1" s="12" t="s">
        <v>223</v>
      </c>
      <c r="BA1" s="12"/>
      <c r="BB1" s="12"/>
      <c r="BC1" s="12"/>
      <c r="BD1" s="12" t="s">
        <v>224</v>
      </c>
      <c r="BE1" s="12"/>
      <c r="BF1" s="12"/>
      <c r="BG1" s="12"/>
      <c r="BH1" s="12" t="s">
        <v>225</v>
      </c>
      <c r="BI1" s="12"/>
      <c r="BJ1" s="12"/>
      <c r="BK1" s="12"/>
    </row>
    <row r="2" spans="1:63">
      <c r="A2" t="s">
        <v>114</v>
      </c>
      <c r="B2" t="s">
        <v>105</v>
      </c>
      <c r="C2" t="s">
        <v>106</v>
      </c>
      <c r="D2" t="s">
        <v>107</v>
      </c>
      <c r="E2" t="s">
        <v>108</v>
      </c>
      <c r="F2" t="s">
        <v>105</v>
      </c>
      <c r="G2" t="s">
        <v>106</v>
      </c>
      <c r="H2" t="s">
        <v>107</v>
      </c>
      <c r="I2" t="s">
        <v>108</v>
      </c>
      <c r="J2" t="s">
        <v>105</v>
      </c>
      <c r="K2" t="s">
        <v>106</v>
      </c>
      <c r="L2" t="s">
        <v>107</v>
      </c>
      <c r="M2" t="s">
        <v>108</v>
      </c>
      <c r="N2" t="s">
        <v>105</v>
      </c>
      <c r="O2" t="s">
        <v>106</v>
      </c>
      <c r="P2" t="s">
        <v>107</v>
      </c>
      <c r="Q2" t="s">
        <v>108</v>
      </c>
      <c r="R2" t="s">
        <v>105</v>
      </c>
      <c r="S2" t="s">
        <v>106</v>
      </c>
      <c r="T2" t="s">
        <v>107</v>
      </c>
      <c r="U2" t="s">
        <v>108</v>
      </c>
      <c r="V2" t="s">
        <v>114</v>
      </c>
      <c r="W2" t="s">
        <v>105</v>
      </c>
      <c r="X2" t="s">
        <v>106</v>
      </c>
      <c r="Y2" t="s">
        <v>107</v>
      </c>
      <c r="Z2" t="s">
        <v>108</v>
      </c>
      <c r="AA2" t="s">
        <v>105</v>
      </c>
      <c r="AB2" t="s">
        <v>106</v>
      </c>
      <c r="AC2" t="s">
        <v>107</v>
      </c>
      <c r="AD2" t="s">
        <v>108</v>
      </c>
      <c r="AE2" t="s">
        <v>105</v>
      </c>
      <c r="AF2" t="s">
        <v>106</v>
      </c>
      <c r="AG2" t="s">
        <v>107</v>
      </c>
      <c r="AH2" t="s">
        <v>108</v>
      </c>
      <c r="AI2" t="s">
        <v>105</v>
      </c>
      <c r="AJ2" t="s">
        <v>106</v>
      </c>
      <c r="AK2" t="s">
        <v>107</v>
      </c>
      <c r="AL2" t="s">
        <v>108</v>
      </c>
      <c r="AM2" t="s">
        <v>105</v>
      </c>
      <c r="AN2" t="s">
        <v>106</v>
      </c>
      <c r="AO2" t="s">
        <v>107</v>
      </c>
      <c r="AP2" t="s">
        <v>108</v>
      </c>
      <c r="AQ2" t="s">
        <v>114</v>
      </c>
      <c r="AR2" t="s">
        <v>105</v>
      </c>
      <c r="AS2" t="s">
        <v>106</v>
      </c>
      <c r="AT2" t="s">
        <v>107</v>
      </c>
      <c r="AU2" t="s">
        <v>108</v>
      </c>
      <c r="AV2" t="s">
        <v>105</v>
      </c>
      <c r="AW2" t="s">
        <v>106</v>
      </c>
      <c r="AX2" t="s">
        <v>107</v>
      </c>
      <c r="AY2" t="s">
        <v>108</v>
      </c>
      <c r="AZ2" t="s">
        <v>105</v>
      </c>
      <c r="BA2" t="s">
        <v>106</v>
      </c>
      <c r="BB2" t="s">
        <v>107</v>
      </c>
      <c r="BC2" t="s">
        <v>108</v>
      </c>
      <c r="BD2" t="s">
        <v>105</v>
      </c>
      <c r="BE2" t="s">
        <v>106</v>
      </c>
      <c r="BF2" t="s">
        <v>107</v>
      </c>
      <c r="BG2" t="s">
        <v>108</v>
      </c>
      <c r="BH2" t="s">
        <v>105</v>
      </c>
      <c r="BI2" t="s">
        <v>106</v>
      </c>
      <c r="BJ2" t="s">
        <v>107</v>
      </c>
      <c r="BK2" t="s">
        <v>108</v>
      </c>
    </row>
    <row r="3" spans="1:63">
      <c r="A3" t="s">
        <v>32</v>
      </c>
      <c r="B3">
        <v>14</v>
      </c>
      <c r="C3">
        <v>0</v>
      </c>
      <c r="D3">
        <v>0</v>
      </c>
      <c r="E3">
        <v>0</v>
      </c>
      <c r="F3">
        <v>14</v>
      </c>
      <c r="G3">
        <v>0</v>
      </c>
      <c r="H3">
        <v>0</v>
      </c>
      <c r="I3">
        <v>0</v>
      </c>
      <c r="J3">
        <v>14</v>
      </c>
      <c r="K3">
        <v>0</v>
      </c>
      <c r="L3">
        <v>0</v>
      </c>
      <c r="M3">
        <v>0</v>
      </c>
      <c r="N3">
        <v>14</v>
      </c>
      <c r="O3">
        <v>0</v>
      </c>
      <c r="P3">
        <v>0</v>
      </c>
      <c r="Q3">
        <v>0</v>
      </c>
      <c r="R3">
        <v>14</v>
      </c>
      <c r="S3">
        <v>0</v>
      </c>
      <c r="T3">
        <v>0</v>
      </c>
      <c r="U3">
        <v>0</v>
      </c>
      <c r="V3" t="s">
        <v>32</v>
      </c>
      <c r="W3">
        <v>14</v>
      </c>
      <c r="X3">
        <v>0</v>
      </c>
      <c r="Y3">
        <v>0</v>
      </c>
      <c r="Z3">
        <v>0</v>
      </c>
      <c r="AA3">
        <v>14</v>
      </c>
      <c r="AB3">
        <v>0</v>
      </c>
      <c r="AC3">
        <v>0</v>
      </c>
      <c r="AD3">
        <v>0</v>
      </c>
      <c r="AE3">
        <v>14</v>
      </c>
      <c r="AF3">
        <v>0</v>
      </c>
      <c r="AG3">
        <v>0</v>
      </c>
      <c r="AH3">
        <v>0</v>
      </c>
      <c r="AI3">
        <v>14</v>
      </c>
      <c r="AJ3">
        <v>0</v>
      </c>
      <c r="AK3">
        <v>0</v>
      </c>
      <c r="AL3">
        <v>0</v>
      </c>
      <c r="AM3">
        <v>14</v>
      </c>
      <c r="AN3">
        <v>0</v>
      </c>
      <c r="AO3">
        <v>0</v>
      </c>
      <c r="AP3">
        <v>0</v>
      </c>
      <c r="AQ3" t="s">
        <v>32</v>
      </c>
      <c r="AR3">
        <v>14</v>
      </c>
      <c r="AS3">
        <v>0</v>
      </c>
      <c r="AT3">
        <v>0</v>
      </c>
      <c r="AU3">
        <v>0</v>
      </c>
      <c r="AV3">
        <v>14</v>
      </c>
      <c r="AW3">
        <v>0</v>
      </c>
      <c r="AX3">
        <v>0</v>
      </c>
      <c r="AY3">
        <v>0</v>
      </c>
      <c r="AZ3">
        <v>14</v>
      </c>
      <c r="BA3">
        <v>0</v>
      </c>
      <c r="BB3">
        <v>0</v>
      </c>
      <c r="BC3">
        <v>0</v>
      </c>
      <c r="BD3">
        <v>14</v>
      </c>
      <c r="BE3">
        <v>0</v>
      </c>
      <c r="BF3">
        <v>0</v>
      </c>
      <c r="BG3">
        <v>0</v>
      </c>
      <c r="BH3">
        <v>14</v>
      </c>
      <c r="BI3">
        <v>0</v>
      </c>
      <c r="BJ3">
        <v>0</v>
      </c>
      <c r="BK3">
        <v>0</v>
      </c>
    </row>
    <row r="4" spans="1:63">
      <c r="A4" t="s">
        <v>58</v>
      </c>
      <c r="B4">
        <v>14</v>
      </c>
      <c r="C4">
        <v>0</v>
      </c>
      <c r="D4">
        <v>0</v>
      </c>
      <c r="E4">
        <v>0</v>
      </c>
      <c r="F4">
        <v>14</v>
      </c>
      <c r="G4">
        <v>0</v>
      </c>
      <c r="H4">
        <v>0</v>
      </c>
      <c r="I4">
        <v>0</v>
      </c>
      <c r="J4">
        <v>14</v>
      </c>
      <c r="K4">
        <v>0</v>
      </c>
      <c r="L4">
        <v>0</v>
      </c>
      <c r="M4">
        <v>0</v>
      </c>
      <c r="N4">
        <v>14</v>
      </c>
      <c r="O4">
        <v>0</v>
      </c>
      <c r="P4">
        <v>0</v>
      </c>
      <c r="Q4">
        <v>0</v>
      </c>
      <c r="R4">
        <v>14</v>
      </c>
      <c r="S4">
        <v>0</v>
      </c>
      <c r="T4">
        <v>0</v>
      </c>
      <c r="U4">
        <v>0</v>
      </c>
      <c r="V4" t="s">
        <v>58</v>
      </c>
      <c r="W4">
        <v>14</v>
      </c>
      <c r="X4">
        <v>0</v>
      </c>
      <c r="Y4">
        <v>0</v>
      </c>
      <c r="Z4">
        <v>0</v>
      </c>
      <c r="AA4">
        <v>14</v>
      </c>
      <c r="AB4">
        <v>0</v>
      </c>
      <c r="AC4">
        <v>0</v>
      </c>
      <c r="AD4">
        <v>0</v>
      </c>
      <c r="AE4">
        <v>14</v>
      </c>
      <c r="AF4">
        <v>0</v>
      </c>
      <c r="AG4">
        <v>0</v>
      </c>
      <c r="AH4">
        <v>0</v>
      </c>
      <c r="AI4">
        <v>14</v>
      </c>
      <c r="AJ4">
        <v>0</v>
      </c>
      <c r="AK4">
        <v>0</v>
      </c>
      <c r="AL4">
        <v>0</v>
      </c>
      <c r="AM4">
        <v>14</v>
      </c>
      <c r="AN4">
        <v>0</v>
      </c>
      <c r="AO4">
        <v>0</v>
      </c>
      <c r="AP4">
        <v>0</v>
      </c>
      <c r="AQ4" t="s">
        <v>58</v>
      </c>
      <c r="AR4">
        <v>14</v>
      </c>
      <c r="AS4">
        <v>0</v>
      </c>
      <c r="AT4">
        <v>0</v>
      </c>
      <c r="AU4">
        <v>0</v>
      </c>
      <c r="AV4">
        <v>14</v>
      </c>
      <c r="AW4">
        <v>0</v>
      </c>
      <c r="AX4">
        <v>0</v>
      </c>
      <c r="AY4">
        <v>0</v>
      </c>
      <c r="AZ4">
        <v>14</v>
      </c>
      <c r="BA4">
        <v>0</v>
      </c>
      <c r="BB4">
        <v>0</v>
      </c>
      <c r="BC4">
        <v>0</v>
      </c>
      <c r="BD4">
        <v>14</v>
      </c>
      <c r="BE4">
        <v>0</v>
      </c>
      <c r="BF4">
        <v>0</v>
      </c>
      <c r="BG4">
        <v>0</v>
      </c>
      <c r="BH4">
        <v>14</v>
      </c>
      <c r="BI4">
        <v>0</v>
      </c>
      <c r="BJ4">
        <v>0</v>
      </c>
      <c r="BK4">
        <v>0</v>
      </c>
    </row>
    <row r="5" spans="1:63">
      <c r="A5" t="s">
        <v>14</v>
      </c>
      <c r="B5">
        <v>18</v>
      </c>
      <c r="C5">
        <v>0</v>
      </c>
      <c r="D5">
        <v>0</v>
      </c>
      <c r="E5">
        <v>0</v>
      </c>
      <c r="F5">
        <v>18</v>
      </c>
      <c r="G5">
        <v>0</v>
      </c>
      <c r="H5">
        <v>0</v>
      </c>
      <c r="I5">
        <v>0</v>
      </c>
      <c r="J5">
        <v>18</v>
      </c>
      <c r="K5">
        <v>0</v>
      </c>
      <c r="L5">
        <v>0</v>
      </c>
      <c r="M5">
        <v>0</v>
      </c>
      <c r="N5">
        <v>18</v>
      </c>
      <c r="O5">
        <v>0</v>
      </c>
      <c r="P5">
        <v>0</v>
      </c>
      <c r="Q5">
        <v>0</v>
      </c>
      <c r="R5">
        <v>18</v>
      </c>
      <c r="S5">
        <v>0</v>
      </c>
      <c r="T5">
        <v>0</v>
      </c>
      <c r="U5">
        <v>0</v>
      </c>
      <c r="V5" t="s">
        <v>14</v>
      </c>
      <c r="W5">
        <v>18</v>
      </c>
      <c r="X5">
        <v>0</v>
      </c>
      <c r="Y5">
        <v>0</v>
      </c>
      <c r="Z5">
        <v>0</v>
      </c>
      <c r="AA5">
        <v>18</v>
      </c>
      <c r="AB5">
        <v>0</v>
      </c>
      <c r="AC5">
        <v>0</v>
      </c>
      <c r="AD5">
        <v>0</v>
      </c>
      <c r="AE5">
        <v>18</v>
      </c>
      <c r="AF5">
        <v>0</v>
      </c>
      <c r="AG5">
        <v>0</v>
      </c>
      <c r="AH5">
        <v>0</v>
      </c>
      <c r="AI5">
        <v>18</v>
      </c>
      <c r="AJ5">
        <v>0</v>
      </c>
      <c r="AK5">
        <v>0</v>
      </c>
      <c r="AL5">
        <v>0</v>
      </c>
      <c r="AM5">
        <v>18</v>
      </c>
      <c r="AN5">
        <v>0</v>
      </c>
      <c r="AO5">
        <v>0</v>
      </c>
      <c r="AP5">
        <v>0</v>
      </c>
      <c r="AQ5" t="s">
        <v>14</v>
      </c>
      <c r="AR5">
        <v>18</v>
      </c>
      <c r="AS5">
        <v>0</v>
      </c>
      <c r="AT5">
        <v>0</v>
      </c>
      <c r="AU5">
        <v>0</v>
      </c>
      <c r="AV5">
        <v>18</v>
      </c>
      <c r="AW5">
        <v>0</v>
      </c>
      <c r="AX5">
        <v>0</v>
      </c>
      <c r="AY5">
        <v>0</v>
      </c>
      <c r="AZ5">
        <v>18</v>
      </c>
      <c r="BA5">
        <v>0</v>
      </c>
      <c r="BB5">
        <v>0</v>
      </c>
      <c r="BC5">
        <v>0</v>
      </c>
      <c r="BD5">
        <v>18</v>
      </c>
      <c r="BE5">
        <v>0</v>
      </c>
      <c r="BF5">
        <v>0</v>
      </c>
      <c r="BG5">
        <v>0</v>
      </c>
      <c r="BH5">
        <v>18</v>
      </c>
      <c r="BI5">
        <v>0</v>
      </c>
      <c r="BJ5">
        <v>0</v>
      </c>
      <c r="BK5">
        <v>0</v>
      </c>
    </row>
    <row r="6" spans="1:63">
      <c r="A6" t="s">
        <v>39</v>
      </c>
      <c r="B6">
        <v>60</v>
      </c>
      <c r="C6">
        <v>0</v>
      </c>
      <c r="D6">
        <v>0</v>
      </c>
      <c r="E6">
        <v>0</v>
      </c>
      <c r="F6">
        <v>60</v>
      </c>
      <c r="G6">
        <v>0</v>
      </c>
      <c r="H6">
        <v>0</v>
      </c>
      <c r="I6">
        <v>0</v>
      </c>
      <c r="J6">
        <v>60</v>
      </c>
      <c r="K6">
        <v>0</v>
      </c>
      <c r="L6">
        <v>0</v>
      </c>
      <c r="M6">
        <v>0</v>
      </c>
      <c r="N6">
        <v>60</v>
      </c>
      <c r="O6">
        <v>0</v>
      </c>
      <c r="P6">
        <v>0</v>
      </c>
      <c r="Q6">
        <v>0</v>
      </c>
      <c r="R6">
        <v>60</v>
      </c>
      <c r="S6">
        <v>0</v>
      </c>
      <c r="T6">
        <v>0</v>
      </c>
      <c r="U6">
        <v>0</v>
      </c>
      <c r="V6" t="s">
        <v>39</v>
      </c>
      <c r="W6">
        <v>60</v>
      </c>
      <c r="X6">
        <v>0</v>
      </c>
      <c r="Y6">
        <v>0</v>
      </c>
      <c r="Z6">
        <v>0</v>
      </c>
      <c r="AA6">
        <v>60</v>
      </c>
      <c r="AB6">
        <v>0</v>
      </c>
      <c r="AC6">
        <v>0</v>
      </c>
      <c r="AD6">
        <v>0</v>
      </c>
      <c r="AE6">
        <v>60</v>
      </c>
      <c r="AF6">
        <v>0</v>
      </c>
      <c r="AG6">
        <v>0</v>
      </c>
      <c r="AH6">
        <v>0</v>
      </c>
      <c r="AI6">
        <v>60</v>
      </c>
      <c r="AJ6">
        <v>0</v>
      </c>
      <c r="AK6">
        <v>0</v>
      </c>
      <c r="AL6">
        <v>0</v>
      </c>
      <c r="AM6">
        <v>60</v>
      </c>
      <c r="AN6">
        <v>0</v>
      </c>
      <c r="AO6">
        <v>0</v>
      </c>
      <c r="AP6">
        <v>0</v>
      </c>
      <c r="AQ6" t="s">
        <v>39</v>
      </c>
      <c r="AR6">
        <v>60</v>
      </c>
      <c r="AS6">
        <v>0</v>
      </c>
      <c r="AT6">
        <v>0</v>
      </c>
      <c r="AU6">
        <v>0</v>
      </c>
      <c r="AV6">
        <v>60</v>
      </c>
      <c r="AW6">
        <v>0</v>
      </c>
      <c r="AX6">
        <v>0</v>
      </c>
      <c r="AY6">
        <v>0</v>
      </c>
      <c r="AZ6">
        <v>60</v>
      </c>
      <c r="BA6">
        <v>0</v>
      </c>
      <c r="BB6">
        <v>0</v>
      </c>
      <c r="BC6">
        <v>0</v>
      </c>
      <c r="BD6">
        <v>60</v>
      </c>
      <c r="BE6">
        <v>0</v>
      </c>
      <c r="BF6">
        <v>0</v>
      </c>
      <c r="BG6">
        <v>0</v>
      </c>
      <c r="BH6">
        <v>60</v>
      </c>
      <c r="BI6">
        <v>0</v>
      </c>
      <c r="BJ6">
        <v>0</v>
      </c>
      <c r="BK6">
        <v>0</v>
      </c>
    </row>
    <row r="7" spans="1:63">
      <c r="A7" t="s">
        <v>51</v>
      </c>
      <c r="B7">
        <v>9</v>
      </c>
      <c r="C7">
        <v>2</v>
      </c>
      <c r="D7">
        <v>0</v>
      </c>
      <c r="E7">
        <v>0</v>
      </c>
      <c r="F7">
        <v>9</v>
      </c>
      <c r="G7">
        <v>2</v>
      </c>
      <c r="H7">
        <v>0</v>
      </c>
      <c r="I7">
        <v>0</v>
      </c>
      <c r="J7">
        <v>11</v>
      </c>
      <c r="K7">
        <v>0</v>
      </c>
      <c r="L7">
        <v>0</v>
      </c>
      <c r="M7">
        <v>0</v>
      </c>
      <c r="N7">
        <v>9</v>
      </c>
      <c r="O7">
        <v>0</v>
      </c>
      <c r="P7">
        <v>2</v>
      </c>
      <c r="Q7">
        <v>0</v>
      </c>
      <c r="R7">
        <v>11</v>
      </c>
      <c r="S7">
        <v>0</v>
      </c>
      <c r="T7">
        <v>0</v>
      </c>
      <c r="U7">
        <v>0</v>
      </c>
      <c r="V7" t="s">
        <v>51</v>
      </c>
      <c r="W7">
        <v>9</v>
      </c>
      <c r="X7">
        <v>2</v>
      </c>
      <c r="Y7">
        <v>0</v>
      </c>
      <c r="Z7">
        <v>0</v>
      </c>
      <c r="AA7">
        <v>9</v>
      </c>
      <c r="AB7">
        <v>2</v>
      </c>
      <c r="AC7">
        <v>0</v>
      </c>
      <c r="AD7">
        <v>0</v>
      </c>
      <c r="AE7">
        <v>11</v>
      </c>
      <c r="AF7">
        <v>0</v>
      </c>
      <c r="AG7">
        <v>0</v>
      </c>
      <c r="AH7">
        <v>0</v>
      </c>
      <c r="AI7">
        <v>9</v>
      </c>
      <c r="AJ7">
        <v>0</v>
      </c>
      <c r="AK7">
        <v>2</v>
      </c>
      <c r="AL7">
        <v>0</v>
      </c>
      <c r="AM7">
        <v>11</v>
      </c>
      <c r="AN7">
        <v>0</v>
      </c>
      <c r="AO7">
        <v>0</v>
      </c>
      <c r="AP7">
        <v>0</v>
      </c>
      <c r="AQ7" t="s">
        <v>51</v>
      </c>
      <c r="AR7">
        <v>9</v>
      </c>
      <c r="AS7">
        <v>2</v>
      </c>
      <c r="AT7">
        <v>0</v>
      </c>
      <c r="AU7">
        <v>0</v>
      </c>
      <c r="AV7">
        <v>9</v>
      </c>
      <c r="AW7">
        <v>2</v>
      </c>
      <c r="AX7">
        <v>0</v>
      </c>
      <c r="AY7">
        <v>0</v>
      </c>
      <c r="AZ7">
        <v>11</v>
      </c>
      <c r="BA7">
        <v>0</v>
      </c>
      <c r="BB7">
        <v>0</v>
      </c>
      <c r="BC7">
        <v>0</v>
      </c>
      <c r="BD7">
        <v>9</v>
      </c>
      <c r="BE7">
        <v>0</v>
      </c>
      <c r="BF7">
        <v>2</v>
      </c>
      <c r="BG7">
        <v>0</v>
      </c>
      <c r="BH7">
        <v>11</v>
      </c>
      <c r="BI7">
        <v>0</v>
      </c>
      <c r="BJ7">
        <v>0</v>
      </c>
      <c r="BK7">
        <v>0</v>
      </c>
    </row>
    <row r="8" spans="1:63">
      <c r="A8" t="s">
        <v>55</v>
      </c>
      <c r="B8">
        <v>33</v>
      </c>
      <c r="C8">
        <v>0</v>
      </c>
      <c r="D8">
        <v>0</v>
      </c>
      <c r="E8">
        <v>0</v>
      </c>
      <c r="F8">
        <v>33</v>
      </c>
      <c r="G8">
        <v>0</v>
      </c>
      <c r="H8">
        <v>0</v>
      </c>
      <c r="I8">
        <v>0</v>
      </c>
      <c r="J8">
        <v>33</v>
      </c>
      <c r="K8">
        <v>0</v>
      </c>
      <c r="L8">
        <v>0</v>
      </c>
      <c r="M8">
        <v>0</v>
      </c>
      <c r="N8">
        <v>33</v>
      </c>
      <c r="O8">
        <v>0</v>
      </c>
      <c r="P8">
        <v>0</v>
      </c>
      <c r="Q8">
        <v>0</v>
      </c>
      <c r="R8">
        <v>33</v>
      </c>
      <c r="S8">
        <v>0</v>
      </c>
      <c r="T8">
        <v>0</v>
      </c>
      <c r="U8">
        <v>0</v>
      </c>
      <c r="V8" t="s">
        <v>55</v>
      </c>
      <c r="W8">
        <v>33</v>
      </c>
      <c r="X8">
        <v>0</v>
      </c>
      <c r="Y8">
        <v>0</v>
      </c>
      <c r="Z8">
        <v>0</v>
      </c>
      <c r="AA8">
        <v>33</v>
      </c>
      <c r="AB8">
        <v>0</v>
      </c>
      <c r="AC8">
        <v>0</v>
      </c>
      <c r="AD8">
        <v>0</v>
      </c>
      <c r="AE8">
        <v>33</v>
      </c>
      <c r="AF8">
        <v>0</v>
      </c>
      <c r="AG8">
        <v>0</v>
      </c>
      <c r="AH8">
        <v>0</v>
      </c>
      <c r="AI8">
        <v>33</v>
      </c>
      <c r="AJ8">
        <v>0</v>
      </c>
      <c r="AK8">
        <v>0</v>
      </c>
      <c r="AL8">
        <v>0</v>
      </c>
      <c r="AM8">
        <v>33</v>
      </c>
      <c r="AN8">
        <v>0</v>
      </c>
      <c r="AO8">
        <v>0</v>
      </c>
      <c r="AP8">
        <v>0</v>
      </c>
      <c r="AQ8" t="s">
        <v>55</v>
      </c>
      <c r="AR8">
        <v>33</v>
      </c>
      <c r="AS8">
        <v>0</v>
      </c>
      <c r="AT8">
        <v>0</v>
      </c>
      <c r="AU8">
        <v>0</v>
      </c>
      <c r="AV8">
        <v>33</v>
      </c>
      <c r="AW8">
        <v>0</v>
      </c>
      <c r="AX8">
        <v>0</v>
      </c>
      <c r="AY8">
        <v>0</v>
      </c>
      <c r="AZ8">
        <v>33</v>
      </c>
      <c r="BA8">
        <v>0</v>
      </c>
      <c r="BB8">
        <v>0</v>
      </c>
      <c r="BC8">
        <v>0</v>
      </c>
      <c r="BD8">
        <v>33</v>
      </c>
      <c r="BE8">
        <v>0</v>
      </c>
      <c r="BF8">
        <v>0</v>
      </c>
      <c r="BG8">
        <v>0</v>
      </c>
      <c r="BH8">
        <v>33</v>
      </c>
      <c r="BI8">
        <v>0</v>
      </c>
      <c r="BJ8">
        <v>0</v>
      </c>
      <c r="BK8">
        <v>0</v>
      </c>
    </row>
    <row r="9" spans="1:63">
      <c r="A9" t="s">
        <v>85</v>
      </c>
      <c r="B9">
        <v>132</v>
      </c>
      <c r="C9">
        <v>0</v>
      </c>
      <c r="D9">
        <v>0</v>
      </c>
      <c r="E9">
        <v>0</v>
      </c>
      <c r="F9">
        <v>132</v>
      </c>
      <c r="G9">
        <v>0</v>
      </c>
      <c r="H9">
        <v>0</v>
      </c>
      <c r="I9">
        <v>0</v>
      </c>
      <c r="J9">
        <v>132</v>
      </c>
      <c r="K9">
        <v>0</v>
      </c>
      <c r="L9">
        <v>0</v>
      </c>
      <c r="M9">
        <v>0</v>
      </c>
      <c r="N9">
        <v>132</v>
      </c>
      <c r="O9">
        <v>0</v>
      </c>
      <c r="P9">
        <v>0</v>
      </c>
      <c r="Q9">
        <v>0</v>
      </c>
      <c r="R9">
        <v>132</v>
      </c>
      <c r="S9">
        <v>0</v>
      </c>
      <c r="T9">
        <v>0</v>
      </c>
      <c r="U9">
        <v>0</v>
      </c>
      <c r="V9" t="s">
        <v>85</v>
      </c>
      <c r="W9">
        <v>132</v>
      </c>
      <c r="X9">
        <v>0</v>
      </c>
      <c r="Y9">
        <v>0</v>
      </c>
      <c r="Z9">
        <v>0</v>
      </c>
      <c r="AA9">
        <v>132</v>
      </c>
      <c r="AB9">
        <v>0</v>
      </c>
      <c r="AC9">
        <v>0</v>
      </c>
      <c r="AD9">
        <v>0</v>
      </c>
      <c r="AE9">
        <v>132</v>
      </c>
      <c r="AF9">
        <v>0</v>
      </c>
      <c r="AG9">
        <v>0</v>
      </c>
      <c r="AH9">
        <v>0</v>
      </c>
      <c r="AI9">
        <v>132</v>
      </c>
      <c r="AJ9">
        <v>0</v>
      </c>
      <c r="AK9">
        <v>0</v>
      </c>
      <c r="AL9">
        <v>0</v>
      </c>
      <c r="AM9">
        <v>132</v>
      </c>
      <c r="AN9">
        <v>0</v>
      </c>
      <c r="AO9">
        <v>0</v>
      </c>
      <c r="AP9">
        <v>0</v>
      </c>
      <c r="AQ9" t="s">
        <v>85</v>
      </c>
      <c r="AR9">
        <v>132</v>
      </c>
      <c r="AS9">
        <v>0</v>
      </c>
      <c r="AT9">
        <v>0</v>
      </c>
      <c r="AU9">
        <v>0</v>
      </c>
      <c r="AV9">
        <v>132</v>
      </c>
      <c r="AW9">
        <v>0</v>
      </c>
      <c r="AX9">
        <v>0</v>
      </c>
      <c r="AY9">
        <v>0</v>
      </c>
      <c r="AZ9">
        <v>132</v>
      </c>
      <c r="BA9">
        <v>0</v>
      </c>
      <c r="BB9">
        <v>0</v>
      </c>
      <c r="BC9">
        <v>0</v>
      </c>
      <c r="BD9">
        <v>132</v>
      </c>
      <c r="BE9">
        <v>0</v>
      </c>
      <c r="BF9">
        <v>0</v>
      </c>
      <c r="BG9">
        <v>0</v>
      </c>
      <c r="BH9">
        <v>132</v>
      </c>
      <c r="BI9">
        <v>0</v>
      </c>
      <c r="BJ9">
        <v>0</v>
      </c>
      <c r="BK9">
        <v>0</v>
      </c>
    </row>
    <row r="10" spans="1:63">
      <c r="A10" t="s">
        <v>30</v>
      </c>
      <c r="B10">
        <v>51</v>
      </c>
      <c r="C10">
        <v>3</v>
      </c>
      <c r="D10">
        <v>0</v>
      </c>
      <c r="E10">
        <v>0</v>
      </c>
      <c r="F10">
        <v>51</v>
      </c>
      <c r="G10">
        <v>3</v>
      </c>
      <c r="H10">
        <v>0</v>
      </c>
      <c r="I10">
        <v>0</v>
      </c>
      <c r="J10">
        <v>54</v>
      </c>
      <c r="K10">
        <v>0</v>
      </c>
      <c r="L10">
        <v>0</v>
      </c>
      <c r="M10">
        <v>0</v>
      </c>
      <c r="N10">
        <v>51</v>
      </c>
      <c r="O10">
        <v>0</v>
      </c>
      <c r="P10">
        <v>3</v>
      </c>
      <c r="Q10">
        <v>0</v>
      </c>
      <c r="R10">
        <v>54</v>
      </c>
      <c r="S10">
        <v>0</v>
      </c>
      <c r="T10">
        <v>0</v>
      </c>
      <c r="U10">
        <v>0</v>
      </c>
      <c r="V10" t="s">
        <v>30</v>
      </c>
      <c r="W10">
        <v>51</v>
      </c>
      <c r="X10">
        <v>3</v>
      </c>
      <c r="Y10">
        <v>0</v>
      </c>
      <c r="Z10">
        <v>0</v>
      </c>
      <c r="AA10">
        <v>51</v>
      </c>
      <c r="AB10">
        <v>3</v>
      </c>
      <c r="AC10">
        <v>0</v>
      </c>
      <c r="AD10">
        <v>0</v>
      </c>
      <c r="AE10">
        <v>54</v>
      </c>
      <c r="AF10">
        <v>0</v>
      </c>
      <c r="AG10">
        <v>0</v>
      </c>
      <c r="AH10">
        <v>0</v>
      </c>
      <c r="AI10">
        <v>51</v>
      </c>
      <c r="AJ10">
        <v>0</v>
      </c>
      <c r="AK10">
        <v>3</v>
      </c>
      <c r="AL10">
        <v>0</v>
      </c>
      <c r="AM10">
        <v>54</v>
      </c>
      <c r="AN10">
        <v>0</v>
      </c>
      <c r="AO10">
        <v>0</v>
      </c>
      <c r="AP10">
        <v>0</v>
      </c>
      <c r="AQ10" t="s">
        <v>30</v>
      </c>
      <c r="AR10">
        <v>51</v>
      </c>
      <c r="AS10">
        <v>3</v>
      </c>
      <c r="AT10">
        <v>0</v>
      </c>
      <c r="AU10">
        <v>0</v>
      </c>
      <c r="AV10">
        <v>51</v>
      </c>
      <c r="AW10">
        <v>3</v>
      </c>
      <c r="AX10">
        <v>0</v>
      </c>
      <c r="AY10">
        <v>0</v>
      </c>
      <c r="AZ10">
        <v>54</v>
      </c>
      <c r="BA10">
        <v>0</v>
      </c>
      <c r="BB10">
        <v>0</v>
      </c>
      <c r="BC10">
        <v>0</v>
      </c>
      <c r="BD10">
        <v>51</v>
      </c>
      <c r="BE10">
        <v>0</v>
      </c>
      <c r="BF10">
        <v>3</v>
      </c>
      <c r="BG10">
        <v>0</v>
      </c>
      <c r="BH10">
        <v>54</v>
      </c>
      <c r="BI10">
        <v>0</v>
      </c>
      <c r="BJ10">
        <v>0</v>
      </c>
      <c r="BK10">
        <v>0</v>
      </c>
    </row>
    <row r="11" spans="1:63">
      <c r="A11" t="s">
        <v>89</v>
      </c>
      <c r="B11">
        <v>51</v>
      </c>
      <c r="C11">
        <v>0</v>
      </c>
      <c r="D11">
        <v>0</v>
      </c>
      <c r="E11">
        <v>0</v>
      </c>
      <c r="F11">
        <v>51</v>
      </c>
      <c r="G11">
        <v>0</v>
      </c>
      <c r="H11">
        <v>0</v>
      </c>
      <c r="I11">
        <v>0</v>
      </c>
      <c r="J11">
        <v>51</v>
      </c>
      <c r="K11">
        <v>0</v>
      </c>
      <c r="L11">
        <v>0</v>
      </c>
      <c r="M11">
        <v>0</v>
      </c>
      <c r="N11">
        <v>51</v>
      </c>
      <c r="O11">
        <v>0</v>
      </c>
      <c r="P11">
        <v>0</v>
      </c>
      <c r="Q11">
        <v>0</v>
      </c>
      <c r="R11">
        <v>51</v>
      </c>
      <c r="S11">
        <v>0</v>
      </c>
      <c r="T11">
        <v>0</v>
      </c>
      <c r="U11">
        <v>0</v>
      </c>
      <c r="V11" t="s">
        <v>89</v>
      </c>
      <c r="W11">
        <v>51</v>
      </c>
      <c r="X11">
        <v>0</v>
      </c>
      <c r="Y11">
        <v>0</v>
      </c>
      <c r="Z11">
        <v>0</v>
      </c>
      <c r="AA11">
        <v>51</v>
      </c>
      <c r="AB11">
        <v>0</v>
      </c>
      <c r="AC11">
        <v>0</v>
      </c>
      <c r="AD11">
        <v>0</v>
      </c>
      <c r="AE11">
        <v>51</v>
      </c>
      <c r="AF11">
        <v>0</v>
      </c>
      <c r="AG11">
        <v>0</v>
      </c>
      <c r="AH11">
        <v>0</v>
      </c>
      <c r="AI11">
        <v>51</v>
      </c>
      <c r="AJ11">
        <v>0</v>
      </c>
      <c r="AK11">
        <v>0</v>
      </c>
      <c r="AL11">
        <v>0</v>
      </c>
      <c r="AM11">
        <v>51</v>
      </c>
      <c r="AN11">
        <v>0</v>
      </c>
      <c r="AO11">
        <v>0</v>
      </c>
      <c r="AP11">
        <v>0</v>
      </c>
      <c r="AQ11" t="s">
        <v>89</v>
      </c>
      <c r="AR11">
        <v>51</v>
      </c>
      <c r="AS11">
        <v>0</v>
      </c>
      <c r="AT11">
        <v>0</v>
      </c>
      <c r="AU11">
        <v>0</v>
      </c>
      <c r="AV11">
        <v>51</v>
      </c>
      <c r="AW11">
        <v>0</v>
      </c>
      <c r="AX11">
        <v>0</v>
      </c>
      <c r="AY11">
        <v>0</v>
      </c>
      <c r="AZ11">
        <v>51</v>
      </c>
      <c r="BA11">
        <v>0</v>
      </c>
      <c r="BB11">
        <v>0</v>
      </c>
      <c r="BC11">
        <v>0</v>
      </c>
      <c r="BD11">
        <v>51</v>
      </c>
      <c r="BE11">
        <v>0</v>
      </c>
      <c r="BF11">
        <v>0</v>
      </c>
      <c r="BG11">
        <v>0</v>
      </c>
      <c r="BH11">
        <v>51</v>
      </c>
      <c r="BI11">
        <v>0</v>
      </c>
      <c r="BJ11">
        <v>0</v>
      </c>
      <c r="BK11">
        <v>0</v>
      </c>
    </row>
    <row r="12" spans="1:63">
      <c r="A12" t="s">
        <v>2</v>
      </c>
      <c r="B12">
        <v>3</v>
      </c>
      <c r="C12">
        <v>0</v>
      </c>
      <c r="D12">
        <v>0</v>
      </c>
      <c r="E12">
        <v>0</v>
      </c>
      <c r="F12">
        <v>3</v>
      </c>
      <c r="G12">
        <v>0</v>
      </c>
      <c r="H12">
        <v>0</v>
      </c>
      <c r="I12">
        <v>0</v>
      </c>
      <c r="J12">
        <v>3</v>
      </c>
      <c r="K12">
        <v>0</v>
      </c>
      <c r="L12">
        <v>0</v>
      </c>
      <c r="M12">
        <v>0</v>
      </c>
      <c r="N12">
        <v>3</v>
      </c>
      <c r="O12">
        <v>0</v>
      </c>
      <c r="P12">
        <v>0</v>
      </c>
      <c r="Q12">
        <v>0</v>
      </c>
      <c r="R12">
        <v>3</v>
      </c>
      <c r="S12">
        <v>0</v>
      </c>
      <c r="T12">
        <v>0</v>
      </c>
      <c r="U12">
        <v>0</v>
      </c>
      <c r="V12" t="s">
        <v>2</v>
      </c>
      <c r="W12">
        <v>3</v>
      </c>
      <c r="X12">
        <v>0</v>
      </c>
      <c r="Y12">
        <v>0</v>
      </c>
      <c r="Z12">
        <v>0</v>
      </c>
      <c r="AA12">
        <v>3</v>
      </c>
      <c r="AB12">
        <v>0</v>
      </c>
      <c r="AC12">
        <v>0</v>
      </c>
      <c r="AD12">
        <v>0</v>
      </c>
      <c r="AE12">
        <v>3</v>
      </c>
      <c r="AF12">
        <v>0</v>
      </c>
      <c r="AG12">
        <v>0</v>
      </c>
      <c r="AH12">
        <v>0</v>
      </c>
      <c r="AI12">
        <v>3</v>
      </c>
      <c r="AJ12">
        <v>0</v>
      </c>
      <c r="AK12">
        <v>0</v>
      </c>
      <c r="AL12">
        <v>0</v>
      </c>
      <c r="AM12">
        <v>3</v>
      </c>
      <c r="AN12">
        <v>0</v>
      </c>
      <c r="AO12">
        <v>0</v>
      </c>
      <c r="AP12">
        <v>0</v>
      </c>
      <c r="AQ12" t="s">
        <v>2</v>
      </c>
      <c r="AR12">
        <v>3</v>
      </c>
      <c r="AS12">
        <v>0</v>
      </c>
      <c r="AT12">
        <v>0</v>
      </c>
      <c r="AU12">
        <v>0</v>
      </c>
      <c r="AV12">
        <v>3</v>
      </c>
      <c r="AW12">
        <v>0</v>
      </c>
      <c r="AX12">
        <v>0</v>
      </c>
      <c r="AY12">
        <v>0</v>
      </c>
      <c r="AZ12">
        <v>3</v>
      </c>
      <c r="BA12">
        <v>0</v>
      </c>
      <c r="BB12">
        <v>0</v>
      </c>
      <c r="BC12">
        <v>0</v>
      </c>
      <c r="BD12">
        <v>3</v>
      </c>
      <c r="BE12">
        <v>0</v>
      </c>
      <c r="BF12">
        <v>0</v>
      </c>
      <c r="BG12">
        <v>0</v>
      </c>
      <c r="BH12">
        <v>3</v>
      </c>
      <c r="BI12">
        <v>0</v>
      </c>
      <c r="BJ12">
        <v>0</v>
      </c>
      <c r="BK12">
        <v>0</v>
      </c>
    </row>
    <row r="13" spans="1:63">
      <c r="A13" t="s">
        <v>37</v>
      </c>
      <c r="B13">
        <v>2</v>
      </c>
      <c r="C13">
        <v>0</v>
      </c>
      <c r="D13">
        <v>0</v>
      </c>
      <c r="E13">
        <v>0</v>
      </c>
      <c r="F13">
        <v>2</v>
      </c>
      <c r="G13">
        <v>0</v>
      </c>
      <c r="H13">
        <v>0</v>
      </c>
      <c r="I13">
        <v>0</v>
      </c>
      <c r="J13">
        <v>2</v>
      </c>
      <c r="K13">
        <v>0</v>
      </c>
      <c r="L13">
        <v>0</v>
      </c>
      <c r="M13">
        <v>0</v>
      </c>
      <c r="N13">
        <v>2</v>
      </c>
      <c r="O13">
        <v>0</v>
      </c>
      <c r="P13">
        <v>0</v>
      </c>
      <c r="Q13">
        <v>0</v>
      </c>
      <c r="R13">
        <v>2</v>
      </c>
      <c r="S13">
        <v>0</v>
      </c>
      <c r="T13">
        <v>0</v>
      </c>
      <c r="U13">
        <v>0</v>
      </c>
      <c r="V13" t="s">
        <v>37</v>
      </c>
      <c r="W13">
        <v>2</v>
      </c>
      <c r="X13">
        <v>0</v>
      </c>
      <c r="Y13">
        <v>0</v>
      </c>
      <c r="Z13">
        <v>0</v>
      </c>
      <c r="AA13">
        <v>2</v>
      </c>
      <c r="AB13">
        <v>0</v>
      </c>
      <c r="AC13">
        <v>0</v>
      </c>
      <c r="AD13">
        <v>0</v>
      </c>
      <c r="AE13">
        <v>2</v>
      </c>
      <c r="AF13">
        <v>0</v>
      </c>
      <c r="AG13">
        <v>0</v>
      </c>
      <c r="AH13">
        <v>0</v>
      </c>
      <c r="AI13">
        <v>2</v>
      </c>
      <c r="AJ13">
        <v>0</v>
      </c>
      <c r="AK13">
        <v>0</v>
      </c>
      <c r="AL13">
        <v>0</v>
      </c>
      <c r="AM13">
        <v>2</v>
      </c>
      <c r="AN13">
        <v>0</v>
      </c>
      <c r="AO13">
        <v>0</v>
      </c>
      <c r="AP13">
        <v>0</v>
      </c>
      <c r="AQ13" t="s">
        <v>37</v>
      </c>
      <c r="AR13">
        <v>2</v>
      </c>
      <c r="AS13">
        <v>0</v>
      </c>
      <c r="AT13">
        <v>0</v>
      </c>
      <c r="AU13">
        <v>0</v>
      </c>
      <c r="AV13">
        <v>2</v>
      </c>
      <c r="AW13">
        <v>0</v>
      </c>
      <c r="AX13">
        <v>0</v>
      </c>
      <c r="AY13">
        <v>0</v>
      </c>
      <c r="AZ13">
        <v>2</v>
      </c>
      <c r="BA13">
        <v>0</v>
      </c>
      <c r="BB13">
        <v>0</v>
      </c>
      <c r="BC13">
        <v>0</v>
      </c>
      <c r="BD13">
        <v>2</v>
      </c>
      <c r="BE13">
        <v>0</v>
      </c>
      <c r="BF13">
        <v>0</v>
      </c>
      <c r="BG13">
        <v>0</v>
      </c>
      <c r="BH13">
        <v>2</v>
      </c>
      <c r="BI13">
        <v>0</v>
      </c>
      <c r="BJ13">
        <v>0</v>
      </c>
      <c r="BK13">
        <v>0</v>
      </c>
    </row>
    <row r="14" spans="1:63">
      <c r="A14" t="s">
        <v>72</v>
      </c>
      <c r="B14">
        <v>8</v>
      </c>
      <c r="C14">
        <v>0</v>
      </c>
      <c r="D14">
        <v>0</v>
      </c>
      <c r="E14">
        <v>0</v>
      </c>
      <c r="F14">
        <v>8</v>
      </c>
      <c r="G14">
        <v>0</v>
      </c>
      <c r="H14">
        <v>0</v>
      </c>
      <c r="I14">
        <v>0</v>
      </c>
      <c r="J14">
        <v>8</v>
      </c>
      <c r="K14">
        <v>0</v>
      </c>
      <c r="L14">
        <v>0</v>
      </c>
      <c r="M14">
        <v>0</v>
      </c>
      <c r="N14">
        <v>8</v>
      </c>
      <c r="O14">
        <v>0</v>
      </c>
      <c r="P14">
        <v>0</v>
      </c>
      <c r="Q14">
        <v>0</v>
      </c>
      <c r="R14">
        <v>8</v>
      </c>
      <c r="S14">
        <v>0</v>
      </c>
      <c r="T14">
        <v>0</v>
      </c>
      <c r="U14">
        <v>0</v>
      </c>
      <c r="V14" t="s">
        <v>72</v>
      </c>
      <c r="W14">
        <v>8</v>
      </c>
      <c r="X14">
        <v>0</v>
      </c>
      <c r="Y14">
        <v>0</v>
      </c>
      <c r="Z14">
        <v>0</v>
      </c>
      <c r="AA14">
        <v>8</v>
      </c>
      <c r="AB14">
        <v>0</v>
      </c>
      <c r="AC14">
        <v>0</v>
      </c>
      <c r="AD14">
        <v>0</v>
      </c>
      <c r="AE14">
        <v>8</v>
      </c>
      <c r="AF14">
        <v>0</v>
      </c>
      <c r="AG14">
        <v>0</v>
      </c>
      <c r="AH14">
        <v>0</v>
      </c>
      <c r="AI14">
        <v>8</v>
      </c>
      <c r="AJ14">
        <v>0</v>
      </c>
      <c r="AK14">
        <v>0</v>
      </c>
      <c r="AL14">
        <v>0</v>
      </c>
      <c r="AM14">
        <v>8</v>
      </c>
      <c r="AN14">
        <v>0</v>
      </c>
      <c r="AO14">
        <v>0</v>
      </c>
      <c r="AP14">
        <v>0</v>
      </c>
      <c r="AQ14" t="s">
        <v>72</v>
      </c>
      <c r="AR14">
        <v>8</v>
      </c>
      <c r="AS14">
        <v>0</v>
      </c>
      <c r="AT14">
        <v>0</v>
      </c>
      <c r="AU14">
        <v>0</v>
      </c>
      <c r="AV14">
        <v>8</v>
      </c>
      <c r="AW14">
        <v>0</v>
      </c>
      <c r="AX14">
        <v>0</v>
      </c>
      <c r="AY14">
        <v>0</v>
      </c>
      <c r="AZ14">
        <v>8</v>
      </c>
      <c r="BA14">
        <v>0</v>
      </c>
      <c r="BB14">
        <v>0</v>
      </c>
      <c r="BC14">
        <v>0</v>
      </c>
      <c r="BD14">
        <v>8</v>
      </c>
      <c r="BE14">
        <v>0</v>
      </c>
      <c r="BF14">
        <v>0</v>
      </c>
      <c r="BG14">
        <v>0</v>
      </c>
      <c r="BH14">
        <v>8</v>
      </c>
      <c r="BI14">
        <v>0</v>
      </c>
      <c r="BJ14">
        <v>0</v>
      </c>
      <c r="BK14">
        <v>0</v>
      </c>
    </row>
    <row r="15" spans="1:63">
      <c r="A15" t="s">
        <v>8</v>
      </c>
      <c r="B15">
        <v>3</v>
      </c>
      <c r="C15">
        <v>0</v>
      </c>
      <c r="D15">
        <v>0</v>
      </c>
      <c r="E15">
        <v>0</v>
      </c>
      <c r="F15">
        <v>3</v>
      </c>
      <c r="G15">
        <v>0</v>
      </c>
      <c r="H15">
        <v>0</v>
      </c>
      <c r="I15">
        <v>0</v>
      </c>
      <c r="J15">
        <v>3</v>
      </c>
      <c r="K15">
        <v>0</v>
      </c>
      <c r="L15">
        <v>0</v>
      </c>
      <c r="M15">
        <v>0</v>
      </c>
      <c r="N15">
        <v>3</v>
      </c>
      <c r="O15">
        <v>0</v>
      </c>
      <c r="P15">
        <v>0</v>
      </c>
      <c r="Q15">
        <v>0</v>
      </c>
      <c r="R15">
        <v>3</v>
      </c>
      <c r="S15">
        <v>0</v>
      </c>
      <c r="T15">
        <v>0</v>
      </c>
      <c r="U15">
        <v>0</v>
      </c>
      <c r="V15" t="s">
        <v>8</v>
      </c>
      <c r="W15">
        <v>3</v>
      </c>
      <c r="X15">
        <v>0</v>
      </c>
      <c r="Y15">
        <v>0</v>
      </c>
      <c r="Z15">
        <v>0</v>
      </c>
      <c r="AA15">
        <v>3</v>
      </c>
      <c r="AB15">
        <v>0</v>
      </c>
      <c r="AC15">
        <v>0</v>
      </c>
      <c r="AD15">
        <v>0</v>
      </c>
      <c r="AE15">
        <v>3</v>
      </c>
      <c r="AF15">
        <v>0</v>
      </c>
      <c r="AG15">
        <v>0</v>
      </c>
      <c r="AH15">
        <v>0</v>
      </c>
      <c r="AI15">
        <v>3</v>
      </c>
      <c r="AJ15">
        <v>0</v>
      </c>
      <c r="AK15">
        <v>0</v>
      </c>
      <c r="AL15">
        <v>0</v>
      </c>
      <c r="AM15">
        <v>3</v>
      </c>
      <c r="AN15">
        <v>0</v>
      </c>
      <c r="AO15">
        <v>0</v>
      </c>
      <c r="AP15">
        <v>0</v>
      </c>
      <c r="AQ15" t="s">
        <v>8</v>
      </c>
      <c r="AR15">
        <v>3</v>
      </c>
      <c r="AS15">
        <v>0</v>
      </c>
      <c r="AT15">
        <v>0</v>
      </c>
      <c r="AU15">
        <v>0</v>
      </c>
      <c r="AV15">
        <v>3</v>
      </c>
      <c r="AW15">
        <v>0</v>
      </c>
      <c r="AX15">
        <v>0</v>
      </c>
      <c r="AY15">
        <v>0</v>
      </c>
      <c r="AZ15">
        <v>3</v>
      </c>
      <c r="BA15">
        <v>0</v>
      </c>
      <c r="BB15">
        <v>0</v>
      </c>
      <c r="BC15">
        <v>0</v>
      </c>
      <c r="BD15">
        <v>3</v>
      </c>
      <c r="BE15">
        <v>0</v>
      </c>
      <c r="BF15">
        <v>0</v>
      </c>
      <c r="BG15">
        <v>0</v>
      </c>
      <c r="BH15">
        <v>3</v>
      </c>
      <c r="BI15">
        <v>0</v>
      </c>
      <c r="BJ15">
        <v>0</v>
      </c>
      <c r="BK15">
        <v>0</v>
      </c>
    </row>
    <row r="16" spans="1:63">
      <c r="A16" t="s">
        <v>101</v>
      </c>
      <c r="B16">
        <v>132</v>
      </c>
      <c r="C16">
        <v>9</v>
      </c>
      <c r="D16">
        <v>0</v>
      </c>
      <c r="E16">
        <v>0</v>
      </c>
      <c r="F16">
        <v>132</v>
      </c>
      <c r="G16">
        <v>9</v>
      </c>
      <c r="H16">
        <v>0</v>
      </c>
      <c r="I16">
        <v>0</v>
      </c>
      <c r="J16">
        <v>138</v>
      </c>
      <c r="K16">
        <v>3</v>
      </c>
      <c r="L16">
        <v>0</v>
      </c>
      <c r="M16">
        <v>0</v>
      </c>
      <c r="N16">
        <v>129</v>
      </c>
      <c r="O16">
        <v>3</v>
      </c>
      <c r="P16">
        <v>9</v>
      </c>
      <c r="Q16">
        <v>0</v>
      </c>
      <c r="R16">
        <v>137</v>
      </c>
      <c r="S16">
        <v>4</v>
      </c>
      <c r="T16">
        <v>0</v>
      </c>
      <c r="U16">
        <v>0</v>
      </c>
      <c r="V16" t="s">
        <v>101</v>
      </c>
      <c r="W16">
        <v>132</v>
      </c>
      <c r="X16">
        <v>9</v>
      </c>
      <c r="Y16">
        <v>0</v>
      </c>
      <c r="Z16">
        <v>0</v>
      </c>
      <c r="AA16">
        <v>132</v>
      </c>
      <c r="AB16">
        <v>9</v>
      </c>
      <c r="AC16">
        <v>0</v>
      </c>
      <c r="AD16">
        <v>0</v>
      </c>
      <c r="AE16">
        <v>138</v>
      </c>
      <c r="AF16">
        <v>3</v>
      </c>
      <c r="AG16">
        <v>0</v>
      </c>
      <c r="AH16">
        <v>0</v>
      </c>
      <c r="AI16">
        <v>129</v>
      </c>
      <c r="AJ16">
        <v>3</v>
      </c>
      <c r="AK16">
        <v>9</v>
      </c>
      <c r="AL16">
        <v>0</v>
      </c>
      <c r="AM16">
        <v>137</v>
      </c>
      <c r="AN16">
        <v>4</v>
      </c>
      <c r="AO16">
        <v>0</v>
      </c>
      <c r="AP16">
        <v>0</v>
      </c>
      <c r="AQ16" t="s">
        <v>101</v>
      </c>
      <c r="AR16">
        <v>132</v>
      </c>
      <c r="AS16">
        <v>9</v>
      </c>
      <c r="AT16">
        <v>0</v>
      </c>
      <c r="AU16">
        <v>0</v>
      </c>
      <c r="AV16">
        <v>132</v>
      </c>
      <c r="AW16">
        <v>9</v>
      </c>
      <c r="AX16">
        <v>0</v>
      </c>
      <c r="AY16">
        <v>0</v>
      </c>
      <c r="AZ16">
        <v>141</v>
      </c>
      <c r="BA16">
        <v>0</v>
      </c>
      <c r="BB16">
        <v>0</v>
      </c>
      <c r="BC16">
        <v>0</v>
      </c>
      <c r="BD16">
        <v>132</v>
      </c>
      <c r="BE16">
        <v>0</v>
      </c>
      <c r="BF16">
        <v>9</v>
      </c>
      <c r="BG16">
        <v>0</v>
      </c>
      <c r="BH16">
        <v>141</v>
      </c>
      <c r="BI16">
        <v>0</v>
      </c>
      <c r="BJ16">
        <v>0</v>
      </c>
      <c r="BK16">
        <v>0</v>
      </c>
    </row>
    <row r="17" spans="1:63">
      <c r="A17" t="s">
        <v>3</v>
      </c>
      <c r="B17">
        <v>31</v>
      </c>
      <c r="C17">
        <v>0</v>
      </c>
      <c r="D17">
        <v>0</v>
      </c>
      <c r="E17">
        <v>0</v>
      </c>
      <c r="F17">
        <v>31</v>
      </c>
      <c r="G17">
        <v>0</v>
      </c>
      <c r="H17">
        <v>0</v>
      </c>
      <c r="I17">
        <v>0</v>
      </c>
      <c r="J17">
        <v>31</v>
      </c>
      <c r="K17">
        <v>0</v>
      </c>
      <c r="L17">
        <v>0</v>
      </c>
      <c r="M17">
        <v>0</v>
      </c>
      <c r="N17">
        <v>31</v>
      </c>
      <c r="O17">
        <v>0</v>
      </c>
      <c r="P17">
        <v>0</v>
      </c>
      <c r="Q17">
        <v>0</v>
      </c>
      <c r="R17">
        <v>31</v>
      </c>
      <c r="S17">
        <v>0</v>
      </c>
      <c r="T17">
        <v>0</v>
      </c>
      <c r="U17">
        <v>0</v>
      </c>
      <c r="V17" t="s">
        <v>3</v>
      </c>
      <c r="W17">
        <v>31</v>
      </c>
      <c r="X17">
        <v>0</v>
      </c>
      <c r="Y17">
        <v>0</v>
      </c>
      <c r="Z17">
        <v>0</v>
      </c>
      <c r="AA17">
        <v>31</v>
      </c>
      <c r="AB17">
        <v>0</v>
      </c>
      <c r="AC17">
        <v>0</v>
      </c>
      <c r="AD17">
        <v>0</v>
      </c>
      <c r="AE17">
        <v>31</v>
      </c>
      <c r="AF17">
        <v>0</v>
      </c>
      <c r="AG17">
        <v>0</v>
      </c>
      <c r="AH17">
        <v>0</v>
      </c>
      <c r="AI17">
        <v>31</v>
      </c>
      <c r="AJ17">
        <v>0</v>
      </c>
      <c r="AK17">
        <v>0</v>
      </c>
      <c r="AL17">
        <v>0</v>
      </c>
      <c r="AM17">
        <v>31</v>
      </c>
      <c r="AN17">
        <v>0</v>
      </c>
      <c r="AO17">
        <v>0</v>
      </c>
      <c r="AP17">
        <v>0</v>
      </c>
      <c r="AQ17" t="s">
        <v>3</v>
      </c>
      <c r="AR17">
        <v>31</v>
      </c>
      <c r="AS17">
        <v>0</v>
      </c>
      <c r="AT17">
        <v>0</v>
      </c>
      <c r="AU17">
        <v>0</v>
      </c>
      <c r="AV17">
        <v>31</v>
      </c>
      <c r="AW17">
        <v>0</v>
      </c>
      <c r="AX17">
        <v>0</v>
      </c>
      <c r="AY17">
        <v>0</v>
      </c>
      <c r="AZ17">
        <v>31</v>
      </c>
      <c r="BA17">
        <v>0</v>
      </c>
      <c r="BB17">
        <v>0</v>
      </c>
      <c r="BC17">
        <v>0</v>
      </c>
      <c r="BD17">
        <v>31</v>
      </c>
      <c r="BE17">
        <v>0</v>
      </c>
      <c r="BF17">
        <v>0</v>
      </c>
      <c r="BG17">
        <v>0</v>
      </c>
      <c r="BH17">
        <v>31</v>
      </c>
      <c r="BI17">
        <v>0</v>
      </c>
      <c r="BJ17">
        <v>0</v>
      </c>
      <c r="BK17">
        <v>0</v>
      </c>
    </row>
    <row r="18" spans="1:63">
      <c r="A18" t="s">
        <v>76</v>
      </c>
      <c r="B18">
        <v>31</v>
      </c>
      <c r="C18">
        <v>0</v>
      </c>
      <c r="D18">
        <v>0</v>
      </c>
      <c r="E18">
        <v>0</v>
      </c>
      <c r="F18">
        <v>31</v>
      </c>
      <c r="G18">
        <v>0</v>
      </c>
      <c r="H18">
        <v>0</v>
      </c>
      <c r="I18">
        <v>0</v>
      </c>
      <c r="J18">
        <v>31</v>
      </c>
      <c r="K18">
        <v>0</v>
      </c>
      <c r="L18">
        <v>0</v>
      </c>
      <c r="M18">
        <v>0</v>
      </c>
      <c r="N18">
        <v>31</v>
      </c>
      <c r="O18">
        <v>0</v>
      </c>
      <c r="P18">
        <v>0</v>
      </c>
      <c r="Q18">
        <v>0</v>
      </c>
      <c r="R18">
        <v>31</v>
      </c>
      <c r="S18">
        <v>0</v>
      </c>
      <c r="T18">
        <v>0</v>
      </c>
      <c r="U18">
        <v>0</v>
      </c>
      <c r="V18" t="s">
        <v>76</v>
      </c>
      <c r="W18">
        <v>31</v>
      </c>
      <c r="X18">
        <v>0</v>
      </c>
      <c r="Y18">
        <v>0</v>
      </c>
      <c r="Z18">
        <v>0</v>
      </c>
      <c r="AA18">
        <v>31</v>
      </c>
      <c r="AB18">
        <v>0</v>
      </c>
      <c r="AC18">
        <v>0</v>
      </c>
      <c r="AD18">
        <v>0</v>
      </c>
      <c r="AE18">
        <v>31</v>
      </c>
      <c r="AF18">
        <v>0</v>
      </c>
      <c r="AG18">
        <v>0</v>
      </c>
      <c r="AH18">
        <v>0</v>
      </c>
      <c r="AI18">
        <v>31</v>
      </c>
      <c r="AJ18">
        <v>0</v>
      </c>
      <c r="AK18">
        <v>0</v>
      </c>
      <c r="AL18">
        <v>0</v>
      </c>
      <c r="AM18">
        <v>31</v>
      </c>
      <c r="AN18">
        <v>0</v>
      </c>
      <c r="AO18">
        <v>0</v>
      </c>
      <c r="AP18">
        <v>0</v>
      </c>
      <c r="AQ18" t="s">
        <v>76</v>
      </c>
      <c r="AR18">
        <v>31</v>
      </c>
      <c r="AS18">
        <v>0</v>
      </c>
      <c r="AT18">
        <v>0</v>
      </c>
      <c r="AU18">
        <v>0</v>
      </c>
      <c r="AV18">
        <v>31</v>
      </c>
      <c r="AW18">
        <v>0</v>
      </c>
      <c r="AX18">
        <v>0</v>
      </c>
      <c r="AY18">
        <v>0</v>
      </c>
      <c r="AZ18">
        <v>31</v>
      </c>
      <c r="BA18">
        <v>0</v>
      </c>
      <c r="BB18">
        <v>0</v>
      </c>
      <c r="BC18">
        <v>0</v>
      </c>
      <c r="BD18">
        <v>31</v>
      </c>
      <c r="BE18">
        <v>0</v>
      </c>
      <c r="BF18">
        <v>0</v>
      </c>
      <c r="BG18">
        <v>0</v>
      </c>
      <c r="BH18">
        <v>31</v>
      </c>
      <c r="BI18">
        <v>0</v>
      </c>
      <c r="BJ18">
        <v>0</v>
      </c>
      <c r="BK18">
        <v>0</v>
      </c>
    </row>
    <row r="19" spans="1:63">
      <c r="A19" t="s">
        <v>29</v>
      </c>
      <c r="B19">
        <v>14</v>
      </c>
      <c r="C19">
        <v>0</v>
      </c>
      <c r="D19">
        <v>0</v>
      </c>
      <c r="E19">
        <v>0</v>
      </c>
      <c r="F19">
        <v>14</v>
      </c>
      <c r="G19">
        <v>0</v>
      </c>
      <c r="H19">
        <v>0</v>
      </c>
      <c r="I19">
        <v>0</v>
      </c>
      <c r="J19">
        <v>14</v>
      </c>
      <c r="K19">
        <v>0</v>
      </c>
      <c r="L19">
        <v>0</v>
      </c>
      <c r="M19">
        <v>0</v>
      </c>
      <c r="N19">
        <v>14</v>
      </c>
      <c r="O19">
        <v>0</v>
      </c>
      <c r="P19">
        <v>0</v>
      </c>
      <c r="Q19">
        <v>0</v>
      </c>
      <c r="R19">
        <v>14</v>
      </c>
      <c r="S19">
        <v>0</v>
      </c>
      <c r="T19">
        <v>0</v>
      </c>
      <c r="U19">
        <v>0</v>
      </c>
      <c r="V19" t="s">
        <v>29</v>
      </c>
      <c r="W19">
        <v>14</v>
      </c>
      <c r="X19">
        <v>0</v>
      </c>
      <c r="Y19">
        <v>0</v>
      </c>
      <c r="Z19">
        <v>0</v>
      </c>
      <c r="AA19">
        <v>14</v>
      </c>
      <c r="AB19">
        <v>0</v>
      </c>
      <c r="AC19">
        <v>0</v>
      </c>
      <c r="AD19">
        <v>0</v>
      </c>
      <c r="AE19">
        <v>14</v>
      </c>
      <c r="AF19">
        <v>0</v>
      </c>
      <c r="AG19">
        <v>0</v>
      </c>
      <c r="AH19">
        <v>0</v>
      </c>
      <c r="AI19">
        <v>14</v>
      </c>
      <c r="AJ19">
        <v>0</v>
      </c>
      <c r="AK19">
        <v>0</v>
      </c>
      <c r="AL19">
        <v>0</v>
      </c>
      <c r="AM19">
        <v>14</v>
      </c>
      <c r="AN19">
        <v>0</v>
      </c>
      <c r="AO19">
        <v>0</v>
      </c>
      <c r="AP19">
        <v>0</v>
      </c>
      <c r="AQ19" t="s">
        <v>29</v>
      </c>
      <c r="AR19">
        <v>14</v>
      </c>
      <c r="AS19">
        <v>0</v>
      </c>
      <c r="AT19">
        <v>0</v>
      </c>
      <c r="AU19">
        <v>0</v>
      </c>
      <c r="AV19">
        <v>14</v>
      </c>
      <c r="AW19">
        <v>0</v>
      </c>
      <c r="AX19">
        <v>0</v>
      </c>
      <c r="AY19">
        <v>0</v>
      </c>
      <c r="AZ19">
        <v>14</v>
      </c>
      <c r="BA19">
        <v>0</v>
      </c>
      <c r="BB19">
        <v>0</v>
      </c>
      <c r="BC19">
        <v>0</v>
      </c>
      <c r="BD19">
        <v>14</v>
      </c>
      <c r="BE19">
        <v>0</v>
      </c>
      <c r="BF19">
        <v>0</v>
      </c>
      <c r="BG19">
        <v>0</v>
      </c>
      <c r="BH19">
        <v>14</v>
      </c>
      <c r="BI19">
        <v>0</v>
      </c>
      <c r="BJ19">
        <v>0</v>
      </c>
      <c r="BK19">
        <v>0</v>
      </c>
    </row>
    <row r="20" spans="1:63">
      <c r="A20" t="s">
        <v>98</v>
      </c>
      <c r="B20">
        <v>176</v>
      </c>
      <c r="C20">
        <v>7</v>
      </c>
      <c r="D20">
        <v>0</v>
      </c>
      <c r="E20">
        <v>0</v>
      </c>
      <c r="F20">
        <v>176</v>
      </c>
      <c r="G20">
        <v>7</v>
      </c>
      <c r="H20">
        <v>0</v>
      </c>
      <c r="I20">
        <v>0</v>
      </c>
      <c r="J20">
        <v>179</v>
      </c>
      <c r="K20">
        <v>4</v>
      </c>
      <c r="L20">
        <v>0</v>
      </c>
      <c r="M20">
        <v>0</v>
      </c>
      <c r="N20">
        <v>172</v>
      </c>
      <c r="O20">
        <v>4</v>
      </c>
      <c r="P20">
        <v>7</v>
      </c>
      <c r="Q20">
        <v>0</v>
      </c>
      <c r="R20">
        <v>179</v>
      </c>
      <c r="S20">
        <v>4</v>
      </c>
      <c r="T20">
        <v>0</v>
      </c>
      <c r="U20">
        <v>0</v>
      </c>
      <c r="V20" t="s">
        <v>98</v>
      </c>
      <c r="W20">
        <v>176</v>
      </c>
      <c r="X20">
        <v>7</v>
      </c>
      <c r="Y20">
        <v>0</v>
      </c>
      <c r="Z20">
        <v>0</v>
      </c>
      <c r="AA20">
        <v>176</v>
      </c>
      <c r="AB20">
        <v>7</v>
      </c>
      <c r="AC20">
        <v>0</v>
      </c>
      <c r="AD20">
        <v>0</v>
      </c>
      <c r="AE20">
        <v>179</v>
      </c>
      <c r="AF20">
        <v>4</v>
      </c>
      <c r="AG20">
        <v>0</v>
      </c>
      <c r="AH20">
        <v>0</v>
      </c>
      <c r="AI20">
        <v>172</v>
      </c>
      <c r="AJ20">
        <v>4</v>
      </c>
      <c r="AK20">
        <v>7</v>
      </c>
      <c r="AL20">
        <v>0</v>
      </c>
      <c r="AM20">
        <v>179</v>
      </c>
      <c r="AN20">
        <v>4</v>
      </c>
      <c r="AO20">
        <v>0</v>
      </c>
      <c r="AP20">
        <v>0</v>
      </c>
      <c r="AQ20" t="s">
        <v>98</v>
      </c>
      <c r="AR20">
        <v>176</v>
      </c>
      <c r="AS20">
        <v>7</v>
      </c>
      <c r="AT20">
        <v>0</v>
      </c>
      <c r="AU20">
        <v>0</v>
      </c>
      <c r="AV20">
        <v>176</v>
      </c>
      <c r="AW20">
        <v>7</v>
      </c>
      <c r="AX20">
        <v>0</v>
      </c>
      <c r="AY20">
        <v>0</v>
      </c>
      <c r="AZ20">
        <v>183</v>
      </c>
      <c r="BA20">
        <v>0</v>
      </c>
      <c r="BB20">
        <v>0</v>
      </c>
      <c r="BC20">
        <v>0</v>
      </c>
      <c r="BD20">
        <v>176</v>
      </c>
      <c r="BE20">
        <v>0</v>
      </c>
      <c r="BF20">
        <v>7</v>
      </c>
      <c r="BG20">
        <v>0</v>
      </c>
      <c r="BH20">
        <v>183</v>
      </c>
      <c r="BI20">
        <v>0</v>
      </c>
      <c r="BJ20">
        <v>0</v>
      </c>
      <c r="BK20">
        <v>0</v>
      </c>
    </row>
    <row r="21" spans="1:63">
      <c r="A21" t="s">
        <v>43</v>
      </c>
      <c r="B21">
        <v>127</v>
      </c>
      <c r="C21">
        <v>0</v>
      </c>
      <c r="D21">
        <v>0</v>
      </c>
      <c r="E21">
        <v>0</v>
      </c>
      <c r="F21">
        <v>127</v>
      </c>
      <c r="G21">
        <v>0</v>
      </c>
      <c r="H21">
        <v>0</v>
      </c>
      <c r="I21">
        <v>0</v>
      </c>
      <c r="J21">
        <v>124</v>
      </c>
      <c r="K21">
        <v>3</v>
      </c>
      <c r="L21">
        <v>0</v>
      </c>
      <c r="M21">
        <v>0</v>
      </c>
      <c r="N21">
        <v>124</v>
      </c>
      <c r="O21">
        <v>3</v>
      </c>
      <c r="P21">
        <v>0</v>
      </c>
      <c r="Q21">
        <v>0</v>
      </c>
      <c r="R21">
        <v>124</v>
      </c>
      <c r="S21">
        <v>3</v>
      </c>
      <c r="T21">
        <v>0</v>
      </c>
      <c r="U21">
        <v>0</v>
      </c>
      <c r="V21" t="s">
        <v>43</v>
      </c>
      <c r="W21">
        <v>127</v>
      </c>
      <c r="X21">
        <v>0</v>
      </c>
      <c r="Y21">
        <v>0</v>
      </c>
      <c r="Z21">
        <v>0</v>
      </c>
      <c r="AA21">
        <v>127</v>
      </c>
      <c r="AB21">
        <v>0</v>
      </c>
      <c r="AC21">
        <v>0</v>
      </c>
      <c r="AD21">
        <v>0</v>
      </c>
      <c r="AE21">
        <v>124</v>
      </c>
      <c r="AF21">
        <v>3</v>
      </c>
      <c r="AG21">
        <v>0</v>
      </c>
      <c r="AH21">
        <v>0</v>
      </c>
      <c r="AI21">
        <v>124</v>
      </c>
      <c r="AJ21">
        <v>3</v>
      </c>
      <c r="AK21">
        <v>0</v>
      </c>
      <c r="AL21">
        <v>0</v>
      </c>
      <c r="AM21">
        <v>124</v>
      </c>
      <c r="AN21">
        <v>3</v>
      </c>
      <c r="AO21">
        <v>0</v>
      </c>
      <c r="AP21">
        <v>0</v>
      </c>
      <c r="AQ21" t="s">
        <v>43</v>
      </c>
      <c r="AR21">
        <v>127</v>
      </c>
      <c r="AS21">
        <v>0</v>
      </c>
      <c r="AT21">
        <v>0</v>
      </c>
      <c r="AU21">
        <v>0</v>
      </c>
      <c r="AV21">
        <v>127</v>
      </c>
      <c r="AW21">
        <v>0</v>
      </c>
      <c r="AX21">
        <v>0</v>
      </c>
      <c r="AY21">
        <v>0</v>
      </c>
      <c r="AZ21">
        <v>127</v>
      </c>
      <c r="BA21">
        <v>0</v>
      </c>
      <c r="BB21">
        <v>0</v>
      </c>
      <c r="BC21">
        <v>0</v>
      </c>
      <c r="BD21">
        <v>127</v>
      </c>
      <c r="BE21">
        <v>0</v>
      </c>
      <c r="BF21">
        <v>0</v>
      </c>
      <c r="BG21">
        <v>0</v>
      </c>
      <c r="BH21">
        <v>127</v>
      </c>
      <c r="BI21">
        <v>0</v>
      </c>
      <c r="BJ21">
        <v>0</v>
      </c>
      <c r="BK21">
        <v>0</v>
      </c>
    </row>
    <row r="22" spans="1:63">
      <c r="A22" t="s">
        <v>28</v>
      </c>
      <c r="B22">
        <v>106</v>
      </c>
      <c r="C22">
        <v>0</v>
      </c>
      <c r="D22">
        <v>0</v>
      </c>
      <c r="E22">
        <v>0</v>
      </c>
      <c r="F22">
        <v>106</v>
      </c>
      <c r="G22">
        <v>0</v>
      </c>
      <c r="H22">
        <v>0</v>
      </c>
      <c r="I22">
        <v>0</v>
      </c>
      <c r="J22">
        <v>103</v>
      </c>
      <c r="K22">
        <v>3</v>
      </c>
      <c r="L22">
        <v>0</v>
      </c>
      <c r="M22">
        <v>0</v>
      </c>
      <c r="N22">
        <v>103</v>
      </c>
      <c r="O22">
        <v>3</v>
      </c>
      <c r="P22">
        <v>0</v>
      </c>
      <c r="Q22">
        <v>0</v>
      </c>
      <c r="R22">
        <v>103</v>
      </c>
      <c r="S22">
        <v>3</v>
      </c>
      <c r="T22">
        <v>0</v>
      </c>
      <c r="U22">
        <v>0</v>
      </c>
      <c r="V22" t="s">
        <v>28</v>
      </c>
      <c r="W22">
        <v>106</v>
      </c>
      <c r="X22">
        <v>0</v>
      </c>
      <c r="Y22">
        <v>0</v>
      </c>
      <c r="Z22">
        <v>0</v>
      </c>
      <c r="AA22">
        <v>106</v>
      </c>
      <c r="AB22">
        <v>0</v>
      </c>
      <c r="AC22">
        <v>0</v>
      </c>
      <c r="AD22">
        <v>0</v>
      </c>
      <c r="AE22">
        <v>103</v>
      </c>
      <c r="AF22">
        <v>3</v>
      </c>
      <c r="AG22">
        <v>0</v>
      </c>
      <c r="AH22">
        <v>0</v>
      </c>
      <c r="AI22">
        <v>103</v>
      </c>
      <c r="AJ22">
        <v>3</v>
      </c>
      <c r="AK22">
        <v>0</v>
      </c>
      <c r="AL22">
        <v>0</v>
      </c>
      <c r="AM22">
        <v>103</v>
      </c>
      <c r="AN22">
        <v>3</v>
      </c>
      <c r="AO22">
        <v>0</v>
      </c>
      <c r="AP22">
        <v>0</v>
      </c>
      <c r="AQ22" t="s">
        <v>28</v>
      </c>
      <c r="AR22">
        <v>106</v>
      </c>
      <c r="AS22">
        <v>0</v>
      </c>
      <c r="AT22">
        <v>0</v>
      </c>
      <c r="AU22">
        <v>0</v>
      </c>
      <c r="AV22">
        <v>106</v>
      </c>
      <c r="AW22">
        <v>0</v>
      </c>
      <c r="AX22">
        <v>0</v>
      </c>
      <c r="AY22">
        <v>0</v>
      </c>
      <c r="AZ22">
        <v>106</v>
      </c>
      <c r="BA22">
        <v>0</v>
      </c>
      <c r="BB22">
        <v>0</v>
      </c>
      <c r="BC22">
        <v>0</v>
      </c>
      <c r="BD22">
        <v>106</v>
      </c>
      <c r="BE22">
        <v>0</v>
      </c>
      <c r="BF22">
        <v>0</v>
      </c>
      <c r="BG22">
        <v>0</v>
      </c>
      <c r="BH22">
        <v>106</v>
      </c>
      <c r="BI22">
        <v>0</v>
      </c>
      <c r="BJ22">
        <v>0</v>
      </c>
      <c r="BK22">
        <v>0</v>
      </c>
    </row>
    <row r="23" spans="1:63">
      <c r="A23" t="s">
        <v>40</v>
      </c>
      <c r="B23">
        <v>3</v>
      </c>
      <c r="C23">
        <v>0</v>
      </c>
      <c r="D23">
        <v>0</v>
      </c>
      <c r="E23">
        <v>0</v>
      </c>
      <c r="F23">
        <v>3</v>
      </c>
      <c r="G23">
        <v>0</v>
      </c>
      <c r="H23">
        <v>0</v>
      </c>
      <c r="I23">
        <v>0</v>
      </c>
      <c r="J23">
        <v>3</v>
      </c>
      <c r="K23">
        <v>0</v>
      </c>
      <c r="L23">
        <v>0</v>
      </c>
      <c r="M23">
        <v>0</v>
      </c>
      <c r="N23">
        <v>3</v>
      </c>
      <c r="O23">
        <v>0</v>
      </c>
      <c r="P23">
        <v>0</v>
      </c>
      <c r="Q23">
        <v>0</v>
      </c>
      <c r="R23">
        <v>3</v>
      </c>
      <c r="S23">
        <v>0</v>
      </c>
      <c r="T23">
        <v>0</v>
      </c>
      <c r="U23">
        <v>0</v>
      </c>
      <c r="V23" t="s">
        <v>40</v>
      </c>
      <c r="W23">
        <v>3</v>
      </c>
      <c r="X23">
        <v>0</v>
      </c>
      <c r="Y23">
        <v>0</v>
      </c>
      <c r="Z23">
        <v>0</v>
      </c>
      <c r="AA23">
        <v>3</v>
      </c>
      <c r="AB23">
        <v>0</v>
      </c>
      <c r="AC23">
        <v>0</v>
      </c>
      <c r="AD23">
        <v>0</v>
      </c>
      <c r="AE23">
        <v>3</v>
      </c>
      <c r="AF23">
        <v>0</v>
      </c>
      <c r="AG23">
        <v>0</v>
      </c>
      <c r="AH23">
        <v>0</v>
      </c>
      <c r="AI23">
        <v>3</v>
      </c>
      <c r="AJ23">
        <v>0</v>
      </c>
      <c r="AK23">
        <v>0</v>
      </c>
      <c r="AL23">
        <v>0</v>
      </c>
      <c r="AM23">
        <v>3</v>
      </c>
      <c r="AN23">
        <v>0</v>
      </c>
      <c r="AO23">
        <v>0</v>
      </c>
      <c r="AP23">
        <v>0</v>
      </c>
      <c r="AQ23" t="s">
        <v>40</v>
      </c>
      <c r="AR23">
        <v>3</v>
      </c>
      <c r="AS23">
        <v>0</v>
      </c>
      <c r="AT23">
        <v>0</v>
      </c>
      <c r="AU23">
        <v>0</v>
      </c>
      <c r="AV23">
        <v>3</v>
      </c>
      <c r="AW23">
        <v>0</v>
      </c>
      <c r="AX23">
        <v>0</v>
      </c>
      <c r="AY23">
        <v>0</v>
      </c>
      <c r="AZ23">
        <v>3</v>
      </c>
      <c r="BA23">
        <v>0</v>
      </c>
      <c r="BB23">
        <v>0</v>
      </c>
      <c r="BC23">
        <v>0</v>
      </c>
      <c r="BD23">
        <v>3</v>
      </c>
      <c r="BE23">
        <v>0</v>
      </c>
      <c r="BF23">
        <v>0</v>
      </c>
      <c r="BG23">
        <v>0</v>
      </c>
      <c r="BH23">
        <v>3</v>
      </c>
      <c r="BI23">
        <v>0</v>
      </c>
      <c r="BJ23">
        <v>0</v>
      </c>
      <c r="BK23">
        <v>0</v>
      </c>
    </row>
    <row r="24" spans="1:63">
      <c r="A24" t="s">
        <v>56</v>
      </c>
      <c r="B24">
        <v>406</v>
      </c>
      <c r="C24">
        <v>0</v>
      </c>
      <c r="D24">
        <v>0</v>
      </c>
      <c r="E24">
        <v>0</v>
      </c>
      <c r="F24">
        <v>406</v>
      </c>
      <c r="G24">
        <v>0</v>
      </c>
      <c r="H24">
        <v>0</v>
      </c>
      <c r="I24">
        <v>0</v>
      </c>
      <c r="J24">
        <v>406</v>
      </c>
      <c r="K24">
        <v>0</v>
      </c>
      <c r="L24">
        <v>0</v>
      </c>
      <c r="M24">
        <v>0</v>
      </c>
      <c r="N24">
        <v>406</v>
      </c>
      <c r="O24">
        <v>0</v>
      </c>
      <c r="P24">
        <v>0</v>
      </c>
      <c r="Q24">
        <v>0</v>
      </c>
      <c r="R24">
        <v>406</v>
      </c>
      <c r="S24">
        <v>0</v>
      </c>
      <c r="T24">
        <v>0</v>
      </c>
      <c r="U24">
        <v>0</v>
      </c>
      <c r="V24" t="s">
        <v>56</v>
      </c>
      <c r="W24">
        <v>406</v>
      </c>
      <c r="X24">
        <v>0</v>
      </c>
      <c r="Y24">
        <v>0</v>
      </c>
      <c r="Z24">
        <v>0</v>
      </c>
      <c r="AA24">
        <v>406</v>
      </c>
      <c r="AB24">
        <v>0</v>
      </c>
      <c r="AC24">
        <v>0</v>
      </c>
      <c r="AD24">
        <v>0</v>
      </c>
      <c r="AE24">
        <v>406</v>
      </c>
      <c r="AF24">
        <v>0</v>
      </c>
      <c r="AG24">
        <v>0</v>
      </c>
      <c r="AH24">
        <v>0</v>
      </c>
      <c r="AI24">
        <v>406</v>
      </c>
      <c r="AJ24">
        <v>0</v>
      </c>
      <c r="AK24">
        <v>0</v>
      </c>
      <c r="AL24">
        <v>0</v>
      </c>
      <c r="AM24">
        <v>406</v>
      </c>
      <c r="AN24">
        <v>0</v>
      </c>
      <c r="AO24">
        <v>0</v>
      </c>
      <c r="AP24">
        <v>0</v>
      </c>
      <c r="AQ24" t="s">
        <v>56</v>
      </c>
      <c r="AR24">
        <v>406</v>
      </c>
      <c r="AS24">
        <v>0</v>
      </c>
      <c r="AT24">
        <v>0</v>
      </c>
      <c r="AU24">
        <v>0</v>
      </c>
      <c r="AV24">
        <v>406</v>
      </c>
      <c r="AW24">
        <v>0</v>
      </c>
      <c r="AX24">
        <v>0</v>
      </c>
      <c r="AY24">
        <v>0</v>
      </c>
      <c r="AZ24">
        <v>406</v>
      </c>
      <c r="BA24">
        <v>0</v>
      </c>
      <c r="BB24">
        <v>0</v>
      </c>
      <c r="BC24">
        <v>0</v>
      </c>
      <c r="BD24">
        <v>406</v>
      </c>
      <c r="BE24">
        <v>0</v>
      </c>
      <c r="BF24">
        <v>0</v>
      </c>
      <c r="BG24">
        <v>0</v>
      </c>
      <c r="BH24">
        <v>406</v>
      </c>
      <c r="BI24">
        <v>0</v>
      </c>
      <c r="BJ24">
        <v>0</v>
      </c>
      <c r="BK24">
        <v>0</v>
      </c>
    </row>
    <row r="25" spans="1:63">
      <c r="A25" t="s">
        <v>18</v>
      </c>
      <c r="B25">
        <v>192</v>
      </c>
      <c r="C25">
        <v>0</v>
      </c>
      <c r="D25">
        <v>0</v>
      </c>
      <c r="E25">
        <v>0</v>
      </c>
      <c r="F25">
        <v>192</v>
      </c>
      <c r="G25">
        <v>0</v>
      </c>
      <c r="H25">
        <v>0</v>
      </c>
      <c r="I25">
        <v>0</v>
      </c>
      <c r="J25">
        <v>192</v>
      </c>
      <c r="K25">
        <v>0</v>
      </c>
      <c r="L25">
        <v>0</v>
      </c>
      <c r="M25">
        <v>0</v>
      </c>
      <c r="N25">
        <v>192</v>
      </c>
      <c r="O25">
        <v>0</v>
      </c>
      <c r="P25">
        <v>0</v>
      </c>
      <c r="Q25">
        <v>0</v>
      </c>
      <c r="R25">
        <v>192</v>
      </c>
      <c r="S25">
        <v>0</v>
      </c>
      <c r="T25">
        <v>0</v>
      </c>
      <c r="U25">
        <v>0</v>
      </c>
      <c r="V25" t="s">
        <v>18</v>
      </c>
      <c r="W25">
        <v>192</v>
      </c>
      <c r="X25">
        <v>0</v>
      </c>
      <c r="Y25">
        <v>0</v>
      </c>
      <c r="Z25">
        <v>0</v>
      </c>
      <c r="AA25">
        <v>192</v>
      </c>
      <c r="AB25">
        <v>0</v>
      </c>
      <c r="AC25">
        <v>0</v>
      </c>
      <c r="AD25">
        <v>0</v>
      </c>
      <c r="AE25">
        <v>192</v>
      </c>
      <c r="AF25">
        <v>0</v>
      </c>
      <c r="AG25">
        <v>0</v>
      </c>
      <c r="AH25">
        <v>0</v>
      </c>
      <c r="AI25">
        <v>192</v>
      </c>
      <c r="AJ25">
        <v>0</v>
      </c>
      <c r="AK25">
        <v>0</v>
      </c>
      <c r="AL25">
        <v>0</v>
      </c>
      <c r="AM25">
        <v>192</v>
      </c>
      <c r="AN25">
        <v>0</v>
      </c>
      <c r="AO25">
        <v>0</v>
      </c>
      <c r="AP25">
        <v>0</v>
      </c>
      <c r="AQ25" t="s">
        <v>18</v>
      </c>
      <c r="AR25">
        <v>192</v>
      </c>
      <c r="AS25">
        <v>0</v>
      </c>
      <c r="AT25">
        <v>0</v>
      </c>
      <c r="AU25">
        <v>0</v>
      </c>
      <c r="AV25">
        <v>192</v>
      </c>
      <c r="AW25">
        <v>0</v>
      </c>
      <c r="AX25">
        <v>0</v>
      </c>
      <c r="AY25">
        <v>0</v>
      </c>
      <c r="AZ25">
        <v>192</v>
      </c>
      <c r="BA25">
        <v>0</v>
      </c>
      <c r="BB25">
        <v>0</v>
      </c>
      <c r="BC25">
        <v>0</v>
      </c>
      <c r="BD25">
        <v>192</v>
      </c>
      <c r="BE25">
        <v>0</v>
      </c>
      <c r="BF25">
        <v>0</v>
      </c>
      <c r="BG25">
        <v>0</v>
      </c>
      <c r="BH25">
        <v>192</v>
      </c>
      <c r="BI25">
        <v>0</v>
      </c>
      <c r="BJ25">
        <v>0</v>
      </c>
      <c r="BK25">
        <v>0</v>
      </c>
    </row>
    <row r="26" spans="1:63">
      <c r="A26" t="s">
        <v>27</v>
      </c>
      <c r="B26">
        <v>118</v>
      </c>
      <c r="C26">
        <v>0</v>
      </c>
      <c r="D26">
        <v>0</v>
      </c>
      <c r="E26">
        <v>0</v>
      </c>
      <c r="F26">
        <v>118</v>
      </c>
      <c r="G26">
        <v>0</v>
      </c>
      <c r="H26">
        <v>0</v>
      </c>
      <c r="I26">
        <v>0</v>
      </c>
      <c r="J26">
        <v>118</v>
      </c>
      <c r="K26">
        <v>0</v>
      </c>
      <c r="L26">
        <v>0</v>
      </c>
      <c r="M26">
        <v>0</v>
      </c>
      <c r="N26">
        <v>118</v>
      </c>
      <c r="O26">
        <v>0</v>
      </c>
      <c r="P26">
        <v>0</v>
      </c>
      <c r="Q26">
        <v>0</v>
      </c>
      <c r="R26">
        <v>118</v>
      </c>
      <c r="S26">
        <v>0</v>
      </c>
      <c r="T26">
        <v>0</v>
      </c>
      <c r="U26">
        <v>0</v>
      </c>
      <c r="V26" t="s">
        <v>27</v>
      </c>
      <c r="W26">
        <v>118</v>
      </c>
      <c r="X26">
        <v>0</v>
      </c>
      <c r="Y26">
        <v>0</v>
      </c>
      <c r="Z26">
        <v>0</v>
      </c>
      <c r="AA26">
        <v>118</v>
      </c>
      <c r="AB26">
        <v>0</v>
      </c>
      <c r="AC26">
        <v>0</v>
      </c>
      <c r="AD26">
        <v>0</v>
      </c>
      <c r="AE26">
        <v>118</v>
      </c>
      <c r="AF26">
        <v>0</v>
      </c>
      <c r="AG26">
        <v>0</v>
      </c>
      <c r="AH26">
        <v>0</v>
      </c>
      <c r="AI26">
        <v>118</v>
      </c>
      <c r="AJ26">
        <v>0</v>
      </c>
      <c r="AK26">
        <v>0</v>
      </c>
      <c r="AL26">
        <v>0</v>
      </c>
      <c r="AM26">
        <v>118</v>
      </c>
      <c r="AN26">
        <v>0</v>
      </c>
      <c r="AO26">
        <v>0</v>
      </c>
      <c r="AP26">
        <v>0</v>
      </c>
      <c r="AQ26" t="s">
        <v>27</v>
      </c>
      <c r="AR26">
        <v>118</v>
      </c>
      <c r="AS26">
        <v>0</v>
      </c>
      <c r="AT26">
        <v>0</v>
      </c>
      <c r="AU26">
        <v>0</v>
      </c>
      <c r="AV26">
        <v>118</v>
      </c>
      <c r="AW26">
        <v>0</v>
      </c>
      <c r="AX26">
        <v>0</v>
      </c>
      <c r="AY26">
        <v>0</v>
      </c>
      <c r="AZ26">
        <v>118</v>
      </c>
      <c r="BA26">
        <v>0</v>
      </c>
      <c r="BB26">
        <v>0</v>
      </c>
      <c r="BC26">
        <v>0</v>
      </c>
      <c r="BD26">
        <v>118</v>
      </c>
      <c r="BE26">
        <v>0</v>
      </c>
      <c r="BF26">
        <v>0</v>
      </c>
      <c r="BG26">
        <v>0</v>
      </c>
      <c r="BH26">
        <v>118</v>
      </c>
      <c r="BI26">
        <v>0</v>
      </c>
      <c r="BJ26">
        <v>0</v>
      </c>
      <c r="BK26">
        <v>0</v>
      </c>
    </row>
    <row r="27" spans="1:63">
      <c r="A27" t="s">
        <v>69</v>
      </c>
      <c r="B27">
        <v>30</v>
      </c>
      <c r="C27">
        <v>0</v>
      </c>
      <c r="D27">
        <v>0</v>
      </c>
      <c r="E27">
        <v>0</v>
      </c>
      <c r="F27">
        <v>30</v>
      </c>
      <c r="G27">
        <v>0</v>
      </c>
      <c r="H27">
        <v>0</v>
      </c>
      <c r="I27">
        <v>0</v>
      </c>
      <c r="J27">
        <v>30</v>
      </c>
      <c r="K27">
        <v>0</v>
      </c>
      <c r="L27">
        <v>0</v>
      </c>
      <c r="M27">
        <v>0</v>
      </c>
      <c r="N27">
        <v>30</v>
      </c>
      <c r="O27">
        <v>0</v>
      </c>
      <c r="P27">
        <v>0</v>
      </c>
      <c r="Q27">
        <v>0</v>
      </c>
      <c r="R27">
        <v>30</v>
      </c>
      <c r="S27">
        <v>0</v>
      </c>
      <c r="T27">
        <v>0</v>
      </c>
      <c r="U27">
        <v>0</v>
      </c>
      <c r="V27" t="s">
        <v>69</v>
      </c>
      <c r="W27">
        <v>30</v>
      </c>
      <c r="X27">
        <v>0</v>
      </c>
      <c r="Y27">
        <v>0</v>
      </c>
      <c r="Z27">
        <v>0</v>
      </c>
      <c r="AA27">
        <v>30</v>
      </c>
      <c r="AB27">
        <v>0</v>
      </c>
      <c r="AC27">
        <v>0</v>
      </c>
      <c r="AD27">
        <v>0</v>
      </c>
      <c r="AE27">
        <v>30</v>
      </c>
      <c r="AF27">
        <v>0</v>
      </c>
      <c r="AG27">
        <v>0</v>
      </c>
      <c r="AH27">
        <v>0</v>
      </c>
      <c r="AI27">
        <v>30</v>
      </c>
      <c r="AJ27">
        <v>0</v>
      </c>
      <c r="AK27">
        <v>0</v>
      </c>
      <c r="AL27">
        <v>0</v>
      </c>
      <c r="AM27">
        <v>30</v>
      </c>
      <c r="AN27">
        <v>0</v>
      </c>
      <c r="AO27">
        <v>0</v>
      </c>
      <c r="AP27">
        <v>0</v>
      </c>
      <c r="AQ27" t="s">
        <v>69</v>
      </c>
      <c r="AR27">
        <v>30</v>
      </c>
      <c r="AS27">
        <v>0</v>
      </c>
      <c r="AT27">
        <v>0</v>
      </c>
      <c r="AU27">
        <v>0</v>
      </c>
      <c r="AV27">
        <v>30</v>
      </c>
      <c r="AW27">
        <v>0</v>
      </c>
      <c r="AX27">
        <v>0</v>
      </c>
      <c r="AY27">
        <v>0</v>
      </c>
      <c r="AZ27">
        <v>30</v>
      </c>
      <c r="BA27">
        <v>0</v>
      </c>
      <c r="BB27">
        <v>0</v>
      </c>
      <c r="BC27">
        <v>0</v>
      </c>
      <c r="BD27">
        <v>30</v>
      </c>
      <c r="BE27">
        <v>0</v>
      </c>
      <c r="BF27">
        <v>0</v>
      </c>
      <c r="BG27">
        <v>0</v>
      </c>
      <c r="BH27">
        <v>30</v>
      </c>
      <c r="BI27">
        <v>0</v>
      </c>
      <c r="BJ27">
        <v>0</v>
      </c>
      <c r="BK27">
        <v>0</v>
      </c>
    </row>
    <row r="28" spans="1:63">
      <c r="A28" t="s">
        <v>71</v>
      </c>
      <c r="B28">
        <v>112</v>
      </c>
      <c r="C28">
        <v>0</v>
      </c>
      <c r="D28">
        <v>0</v>
      </c>
      <c r="E28">
        <v>0</v>
      </c>
      <c r="F28">
        <v>112</v>
      </c>
      <c r="G28">
        <v>0</v>
      </c>
      <c r="H28">
        <v>0</v>
      </c>
      <c r="I28">
        <v>0</v>
      </c>
      <c r="J28">
        <v>112</v>
      </c>
      <c r="K28">
        <v>0</v>
      </c>
      <c r="L28">
        <v>0</v>
      </c>
      <c r="M28">
        <v>0</v>
      </c>
      <c r="N28">
        <v>112</v>
      </c>
      <c r="O28">
        <v>0</v>
      </c>
      <c r="P28">
        <v>0</v>
      </c>
      <c r="Q28">
        <v>0</v>
      </c>
      <c r="R28">
        <v>112</v>
      </c>
      <c r="S28">
        <v>0</v>
      </c>
      <c r="T28">
        <v>0</v>
      </c>
      <c r="U28">
        <v>0</v>
      </c>
      <c r="V28" t="s">
        <v>71</v>
      </c>
      <c r="W28">
        <v>112</v>
      </c>
      <c r="X28">
        <v>0</v>
      </c>
      <c r="Y28">
        <v>0</v>
      </c>
      <c r="Z28">
        <v>0</v>
      </c>
      <c r="AA28">
        <v>112</v>
      </c>
      <c r="AB28">
        <v>0</v>
      </c>
      <c r="AC28">
        <v>0</v>
      </c>
      <c r="AD28">
        <v>0</v>
      </c>
      <c r="AE28">
        <v>112</v>
      </c>
      <c r="AF28">
        <v>0</v>
      </c>
      <c r="AG28">
        <v>0</v>
      </c>
      <c r="AH28">
        <v>0</v>
      </c>
      <c r="AI28">
        <v>112</v>
      </c>
      <c r="AJ28">
        <v>0</v>
      </c>
      <c r="AK28">
        <v>0</v>
      </c>
      <c r="AL28">
        <v>0</v>
      </c>
      <c r="AM28">
        <v>112</v>
      </c>
      <c r="AN28">
        <v>0</v>
      </c>
      <c r="AO28">
        <v>0</v>
      </c>
      <c r="AP28">
        <v>0</v>
      </c>
      <c r="AQ28" t="s">
        <v>71</v>
      </c>
      <c r="AR28">
        <v>112</v>
      </c>
      <c r="AS28">
        <v>0</v>
      </c>
      <c r="AT28">
        <v>0</v>
      </c>
      <c r="AU28">
        <v>0</v>
      </c>
      <c r="AV28">
        <v>112</v>
      </c>
      <c r="AW28">
        <v>0</v>
      </c>
      <c r="AX28">
        <v>0</v>
      </c>
      <c r="AY28">
        <v>0</v>
      </c>
      <c r="AZ28">
        <v>112</v>
      </c>
      <c r="BA28">
        <v>0</v>
      </c>
      <c r="BB28">
        <v>0</v>
      </c>
      <c r="BC28">
        <v>0</v>
      </c>
      <c r="BD28">
        <v>112</v>
      </c>
      <c r="BE28">
        <v>0</v>
      </c>
      <c r="BF28">
        <v>0</v>
      </c>
      <c r="BG28">
        <v>0</v>
      </c>
      <c r="BH28">
        <v>112</v>
      </c>
      <c r="BI28">
        <v>0</v>
      </c>
      <c r="BJ28">
        <v>0</v>
      </c>
      <c r="BK28">
        <v>0</v>
      </c>
    </row>
    <row r="29" spans="1:63">
      <c r="A29" t="s">
        <v>22</v>
      </c>
      <c r="B29">
        <v>44</v>
      </c>
      <c r="C29">
        <v>0</v>
      </c>
      <c r="D29">
        <v>0</v>
      </c>
      <c r="E29">
        <v>0</v>
      </c>
      <c r="F29">
        <v>44</v>
      </c>
      <c r="G29">
        <v>0</v>
      </c>
      <c r="H29">
        <v>0</v>
      </c>
      <c r="I29">
        <v>0</v>
      </c>
      <c r="J29">
        <v>44</v>
      </c>
      <c r="K29">
        <v>0</v>
      </c>
      <c r="L29">
        <v>0</v>
      </c>
      <c r="M29">
        <v>0</v>
      </c>
      <c r="N29">
        <v>44</v>
      </c>
      <c r="O29">
        <v>0</v>
      </c>
      <c r="P29">
        <v>0</v>
      </c>
      <c r="Q29">
        <v>0</v>
      </c>
      <c r="R29">
        <v>44</v>
      </c>
      <c r="S29">
        <v>0</v>
      </c>
      <c r="T29">
        <v>0</v>
      </c>
      <c r="U29">
        <v>0</v>
      </c>
      <c r="V29" t="s">
        <v>22</v>
      </c>
      <c r="W29">
        <v>44</v>
      </c>
      <c r="X29">
        <v>0</v>
      </c>
      <c r="Y29">
        <v>0</v>
      </c>
      <c r="Z29">
        <v>0</v>
      </c>
      <c r="AA29">
        <v>44</v>
      </c>
      <c r="AB29">
        <v>0</v>
      </c>
      <c r="AC29">
        <v>0</v>
      </c>
      <c r="AD29">
        <v>0</v>
      </c>
      <c r="AE29">
        <v>44</v>
      </c>
      <c r="AF29">
        <v>0</v>
      </c>
      <c r="AG29">
        <v>0</v>
      </c>
      <c r="AH29">
        <v>0</v>
      </c>
      <c r="AI29">
        <v>44</v>
      </c>
      <c r="AJ29">
        <v>0</v>
      </c>
      <c r="AK29">
        <v>0</v>
      </c>
      <c r="AL29">
        <v>0</v>
      </c>
      <c r="AM29">
        <v>44</v>
      </c>
      <c r="AN29">
        <v>0</v>
      </c>
      <c r="AO29">
        <v>0</v>
      </c>
      <c r="AP29">
        <v>0</v>
      </c>
      <c r="AQ29" t="s">
        <v>22</v>
      </c>
      <c r="AR29">
        <v>44</v>
      </c>
      <c r="AS29">
        <v>0</v>
      </c>
      <c r="AT29">
        <v>0</v>
      </c>
      <c r="AU29">
        <v>0</v>
      </c>
      <c r="AV29">
        <v>44</v>
      </c>
      <c r="AW29">
        <v>0</v>
      </c>
      <c r="AX29">
        <v>0</v>
      </c>
      <c r="AY29">
        <v>0</v>
      </c>
      <c r="AZ29">
        <v>44</v>
      </c>
      <c r="BA29">
        <v>0</v>
      </c>
      <c r="BB29">
        <v>0</v>
      </c>
      <c r="BC29">
        <v>0</v>
      </c>
      <c r="BD29">
        <v>44</v>
      </c>
      <c r="BE29">
        <v>0</v>
      </c>
      <c r="BF29">
        <v>0</v>
      </c>
      <c r="BG29">
        <v>0</v>
      </c>
      <c r="BH29">
        <v>44</v>
      </c>
      <c r="BI29">
        <v>0</v>
      </c>
      <c r="BJ29">
        <v>0</v>
      </c>
      <c r="BK29">
        <v>0</v>
      </c>
    </row>
    <row r="30" spans="1:63">
      <c r="A30" t="s">
        <v>94</v>
      </c>
      <c r="B30">
        <v>6</v>
      </c>
      <c r="C30">
        <v>0</v>
      </c>
      <c r="D30">
        <v>0</v>
      </c>
      <c r="E30">
        <v>0</v>
      </c>
      <c r="F30">
        <v>6</v>
      </c>
      <c r="G30">
        <v>0</v>
      </c>
      <c r="H30">
        <v>0</v>
      </c>
      <c r="I30">
        <v>0</v>
      </c>
      <c r="J30">
        <v>6</v>
      </c>
      <c r="K30">
        <v>0</v>
      </c>
      <c r="L30">
        <v>0</v>
      </c>
      <c r="M30">
        <v>0</v>
      </c>
      <c r="N30">
        <v>6</v>
      </c>
      <c r="O30">
        <v>0</v>
      </c>
      <c r="P30">
        <v>0</v>
      </c>
      <c r="Q30">
        <v>0</v>
      </c>
      <c r="R30">
        <v>6</v>
      </c>
      <c r="S30">
        <v>0</v>
      </c>
      <c r="T30">
        <v>0</v>
      </c>
      <c r="U30">
        <v>0</v>
      </c>
      <c r="V30" t="s">
        <v>94</v>
      </c>
      <c r="W30">
        <v>6</v>
      </c>
      <c r="X30">
        <v>0</v>
      </c>
      <c r="Y30">
        <v>0</v>
      </c>
      <c r="Z30">
        <v>0</v>
      </c>
      <c r="AA30">
        <v>6</v>
      </c>
      <c r="AB30">
        <v>0</v>
      </c>
      <c r="AC30">
        <v>0</v>
      </c>
      <c r="AD30">
        <v>0</v>
      </c>
      <c r="AE30">
        <v>6</v>
      </c>
      <c r="AF30">
        <v>0</v>
      </c>
      <c r="AG30">
        <v>0</v>
      </c>
      <c r="AH30">
        <v>0</v>
      </c>
      <c r="AI30">
        <v>6</v>
      </c>
      <c r="AJ30">
        <v>0</v>
      </c>
      <c r="AK30">
        <v>0</v>
      </c>
      <c r="AL30">
        <v>0</v>
      </c>
      <c r="AM30">
        <v>6</v>
      </c>
      <c r="AN30">
        <v>0</v>
      </c>
      <c r="AO30">
        <v>0</v>
      </c>
      <c r="AP30">
        <v>0</v>
      </c>
      <c r="AQ30" t="s">
        <v>94</v>
      </c>
      <c r="AR30">
        <v>6</v>
      </c>
      <c r="AS30">
        <v>0</v>
      </c>
      <c r="AT30">
        <v>0</v>
      </c>
      <c r="AU30">
        <v>0</v>
      </c>
      <c r="AV30">
        <v>6</v>
      </c>
      <c r="AW30">
        <v>0</v>
      </c>
      <c r="AX30">
        <v>0</v>
      </c>
      <c r="AY30">
        <v>0</v>
      </c>
      <c r="AZ30">
        <v>6</v>
      </c>
      <c r="BA30">
        <v>0</v>
      </c>
      <c r="BB30">
        <v>0</v>
      </c>
      <c r="BC30">
        <v>0</v>
      </c>
      <c r="BD30">
        <v>6</v>
      </c>
      <c r="BE30">
        <v>0</v>
      </c>
      <c r="BF30">
        <v>0</v>
      </c>
      <c r="BG30">
        <v>0</v>
      </c>
      <c r="BH30">
        <v>6</v>
      </c>
      <c r="BI30">
        <v>0</v>
      </c>
      <c r="BJ30">
        <v>0</v>
      </c>
      <c r="BK30">
        <v>0</v>
      </c>
    </row>
    <row r="31" spans="1:63">
      <c r="A31" t="s">
        <v>20</v>
      </c>
      <c r="B31">
        <v>112</v>
      </c>
      <c r="C31">
        <v>0</v>
      </c>
      <c r="D31">
        <v>0</v>
      </c>
      <c r="E31">
        <v>0</v>
      </c>
      <c r="F31">
        <v>112</v>
      </c>
      <c r="G31">
        <v>0</v>
      </c>
      <c r="H31">
        <v>0</v>
      </c>
      <c r="I31">
        <v>0</v>
      </c>
      <c r="J31">
        <v>112</v>
      </c>
      <c r="K31">
        <v>0</v>
      </c>
      <c r="L31">
        <v>0</v>
      </c>
      <c r="M31">
        <v>0</v>
      </c>
      <c r="N31">
        <v>112</v>
      </c>
      <c r="O31">
        <v>0</v>
      </c>
      <c r="P31">
        <v>0</v>
      </c>
      <c r="Q31">
        <v>0</v>
      </c>
      <c r="R31">
        <v>112</v>
      </c>
      <c r="S31">
        <v>0</v>
      </c>
      <c r="T31">
        <v>0</v>
      </c>
      <c r="U31">
        <v>0</v>
      </c>
      <c r="V31" t="s">
        <v>20</v>
      </c>
      <c r="W31">
        <v>112</v>
      </c>
      <c r="X31">
        <v>0</v>
      </c>
      <c r="Y31">
        <v>0</v>
      </c>
      <c r="Z31">
        <v>0</v>
      </c>
      <c r="AA31">
        <v>112</v>
      </c>
      <c r="AB31">
        <v>0</v>
      </c>
      <c r="AC31">
        <v>0</v>
      </c>
      <c r="AD31">
        <v>0</v>
      </c>
      <c r="AE31">
        <v>112</v>
      </c>
      <c r="AF31">
        <v>0</v>
      </c>
      <c r="AG31">
        <v>0</v>
      </c>
      <c r="AH31">
        <v>0</v>
      </c>
      <c r="AI31">
        <v>112</v>
      </c>
      <c r="AJ31">
        <v>0</v>
      </c>
      <c r="AK31">
        <v>0</v>
      </c>
      <c r="AL31">
        <v>0</v>
      </c>
      <c r="AM31">
        <v>112</v>
      </c>
      <c r="AN31">
        <v>0</v>
      </c>
      <c r="AO31">
        <v>0</v>
      </c>
      <c r="AP31">
        <v>0</v>
      </c>
      <c r="AQ31" t="s">
        <v>20</v>
      </c>
      <c r="AR31">
        <v>112</v>
      </c>
      <c r="AS31">
        <v>0</v>
      </c>
      <c r="AT31">
        <v>0</v>
      </c>
      <c r="AU31">
        <v>0</v>
      </c>
      <c r="AV31">
        <v>112</v>
      </c>
      <c r="AW31">
        <v>0</v>
      </c>
      <c r="AX31">
        <v>0</v>
      </c>
      <c r="AY31">
        <v>0</v>
      </c>
      <c r="AZ31">
        <v>112</v>
      </c>
      <c r="BA31">
        <v>0</v>
      </c>
      <c r="BB31">
        <v>0</v>
      </c>
      <c r="BC31">
        <v>0</v>
      </c>
      <c r="BD31">
        <v>112</v>
      </c>
      <c r="BE31">
        <v>0</v>
      </c>
      <c r="BF31">
        <v>0</v>
      </c>
      <c r="BG31">
        <v>0</v>
      </c>
      <c r="BH31">
        <v>112</v>
      </c>
      <c r="BI31">
        <v>0</v>
      </c>
      <c r="BJ31">
        <v>0</v>
      </c>
      <c r="BK31">
        <v>0</v>
      </c>
    </row>
    <row r="32" spans="1:63">
      <c r="A32" t="s">
        <v>24</v>
      </c>
      <c r="B32">
        <v>43</v>
      </c>
      <c r="C32">
        <v>0</v>
      </c>
      <c r="D32">
        <v>0</v>
      </c>
      <c r="E32">
        <v>0</v>
      </c>
      <c r="F32">
        <v>43</v>
      </c>
      <c r="G32">
        <v>0</v>
      </c>
      <c r="H32">
        <v>0</v>
      </c>
      <c r="I32">
        <v>0</v>
      </c>
      <c r="J32">
        <v>43</v>
      </c>
      <c r="K32">
        <v>0</v>
      </c>
      <c r="L32">
        <v>0</v>
      </c>
      <c r="M32">
        <v>0</v>
      </c>
      <c r="N32">
        <v>43</v>
      </c>
      <c r="O32">
        <v>0</v>
      </c>
      <c r="P32">
        <v>0</v>
      </c>
      <c r="Q32">
        <v>0</v>
      </c>
      <c r="R32">
        <v>43</v>
      </c>
      <c r="S32">
        <v>0</v>
      </c>
      <c r="T32">
        <v>0</v>
      </c>
      <c r="U32">
        <v>0</v>
      </c>
      <c r="V32" t="s">
        <v>24</v>
      </c>
      <c r="W32">
        <v>43</v>
      </c>
      <c r="X32">
        <v>0</v>
      </c>
      <c r="Y32">
        <v>0</v>
      </c>
      <c r="Z32">
        <v>0</v>
      </c>
      <c r="AA32">
        <v>43</v>
      </c>
      <c r="AB32">
        <v>0</v>
      </c>
      <c r="AC32">
        <v>0</v>
      </c>
      <c r="AD32">
        <v>0</v>
      </c>
      <c r="AE32">
        <v>43</v>
      </c>
      <c r="AF32">
        <v>0</v>
      </c>
      <c r="AG32">
        <v>0</v>
      </c>
      <c r="AH32">
        <v>0</v>
      </c>
      <c r="AI32">
        <v>43</v>
      </c>
      <c r="AJ32">
        <v>0</v>
      </c>
      <c r="AK32">
        <v>0</v>
      </c>
      <c r="AL32">
        <v>0</v>
      </c>
      <c r="AM32">
        <v>43</v>
      </c>
      <c r="AN32">
        <v>0</v>
      </c>
      <c r="AO32">
        <v>0</v>
      </c>
      <c r="AP32">
        <v>0</v>
      </c>
      <c r="AQ32" t="s">
        <v>24</v>
      </c>
      <c r="AR32">
        <v>43</v>
      </c>
      <c r="AS32">
        <v>0</v>
      </c>
      <c r="AT32">
        <v>0</v>
      </c>
      <c r="AU32">
        <v>0</v>
      </c>
      <c r="AV32">
        <v>43</v>
      </c>
      <c r="AW32">
        <v>0</v>
      </c>
      <c r="AX32">
        <v>0</v>
      </c>
      <c r="AY32">
        <v>0</v>
      </c>
      <c r="AZ32">
        <v>43</v>
      </c>
      <c r="BA32">
        <v>0</v>
      </c>
      <c r="BB32">
        <v>0</v>
      </c>
      <c r="BC32">
        <v>0</v>
      </c>
      <c r="BD32">
        <v>43</v>
      </c>
      <c r="BE32">
        <v>0</v>
      </c>
      <c r="BF32">
        <v>0</v>
      </c>
      <c r="BG32">
        <v>0</v>
      </c>
      <c r="BH32">
        <v>43</v>
      </c>
      <c r="BI32">
        <v>0</v>
      </c>
      <c r="BJ32">
        <v>0</v>
      </c>
      <c r="BK32">
        <v>0</v>
      </c>
    </row>
    <row r="33" spans="1:63">
      <c r="A33" t="s">
        <v>26</v>
      </c>
      <c r="B33">
        <v>4</v>
      </c>
      <c r="C33">
        <v>0</v>
      </c>
      <c r="D33">
        <v>0</v>
      </c>
      <c r="E33">
        <v>0</v>
      </c>
      <c r="F33">
        <v>4</v>
      </c>
      <c r="G33">
        <v>0</v>
      </c>
      <c r="H33">
        <v>0</v>
      </c>
      <c r="I33">
        <v>0</v>
      </c>
      <c r="J33">
        <v>4</v>
      </c>
      <c r="K33">
        <v>0</v>
      </c>
      <c r="L33">
        <v>0</v>
      </c>
      <c r="M33">
        <v>0</v>
      </c>
      <c r="N33">
        <v>4</v>
      </c>
      <c r="O33">
        <v>0</v>
      </c>
      <c r="P33">
        <v>0</v>
      </c>
      <c r="Q33">
        <v>0</v>
      </c>
      <c r="R33">
        <v>4</v>
      </c>
      <c r="S33">
        <v>0</v>
      </c>
      <c r="T33">
        <v>0</v>
      </c>
      <c r="U33">
        <v>0</v>
      </c>
      <c r="V33" t="s">
        <v>26</v>
      </c>
      <c r="W33">
        <v>4</v>
      </c>
      <c r="X33">
        <v>0</v>
      </c>
      <c r="Y33">
        <v>0</v>
      </c>
      <c r="Z33">
        <v>0</v>
      </c>
      <c r="AA33">
        <v>4</v>
      </c>
      <c r="AB33">
        <v>0</v>
      </c>
      <c r="AC33">
        <v>0</v>
      </c>
      <c r="AD33">
        <v>0</v>
      </c>
      <c r="AE33">
        <v>4</v>
      </c>
      <c r="AF33">
        <v>0</v>
      </c>
      <c r="AG33">
        <v>0</v>
      </c>
      <c r="AH33">
        <v>0</v>
      </c>
      <c r="AI33">
        <v>4</v>
      </c>
      <c r="AJ33">
        <v>0</v>
      </c>
      <c r="AK33">
        <v>0</v>
      </c>
      <c r="AL33">
        <v>0</v>
      </c>
      <c r="AM33">
        <v>4</v>
      </c>
      <c r="AN33">
        <v>0</v>
      </c>
      <c r="AO33">
        <v>0</v>
      </c>
      <c r="AP33">
        <v>0</v>
      </c>
      <c r="AQ33" t="s">
        <v>26</v>
      </c>
      <c r="AR33">
        <v>4</v>
      </c>
      <c r="AS33">
        <v>0</v>
      </c>
      <c r="AT33">
        <v>0</v>
      </c>
      <c r="AU33">
        <v>0</v>
      </c>
      <c r="AV33">
        <v>4</v>
      </c>
      <c r="AW33">
        <v>0</v>
      </c>
      <c r="AX33">
        <v>0</v>
      </c>
      <c r="AY33">
        <v>0</v>
      </c>
      <c r="AZ33">
        <v>4</v>
      </c>
      <c r="BA33">
        <v>0</v>
      </c>
      <c r="BB33">
        <v>0</v>
      </c>
      <c r="BC33">
        <v>0</v>
      </c>
      <c r="BD33">
        <v>4</v>
      </c>
      <c r="BE33">
        <v>0</v>
      </c>
      <c r="BF33">
        <v>0</v>
      </c>
      <c r="BG33">
        <v>0</v>
      </c>
      <c r="BH33">
        <v>4</v>
      </c>
      <c r="BI33">
        <v>0</v>
      </c>
      <c r="BJ33">
        <v>0</v>
      </c>
      <c r="BK33">
        <v>0</v>
      </c>
    </row>
    <row r="34" spans="1:63">
      <c r="A34" t="s">
        <v>104</v>
      </c>
      <c r="B34">
        <v>7</v>
      </c>
      <c r="C34">
        <v>0</v>
      </c>
      <c r="D34">
        <v>0</v>
      </c>
      <c r="E34">
        <v>0</v>
      </c>
      <c r="F34">
        <v>7</v>
      </c>
      <c r="G34">
        <v>0</v>
      </c>
      <c r="H34">
        <v>0</v>
      </c>
      <c r="I34">
        <v>0</v>
      </c>
      <c r="J34">
        <v>7</v>
      </c>
      <c r="K34">
        <v>0</v>
      </c>
      <c r="L34">
        <v>0</v>
      </c>
      <c r="M34">
        <v>0</v>
      </c>
      <c r="N34">
        <v>7</v>
      </c>
      <c r="O34">
        <v>0</v>
      </c>
      <c r="P34">
        <v>0</v>
      </c>
      <c r="Q34">
        <v>0</v>
      </c>
      <c r="R34">
        <v>7</v>
      </c>
      <c r="S34">
        <v>0</v>
      </c>
      <c r="T34">
        <v>0</v>
      </c>
      <c r="U34">
        <v>0</v>
      </c>
      <c r="V34" t="s">
        <v>104</v>
      </c>
      <c r="W34">
        <v>7</v>
      </c>
      <c r="X34">
        <v>0</v>
      </c>
      <c r="Y34">
        <v>0</v>
      </c>
      <c r="Z34">
        <v>0</v>
      </c>
      <c r="AA34">
        <v>7</v>
      </c>
      <c r="AB34">
        <v>0</v>
      </c>
      <c r="AC34">
        <v>0</v>
      </c>
      <c r="AD34">
        <v>0</v>
      </c>
      <c r="AE34">
        <v>7</v>
      </c>
      <c r="AF34">
        <v>0</v>
      </c>
      <c r="AG34">
        <v>0</v>
      </c>
      <c r="AH34">
        <v>0</v>
      </c>
      <c r="AI34">
        <v>7</v>
      </c>
      <c r="AJ34">
        <v>0</v>
      </c>
      <c r="AK34">
        <v>0</v>
      </c>
      <c r="AL34">
        <v>0</v>
      </c>
      <c r="AM34">
        <v>7</v>
      </c>
      <c r="AN34">
        <v>0</v>
      </c>
      <c r="AO34">
        <v>0</v>
      </c>
      <c r="AP34">
        <v>0</v>
      </c>
      <c r="AQ34" t="s">
        <v>104</v>
      </c>
      <c r="AR34">
        <v>7</v>
      </c>
      <c r="AS34">
        <v>0</v>
      </c>
      <c r="AT34">
        <v>0</v>
      </c>
      <c r="AU34">
        <v>0</v>
      </c>
      <c r="AV34">
        <v>7</v>
      </c>
      <c r="AW34">
        <v>0</v>
      </c>
      <c r="AX34">
        <v>0</v>
      </c>
      <c r="AY34">
        <v>0</v>
      </c>
      <c r="AZ34">
        <v>7</v>
      </c>
      <c r="BA34">
        <v>0</v>
      </c>
      <c r="BB34">
        <v>0</v>
      </c>
      <c r="BC34">
        <v>0</v>
      </c>
      <c r="BD34">
        <v>7</v>
      </c>
      <c r="BE34">
        <v>0</v>
      </c>
      <c r="BF34">
        <v>0</v>
      </c>
      <c r="BG34">
        <v>0</v>
      </c>
      <c r="BH34">
        <v>7</v>
      </c>
      <c r="BI34">
        <v>0</v>
      </c>
      <c r="BJ34">
        <v>0</v>
      </c>
      <c r="BK34">
        <v>0</v>
      </c>
    </row>
    <row r="35" spans="1:63">
      <c r="A35" t="s">
        <v>16</v>
      </c>
      <c r="B35">
        <v>88</v>
      </c>
      <c r="C35">
        <v>0</v>
      </c>
      <c r="D35">
        <v>0</v>
      </c>
      <c r="E35">
        <v>0</v>
      </c>
      <c r="F35">
        <v>88</v>
      </c>
      <c r="G35">
        <v>0</v>
      </c>
      <c r="H35">
        <v>0</v>
      </c>
      <c r="I35">
        <v>0</v>
      </c>
      <c r="J35">
        <v>88</v>
      </c>
      <c r="K35">
        <v>0</v>
      </c>
      <c r="L35">
        <v>0</v>
      </c>
      <c r="M35">
        <v>0</v>
      </c>
      <c r="N35">
        <v>88</v>
      </c>
      <c r="O35">
        <v>0</v>
      </c>
      <c r="P35">
        <v>0</v>
      </c>
      <c r="Q35">
        <v>0</v>
      </c>
      <c r="R35">
        <v>88</v>
      </c>
      <c r="S35">
        <v>0</v>
      </c>
      <c r="T35">
        <v>0</v>
      </c>
      <c r="U35">
        <v>0</v>
      </c>
      <c r="V35" t="s">
        <v>16</v>
      </c>
      <c r="W35">
        <v>88</v>
      </c>
      <c r="X35">
        <v>0</v>
      </c>
      <c r="Y35">
        <v>0</v>
      </c>
      <c r="Z35">
        <v>0</v>
      </c>
      <c r="AA35">
        <v>88</v>
      </c>
      <c r="AB35">
        <v>0</v>
      </c>
      <c r="AC35">
        <v>0</v>
      </c>
      <c r="AD35">
        <v>0</v>
      </c>
      <c r="AE35">
        <v>88</v>
      </c>
      <c r="AF35">
        <v>0</v>
      </c>
      <c r="AG35">
        <v>0</v>
      </c>
      <c r="AH35">
        <v>0</v>
      </c>
      <c r="AI35">
        <v>88</v>
      </c>
      <c r="AJ35">
        <v>0</v>
      </c>
      <c r="AK35">
        <v>0</v>
      </c>
      <c r="AL35">
        <v>0</v>
      </c>
      <c r="AM35">
        <v>88</v>
      </c>
      <c r="AN35">
        <v>0</v>
      </c>
      <c r="AO35">
        <v>0</v>
      </c>
      <c r="AP35">
        <v>0</v>
      </c>
      <c r="AQ35" t="s">
        <v>16</v>
      </c>
      <c r="AR35">
        <v>88</v>
      </c>
      <c r="AS35">
        <v>0</v>
      </c>
      <c r="AT35">
        <v>0</v>
      </c>
      <c r="AU35">
        <v>0</v>
      </c>
      <c r="AV35">
        <v>88</v>
      </c>
      <c r="AW35">
        <v>0</v>
      </c>
      <c r="AX35">
        <v>0</v>
      </c>
      <c r="AY35">
        <v>0</v>
      </c>
      <c r="AZ35">
        <v>88</v>
      </c>
      <c r="BA35">
        <v>0</v>
      </c>
      <c r="BB35">
        <v>0</v>
      </c>
      <c r="BC35">
        <v>0</v>
      </c>
      <c r="BD35">
        <v>88</v>
      </c>
      <c r="BE35">
        <v>0</v>
      </c>
      <c r="BF35">
        <v>0</v>
      </c>
      <c r="BG35">
        <v>0</v>
      </c>
      <c r="BH35">
        <v>88</v>
      </c>
      <c r="BI35">
        <v>0</v>
      </c>
      <c r="BJ35">
        <v>0</v>
      </c>
      <c r="BK35">
        <v>0</v>
      </c>
    </row>
    <row r="36" spans="1:63">
      <c r="A36" t="s">
        <v>91</v>
      </c>
      <c r="B36">
        <v>65</v>
      </c>
      <c r="C36">
        <v>6</v>
      </c>
      <c r="D36">
        <v>0</v>
      </c>
      <c r="E36">
        <v>0</v>
      </c>
      <c r="F36">
        <v>65</v>
      </c>
      <c r="G36">
        <v>6</v>
      </c>
      <c r="H36">
        <v>0</v>
      </c>
      <c r="I36">
        <v>0</v>
      </c>
      <c r="J36">
        <v>71</v>
      </c>
      <c r="K36">
        <v>0</v>
      </c>
      <c r="L36">
        <v>0</v>
      </c>
      <c r="M36">
        <v>0</v>
      </c>
      <c r="N36">
        <v>65</v>
      </c>
      <c r="O36">
        <v>0</v>
      </c>
      <c r="P36">
        <v>6</v>
      </c>
      <c r="Q36">
        <v>0</v>
      </c>
      <c r="R36">
        <v>71</v>
      </c>
      <c r="S36">
        <v>0</v>
      </c>
      <c r="T36">
        <v>0</v>
      </c>
      <c r="U36">
        <v>0</v>
      </c>
      <c r="V36" t="s">
        <v>91</v>
      </c>
      <c r="W36">
        <v>65</v>
      </c>
      <c r="X36">
        <v>6</v>
      </c>
      <c r="Y36">
        <v>0</v>
      </c>
      <c r="Z36">
        <v>0</v>
      </c>
      <c r="AA36">
        <v>65</v>
      </c>
      <c r="AB36">
        <v>6</v>
      </c>
      <c r="AC36">
        <v>0</v>
      </c>
      <c r="AD36">
        <v>0</v>
      </c>
      <c r="AE36">
        <v>71</v>
      </c>
      <c r="AF36">
        <v>0</v>
      </c>
      <c r="AG36">
        <v>0</v>
      </c>
      <c r="AH36">
        <v>0</v>
      </c>
      <c r="AI36">
        <v>65</v>
      </c>
      <c r="AJ36">
        <v>0</v>
      </c>
      <c r="AK36">
        <v>6</v>
      </c>
      <c r="AL36">
        <v>0</v>
      </c>
      <c r="AM36">
        <v>71</v>
      </c>
      <c r="AN36">
        <v>0</v>
      </c>
      <c r="AO36">
        <v>0</v>
      </c>
      <c r="AP36">
        <v>0</v>
      </c>
      <c r="AQ36" t="s">
        <v>91</v>
      </c>
      <c r="AR36">
        <v>65</v>
      </c>
      <c r="AS36">
        <v>6</v>
      </c>
      <c r="AT36">
        <v>0</v>
      </c>
      <c r="AU36">
        <v>0</v>
      </c>
      <c r="AV36">
        <v>65</v>
      </c>
      <c r="AW36">
        <v>6</v>
      </c>
      <c r="AX36">
        <v>0</v>
      </c>
      <c r="AY36">
        <v>0</v>
      </c>
      <c r="AZ36">
        <v>71</v>
      </c>
      <c r="BA36">
        <v>0</v>
      </c>
      <c r="BB36">
        <v>0</v>
      </c>
      <c r="BC36">
        <v>0</v>
      </c>
      <c r="BD36">
        <v>65</v>
      </c>
      <c r="BE36">
        <v>0</v>
      </c>
      <c r="BF36">
        <v>6</v>
      </c>
      <c r="BG36">
        <v>0</v>
      </c>
      <c r="BH36">
        <v>71</v>
      </c>
      <c r="BI36">
        <v>0</v>
      </c>
      <c r="BJ36">
        <v>0</v>
      </c>
      <c r="BK36">
        <v>0</v>
      </c>
    </row>
    <row r="37" spans="1:63">
      <c r="A37" t="s">
        <v>64</v>
      </c>
      <c r="B37">
        <v>336</v>
      </c>
      <c r="C37">
        <v>0</v>
      </c>
      <c r="D37">
        <v>0</v>
      </c>
      <c r="E37">
        <v>0</v>
      </c>
      <c r="F37">
        <v>336</v>
      </c>
      <c r="G37">
        <v>0</v>
      </c>
      <c r="H37">
        <v>0</v>
      </c>
      <c r="I37">
        <v>0</v>
      </c>
      <c r="J37">
        <v>336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336</v>
      </c>
      <c r="S37">
        <v>0</v>
      </c>
      <c r="T37">
        <v>0</v>
      </c>
      <c r="U37">
        <v>0</v>
      </c>
      <c r="V37" t="s">
        <v>64</v>
      </c>
      <c r="W37">
        <v>336</v>
      </c>
      <c r="X37">
        <v>0</v>
      </c>
      <c r="Y37">
        <v>0</v>
      </c>
      <c r="Z37">
        <v>0</v>
      </c>
      <c r="AA37">
        <v>336</v>
      </c>
      <c r="AB37">
        <v>0</v>
      </c>
      <c r="AC37">
        <v>0</v>
      </c>
      <c r="AD37">
        <v>0</v>
      </c>
      <c r="AE37">
        <v>336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336</v>
      </c>
      <c r="AN37">
        <v>0</v>
      </c>
      <c r="AO37">
        <v>0</v>
      </c>
      <c r="AP37">
        <v>0</v>
      </c>
      <c r="AQ37" t="s">
        <v>64</v>
      </c>
      <c r="AR37">
        <v>336</v>
      </c>
      <c r="AS37">
        <v>0</v>
      </c>
      <c r="AT37">
        <v>0</v>
      </c>
      <c r="AU37">
        <v>0</v>
      </c>
      <c r="AV37">
        <v>336</v>
      </c>
      <c r="AW37">
        <v>0</v>
      </c>
      <c r="AX37">
        <v>0</v>
      </c>
      <c r="AY37">
        <v>0</v>
      </c>
      <c r="AZ37">
        <v>336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336</v>
      </c>
      <c r="BI37">
        <v>0</v>
      </c>
      <c r="BJ37">
        <v>0</v>
      </c>
      <c r="BK37">
        <v>0</v>
      </c>
    </row>
    <row r="38" spans="1:63">
      <c r="A38" t="s">
        <v>25</v>
      </c>
      <c r="B38">
        <v>152</v>
      </c>
      <c r="C38">
        <v>2</v>
      </c>
      <c r="D38">
        <v>0</v>
      </c>
      <c r="E38">
        <v>0</v>
      </c>
      <c r="F38">
        <v>152</v>
      </c>
      <c r="G38">
        <v>2</v>
      </c>
      <c r="H38">
        <v>0</v>
      </c>
      <c r="I38">
        <v>0</v>
      </c>
      <c r="J38">
        <v>167</v>
      </c>
      <c r="K38">
        <v>1</v>
      </c>
      <c r="L38">
        <v>0</v>
      </c>
      <c r="M38">
        <v>0</v>
      </c>
      <c r="N38">
        <v>141</v>
      </c>
      <c r="O38">
        <v>0</v>
      </c>
      <c r="P38">
        <v>1</v>
      </c>
      <c r="Q38">
        <v>1</v>
      </c>
      <c r="R38">
        <v>153</v>
      </c>
      <c r="S38">
        <v>1</v>
      </c>
      <c r="T38">
        <v>0</v>
      </c>
      <c r="U38">
        <v>0</v>
      </c>
      <c r="V38" t="s">
        <v>25</v>
      </c>
      <c r="W38">
        <v>152</v>
      </c>
      <c r="X38">
        <v>2</v>
      </c>
      <c r="Y38">
        <v>0</v>
      </c>
      <c r="Z38">
        <v>0</v>
      </c>
      <c r="AA38">
        <v>152</v>
      </c>
      <c r="AB38">
        <v>2</v>
      </c>
      <c r="AC38">
        <v>0</v>
      </c>
      <c r="AD38">
        <v>0</v>
      </c>
      <c r="AE38">
        <v>167</v>
      </c>
      <c r="AF38">
        <v>1</v>
      </c>
      <c r="AG38">
        <v>0</v>
      </c>
      <c r="AH38">
        <v>0</v>
      </c>
      <c r="AI38">
        <v>141</v>
      </c>
      <c r="AJ38">
        <v>0</v>
      </c>
      <c r="AK38">
        <v>1</v>
      </c>
      <c r="AL38">
        <v>1</v>
      </c>
      <c r="AM38">
        <v>153</v>
      </c>
      <c r="AN38">
        <v>1</v>
      </c>
      <c r="AO38">
        <v>0</v>
      </c>
      <c r="AP38">
        <v>0</v>
      </c>
      <c r="AQ38" t="s">
        <v>25</v>
      </c>
      <c r="AR38">
        <v>152</v>
      </c>
      <c r="AS38">
        <v>2</v>
      </c>
      <c r="AT38">
        <v>0</v>
      </c>
      <c r="AU38">
        <v>0</v>
      </c>
      <c r="AV38">
        <v>152</v>
      </c>
      <c r="AW38">
        <v>2</v>
      </c>
      <c r="AX38">
        <v>0</v>
      </c>
      <c r="AY38">
        <v>0</v>
      </c>
      <c r="AZ38">
        <v>168</v>
      </c>
      <c r="BA38">
        <v>0</v>
      </c>
      <c r="BB38">
        <v>0</v>
      </c>
      <c r="BC38">
        <v>0</v>
      </c>
      <c r="BD38">
        <v>141</v>
      </c>
      <c r="BE38">
        <v>0</v>
      </c>
      <c r="BF38">
        <v>2</v>
      </c>
      <c r="BG38">
        <v>0</v>
      </c>
      <c r="BH38">
        <v>154</v>
      </c>
      <c r="BI38">
        <v>0</v>
      </c>
      <c r="BJ38">
        <v>0</v>
      </c>
      <c r="BK38">
        <v>0</v>
      </c>
    </row>
    <row r="39" spans="1:63">
      <c r="A39" t="s">
        <v>36</v>
      </c>
      <c r="B39">
        <v>102</v>
      </c>
      <c r="C39">
        <v>15</v>
      </c>
      <c r="D39">
        <v>0</v>
      </c>
      <c r="E39">
        <v>0</v>
      </c>
      <c r="F39">
        <v>102</v>
      </c>
      <c r="G39">
        <v>15</v>
      </c>
      <c r="H39">
        <v>0</v>
      </c>
      <c r="I39">
        <v>0</v>
      </c>
      <c r="J39">
        <v>121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117</v>
      </c>
      <c r="S39">
        <v>0</v>
      </c>
      <c r="T39">
        <v>0</v>
      </c>
      <c r="U39">
        <v>0</v>
      </c>
      <c r="V39" t="s">
        <v>36</v>
      </c>
      <c r="W39">
        <v>102</v>
      </c>
      <c r="X39">
        <v>15</v>
      </c>
      <c r="Y39">
        <v>0</v>
      </c>
      <c r="Z39">
        <v>0</v>
      </c>
      <c r="AA39">
        <v>102</v>
      </c>
      <c r="AB39">
        <v>15</v>
      </c>
      <c r="AC39">
        <v>0</v>
      </c>
      <c r="AD39">
        <v>0</v>
      </c>
      <c r="AE39">
        <v>121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117</v>
      </c>
      <c r="AN39">
        <v>0</v>
      </c>
      <c r="AO39">
        <v>0</v>
      </c>
      <c r="AP39">
        <v>0</v>
      </c>
      <c r="AQ39" t="s">
        <v>36</v>
      </c>
      <c r="AR39">
        <v>102</v>
      </c>
      <c r="AS39">
        <v>15</v>
      </c>
      <c r="AT39">
        <v>0</v>
      </c>
      <c r="AU39">
        <v>0</v>
      </c>
      <c r="AV39">
        <v>102</v>
      </c>
      <c r="AW39">
        <v>15</v>
      </c>
      <c r="AX39">
        <v>0</v>
      </c>
      <c r="AY39">
        <v>0</v>
      </c>
      <c r="AZ39">
        <v>121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117</v>
      </c>
      <c r="BI39">
        <v>0</v>
      </c>
      <c r="BJ39">
        <v>0</v>
      </c>
      <c r="BK39">
        <v>0</v>
      </c>
    </row>
    <row r="40" spans="1:63">
      <c r="A40" t="s">
        <v>100</v>
      </c>
      <c r="B40">
        <v>142</v>
      </c>
      <c r="C40">
        <v>32</v>
      </c>
      <c r="D40">
        <v>0</v>
      </c>
      <c r="E40">
        <v>0</v>
      </c>
      <c r="F40">
        <v>142</v>
      </c>
      <c r="G40">
        <v>32</v>
      </c>
      <c r="H40">
        <v>0</v>
      </c>
      <c r="I40">
        <v>0</v>
      </c>
      <c r="J40">
        <v>174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174</v>
      </c>
      <c r="S40">
        <v>0</v>
      </c>
      <c r="T40">
        <v>0</v>
      </c>
      <c r="U40">
        <v>0</v>
      </c>
      <c r="V40" t="s">
        <v>100</v>
      </c>
      <c r="W40">
        <v>142</v>
      </c>
      <c r="X40">
        <v>32</v>
      </c>
      <c r="Y40">
        <v>0</v>
      </c>
      <c r="Z40">
        <v>0</v>
      </c>
      <c r="AA40">
        <v>142</v>
      </c>
      <c r="AB40">
        <v>32</v>
      </c>
      <c r="AC40">
        <v>0</v>
      </c>
      <c r="AD40">
        <v>0</v>
      </c>
      <c r="AE40">
        <v>174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174</v>
      </c>
      <c r="AN40">
        <v>0</v>
      </c>
      <c r="AO40">
        <v>0</v>
      </c>
      <c r="AP40">
        <v>0</v>
      </c>
      <c r="AQ40" t="s">
        <v>100</v>
      </c>
      <c r="AR40">
        <v>142</v>
      </c>
      <c r="AS40">
        <v>32</v>
      </c>
      <c r="AT40">
        <v>0</v>
      </c>
      <c r="AU40">
        <v>0</v>
      </c>
      <c r="AV40">
        <v>142</v>
      </c>
      <c r="AW40">
        <v>32</v>
      </c>
      <c r="AX40">
        <v>0</v>
      </c>
      <c r="AY40">
        <v>0</v>
      </c>
      <c r="AZ40">
        <v>174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174</v>
      </c>
      <c r="BI40">
        <v>0</v>
      </c>
      <c r="BJ40">
        <v>0</v>
      </c>
      <c r="BK40">
        <v>0</v>
      </c>
    </row>
    <row r="41" spans="1:63">
      <c r="A41" t="s">
        <v>66</v>
      </c>
      <c r="B41">
        <v>128</v>
      </c>
      <c r="C41">
        <v>15</v>
      </c>
      <c r="D41">
        <v>0</v>
      </c>
      <c r="E41">
        <v>0</v>
      </c>
      <c r="F41">
        <v>128</v>
      </c>
      <c r="G41">
        <v>15</v>
      </c>
      <c r="H41">
        <v>0</v>
      </c>
      <c r="I41">
        <v>0</v>
      </c>
      <c r="J41">
        <v>146</v>
      </c>
      <c r="K41">
        <v>2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141</v>
      </c>
      <c r="S41">
        <v>2</v>
      </c>
      <c r="T41">
        <v>0</v>
      </c>
      <c r="U41">
        <v>0</v>
      </c>
      <c r="V41" t="s">
        <v>66</v>
      </c>
      <c r="W41">
        <v>128</v>
      </c>
      <c r="X41">
        <v>15</v>
      </c>
      <c r="Y41">
        <v>0</v>
      </c>
      <c r="Z41">
        <v>0</v>
      </c>
      <c r="AA41">
        <v>128</v>
      </c>
      <c r="AB41">
        <v>15</v>
      </c>
      <c r="AC41">
        <v>0</v>
      </c>
      <c r="AD41">
        <v>0</v>
      </c>
      <c r="AE41">
        <v>146</v>
      </c>
      <c r="AF41">
        <v>2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141</v>
      </c>
      <c r="AN41">
        <v>2</v>
      </c>
      <c r="AO41">
        <v>0</v>
      </c>
      <c r="AP41">
        <v>0</v>
      </c>
      <c r="AQ41" t="s">
        <v>66</v>
      </c>
      <c r="AR41">
        <v>128</v>
      </c>
      <c r="AS41">
        <v>15</v>
      </c>
      <c r="AT41">
        <v>0</v>
      </c>
      <c r="AU41">
        <v>0</v>
      </c>
      <c r="AV41">
        <v>128</v>
      </c>
      <c r="AW41">
        <v>15</v>
      </c>
      <c r="AX41">
        <v>0</v>
      </c>
      <c r="AY41">
        <v>0</v>
      </c>
      <c r="AZ41">
        <v>148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143</v>
      </c>
      <c r="BI41">
        <v>0</v>
      </c>
      <c r="BJ41">
        <v>0</v>
      </c>
      <c r="BK41">
        <v>0</v>
      </c>
    </row>
    <row r="42" spans="1:63">
      <c r="A42" t="s">
        <v>60</v>
      </c>
      <c r="B42">
        <v>116</v>
      </c>
      <c r="C42">
        <v>13</v>
      </c>
      <c r="D42">
        <v>0</v>
      </c>
      <c r="E42">
        <v>0</v>
      </c>
      <c r="F42">
        <v>116</v>
      </c>
      <c r="G42">
        <v>13</v>
      </c>
      <c r="H42">
        <v>0</v>
      </c>
      <c r="I42">
        <v>0</v>
      </c>
      <c r="J42">
        <v>129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129</v>
      </c>
      <c r="S42">
        <v>0</v>
      </c>
      <c r="T42">
        <v>0</v>
      </c>
      <c r="U42">
        <v>0</v>
      </c>
      <c r="V42" t="s">
        <v>60</v>
      </c>
      <c r="W42">
        <v>116</v>
      </c>
      <c r="X42">
        <v>13</v>
      </c>
      <c r="Y42">
        <v>0</v>
      </c>
      <c r="Z42">
        <v>0</v>
      </c>
      <c r="AA42">
        <v>116</v>
      </c>
      <c r="AB42">
        <v>13</v>
      </c>
      <c r="AC42">
        <v>0</v>
      </c>
      <c r="AD42">
        <v>0</v>
      </c>
      <c r="AE42">
        <v>129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129</v>
      </c>
      <c r="AN42">
        <v>0</v>
      </c>
      <c r="AO42">
        <v>0</v>
      </c>
      <c r="AP42">
        <v>0</v>
      </c>
      <c r="AQ42" t="s">
        <v>60</v>
      </c>
      <c r="AR42">
        <v>116</v>
      </c>
      <c r="AS42">
        <v>13</v>
      </c>
      <c r="AT42">
        <v>0</v>
      </c>
      <c r="AU42">
        <v>0</v>
      </c>
      <c r="AV42">
        <v>116</v>
      </c>
      <c r="AW42">
        <v>13</v>
      </c>
      <c r="AX42">
        <v>0</v>
      </c>
      <c r="AY42">
        <v>0</v>
      </c>
      <c r="AZ42">
        <v>129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129</v>
      </c>
      <c r="BI42">
        <v>0</v>
      </c>
      <c r="BJ42">
        <v>0</v>
      </c>
      <c r="BK42">
        <v>0</v>
      </c>
    </row>
    <row r="43" spans="1:63">
      <c r="A43" t="s">
        <v>12</v>
      </c>
      <c r="B43">
        <v>43</v>
      </c>
      <c r="C43">
        <v>0</v>
      </c>
      <c r="D43">
        <v>0</v>
      </c>
      <c r="E43">
        <v>0</v>
      </c>
      <c r="F43">
        <v>43</v>
      </c>
      <c r="G43">
        <v>0</v>
      </c>
      <c r="H43">
        <v>0</v>
      </c>
      <c r="I43">
        <v>0</v>
      </c>
      <c r="J43">
        <v>43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43</v>
      </c>
      <c r="S43">
        <v>0</v>
      </c>
      <c r="T43">
        <v>0</v>
      </c>
      <c r="U43">
        <v>0</v>
      </c>
      <c r="V43" t="s">
        <v>12</v>
      </c>
      <c r="W43">
        <v>43</v>
      </c>
      <c r="X43">
        <v>0</v>
      </c>
      <c r="Y43">
        <v>0</v>
      </c>
      <c r="Z43">
        <v>0</v>
      </c>
      <c r="AA43">
        <v>43</v>
      </c>
      <c r="AB43">
        <v>0</v>
      </c>
      <c r="AC43">
        <v>0</v>
      </c>
      <c r="AD43">
        <v>0</v>
      </c>
      <c r="AE43">
        <v>43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43</v>
      </c>
      <c r="AN43">
        <v>0</v>
      </c>
      <c r="AO43">
        <v>0</v>
      </c>
      <c r="AP43">
        <v>0</v>
      </c>
      <c r="AQ43" t="s">
        <v>12</v>
      </c>
      <c r="AR43">
        <v>43</v>
      </c>
      <c r="AS43">
        <v>0</v>
      </c>
      <c r="AT43">
        <v>0</v>
      </c>
      <c r="AU43">
        <v>0</v>
      </c>
      <c r="AV43">
        <v>43</v>
      </c>
      <c r="AW43">
        <v>0</v>
      </c>
      <c r="AX43">
        <v>0</v>
      </c>
      <c r="AY43">
        <v>0</v>
      </c>
      <c r="AZ43">
        <v>43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43</v>
      </c>
      <c r="BI43">
        <v>0</v>
      </c>
      <c r="BJ43">
        <v>0</v>
      </c>
      <c r="BK43">
        <v>0</v>
      </c>
    </row>
    <row r="44" spans="1:63">
      <c r="A44" t="s">
        <v>21</v>
      </c>
      <c r="B44">
        <v>137</v>
      </c>
      <c r="C44">
        <v>2</v>
      </c>
      <c r="D44">
        <v>0</v>
      </c>
      <c r="E44">
        <v>0</v>
      </c>
      <c r="F44">
        <v>137</v>
      </c>
      <c r="G44">
        <v>2</v>
      </c>
      <c r="H44">
        <v>0</v>
      </c>
      <c r="I44">
        <v>0</v>
      </c>
      <c r="J44">
        <v>139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139</v>
      </c>
      <c r="S44">
        <v>0</v>
      </c>
      <c r="T44">
        <v>0</v>
      </c>
      <c r="U44">
        <v>0</v>
      </c>
      <c r="V44" t="s">
        <v>21</v>
      </c>
      <c r="W44">
        <v>137</v>
      </c>
      <c r="X44">
        <v>2</v>
      </c>
      <c r="Y44">
        <v>0</v>
      </c>
      <c r="Z44">
        <v>0</v>
      </c>
      <c r="AA44">
        <v>137</v>
      </c>
      <c r="AB44">
        <v>2</v>
      </c>
      <c r="AC44">
        <v>0</v>
      </c>
      <c r="AD44">
        <v>0</v>
      </c>
      <c r="AE44">
        <v>139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139</v>
      </c>
      <c r="AN44">
        <v>0</v>
      </c>
      <c r="AO44">
        <v>0</v>
      </c>
      <c r="AP44">
        <v>0</v>
      </c>
      <c r="AQ44" t="s">
        <v>21</v>
      </c>
      <c r="AR44">
        <v>137</v>
      </c>
      <c r="AS44">
        <v>2</v>
      </c>
      <c r="AT44">
        <v>0</v>
      </c>
      <c r="AU44">
        <v>0</v>
      </c>
      <c r="AV44">
        <v>137</v>
      </c>
      <c r="AW44">
        <v>2</v>
      </c>
      <c r="AX44">
        <v>0</v>
      </c>
      <c r="AY44">
        <v>0</v>
      </c>
      <c r="AZ44">
        <v>139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139</v>
      </c>
      <c r="BI44">
        <v>0</v>
      </c>
      <c r="BJ44">
        <v>0</v>
      </c>
      <c r="BK44">
        <v>0</v>
      </c>
    </row>
    <row r="45" spans="1:63">
      <c r="A45" t="s">
        <v>44</v>
      </c>
      <c r="B45">
        <v>50</v>
      </c>
      <c r="C45">
        <v>12</v>
      </c>
      <c r="D45">
        <v>0</v>
      </c>
      <c r="E45">
        <v>0</v>
      </c>
      <c r="F45">
        <v>50</v>
      </c>
      <c r="G45">
        <v>12</v>
      </c>
      <c r="H45">
        <v>0</v>
      </c>
      <c r="I45">
        <v>0</v>
      </c>
      <c r="J45">
        <v>62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62</v>
      </c>
      <c r="S45">
        <v>0</v>
      </c>
      <c r="T45">
        <v>0</v>
      </c>
      <c r="U45">
        <v>0</v>
      </c>
      <c r="V45" t="s">
        <v>44</v>
      </c>
      <c r="W45">
        <v>50</v>
      </c>
      <c r="X45">
        <v>12</v>
      </c>
      <c r="Y45">
        <v>0</v>
      </c>
      <c r="Z45">
        <v>0</v>
      </c>
      <c r="AA45">
        <v>50</v>
      </c>
      <c r="AB45">
        <v>12</v>
      </c>
      <c r="AC45">
        <v>0</v>
      </c>
      <c r="AD45">
        <v>0</v>
      </c>
      <c r="AE45">
        <v>62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62</v>
      </c>
      <c r="AN45">
        <v>0</v>
      </c>
      <c r="AO45">
        <v>0</v>
      </c>
      <c r="AP45">
        <v>0</v>
      </c>
      <c r="AQ45" t="s">
        <v>44</v>
      </c>
      <c r="AR45">
        <v>50</v>
      </c>
      <c r="AS45">
        <v>12</v>
      </c>
      <c r="AT45">
        <v>0</v>
      </c>
      <c r="AU45">
        <v>0</v>
      </c>
      <c r="AV45">
        <v>50</v>
      </c>
      <c r="AW45">
        <v>12</v>
      </c>
      <c r="AX45">
        <v>0</v>
      </c>
      <c r="AY45">
        <v>0</v>
      </c>
      <c r="AZ45">
        <v>62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62</v>
      </c>
      <c r="BI45">
        <v>0</v>
      </c>
      <c r="BJ45">
        <v>0</v>
      </c>
      <c r="BK45">
        <v>0</v>
      </c>
    </row>
    <row r="46" spans="1:63">
      <c r="A46" t="s">
        <v>5</v>
      </c>
      <c r="B46">
        <v>30</v>
      </c>
      <c r="C46">
        <v>0</v>
      </c>
      <c r="D46">
        <v>0</v>
      </c>
      <c r="E46">
        <v>0</v>
      </c>
      <c r="F46">
        <v>30</v>
      </c>
      <c r="G46">
        <v>0</v>
      </c>
      <c r="H46">
        <v>0</v>
      </c>
      <c r="I46">
        <v>0</v>
      </c>
      <c r="J46">
        <v>30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30</v>
      </c>
      <c r="S46">
        <v>0</v>
      </c>
      <c r="T46">
        <v>0</v>
      </c>
      <c r="U46">
        <v>0</v>
      </c>
      <c r="V46" t="s">
        <v>5</v>
      </c>
      <c r="W46">
        <v>30</v>
      </c>
      <c r="X46">
        <v>0</v>
      </c>
      <c r="Y46">
        <v>0</v>
      </c>
      <c r="Z46">
        <v>0</v>
      </c>
      <c r="AA46">
        <v>30</v>
      </c>
      <c r="AB46">
        <v>0</v>
      </c>
      <c r="AC46">
        <v>0</v>
      </c>
      <c r="AD46">
        <v>0</v>
      </c>
      <c r="AE46">
        <v>30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30</v>
      </c>
      <c r="AN46">
        <v>0</v>
      </c>
      <c r="AO46">
        <v>0</v>
      </c>
      <c r="AP46">
        <v>0</v>
      </c>
      <c r="AQ46" t="s">
        <v>5</v>
      </c>
      <c r="AR46">
        <v>30</v>
      </c>
      <c r="AS46">
        <v>0</v>
      </c>
      <c r="AT46">
        <v>0</v>
      </c>
      <c r="AU46">
        <v>0</v>
      </c>
      <c r="AV46">
        <v>30</v>
      </c>
      <c r="AW46">
        <v>0</v>
      </c>
      <c r="AX46">
        <v>0</v>
      </c>
      <c r="AY46">
        <v>0</v>
      </c>
      <c r="AZ46">
        <v>30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30</v>
      </c>
      <c r="BI46">
        <v>0</v>
      </c>
      <c r="BJ46">
        <v>0</v>
      </c>
      <c r="BK46">
        <v>0</v>
      </c>
    </row>
    <row r="47" spans="1:63">
      <c r="A47" t="s">
        <v>62</v>
      </c>
      <c r="B47">
        <v>71</v>
      </c>
      <c r="C47">
        <v>15</v>
      </c>
      <c r="D47">
        <v>0</v>
      </c>
      <c r="E47">
        <v>0</v>
      </c>
      <c r="F47">
        <v>71</v>
      </c>
      <c r="G47">
        <v>15</v>
      </c>
      <c r="H47">
        <v>0</v>
      </c>
      <c r="I47">
        <v>0</v>
      </c>
      <c r="J47">
        <v>86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 t="s">
        <v>62</v>
      </c>
      <c r="W47">
        <v>71</v>
      </c>
      <c r="X47">
        <v>15</v>
      </c>
      <c r="Y47">
        <v>0</v>
      </c>
      <c r="Z47">
        <v>0</v>
      </c>
      <c r="AA47">
        <v>71</v>
      </c>
      <c r="AB47">
        <v>15</v>
      </c>
      <c r="AC47">
        <v>0</v>
      </c>
      <c r="AD47">
        <v>0</v>
      </c>
      <c r="AE47">
        <v>86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 t="s">
        <v>62</v>
      </c>
      <c r="AR47">
        <v>71</v>
      </c>
      <c r="AS47">
        <v>15</v>
      </c>
      <c r="AT47">
        <v>0</v>
      </c>
      <c r="AU47">
        <v>0</v>
      </c>
      <c r="AV47">
        <v>71</v>
      </c>
      <c r="AW47">
        <v>15</v>
      </c>
      <c r="AX47">
        <v>0</v>
      </c>
      <c r="AY47">
        <v>0</v>
      </c>
      <c r="AZ47">
        <v>86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86</v>
      </c>
      <c r="BI47">
        <v>0</v>
      </c>
      <c r="BJ47">
        <v>0</v>
      </c>
      <c r="BK47">
        <v>0</v>
      </c>
    </row>
    <row r="48" spans="1:63">
      <c r="A48" t="s">
        <v>6</v>
      </c>
      <c r="B48">
        <v>0</v>
      </c>
      <c r="C48">
        <v>0</v>
      </c>
      <c r="D48">
        <v>0</v>
      </c>
      <c r="E48">
        <v>0</v>
      </c>
      <c r="F48">
        <v>50</v>
      </c>
      <c r="G48">
        <v>6</v>
      </c>
      <c r="H48">
        <v>0</v>
      </c>
      <c r="I48">
        <v>0</v>
      </c>
      <c r="J48">
        <v>56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 t="s">
        <v>6</v>
      </c>
      <c r="W48">
        <v>0</v>
      </c>
      <c r="X48">
        <v>0</v>
      </c>
      <c r="Y48">
        <v>0</v>
      </c>
      <c r="Z48">
        <v>0</v>
      </c>
      <c r="AA48">
        <v>50</v>
      </c>
      <c r="AB48">
        <v>6</v>
      </c>
      <c r="AC48">
        <v>0</v>
      </c>
      <c r="AD48">
        <v>0</v>
      </c>
      <c r="AE48">
        <v>56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 t="s">
        <v>6</v>
      </c>
      <c r="AR48">
        <v>50</v>
      </c>
      <c r="AS48">
        <v>6</v>
      </c>
      <c r="AT48">
        <v>0</v>
      </c>
      <c r="AU48">
        <v>0</v>
      </c>
      <c r="AV48">
        <v>50</v>
      </c>
      <c r="AW48">
        <v>6</v>
      </c>
      <c r="AX48">
        <v>0</v>
      </c>
      <c r="AY48">
        <v>0</v>
      </c>
      <c r="AZ48">
        <v>56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56</v>
      </c>
      <c r="BI48">
        <v>0</v>
      </c>
      <c r="BJ48">
        <v>0</v>
      </c>
      <c r="BK48">
        <v>0</v>
      </c>
    </row>
    <row r="49" spans="1:63">
      <c r="A49" t="s">
        <v>82</v>
      </c>
      <c r="B49">
        <v>2</v>
      </c>
      <c r="C49">
        <v>0</v>
      </c>
      <c r="D49">
        <v>0</v>
      </c>
      <c r="E49">
        <v>0</v>
      </c>
      <c r="F49">
        <v>2</v>
      </c>
      <c r="G49">
        <v>0</v>
      </c>
      <c r="H49">
        <v>0</v>
      </c>
      <c r="I49">
        <v>0</v>
      </c>
      <c r="J49">
        <v>2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2</v>
      </c>
      <c r="S49">
        <v>0</v>
      </c>
      <c r="T49">
        <v>0</v>
      </c>
      <c r="U49">
        <v>0</v>
      </c>
      <c r="V49" t="s">
        <v>82</v>
      </c>
      <c r="W49">
        <v>2</v>
      </c>
      <c r="X49">
        <v>0</v>
      </c>
      <c r="Y49">
        <v>0</v>
      </c>
      <c r="Z49">
        <v>0</v>
      </c>
      <c r="AA49">
        <v>2</v>
      </c>
      <c r="AB49">
        <v>0</v>
      </c>
      <c r="AC49">
        <v>0</v>
      </c>
      <c r="AD49">
        <v>0</v>
      </c>
      <c r="AE49">
        <v>2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2</v>
      </c>
      <c r="AN49">
        <v>0</v>
      </c>
      <c r="AO49">
        <v>0</v>
      </c>
      <c r="AP49">
        <v>0</v>
      </c>
      <c r="AQ49" t="s">
        <v>82</v>
      </c>
      <c r="AR49">
        <v>2</v>
      </c>
      <c r="AS49">
        <v>0</v>
      </c>
      <c r="AT49">
        <v>0</v>
      </c>
      <c r="AU49">
        <v>0</v>
      </c>
      <c r="AV49">
        <v>2</v>
      </c>
      <c r="AW49">
        <v>0</v>
      </c>
      <c r="AX49">
        <v>0</v>
      </c>
      <c r="AY49">
        <v>0</v>
      </c>
      <c r="AZ49">
        <v>2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2</v>
      </c>
      <c r="BI49">
        <v>0</v>
      </c>
      <c r="BJ49">
        <v>0</v>
      </c>
      <c r="BK49">
        <v>0</v>
      </c>
    </row>
    <row r="50" spans="1:63">
      <c r="A50" t="s">
        <v>92</v>
      </c>
      <c r="B50">
        <v>1</v>
      </c>
      <c r="C50">
        <v>0</v>
      </c>
      <c r="D50">
        <v>0</v>
      </c>
      <c r="E50">
        <v>0</v>
      </c>
      <c r="F50">
        <v>1</v>
      </c>
      <c r="G50">
        <v>0</v>
      </c>
      <c r="H50">
        <v>0</v>
      </c>
      <c r="I50">
        <v>0</v>
      </c>
      <c r="J50">
        <v>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1</v>
      </c>
      <c r="S50">
        <v>0</v>
      </c>
      <c r="T50">
        <v>0</v>
      </c>
      <c r="U50">
        <v>0</v>
      </c>
      <c r="V50" t="s">
        <v>92</v>
      </c>
      <c r="W50">
        <v>1</v>
      </c>
      <c r="X50">
        <v>0</v>
      </c>
      <c r="Y50">
        <v>0</v>
      </c>
      <c r="Z50">
        <v>0</v>
      </c>
      <c r="AA50">
        <v>1</v>
      </c>
      <c r="AB50">
        <v>0</v>
      </c>
      <c r="AC50">
        <v>0</v>
      </c>
      <c r="AD50">
        <v>0</v>
      </c>
      <c r="AE50">
        <v>1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1</v>
      </c>
      <c r="AN50">
        <v>0</v>
      </c>
      <c r="AO50">
        <v>0</v>
      </c>
      <c r="AP50">
        <v>0</v>
      </c>
      <c r="AQ50" t="s">
        <v>92</v>
      </c>
      <c r="AR50">
        <v>1</v>
      </c>
      <c r="AS50">
        <v>0</v>
      </c>
      <c r="AT50">
        <v>0</v>
      </c>
      <c r="AU50">
        <v>0</v>
      </c>
      <c r="AV50">
        <v>1</v>
      </c>
      <c r="AW50">
        <v>0</v>
      </c>
      <c r="AX50">
        <v>0</v>
      </c>
      <c r="AY50">
        <v>0</v>
      </c>
      <c r="AZ50">
        <v>1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1</v>
      </c>
      <c r="BI50">
        <v>0</v>
      </c>
      <c r="BJ50">
        <v>0</v>
      </c>
      <c r="BK50">
        <v>0</v>
      </c>
    </row>
    <row r="51" spans="1:63">
      <c r="A51" t="s">
        <v>53</v>
      </c>
      <c r="B51">
        <v>60</v>
      </c>
      <c r="C51">
        <v>2</v>
      </c>
      <c r="D51">
        <v>0</v>
      </c>
      <c r="E51">
        <v>0</v>
      </c>
      <c r="F51">
        <v>60</v>
      </c>
      <c r="G51">
        <v>2</v>
      </c>
      <c r="H51">
        <v>0</v>
      </c>
      <c r="I51">
        <v>0</v>
      </c>
      <c r="J51">
        <v>62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62</v>
      </c>
      <c r="S51">
        <v>0</v>
      </c>
      <c r="T51">
        <v>0</v>
      </c>
      <c r="U51">
        <v>0</v>
      </c>
      <c r="V51" t="s">
        <v>53</v>
      </c>
      <c r="W51">
        <v>60</v>
      </c>
      <c r="X51">
        <v>2</v>
      </c>
      <c r="Y51">
        <v>0</v>
      </c>
      <c r="Z51">
        <v>0</v>
      </c>
      <c r="AA51">
        <v>60</v>
      </c>
      <c r="AB51">
        <v>2</v>
      </c>
      <c r="AC51">
        <v>0</v>
      </c>
      <c r="AD51">
        <v>0</v>
      </c>
      <c r="AE51">
        <v>62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62</v>
      </c>
      <c r="AN51">
        <v>0</v>
      </c>
      <c r="AO51">
        <v>0</v>
      </c>
      <c r="AP51">
        <v>0</v>
      </c>
      <c r="AQ51" t="s">
        <v>53</v>
      </c>
      <c r="AR51">
        <v>60</v>
      </c>
      <c r="AS51">
        <v>2</v>
      </c>
      <c r="AT51">
        <v>0</v>
      </c>
      <c r="AU51">
        <v>0</v>
      </c>
      <c r="AV51">
        <v>60</v>
      </c>
      <c r="AW51">
        <v>2</v>
      </c>
      <c r="AX51">
        <v>0</v>
      </c>
      <c r="AY51">
        <v>0</v>
      </c>
      <c r="AZ51">
        <v>62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62</v>
      </c>
      <c r="BI51">
        <v>0</v>
      </c>
      <c r="BJ51">
        <v>0</v>
      </c>
      <c r="BK51">
        <v>0</v>
      </c>
    </row>
    <row r="52" spans="1:63">
      <c r="A52" t="s">
        <v>11</v>
      </c>
      <c r="B52">
        <v>7</v>
      </c>
      <c r="C52">
        <v>0</v>
      </c>
      <c r="D52">
        <v>0</v>
      </c>
      <c r="E52">
        <v>0</v>
      </c>
      <c r="F52">
        <v>7</v>
      </c>
      <c r="G52">
        <v>0</v>
      </c>
      <c r="H52">
        <v>0</v>
      </c>
      <c r="I52">
        <v>0</v>
      </c>
      <c r="J52">
        <v>6</v>
      </c>
      <c r="K52">
        <v>1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6</v>
      </c>
      <c r="S52">
        <v>1</v>
      </c>
      <c r="T52">
        <v>0</v>
      </c>
      <c r="U52">
        <v>0</v>
      </c>
      <c r="V52" t="s">
        <v>11</v>
      </c>
      <c r="W52">
        <v>7</v>
      </c>
      <c r="X52">
        <v>0</v>
      </c>
      <c r="Y52">
        <v>0</v>
      </c>
      <c r="Z52">
        <v>0</v>
      </c>
      <c r="AA52">
        <v>7</v>
      </c>
      <c r="AB52">
        <v>0</v>
      </c>
      <c r="AC52">
        <v>0</v>
      </c>
      <c r="AD52">
        <v>0</v>
      </c>
      <c r="AE52">
        <v>6</v>
      </c>
      <c r="AF52">
        <v>1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6</v>
      </c>
      <c r="AN52">
        <v>1</v>
      </c>
      <c r="AO52">
        <v>0</v>
      </c>
      <c r="AP52">
        <v>0</v>
      </c>
      <c r="AQ52" t="s">
        <v>11</v>
      </c>
      <c r="AR52">
        <v>7</v>
      </c>
      <c r="AS52">
        <v>0</v>
      </c>
      <c r="AT52">
        <v>0</v>
      </c>
      <c r="AU52">
        <v>0</v>
      </c>
      <c r="AV52">
        <v>7</v>
      </c>
      <c r="AW52">
        <v>0</v>
      </c>
      <c r="AX52">
        <v>0</v>
      </c>
      <c r="AY52">
        <v>0</v>
      </c>
      <c r="AZ52">
        <v>7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7</v>
      </c>
      <c r="BI52">
        <v>0</v>
      </c>
      <c r="BJ52">
        <v>0</v>
      </c>
      <c r="BK52">
        <v>0</v>
      </c>
    </row>
    <row r="53" spans="1:63">
      <c r="A53" t="s">
        <v>84</v>
      </c>
      <c r="B53">
        <v>36</v>
      </c>
      <c r="C53">
        <v>10</v>
      </c>
      <c r="D53">
        <v>0</v>
      </c>
      <c r="E53">
        <v>0</v>
      </c>
      <c r="F53">
        <v>36</v>
      </c>
      <c r="G53">
        <v>10</v>
      </c>
      <c r="H53">
        <v>0</v>
      </c>
      <c r="I53">
        <v>0</v>
      </c>
      <c r="J53">
        <v>46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 t="s">
        <v>84</v>
      </c>
      <c r="W53">
        <v>36</v>
      </c>
      <c r="X53">
        <v>10</v>
      </c>
      <c r="Y53">
        <v>0</v>
      </c>
      <c r="Z53">
        <v>0</v>
      </c>
      <c r="AA53">
        <v>36</v>
      </c>
      <c r="AB53">
        <v>10</v>
      </c>
      <c r="AC53">
        <v>0</v>
      </c>
      <c r="AD53">
        <v>0</v>
      </c>
      <c r="AE53">
        <v>46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 t="s">
        <v>84</v>
      </c>
      <c r="AR53">
        <v>36</v>
      </c>
      <c r="AS53">
        <v>10</v>
      </c>
      <c r="AT53">
        <v>0</v>
      </c>
      <c r="AU53">
        <v>0</v>
      </c>
      <c r="AV53">
        <v>36</v>
      </c>
      <c r="AW53">
        <v>10</v>
      </c>
      <c r="AX53">
        <v>0</v>
      </c>
      <c r="AY53">
        <v>0</v>
      </c>
      <c r="AZ53">
        <v>46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46</v>
      </c>
      <c r="BI53">
        <v>0</v>
      </c>
      <c r="BJ53">
        <v>0</v>
      </c>
      <c r="BK53">
        <v>0</v>
      </c>
    </row>
    <row r="54" spans="1:63">
      <c r="A54" t="s">
        <v>50</v>
      </c>
      <c r="B54">
        <v>26</v>
      </c>
      <c r="C54">
        <v>0</v>
      </c>
      <c r="D54">
        <v>0</v>
      </c>
      <c r="E54">
        <v>0</v>
      </c>
      <c r="F54">
        <v>26</v>
      </c>
      <c r="G54">
        <v>0</v>
      </c>
      <c r="H54">
        <v>0</v>
      </c>
      <c r="I54">
        <v>0</v>
      </c>
      <c r="J54">
        <v>26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 t="s">
        <v>50</v>
      </c>
      <c r="W54">
        <v>26</v>
      </c>
      <c r="X54">
        <v>0</v>
      </c>
      <c r="Y54">
        <v>0</v>
      </c>
      <c r="Z54">
        <v>0</v>
      </c>
      <c r="AA54">
        <v>26</v>
      </c>
      <c r="AB54">
        <v>0</v>
      </c>
      <c r="AC54">
        <v>0</v>
      </c>
      <c r="AD54">
        <v>0</v>
      </c>
      <c r="AE54">
        <v>26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 t="s">
        <v>50</v>
      </c>
      <c r="AR54">
        <v>26</v>
      </c>
      <c r="AS54">
        <v>0</v>
      </c>
      <c r="AT54">
        <v>0</v>
      </c>
      <c r="AU54">
        <v>0</v>
      </c>
      <c r="AV54">
        <v>26</v>
      </c>
      <c r="AW54">
        <v>0</v>
      </c>
      <c r="AX54">
        <v>0</v>
      </c>
      <c r="AY54">
        <v>0</v>
      </c>
      <c r="AZ54">
        <v>26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26</v>
      </c>
      <c r="BI54">
        <v>0</v>
      </c>
      <c r="BJ54">
        <v>0</v>
      </c>
      <c r="BK54">
        <v>0</v>
      </c>
    </row>
    <row r="55" spans="1:63">
      <c r="A55" t="s">
        <v>47</v>
      </c>
      <c r="B55">
        <v>53</v>
      </c>
      <c r="C55">
        <v>0</v>
      </c>
      <c r="D55">
        <v>0</v>
      </c>
      <c r="E55">
        <v>0</v>
      </c>
      <c r="F55">
        <v>53</v>
      </c>
      <c r="G55">
        <v>0</v>
      </c>
      <c r="H55">
        <v>0</v>
      </c>
      <c r="I55">
        <v>0</v>
      </c>
      <c r="J55">
        <v>53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 t="s">
        <v>47</v>
      </c>
      <c r="W55">
        <v>53</v>
      </c>
      <c r="X55">
        <v>0</v>
      </c>
      <c r="Y55">
        <v>0</v>
      </c>
      <c r="Z55">
        <v>0</v>
      </c>
      <c r="AA55">
        <v>53</v>
      </c>
      <c r="AB55">
        <v>0</v>
      </c>
      <c r="AC55">
        <v>0</v>
      </c>
      <c r="AD55">
        <v>0</v>
      </c>
      <c r="AE55">
        <v>53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 t="s">
        <v>47</v>
      </c>
      <c r="AR55">
        <v>53</v>
      </c>
      <c r="AS55">
        <v>0</v>
      </c>
      <c r="AT55">
        <v>0</v>
      </c>
      <c r="AU55">
        <v>0</v>
      </c>
      <c r="AV55">
        <v>53</v>
      </c>
      <c r="AW55">
        <v>0</v>
      </c>
      <c r="AX55">
        <v>0</v>
      </c>
      <c r="AY55">
        <v>0</v>
      </c>
      <c r="AZ55">
        <v>53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53</v>
      </c>
      <c r="BI55">
        <v>0</v>
      </c>
      <c r="BJ55">
        <v>0</v>
      </c>
      <c r="BK55">
        <v>0</v>
      </c>
    </row>
    <row r="56" spans="1:63">
      <c r="A56" t="s">
        <v>57</v>
      </c>
      <c r="B56">
        <v>10</v>
      </c>
      <c r="C56">
        <v>0</v>
      </c>
      <c r="D56">
        <v>0</v>
      </c>
      <c r="E56">
        <v>0</v>
      </c>
      <c r="F56">
        <v>10</v>
      </c>
      <c r="G56">
        <v>0</v>
      </c>
      <c r="H56">
        <v>0</v>
      </c>
      <c r="I56">
        <v>0</v>
      </c>
      <c r="J56">
        <v>10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 t="s">
        <v>57</v>
      </c>
      <c r="W56">
        <v>10</v>
      </c>
      <c r="X56">
        <v>0</v>
      </c>
      <c r="Y56">
        <v>0</v>
      </c>
      <c r="Z56">
        <v>0</v>
      </c>
      <c r="AA56">
        <v>10</v>
      </c>
      <c r="AB56">
        <v>0</v>
      </c>
      <c r="AC56">
        <v>0</v>
      </c>
      <c r="AD56">
        <v>0</v>
      </c>
      <c r="AE56">
        <v>10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 t="s">
        <v>57</v>
      </c>
      <c r="AR56">
        <v>10</v>
      </c>
      <c r="AS56">
        <v>0</v>
      </c>
      <c r="AT56">
        <v>0</v>
      </c>
      <c r="AU56">
        <v>0</v>
      </c>
      <c r="AV56">
        <v>10</v>
      </c>
      <c r="AW56">
        <v>0</v>
      </c>
      <c r="AX56">
        <v>0</v>
      </c>
      <c r="AY56">
        <v>0</v>
      </c>
      <c r="AZ56">
        <v>10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10</v>
      </c>
      <c r="BI56">
        <v>0</v>
      </c>
      <c r="BJ56">
        <v>0</v>
      </c>
      <c r="BK56">
        <v>0</v>
      </c>
    </row>
    <row r="57" spans="1:63">
      <c r="A57" t="s">
        <v>95</v>
      </c>
      <c r="B57">
        <v>12</v>
      </c>
      <c r="C57">
        <v>0</v>
      </c>
      <c r="D57">
        <v>0</v>
      </c>
      <c r="E57">
        <v>0</v>
      </c>
      <c r="F57">
        <v>12</v>
      </c>
      <c r="G57">
        <v>0</v>
      </c>
      <c r="H57">
        <v>0</v>
      </c>
      <c r="I57">
        <v>0</v>
      </c>
      <c r="J57">
        <v>12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 t="s">
        <v>95</v>
      </c>
      <c r="W57">
        <v>12</v>
      </c>
      <c r="X57">
        <v>0</v>
      </c>
      <c r="Y57">
        <v>0</v>
      </c>
      <c r="Z57">
        <v>0</v>
      </c>
      <c r="AA57">
        <v>12</v>
      </c>
      <c r="AB57">
        <v>0</v>
      </c>
      <c r="AC57">
        <v>0</v>
      </c>
      <c r="AD57">
        <v>0</v>
      </c>
      <c r="AE57">
        <v>12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 t="s">
        <v>95</v>
      </c>
      <c r="AR57">
        <v>12</v>
      </c>
      <c r="AS57">
        <v>0</v>
      </c>
      <c r="AT57">
        <v>0</v>
      </c>
      <c r="AU57">
        <v>0</v>
      </c>
      <c r="AV57">
        <v>12</v>
      </c>
      <c r="AW57">
        <v>0</v>
      </c>
      <c r="AX57">
        <v>0</v>
      </c>
      <c r="AY57">
        <v>0</v>
      </c>
      <c r="AZ57">
        <v>12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12</v>
      </c>
      <c r="BI57">
        <v>0</v>
      </c>
      <c r="BJ57">
        <v>0</v>
      </c>
      <c r="BK57">
        <v>0</v>
      </c>
    </row>
    <row r="58" spans="1:63">
      <c r="A58" t="s">
        <v>41</v>
      </c>
      <c r="B58">
        <v>9</v>
      </c>
      <c r="C58">
        <v>0</v>
      </c>
      <c r="D58">
        <v>0</v>
      </c>
      <c r="E58">
        <v>0</v>
      </c>
      <c r="F58">
        <v>9</v>
      </c>
      <c r="G58">
        <v>0</v>
      </c>
      <c r="H58">
        <v>0</v>
      </c>
      <c r="I58">
        <v>0</v>
      </c>
      <c r="J58">
        <v>9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 t="s">
        <v>41</v>
      </c>
      <c r="W58">
        <v>9</v>
      </c>
      <c r="X58">
        <v>0</v>
      </c>
      <c r="Y58">
        <v>0</v>
      </c>
      <c r="Z58">
        <v>0</v>
      </c>
      <c r="AA58">
        <v>9</v>
      </c>
      <c r="AB58">
        <v>0</v>
      </c>
      <c r="AC58">
        <v>0</v>
      </c>
      <c r="AD58">
        <v>0</v>
      </c>
      <c r="AE58">
        <v>9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 t="s">
        <v>41</v>
      </c>
      <c r="AR58">
        <v>9</v>
      </c>
      <c r="AS58">
        <v>0</v>
      </c>
      <c r="AT58">
        <v>0</v>
      </c>
      <c r="AU58">
        <v>0</v>
      </c>
      <c r="AV58">
        <v>9</v>
      </c>
      <c r="AW58">
        <v>0</v>
      </c>
      <c r="AX58">
        <v>0</v>
      </c>
      <c r="AY58">
        <v>0</v>
      </c>
      <c r="AZ58">
        <v>9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9</v>
      </c>
      <c r="BI58">
        <v>0</v>
      </c>
      <c r="BJ58">
        <v>0</v>
      </c>
      <c r="BK58">
        <v>0</v>
      </c>
    </row>
    <row r="59" spans="1:63">
      <c r="A59" t="s">
        <v>81</v>
      </c>
      <c r="B59">
        <v>106</v>
      </c>
      <c r="C59">
        <v>6</v>
      </c>
      <c r="D59">
        <v>0</v>
      </c>
      <c r="E59">
        <v>0</v>
      </c>
      <c r="F59">
        <v>106</v>
      </c>
      <c r="G59">
        <v>6</v>
      </c>
      <c r="H59">
        <v>0</v>
      </c>
      <c r="I59">
        <v>0</v>
      </c>
      <c r="J59">
        <v>112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 t="s">
        <v>81</v>
      </c>
      <c r="W59">
        <v>106</v>
      </c>
      <c r="X59">
        <v>6</v>
      </c>
      <c r="Y59">
        <v>0</v>
      </c>
      <c r="Z59">
        <v>0</v>
      </c>
      <c r="AA59">
        <v>106</v>
      </c>
      <c r="AB59">
        <v>6</v>
      </c>
      <c r="AC59">
        <v>0</v>
      </c>
      <c r="AD59">
        <v>0</v>
      </c>
      <c r="AE59">
        <v>112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 t="s">
        <v>81</v>
      </c>
      <c r="AR59">
        <v>106</v>
      </c>
      <c r="AS59">
        <v>6</v>
      </c>
      <c r="AT59">
        <v>0</v>
      </c>
      <c r="AU59">
        <v>0</v>
      </c>
      <c r="AV59">
        <v>106</v>
      </c>
      <c r="AW59">
        <v>6</v>
      </c>
      <c r="AX59">
        <v>0</v>
      </c>
      <c r="AY59">
        <v>0</v>
      </c>
      <c r="AZ59">
        <v>112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112</v>
      </c>
      <c r="BI59">
        <v>0</v>
      </c>
      <c r="BJ59">
        <v>0</v>
      </c>
      <c r="BK59">
        <v>0</v>
      </c>
    </row>
    <row r="60" spans="1:63">
      <c r="A60" t="s">
        <v>45</v>
      </c>
      <c r="B60">
        <v>926</v>
      </c>
      <c r="C60">
        <v>32</v>
      </c>
      <c r="D60">
        <v>0</v>
      </c>
      <c r="E60">
        <v>0</v>
      </c>
      <c r="F60">
        <v>926</v>
      </c>
      <c r="G60">
        <v>32</v>
      </c>
      <c r="H60">
        <v>0</v>
      </c>
      <c r="I60">
        <v>0</v>
      </c>
      <c r="J60">
        <v>955</v>
      </c>
      <c r="K60">
        <v>3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 t="s">
        <v>45</v>
      </c>
      <c r="W60">
        <v>926</v>
      </c>
      <c r="X60">
        <v>32</v>
      </c>
      <c r="Y60">
        <v>0</v>
      </c>
      <c r="Z60">
        <v>0</v>
      </c>
      <c r="AA60">
        <v>926</v>
      </c>
      <c r="AB60">
        <v>32</v>
      </c>
      <c r="AC60">
        <v>0</v>
      </c>
      <c r="AD60">
        <v>0</v>
      </c>
      <c r="AE60">
        <v>955</v>
      </c>
      <c r="AF60">
        <v>3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 t="s">
        <v>45</v>
      </c>
      <c r="AR60">
        <v>926</v>
      </c>
      <c r="AS60">
        <v>32</v>
      </c>
      <c r="AT60">
        <v>0</v>
      </c>
      <c r="AU60">
        <v>0</v>
      </c>
      <c r="AV60">
        <v>926</v>
      </c>
      <c r="AW60">
        <v>32</v>
      </c>
      <c r="AX60">
        <v>0</v>
      </c>
      <c r="AY60">
        <v>0</v>
      </c>
      <c r="AZ60">
        <v>958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958</v>
      </c>
      <c r="BI60">
        <v>0</v>
      </c>
      <c r="BJ60">
        <v>0</v>
      </c>
      <c r="BK60">
        <v>0</v>
      </c>
    </row>
    <row r="61" spans="1:63">
      <c r="A61" t="s">
        <v>54</v>
      </c>
      <c r="B61">
        <v>472</v>
      </c>
      <c r="C61">
        <v>4</v>
      </c>
      <c r="D61">
        <v>0</v>
      </c>
      <c r="E61">
        <v>0</v>
      </c>
      <c r="F61">
        <v>472</v>
      </c>
      <c r="G61">
        <v>4</v>
      </c>
      <c r="H61">
        <v>0</v>
      </c>
      <c r="I61">
        <v>0</v>
      </c>
      <c r="J61">
        <v>476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 t="s">
        <v>54</v>
      </c>
      <c r="W61">
        <v>472</v>
      </c>
      <c r="X61">
        <v>4</v>
      </c>
      <c r="Y61">
        <v>0</v>
      </c>
      <c r="Z61">
        <v>0</v>
      </c>
      <c r="AA61">
        <v>472</v>
      </c>
      <c r="AB61">
        <v>4</v>
      </c>
      <c r="AC61">
        <v>0</v>
      </c>
      <c r="AD61">
        <v>0</v>
      </c>
      <c r="AE61">
        <v>476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 t="s">
        <v>54</v>
      </c>
      <c r="AR61">
        <v>472</v>
      </c>
      <c r="AS61">
        <v>4</v>
      </c>
      <c r="AT61">
        <v>0</v>
      </c>
      <c r="AU61">
        <v>0</v>
      </c>
      <c r="AV61">
        <v>472</v>
      </c>
      <c r="AW61">
        <v>4</v>
      </c>
      <c r="AX61">
        <v>0</v>
      </c>
      <c r="AY61">
        <v>0</v>
      </c>
      <c r="AZ61">
        <v>476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476</v>
      </c>
      <c r="BI61">
        <v>0</v>
      </c>
      <c r="BJ61">
        <v>0</v>
      </c>
      <c r="BK61">
        <v>0</v>
      </c>
    </row>
    <row r="62" spans="1:63">
      <c r="A62" t="s">
        <v>79</v>
      </c>
      <c r="B62">
        <v>580</v>
      </c>
      <c r="C62">
        <v>27</v>
      </c>
      <c r="D62">
        <v>0</v>
      </c>
      <c r="E62">
        <v>0</v>
      </c>
      <c r="F62">
        <v>580</v>
      </c>
      <c r="G62">
        <v>27</v>
      </c>
      <c r="H62">
        <v>0</v>
      </c>
      <c r="I62">
        <v>0</v>
      </c>
      <c r="J62">
        <v>606</v>
      </c>
      <c r="K62">
        <v>1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 t="s">
        <v>79</v>
      </c>
      <c r="W62">
        <v>580</v>
      </c>
      <c r="X62">
        <v>27</v>
      </c>
      <c r="Y62">
        <v>0</v>
      </c>
      <c r="Z62">
        <v>0</v>
      </c>
      <c r="AA62">
        <v>580</v>
      </c>
      <c r="AB62">
        <v>27</v>
      </c>
      <c r="AC62">
        <v>0</v>
      </c>
      <c r="AD62">
        <v>0</v>
      </c>
      <c r="AE62">
        <v>606</v>
      </c>
      <c r="AF62">
        <v>1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 t="s">
        <v>79</v>
      </c>
      <c r="AR62">
        <v>580</v>
      </c>
      <c r="AS62">
        <v>27</v>
      </c>
      <c r="AT62">
        <v>0</v>
      </c>
      <c r="AU62">
        <v>0</v>
      </c>
      <c r="AV62">
        <v>580</v>
      </c>
      <c r="AW62">
        <v>27</v>
      </c>
      <c r="AX62">
        <v>0</v>
      </c>
      <c r="AY62">
        <v>0</v>
      </c>
      <c r="AZ62">
        <v>607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607</v>
      </c>
      <c r="BI62">
        <v>0</v>
      </c>
      <c r="BJ62">
        <v>0</v>
      </c>
      <c r="BK62">
        <v>0</v>
      </c>
    </row>
    <row r="63" spans="1:63">
      <c r="A63" t="s">
        <v>9</v>
      </c>
      <c r="B63">
        <v>732</v>
      </c>
      <c r="C63">
        <v>5</v>
      </c>
      <c r="D63">
        <v>0</v>
      </c>
      <c r="E63">
        <v>0</v>
      </c>
      <c r="F63">
        <v>732</v>
      </c>
      <c r="G63">
        <v>5</v>
      </c>
      <c r="H63">
        <v>0</v>
      </c>
      <c r="I63">
        <v>0</v>
      </c>
      <c r="J63">
        <v>737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 t="s">
        <v>9</v>
      </c>
      <c r="W63">
        <v>732</v>
      </c>
      <c r="X63">
        <v>5</v>
      </c>
      <c r="Y63">
        <v>0</v>
      </c>
      <c r="Z63">
        <v>0</v>
      </c>
      <c r="AA63">
        <v>732</v>
      </c>
      <c r="AB63">
        <v>5</v>
      </c>
      <c r="AC63">
        <v>0</v>
      </c>
      <c r="AD63">
        <v>0</v>
      </c>
      <c r="AE63">
        <v>737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 t="s">
        <v>9</v>
      </c>
      <c r="AR63">
        <v>732</v>
      </c>
      <c r="AS63">
        <v>5</v>
      </c>
      <c r="AT63">
        <v>0</v>
      </c>
      <c r="AU63">
        <v>0</v>
      </c>
      <c r="AV63">
        <v>732</v>
      </c>
      <c r="AW63">
        <v>5</v>
      </c>
      <c r="AX63">
        <v>0</v>
      </c>
      <c r="AY63">
        <v>0</v>
      </c>
      <c r="AZ63">
        <v>737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737</v>
      </c>
      <c r="BI63">
        <v>0</v>
      </c>
      <c r="BJ63">
        <v>0</v>
      </c>
      <c r="BK63">
        <v>0</v>
      </c>
    </row>
    <row r="64" spans="1:63">
      <c r="A64" t="s">
        <v>7</v>
      </c>
      <c r="B64">
        <v>56</v>
      </c>
      <c r="C64">
        <v>1</v>
      </c>
      <c r="D64">
        <v>0</v>
      </c>
      <c r="E64">
        <v>0</v>
      </c>
      <c r="F64">
        <v>56</v>
      </c>
      <c r="G64">
        <v>1</v>
      </c>
      <c r="H64">
        <v>0</v>
      </c>
      <c r="I64">
        <v>0</v>
      </c>
      <c r="J64">
        <v>57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 t="s">
        <v>7</v>
      </c>
      <c r="W64">
        <v>56</v>
      </c>
      <c r="X64">
        <v>1</v>
      </c>
      <c r="Y64">
        <v>0</v>
      </c>
      <c r="Z64">
        <v>0</v>
      </c>
      <c r="AA64">
        <v>56</v>
      </c>
      <c r="AB64">
        <v>1</v>
      </c>
      <c r="AC64">
        <v>0</v>
      </c>
      <c r="AD64">
        <v>0</v>
      </c>
      <c r="AE64">
        <v>57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 t="s">
        <v>7</v>
      </c>
      <c r="AR64">
        <v>56</v>
      </c>
      <c r="AS64">
        <v>1</v>
      </c>
      <c r="AT64">
        <v>0</v>
      </c>
      <c r="AU64">
        <v>0</v>
      </c>
      <c r="AV64">
        <v>56</v>
      </c>
      <c r="AW64">
        <v>1</v>
      </c>
      <c r="AX64">
        <v>0</v>
      </c>
      <c r="AY64">
        <v>0</v>
      </c>
      <c r="AZ64">
        <v>57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57</v>
      </c>
      <c r="BI64">
        <v>0</v>
      </c>
      <c r="BJ64">
        <v>0</v>
      </c>
      <c r="BK64">
        <v>0</v>
      </c>
    </row>
    <row r="65" spans="1:63">
      <c r="A65" t="s">
        <v>46</v>
      </c>
      <c r="B65">
        <v>26</v>
      </c>
      <c r="C65">
        <v>1</v>
      </c>
      <c r="D65">
        <v>0</v>
      </c>
      <c r="E65">
        <v>0</v>
      </c>
      <c r="F65">
        <v>26</v>
      </c>
      <c r="G65">
        <v>1</v>
      </c>
      <c r="H65">
        <v>0</v>
      </c>
      <c r="I65">
        <v>0</v>
      </c>
      <c r="J65">
        <v>27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 t="s">
        <v>46</v>
      </c>
      <c r="W65">
        <v>26</v>
      </c>
      <c r="X65">
        <v>1</v>
      </c>
      <c r="Y65">
        <v>0</v>
      </c>
      <c r="Z65">
        <v>0</v>
      </c>
      <c r="AA65">
        <v>26</v>
      </c>
      <c r="AB65">
        <v>1</v>
      </c>
      <c r="AC65">
        <v>0</v>
      </c>
      <c r="AD65">
        <v>0</v>
      </c>
      <c r="AE65">
        <v>27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 t="s">
        <v>46</v>
      </c>
      <c r="AR65">
        <v>26</v>
      </c>
      <c r="AS65">
        <v>1</v>
      </c>
      <c r="AT65">
        <v>0</v>
      </c>
      <c r="AU65">
        <v>0</v>
      </c>
      <c r="AV65">
        <v>26</v>
      </c>
      <c r="AW65">
        <v>1</v>
      </c>
      <c r="AX65">
        <v>0</v>
      </c>
      <c r="AY65">
        <v>0</v>
      </c>
      <c r="AZ65">
        <v>27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27</v>
      </c>
      <c r="BI65">
        <v>0</v>
      </c>
      <c r="BJ65">
        <v>0</v>
      </c>
      <c r="BK65">
        <v>0</v>
      </c>
    </row>
    <row r="66" spans="1:63">
      <c r="A66" t="s">
        <v>99</v>
      </c>
      <c r="B66">
        <v>171</v>
      </c>
      <c r="C66">
        <v>4</v>
      </c>
      <c r="D66">
        <v>0</v>
      </c>
      <c r="E66">
        <v>0</v>
      </c>
      <c r="F66">
        <v>171</v>
      </c>
      <c r="G66">
        <v>4</v>
      </c>
      <c r="H66">
        <v>0</v>
      </c>
      <c r="I66">
        <v>0</v>
      </c>
      <c r="J66">
        <v>175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 t="s">
        <v>99</v>
      </c>
      <c r="W66">
        <v>171</v>
      </c>
      <c r="X66">
        <v>4</v>
      </c>
      <c r="Y66">
        <v>0</v>
      </c>
      <c r="Z66">
        <v>0</v>
      </c>
      <c r="AA66">
        <v>171</v>
      </c>
      <c r="AB66">
        <v>4</v>
      </c>
      <c r="AC66">
        <v>0</v>
      </c>
      <c r="AD66">
        <v>0</v>
      </c>
      <c r="AE66">
        <v>175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 t="s">
        <v>99</v>
      </c>
      <c r="AR66">
        <v>171</v>
      </c>
      <c r="AS66">
        <v>4</v>
      </c>
      <c r="AT66">
        <v>0</v>
      </c>
      <c r="AU66">
        <v>0</v>
      </c>
      <c r="AV66">
        <v>171</v>
      </c>
      <c r="AW66">
        <v>4</v>
      </c>
      <c r="AX66">
        <v>0</v>
      </c>
      <c r="AY66">
        <v>0</v>
      </c>
      <c r="AZ66">
        <v>175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175</v>
      </c>
      <c r="BI66">
        <v>0</v>
      </c>
      <c r="BJ66">
        <v>0</v>
      </c>
      <c r="BK66">
        <v>0</v>
      </c>
    </row>
    <row r="67" spans="1:63">
      <c r="A67" t="s">
        <v>96</v>
      </c>
      <c r="B67">
        <v>268</v>
      </c>
      <c r="C67">
        <v>4</v>
      </c>
      <c r="D67">
        <v>0</v>
      </c>
      <c r="E67">
        <v>0</v>
      </c>
      <c r="F67">
        <v>268</v>
      </c>
      <c r="G67">
        <v>4</v>
      </c>
      <c r="H67">
        <v>0</v>
      </c>
      <c r="I67">
        <v>0</v>
      </c>
      <c r="J67">
        <v>272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 t="s">
        <v>96</v>
      </c>
      <c r="W67">
        <v>268</v>
      </c>
      <c r="X67">
        <v>4</v>
      </c>
      <c r="Y67">
        <v>0</v>
      </c>
      <c r="Z67">
        <v>0</v>
      </c>
      <c r="AA67">
        <v>268</v>
      </c>
      <c r="AB67">
        <v>4</v>
      </c>
      <c r="AC67">
        <v>0</v>
      </c>
      <c r="AD67">
        <v>0</v>
      </c>
      <c r="AE67">
        <v>272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 t="s">
        <v>96</v>
      </c>
      <c r="AR67">
        <v>268</v>
      </c>
      <c r="AS67">
        <v>4</v>
      </c>
      <c r="AT67">
        <v>0</v>
      </c>
      <c r="AU67">
        <v>0</v>
      </c>
      <c r="AV67">
        <v>268</v>
      </c>
      <c r="AW67">
        <v>4</v>
      </c>
      <c r="AX67">
        <v>0</v>
      </c>
      <c r="AY67">
        <v>0</v>
      </c>
      <c r="AZ67">
        <v>272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272</v>
      </c>
      <c r="BI67">
        <v>0</v>
      </c>
      <c r="BJ67">
        <v>0</v>
      </c>
      <c r="BK67">
        <v>0</v>
      </c>
    </row>
    <row r="68" spans="1:63">
      <c r="A68" t="s">
        <v>13</v>
      </c>
      <c r="B68">
        <v>22</v>
      </c>
      <c r="C68">
        <v>0</v>
      </c>
      <c r="D68">
        <v>0</v>
      </c>
      <c r="E68">
        <v>0</v>
      </c>
      <c r="F68">
        <v>22</v>
      </c>
      <c r="G68">
        <v>0</v>
      </c>
      <c r="H68">
        <v>0</v>
      </c>
      <c r="I68">
        <v>0</v>
      </c>
      <c r="J68">
        <v>22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 t="s">
        <v>13</v>
      </c>
      <c r="W68">
        <v>22</v>
      </c>
      <c r="X68">
        <v>0</v>
      </c>
      <c r="Y68">
        <v>0</v>
      </c>
      <c r="Z68">
        <v>0</v>
      </c>
      <c r="AA68">
        <v>22</v>
      </c>
      <c r="AB68">
        <v>0</v>
      </c>
      <c r="AC68">
        <v>0</v>
      </c>
      <c r="AD68">
        <v>0</v>
      </c>
      <c r="AE68">
        <v>22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 t="s">
        <v>13</v>
      </c>
      <c r="AR68">
        <v>22</v>
      </c>
      <c r="AS68">
        <v>0</v>
      </c>
      <c r="AT68">
        <v>0</v>
      </c>
      <c r="AU68">
        <v>0</v>
      </c>
      <c r="AV68">
        <v>22</v>
      </c>
      <c r="AW68">
        <v>0</v>
      </c>
      <c r="AX68">
        <v>0</v>
      </c>
      <c r="AY68">
        <v>0</v>
      </c>
      <c r="AZ68">
        <v>22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22</v>
      </c>
      <c r="BI68">
        <v>0</v>
      </c>
      <c r="BJ68">
        <v>0</v>
      </c>
      <c r="BK68">
        <v>0</v>
      </c>
    </row>
    <row r="69" spans="1:63">
      <c r="A69" t="s">
        <v>93</v>
      </c>
      <c r="B69">
        <v>21</v>
      </c>
      <c r="C69">
        <v>0</v>
      </c>
      <c r="D69">
        <v>0</v>
      </c>
      <c r="E69">
        <v>0</v>
      </c>
      <c r="F69">
        <v>21</v>
      </c>
      <c r="G69">
        <v>0</v>
      </c>
      <c r="H69">
        <v>0</v>
      </c>
      <c r="I69">
        <v>0</v>
      </c>
      <c r="J69">
        <v>21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 t="s">
        <v>93</v>
      </c>
      <c r="W69">
        <v>21</v>
      </c>
      <c r="X69">
        <v>0</v>
      </c>
      <c r="Y69">
        <v>0</v>
      </c>
      <c r="Z69">
        <v>0</v>
      </c>
      <c r="AA69">
        <v>21</v>
      </c>
      <c r="AB69">
        <v>0</v>
      </c>
      <c r="AC69">
        <v>0</v>
      </c>
      <c r="AD69">
        <v>0</v>
      </c>
      <c r="AE69">
        <v>21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 t="s">
        <v>93</v>
      </c>
      <c r="AR69">
        <v>21</v>
      </c>
      <c r="AS69">
        <v>0</v>
      </c>
      <c r="AT69">
        <v>0</v>
      </c>
      <c r="AU69">
        <v>0</v>
      </c>
      <c r="AV69">
        <v>21</v>
      </c>
      <c r="AW69">
        <v>0</v>
      </c>
      <c r="AX69">
        <v>0</v>
      </c>
      <c r="AY69">
        <v>0</v>
      </c>
      <c r="AZ69">
        <v>21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21</v>
      </c>
      <c r="BI69">
        <v>0</v>
      </c>
      <c r="BJ69">
        <v>0</v>
      </c>
      <c r="BK69">
        <v>0</v>
      </c>
    </row>
    <row r="70" spans="1:63">
      <c r="A70" t="s">
        <v>48</v>
      </c>
      <c r="B70">
        <v>117</v>
      </c>
      <c r="C70">
        <v>3</v>
      </c>
      <c r="D70">
        <v>0</v>
      </c>
      <c r="E70">
        <v>0</v>
      </c>
      <c r="F70">
        <v>117</v>
      </c>
      <c r="G70">
        <v>3</v>
      </c>
      <c r="H70">
        <v>0</v>
      </c>
      <c r="I70">
        <v>0</v>
      </c>
      <c r="J70">
        <v>119</v>
      </c>
      <c r="K70">
        <v>1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 t="s">
        <v>48</v>
      </c>
      <c r="W70">
        <v>117</v>
      </c>
      <c r="X70">
        <v>3</v>
      </c>
      <c r="Y70">
        <v>0</v>
      </c>
      <c r="Z70">
        <v>0</v>
      </c>
      <c r="AA70">
        <v>117</v>
      </c>
      <c r="AB70">
        <v>3</v>
      </c>
      <c r="AC70">
        <v>0</v>
      </c>
      <c r="AD70">
        <v>0</v>
      </c>
      <c r="AE70">
        <v>119</v>
      </c>
      <c r="AF70">
        <v>1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 t="s">
        <v>48</v>
      </c>
      <c r="AR70">
        <v>117</v>
      </c>
      <c r="AS70">
        <v>3</v>
      </c>
      <c r="AT70">
        <v>0</v>
      </c>
      <c r="AU70">
        <v>0</v>
      </c>
      <c r="AV70">
        <v>117</v>
      </c>
      <c r="AW70">
        <v>3</v>
      </c>
      <c r="AX70">
        <v>0</v>
      </c>
      <c r="AY70">
        <v>0</v>
      </c>
      <c r="AZ70">
        <v>120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120</v>
      </c>
      <c r="BI70">
        <v>0</v>
      </c>
      <c r="BJ70">
        <v>0</v>
      </c>
      <c r="BK70">
        <v>0</v>
      </c>
    </row>
    <row r="71" spans="1:63">
      <c r="A71" t="s">
        <v>103</v>
      </c>
      <c r="B71">
        <v>158</v>
      </c>
      <c r="C71">
        <v>4</v>
      </c>
      <c r="D71">
        <v>0</v>
      </c>
      <c r="E71">
        <v>0</v>
      </c>
      <c r="F71">
        <v>158</v>
      </c>
      <c r="G71">
        <v>4</v>
      </c>
      <c r="H71">
        <v>0</v>
      </c>
      <c r="I71">
        <v>0</v>
      </c>
      <c r="J71">
        <v>161</v>
      </c>
      <c r="K71">
        <v>1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 t="s">
        <v>103</v>
      </c>
      <c r="W71">
        <v>158</v>
      </c>
      <c r="X71">
        <v>4</v>
      </c>
      <c r="Y71">
        <v>0</v>
      </c>
      <c r="Z71">
        <v>0</v>
      </c>
      <c r="AA71">
        <v>158</v>
      </c>
      <c r="AB71">
        <v>4</v>
      </c>
      <c r="AC71">
        <v>0</v>
      </c>
      <c r="AD71">
        <v>0</v>
      </c>
      <c r="AE71">
        <v>161</v>
      </c>
      <c r="AF71">
        <v>1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 t="s">
        <v>103</v>
      </c>
      <c r="AR71">
        <v>158</v>
      </c>
      <c r="AS71">
        <v>4</v>
      </c>
      <c r="AT71">
        <v>0</v>
      </c>
      <c r="AU71">
        <v>0</v>
      </c>
      <c r="AV71">
        <v>158</v>
      </c>
      <c r="AW71">
        <v>4</v>
      </c>
      <c r="AX71">
        <v>0</v>
      </c>
      <c r="AY71">
        <v>0</v>
      </c>
      <c r="AZ71">
        <v>162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162</v>
      </c>
      <c r="BI71">
        <v>0</v>
      </c>
      <c r="BJ71">
        <v>0</v>
      </c>
      <c r="BK71">
        <v>0</v>
      </c>
    </row>
    <row r="72" spans="1:63">
      <c r="A72" t="s">
        <v>31</v>
      </c>
      <c r="B72">
        <v>254</v>
      </c>
      <c r="C72">
        <v>4</v>
      </c>
      <c r="D72">
        <v>0</v>
      </c>
      <c r="E72">
        <v>0</v>
      </c>
      <c r="F72">
        <v>254</v>
      </c>
      <c r="G72">
        <v>4</v>
      </c>
      <c r="H72">
        <v>0</v>
      </c>
      <c r="I72">
        <v>0</v>
      </c>
      <c r="J72">
        <v>257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 t="s">
        <v>31</v>
      </c>
      <c r="W72">
        <v>254</v>
      </c>
      <c r="X72">
        <v>4</v>
      </c>
      <c r="Y72">
        <v>0</v>
      </c>
      <c r="Z72">
        <v>0</v>
      </c>
      <c r="AA72">
        <v>254</v>
      </c>
      <c r="AB72">
        <v>4</v>
      </c>
      <c r="AC72">
        <v>0</v>
      </c>
      <c r="AD72">
        <v>0</v>
      </c>
      <c r="AE72">
        <v>257</v>
      </c>
      <c r="AF72">
        <v>1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 t="s">
        <v>31</v>
      </c>
      <c r="AR72">
        <v>254</v>
      </c>
      <c r="AS72">
        <v>4</v>
      </c>
      <c r="AT72">
        <v>0</v>
      </c>
      <c r="AU72">
        <v>0</v>
      </c>
      <c r="AV72">
        <v>254</v>
      </c>
      <c r="AW72">
        <v>4</v>
      </c>
      <c r="AX72">
        <v>0</v>
      </c>
      <c r="AY72">
        <v>0</v>
      </c>
      <c r="AZ72">
        <v>258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258</v>
      </c>
      <c r="BI72">
        <v>0</v>
      </c>
      <c r="BJ72">
        <v>0</v>
      </c>
      <c r="BK72">
        <v>0</v>
      </c>
    </row>
    <row r="73" spans="1:63">
      <c r="A73" t="s">
        <v>33</v>
      </c>
      <c r="B73">
        <v>299</v>
      </c>
      <c r="C73">
        <v>15</v>
      </c>
      <c r="D73">
        <v>0</v>
      </c>
      <c r="E73">
        <v>0</v>
      </c>
      <c r="F73">
        <v>299</v>
      </c>
      <c r="G73">
        <v>15</v>
      </c>
      <c r="H73">
        <v>0</v>
      </c>
      <c r="I73">
        <v>0</v>
      </c>
      <c r="J73">
        <v>314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 t="s">
        <v>33</v>
      </c>
      <c r="W73">
        <v>299</v>
      </c>
      <c r="X73">
        <v>15</v>
      </c>
      <c r="Y73">
        <v>0</v>
      </c>
      <c r="Z73">
        <v>0</v>
      </c>
      <c r="AA73">
        <v>299</v>
      </c>
      <c r="AB73">
        <v>15</v>
      </c>
      <c r="AC73">
        <v>0</v>
      </c>
      <c r="AD73">
        <v>0</v>
      </c>
      <c r="AE73">
        <v>314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 t="s">
        <v>33</v>
      </c>
      <c r="AR73">
        <v>299</v>
      </c>
      <c r="AS73">
        <v>15</v>
      </c>
      <c r="AT73">
        <v>0</v>
      </c>
      <c r="AU73">
        <v>0</v>
      </c>
      <c r="AV73">
        <v>299</v>
      </c>
      <c r="AW73">
        <v>15</v>
      </c>
      <c r="AX73">
        <v>0</v>
      </c>
      <c r="AY73">
        <v>0</v>
      </c>
      <c r="AZ73">
        <v>314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314</v>
      </c>
      <c r="BI73">
        <v>0</v>
      </c>
      <c r="BJ73">
        <v>0</v>
      </c>
      <c r="BK73">
        <v>0</v>
      </c>
    </row>
    <row r="74" spans="1:63">
      <c r="A74" t="s">
        <v>75</v>
      </c>
      <c r="B74">
        <v>309</v>
      </c>
      <c r="C74">
        <v>3</v>
      </c>
      <c r="D74">
        <v>0</v>
      </c>
      <c r="E74">
        <v>0</v>
      </c>
      <c r="F74">
        <v>309</v>
      </c>
      <c r="G74">
        <v>3</v>
      </c>
      <c r="H74">
        <v>0</v>
      </c>
      <c r="I74">
        <v>0</v>
      </c>
      <c r="J74">
        <v>312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 t="s">
        <v>75</v>
      </c>
      <c r="W74">
        <v>309</v>
      </c>
      <c r="X74">
        <v>3</v>
      </c>
      <c r="Y74">
        <v>0</v>
      </c>
      <c r="Z74">
        <v>0</v>
      </c>
      <c r="AA74">
        <v>309</v>
      </c>
      <c r="AB74">
        <v>3</v>
      </c>
      <c r="AC74">
        <v>0</v>
      </c>
      <c r="AD74">
        <v>0</v>
      </c>
      <c r="AE74">
        <v>312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 t="s">
        <v>75</v>
      </c>
      <c r="AR74">
        <v>309</v>
      </c>
      <c r="AS74">
        <v>3</v>
      </c>
      <c r="AT74">
        <v>0</v>
      </c>
      <c r="AU74">
        <v>0</v>
      </c>
      <c r="AV74">
        <v>309</v>
      </c>
      <c r="AW74">
        <v>3</v>
      </c>
      <c r="AX74">
        <v>0</v>
      </c>
      <c r="AY74">
        <v>0</v>
      </c>
      <c r="AZ74">
        <v>312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312</v>
      </c>
      <c r="BI74">
        <v>0</v>
      </c>
      <c r="BJ74">
        <v>0</v>
      </c>
      <c r="BK74">
        <v>0</v>
      </c>
    </row>
    <row r="75" spans="1:63">
      <c r="A75" t="s">
        <v>23</v>
      </c>
      <c r="B75">
        <v>89</v>
      </c>
      <c r="C75">
        <v>12</v>
      </c>
      <c r="D75">
        <v>0</v>
      </c>
      <c r="E75">
        <v>0</v>
      </c>
      <c r="F75">
        <v>89</v>
      </c>
      <c r="G75">
        <v>12</v>
      </c>
      <c r="H75">
        <v>0</v>
      </c>
      <c r="I75">
        <v>0</v>
      </c>
      <c r="J75">
        <v>240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 t="s">
        <v>23</v>
      </c>
      <c r="W75">
        <v>89</v>
      </c>
      <c r="X75">
        <v>12</v>
      </c>
      <c r="Y75">
        <v>0</v>
      </c>
      <c r="Z75">
        <v>0</v>
      </c>
      <c r="AA75">
        <v>89</v>
      </c>
      <c r="AB75">
        <v>12</v>
      </c>
      <c r="AC75">
        <v>0</v>
      </c>
      <c r="AD75">
        <v>0</v>
      </c>
      <c r="AE75">
        <v>240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 t="s">
        <v>23</v>
      </c>
      <c r="AR75">
        <v>89</v>
      </c>
      <c r="AS75">
        <v>12</v>
      </c>
      <c r="AT75">
        <v>0</v>
      </c>
      <c r="AU75">
        <v>0</v>
      </c>
      <c r="AV75">
        <v>89</v>
      </c>
      <c r="AW75">
        <v>12</v>
      </c>
      <c r="AX75">
        <v>0</v>
      </c>
      <c r="AY75">
        <v>0</v>
      </c>
      <c r="AZ75">
        <v>240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101</v>
      </c>
      <c r="BI75">
        <v>0</v>
      </c>
      <c r="BJ75">
        <v>0</v>
      </c>
      <c r="BK75">
        <v>0</v>
      </c>
    </row>
    <row r="76" spans="1:63">
      <c r="A76" t="s">
        <v>102</v>
      </c>
      <c r="B76">
        <v>62</v>
      </c>
      <c r="C76">
        <v>8</v>
      </c>
      <c r="D76">
        <v>0</v>
      </c>
      <c r="E76">
        <v>0</v>
      </c>
      <c r="F76">
        <v>61</v>
      </c>
      <c r="G76">
        <v>9</v>
      </c>
      <c r="H76">
        <v>0</v>
      </c>
      <c r="I76">
        <v>0</v>
      </c>
      <c r="J76">
        <v>66</v>
      </c>
      <c r="K76">
        <v>4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 t="s">
        <v>102</v>
      </c>
      <c r="W76">
        <v>62</v>
      </c>
      <c r="X76">
        <v>8</v>
      </c>
      <c r="Y76">
        <v>0</v>
      </c>
      <c r="Z76">
        <v>0</v>
      </c>
      <c r="AA76">
        <v>62</v>
      </c>
      <c r="AB76">
        <v>8</v>
      </c>
      <c r="AC76">
        <v>0</v>
      </c>
      <c r="AD76">
        <v>0</v>
      </c>
      <c r="AE76">
        <v>66</v>
      </c>
      <c r="AF76">
        <v>4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 t="s">
        <v>102</v>
      </c>
      <c r="AR76">
        <v>61</v>
      </c>
      <c r="AS76">
        <v>9</v>
      </c>
      <c r="AT76">
        <v>0</v>
      </c>
      <c r="AU76">
        <v>0</v>
      </c>
      <c r="AV76">
        <v>62</v>
      </c>
      <c r="AW76">
        <v>8</v>
      </c>
      <c r="AX76">
        <v>0</v>
      </c>
      <c r="AY76">
        <v>0</v>
      </c>
      <c r="AZ76">
        <v>70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69</v>
      </c>
      <c r="BI76">
        <v>0</v>
      </c>
      <c r="BJ76">
        <v>1</v>
      </c>
      <c r="BK76">
        <v>0</v>
      </c>
    </row>
    <row r="77" spans="1:63">
      <c r="A77" t="s">
        <v>67</v>
      </c>
      <c r="B77">
        <v>147</v>
      </c>
      <c r="C77">
        <v>0</v>
      </c>
      <c r="D77">
        <v>0</v>
      </c>
      <c r="E77">
        <v>0</v>
      </c>
      <c r="F77">
        <v>147</v>
      </c>
      <c r="G77">
        <v>0</v>
      </c>
      <c r="H77">
        <v>0</v>
      </c>
      <c r="I77">
        <v>0</v>
      </c>
      <c r="J77">
        <v>147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 t="s">
        <v>67</v>
      </c>
      <c r="W77">
        <v>147</v>
      </c>
      <c r="X77">
        <v>0</v>
      </c>
      <c r="Y77">
        <v>0</v>
      </c>
      <c r="Z77">
        <v>0</v>
      </c>
      <c r="AA77">
        <v>147</v>
      </c>
      <c r="AB77">
        <v>0</v>
      </c>
      <c r="AC77">
        <v>0</v>
      </c>
      <c r="AD77">
        <v>0</v>
      </c>
      <c r="AE77">
        <v>147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 t="s">
        <v>67</v>
      </c>
      <c r="AR77">
        <v>147</v>
      </c>
      <c r="AS77">
        <v>0</v>
      </c>
      <c r="AT77">
        <v>0</v>
      </c>
      <c r="AU77">
        <v>0</v>
      </c>
      <c r="AV77">
        <v>147</v>
      </c>
      <c r="AW77">
        <v>0</v>
      </c>
      <c r="AX77">
        <v>0</v>
      </c>
      <c r="AY77">
        <v>0</v>
      </c>
      <c r="AZ77">
        <v>147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147</v>
      </c>
      <c r="BI77">
        <v>0</v>
      </c>
      <c r="BJ77">
        <v>0</v>
      </c>
      <c r="BK77">
        <v>0</v>
      </c>
    </row>
    <row r="78" spans="1:63">
      <c r="A78" t="s">
        <v>52</v>
      </c>
      <c r="B78">
        <v>94</v>
      </c>
      <c r="C78">
        <v>19</v>
      </c>
      <c r="D78">
        <v>0</v>
      </c>
      <c r="E78">
        <v>0</v>
      </c>
      <c r="F78">
        <v>94</v>
      </c>
      <c r="G78">
        <v>19</v>
      </c>
      <c r="H78">
        <v>0</v>
      </c>
      <c r="I78">
        <v>0</v>
      </c>
      <c r="J78">
        <v>113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 t="s">
        <v>52</v>
      </c>
      <c r="W78">
        <v>94</v>
      </c>
      <c r="X78">
        <v>19</v>
      </c>
      <c r="Y78">
        <v>0</v>
      </c>
      <c r="Z78">
        <v>0</v>
      </c>
      <c r="AA78">
        <v>94</v>
      </c>
      <c r="AB78">
        <v>19</v>
      </c>
      <c r="AC78">
        <v>0</v>
      </c>
      <c r="AD78">
        <v>0</v>
      </c>
      <c r="AE78">
        <v>113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 t="s">
        <v>52</v>
      </c>
      <c r="AR78">
        <v>94</v>
      </c>
      <c r="AS78">
        <v>19</v>
      </c>
      <c r="AT78">
        <v>0</v>
      </c>
      <c r="AU78">
        <v>0</v>
      </c>
      <c r="AV78">
        <v>94</v>
      </c>
      <c r="AW78">
        <v>19</v>
      </c>
      <c r="AX78">
        <v>0</v>
      </c>
      <c r="AY78">
        <v>0</v>
      </c>
      <c r="AZ78">
        <v>113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113</v>
      </c>
      <c r="BI78">
        <v>0</v>
      </c>
      <c r="BJ78">
        <v>0</v>
      </c>
      <c r="BK78">
        <v>0</v>
      </c>
    </row>
    <row r="79" spans="1:63">
      <c r="A79" t="s">
        <v>74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19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 t="s">
        <v>74</v>
      </c>
      <c r="W79">
        <v>0</v>
      </c>
      <c r="X79">
        <v>0</v>
      </c>
      <c r="Y79">
        <v>0</v>
      </c>
      <c r="Z79">
        <v>0</v>
      </c>
      <c r="AA79">
        <v>13</v>
      </c>
      <c r="AB79">
        <v>6</v>
      </c>
      <c r="AC79">
        <v>0</v>
      </c>
      <c r="AD79">
        <v>0</v>
      </c>
      <c r="AE79">
        <v>19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 t="s">
        <v>74</v>
      </c>
      <c r="AR79">
        <v>0</v>
      </c>
      <c r="AS79">
        <v>0</v>
      </c>
      <c r="AT79">
        <v>0</v>
      </c>
      <c r="AU79">
        <v>0</v>
      </c>
      <c r="AV79">
        <v>13</v>
      </c>
      <c r="AW79">
        <v>6</v>
      </c>
      <c r="AX79">
        <v>0</v>
      </c>
      <c r="AY79">
        <v>0</v>
      </c>
      <c r="AZ79">
        <v>19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I79">
        <v>0</v>
      </c>
      <c r="BJ79">
        <v>0</v>
      </c>
      <c r="BK79">
        <v>0</v>
      </c>
    </row>
    <row r="80" spans="1:63">
      <c r="A80" t="s">
        <v>1</v>
      </c>
      <c r="B80">
        <v>8</v>
      </c>
      <c r="C80">
        <v>0</v>
      </c>
      <c r="D80">
        <v>0</v>
      </c>
      <c r="E80">
        <v>0</v>
      </c>
      <c r="F80">
        <v>8</v>
      </c>
      <c r="G80">
        <v>0</v>
      </c>
      <c r="H80">
        <v>0</v>
      </c>
      <c r="I80">
        <v>0</v>
      </c>
      <c r="J80">
        <v>8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 t="s">
        <v>1</v>
      </c>
      <c r="W80">
        <v>8</v>
      </c>
      <c r="X80">
        <v>0</v>
      </c>
      <c r="Y80">
        <v>0</v>
      </c>
      <c r="Z80">
        <v>0</v>
      </c>
      <c r="AA80">
        <v>8</v>
      </c>
      <c r="AB80">
        <v>0</v>
      </c>
      <c r="AC80">
        <v>0</v>
      </c>
      <c r="AD80">
        <v>0</v>
      </c>
      <c r="AE80">
        <v>8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 t="s">
        <v>1</v>
      </c>
      <c r="AR80">
        <v>8</v>
      </c>
      <c r="AS80">
        <v>0</v>
      </c>
      <c r="AT80">
        <v>0</v>
      </c>
      <c r="AU80">
        <v>0</v>
      </c>
      <c r="AV80">
        <v>8</v>
      </c>
      <c r="AW80">
        <v>0</v>
      </c>
      <c r="AX80">
        <v>0</v>
      </c>
      <c r="AY80">
        <v>0</v>
      </c>
      <c r="AZ80">
        <v>8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8</v>
      </c>
      <c r="BI80">
        <v>0</v>
      </c>
      <c r="BJ80">
        <v>0</v>
      </c>
      <c r="BK80">
        <v>0</v>
      </c>
    </row>
    <row r="81" spans="1:63">
      <c r="A81" t="s">
        <v>0</v>
      </c>
      <c r="B81">
        <v>68</v>
      </c>
      <c r="C81">
        <v>26</v>
      </c>
      <c r="D81">
        <v>0</v>
      </c>
      <c r="E81">
        <v>0</v>
      </c>
      <c r="F81">
        <v>68</v>
      </c>
      <c r="G81">
        <v>26</v>
      </c>
      <c r="H81">
        <v>0</v>
      </c>
      <c r="I81">
        <v>0</v>
      </c>
      <c r="J81">
        <v>74</v>
      </c>
      <c r="K81">
        <v>20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 t="s">
        <v>0</v>
      </c>
      <c r="W81">
        <v>68</v>
      </c>
      <c r="X81">
        <v>26</v>
      </c>
      <c r="Y81">
        <v>0</v>
      </c>
      <c r="Z81">
        <v>0</v>
      </c>
      <c r="AA81">
        <v>68</v>
      </c>
      <c r="AB81">
        <v>26</v>
      </c>
      <c r="AC81">
        <v>0</v>
      </c>
      <c r="AD81">
        <v>0</v>
      </c>
      <c r="AE81">
        <v>74</v>
      </c>
      <c r="AF81">
        <v>20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 t="s">
        <v>0</v>
      </c>
      <c r="AR81">
        <v>68</v>
      </c>
      <c r="AS81">
        <v>26</v>
      </c>
      <c r="AT81">
        <v>0</v>
      </c>
      <c r="AU81">
        <v>0</v>
      </c>
      <c r="AV81">
        <v>68</v>
      </c>
      <c r="AW81">
        <v>26</v>
      </c>
      <c r="AX81">
        <v>0</v>
      </c>
      <c r="AY81">
        <v>0</v>
      </c>
      <c r="AZ81">
        <v>94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0</v>
      </c>
      <c r="BJ81">
        <v>0</v>
      </c>
      <c r="BK81">
        <v>0</v>
      </c>
    </row>
    <row r="82" spans="1:63">
      <c r="A82" t="s">
        <v>90</v>
      </c>
      <c r="B82">
        <v>5</v>
      </c>
      <c r="C82">
        <v>0</v>
      </c>
      <c r="D82">
        <v>0</v>
      </c>
      <c r="E82">
        <v>0</v>
      </c>
      <c r="F82">
        <v>5</v>
      </c>
      <c r="G82">
        <v>0</v>
      </c>
      <c r="H82">
        <v>0</v>
      </c>
      <c r="I82">
        <v>0</v>
      </c>
      <c r="J82">
        <v>5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 t="s">
        <v>90</v>
      </c>
      <c r="W82">
        <v>5</v>
      </c>
      <c r="X82">
        <v>0</v>
      </c>
      <c r="Y82">
        <v>0</v>
      </c>
      <c r="Z82">
        <v>0</v>
      </c>
      <c r="AA82">
        <v>5</v>
      </c>
      <c r="AB82">
        <v>0</v>
      </c>
      <c r="AC82">
        <v>0</v>
      </c>
      <c r="AD82">
        <v>0</v>
      </c>
      <c r="AE82">
        <v>5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 t="s">
        <v>90</v>
      </c>
      <c r="AR82">
        <v>5</v>
      </c>
      <c r="AS82">
        <v>0</v>
      </c>
      <c r="AT82">
        <v>0</v>
      </c>
      <c r="AU82">
        <v>0</v>
      </c>
      <c r="AV82">
        <v>5</v>
      </c>
      <c r="AW82">
        <v>0</v>
      </c>
      <c r="AX82">
        <v>0</v>
      </c>
      <c r="AY82">
        <v>0</v>
      </c>
      <c r="AZ82">
        <v>5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0</v>
      </c>
      <c r="BJ82">
        <v>0</v>
      </c>
      <c r="BK82">
        <v>0</v>
      </c>
    </row>
    <row r="83" spans="1:63">
      <c r="A83" t="s">
        <v>65</v>
      </c>
      <c r="B83">
        <v>50</v>
      </c>
      <c r="C83">
        <v>0</v>
      </c>
      <c r="D83">
        <v>0</v>
      </c>
      <c r="E83">
        <v>0</v>
      </c>
      <c r="F83">
        <v>50</v>
      </c>
      <c r="G83">
        <v>0</v>
      </c>
      <c r="H83">
        <v>0</v>
      </c>
      <c r="I83">
        <v>0</v>
      </c>
      <c r="J83">
        <v>50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 t="s">
        <v>65</v>
      </c>
      <c r="W83">
        <v>50</v>
      </c>
      <c r="X83">
        <v>0</v>
      </c>
      <c r="Y83">
        <v>0</v>
      </c>
      <c r="Z83">
        <v>0</v>
      </c>
      <c r="AA83">
        <v>50</v>
      </c>
      <c r="AB83">
        <v>0</v>
      </c>
      <c r="AC83">
        <v>0</v>
      </c>
      <c r="AD83">
        <v>0</v>
      </c>
      <c r="AE83">
        <v>50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 t="s">
        <v>65</v>
      </c>
      <c r="AR83">
        <v>50</v>
      </c>
      <c r="AS83">
        <v>0</v>
      </c>
      <c r="AT83">
        <v>0</v>
      </c>
      <c r="AU83">
        <v>0</v>
      </c>
      <c r="AV83">
        <v>50</v>
      </c>
      <c r="AW83">
        <v>0</v>
      </c>
      <c r="AX83">
        <v>0</v>
      </c>
      <c r="AY83">
        <v>0</v>
      </c>
      <c r="AZ83">
        <v>50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0</v>
      </c>
      <c r="BK83">
        <v>0</v>
      </c>
    </row>
    <row r="84" spans="1:63">
      <c r="A84" t="s">
        <v>86</v>
      </c>
      <c r="B84">
        <v>33</v>
      </c>
      <c r="C84">
        <v>0</v>
      </c>
      <c r="D84">
        <v>0</v>
      </c>
      <c r="E84">
        <v>0</v>
      </c>
      <c r="F84">
        <v>33</v>
      </c>
      <c r="G84">
        <v>0</v>
      </c>
      <c r="H84">
        <v>0</v>
      </c>
      <c r="I84">
        <v>0</v>
      </c>
      <c r="J84">
        <v>33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 t="s">
        <v>86</v>
      </c>
      <c r="W84">
        <v>33</v>
      </c>
      <c r="X84">
        <v>0</v>
      </c>
      <c r="Y84">
        <v>0</v>
      </c>
      <c r="Z84">
        <v>0</v>
      </c>
      <c r="AA84">
        <v>33</v>
      </c>
      <c r="AB84">
        <v>0</v>
      </c>
      <c r="AC84">
        <v>0</v>
      </c>
      <c r="AD84">
        <v>0</v>
      </c>
      <c r="AE84">
        <v>33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 t="s">
        <v>86</v>
      </c>
      <c r="AR84">
        <v>33</v>
      </c>
      <c r="AS84">
        <v>0</v>
      </c>
      <c r="AT84">
        <v>0</v>
      </c>
      <c r="AU84">
        <v>0</v>
      </c>
      <c r="AV84">
        <v>33</v>
      </c>
      <c r="AW84">
        <v>0</v>
      </c>
      <c r="AX84">
        <v>0</v>
      </c>
      <c r="AY84">
        <v>0</v>
      </c>
      <c r="AZ84">
        <v>33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0</v>
      </c>
      <c r="BK84">
        <v>0</v>
      </c>
    </row>
    <row r="85" spans="1:63">
      <c r="A85" t="s">
        <v>88</v>
      </c>
      <c r="B85">
        <v>55</v>
      </c>
      <c r="C85">
        <v>1</v>
      </c>
      <c r="D85">
        <v>0</v>
      </c>
      <c r="E85">
        <v>0</v>
      </c>
      <c r="F85">
        <v>55</v>
      </c>
      <c r="G85">
        <v>1</v>
      </c>
      <c r="H85">
        <v>0</v>
      </c>
      <c r="I85">
        <v>0</v>
      </c>
      <c r="J85">
        <v>56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 t="s">
        <v>88</v>
      </c>
      <c r="W85">
        <v>55</v>
      </c>
      <c r="X85">
        <v>1</v>
      </c>
      <c r="Y85">
        <v>0</v>
      </c>
      <c r="Z85">
        <v>0</v>
      </c>
      <c r="AA85">
        <v>55</v>
      </c>
      <c r="AB85">
        <v>1</v>
      </c>
      <c r="AC85">
        <v>0</v>
      </c>
      <c r="AD85">
        <v>0</v>
      </c>
      <c r="AE85">
        <v>56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 t="s">
        <v>88</v>
      </c>
      <c r="AR85">
        <v>55</v>
      </c>
      <c r="AS85">
        <v>1</v>
      </c>
      <c r="AT85">
        <v>0</v>
      </c>
      <c r="AU85">
        <v>0</v>
      </c>
      <c r="AV85">
        <v>55</v>
      </c>
      <c r="AW85">
        <v>1</v>
      </c>
      <c r="AX85">
        <v>0</v>
      </c>
      <c r="AY85">
        <v>0</v>
      </c>
      <c r="AZ85">
        <v>56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</v>
      </c>
      <c r="BJ85">
        <v>0</v>
      </c>
      <c r="BK85">
        <v>0</v>
      </c>
    </row>
    <row r="86" spans="1:63">
      <c r="A86" t="s">
        <v>77</v>
      </c>
      <c r="B86">
        <v>85</v>
      </c>
      <c r="C86">
        <v>3</v>
      </c>
      <c r="D86">
        <v>0</v>
      </c>
      <c r="E86">
        <v>0</v>
      </c>
      <c r="F86">
        <v>85</v>
      </c>
      <c r="G86">
        <v>3</v>
      </c>
      <c r="H86">
        <v>0</v>
      </c>
      <c r="I86">
        <v>0</v>
      </c>
      <c r="J86">
        <v>88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 t="s">
        <v>77</v>
      </c>
      <c r="W86">
        <v>85</v>
      </c>
      <c r="X86">
        <v>3</v>
      </c>
      <c r="Y86">
        <v>0</v>
      </c>
      <c r="Z86">
        <v>0</v>
      </c>
      <c r="AA86">
        <v>85</v>
      </c>
      <c r="AB86">
        <v>3</v>
      </c>
      <c r="AC86">
        <v>0</v>
      </c>
      <c r="AD86">
        <v>0</v>
      </c>
      <c r="AE86">
        <v>88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 t="s">
        <v>77</v>
      </c>
      <c r="AR86">
        <v>85</v>
      </c>
      <c r="AS86">
        <v>3</v>
      </c>
      <c r="AT86">
        <v>0</v>
      </c>
      <c r="AU86">
        <v>0</v>
      </c>
      <c r="AV86">
        <v>85</v>
      </c>
      <c r="AW86">
        <v>3</v>
      </c>
      <c r="AX86">
        <v>0</v>
      </c>
      <c r="AY86">
        <v>0</v>
      </c>
      <c r="AZ86">
        <v>88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</v>
      </c>
      <c r="BJ86">
        <v>0</v>
      </c>
      <c r="BK86">
        <v>0</v>
      </c>
    </row>
    <row r="87" spans="1:63">
      <c r="A87" t="s">
        <v>17</v>
      </c>
      <c r="B87">
        <v>35</v>
      </c>
      <c r="C87">
        <v>1</v>
      </c>
      <c r="D87">
        <v>0</v>
      </c>
      <c r="E87">
        <v>0</v>
      </c>
      <c r="F87">
        <v>35</v>
      </c>
      <c r="G87">
        <v>1</v>
      </c>
      <c r="H87">
        <v>0</v>
      </c>
      <c r="I87">
        <v>0</v>
      </c>
      <c r="J87">
        <v>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 t="s">
        <v>17</v>
      </c>
      <c r="W87">
        <v>35</v>
      </c>
      <c r="X87">
        <v>1</v>
      </c>
      <c r="Y87">
        <v>0</v>
      </c>
      <c r="Z87">
        <v>0</v>
      </c>
      <c r="AA87">
        <v>35</v>
      </c>
      <c r="AB87">
        <v>1</v>
      </c>
      <c r="AC87">
        <v>0</v>
      </c>
      <c r="AD87">
        <v>0</v>
      </c>
      <c r="AE87">
        <v>36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 t="s">
        <v>17</v>
      </c>
      <c r="AR87">
        <v>35</v>
      </c>
      <c r="AS87">
        <v>1</v>
      </c>
      <c r="AT87">
        <v>0</v>
      </c>
      <c r="AU87">
        <v>0</v>
      </c>
      <c r="AV87">
        <v>35</v>
      </c>
      <c r="AW87">
        <v>1</v>
      </c>
      <c r="AX87">
        <v>0</v>
      </c>
      <c r="AY87">
        <v>0</v>
      </c>
      <c r="AZ87">
        <v>36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</row>
    <row r="88" spans="1:63">
      <c r="A88" t="s">
        <v>35</v>
      </c>
      <c r="B88">
        <v>11</v>
      </c>
      <c r="C88">
        <v>0</v>
      </c>
      <c r="D88">
        <v>0</v>
      </c>
      <c r="E88">
        <v>0</v>
      </c>
      <c r="F88">
        <v>11</v>
      </c>
      <c r="G88">
        <v>0</v>
      </c>
      <c r="H88">
        <v>0</v>
      </c>
      <c r="I88">
        <v>0</v>
      </c>
      <c r="J88">
        <v>11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 t="s">
        <v>35</v>
      </c>
      <c r="W88">
        <v>11</v>
      </c>
      <c r="X88">
        <v>0</v>
      </c>
      <c r="Y88">
        <v>0</v>
      </c>
      <c r="Z88">
        <v>0</v>
      </c>
      <c r="AA88">
        <v>11</v>
      </c>
      <c r="AB88">
        <v>0</v>
      </c>
      <c r="AC88">
        <v>0</v>
      </c>
      <c r="AD88">
        <v>0</v>
      </c>
      <c r="AE88">
        <v>11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 t="s">
        <v>35</v>
      </c>
      <c r="AR88">
        <v>11</v>
      </c>
      <c r="AS88">
        <v>0</v>
      </c>
      <c r="AT88">
        <v>0</v>
      </c>
      <c r="AU88">
        <v>0</v>
      </c>
      <c r="AV88">
        <v>11</v>
      </c>
      <c r="AW88">
        <v>0</v>
      </c>
      <c r="AX88">
        <v>0</v>
      </c>
      <c r="AY88">
        <v>0</v>
      </c>
      <c r="AZ88">
        <v>11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0</v>
      </c>
      <c r="BJ88">
        <v>0</v>
      </c>
      <c r="BK88">
        <v>0</v>
      </c>
    </row>
    <row r="89" spans="1:63">
      <c r="A89" t="s">
        <v>83</v>
      </c>
      <c r="B89">
        <v>82</v>
      </c>
      <c r="C89">
        <v>0</v>
      </c>
      <c r="D89">
        <v>0</v>
      </c>
      <c r="E89">
        <v>0</v>
      </c>
      <c r="F89">
        <v>82</v>
      </c>
      <c r="G89">
        <v>0</v>
      </c>
      <c r="H89">
        <v>0</v>
      </c>
      <c r="I89">
        <v>0</v>
      </c>
      <c r="J89">
        <v>82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 t="s">
        <v>83</v>
      </c>
      <c r="W89">
        <v>82</v>
      </c>
      <c r="X89">
        <v>0</v>
      </c>
      <c r="Y89">
        <v>0</v>
      </c>
      <c r="Z89">
        <v>0</v>
      </c>
      <c r="AA89">
        <v>82</v>
      </c>
      <c r="AB89">
        <v>0</v>
      </c>
      <c r="AC89">
        <v>0</v>
      </c>
      <c r="AD89">
        <v>0</v>
      </c>
      <c r="AE89">
        <v>82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 t="s">
        <v>83</v>
      </c>
      <c r="AR89">
        <v>82</v>
      </c>
      <c r="AS89">
        <v>0</v>
      </c>
      <c r="AT89">
        <v>0</v>
      </c>
      <c r="AU89">
        <v>0</v>
      </c>
      <c r="AV89">
        <v>82</v>
      </c>
      <c r="AW89">
        <v>0</v>
      </c>
      <c r="AX89">
        <v>0</v>
      </c>
      <c r="AY89">
        <v>0</v>
      </c>
      <c r="AZ89">
        <v>82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0</v>
      </c>
      <c r="BJ89">
        <v>0</v>
      </c>
      <c r="BK89">
        <v>0</v>
      </c>
    </row>
    <row r="90" spans="1:63">
      <c r="A90" t="s">
        <v>80</v>
      </c>
      <c r="B90">
        <v>126</v>
      </c>
      <c r="C90">
        <v>6</v>
      </c>
      <c r="D90">
        <v>0</v>
      </c>
      <c r="E90">
        <v>0</v>
      </c>
      <c r="F90">
        <v>126</v>
      </c>
      <c r="G90">
        <v>6</v>
      </c>
      <c r="H90">
        <v>0</v>
      </c>
      <c r="I90">
        <v>0</v>
      </c>
      <c r="J90">
        <v>132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 t="s">
        <v>80</v>
      </c>
      <c r="W90">
        <v>126</v>
      </c>
      <c r="X90">
        <v>6</v>
      </c>
      <c r="Y90">
        <v>0</v>
      </c>
      <c r="Z90">
        <v>0</v>
      </c>
      <c r="AA90">
        <v>126</v>
      </c>
      <c r="AB90">
        <v>6</v>
      </c>
      <c r="AC90">
        <v>0</v>
      </c>
      <c r="AD90">
        <v>0</v>
      </c>
      <c r="AE90">
        <v>132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 t="s">
        <v>80</v>
      </c>
      <c r="AR90">
        <v>126</v>
      </c>
      <c r="AS90">
        <v>6</v>
      </c>
      <c r="AT90">
        <v>0</v>
      </c>
      <c r="AU90">
        <v>0</v>
      </c>
      <c r="AV90">
        <v>126</v>
      </c>
      <c r="AW90">
        <v>6</v>
      </c>
      <c r="AX90">
        <v>0</v>
      </c>
      <c r="AY90">
        <v>0</v>
      </c>
      <c r="AZ90">
        <v>132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0</v>
      </c>
      <c r="BJ90">
        <v>0</v>
      </c>
      <c r="BK90">
        <v>0</v>
      </c>
    </row>
    <row r="91" spans="1:63">
      <c r="A91" t="s">
        <v>10</v>
      </c>
      <c r="B91">
        <v>30</v>
      </c>
      <c r="C91">
        <v>0</v>
      </c>
      <c r="D91">
        <v>0</v>
      </c>
      <c r="E91">
        <v>0</v>
      </c>
      <c r="F91">
        <v>30</v>
      </c>
      <c r="G91">
        <v>0</v>
      </c>
      <c r="H91">
        <v>0</v>
      </c>
      <c r="I91">
        <v>0</v>
      </c>
      <c r="J91">
        <v>30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 t="s">
        <v>10</v>
      </c>
      <c r="W91">
        <v>30</v>
      </c>
      <c r="X91">
        <v>0</v>
      </c>
      <c r="Y91">
        <v>0</v>
      </c>
      <c r="Z91">
        <v>0</v>
      </c>
      <c r="AA91">
        <v>30</v>
      </c>
      <c r="AB91">
        <v>0</v>
      </c>
      <c r="AC91">
        <v>0</v>
      </c>
      <c r="AD91">
        <v>0</v>
      </c>
      <c r="AE91">
        <v>30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 t="s">
        <v>10</v>
      </c>
      <c r="AR91">
        <v>30</v>
      </c>
      <c r="AS91">
        <v>0</v>
      </c>
      <c r="AT91">
        <v>0</v>
      </c>
      <c r="AU91">
        <v>0</v>
      </c>
      <c r="AV91">
        <v>30</v>
      </c>
      <c r="AW91">
        <v>0</v>
      </c>
      <c r="AX91">
        <v>0</v>
      </c>
      <c r="AY91">
        <v>0</v>
      </c>
      <c r="AZ91">
        <v>30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0</v>
      </c>
      <c r="BJ91">
        <v>0</v>
      </c>
      <c r="BK91">
        <v>0</v>
      </c>
    </row>
    <row r="92" spans="1:63">
      <c r="A92" t="s">
        <v>97</v>
      </c>
      <c r="B92">
        <v>41</v>
      </c>
      <c r="C92">
        <v>0</v>
      </c>
      <c r="D92">
        <v>0</v>
      </c>
      <c r="E92">
        <v>0</v>
      </c>
      <c r="F92">
        <v>41</v>
      </c>
      <c r="G92">
        <v>0</v>
      </c>
      <c r="H92">
        <v>0</v>
      </c>
      <c r="I92">
        <v>0</v>
      </c>
      <c r="J92">
        <v>41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 t="s">
        <v>97</v>
      </c>
      <c r="W92">
        <v>41</v>
      </c>
      <c r="X92">
        <v>0</v>
      </c>
      <c r="Y92">
        <v>0</v>
      </c>
      <c r="Z92">
        <v>0</v>
      </c>
      <c r="AA92">
        <v>41</v>
      </c>
      <c r="AB92">
        <v>0</v>
      </c>
      <c r="AC92">
        <v>0</v>
      </c>
      <c r="AD92">
        <v>0</v>
      </c>
      <c r="AE92">
        <v>41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 t="s">
        <v>97</v>
      </c>
      <c r="AR92">
        <v>41</v>
      </c>
      <c r="AS92">
        <v>0</v>
      </c>
      <c r="AT92">
        <v>0</v>
      </c>
      <c r="AU92">
        <v>0</v>
      </c>
      <c r="AV92">
        <v>41</v>
      </c>
      <c r="AW92">
        <v>0</v>
      </c>
      <c r="AX92">
        <v>0</v>
      </c>
      <c r="AY92">
        <v>0</v>
      </c>
      <c r="AZ92">
        <v>41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I92">
        <v>0</v>
      </c>
      <c r="BJ92">
        <v>0</v>
      </c>
      <c r="BK92">
        <v>0</v>
      </c>
    </row>
    <row r="93" spans="1:63">
      <c r="A93" t="s">
        <v>15</v>
      </c>
      <c r="B93">
        <v>7</v>
      </c>
      <c r="C93">
        <v>0</v>
      </c>
      <c r="D93">
        <v>0</v>
      </c>
      <c r="E93">
        <v>0</v>
      </c>
      <c r="F93">
        <v>7</v>
      </c>
      <c r="G93">
        <v>0</v>
      </c>
      <c r="H93">
        <v>0</v>
      </c>
      <c r="I93">
        <v>0</v>
      </c>
      <c r="J93">
        <v>7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 t="s">
        <v>15</v>
      </c>
      <c r="W93">
        <v>7</v>
      </c>
      <c r="X93">
        <v>0</v>
      </c>
      <c r="Y93">
        <v>0</v>
      </c>
      <c r="Z93">
        <v>0</v>
      </c>
      <c r="AA93">
        <v>7</v>
      </c>
      <c r="AB93">
        <v>0</v>
      </c>
      <c r="AC93">
        <v>0</v>
      </c>
      <c r="AD93">
        <v>0</v>
      </c>
      <c r="AE93">
        <v>7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 t="s">
        <v>15</v>
      </c>
      <c r="AR93">
        <v>7</v>
      </c>
      <c r="AS93">
        <v>0</v>
      </c>
      <c r="AT93">
        <v>0</v>
      </c>
      <c r="AU93">
        <v>0</v>
      </c>
      <c r="AV93">
        <v>7</v>
      </c>
      <c r="AW93">
        <v>0</v>
      </c>
      <c r="AX93">
        <v>0</v>
      </c>
      <c r="AY93">
        <v>0</v>
      </c>
      <c r="AZ93">
        <v>7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0</v>
      </c>
      <c r="BJ93">
        <v>0</v>
      </c>
      <c r="BK93">
        <v>0</v>
      </c>
    </row>
    <row r="94" spans="1:63">
      <c r="A94" t="s">
        <v>61</v>
      </c>
      <c r="B94">
        <v>48</v>
      </c>
      <c r="C94">
        <v>5</v>
      </c>
      <c r="D94">
        <v>0</v>
      </c>
      <c r="E94">
        <v>0</v>
      </c>
      <c r="F94">
        <v>48</v>
      </c>
      <c r="G94">
        <v>5</v>
      </c>
      <c r="H94">
        <v>0</v>
      </c>
      <c r="I94">
        <v>0</v>
      </c>
      <c r="J94">
        <v>53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 t="s">
        <v>61</v>
      </c>
      <c r="W94">
        <v>48</v>
      </c>
      <c r="X94">
        <v>5</v>
      </c>
      <c r="Y94">
        <v>0</v>
      </c>
      <c r="Z94">
        <v>0</v>
      </c>
      <c r="AA94">
        <v>48</v>
      </c>
      <c r="AB94">
        <v>5</v>
      </c>
      <c r="AC94">
        <v>0</v>
      </c>
      <c r="AD94">
        <v>0</v>
      </c>
      <c r="AE94">
        <v>53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 t="s">
        <v>61</v>
      </c>
      <c r="AR94">
        <v>48</v>
      </c>
      <c r="AS94">
        <v>5</v>
      </c>
      <c r="AT94">
        <v>0</v>
      </c>
      <c r="AU94">
        <v>0</v>
      </c>
      <c r="AV94">
        <v>48</v>
      </c>
      <c r="AW94">
        <v>5</v>
      </c>
      <c r="AX94">
        <v>0</v>
      </c>
      <c r="AY94">
        <v>0</v>
      </c>
      <c r="AZ94">
        <v>53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0</v>
      </c>
      <c r="BJ94">
        <v>0</v>
      </c>
      <c r="BK94">
        <v>0</v>
      </c>
    </row>
    <row r="95" spans="1:63">
      <c r="A95" t="s">
        <v>49</v>
      </c>
      <c r="B95">
        <v>18</v>
      </c>
      <c r="C95">
        <v>1</v>
      </c>
      <c r="D95">
        <v>0</v>
      </c>
      <c r="E95">
        <v>0</v>
      </c>
      <c r="F95">
        <v>18</v>
      </c>
      <c r="G95">
        <v>1</v>
      </c>
      <c r="H95">
        <v>0</v>
      </c>
      <c r="I95">
        <v>0</v>
      </c>
      <c r="J95">
        <v>19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 t="s">
        <v>49</v>
      </c>
      <c r="W95">
        <v>18</v>
      </c>
      <c r="X95">
        <v>1</v>
      </c>
      <c r="Y95">
        <v>0</v>
      </c>
      <c r="Z95">
        <v>0</v>
      </c>
      <c r="AA95">
        <v>18</v>
      </c>
      <c r="AB95">
        <v>1</v>
      </c>
      <c r="AC95">
        <v>0</v>
      </c>
      <c r="AD95">
        <v>0</v>
      </c>
      <c r="AE95">
        <v>19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 t="s">
        <v>49</v>
      </c>
      <c r="AR95">
        <v>18</v>
      </c>
      <c r="AS95">
        <v>1</v>
      </c>
      <c r="AT95">
        <v>0</v>
      </c>
      <c r="AU95">
        <v>0</v>
      </c>
      <c r="AV95">
        <v>18</v>
      </c>
      <c r="AW95">
        <v>1</v>
      </c>
      <c r="AX95">
        <v>0</v>
      </c>
      <c r="AY95">
        <v>0</v>
      </c>
      <c r="AZ95">
        <v>19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0</v>
      </c>
      <c r="BI95">
        <v>0</v>
      </c>
      <c r="BJ95">
        <v>0</v>
      </c>
      <c r="BK95">
        <v>0</v>
      </c>
    </row>
    <row r="96" spans="1:63">
      <c r="A96" t="s">
        <v>78</v>
      </c>
      <c r="B96">
        <v>15</v>
      </c>
      <c r="C96">
        <v>0</v>
      </c>
      <c r="D96">
        <v>0</v>
      </c>
      <c r="E96">
        <v>0</v>
      </c>
      <c r="F96">
        <v>15</v>
      </c>
      <c r="G96">
        <v>0</v>
      </c>
      <c r="H96">
        <v>0</v>
      </c>
      <c r="I96">
        <v>0</v>
      </c>
      <c r="J96">
        <v>15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 t="s">
        <v>78</v>
      </c>
      <c r="W96">
        <v>15</v>
      </c>
      <c r="X96">
        <v>0</v>
      </c>
      <c r="Y96">
        <v>0</v>
      </c>
      <c r="Z96">
        <v>0</v>
      </c>
      <c r="AA96">
        <v>15</v>
      </c>
      <c r="AB96">
        <v>0</v>
      </c>
      <c r="AC96">
        <v>0</v>
      </c>
      <c r="AD96">
        <v>0</v>
      </c>
      <c r="AE96">
        <v>15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 t="s">
        <v>78</v>
      </c>
      <c r="AR96">
        <v>15</v>
      </c>
      <c r="AS96">
        <v>0</v>
      </c>
      <c r="AT96">
        <v>0</v>
      </c>
      <c r="AU96">
        <v>0</v>
      </c>
      <c r="AV96">
        <v>15</v>
      </c>
      <c r="AW96">
        <v>0</v>
      </c>
      <c r="AX96">
        <v>0</v>
      </c>
      <c r="AY96">
        <v>0</v>
      </c>
      <c r="AZ96">
        <v>15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0</v>
      </c>
      <c r="BI96">
        <v>0</v>
      </c>
      <c r="BJ96">
        <v>0</v>
      </c>
      <c r="BK96">
        <v>0</v>
      </c>
    </row>
    <row r="97" spans="1:16384">
      <c r="A97" t="s">
        <v>73</v>
      </c>
      <c r="B97">
        <v>28</v>
      </c>
      <c r="C97">
        <v>3</v>
      </c>
      <c r="D97">
        <v>0</v>
      </c>
      <c r="E97">
        <v>0</v>
      </c>
      <c r="F97">
        <v>28</v>
      </c>
      <c r="G97">
        <v>3</v>
      </c>
      <c r="H97">
        <v>0</v>
      </c>
      <c r="I97">
        <v>0</v>
      </c>
      <c r="J97">
        <v>31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 t="s">
        <v>73</v>
      </c>
      <c r="W97">
        <v>28</v>
      </c>
      <c r="X97">
        <v>3</v>
      </c>
      <c r="Y97">
        <v>0</v>
      </c>
      <c r="Z97">
        <v>0</v>
      </c>
      <c r="AA97">
        <v>28</v>
      </c>
      <c r="AB97">
        <v>3</v>
      </c>
      <c r="AC97">
        <v>0</v>
      </c>
      <c r="AD97">
        <v>0</v>
      </c>
      <c r="AE97">
        <v>31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 t="s">
        <v>73</v>
      </c>
      <c r="AR97">
        <v>28</v>
      </c>
      <c r="AS97">
        <v>3</v>
      </c>
      <c r="AT97">
        <v>0</v>
      </c>
      <c r="AU97">
        <v>0</v>
      </c>
      <c r="AV97">
        <v>28</v>
      </c>
      <c r="AW97">
        <v>3</v>
      </c>
      <c r="AX97">
        <v>0</v>
      </c>
      <c r="AY97">
        <v>0</v>
      </c>
      <c r="AZ97">
        <v>31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</v>
      </c>
      <c r="BJ97">
        <v>0</v>
      </c>
      <c r="BK97">
        <v>0</v>
      </c>
    </row>
    <row r="98" spans="1:16384">
      <c r="A98" t="s">
        <v>63</v>
      </c>
      <c r="B98">
        <v>29</v>
      </c>
      <c r="C98">
        <v>0</v>
      </c>
      <c r="D98">
        <v>0</v>
      </c>
      <c r="E98">
        <v>0</v>
      </c>
      <c r="F98">
        <v>29</v>
      </c>
      <c r="G98">
        <v>0</v>
      </c>
      <c r="H98">
        <v>0</v>
      </c>
      <c r="I98">
        <v>0</v>
      </c>
      <c r="J98">
        <v>29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 t="s">
        <v>63</v>
      </c>
      <c r="W98">
        <v>29</v>
      </c>
      <c r="X98">
        <v>0</v>
      </c>
      <c r="Y98">
        <v>0</v>
      </c>
      <c r="Z98">
        <v>0</v>
      </c>
      <c r="AA98">
        <v>29</v>
      </c>
      <c r="AB98">
        <v>0</v>
      </c>
      <c r="AC98">
        <v>0</v>
      </c>
      <c r="AD98">
        <v>0</v>
      </c>
      <c r="AE98">
        <v>29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 t="s">
        <v>63</v>
      </c>
      <c r="AR98">
        <v>29</v>
      </c>
      <c r="AS98">
        <v>0</v>
      </c>
      <c r="AT98">
        <v>0</v>
      </c>
      <c r="AU98">
        <v>0</v>
      </c>
      <c r="AV98">
        <v>29</v>
      </c>
      <c r="AW98">
        <v>0</v>
      </c>
      <c r="AX98">
        <v>0</v>
      </c>
      <c r="AY98">
        <v>0</v>
      </c>
      <c r="AZ98">
        <v>29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I98">
        <v>0</v>
      </c>
      <c r="BJ98">
        <v>0</v>
      </c>
      <c r="BK98">
        <v>0</v>
      </c>
    </row>
    <row r="99" spans="1:16384">
      <c r="A99" t="s">
        <v>59</v>
      </c>
      <c r="B99">
        <v>22</v>
      </c>
      <c r="C99">
        <v>0</v>
      </c>
      <c r="D99">
        <v>0</v>
      </c>
      <c r="E99">
        <v>0</v>
      </c>
      <c r="F99">
        <v>22</v>
      </c>
      <c r="G99">
        <v>0</v>
      </c>
      <c r="H99">
        <v>0</v>
      </c>
      <c r="I99">
        <v>0</v>
      </c>
      <c r="J99">
        <v>22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 t="s">
        <v>59</v>
      </c>
      <c r="W99">
        <v>22</v>
      </c>
      <c r="X99">
        <v>0</v>
      </c>
      <c r="Y99">
        <v>0</v>
      </c>
      <c r="Z99">
        <v>0</v>
      </c>
      <c r="AA99">
        <v>22</v>
      </c>
      <c r="AB99">
        <v>0</v>
      </c>
      <c r="AC99">
        <v>0</v>
      </c>
      <c r="AD99">
        <v>0</v>
      </c>
      <c r="AE99">
        <v>22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 t="s">
        <v>59</v>
      </c>
      <c r="AR99">
        <v>22</v>
      </c>
      <c r="AS99">
        <v>0</v>
      </c>
      <c r="AT99">
        <v>0</v>
      </c>
      <c r="AU99">
        <v>0</v>
      </c>
      <c r="AV99">
        <v>22</v>
      </c>
      <c r="AW99">
        <v>0</v>
      </c>
      <c r="AX99">
        <v>0</v>
      </c>
      <c r="AY99">
        <v>0</v>
      </c>
      <c r="AZ99">
        <v>22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0</v>
      </c>
      <c r="BJ99">
        <v>0</v>
      </c>
      <c r="BK99">
        <v>0</v>
      </c>
    </row>
    <row r="100" spans="1:16384">
      <c r="A100" t="s">
        <v>68</v>
      </c>
      <c r="B100">
        <v>130</v>
      </c>
      <c r="C100">
        <v>4</v>
      </c>
      <c r="D100">
        <v>0</v>
      </c>
      <c r="E100">
        <v>0</v>
      </c>
      <c r="F100">
        <v>130</v>
      </c>
      <c r="G100">
        <v>4</v>
      </c>
      <c r="H100">
        <v>0</v>
      </c>
      <c r="I100">
        <v>0</v>
      </c>
      <c r="J100">
        <v>134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 t="s">
        <v>68</v>
      </c>
      <c r="W100">
        <v>130</v>
      </c>
      <c r="X100">
        <v>4</v>
      </c>
      <c r="Y100">
        <v>0</v>
      </c>
      <c r="Z100">
        <v>0</v>
      </c>
      <c r="AA100">
        <v>130</v>
      </c>
      <c r="AB100">
        <v>4</v>
      </c>
      <c r="AC100">
        <v>0</v>
      </c>
      <c r="AD100">
        <v>0</v>
      </c>
      <c r="AE100">
        <v>134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 t="s">
        <v>68</v>
      </c>
      <c r="AR100">
        <v>130</v>
      </c>
      <c r="AS100">
        <v>4</v>
      </c>
      <c r="AT100">
        <v>0</v>
      </c>
      <c r="AU100">
        <v>0</v>
      </c>
      <c r="AV100">
        <v>130</v>
      </c>
      <c r="AW100">
        <v>4</v>
      </c>
      <c r="AX100">
        <v>0</v>
      </c>
      <c r="AY100">
        <v>0</v>
      </c>
      <c r="AZ100">
        <v>134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0</v>
      </c>
    </row>
    <row r="101" spans="1:16384">
      <c r="A101" t="s">
        <v>34</v>
      </c>
      <c r="B101">
        <v>111</v>
      </c>
      <c r="C101">
        <v>0</v>
      </c>
      <c r="D101">
        <v>0</v>
      </c>
      <c r="E101">
        <v>0</v>
      </c>
      <c r="F101">
        <v>111</v>
      </c>
      <c r="G101">
        <v>0</v>
      </c>
      <c r="H101">
        <v>0</v>
      </c>
      <c r="I101">
        <v>0</v>
      </c>
      <c r="J101">
        <v>111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 t="s">
        <v>34</v>
      </c>
      <c r="W101">
        <v>111</v>
      </c>
      <c r="X101">
        <v>0</v>
      </c>
      <c r="Y101">
        <v>0</v>
      </c>
      <c r="Z101">
        <v>0</v>
      </c>
      <c r="AA101">
        <v>111</v>
      </c>
      <c r="AB101">
        <v>0</v>
      </c>
      <c r="AC101">
        <v>0</v>
      </c>
      <c r="AD101">
        <v>0</v>
      </c>
      <c r="AE101">
        <v>111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 t="s">
        <v>34</v>
      </c>
      <c r="AR101">
        <v>111</v>
      </c>
      <c r="AS101">
        <v>0</v>
      </c>
      <c r="AT101">
        <v>0</v>
      </c>
      <c r="AU101">
        <v>0</v>
      </c>
      <c r="AV101">
        <v>111</v>
      </c>
      <c r="AW101">
        <v>0</v>
      </c>
      <c r="AX101">
        <v>0</v>
      </c>
      <c r="AY101">
        <v>0</v>
      </c>
      <c r="AZ101">
        <v>111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I101">
        <v>0</v>
      </c>
      <c r="BJ101">
        <v>0</v>
      </c>
      <c r="BK101">
        <v>0</v>
      </c>
    </row>
    <row r="102" spans="1:16384">
      <c r="A102" t="s">
        <v>4</v>
      </c>
      <c r="B102">
        <v>71</v>
      </c>
      <c r="C102">
        <v>0</v>
      </c>
      <c r="D102">
        <v>0</v>
      </c>
      <c r="E102">
        <v>0</v>
      </c>
      <c r="F102">
        <v>71</v>
      </c>
      <c r="G102">
        <v>0</v>
      </c>
      <c r="H102">
        <v>0</v>
      </c>
      <c r="I102">
        <v>0</v>
      </c>
      <c r="J102">
        <v>71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 t="s">
        <v>4</v>
      </c>
      <c r="W102">
        <v>71</v>
      </c>
      <c r="X102">
        <v>0</v>
      </c>
      <c r="Y102">
        <v>0</v>
      </c>
      <c r="Z102">
        <v>0</v>
      </c>
      <c r="AA102">
        <v>71</v>
      </c>
      <c r="AB102">
        <v>0</v>
      </c>
      <c r="AC102">
        <v>0</v>
      </c>
      <c r="AD102">
        <v>0</v>
      </c>
      <c r="AE102">
        <v>71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 t="s">
        <v>4</v>
      </c>
      <c r="AR102">
        <v>71</v>
      </c>
      <c r="AS102">
        <v>0</v>
      </c>
      <c r="AT102">
        <v>0</v>
      </c>
      <c r="AU102">
        <v>0</v>
      </c>
      <c r="AV102">
        <v>71</v>
      </c>
      <c r="AW102">
        <v>0</v>
      </c>
      <c r="AX102">
        <v>0</v>
      </c>
      <c r="AY102">
        <v>0</v>
      </c>
      <c r="AZ102">
        <v>71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0</v>
      </c>
      <c r="BK102">
        <v>0</v>
      </c>
    </row>
    <row r="103" spans="1:16384">
      <c r="A103" t="s">
        <v>70</v>
      </c>
      <c r="B103">
        <v>32</v>
      </c>
      <c r="C103">
        <v>0</v>
      </c>
      <c r="D103">
        <v>0</v>
      </c>
      <c r="E103">
        <v>0</v>
      </c>
      <c r="F103">
        <v>32</v>
      </c>
      <c r="G103">
        <v>0</v>
      </c>
      <c r="H103">
        <v>0</v>
      </c>
      <c r="I103">
        <v>0</v>
      </c>
      <c r="J103">
        <v>32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 t="s">
        <v>70</v>
      </c>
      <c r="W103">
        <v>32</v>
      </c>
      <c r="X103">
        <v>0</v>
      </c>
      <c r="Y103">
        <v>0</v>
      </c>
      <c r="Z103">
        <v>0</v>
      </c>
      <c r="AA103">
        <v>32</v>
      </c>
      <c r="AB103">
        <v>0</v>
      </c>
      <c r="AC103">
        <v>0</v>
      </c>
      <c r="AD103">
        <v>0</v>
      </c>
      <c r="AE103">
        <v>32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 t="s">
        <v>70</v>
      </c>
      <c r="AR103">
        <v>32</v>
      </c>
      <c r="AS103">
        <v>0</v>
      </c>
      <c r="AT103">
        <v>0</v>
      </c>
      <c r="AU103">
        <v>0</v>
      </c>
      <c r="AV103">
        <v>32</v>
      </c>
      <c r="AW103">
        <v>0</v>
      </c>
      <c r="AX103">
        <v>0</v>
      </c>
      <c r="AY103">
        <v>0</v>
      </c>
      <c r="AZ103">
        <v>32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I103">
        <v>0</v>
      </c>
      <c r="BJ103">
        <v>0</v>
      </c>
      <c r="BK103">
        <v>0</v>
      </c>
    </row>
    <row r="104" spans="1:16384">
      <c r="A104" t="s">
        <v>87</v>
      </c>
      <c r="B104">
        <v>7</v>
      </c>
      <c r="C104">
        <v>0</v>
      </c>
      <c r="D104">
        <v>0</v>
      </c>
      <c r="E104">
        <v>0</v>
      </c>
      <c r="F104">
        <v>7</v>
      </c>
      <c r="G104">
        <v>0</v>
      </c>
      <c r="H104">
        <v>0</v>
      </c>
      <c r="I104">
        <v>0</v>
      </c>
      <c r="J104">
        <v>7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 t="s">
        <v>87</v>
      </c>
      <c r="W104">
        <v>7</v>
      </c>
      <c r="X104">
        <v>0</v>
      </c>
      <c r="Y104">
        <v>0</v>
      </c>
      <c r="Z104">
        <v>0</v>
      </c>
      <c r="AA104">
        <v>7</v>
      </c>
      <c r="AB104">
        <v>0</v>
      </c>
      <c r="AC104">
        <v>0</v>
      </c>
      <c r="AD104">
        <v>0</v>
      </c>
      <c r="AE104">
        <v>7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 t="s">
        <v>87</v>
      </c>
      <c r="AR104">
        <v>7</v>
      </c>
      <c r="AS104">
        <v>0</v>
      </c>
      <c r="AT104">
        <v>0</v>
      </c>
      <c r="AU104">
        <v>0</v>
      </c>
      <c r="AV104">
        <v>7</v>
      </c>
      <c r="AW104">
        <v>0</v>
      </c>
      <c r="AX104">
        <v>0</v>
      </c>
      <c r="AY104">
        <v>0</v>
      </c>
      <c r="AZ104">
        <v>7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0</v>
      </c>
      <c r="BI104">
        <v>0</v>
      </c>
      <c r="BJ104">
        <v>0</v>
      </c>
      <c r="BK104">
        <v>0</v>
      </c>
    </row>
    <row r="105" spans="1:16384">
      <c r="A105" t="s">
        <v>19</v>
      </c>
      <c r="B105">
        <v>157</v>
      </c>
      <c r="C105">
        <v>11</v>
      </c>
      <c r="D105">
        <v>0</v>
      </c>
      <c r="E105">
        <v>0</v>
      </c>
      <c r="F105">
        <v>157</v>
      </c>
      <c r="G105">
        <v>11</v>
      </c>
      <c r="H105">
        <v>0</v>
      </c>
      <c r="I105">
        <v>0</v>
      </c>
      <c r="J105">
        <v>168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 t="s">
        <v>19</v>
      </c>
      <c r="W105">
        <v>157</v>
      </c>
      <c r="X105">
        <v>11</v>
      </c>
      <c r="Y105">
        <v>0</v>
      </c>
      <c r="Z105">
        <v>0</v>
      </c>
      <c r="AA105">
        <v>157</v>
      </c>
      <c r="AB105">
        <v>11</v>
      </c>
      <c r="AC105">
        <v>0</v>
      </c>
      <c r="AD105">
        <v>0</v>
      </c>
      <c r="AE105">
        <v>168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 t="s">
        <v>19</v>
      </c>
      <c r="AR105">
        <v>157</v>
      </c>
      <c r="AS105">
        <v>11</v>
      </c>
      <c r="AT105">
        <v>0</v>
      </c>
      <c r="AU105">
        <v>0</v>
      </c>
      <c r="AV105">
        <v>157</v>
      </c>
      <c r="AW105">
        <v>11</v>
      </c>
      <c r="AX105">
        <v>0</v>
      </c>
      <c r="AY105">
        <v>0</v>
      </c>
      <c r="AZ105">
        <v>168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I105">
        <v>0</v>
      </c>
      <c r="BJ105">
        <v>0</v>
      </c>
      <c r="BK105">
        <v>0</v>
      </c>
    </row>
    <row r="106" spans="1:16384">
      <c r="A106" t="s">
        <v>38</v>
      </c>
      <c r="B106">
        <v>629</v>
      </c>
      <c r="C106">
        <v>25</v>
      </c>
      <c r="D106">
        <v>0</v>
      </c>
      <c r="E106">
        <v>0</v>
      </c>
      <c r="F106">
        <v>629</v>
      </c>
      <c r="G106">
        <v>25</v>
      </c>
      <c r="H106">
        <v>0</v>
      </c>
      <c r="I106">
        <v>0</v>
      </c>
      <c r="J106">
        <v>644</v>
      </c>
      <c r="K106">
        <v>10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 t="s">
        <v>38</v>
      </c>
      <c r="W106">
        <v>629</v>
      </c>
      <c r="X106">
        <v>25</v>
      </c>
      <c r="Y106">
        <v>0</v>
      </c>
      <c r="Z106">
        <v>0</v>
      </c>
      <c r="AA106">
        <v>629</v>
      </c>
      <c r="AB106">
        <v>25</v>
      </c>
      <c r="AC106">
        <v>0</v>
      </c>
      <c r="AD106">
        <v>0</v>
      </c>
      <c r="AE106">
        <v>644</v>
      </c>
      <c r="AF106">
        <v>10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 t="s">
        <v>38</v>
      </c>
      <c r="AR106">
        <v>629</v>
      </c>
      <c r="AS106">
        <v>25</v>
      </c>
      <c r="AT106">
        <v>0</v>
      </c>
      <c r="AU106">
        <v>0</v>
      </c>
      <c r="AV106">
        <v>629</v>
      </c>
      <c r="AW106">
        <v>25</v>
      </c>
      <c r="AX106">
        <v>0</v>
      </c>
      <c r="AY106">
        <v>0</v>
      </c>
      <c r="AZ106">
        <v>654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0</v>
      </c>
      <c r="BI106">
        <v>0</v>
      </c>
      <c r="BJ106">
        <v>0</v>
      </c>
      <c r="BK106">
        <v>0</v>
      </c>
    </row>
    <row r="107" spans="1:16384">
      <c r="A107" t="s">
        <v>42</v>
      </c>
      <c r="B107">
        <v>149</v>
      </c>
      <c r="C107">
        <v>20</v>
      </c>
      <c r="D107">
        <v>0</v>
      </c>
      <c r="E107">
        <v>0</v>
      </c>
      <c r="F107">
        <v>149</v>
      </c>
      <c r="G107">
        <v>20</v>
      </c>
      <c r="H107">
        <v>0</v>
      </c>
      <c r="I107">
        <v>0</v>
      </c>
      <c r="J107">
        <v>169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 t="s">
        <v>42</v>
      </c>
      <c r="W107">
        <v>149</v>
      </c>
      <c r="X107">
        <v>20</v>
      </c>
      <c r="Y107">
        <v>0</v>
      </c>
      <c r="Z107">
        <v>0</v>
      </c>
      <c r="AA107">
        <v>149</v>
      </c>
      <c r="AB107">
        <v>20</v>
      </c>
      <c r="AC107">
        <v>0</v>
      </c>
      <c r="AD107">
        <v>0</v>
      </c>
      <c r="AE107">
        <v>169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 t="s">
        <v>42</v>
      </c>
      <c r="AR107">
        <v>149</v>
      </c>
      <c r="AS107">
        <v>20</v>
      </c>
      <c r="AT107">
        <v>0</v>
      </c>
      <c r="AU107">
        <v>0</v>
      </c>
      <c r="AV107">
        <v>149</v>
      </c>
      <c r="AW107">
        <v>20</v>
      </c>
      <c r="AX107">
        <v>0</v>
      </c>
      <c r="AY107">
        <v>0</v>
      </c>
      <c r="AZ107">
        <v>169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0</v>
      </c>
      <c r="BI107">
        <v>0</v>
      </c>
      <c r="BJ107">
        <v>0</v>
      </c>
      <c r="BK107">
        <v>0</v>
      </c>
    </row>
    <row r="108" spans="1:16384">
      <c r="A108" s="1" t="s">
        <v>122</v>
      </c>
      <c r="B108" s="1">
        <f>SUM('accuracy dom71dom61'!B3:B107)</f>
        <v>10759</v>
      </c>
      <c r="C108" s="1">
        <f>SUM('accuracy dom71dom61'!C3:C107)</f>
        <v>403</v>
      </c>
      <c r="D108" s="1">
        <f>SUM('accuracy dom71dom61'!D3:D107)</f>
        <v>0</v>
      </c>
      <c r="E108" s="1">
        <f>SUM('accuracy dom71dom61'!E3:E107)</f>
        <v>0</v>
      </c>
      <c r="F108" s="1">
        <f>SUM('accuracy dom71dom61'!F3:F107)</f>
        <v>10808</v>
      </c>
      <c r="G108" s="1">
        <f>SUM('accuracy dom71dom61'!G3:G107)</f>
        <v>410</v>
      </c>
      <c r="H108" s="1">
        <f>SUM('accuracy dom71dom61'!H3:H107)</f>
        <v>0</v>
      </c>
      <c r="I108" s="1">
        <f>SUM('accuracy dom71dom61'!I3:I107)</f>
        <v>0</v>
      </c>
      <c r="J108" s="1">
        <f>SUM('accuracy dom71dom61'!J3:J107)</f>
        <v>11341</v>
      </c>
      <c r="K108" s="1">
        <f>SUM('accuracy dom71dom61'!K3:K107)</f>
        <v>58</v>
      </c>
      <c r="L108" s="1">
        <f>SUM('accuracy dom71dom61'!L3:L107)</f>
        <v>0</v>
      </c>
      <c r="M108" s="1">
        <f>SUM('accuracy dom71dom61'!M3:M107)</f>
        <v>0</v>
      </c>
      <c r="N108" s="1">
        <f>SUM('accuracy dom71dom61'!N3:N107)</f>
        <v>2373</v>
      </c>
      <c r="O108" s="1">
        <f>SUM('accuracy dom71dom61'!O3:O107)</f>
        <v>13</v>
      </c>
      <c r="P108" s="1">
        <f>SUM('accuracy dom71dom61'!P3:P107)</f>
        <v>28</v>
      </c>
      <c r="Q108" s="1">
        <f>SUM('accuracy dom71dom61'!Q3:Q107)</f>
        <v>1</v>
      </c>
      <c r="R108" s="1">
        <f>SUM('accuracy dom71dom61'!R3:R107)</f>
        <v>3653</v>
      </c>
      <c r="S108" s="1">
        <f>SUM('accuracy dom71dom61'!S3:S107)</f>
        <v>18</v>
      </c>
      <c r="T108" s="1">
        <f>SUM('accuracy dom71dom61'!T3:T107)</f>
        <v>0</v>
      </c>
      <c r="U108" s="1">
        <f>SUM('accuracy dom71dom61'!U3:U107)</f>
        <v>0</v>
      </c>
      <c r="V108" s="1">
        <f>SUM('accuracy dom71dom61'!V3:V107)</f>
        <v>0</v>
      </c>
      <c r="W108" s="1">
        <f>SUM('accuracy dom71dom61'!W3:W107)</f>
        <v>10759</v>
      </c>
      <c r="X108" s="1">
        <f>SUM('accuracy dom71dom61'!X3:X107)</f>
        <v>403</v>
      </c>
      <c r="Y108" s="1">
        <f>SUM('accuracy dom71dom61'!Y3:Y107)</f>
        <v>0</v>
      </c>
      <c r="Z108" s="1">
        <f>SUM('accuracy dom71dom61'!Z3:Z107)</f>
        <v>0</v>
      </c>
      <c r="AA108" s="1">
        <f>SUM('accuracy dom71dom61'!AA3:AA107)</f>
        <v>10822</v>
      </c>
      <c r="AB108" s="1">
        <f>SUM('accuracy dom71dom61'!AB3:AB107)</f>
        <v>415</v>
      </c>
      <c r="AC108" s="1">
        <f>SUM('accuracy dom71dom61'!AC3:AC107)</f>
        <v>0</v>
      </c>
      <c r="AD108" s="1">
        <f>SUM('accuracy dom71dom61'!AD3:AD107)</f>
        <v>0</v>
      </c>
      <c r="AE108" s="1">
        <f>SUM('accuracy dom71dom61'!AE3:AE107)</f>
        <v>11341</v>
      </c>
      <c r="AF108" s="1">
        <f>SUM('accuracy dom71dom61'!AF3:AF107)</f>
        <v>58</v>
      </c>
      <c r="AG108" s="1">
        <f>SUM('accuracy dom71dom61'!AG3:AG107)</f>
        <v>0</v>
      </c>
      <c r="AH108" s="1">
        <f>SUM('accuracy dom71dom61'!AH3:AH107)</f>
        <v>0</v>
      </c>
      <c r="AI108" s="1">
        <f>SUM('accuracy dom71dom61'!AI3:AI107)</f>
        <v>2373</v>
      </c>
      <c r="AJ108" s="1">
        <f>SUM('accuracy dom71dom61'!AJ3:AJ107)</f>
        <v>13</v>
      </c>
      <c r="AK108" s="1">
        <f>SUM('accuracy dom71dom61'!AK3:AK107)</f>
        <v>28</v>
      </c>
      <c r="AL108" s="1">
        <f>SUM('accuracy dom71dom61'!AL3:AL107)</f>
        <v>1</v>
      </c>
      <c r="AM108" s="1">
        <f>SUM('accuracy dom71dom61'!AM3:AM107)</f>
        <v>3653</v>
      </c>
      <c r="AN108" s="1">
        <f>SUM('accuracy dom71dom61'!AN3:AN107)</f>
        <v>18</v>
      </c>
      <c r="AO108" s="1">
        <f>SUM('accuracy dom71dom61'!AO3:AO107)</f>
        <v>0</v>
      </c>
      <c r="AP108" s="1">
        <f>SUM('accuracy dom71dom61'!AP3:AP107)</f>
        <v>0</v>
      </c>
      <c r="AQ108" s="1">
        <f>SUM('accuracy dom71dom61'!AQ3:AQ107)</f>
        <v>0</v>
      </c>
      <c r="AR108" s="1">
        <f>SUM('accuracy dom71dom61'!AR3:AR107)</f>
        <v>10808</v>
      </c>
      <c r="AS108" s="1">
        <f>SUM('accuracy dom71dom61'!AS3:AS107)</f>
        <v>410</v>
      </c>
      <c r="AT108" s="1">
        <f>SUM('accuracy dom71dom61'!AT3:AT107)</f>
        <v>0</v>
      </c>
      <c r="AU108" s="1">
        <f>SUM('accuracy dom71dom61'!AU3:AU107)</f>
        <v>0</v>
      </c>
      <c r="AV108" s="1">
        <f>SUM('accuracy dom71dom61'!AV3:AV107)</f>
        <v>10822</v>
      </c>
      <c r="AW108" s="1">
        <f>SUM('accuracy dom71dom61'!AW3:AW107)</f>
        <v>415</v>
      </c>
      <c r="AX108" s="1">
        <f>SUM('accuracy dom71dom61'!AX3:AX107)</f>
        <v>0</v>
      </c>
      <c r="AY108" s="1">
        <f>SUM('accuracy dom71dom61'!AY3:AY107)</f>
        <v>0</v>
      </c>
      <c r="AZ108" s="1">
        <f>SUM('accuracy dom71dom61'!AZ3:AZ107)</f>
        <v>11399</v>
      </c>
      <c r="BA108" s="1">
        <f>SUM('accuracy dom71dom61'!BA3:BA107)</f>
        <v>0</v>
      </c>
      <c r="BB108" s="1">
        <f>SUM('accuracy dom71dom61'!BB3:BB107)</f>
        <v>0</v>
      </c>
      <c r="BC108" s="1">
        <f>SUM('accuracy dom71dom61'!BC3:BC107)</f>
        <v>0</v>
      </c>
      <c r="BD108" s="1">
        <f>SUM('accuracy dom71dom61'!BD3:BD107)</f>
        <v>2386</v>
      </c>
      <c r="BE108" s="1">
        <f>SUM('accuracy dom71dom61'!BE3:BE107)</f>
        <v>0</v>
      </c>
      <c r="BF108" s="1">
        <f>SUM('accuracy dom71dom61'!BF3:BF107)</f>
        <v>29</v>
      </c>
      <c r="BG108" s="1">
        <f>SUM('accuracy dom71dom61'!BG3:BG107)</f>
        <v>0</v>
      </c>
      <c r="BH108" s="1">
        <f>SUM('accuracy dom71dom61'!BH3:BH107)</f>
        <v>9037</v>
      </c>
      <c r="BI108" s="1">
        <f>SUM('accuracy dom71dom61'!BI3:BI107)</f>
        <v>0</v>
      </c>
      <c r="BJ108" s="1">
        <f>SUM('accuracy dom71dom61'!BJ3:BJ107)</f>
        <v>1</v>
      </c>
      <c r="BK108" s="1">
        <f>SUM('accuracy dom71dom61'!BK3:BK107)</f>
        <v>0</v>
      </c>
      <c r="CE108" s="1" t="s">
        <v>122</v>
      </c>
      <c r="CF108" s="1" t="s">
        <v>122</v>
      </c>
      <c r="CG108" s="1" t="s">
        <v>122</v>
      </c>
      <c r="CH108" s="1" t="s">
        <v>122</v>
      </c>
      <c r="CI108" s="1" t="s">
        <v>122</v>
      </c>
      <c r="CJ108" s="1" t="s">
        <v>122</v>
      </c>
      <c r="CK108" s="1" t="s">
        <v>122</v>
      </c>
      <c r="CL108" s="1" t="s">
        <v>122</v>
      </c>
      <c r="CM108" s="1" t="s">
        <v>122</v>
      </c>
      <c r="CN108" s="1" t="s">
        <v>122</v>
      </c>
      <c r="CO108" s="1" t="s">
        <v>122</v>
      </c>
      <c r="CP108" s="1" t="s">
        <v>122</v>
      </c>
      <c r="CQ108" s="1" t="s">
        <v>122</v>
      </c>
      <c r="CR108" s="1" t="s">
        <v>122</v>
      </c>
      <c r="CS108" s="1" t="s">
        <v>122</v>
      </c>
      <c r="CT108" s="1" t="s">
        <v>122</v>
      </c>
      <c r="CU108" s="1" t="s">
        <v>122</v>
      </c>
      <c r="CV108" s="1" t="s">
        <v>122</v>
      </c>
      <c r="CW108" s="1" t="s">
        <v>122</v>
      </c>
      <c r="CX108" s="1" t="s">
        <v>122</v>
      </c>
      <c r="CY108" s="1" t="s">
        <v>122</v>
      </c>
      <c r="CZ108" s="1" t="s">
        <v>122</v>
      </c>
      <c r="DA108" s="1" t="s">
        <v>122</v>
      </c>
      <c r="DB108" s="1" t="s">
        <v>122</v>
      </c>
      <c r="DC108" s="1" t="s">
        <v>122</v>
      </c>
      <c r="DD108" s="1" t="s">
        <v>122</v>
      </c>
      <c r="DE108" s="1" t="s">
        <v>122</v>
      </c>
      <c r="DF108" s="1" t="s">
        <v>122</v>
      </c>
      <c r="DG108" s="1" t="s">
        <v>122</v>
      </c>
      <c r="DH108" s="1" t="s">
        <v>122</v>
      </c>
      <c r="DI108" s="1" t="s">
        <v>122</v>
      </c>
      <c r="DJ108" s="1" t="s">
        <v>122</v>
      </c>
      <c r="DK108" s="1" t="s">
        <v>122</v>
      </c>
      <c r="DL108" s="1" t="s">
        <v>122</v>
      </c>
      <c r="DM108" s="1" t="s">
        <v>122</v>
      </c>
      <c r="DN108" s="1" t="s">
        <v>122</v>
      </c>
      <c r="DO108" s="1" t="s">
        <v>122</v>
      </c>
      <c r="DP108" s="1" t="s">
        <v>122</v>
      </c>
      <c r="DQ108" s="1" t="s">
        <v>122</v>
      </c>
      <c r="DR108" s="1" t="s">
        <v>122</v>
      </c>
      <c r="DS108" s="1" t="s">
        <v>122</v>
      </c>
      <c r="DT108" s="1" t="s">
        <v>122</v>
      </c>
      <c r="DU108" s="1" t="s">
        <v>122</v>
      </c>
      <c r="DV108" s="1" t="s">
        <v>122</v>
      </c>
      <c r="DW108" s="1" t="s">
        <v>122</v>
      </c>
      <c r="DX108" s="1" t="s">
        <v>122</v>
      </c>
      <c r="DY108" s="1" t="s">
        <v>122</v>
      </c>
      <c r="DZ108" s="1" t="s">
        <v>122</v>
      </c>
      <c r="EA108" s="1" t="s">
        <v>122</v>
      </c>
      <c r="EB108" s="1" t="s">
        <v>122</v>
      </c>
      <c r="EC108" s="1" t="s">
        <v>122</v>
      </c>
      <c r="ED108" s="1" t="s">
        <v>122</v>
      </c>
      <c r="EE108" s="1" t="s">
        <v>122</v>
      </c>
      <c r="EF108" s="1" t="s">
        <v>122</v>
      </c>
      <c r="EG108" s="1" t="s">
        <v>122</v>
      </c>
      <c r="EH108" s="1" t="s">
        <v>122</v>
      </c>
      <c r="EI108" s="1" t="s">
        <v>122</v>
      </c>
      <c r="EJ108" s="1" t="s">
        <v>122</v>
      </c>
      <c r="EK108" s="1" t="s">
        <v>122</v>
      </c>
      <c r="EL108" s="1" t="s">
        <v>122</v>
      </c>
      <c r="EM108" s="1" t="s">
        <v>122</v>
      </c>
      <c r="EN108" s="1" t="s">
        <v>122</v>
      </c>
      <c r="EO108" s="1" t="s">
        <v>122</v>
      </c>
      <c r="EP108" s="1" t="s">
        <v>122</v>
      </c>
      <c r="EQ108" s="1" t="s">
        <v>122</v>
      </c>
      <c r="ER108" s="1" t="s">
        <v>122</v>
      </c>
      <c r="ES108" s="1" t="s">
        <v>122</v>
      </c>
      <c r="ET108" s="1" t="s">
        <v>122</v>
      </c>
      <c r="EU108" s="1" t="s">
        <v>122</v>
      </c>
      <c r="EV108" s="1" t="s">
        <v>122</v>
      </c>
      <c r="EW108" s="1" t="s">
        <v>122</v>
      </c>
      <c r="EX108" s="1" t="s">
        <v>122</v>
      </c>
      <c r="EY108" s="1" t="s">
        <v>122</v>
      </c>
      <c r="EZ108" s="1" t="s">
        <v>122</v>
      </c>
      <c r="FA108" s="1" t="s">
        <v>122</v>
      </c>
      <c r="FB108" s="1" t="s">
        <v>122</v>
      </c>
      <c r="FC108" s="1" t="s">
        <v>122</v>
      </c>
      <c r="FD108" s="1" t="s">
        <v>122</v>
      </c>
      <c r="FE108" s="1" t="s">
        <v>122</v>
      </c>
      <c r="FF108" s="1" t="s">
        <v>122</v>
      </c>
      <c r="FG108" s="1" t="s">
        <v>122</v>
      </c>
      <c r="FH108" s="1" t="s">
        <v>122</v>
      </c>
      <c r="FI108" s="1" t="s">
        <v>122</v>
      </c>
      <c r="FJ108" s="1" t="s">
        <v>122</v>
      </c>
      <c r="FK108" s="1" t="s">
        <v>122</v>
      </c>
      <c r="FL108" s="1" t="s">
        <v>122</v>
      </c>
      <c r="FM108" s="1" t="s">
        <v>122</v>
      </c>
      <c r="FN108" s="1" t="s">
        <v>122</v>
      </c>
      <c r="FO108" s="1" t="s">
        <v>122</v>
      </c>
      <c r="FP108" s="1" t="s">
        <v>122</v>
      </c>
      <c r="FQ108" s="1" t="s">
        <v>122</v>
      </c>
      <c r="FR108" s="1" t="s">
        <v>122</v>
      </c>
      <c r="FS108" s="1" t="s">
        <v>122</v>
      </c>
      <c r="FT108" s="1" t="s">
        <v>122</v>
      </c>
      <c r="FU108" s="1" t="s">
        <v>122</v>
      </c>
      <c r="FV108" s="1" t="s">
        <v>122</v>
      </c>
      <c r="FW108" s="1" t="s">
        <v>122</v>
      </c>
      <c r="FX108" s="1" t="s">
        <v>122</v>
      </c>
      <c r="FY108" s="1" t="s">
        <v>122</v>
      </c>
      <c r="FZ108" s="1" t="s">
        <v>122</v>
      </c>
      <c r="GA108" s="1" t="s">
        <v>122</v>
      </c>
      <c r="GB108" s="1" t="s">
        <v>122</v>
      </c>
      <c r="GC108" s="1" t="s">
        <v>122</v>
      </c>
      <c r="GD108" s="1" t="s">
        <v>122</v>
      </c>
      <c r="GE108" s="1" t="s">
        <v>122</v>
      </c>
      <c r="GF108" s="1" t="s">
        <v>122</v>
      </c>
      <c r="GG108" s="1" t="s">
        <v>122</v>
      </c>
      <c r="GH108" s="1" t="s">
        <v>122</v>
      </c>
      <c r="GI108" s="1" t="s">
        <v>122</v>
      </c>
      <c r="GJ108" s="1" t="s">
        <v>122</v>
      </c>
      <c r="GK108" s="1" t="s">
        <v>122</v>
      </c>
      <c r="GL108" s="1" t="s">
        <v>122</v>
      </c>
      <c r="GM108" s="1" t="s">
        <v>122</v>
      </c>
      <c r="GN108" s="1" t="s">
        <v>122</v>
      </c>
      <c r="GO108" s="1" t="s">
        <v>122</v>
      </c>
      <c r="GP108" s="1" t="s">
        <v>122</v>
      </c>
      <c r="GQ108" s="1" t="s">
        <v>122</v>
      </c>
      <c r="GR108" s="1" t="s">
        <v>122</v>
      </c>
      <c r="GS108" s="1" t="s">
        <v>122</v>
      </c>
      <c r="GT108" s="1" t="s">
        <v>122</v>
      </c>
      <c r="GU108" s="1" t="s">
        <v>122</v>
      </c>
      <c r="GV108" s="1" t="s">
        <v>122</v>
      </c>
      <c r="GW108" s="1" t="s">
        <v>122</v>
      </c>
      <c r="GX108" s="1" t="s">
        <v>122</v>
      </c>
      <c r="GY108" s="1" t="s">
        <v>122</v>
      </c>
      <c r="GZ108" s="1" t="s">
        <v>122</v>
      </c>
      <c r="HA108" s="1" t="s">
        <v>122</v>
      </c>
      <c r="HB108" s="1" t="s">
        <v>122</v>
      </c>
      <c r="HC108" s="1" t="s">
        <v>122</v>
      </c>
      <c r="HD108" s="1" t="s">
        <v>122</v>
      </c>
      <c r="HE108" s="1" t="s">
        <v>122</v>
      </c>
      <c r="HF108" s="1" t="s">
        <v>122</v>
      </c>
      <c r="HG108" s="1" t="s">
        <v>122</v>
      </c>
      <c r="HH108" s="1" t="s">
        <v>122</v>
      </c>
      <c r="HI108" s="1" t="s">
        <v>122</v>
      </c>
      <c r="HJ108" s="1" t="s">
        <v>122</v>
      </c>
      <c r="HK108" s="1" t="s">
        <v>122</v>
      </c>
      <c r="HL108" s="1" t="s">
        <v>122</v>
      </c>
      <c r="HM108" s="1" t="s">
        <v>122</v>
      </c>
      <c r="HN108" s="1" t="s">
        <v>122</v>
      </c>
      <c r="HO108" s="1" t="s">
        <v>122</v>
      </c>
      <c r="HP108" s="1" t="s">
        <v>122</v>
      </c>
      <c r="HQ108" s="1" t="s">
        <v>122</v>
      </c>
      <c r="HR108" s="1" t="s">
        <v>122</v>
      </c>
      <c r="HS108" s="1" t="s">
        <v>122</v>
      </c>
      <c r="HT108" s="1" t="s">
        <v>122</v>
      </c>
      <c r="HU108" s="1" t="s">
        <v>122</v>
      </c>
      <c r="HV108" s="1" t="s">
        <v>122</v>
      </c>
      <c r="HW108" s="1" t="s">
        <v>122</v>
      </c>
      <c r="HX108" s="1" t="s">
        <v>122</v>
      </c>
      <c r="HY108" s="1" t="s">
        <v>122</v>
      </c>
      <c r="HZ108" s="1" t="s">
        <v>122</v>
      </c>
      <c r="IA108" s="1" t="s">
        <v>122</v>
      </c>
      <c r="IB108" s="1" t="s">
        <v>122</v>
      </c>
      <c r="IC108" s="1" t="s">
        <v>122</v>
      </c>
      <c r="ID108" s="1" t="s">
        <v>122</v>
      </c>
      <c r="IE108" s="1" t="s">
        <v>122</v>
      </c>
      <c r="IF108" s="1" t="s">
        <v>122</v>
      </c>
      <c r="IG108" s="1" t="s">
        <v>122</v>
      </c>
      <c r="IH108" s="1" t="s">
        <v>122</v>
      </c>
      <c r="II108" s="1" t="s">
        <v>122</v>
      </c>
      <c r="IJ108" s="1" t="s">
        <v>122</v>
      </c>
      <c r="IK108" s="1" t="s">
        <v>122</v>
      </c>
      <c r="IL108" s="1" t="s">
        <v>122</v>
      </c>
      <c r="IM108" s="1" t="s">
        <v>122</v>
      </c>
      <c r="IN108" s="1" t="s">
        <v>122</v>
      </c>
      <c r="IO108" s="1" t="s">
        <v>122</v>
      </c>
      <c r="IP108" s="1" t="s">
        <v>122</v>
      </c>
      <c r="IQ108" s="1" t="s">
        <v>122</v>
      </c>
      <c r="IR108" s="1" t="s">
        <v>122</v>
      </c>
      <c r="IS108" s="1" t="s">
        <v>122</v>
      </c>
      <c r="IT108" s="1" t="s">
        <v>122</v>
      </c>
      <c r="IU108" s="1" t="s">
        <v>122</v>
      </c>
      <c r="IV108" s="1" t="s">
        <v>122</v>
      </c>
      <c r="IW108" s="1" t="s">
        <v>122</v>
      </c>
      <c r="IX108" s="1" t="s">
        <v>122</v>
      </c>
      <c r="IY108" s="1" t="s">
        <v>122</v>
      </c>
      <c r="IZ108" s="1" t="s">
        <v>122</v>
      </c>
      <c r="JA108" s="1" t="s">
        <v>122</v>
      </c>
      <c r="JB108" s="1" t="s">
        <v>122</v>
      </c>
      <c r="JC108" s="1" t="s">
        <v>122</v>
      </c>
      <c r="JD108" s="1" t="s">
        <v>122</v>
      </c>
      <c r="JE108" s="1" t="s">
        <v>122</v>
      </c>
      <c r="JF108" s="1" t="s">
        <v>122</v>
      </c>
      <c r="JG108" s="1" t="s">
        <v>122</v>
      </c>
      <c r="JH108" s="1" t="s">
        <v>122</v>
      </c>
      <c r="JI108" s="1" t="s">
        <v>122</v>
      </c>
      <c r="JJ108" s="1" t="s">
        <v>122</v>
      </c>
      <c r="JK108" s="1" t="s">
        <v>122</v>
      </c>
      <c r="JL108" s="1" t="s">
        <v>122</v>
      </c>
      <c r="JM108" s="1" t="s">
        <v>122</v>
      </c>
      <c r="JN108" s="1" t="s">
        <v>122</v>
      </c>
      <c r="JO108" s="1" t="s">
        <v>122</v>
      </c>
      <c r="JP108" s="1" t="s">
        <v>122</v>
      </c>
      <c r="JQ108" s="1" t="s">
        <v>122</v>
      </c>
      <c r="JR108" s="1" t="s">
        <v>122</v>
      </c>
      <c r="JS108" s="1" t="s">
        <v>122</v>
      </c>
      <c r="JT108" s="1" t="s">
        <v>122</v>
      </c>
      <c r="JU108" s="1" t="s">
        <v>122</v>
      </c>
      <c r="JV108" s="1" t="s">
        <v>122</v>
      </c>
      <c r="JW108" s="1" t="s">
        <v>122</v>
      </c>
      <c r="JX108" s="1" t="s">
        <v>122</v>
      </c>
      <c r="JY108" s="1" t="s">
        <v>122</v>
      </c>
      <c r="JZ108" s="1" t="s">
        <v>122</v>
      </c>
      <c r="KA108" s="1" t="s">
        <v>122</v>
      </c>
      <c r="KB108" s="1" t="s">
        <v>122</v>
      </c>
      <c r="KC108" s="1" t="s">
        <v>122</v>
      </c>
      <c r="KD108" s="1" t="s">
        <v>122</v>
      </c>
      <c r="KE108" s="1" t="s">
        <v>122</v>
      </c>
      <c r="KF108" s="1" t="s">
        <v>122</v>
      </c>
      <c r="KG108" s="1" t="s">
        <v>122</v>
      </c>
      <c r="KH108" s="1" t="s">
        <v>122</v>
      </c>
      <c r="KI108" s="1" t="s">
        <v>122</v>
      </c>
      <c r="KJ108" s="1" t="s">
        <v>122</v>
      </c>
      <c r="KK108" s="1" t="s">
        <v>122</v>
      </c>
      <c r="KL108" s="1" t="s">
        <v>122</v>
      </c>
      <c r="KM108" s="1" t="s">
        <v>122</v>
      </c>
      <c r="KN108" s="1" t="s">
        <v>122</v>
      </c>
      <c r="KO108" s="1" t="s">
        <v>122</v>
      </c>
      <c r="KP108" s="1" t="s">
        <v>122</v>
      </c>
      <c r="KQ108" s="1" t="s">
        <v>122</v>
      </c>
      <c r="KR108" s="1" t="s">
        <v>122</v>
      </c>
      <c r="KS108" s="1" t="s">
        <v>122</v>
      </c>
      <c r="KT108" s="1" t="s">
        <v>122</v>
      </c>
      <c r="KU108" s="1" t="s">
        <v>122</v>
      </c>
      <c r="KV108" s="1" t="s">
        <v>122</v>
      </c>
      <c r="KW108" s="1" t="s">
        <v>122</v>
      </c>
      <c r="KX108" s="1" t="s">
        <v>122</v>
      </c>
      <c r="KY108" s="1" t="s">
        <v>122</v>
      </c>
      <c r="KZ108" s="1" t="s">
        <v>122</v>
      </c>
      <c r="LA108" s="1" t="s">
        <v>122</v>
      </c>
      <c r="LB108" s="1" t="s">
        <v>122</v>
      </c>
      <c r="LC108" s="1" t="s">
        <v>122</v>
      </c>
      <c r="LD108" s="1" t="s">
        <v>122</v>
      </c>
      <c r="LE108" s="1" t="s">
        <v>122</v>
      </c>
      <c r="LF108" s="1" t="s">
        <v>122</v>
      </c>
      <c r="LG108" s="1" t="s">
        <v>122</v>
      </c>
      <c r="LH108" s="1" t="s">
        <v>122</v>
      </c>
      <c r="LI108" s="1" t="s">
        <v>122</v>
      </c>
      <c r="LJ108" s="1" t="s">
        <v>122</v>
      </c>
      <c r="LK108" s="1" t="s">
        <v>122</v>
      </c>
      <c r="LL108" s="1" t="s">
        <v>122</v>
      </c>
      <c r="LM108" s="1" t="s">
        <v>122</v>
      </c>
      <c r="LN108" s="1" t="s">
        <v>122</v>
      </c>
      <c r="LO108" s="1" t="s">
        <v>122</v>
      </c>
      <c r="LP108" s="1" t="s">
        <v>122</v>
      </c>
      <c r="LQ108" s="1" t="s">
        <v>122</v>
      </c>
      <c r="LR108" s="1" t="s">
        <v>122</v>
      </c>
      <c r="LS108" s="1" t="s">
        <v>122</v>
      </c>
      <c r="LT108" s="1" t="s">
        <v>122</v>
      </c>
      <c r="LU108" s="1" t="s">
        <v>122</v>
      </c>
      <c r="LV108" s="1" t="s">
        <v>122</v>
      </c>
      <c r="LW108" s="1" t="s">
        <v>122</v>
      </c>
      <c r="LX108" s="1" t="s">
        <v>122</v>
      </c>
      <c r="LY108" s="1" t="s">
        <v>122</v>
      </c>
      <c r="LZ108" s="1" t="s">
        <v>122</v>
      </c>
      <c r="MA108" s="1" t="s">
        <v>122</v>
      </c>
      <c r="MB108" s="1" t="s">
        <v>122</v>
      </c>
      <c r="MC108" s="1" t="s">
        <v>122</v>
      </c>
      <c r="MD108" s="1" t="s">
        <v>122</v>
      </c>
      <c r="ME108" s="1" t="s">
        <v>122</v>
      </c>
      <c r="MF108" s="1" t="s">
        <v>122</v>
      </c>
      <c r="MG108" s="1" t="s">
        <v>122</v>
      </c>
      <c r="MH108" s="1" t="s">
        <v>122</v>
      </c>
      <c r="MI108" s="1" t="s">
        <v>122</v>
      </c>
      <c r="MJ108" s="1" t="s">
        <v>122</v>
      </c>
      <c r="MK108" s="1" t="s">
        <v>122</v>
      </c>
      <c r="ML108" s="1" t="s">
        <v>122</v>
      </c>
      <c r="MM108" s="1" t="s">
        <v>122</v>
      </c>
      <c r="MN108" s="1" t="s">
        <v>122</v>
      </c>
      <c r="MO108" s="1" t="s">
        <v>122</v>
      </c>
      <c r="MP108" s="1" t="s">
        <v>122</v>
      </c>
      <c r="MQ108" s="1" t="s">
        <v>122</v>
      </c>
      <c r="MR108" s="1" t="s">
        <v>122</v>
      </c>
      <c r="MS108" s="1" t="s">
        <v>122</v>
      </c>
      <c r="MT108" s="1" t="s">
        <v>122</v>
      </c>
      <c r="MU108" s="1" t="s">
        <v>122</v>
      </c>
      <c r="MV108" s="1" t="s">
        <v>122</v>
      </c>
      <c r="MW108" s="1" t="s">
        <v>122</v>
      </c>
      <c r="MX108" s="1" t="s">
        <v>122</v>
      </c>
      <c r="MY108" s="1" t="s">
        <v>122</v>
      </c>
      <c r="MZ108" s="1" t="s">
        <v>122</v>
      </c>
      <c r="NA108" s="1" t="s">
        <v>122</v>
      </c>
      <c r="NB108" s="1" t="s">
        <v>122</v>
      </c>
      <c r="NC108" s="1" t="s">
        <v>122</v>
      </c>
      <c r="ND108" s="1" t="s">
        <v>122</v>
      </c>
      <c r="NE108" s="1" t="s">
        <v>122</v>
      </c>
      <c r="NF108" s="1" t="s">
        <v>122</v>
      </c>
      <c r="NG108" s="1" t="s">
        <v>122</v>
      </c>
      <c r="NH108" s="1" t="s">
        <v>122</v>
      </c>
      <c r="NI108" s="1" t="s">
        <v>122</v>
      </c>
      <c r="NJ108" s="1" t="s">
        <v>122</v>
      </c>
      <c r="NK108" s="1" t="s">
        <v>122</v>
      </c>
      <c r="NL108" s="1" t="s">
        <v>122</v>
      </c>
      <c r="NM108" s="1" t="s">
        <v>122</v>
      </c>
      <c r="NN108" s="1" t="s">
        <v>122</v>
      </c>
      <c r="NO108" s="1" t="s">
        <v>122</v>
      </c>
      <c r="NP108" s="1" t="s">
        <v>122</v>
      </c>
      <c r="NQ108" s="1" t="s">
        <v>122</v>
      </c>
      <c r="NR108" s="1" t="s">
        <v>122</v>
      </c>
      <c r="NS108" s="1" t="s">
        <v>122</v>
      </c>
      <c r="NT108" s="1" t="s">
        <v>122</v>
      </c>
      <c r="NU108" s="1" t="s">
        <v>122</v>
      </c>
      <c r="NV108" s="1" t="s">
        <v>122</v>
      </c>
      <c r="NW108" s="1" t="s">
        <v>122</v>
      </c>
      <c r="NX108" s="1" t="s">
        <v>122</v>
      </c>
      <c r="NY108" s="1" t="s">
        <v>122</v>
      </c>
      <c r="NZ108" s="1" t="s">
        <v>122</v>
      </c>
      <c r="OA108" s="1" t="s">
        <v>122</v>
      </c>
      <c r="OB108" s="1" t="s">
        <v>122</v>
      </c>
      <c r="OC108" s="1" t="s">
        <v>122</v>
      </c>
      <c r="OD108" s="1" t="s">
        <v>122</v>
      </c>
      <c r="OE108" s="1" t="s">
        <v>122</v>
      </c>
      <c r="OF108" s="1" t="s">
        <v>122</v>
      </c>
      <c r="OG108" s="1" t="s">
        <v>122</v>
      </c>
      <c r="OH108" s="1" t="s">
        <v>122</v>
      </c>
      <c r="OI108" s="1" t="s">
        <v>122</v>
      </c>
      <c r="OJ108" s="1" t="s">
        <v>122</v>
      </c>
      <c r="OK108" s="1" t="s">
        <v>122</v>
      </c>
      <c r="OL108" s="1" t="s">
        <v>122</v>
      </c>
      <c r="OM108" s="1" t="s">
        <v>122</v>
      </c>
      <c r="ON108" s="1" t="s">
        <v>122</v>
      </c>
      <c r="OO108" s="1" t="s">
        <v>122</v>
      </c>
      <c r="OP108" s="1" t="s">
        <v>122</v>
      </c>
      <c r="OQ108" s="1" t="s">
        <v>122</v>
      </c>
      <c r="OR108" s="1" t="s">
        <v>122</v>
      </c>
      <c r="OS108" s="1" t="s">
        <v>122</v>
      </c>
      <c r="OT108" s="1" t="s">
        <v>122</v>
      </c>
      <c r="OU108" s="1" t="s">
        <v>122</v>
      </c>
      <c r="OV108" s="1" t="s">
        <v>122</v>
      </c>
      <c r="OW108" s="1" t="s">
        <v>122</v>
      </c>
      <c r="OX108" s="1" t="s">
        <v>122</v>
      </c>
      <c r="OY108" s="1" t="s">
        <v>122</v>
      </c>
      <c r="OZ108" s="1" t="s">
        <v>122</v>
      </c>
      <c r="PA108" s="1" t="s">
        <v>122</v>
      </c>
      <c r="PB108" s="1" t="s">
        <v>122</v>
      </c>
      <c r="PC108" s="1" t="s">
        <v>122</v>
      </c>
      <c r="PD108" s="1" t="s">
        <v>122</v>
      </c>
      <c r="PE108" s="1" t="s">
        <v>122</v>
      </c>
      <c r="PF108" s="1" t="s">
        <v>122</v>
      </c>
      <c r="PG108" s="1" t="s">
        <v>122</v>
      </c>
      <c r="PH108" s="1" t="s">
        <v>122</v>
      </c>
      <c r="PI108" s="1" t="s">
        <v>122</v>
      </c>
      <c r="PJ108" s="1" t="s">
        <v>122</v>
      </c>
      <c r="PK108" s="1" t="s">
        <v>122</v>
      </c>
      <c r="PL108" s="1" t="s">
        <v>122</v>
      </c>
      <c r="PM108" s="1" t="s">
        <v>122</v>
      </c>
      <c r="PN108" s="1" t="s">
        <v>122</v>
      </c>
      <c r="PO108" s="1" t="s">
        <v>122</v>
      </c>
      <c r="PP108" s="1" t="s">
        <v>122</v>
      </c>
      <c r="PQ108" s="1" t="s">
        <v>122</v>
      </c>
      <c r="PR108" s="1" t="s">
        <v>122</v>
      </c>
      <c r="PS108" s="1" t="s">
        <v>122</v>
      </c>
      <c r="PT108" s="1" t="s">
        <v>122</v>
      </c>
      <c r="PU108" s="1" t="s">
        <v>122</v>
      </c>
      <c r="PV108" s="1" t="s">
        <v>122</v>
      </c>
      <c r="PW108" s="1" t="s">
        <v>122</v>
      </c>
      <c r="PX108" s="1" t="s">
        <v>122</v>
      </c>
      <c r="PY108" s="1" t="s">
        <v>122</v>
      </c>
      <c r="PZ108" s="1" t="s">
        <v>122</v>
      </c>
      <c r="QA108" s="1" t="s">
        <v>122</v>
      </c>
      <c r="QB108" s="1" t="s">
        <v>122</v>
      </c>
      <c r="QC108" s="1" t="s">
        <v>122</v>
      </c>
      <c r="QD108" s="1" t="s">
        <v>122</v>
      </c>
      <c r="QE108" s="1" t="s">
        <v>122</v>
      </c>
      <c r="QF108" s="1" t="s">
        <v>122</v>
      </c>
      <c r="QG108" s="1" t="s">
        <v>122</v>
      </c>
      <c r="QH108" s="1" t="s">
        <v>122</v>
      </c>
      <c r="QI108" s="1" t="s">
        <v>122</v>
      </c>
      <c r="QJ108" s="1" t="s">
        <v>122</v>
      </c>
      <c r="QK108" s="1" t="s">
        <v>122</v>
      </c>
      <c r="QL108" s="1" t="s">
        <v>122</v>
      </c>
      <c r="QM108" s="1" t="s">
        <v>122</v>
      </c>
      <c r="QN108" s="1" t="s">
        <v>122</v>
      </c>
      <c r="QO108" s="1" t="s">
        <v>122</v>
      </c>
      <c r="QP108" s="1" t="s">
        <v>122</v>
      </c>
      <c r="QQ108" s="1" t="s">
        <v>122</v>
      </c>
      <c r="QR108" s="1" t="s">
        <v>122</v>
      </c>
      <c r="QS108" s="1" t="s">
        <v>122</v>
      </c>
      <c r="QT108" s="1" t="s">
        <v>122</v>
      </c>
      <c r="QU108" s="1" t="s">
        <v>122</v>
      </c>
      <c r="QV108" s="1" t="s">
        <v>122</v>
      </c>
      <c r="QW108" s="1" t="s">
        <v>122</v>
      </c>
      <c r="QX108" s="1" t="s">
        <v>122</v>
      </c>
      <c r="QY108" s="1" t="s">
        <v>122</v>
      </c>
      <c r="QZ108" s="1" t="s">
        <v>122</v>
      </c>
      <c r="RA108" s="1" t="s">
        <v>122</v>
      </c>
      <c r="RB108" s="1" t="s">
        <v>122</v>
      </c>
      <c r="RC108" s="1" t="s">
        <v>122</v>
      </c>
      <c r="RD108" s="1" t="s">
        <v>122</v>
      </c>
      <c r="RE108" s="1" t="s">
        <v>122</v>
      </c>
      <c r="RF108" s="1" t="s">
        <v>122</v>
      </c>
      <c r="RG108" s="1" t="s">
        <v>122</v>
      </c>
      <c r="RH108" s="1" t="s">
        <v>122</v>
      </c>
      <c r="RI108" s="1" t="s">
        <v>122</v>
      </c>
      <c r="RJ108" s="1" t="s">
        <v>122</v>
      </c>
      <c r="RK108" s="1" t="s">
        <v>122</v>
      </c>
      <c r="RL108" s="1" t="s">
        <v>122</v>
      </c>
      <c r="RM108" s="1" t="s">
        <v>122</v>
      </c>
      <c r="RN108" s="1" t="s">
        <v>122</v>
      </c>
      <c r="RO108" s="1" t="s">
        <v>122</v>
      </c>
      <c r="RP108" s="1" t="s">
        <v>122</v>
      </c>
      <c r="RQ108" s="1" t="s">
        <v>122</v>
      </c>
      <c r="RR108" s="1" t="s">
        <v>122</v>
      </c>
      <c r="RS108" s="1" t="s">
        <v>122</v>
      </c>
      <c r="RT108" s="1" t="s">
        <v>122</v>
      </c>
      <c r="RU108" s="1" t="s">
        <v>122</v>
      </c>
      <c r="RV108" s="1" t="s">
        <v>122</v>
      </c>
      <c r="RW108" s="1" t="s">
        <v>122</v>
      </c>
      <c r="RX108" s="1" t="s">
        <v>122</v>
      </c>
      <c r="RY108" s="1" t="s">
        <v>122</v>
      </c>
      <c r="RZ108" s="1" t="s">
        <v>122</v>
      </c>
      <c r="SA108" s="1" t="s">
        <v>122</v>
      </c>
      <c r="SB108" s="1" t="s">
        <v>122</v>
      </c>
      <c r="SC108" s="1" t="s">
        <v>122</v>
      </c>
      <c r="SD108" s="1" t="s">
        <v>122</v>
      </c>
      <c r="SE108" s="1" t="s">
        <v>122</v>
      </c>
      <c r="SF108" s="1" t="s">
        <v>122</v>
      </c>
      <c r="SG108" s="1" t="s">
        <v>122</v>
      </c>
      <c r="SH108" s="1" t="s">
        <v>122</v>
      </c>
      <c r="SI108" s="1" t="s">
        <v>122</v>
      </c>
      <c r="SJ108" s="1" t="s">
        <v>122</v>
      </c>
      <c r="SK108" s="1" t="s">
        <v>122</v>
      </c>
      <c r="SL108" s="1" t="s">
        <v>122</v>
      </c>
      <c r="SM108" s="1" t="s">
        <v>122</v>
      </c>
      <c r="SN108" s="1" t="s">
        <v>122</v>
      </c>
      <c r="SO108" s="1" t="s">
        <v>122</v>
      </c>
      <c r="SP108" s="1" t="s">
        <v>122</v>
      </c>
      <c r="SQ108" s="1" t="s">
        <v>122</v>
      </c>
      <c r="SR108" s="1" t="s">
        <v>122</v>
      </c>
      <c r="SS108" s="1" t="s">
        <v>122</v>
      </c>
      <c r="ST108" s="1" t="s">
        <v>122</v>
      </c>
      <c r="SU108" s="1" t="s">
        <v>122</v>
      </c>
      <c r="SV108" s="1" t="s">
        <v>122</v>
      </c>
      <c r="SW108" s="1" t="s">
        <v>122</v>
      </c>
      <c r="SX108" s="1" t="s">
        <v>122</v>
      </c>
      <c r="SY108" s="1" t="s">
        <v>122</v>
      </c>
      <c r="SZ108" s="1" t="s">
        <v>122</v>
      </c>
      <c r="TA108" s="1" t="s">
        <v>122</v>
      </c>
      <c r="TB108" s="1" t="s">
        <v>122</v>
      </c>
      <c r="TC108" s="1" t="s">
        <v>122</v>
      </c>
      <c r="TD108" s="1" t="s">
        <v>122</v>
      </c>
      <c r="TE108" s="1" t="s">
        <v>122</v>
      </c>
      <c r="TF108" s="1" t="s">
        <v>122</v>
      </c>
      <c r="TG108" s="1" t="s">
        <v>122</v>
      </c>
      <c r="TH108" s="1" t="s">
        <v>122</v>
      </c>
      <c r="TI108" s="1" t="s">
        <v>122</v>
      </c>
      <c r="TJ108" s="1" t="s">
        <v>122</v>
      </c>
      <c r="TK108" s="1" t="s">
        <v>122</v>
      </c>
      <c r="TL108" s="1" t="s">
        <v>122</v>
      </c>
      <c r="TM108" s="1" t="s">
        <v>122</v>
      </c>
      <c r="TN108" s="1" t="s">
        <v>122</v>
      </c>
      <c r="TO108" s="1" t="s">
        <v>122</v>
      </c>
      <c r="TP108" s="1" t="s">
        <v>122</v>
      </c>
      <c r="TQ108" s="1" t="s">
        <v>122</v>
      </c>
      <c r="TR108" s="1" t="s">
        <v>122</v>
      </c>
      <c r="TS108" s="1" t="s">
        <v>122</v>
      </c>
      <c r="TT108" s="1" t="s">
        <v>122</v>
      </c>
      <c r="TU108" s="1" t="s">
        <v>122</v>
      </c>
      <c r="TV108" s="1" t="s">
        <v>122</v>
      </c>
      <c r="TW108" s="1" t="s">
        <v>122</v>
      </c>
      <c r="TX108" s="1" t="s">
        <v>122</v>
      </c>
      <c r="TY108" s="1" t="s">
        <v>122</v>
      </c>
      <c r="TZ108" s="1" t="s">
        <v>122</v>
      </c>
      <c r="UA108" s="1" t="s">
        <v>122</v>
      </c>
      <c r="UB108" s="1" t="s">
        <v>122</v>
      </c>
      <c r="UC108" s="1" t="s">
        <v>122</v>
      </c>
      <c r="UD108" s="1" t="s">
        <v>122</v>
      </c>
      <c r="UE108" s="1" t="s">
        <v>122</v>
      </c>
      <c r="UF108" s="1" t="s">
        <v>122</v>
      </c>
      <c r="UG108" s="1" t="s">
        <v>122</v>
      </c>
      <c r="UH108" s="1" t="s">
        <v>122</v>
      </c>
      <c r="UI108" s="1" t="s">
        <v>122</v>
      </c>
      <c r="UJ108" s="1" t="s">
        <v>122</v>
      </c>
      <c r="UK108" s="1" t="s">
        <v>122</v>
      </c>
      <c r="UL108" s="1" t="s">
        <v>122</v>
      </c>
      <c r="UM108" s="1" t="s">
        <v>122</v>
      </c>
      <c r="UN108" s="1" t="s">
        <v>122</v>
      </c>
      <c r="UO108" s="1" t="s">
        <v>122</v>
      </c>
      <c r="UP108" s="1" t="s">
        <v>122</v>
      </c>
      <c r="UQ108" s="1" t="s">
        <v>122</v>
      </c>
      <c r="UR108" s="1" t="s">
        <v>122</v>
      </c>
      <c r="US108" s="1" t="s">
        <v>122</v>
      </c>
      <c r="UT108" s="1" t="s">
        <v>122</v>
      </c>
      <c r="UU108" s="1" t="s">
        <v>122</v>
      </c>
      <c r="UV108" s="1" t="s">
        <v>122</v>
      </c>
      <c r="UW108" s="1" t="s">
        <v>122</v>
      </c>
      <c r="UX108" s="1" t="s">
        <v>122</v>
      </c>
      <c r="UY108" s="1" t="s">
        <v>122</v>
      </c>
      <c r="UZ108" s="1" t="s">
        <v>122</v>
      </c>
      <c r="VA108" s="1" t="s">
        <v>122</v>
      </c>
      <c r="VB108" s="1" t="s">
        <v>122</v>
      </c>
      <c r="VC108" s="1" t="s">
        <v>122</v>
      </c>
      <c r="VD108" s="1" t="s">
        <v>122</v>
      </c>
      <c r="VE108" s="1" t="s">
        <v>122</v>
      </c>
      <c r="VF108" s="1" t="s">
        <v>122</v>
      </c>
      <c r="VG108" s="1" t="s">
        <v>122</v>
      </c>
      <c r="VH108" s="1" t="s">
        <v>122</v>
      </c>
      <c r="VI108" s="1" t="s">
        <v>122</v>
      </c>
      <c r="VJ108" s="1" t="s">
        <v>122</v>
      </c>
      <c r="VK108" s="1" t="s">
        <v>122</v>
      </c>
      <c r="VL108" s="1" t="s">
        <v>122</v>
      </c>
      <c r="VM108" s="1" t="s">
        <v>122</v>
      </c>
      <c r="VN108" s="1" t="s">
        <v>122</v>
      </c>
      <c r="VO108" s="1" t="s">
        <v>122</v>
      </c>
      <c r="VP108" s="1" t="s">
        <v>122</v>
      </c>
      <c r="VQ108" s="1" t="s">
        <v>122</v>
      </c>
      <c r="VR108" s="1" t="s">
        <v>122</v>
      </c>
      <c r="VS108" s="1" t="s">
        <v>122</v>
      </c>
      <c r="VT108" s="1" t="s">
        <v>122</v>
      </c>
      <c r="VU108" s="1" t="s">
        <v>122</v>
      </c>
      <c r="VV108" s="1" t="s">
        <v>122</v>
      </c>
      <c r="VW108" s="1" t="s">
        <v>122</v>
      </c>
      <c r="VX108" s="1" t="s">
        <v>122</v>
      </c>
      <c r="VY108" s="1" t="s">
        <v>122</v>
      </c>
      <c r="VZ108" s="1" t="s">
        <v>122</v>
      </c>
      <c r="WA108" s="1" t="s">
        <v>122</v>
      </c>
      <c r="WB108" s="1" t="s">
        <v>122</v>
      </c>
      <c r="WC108" s="1" t="s">
        <v>122</v>
      </c>
      <c r="WD108" s="1" t="s">
        <v>122</v>
      </c>
      <c r="WE108" s="1" t="s">
        <v>122</v>
      </c>
      <c r="WF108" s="1" t="s">
        <v>122</v>
      </c>
      <c r="WG108" s="1" t="s">
        <v>122</v>
      </c>
      <c r="WH108" s="1" t="s">
        <v>122</v>
      </c>
      <c r="WI108" s="1" t="s">
        <v>122</v>
      </c>
      <c r="WJ108" s="1" t="s">
        <v>122</v>
      </c>
      <c r="WK108" s="1" t="s">
        <v>122</v>
      </c>
      <c r="WL108" s="1" t="s">
        <v>122</v>
      </c>
      <c r="WM108" s="1" t="s">
        <v>122</v>
      </c>
      <c r="WN108" s="1" t="s">
        <v>122</v>
      </c>
      <c r="WO108" s="1" t="s">
        <v>122</v>
      </c>
      <c r="WP108" s="1" t="s">
        <v>122</v>
      </c>
      <c r="WQ108" s="1" t="s">
        <v>122</v>
      </c>
      <c r="WR108" s="1" t="s">
        <v>122</v>
      </c>
      <c r="WS108" s="1" t="s">
        <v>122</v>
      </c>
      <c r="WT108" s="1" t="s">
        <v>122</v>
      </c>
      <c r="WU108" s="1" t="s">
        <v>122</v>
      </c>
      <c r="WV108" s="1" t="s">
        <v>122</v>
      </c>
      <c r="WW108" s="1" t="s">
        <v>122</v>
      </c>
      <c r="WX108" s="1" t="s">
        <v>122</v>
      </c>
      <c r="WY108" s="1" t="s">
        <v>122</v>
      </c>
      <c r="WZ108" s="1" t="s">
        <v>122</v>
      </c>
      <c r="XA108" s="1" t="s">
        <v>122</v>
      </c>
      <c r="XB108" s="1" t="s">
        <v>122</v>
      </c>
      <c r="XC108" s="1" t="s">
        <v>122</v>
      </c>
      <c r="XD108" s="1" t="s">
        <v>122</v>
      </c>
      <c r="XE108" s="1" t="s">
        <v>122</v>
      </c>
      <c r="XF108" s="1" t="s">
        <v>122</v>
      </c>
      <c r="XG108" s="1" t="s">
        <v>122</v>
      </c>
      <c r="XH108" s="1" t="s">
        <v>122</v>
      </c>
      <c r="XI108" s="1" t="s">
        <v>122</v>
      </c>
      <c r="XJ108" s="1" t="s">
        <v>122</v>
      </c>
      <c r="XK108" s="1" t="s">
        <v>122</v>
      </c>
      <c r="XL108" s="1" t="s">
        <v>122</v>
      </c>
      <c r="XM108" s="1" t="s">
        <v>122</v>
      </c>
      <c r="XN108" s="1" t="s">
        <v>122</v>
      </c>
      <c r="XO108" s="1" t="s">
        <v>122</v>
      </c>
      <c r="XP108" s="1" t="s">
        <v>122</v>
      </c>
      <c r="XQ108" s="1" t="s">
        <v>122</v>
      </c>
      <c r="XR108" s="1" t="s">
        <v>122</v>
      </c>
      <c r="XS108" s="1" t="s">
        <v>122</v>
      </c>
      <c r="XT108" s="1" t="s">
        <v>122</v>
      </c>
      <c r="XU108" s="1" t="s">
        <v>122</v>
      </c>
      <c r="XV108" s="1" t="s">
        <v>122</v>
      </c>
      <c r="XW108" s="1" t="s">
        <v>122</v>
      </c>
      <c r="XX108" s="1" t="s">
        <v>122</v>
      </c>
      <c r="XY108" s="1" t="s">
        <v>122</v>
      </c>
      <c r="XZ108" s="1" t="s">
        <v>122</v>
      </c>
      <c r="YA108" s="1" t="s">
        <v>122</v>
      </c>
      <c r="YB108" s="1" t="s">
        <v>122</v>
      </c>
      <c r="YC108" s="1" t="s">
        <v>122</v>
      </c>
      <c r="YD108" s="1" t="s">
        <v>122</v>
      </c>
      <c r="YE108" s="1" t="s">
        <v>122</v>
      </c>
      <c r="YF108" s="1" t="s">
        <v>122</v>
      </c>
      <c r="YG108" s="1" t="s">
        <v>122</v>
      </c>
      <c r="YH108" s="1" t="s">
        <v>122</v>
      </c>
      <c r="YI108" s="1" t="s">
        <v>122</v>
      </c>
      <c r="YJ108" s="1" t="s">
        <v>122</v>
      </c>
      <c r="YK108" s="1" t="s">
        <v>122</v>
      </c>
      <c r="YL108" s="1" t="s">
        <v>122</v>
      </c>
      <c r="YM108" s="1" t="s">
        <v>122</v>
      </c>
      <c r="YN108" s="1" t="s">
        <v>122</v>
      </c>
      <c r="YO108" s="1" t="s">
        <v>122</v>
      </c>
      <c r="YP108" s="1" t="s">
        <v>122</v>
      </c>
      <c r="YQ108" s="1" t="s">
        <v>122</v>
      </c>
      <c r="YR108" s="1" t="s">
        <v>122</v>
      </c>
      <c r="YS108" s="1" t="s">
        <v>122</v>
      </c>
      <c r="YT108" s="1" t="s">
        <v>122</v>
      </c>
      <c r="YU108" s="1" t="s">
        <v>122</v>
      </c>
      <c r="YV108" s="1" t="s">
        <v>122</v>
      </c>
      <c r="YW108" s="1" t="s">
        <v>122</v>
      </c>
      <c r="YX108" s="1" t="s">
        <v>122</v>
      </c>
      <c r="YY108" s="1" t="s">
        <v>122</v>
      </c>
      <c r="YZ108" s="1" t="s">
        <v>122</v>
      </c>
      <c r="ZA108" s="1" t="s">
        <v>122</v>
      </c>
      <c r="ZB108" s="1" t="s">
        <v>122</v>
      </c>
      <c r="ZC108" s="1" t="s">
        <v>122</v>
      </c>
      <c r="ZD108" s="1" t="s">
        <v>122</v>
      </c>
      <c r="ZE108" s="1" t="s">
        <v>122</v>
      </c>
      <c r="ZF108" s="1" t="s">
        <v>122</v>
      </c>
      <c r="ZG108" s="1" t="s">
        <v>122</v>
      </c>
      <c r="ZH108" s="1" t="s">
        <v>122</v>
      </c>
      <c r="ZI108" s="1" t="s">
        <v>122</v>
      </c>
      <c r="ZJ108" s="1" t="s">
        <v>122</v>
      </c>
      <c r="ZK108" s="1" t="s">
        <v>122</v>
      </c>
      <c r="ZL108" s="1" t="s">
        <v>122</v>
      </c>
      <c r="ZM108" s="1" t="s">
        <v>122</v>
      </c>
      <c r="ZN108" s="1" t="s">
        <v>122</v>
      </c>
      <c r="ZO108" s="1" t="s">
        <v>122</v>
      </c>
      <c r="ZP108" s="1" t="s">
        <v>122</v>
      </c>
      <c r="ZQ108" s="1" t="s">
        <v>122</v>
      </c>
      <c r="ZR108" s="1" t="s">
        <v>122</v>
      </c>
      <c r="ZS108" s="1" t="s">
        <v>122</v>
      </c>
      <c r="ZT108" s="1" t="s">
        <v>122</v>
      </c>
      <c r="ZU108" s="1" t="s">
        <v>122</v>
      </c>
      <c r="ZV108" s="1" t="s">
        <v>122</v>
      </c>
      <c r="ZW108" s="1" t="s">
        <v>122</v>
      </c>
      <c r="ZX108" s="1" t="s">
        <v>122</v>
      </c>
      <c r="ZY108" s="1" t="s">
        <v>122</v>
      </c>
      <c r="ZZ108" s="1" t="s">
        <v>122</v>
      </c>
      <c r="AAA108" s="1" t="s">
        <v>122</v>
      </c>
      <c r="AAB108" s="1" t="s">
        <v>122</v>
      </c>
      <c r="AAC108" s="1" t="s">
        <v>122</v>
      </c>
      <c r="AAD108" s="1" t="s">
        <v>122</v>
      </c>
      <c r="AAE108" s="1" t="s">
        <v>122</v>
      </c>
      <c r="AAF108" s="1" t="s">
        <v>122</v>
      </c>
      <c r="AAG108" s="1" t="s">
        <v>122</v>
      </c>
      <c r="AAH108" s="1" t="s">
        <v>122</v>
      </c>
      <c r="AAI108" s="1" t="s">
        <v>122</v>
      </c>
      <c r="AAJ108" s="1" t="s">
        <v>122</v>
      </c>
      <c r="AAK108" s="1" t="s">
        <v>122</v>
      </c>
      <c r="AAL108" s="1" t="s">
        <v>122</v>
      </c>
      <c r="AAM108" s="1" t="s">
        <v>122</v>
      </c>
      <c r="AAN108" s="1" t="s">
        <v>122</v>
      </c>
      <c r="AAO108" s="1" t="s">
        <v>122</v>
      </c>
      <c r="AAP108" s="1" t="s">
        <v>122</v>
      </c>
      <c r="AAQ108" s="1" t="s">
        <v>122</v>
      </c>
      <c r="AAR108" s="1" t="s">
        <v>122</v>
      </c>
      <c r="AAS108" s="1" t="s">
        <v>122</v>
      </c>
      <c r="AAT108" s="1" t="s">
        <v>122</v>
      </c>
      <c r="AAU108" s="1" t="s">
        <v>122</v>
      </c>
      <c r="AAV108" s="1" t="s">
        <v>122</v>
      </c>
      <c r="AAW108" s="1" t="s">
        <v>122</v>
      </c>
      <c r="AAX108" s="1" t="s">
        <v>122</v>
      </c>
      <c r="AAY108" s="1" t="s">
        <v>122</v>
      </c>
      <c r="AAZ108" s="1" t="s">
        <v>122</v>
      </c>
      <c r="ABA108" s="1" t="s">
        <v>122</v>
      </c>
      <c r="ABB108" s="1" t="s">
        <v>122</v>
      </c>
      <c r="ABC108" s="1" t="s">
        <v>122</v>
      </c>
      <c r="ABD108" s="1" t="s">
        <v>122</v>
      </c>
      <c r="ABE108" s="1" t="s">
        <v>122</v>
      </c>
      <c r="ABF108" s="1" t="s">
        <v>122</v>
      </c>
      <c r="ABG108" s="1" t="s">
        <v>122</v>
      </c>
      <c r="ABH108" s="1" t="s">
        <v>122</v>
      </c>
      <c r="ABI108" s="1" t="s">
        <v>122</v>
      </c>
      <c r="ABJ108" s="1" t="s">
        <v>122</v>
      </c>
      <c r="ABK108" s="1" t="s">
        <v>122</v>
      </c>
      <c r="ABL108" s="1" t="s">
        <v>122</v>
      </c>
      <c r="ABM108" s="1" t="s">
        <v>122</v>
      </c>
      <c r="ABN108" s="1" t="s">
        <v>122</v>
      </c>
      <c r="ABO108" s="1" t="s">
        <v>122</v>
      </c>
      <c r="ABP108" s="1" t="s">
        <v>122</v>
      </c>
      <c r="ABQ108" s="1" t="s">
        <v>122</v>
      </c>
      <c r="ABR108" s="1" t="s">
        <v>122</v>
      </c>
      <c r="ABS108" s="1" t="s">
        <v>122</v>
      </c>
      <c r="ABT108" s="1" t="s">
        <v>122</v>
      </c>
      <c r="ABU108" s="1" t="s">
        <v>122</v>
      </c>
      <c r="ABV108" s="1" t="s">
        <v>122</v>
      </c>
      <c r="ABW108" s="1" t="s">
        <v>122</v>
      </c>
      <c r="ABX108" s="1" t="s">
        <v>122</v>
      </c>
      <c r="ABY108" s="1" t="s">
        <v>122</v>
      </c>
      <c r="ABZ108" s="1" t="s">
        <v>122</v>
      </c>
      <c r="ACA108" s="1" t="s">
        <v>122</v>
      </c>
      <c r="ACB108" s="1" t="s">
        <v>122</v>
      </c>
      <c r="ACC108" s="1" t="s">
        <v>122</v>
      </c>
      <c r="ACD108" s="1" t="s">
        <v>122</v>
      </c>
      <c r="ACE108" s="1" t="s">
        <v>122</v>
      </c>
      <c r="ACF108" s="1" t="s">
        <v>122</v>
      </c>
      <c r="ACG108" s="1" t="s">
        <v>122</v>
      </c>
      <c r="ACH108" s="1" t="s">
        <v>122</v>
      </c>
      <c r="ACI108" s="1" t="s">
        <v>122</v>
      </c>
      <c r="ACJ108" s="1" t="s">
        <v>122</v>
      </c>
      <c r="ACK108" s="1" t="s">
        <v>122</v>
      </c>
      <c r="ACL108" s="1" t="s">
        <v>122</v>
      </c>
      <c r="ACM108" s="1" t="s">
        <v>122</v>
      </c>
      <c r="ACN108" s="1" t="s">
        <v>122</v>
      </c>
      <c r="ACO108" s="1" t="s">
        <v>122</v>
      </c>
      <c r="ACP108" s="1" t="s">
        <v>122</v>
      </c>
      <c r="ACQ108" s="1" t="s">
        <v>122</v>
      </c>
      <c r="ACR108" s="1" t="s">
        <v>122</v>
      </c>
      <c r="ACS108" s="1" t="s">
        <v>122</v>
      </c>
      <c r="ACT108" s="1" t="s">
        <v>122</v>
      </c>
      <c r="ACU108" s="1" t="s">
        <v>122</v>
      </c>
      <c r="ACV108" s="1" t="s">
        <v>122</v>
      </c>
      <c r="ACW108" s="1" t="s">
        <v>122</v>
      </c>
      <c r="ACX108" s="1" t="s">
        <v>122</v>
      </c>
      <c r="ACY108" s="1" t="s">
        <v>122</v>
      </c>
      <c r="ACZ108" s="1" t="s">
        <v>122</v>
      </c>
      <c r="ADA108" s="1" t="s">
        <v>122</v>
      </c>
      <c r="ADB108" s="1" t="s">
        <v>122</v>
      </c>
      <c r="ADC108" s="1" t="s">
        <v>122</v>
      </c>
      <c r="ADD108" s="1" t="s">
        <v>122</v>
      </c>
      <c r="ADE108" s="1" t="s">
        <v>122</v>
      </c>
      <c r="ADF108" s="1" t="s">
        <v>122</v>
      </c>
      <c r="ADG108" s="1" t="s">
        <v>122</v>
      </c>
      <c r="ADH108" s="1" t="s">
        <v>122</v>
      </c>
      <c r="ADI108" s="1" t="s">
        <v>122</v>
      </c>
      <c r="ADJ108" s="1" t="s">
        <v>122</v>
      </c>
      <c r="ADK108" s="1" t="s">
        <v>122</v>
      </c>
      <c r="ADL108" s="1" t="s">
        <v>122</v>
      </c>
      <c r="ADM108" s="1" t="s">
        <v>122</v>
      </c>
      <c r="ADN108" s="1" t="s">
        <v>122</v>
      </c>
      <c r="ADO108" s="1" t="s">
        <v>122</v>
      </c>
      <c r="ADP108" s="1" t="s">
        <v>122</v>
      </c>
      <c r="ADQ108" s="1" t="s">
        <v>122</v>
      </c>
      <c r="ADR108" s="1" t="s">
        <v>122</v>
      </c>
      <c r="ADS108" s="1" t="s">
        <v>122</v>
      </c>
      <c r="ADT108" s="1" t="s">
        <v>122</v>
      </c>
      <c r="ADU108" s="1" t="s">
        <v>122</v>
      </c>
      <c r="ADV108" s="1" t="s">
        <v>122</v>
      </c>
      <c r="ADW108" s="1" t="s">
        <v>122</v>
      </c>
      <c r="ADX108" s="1" t="s">
        <v>122</v>
      </c>
      <c r="ADY108" s="1" t="s">
        <v>122</v>
      </c>
      <c r="ADZ108" s="1" t="s">
        <v>122</v>
      </c>
      <c r="AEA108" s="1" t="s">
        <v>122</v>
      </c>
      <c r="AEB108" s="1" t="s">
        <v>122</v>
      </c>
      <c r="AEC108" s="1" t="s">
        <v>122</v>
      </c>
      <c r="AED108" s="1" t="s">
        <v>122</v>
      </c>
      <c r="AEE108" s="1" t="s">
        <v>122</v>
      </c>
      <c r="AEF108" s="1" t="s">
        <v>122</v>
      </c>
      <c r="AEG108" s="1" t="s">
        <v>122</v>
      </c>
      <c r="AEH108" s="1" t="s">
        <v>122</v>
      </c>
      <c r="AEI108" s="1" t="s">
        <v>122</v>
      </c>
      <c r="AEJ108" s="1" t="s">
        <v>122</v>
      </c>
      <c r="AEK108" s="1" t="s">
        <v>122</v>
      </c>
      <c r="AEL108" s="1" t="s">
        <v>122</v>
      </c>
      <c r="AEM108" s="1" t="s">
        <v>122</v>
      </c>
      <c r="AEN108" s="1" t="s">
        <v>122</v>
      </c>
      <c r="AEO108" s="1" t="s">
        <v>122</v>
      </c>
      <c r="AEP108" s="1" t="s">
        <v>122</v>
      </c>
      <c r="AEQ108" s="1" t="s">
        <v>122</v>
      </c>
      <c r="AER108" s="1" t="s">
        <v>122</v>
      </c>
      <c r="AES108" s="1" t="s">
        <v>122</v>
      </c>
      <c r="AET108" s="1" t="s">
        <v>122</v>
      </c>
      <c r="AEU108" s="1" t="s">
        <v>122</v>
      </c>
      <c r="AEV108" s="1" t="s">
        <v>122</v>
      </c>
      <c r="AEW108" s="1" t="s">
        <v>122</v>
      </c>
      <c r="AEX108" s="1" t="s">
        <v>122</v>
      </c>
      <c r="AEY108" s="1" t="s">
        <v>122</v>
      </c>
      <c r="AEZ108" s="1" t="s">
        <v>122</v>
      </c>
      <c r="AFA108" s="1" t="s">
        <v>122</v>
      </c>
      <c r="AFB108" s="1" t="s">
        <v>122</v>
      </c>
      <c r="AFC108" s="1" t="s">
        <v>122</v>
      </c>
      <c r="AFD108" s="1" t="s">
        <v>122</v>
      </c>
      <c r="AFE108" s="1" t="s">
        <v>122</v>
      </c>
      <c r="AFF108" s="1" t="s">
        <v>122</v>
      </c>
      <c r="AFG108" s="1" t="s">
        <v>122</v>
      </c>
      <c r="AFH108" s="1" t="s">
        <v>122</v>
      </c>
      <c r="AFI108" s="1" t="s">
        <v>122</v>
      </c>
      <c r="AFJ108" s="1" t="s">
        <v>122</v>
      </c>
      <c r="AFK108" s="1" t="s">
        <v>122</v>
      </c>
      <c r="AFL108" s="1" t="s">
        <v>122</v>
      </c>
      <c r="AFM108" s="1" t="s">
        <v>122</v>
      </c>
      <c r="AFN108" s="1" t="s">
        <v>122</v>
      </c>
      <c r="AFO108" s="1" t="s">
        <v>122</v>
      </c>
      <c r="AFP108" s="1" t="s">
        <v>122</v>
      </c>
      <c r="AFQ108" s="1" t="s">
        <v>122</v>
      </c>
      <c r="AFR108" s="1" t="s">
        <v>122</v>
      </c>
      <c r="AFS108" s="1" t="s">
        <v>122</v>
      </c>
      <c r="AFT108" s="1" t="s">
        <v>122</v>
      </c>
      <c r="AFU108" s="1" t="s">
        <v>122</v>
      </c>
      <c r="AFV108" s="1" t="s">
        <v>122</v>
      </c>
      <c r="AFW108" s="1" t="s">
        <v>122</v>
      </c>
      <c r="AFX108" s="1" t="s">
        <v>122</v>
      </c>
      <c r="AFY108" s="1" t="s">
        <v>122</v>
      </c>
      <c r="AFZ108" s="1" t="s">
        <v>122</v>
      </c>
      <c r="AGA108" s="1" t="s">
        <v>122</v>
      </c>
      <c r="AGB108" s="1" t="s">
        <v>122</v>
      </c>
      <c r="AGC108" s="1" t="s">
        <v>122</v>
      </c>
      <c r="AGD108" s="1" t="s">
        <v>122</v>
      </c>
      <c r="AGE108" s="1" t="s">
        <v>122</v>
      </c>
      <c r="AGF108" s="1" t="s">
        <v>122</v>
      </c>
      <c r="AGG108" s="1" t="s">
        <v>122</v>
      </c>
      <c r="AGH108" s="1" t="s">
        <v>122</v>
      </c>
      <c r="AGI108" s="1" t="s">
        <v>122</v>
      </c>
      <c r="AGJ108" s="1" t="s">
        <v>122</v>
      </c>
      <c r="AGK108" s="1" t="s">
        <v>122</v>
      </c>
      <c r="AGL108" s="1" t="s">
        <v>122</v>
      </c>
      <c r="AGM108" s="1" t="s">
        <v>122</v>
      </c>
      <c r="AGN108" s="1" t="s">
        <v>122</v>
      </c>
      <c r="AGO108" s="1" t="s">
        <v>122</v>
      </c>
      <c r="AGP108" s="1" t="s">
        <v>122</v>
      </c>
      <c r="AGQ108" s="1" t="s">
        <v>122</v>
      </c>
      <c r="AGR108" s="1" t="s">
        <v>122</v>
      </c>
      <c r="AGS108" s="1" t="s">
        <v>122</v>
      </c>
      <c r="AGT108" s="1" t="s">
        <v>122</v>
      </c>
      <c r="AGU108" s="1" t="s">
        <v>122</v>
      </c>
      <c r="AGV108" s="1" t="s">
        <v>122</v>
      </c>
      <c r="AGW108" s="1" t="s">
        <v>122</v>
      </c>
      <c r="AGX108" s="1" t="s">
        <v>122</v>
      </c>
      <c r="AGY108" s="1" t="s">
        <v>122</v>
      </c>
      <c r="AGZ108" s="1" t="s">
        <v>122</v>
      </c>
      <c r="AHA108" s="1" t="s">
        <v>122</v>
      </c>
      <c r="AHB108" s="1" t="s">
        <v>122</v>
      </c>
      <c r="AHC108" s="1" t="s">
        <v>122</v>
      </c>
      <c r="AHD108" s="1" t="s">
        <v>122</v>
      </c>
      <c r="AHE108" s="1" t="s">
        <v>122</v>
      </c>
      <c r="AHF108" s="1" t="s">
        <v>122</v>
      </c>
      <c r="AHG108" s="1" t="s">
        <v>122</v>
      </c>
      <c r="AHH108" s="1" t="s">
        <v>122</v>
      </c>
      <c r="AHI108" s="1" t="s">
        <v>122</v>
      </c>
      <c r="AHJ108" s="1" t="s">
        <v>122</v>
      </c>
      <c r="AHK108" s="1" t="s">
        <v>122</v>
      </c>
      <c r="AHL108" s="1" t="s">
        <v>122</v>
      </c>
      <c r="AHM108" s="1" t="s">
        <v>122</v>
      </c>
      <c r="AHN108" s="1" t="s">
        <v>122</v>
      </c>
      <c r="AHO108" s="1" t="s">
        <v>122</v>
      </c>
      <c r="AHP108" s="1" t="s">
        <v>122</v>
      </c>
      <c r="AHQ108" s="1" t="s">
        <v>122</v>
      </c>
      <c r="AHR108" s="1" t="s">
        <v>122</v>
      </c>
      <c r="AHS108" s="1" t="s">
        <v>122</v>
      </c>
      <c r="AHT108" s="1" t="s">
        <v>122</v>
      </c>
      <c r="AHU108" s="1" t="s">
        <v>122</v>
      </c>
      <c r="AHV108" s="1" t="s">
        <v>122</v>
      </c>
      <c r="AHW108" s="1" t="s">
        <v>122</v>
      </c>
      <c r="AHX108" s="1" t="s">
        <v>122</v>
      </c>
      <c r="AHY108" s="1" t="s">
        <v>122</v>
      </c>
      <c r="AHZ108" s="1" t="s">
        <v>122</v>
      </c>
      <c r="AIA108" s="1" t="s">
        <v>122</v>
      </c>
      <c r="AIB108" s="1" t="s">
        <v>122</v>
      </c>
      <c r="AIC108" s="1" t="s">
        <v>122</v>
      </c>
      <c r="AID108" s="1" t="s">
        <v>122</v>
      </c>
      <c r="AIE108" s="1" t="s">
        <v>122</v>
      </c>
      <c r="AIF108" s="1" t="s">
        <v>122</v>
      </c>
      <c r="AIG108" s="1" t="s">
        <v>122</v>
      </c>
      <c r="AIH108" s="1" t="s">
        <v>122</v>
      </c>
      <c r="AII108" s="1" t="s">
        <v>122</v>
      </c>
      <c r="AIJ108" s="1" t="s">
        <v>122</v>
      </c>
      <c r="AIK108" s="1" t="s">
        <v>122</v>
      </c>
      <c r="AIL108" s="1" t="s">
        <v>122</v>
      </c>
      <c r="AIM108" s="1" t="s">
        <v>122</v>
      </c>
      <c r="AIN108" s="1" t="s">
        <v>122</v>
      </c>
      <c r="AIO108" s="1" t="s">
        <v>122</v>
      </c>
      <c r="AIP108" s="1" t="s">
        <v>122</v>
      </c>
      <c r="AIQ108" s="1" t="s">
        <v>122</v>
      </c>
      <c r="AIR108" s="1" t="s">
        <v>122</v>
      </c>
      <c r="AIS108" s="1" t="s">
        <v>122</v>
      </c>
      <c r="AIT108" s="1" t="s">
        <v>122</v>
      </c>
      <c r="AIU108" s="1" t="s">
        <v>122</v>
      </c>
      <c r="AIV108" s="1" t="s">
        <v>122</v>
      </c>
      <c r="AIW108" s="1" t="s">
        <v>122</v>
      </c>
      <c r="AIX108" s="1" t="s">
        <v>122</v>
      </c>
      <c r="AIY108" s="1" t="s">
        <v>122</v>
      </c>
      <c r="AIZ108" s="1" t="s">
        <v>122</v>
      </c>
      <c r="AJA108" s="1" t="s">
        <v>122</v>
      </c>
      <c r="AJB108" s="1" t="s">
        <v>122</v>
      </c>
      <c r="AJC108" s="1" t="s">
        <v>122</v>
      </c>
      <c r="AJD108" s="1" t="s">
        <v>122</v>
      </c>
      <c r="AJE108" s="1" t="s">
        <v>122</v>
      </c>
      <c r="AJF108" s="1" t="s">
        <v>122</v>
      </c>
      <c r="AJG108" s="1" t="s">
        <v>122</v>
      </c>
      <c r="AJH108" s="1" t="s">
        <v>122</v>
      </c>
      <c r="AJI108" s="1" t="s">
        <v>122</v>
      </c>
      <c r="AJJ108" s="1" t="s">
        <v>122</v>
      </c>
      <c r="AJK108" s="1" t="s">
        <v>122</v>
      </c>
      <c r="AJL108" s="1" t="s">
        <v>122</v>
      </c>
      <c r="AJM108" s="1" t="s">
        <v>122</v>
      </c>
      <c r="AJN108" s="1" t="s">
        <v>122</v>
      </c>
      <c r="AJO108" s="1" t="s">
        <v>122</v>
      </c>
      <c r="AJP108" s="1" t="s">
        <v>122</v>
      </c>
      <c r="AJQ108" s="1" t="s">
        <v>122</v>
      </c>
      <c r="AJR108" s="1" t="s">
        <v>122</v>
      </c>
      <c r="AJS108" s="1" t="s">
        <v>122</v>
      </c>
      <c r="AJT108" s="1" t="s">
        <v>122</v>
      </c>
      <c r="AJU108" s="1" t="s">
        <v>122</v>
      </c>
      <c r="AJV108" s="1" t="s">
        <v>122</v>
      </c>
      <c r="AJW108" s="1" t="s">
        <v>122</v>
      </c>
      <c r="AJX108" s="1" t="s">
        <v>122</v>
      </c>
      <c r="AJY108" s="1" t="s">
        <v>122</v>
      </c>
      <c r="AJZ108" s="1" t="s">
        <v>122</v>
      </c>
      <c r="AKA108" s="1" t="s">
        <v>122</v>
      </c>
      <c r="AKB108" s="1" t="s">
        <v>122</v>
      </c>
      <c r="AKC108" s="1" t="s">
        <v>122</v>
      </c>
      <c r="AKD108" s="1" t="s">
        <v>122</v>
      </c>
      <c r="AKE108" s="1" t="s">
        <v>122</v>
      </c>
      <c r="AKF108" s="1" t="s">
        <v>122</v>
      </c>
      <c r="AKG108" s="1" t="s">
        <v>122</v>
      </c>
      <c r="AKH108" s="1" t="s">
        <v>122</v>
      </c>
      <c r="AKI108" s="1" t="s">
        <v>122</v>
      </c>
      <c r="AKJ108" s="1" t="s">
        <v>122</v>
      </c>
      <c r="AKK108" s="1" t="s">
        <v>122</v>
      </c>
      <c r="AKL108" s="1" t="s">
        <v>122</v>
      </c>
      <c r="AKM108" s="1" t="s">
        <v>122</v>
      </c>
      <c r="AKN108" s="1" t="s">
        <v>122</v>
      </c>
      <c r="AKO108" s="1" t="s">
        <v>122</v>
      </c>
      <c r="AKP108" s="1" t="s">
        <v>122</v>
      </c>
      <c r="AKQ108" s="1" t="s">
        <v>122</v>
      </c>
      <c r="AKR108" s="1" t="s">
        <v>122</v>
      </c>
      <c r="AKS108" s="1" t="s">
        <v>122</v>
      </c>
      <c r="AKT108" s="1" t="s">
        <v>122</v>
      </c>
      <c r="AKU108" s="1" t="s">
        <v>122</v>
      </c>
      <c r="AKV108" s="1" t="s">
        <v>122</v>
      </c>
      <c r="AKW108" s="1" t="s">
        <v>122</v>
      </c>
      <c r="AKX108" s="1" t="s">
        <v>122</v>
      </c>
      <c r="AKY108" s="1" t="s">
        <v>122</v>
      </c>
      <c r="AKZ108" s="1" t="s">
        <v>122</v>
      </c>
      <c r="ALA108" s="1" t="s">
        <v>122</v>
      </c>
      <c r="ALB108" s="1" t="s">
        <v>122</v>
      </c>
      <c r="ALC108" s="1" t="s">
        <v>122</v>
      </c>
      <c r="ALD108" s="1" t="s">
        <v>122</v>
      </c>
      <c r="ALE108" s="1" t="s">
        <v>122</v>
      </c>
      <c r="ALF108" s="1" t="s">
        <v>122</v>
      </c>
      <c r="ALG108" s="1" t="s">
        <v>122</v>
      </c>
      <c r="ALH108" s="1" t="s">
        <v>122</v>
      </c>
      <c r="ALI108" s="1" t="s">
        <v>122</v>
      </c>
      <c r="ALJ108" s="1" t="s">
        <v>122</v>
      </c>
      <c r="ALK108" s="1" t="s">
        <v>122</v>
      </c>
      <c r="ALL108" s="1" t="s">
        <v>122</v>
      </c>
      <c r="ALM108" s="1" t="s">
        <v>122</v>
      </c>
      <c r="ALN108" s="1" t="s">
        <v>122</v>
      </c>
      <c r="ALO108" s="1" t="s">
        <v>122</v>
      </c>
      <c r="ALP108" s="1" t="s">
        <v>122</v>
      </c>
      <c r="ALQ108" s="1" t="s">
        <v>122</v>
      </c>
      <c r="ALR108" s="1" t="s">
        <v>122</v>
      </c>
      <c r="ALS108" s="1" t="s">
        <v>122</v>
      </c>
      <c r="ALT108" s="1" t="s">
        <v>122</v>
      </c>
      <c r="ALU108" s="1" t="s">
        <v>122</v>
      </c>
      <c r="ALV108" s="1" t="s">
        <v>122</v>
      </c>
      <c r="ALW108" s="1" t="s">
        <v>122</v>
      </c>
      <c r="ALX108" s="1" t="s">
        <v>122</v>
      </c>
      <c r="ALY108" s="1" t="s">
        <v>122</v>
      </c>
      <c r="ALZ108" s="1" t="s">
        <v>122</v>
      </c>
      <c r="AMA108" s="1" t="s">
        <v>122</v>
      </c>
      <c r="AMB108" s="1" t="s">
        <v>122</v>
      </c>
      <c r="AMC108" s="1" t="s">
        <v>122</v>
      </c>
      <c r="AMD108" s="1" t="s">
        <v>122</v>
      </c>
      <c r="AME108" s="1" t="s">
        <v>122</v>
      </c>
      <c r="AMF108" s="1" t="s">
        <v>122</v>
      </c>
      <c r="AMG108" s="1" t="s">
        <v>122</v>
      </c>
      <c r="AMH108" s="1" t="s">
        <v>122</v>
      </c>
      <c r="AMI108" s="1" t="s">
        <v>122</v>
      </c>
      <c r="AMJ108" s="1" t="s">
        <v>122</v>
      </c>
      <c r="AMK108" s="1" t="s">
        <v>122</v>
      </c>
      <c r="AML108" s="1" t="s">
        <v>122</v>
      </c>
      <c r="AMM108" s="1" t="s">
        <v>122</v>
      </c>
      <c r="AMN108" s="1" t="s">
        <v>122</v>
      </c>
      <c r="AMO108" s="1" t="s">
        <v>122</v>
      </c>
      <c r="AMP108" s="1" t="s">
        <v>122</v>
      </c>
      <c r="AMQ108" s="1" t="s">
        <v>122</v>
      </c>
      <c r="AMR108" s="1" t="s">
        <v>122</v>
      </c>
      <c r="AMS108" s="1" t="s">
        <v>122</v>
      </c>
      <c r="AMT108" s="1" t="s">
        <v>122</v>
      </c>
      <c r="AMU108" s="1" t="s">
        <v>122</v>
      </c>
      <c r="AMV108" s="1" t="s">
        <v>122</v>
      </c>
      <c r="AMW108" s="1" t="s">
        <v>122</v>
      </c>
      <c r="AMX108" s="1" t="s">
        <v>122</v>
      </c>
      <c r="AMY108" s="1" t="s">
        <v>122</v>
      </c>
      <c r="AMZ108" s="1" t="s">
        <v>122</v>
      </c>
      <c r="ANA108" s="1" t="s">
        <v>122</v>
      </c>
      <c r="ANB108" s="1" t="s">
        <v>122</v>
      </c>
      <c r="ANC108" s="1" t="s">
        <v>122</v>
      </c>
      <c r="AND108" s="1" t="s">
        <v>122</v>
      </c>
      <c r="ANE108" s="1" t="s">
        <v>122</v>
      </c>
      <c r="ANF108" s="1" t="s">
        <v>122</v>
      </c>
      <c r="ANG108" s="1" t="s">
        <v>122</v>
      </c>
      <c r="ANH108" s="1" t="s">
        <v>122</v>
      </c>
      <c r="ANI108" s="1" t="s">
        <v>122</v>
      </c>
      <c r="ANJ108" s="1" t="s">
        <v>122</v>
      </c>
      <c r="ANK108" s="1" t="s">
        <v>122</v>
      </c>
      <c r="ANL108" s="1" t="s">
        <v>122</v>
      </c>
      <c r="ANM108" s="1" t="s">
        <v>122</v>
      </c>
      <c r="ANN108" s="1" t="s">
        <v>122</v>
      </c>
      <c r="ANO108" s="1" t="s">
        <v>122</v>
      </c>
      <c r="ANP108" s="1" t="s">
        <v>122</v>
      </c>
      <c r="ANQ108" s="1" t="s">
        <v>122</v>
      </c>
      <c r="ANR108" s="1" t="s">
        <v>122</v>
      </c>
      <c r="ANS108" s="1" t="s">
        <v>122</v>
      </c>
      <c r="ANT108" s="1" t="s">
        <v>122</v>
      </c>
      <c r="ANU108" s="1" t="s">
        <v>122</v>
      </c>
      <c r="ANV108" s="1" t="s">
        <v>122</v>
      </c>
      <c r="ANW108" s="1" t="s">
        <v>122</v>
      </c>
      <c r="ANX108" s="1" t="s">
        <v>122</v>
      </c>
      <c r="ANY108" s="1" t="s">
        <v>122</v>
      </c>
      <c r="ANZ108" s="1" t="s">
        <v>122</v>
      </c>
      <c r="AOA108" s="1" t="s">
        <v>122</v>
      </c>
      <c r="AOB108" s="1" t="s">
        <v>122</v>
      </c>
      <c r="AOC108" s="1" t="s">
        <v>122</v>
      </c>
      <c r="AOD108" s="1" t="s">
        <v>122</v>
      </c>
      <c r="AOE108" s="1" t="s">
        <v>122</v>
      </c>
      <c r="AOF108" s="1" t="s">
        <v>122</v>
      </c>
      <c r="AOG108" s="1" t="s">
        <v>122</v>
      </c>
      <c r="AOH108" s="1" t="s">
        <v>122</v>
      </c>
      <c r="AOI108" s="1" t="s">
        <v>122</v>
      </c>
      <c r="AOJ108" s="1" t="s">
        <v>122</v>
      </c>
      <c r="AOK108" s="1" t="s">
        <v>122</v>
      </c>
      <c r="AOL108" s="1" t="s">
        <v>122</v>
      </c>
      <c r="AOM108" s="1" t="s">
        <v>122</v>
      </c>
      <c r="AON108" s="1" t="s">
        <v>122</v>
      </c>
      <c r="AOO108" s="1" t="s">
        <v>122</v>
      </c>
      <c r="AOP108" s="1" t="s">
        <v>122</v>
      </c>
      <c r="AOQ108" s="1" t="s">
        <v>122</v>
      </c>
      <c r="AOR108" s="1" t="s">
        <v>122</v>
      </c>
      <c r="AOS108" s="1" t="s">
        <v>122</v>
      </c>
      <c r="AOT108" s="1" t="s">
        <v>122</v>
      </c>
      <c r="AOU108" s="1" t="s">
        <v>122</v>
      </c>
      <c r="AOV108" s="1" t="s">
        <v>122</v>
      </c>
      <c r="AOW108" s="1" t="s">
        <v>122</v>
      </c>
      <c r="AOX108" s="1" t="s">
        <v>122</v>
      </c>
      <c r="AOY108" s="1" t="s">
        <v>122</v>
      </c>
      <c r="AOZ108" s="1" t="s">
        <v>122</v>
      </c>
      <c r="APA108" s="1" t="s">
        <v>122</v>
      </c>
      <c r="APB108" s="1" t="s">
        <v>122</v>
      </c>
      <c r="APC108" s="1" t="s">
        <v>122</v>
      </c>
      <c r="APD108" s="1" t="s">
        <v>122</v>
      </c>
      <c r="APE108" s="1" t="s">
        <v>122</v>
      </c>
      <c r="APF108" s="1" t="s">
        <v>122</v>
      </c>
      <c r="APG108" s="1" t="s">
        <v>122</v>
      </c>
      <c r="APH108" s="1" t="s">
        <v>122</v>
      </c>
      <c r="API108" s="1" t="s">
        <v>122</v>
      </c>
      <c r="APJ108" s="1" t="s">
        <v>122</v>
      </c>
      <c r="APK108" s="1" t="s">
        <v>122</v>
      </c>
      <c r="APL108" s="1" t="s">
        <v>122</v>
      </c>
      <c r="APM108" s="1" t="s">
        <v>122</v>
      </c>
      <c r="APN108" s="1" t="s">
        <v>122</v>
      </c>
      <c r="APO108" s="1" t="s">
        <v>122</v>
      </c>
      <c r="APP108" s="1" t="s">
        <v>122</v>
      </c>
      <c r="APQ108" s="1" t="s">
        <v>122</v>
      </c>
      <c r="APR108" s="1" t="s">
        <v>122</v>
      </c>
      <c r="APS108" s="1" t="s">
        <v>122</v>
      </c>
      <c r="APT108" s="1" t="s">
        <v>122</v>
      </c>
      <c r="APU108" s="1" t="s">
        <v>122</v>
      </c>
      <c r="APV108" s="1" t="s">
        <v>122</v>
      </c>
      <c r="APW108" s="1" t="s">
        <v>122</v>
      </c>
      <c r="APX108" s="1" t="s">
        <v>122</v>
      </c>
      <c r="APY108" s="1" t="s">
        <v>122</v>
      </c>
      <c r="APZ108" s="1" t="s">
        <v>122</v>
      </c>
      <c r="AQA108" s="1" t="s">
        <v>122</v>
      </c>
      <c r="AQB108" s="1" t="s">
        <v>122</v>
      </c>
      <c r="AQC108" s="1" t="s">
        <v>122</v>
      </c>
      <c r="AQD108" s="1" t="s">
        <v>122</v>
      </c>
      <c r="AQE108" s="1" t="s">
        <v>122</v>
      </c>
      <c r="AQF108" s="1" t="s">
        <v>122</v>
      </c>
      <c r="AQG108" s="1" t="s">
        <v>122</v>
      </c>
      <c r="AQH108" s="1" t="s">
        <v>122</v>
      </c>
      <c r="AQI108" s="1" t="s">
        <v>122</v>
      </c>
      <c r="AQJ108" s="1" t="s">
        <v>122</v>
      </c>
      <c r="AQK108" s="1" t="s">
        <v>122</v>
      </c>
      <c r="AQL108" s="1" t="s">
        <v>122</v>
      </c>
      <c r="AQM108" s="1" t="s">
        <v>122</v>
      </c>
      <c r="AQN108" s="1" t="s">
        <v>122</v>
      </c>
      <c r="AQO108" s="1" t="s">
        <v>122</v>
      </c>
      <c r="AQP108" s="1" t="s">
        <v>122</v>
      </c>
      <c r="AQQ108" s="1" t="s">
        <v>122</v>
      </c>
      <c r="AQR108" s="1" t="s">
        <v>122</v>
      </c>
      <c r="AQS108" s="1" t="s">
        <v>122</v>
      </c>
      <c r="AQT108" s="1" t="s">
        <v>122</v>
      </c>
      <c r="AQU108" s="1" t="s">
        <v>122</v>
      </c>
      <c r="AQV108" s="1" t="s">
        <v>122</v>
      </c>
      <c r="AQW108" s="1" t="s">
        <v>122</v>
      </c>
      <c r="AQX108" s="1" t="s">
        <v>122</v>
      </c>
      <c r="AQY108" s="1" t="s">
        <v>122</v>
      </c>
      <c r="AQZ108" s="1" t="s">
        <v>122</v>
      </c>
      <c r="ARA108" s="1" t="s">
        <v>122</v>
      </c>
      <c r="ARB108" s="1" t="s">
        <v>122</v>
      </c>
      <c r="ARC108" s="1" t="s">
        <v>122</v>
      </c>
      <c r="ARD108" s="1" t="s">
        <v>122</v>
      </c>
      <c r="ARE108" s="1" t="s">
        <v>122</v>
      </c>
      <c r="ARF108" s="1" t="s">
        <v>122</v>
      </c>
      <c r="ARG108" s="1" t="s">
        <v>122</v>
      </c>
      <c r="ARH108" s="1" t="s">
        <v>122</v>
      </c>
      <c r="ARI108" s="1" t="s">
        <v>122</v>
      </c>
      <c r="ARJ108" s="1" t="s">
        <v>122</v>
      </c>
      <c r="ARK108" s="1" t="s">
        <v>122</v>
      </c>
      <c r="ARL108" s="1" t="s">
        <v>122</v>
      </c>
      <c r="ARM108" s="1" t="s">
        <v>122</v>
      </c>
      <c r="ARN108" s="1" t="s">
        <v>122</v>
      </c>
      <c r="ARO108" s="1" t="s">
        <v>122</v>
      </c>
      <c r="ARP108" s="1" t="s">
        <v>122</v>
      </c>
      <c r="ARQ108" s="1" t="s">
        <v>122</v>
      </c>
      <c r="ARR108" s="1" t="s">
        <v>122</v>
      </c>
      <c r="ARS108" s="1" t="s">
        <v>122</v>
      </c>
      <c r="ART108" s="1" t="s">
        <v>122</v>
      </c>
      <c r="ARU108" s="1" t="s">
        <v>122</v>
      </c>
      <c r="ARV108" s="1" t="s">
        <v>122</v>
      </c>
      <c r="ARW108" s="1" t="s">
        <v>122</v>
      </c>
      <c r="ARX108" s="1" t="s">
        <v>122</v>
      </c>
      <c r="ARY108" s="1" t="s">
        <v>122</v>
      </c>
      <c r="ARZ108" s="1" t="s">
        <v>122</v>
      </c>
      <c r="ASA108" s="1" t="s">
        <v>122</v>
      </c>
      <c r="ASB108" s="1" t="s">
        <v>122</v>
      </c>
      <c r="ASC108" s="1" t="s">
        <v>122</v>
      </c>
      <c r="ASD108" s="1" t="s">
        <v>122</v>
      </c>
      <c r="ASE108" s="1" t="s">
        <v>122</v>
      </c>
      <c r="ASF108" s="1" t="s">
        <v>122</v>
      </c>
      <c r="ASG108" s="1" t="s">
        <v>122</v>
      </c>
      <c r="ASH108" s="1" t="s">
        <v>122</v>
      </c>
      <c r="ASI108" s="1" t="s">
        <v>122</v>
      </c>
      <c r="ASJ108" s="1" t="s">
        <v>122</v>
      </c>
      <c r="ASK108" s="1" t="s">
        <v>122</v>
      </c>
      <c r="ASL108" s="1" t="s">
        <v>122</v>
      </c>
      <c r="ASM108" s="1" t="s">
        <v>122</v>
      </c>
      <c r="ASN108" s="1" t="s">
        <v>122</v>
      </c>
      <c r="ASO108" s="1" t="s">
        <v>122</v>
      </c>
      <c r="ASP108" s="1" t="s">
        <v>122</v>
      </c>
      <c r="ASQ108" s="1" t="s">
        <v>122</v>
      </c>
      <c r="ASR108" s="1" t="s">
        <v>122</v>
      </c>
      <c r="ASS108" s="1" t="s">
        <v>122</v>
      </c>
      <c r="AST108" s="1" t="s">
        <v>122</v>
      </c>
      <c r="ASU108" s="1" t="s">
        <v>122</v>
      </c>
      <c r="ASV108" s="1" t="s">
        <v>122</v>
      </c>
      <c r="ASW108" s="1" t="s">
        <v>122</v>
      </c>
      <c r="ASX108" s="1" t="s">
        <v>122</v>
      </c>
      <c r="ASY108" s="1" t="s">
        <v>122</v>
      </c>
      <c r="ASZ108" s="1" t="s">
        <v>122</v>
      </c>
      <c r="ATA108" s="1" t="s">
        <v>122</v>
      </c>
      <c r="ATB108" s="1" t="s">
        <v>122</v>
      </c>
      <c r="ATC108" s="1" t="s">
        <v>122</v>
      </c>
      <c r="ATD108" s="1" t="s">
        <v>122</v>
      </c>
      <c r="ATE108" s="1" t="s">
        <v>122</v>
      </c>
      <c r="ATF108" s="1" t="s">
        <v>122</v>
      </c>
      <c r="ATG108" s="1" t="s">
        <v>122</v>
      </c>
      <c r="ATH108" s="1" t="s">
        <v>122</v>
      </c>
      <c r="ATI108" s="1" t="s">
        <v>122</v>
      </c>
      <c r="ATJ108" s="1" t="s">
        <v>122</v>
      </c>
      <c r="ATK108" s="1" t="s">
        <v>122</v>
      </c>
      <c r="ATL108" s="1" t="s">
        <v>122</v>
      </c>
      <c r="ATM108" s="1" t="s">
        <v>122</v>
      </c>
      <c r="ATN108" s="1" t="s">
        <v>122</v>
      </c>
      <c r="ATO108" s="1" t="s">
        <v>122</v>
      </c>
      <c r="ATP108" s="1" t="s">
        <v>122</v>
      </c>
      <c r="ATQ108" s="1" t="s">
        <v>122</v>
      </c>
      <c r="ATR108" s="1" t="s">
        <v>122</v>
      </c>
      <c r="ATS108" s="1" t="s">
        <v>122</v>
      </c>
      <c r="ATT108" s="1" t="s">
        <v>122</v>
      </c>
      <c r="ATU108" s="1" t="s">
        <v>122</v>
      </c>
      <c r="ATV108" s="1" t="s">
        <v>122</v>
      </c>
      <c r="ATW108" s="1" t="s">
        <v>122</v>
      </c>
      <c r="ATX108" s="1" t="s">
        <v>122</v>
      </c>
      <c r="ATY108" s="1" t="s">
        <v>122</v>
      </c>
      <c r="ATZ108" s="1" t="s">
        <v>122</v>
      </c>
      <c r="AUA108" s="1" t="s">
        <v>122</v>
      </c>
      <c r="AUB108" s="1" t="s">
        <v>122</v>
      </c>
      <c r="AUC108" s="1" t="s">
        <v>122</v>
      </c>
      <c r="AUD108" s="1" t="s">
        <v>122</v>
      </c>
      <c r="AUE108" s="1" t="s">
        <v>122</v>
      </c>
      <c r="AUF108" s="1" t="s">
        <v>122</v>
      </c>
      <c r="AUG108" s="1" t="s">
        <v>122</v>
      </c>
      <c r="AUH108" s="1" t="s">
        <v>122</v>
      </c>
      <c r="AUI108" s="1" t="s">
        <v>122</v>
      </c>
      <c r="AUJ108" s="1" t="s">
        <v>122</v>
      </c>
      <c r="AUK108" s="1" t="s">
        <v>122</v>
      </c>
      <c r="AUL108" s="1" t="s">
        <v>122</v>
      </c>
      <c r="AUM108" s="1" t="s">
        <v>122</v>
      </c>
      <c r="AUN108" s="1" t="s">
        <v>122</v>
      </c>
      <c r="AUO108" s="1" t="s">
        <v>122</v>
      </c>
      <c r="AUP108" s="1" t="s">
        <v>122</v>
      </c>
      <c r="AUQ108" s="1" t="s">
        <v>122</v>
      </c>
      <c r="AUR108" s="1" t="s">
        <v>122</v>
      </c>
      <c r="AUS108" s="1" t="s">
        <v>122</v>
      </c>
      <c r="AUT108" s="1" t="s">
        <v>122</v>
      </c>
      <c r="AUU108" s="1" t="s">
        <v>122</v>
      </c>
      <c r="AUV108" s="1" t="s">
        <v>122</v>
      </c>
      <c r="AUW108" s="1" t="s">
        <v>122</v>
      </c>
      <c r="AUX108" s="1" t="s">
        <v>122</v>
      </c>
      <c r="AUY108" s="1" t="s">
        <v>122</v>
      </c>
      <c r="AUZ108" s="1" t="s">
        <v>122</v>
      </c>
      <c r="AVA108" s="1" t="s">
        <v>122</v>
      </c>
      <c r="AVB108" s="1" t="s">
        <v>122</v>
      </c>
      <c r="AVC108" s="1" t="s">
        <v>122</v>
      </c>
      <c r="AVD108" s="1" t="s">
        <v>122</v>
      </c>
      <c r="AVE108" s="1" t="s">
        <v>122</v>
      </c>
      <c r="AVF108" s="1" t="s">
        <v>122</v>
      </c>
      <c r="AVG108" s="1" t="s">
        <v>122</v>
      </c>
      <c r="AVH108" s="1" t="s">
        <v>122</v>
      </c>
      <c r="AVI108" s="1" t="s">
        <v>122</v>
      </c>
      <c r="AVJ108" s="1" t="s">
        <v>122</v>
      </c>
      <c r="AVK108" s="1" t="s">
        <v>122</v>
      </c>
      <c r="AVL108" s="1" t="s">
        <v>122</v>
      </c>
      <c r="AVM108" s="1" t="s">
        <v>122</v>
      </c>
      <c r="AVN108" s="1" t="s">
        <v>122</v>
      </c>
      <c r="AVO108" s="1" t="s">
        <v>122</v>
      </c>
      <c r="AVP108" s="1" t="s">
        <v>122</v>
      </c>
      <c r="AVQ108" s="1" t="s">
        <v>122</v>
      </c>
      <c r="AVR108" s="1" t="s">
        <v>122</v>
      </c>
      <c r="AVS108" s="1" t="s">
        <v>122</v>
      </c>
      <c r="AVT108" s="1" t="s">
        <v>122</v>
      </c>
      <c r="AVU108" s="1" t="s">
        <v>122</v>
      </c>
      <c r="AVV108" s="1" t="s">
        <v>122</v>
      </c>
      <c r="AVW108" s="1" t="s">
        <v>122</v>
      </c>
      <c r="AVX108" s="1" t="s">
        <v>122</v>
      </c>
      <c r="AVY108" s="1" t="s">
        <v>122</v>
      </c>
      <c r="AVZ108" s="1" t="s">
        <v>122</v>
      </c>
      <c r="AWA108" s="1" t="s">
        <v>122</v>
      </c>
      <c r="AWB108" s="1" t="s">
        <v>122</v>
      </c>
      <c r="AWC108" s="1" t="s">
        <v>122</v>
      </c>
      <c r="AWD108" s="1" t="s">
        <v>122</v>
      </c>
      <c r="AWE108" s="1" t="s">
        <v>122</v>
      </c>
      <c r="AWF108" s="1" t="s">
        <v>122</v>
      </c>
      <c r="AWG108" s="1" t="s">
        <v>122</v>
      </c>
      <c r="AWH108" s="1" t="s">
        <v>122</v>
      </c>
      <c r="AWI108" s="1" t="s">
        <v>122</v>
      </c>
      <c r="AWJ108" s="1" t="s">
        <v>122</v>
      </c>
      <c r="AWK108" s="1" t="s">
        <v>122</v>
      </c>
      <c r="AWL108" s="1" t="s">
        <v>122</v>
      </c>
      <c r="AWM108" s="1" t="s">
        <v>122</v>
      </c>
      <c r="AWN108" s="1" t="s">
        <v>122</v>
      </c>
      <c r="AWO108" s="1" t="s">
        <v>122</v>
      </c>
      <c r="AWP108" s="1" t="s">
        <v>122</v>
      </c>
      <c r="AWQ108" s="1" t="s">
        <v>122</v>
      </c>
      <c r="AWR108" s="1" t="s">
        <v>122</v>
      </c>
      <c r="AWS108" s="1" t="s">
        <v>122</v>
      </c>
      <c r="AWT108" s="1" t="s">
        <v>122</v>
      </c>
      <c r="AWU108" s="1" t="s">
        <v>122</v>
      </c>
      <c r="AWV108" s="1" t="s">
        <v>122</v>
      </c>
      <c r="AWW108" s="1" t="s">
        <v>122</v>
      </c>
      <c r="AWX108" s="1" t="s">
        <v>122</v>
      </c>
      <c r="AWY108" s="1" t="s">
        <v>122</v>
      </c>
      <c r="AWZ108" s="1" t="s">
        <v>122</v>
      </c>
      <c r="AXA108" s="1" t="s">
        <v>122</v>
      </c>
      <c r="AXB108" s="1" t="s">
        <v>122</v>
      </c>
      <c r="AXC108" s="1" t="s">
        <v>122</v>
      </c>
      <c r="AXD108" s="1" t="s">
        <v>122</v>
      </c>
      <c r="AXE108" s="1" t="s">
        <v>122</v>
      </c>
      <c r="AXF108" s="1" t="s">
        <v>122</v>
      </c>
      <c r="AXG108" s="1" t="s">
        <v>122</v>
      </c>
      <c r="AXH108" s="1" t="s">
        <v>122</v>
      </c>
      <c r="AXI108" s="1" t="s">
        <v>122</v>
      </c>
      <c r="AXJ108" s="1" t="s">
        <v>122</v>
      </c>
      <c r="AXK108" s="1" t="s">
        <v>122</v>
      </c>
      <c r="AXL108" s="1" t="s">
        <v>122</v>
      </c>
      <c r="AXM108" s="1" t="s">
        <v>122</v>
      </c>
      <c r="AXN108" s="1" t="s">
        <v>122</v>
      </c>
      <c r="AXO108" s="1" t="s">
        <v>122</v>
      </c>
      <c r="AXP108" s="1" t="s">
        <v>122</v>
      </c>
      <c r="AXQ108" s="1" t="s">
        <v>122</v>
      </c>
      <c r="AXR108" s="1" t="s">
        <v>122</v>
      </c>
      <c r="AXS108" s="1" t="s">
        <v>122</v>
      </c>
      <c r="AXT108" s="1" t="s">
        <v>122</v>
      </c>
      <c r="AXU108" s="1" t="s">
        <v>122</v>
      </c>
      <c r="AXV108" s="1" t="s">
        <v>122</v>
      </c>
      <c r="AXW108" s="1" t="s">
        <v>122</v>
      </c>
      <c r="AXX108" s="1" t="s">
        <v>122</v>
      </c>
      <c r="AXY108" s="1" t="s">
        <v>122</v>
      </c>
      <c r="AXZ108" s="1" t="s">
        <v>122</v>
      </c>
      <c r="AYA108" s="1" t="s">
        <v>122</v>
      </c>
      <c r="AYB108" s="1" t="s">
        <v>122</v>
      </c>
      <c r="AYC108" s="1" t="s">
        <v>122</v>
      </c>
      <c r="AYD108" s="1" t="s">
        <v>122</v>
      </c>
      <c r="AYE108" s="1" t="s">
        <v>122</v>
      </c>
      <c r="AYF108" s="1" t="s">
        <v>122</v>
      </c>
      <c r="AYG108" s="1" t="s">
        <v>122</v>
      </c>
      <c r="AYH108" s="1" t="s">
        <v>122</v>
      </c>
      <c r="AYI108" s="1" t="s">
        <v>122</v>
      </c>
      <c r="AYJ108" s="1" t="s">
        <v>122</v>
      </c>
      <c r="AYK108" s="1" t="s">
        <v>122</v>
      </c>
      <c r="AYL108" s="1" t="s">
        <v>122</v>
      </c>
      <c r="AYM108" s="1" t="s">
        <v>122</v>
      </c>
      <c r="AYN108" s="1" t="s">
        <v>122</v>
      </c>
      <c r="AYO108" s="1" t="s">
        <v>122</v>
      </c>
      <c r="AYP108" s="1" t="s">
        <v>122</v>
      </c>
      <c r="AYQ108" s="1" t="s">
        <v>122</v>
      </c>
      <c r="AYR108" s="1" t="s">
        <v>122</v>
      </c>
      <c r="AYS108" s="1" t="s">
        <v>122</v>
      </c>
      <c r="AYT108" s="1" t="s">
        <v>122</v>
      </c>
      <c r="AYU108" s="1" t="s">
        <v>122</v>
      </c>
      <c r="AYV108" s="1" t="s">
        <v>122</v>
      </c>
      <c r="AYW108" s="1" t="s">
        <v>122</v>
      </c>
      <c r="AYX108" s="1" t="s">
        <v>122</v>
      </c>
      <c r="AYY108" s="1" t="s">
        <v>122</v>
      </c>
      <c r="AYZ108" s="1" t="s">
        <v>122</v>
      </c>
      <c r="AZA108" s="1" t="s">
        <v>122</v>
      </c>
      <c r="AZB108" s="1" t="s">
        <v>122</v>
      </c>
      <c r="AZC108" s="1" t="s">
        <v>122</v>
      </c>
      <c r="AZD108" s="1" t="s">
        <v>122</v>
      </c>
      <c r="AZE108" s="1" t="s">
        <v>122</v>
      </c>
      <c r="AZF108" s="1" t="s">
        <v>122</v>
      </c>
      <c r="AZG108" s="1" t="s">
        <v>122</v>
      </c>
      <c r="AZH108" s="1" t="s">
        <v>122</v>
      </c>
      <c r="AZI108" s="1" t="s">
        <v>122</v>
      </c>
      <c r="AZJ108" s="1" t="s">
        <v>122</v>
      </c>
      <c r="AZK108" s="1" t="s">
        <v>122</v>
      </c>
      <c r="AZL108" s="1" t="s">
        <v>122</v>
      </c>
      <c r="AZM108" s="1" t="s">
        <v>122</v>
      </c>
      <c r="AZN108" s="1" t="s">
        <v>122</v>
      </c>
      <c r="AZO108" s="1" t="s">
        <v>122</v>
      </c>
      <c r="AZP108" s="1" t="s">
        <v>122</v>
      </c>
      <c r="AZQ108" s="1" t="s">
        <v>122</v>
      </c>
      <c r="AZR108" s="1" t="s">
        <v>122</v>
      </c>
      <c r="AZS108" s="1" t="s">
        <v>122</v>
      </c>
      <c r="AZT108" s="1" t="s">
        <v>122</v>
      </c>
      <c r="AZU108" s="1" t="s">
        <v>122</v>
      </c>
      <c r="AZV108" s="1" t="s">
        <v>122</v>
      </c>
      <c r="AZW108" s="1" t="s">
        <v>122</v>
      </c>
      <c r="AZX108" s="1" t="s">
        <v>122</v>
      </c>
      <c r="AZY108" s="1" t="s">
        <v>122</v>
      </c>
      <c r="AZZ108" s="1" t="s">
        <v>122</v>
      </c>
      <c r="BAA108" s="1" t="s">
        <v>122</v>
      </c>
      <c r="BAB108" s="1" t="s">
        <v>122</v>
      </c>
      <c r="BAC108" s="1" t="s">
        <v>122</v>
      </c>
      <c r="BAD108" s="1" t="s">
        <v>122</v>
      </c>
      <c r="BAE108" s="1" t="s">
        <v>122</v>
      </c>
      <c r="BAF108" s="1" t="s">
        <v>122</v>
      </c>
      <c r="BAG108" s="1" t="s">
        <v>122</v>
      </c>
      <c r="BAH108" s="1" t="s">
        <v>122</v>
      </c>
      <c r="BAI108" s="1" t="s">
        <v>122</v>
      </c>
      <c r="BAJ108" s="1" t="s">
        <v>122</v>
      </c>
      <c r="BAK108" s="1" t="s">
        <v>122</v>
      </c>
      <c r="BAL108" s="1" t="s">
        <v>122</v>
      </c>
      <c r="BAM108" s="1" t="s">
        <v>122</v>
      </c>
      <c r="BAN108" s="1" t="s">
        <v>122</v>
      </c>
      <c r="BAO108" s="1" t="s">
        <v>122</v>
      </c>
      <c r="BAP108" s="1" t="s">
        <v>122</v>
      </c>
      <c r="BAQ108" s="1" t="s">
        <v>122</v>
      </c>
      <c r="BAR108" s="1" t="s">
        <v>122</v>
      </c>
      <c r="BAS108" s="1" t="s">
        <v>122</v>
      </c>
      <c r="BAT108" s="1" t="s">
        <v>122</v>
      </c>
      <c r="BAU108" s="1" t="s">
        <v>122</v>
      </c>
      <c r="BAV108" s="1" t="s">
        <v>122</v>
      </c>
      <c r="BAW108" s="1" t="s">
        <v>122</v>
      </c>
      <c r="BAX108" s="1" t="s">
        <v>122</v>
      </c>
      <c r="BAY108" s="1" t="s">
        <v>122</v>
      </c>
      <c r="BAZ108" s="1" t="s">
        <v>122</v>
      </c>
      <c r="BBA108" s="1" t="s">
        <v>122</v>
      </c>
      <c r="BBB108" s="1" t="s">
        <v>122</v>
      </c>
      <c r="BBC108" s="1" t="s">
        <v>122</v>
      </c>
      <c r="BBD108" s="1" t="s">
        <v>122</v>
      </c>
      <c r="BBE108" s="1" t="s">
        <v>122</v>
      </c>
      <c r="BBF108" s="1" t="s">
        <v>122</v>
      </c>
      <c r="BBG108" s="1" t="s">
        <v>122</v>
      </c>
      <c r="BBH108" s="1" t="s">
        <v>122</v>
      </c>
      <c r="BBI108" s="1" t="s">
        <v>122</v>
      </c>
      <c r="BBJ108" s="1" t="s">
        <v>122</v>
      </c>
      <c r="BBK108" s="1" t="s">
        <v>122</v>
      </c>
      <c r="BBL108" s="1" t="s">
        <v>122</v>
      </c>
      <c r="BBM108" s="1" t="s">
        <v>122</v>
      </c>
      <c r="BBN108" s="1" t="s">
        <v>122</v>
      </c>
      <c r="BBO108" s="1" t="s">
        <v>122</v>
      </c>
      <c r="BBP108" s="1" t="s">
        <v>122</v>
      </c>
      <c r="BBQ108" s="1" t="s">
        <v>122</v>
      </c>
      <c r="BBR108" s="1" t="s">
        <v>122</v>
      </c>
      <c r="BBS108" s="1" t="s">
        <v>122</v>
      </c>
      <c r="BBT108" s="1" t="s">
        <v>122</v>
      </c>
      <c r="BBU108" s="1" t="s">
        <v>122</v>
      </c>
      <c r="BBV108" s="1" t="s">
        <v>122</v>
      </c>
      <c r="BBW108" s="1" t="s">
        <v>122</v>
      </c>
      <c r="BBX108" s="1" t="s">
        <v>122</v>
      </c>
      <c r="BBY108" s="1" t="s">
        <v>122</v>
      </c>
      <c r="BBZ108" s="1" t="s">
        <v>122</v>
      </c>
      <c r="BCA108" s="1" t="s">
        <v>122</v>
      </c>
      <c r="BCB108" s="1" t="s">
        <v>122</v>
      </c>
      <c r="BCC108" s="1" t="s">
        <v>122</v>
      </c>
      <c r="BCD108" s="1" t="s">
        <v>122</v>
      </c>
      <c r="BCE108" s="1" t="s">
        <v>122</v>
      </c>
      <c r="BCF108" s="1" t="s">
        <v>122</v>
      </c>
      <c r="BCG108" s="1" t="s">
        <v>122</v>
      </c>
      <c r="BCH108" s="1" t="s">
        <v>122</v>
      </c>
      <c r="BCI108" s="1" t="s">
        <v>122</v>
      </c>
      <c r="BCJ108" s="1" t="s">
        <v>122</v>
      </c>
      <c r="BCK108" s="1" t="s">
        <v>122</v>
      </c>
      <c r="BCL108" s="1" t="s">
        <v>122</v>
      </c>
      <c r="BCM108" s="1" t="s">
        <v>122</v>
      </c>
      <c r="BCN108" s="1" t="s">
        <v>122</v>
      </c>
      <c r="BCO108" s="1" t="s">
        <v>122</v>
      </c>
      <c r="BCP108" s="1" t="s">
        <v>122</v>
      </c>
      <c r="BCQ108" s="1" t="s">
        <v>122</v>
      </c>
      <c r="BCR108" s="1" t="s">
        <v>122</v>
      </c>
      <c r="BCS108" s="1" t="s">
        <v>122</v>
      </c>
      <c r="BCT108" s="1" t="s">
        <v>122</v>
      </c>
      <c r="BCU108" s="1" t="s">
        <v>122</v>
      </c>
      <c r="BCV108" s="1" t="s">
        <v>122</v>
      </c>
      <c r="BCW108" s="1" t="s">
        <v>122</v>
      </c>
      <c r="BCX108" s="1" t="s">
        <v>122</v>
      </c>
      <c r="BCY108" s="1" t="s">
        <v>122</v>
      </c>
      <c r="BCZ108" s="1" t="s">
        <v>122</v>
      </c>
      <c r="BDA108" s="1" t="s">
        <v>122</v>
      </c>
      <c r="BDB108" s="1" t="s">
        <v>122</v>
      </c>
      <c r="BDC108" s="1" t="s">
        <v>122</v>
      </c>
      <c r="BDD108" s="1" t="s">
        <v>122</v>
      </c>
      <c r="BDE108" s="1" t="s">
        <v>122</v>
      </c>
      <c r="BDF108" s="1" t="s">
        <v>122</v>
      </c>
      <c r="BDG108" s="1" t="s">
        <v>122</v>
      </c>
      <c r="BDH108" s="1" t="s">
        <v>122</v>
      </c>
      <c r="BDI108" s="1" t="s">
        <v>122</v>
      </c>
      <c r="BDJ108" s="1" t="s">
        <v>122</v>
      </c>
      <c r="BDK108" s="1" t="s">
        <v>122</v>
      </c>
      <c r="BDL108" s="1" t="s">
        <v>122</v>
      </c>
      <c r="BDM108" s="1" t="s">
        <v>122</v>
      </c>
      <c r="BDN108" s="1" t="s">
        <v>122</v>
      </c>
      <c r="BDO108" s="1" t="s">
        <v>122</v>
      </c>
      <c r="BDP108" s="1" t="s">
        <v>122</v>
      </c>
      <c r="BDQ108" s="1" t="s">
        <v>122</v>
      </c>
      <c r="BDR108" s="1" t="s">
        <v>122</v>
      </c>
      <c r="BDS108" s="1" t="s">
        <v>122</v>
      </c>
      <c r="BDT108" s="1" t="s">
        <v>122</v>
      </c>
      <c r="BDU108" s="1" t="s">
        <v>122</v>
      </c>
      <c r="BDV108" s="1" t="s">
        <v>122</v>
      </c>
      <c r="BDW108" s="1" t="s">
        <v>122</v>
      </c>
      <c r="BDX108" s="1" t="s">
        <v>122</v>
      </c>
      <c r="BDY108" s="1" t="s">
        <v>122</v>
      </c>
      <c r="BDZ108" s="1" t="s">
        <v>122</v>
      </c>
      <c r="BEA108" s="1" t="s">
        <v>122</v>
      </c>
      <c r="BEB108" s="1" t="s">
        <v>122</v>
      </c>
      <c r="BEC108" s="1" t="s">
        <v>122</v>
      </c>
      <c r="BED108" s="1" t="s">
        <v>122</v>
      </c>
      <c r="BEE108" s="1" t="s">
        <v>122</v>
      </c>
      <c r="BEF108" s="1" t="s">
        <v>122</v>
      </c>
      <c r="BEG108" s="1" t="s">
        <v>122</v>
      </c>
      <c r="BEH108" s="1" t="s">
        <v>122</v>
      </c>
      <c r="BEI108" s="1" t="s">
        <v>122</v>
      </c>
      <c r="BEJ108" s="1" t="s">
        <v>122</v>
      </c>
      <c r="BEK108" s="1" t="s">
        <v>122</v>
      </c>
      <c r="BEL108" s="1" t="s">
        <v>122</v>
      </c>
      <c r="BEM108" s="1" t="s">
        <v>122</v>
      </c>
      <c r="BEN108" s="1" t="s">
        <v>122</v>
      </c>
      <c r="BEO108" s="1" t="s">
        <v>122</v>
      </c>
      <c r="BEP108" s="1" t="s">
        <v>122</v>
      </c>
      <c r="BEQ108" s="1" t="s">
        <v>122</v>
      </c>
      <c r="BER108" s="1" t="s">
        <v>122</v>
      </c>
      <c r="BES108" s="1" t="s">
        <v>122</v>
      </c>
      <c r="BET108" s="1" t="s">
        <v>122</v>
      </c>
      <c r="BEU108" s="1" t="s">
        <v>122</v>
      </c>
      <c r="BEV108" s="1" t="s">
        <v>122</v>
      </c>
      <c r="BEW108" s="1" t="s">
        <v>122</v>
      </c>
      <c r="BEX108" s="1" t="s">
        <v>122</v>
      </c>
      <c r="BEY108" s="1" t="s">
        <v>122</v>
      </c>
      <c r="BEZ108" s="1" t="s">
        <v>122</v>
      </c>
      <c r="BFA108" s="1" t="s">
        <v>122</v>
      </c>
      <c r="BFB108" s="1" t="s">
        <v>122</v>
      </c>
      <c r="BFC108" s="1" t="s">
        <v>122</v>
      </c>
      <c r="BFD108" s="1" t="s">
        <v>122</v>
      </c>
      <c r="BFE108" s="1" t="s">
        <v>122</v>
      </c>
      <c r="BFF108" s="1" t="s">
        <v>122</v>
      </c>
      <c r="BFG108" s="1" t="s">
        <v>122</v>
      </c>
      <c r="BFH108" s="1" t="s">
        <v>122</v>
      </c>
      <c r="BFI108" s="1" t="s">
        <v>122</v>
      </c>
      <c r="BFJ108" s="1" t="s">
        <v>122</v>
      </c>
      <c r="BFK108" s="1" t="s">
        <v>122</v>
      </c>
      <c r="BFL108" s="1" t="s">
        <v>122</v>
      </c>
      <c r="BFM108" s="1" t="s">
        <v>122</v>
      </c>
      <c r="BFN108" s="1" t="s">
        <v>122</v>
      </c>
      <c r="BFO108" s="1" t="s">
        <v>122</v>
      </c>
      <c r="BFP108" s="1" t="s">
        <v>122</v>
      </c>
      <c r="BFQ108" s="1" t="s">
        <v>122</v>
      </c>
      <c r="BFR108" s="1" t="s">
        <v>122</v>
      </c>
      <c r="BFS108" s="1" t="s">
        <v>122</v>
      </c>
      <c r="BFT108" s="1" t="s">
        <v>122</v>
      </c>
      <c r="BFU108" s="1" t="s">
        <v>122</v>
      </c>
      <c r="BFV108" s="1" t="s">
        <v>122</v>
      </c>
      <c r="BFW108" s="1" t="s">
        <v>122</v>
      </c>
      <c r="BFX108" s="1" t="s">
        <v>122</v>
      </c>
      <c r="BFY108" s="1" t="s">
        <v>122</v>
      </c>
      <c r="BFZ108" s="1" t="s">
        <v>122</v>
      </c>
      <c r="BGA108" s="1" t="s">
        <v>122</v>
      </c>
      <c r="BGB108" s="1" t="s">
        <v>122</v>
      </c>
      <c r="BGC108" s="1" t="s">
        <v>122</v>
      </c>
      <c r="BGD108" s="1" t="s">
        <v>122</v>
      </c>
      <c r="BGE108" s="1" t="s">
        <v>122</v>
      </c>
      <c r="BGF108" s="1" t="s">
        <v>122</v>
      </c>
      <c r="BGG108" s="1" t="s">
        <v>122</v>
      </c>
      <c r="BGH108" s="1" t="s">
        <v>122</v>
      </c>
      <c r="BGI108" s="1" t="s">
        <v>122</v>
      </c>
      <c r="BGJ108" s="1" t="s">
        <v>122</v>
      </c>
      <c r="BGK108" s="1" t="s">
        <v>122</v>
      </c>
      <c r="BGL108" s="1" t="s">
        <v>122</v>
      </c>
      <c r="BGM108" s="1" t="s">
        <v>122</v>
      </c>
      <c r="BGN108" s="1" t="s">
        <v>122</v>
      </c>
      <c r="BGO108" s="1" t="s">
        <v>122</v>
      </c>
      <c r="BGP108" s="1" t="s">
        <v>122</v>
      </c>
      <c r="BGQ108" s="1" t="s">
        <v>122</v>
      </c>
      <c r="BGR108" s="1" t="s">
        <v>122</v>
      </c>
      <c r="BGS108" s="1" t="s">
        <v>122</v>
      </c>
      <c r="BGT108" s="1" t="s">
        <v>122</v>
      </c>
      <c r="BGU108" s="1" t="s">
        <v>122</v>
      </c>
      <c r="BGV108" s="1" t="s">
        <v>122</v>
      </c>
      <c r="BGW108" s="1" t="s">
        <v>122</v>
      </c>
      <c r="BGX108" s="1" t="s">
        <v>122</v>
      </c>
      <c r="BGY108" s="1" t="s">
        <v>122</v>
      </c>
      <c r="BGZ108" s="1" t="s">
        <v>122</v>
      </c>
      <c r="BHA108" s="1" t="s">
        <v>122</v>
      </c>
      <c r="BHB108" s="1" t="s">
        <v>122</v>
      </c>
      <c r="BHC108" s="1" t="s">
        <v>122</v>
      </c>
      <c r="BHD108" s="1" t="s">
        <v>122</v>
      </c>
      <c r="BHE108" s="1" t="s">
        <v>122</v>
      </c>
      <c r="BHF108" s="1" t="s">
        <v>122</v>
      </c>
      <c r="BHG108" s="1" t="s">
        <v>122</v>
      </c>
      <c r="BHH108" s="1" t="s">
        <v>122</v>
      </c>
      <c r="BHI108" s="1" t="s">
        <v>122</v>
      </c>
      <c r="BHJ108" s="1" t="s">
        <v>122</v>
      </c>
      <c r="BHK108" s="1" t="s">
        <v>122</v>
      </c>
      <c r="BHL108" s="1" t="s">
        <v>122</v>
      </c>
      <c r="BHM108" s="1" t="s">
        <v>122</v>
      </c>
      <c r="BHN108" s="1" t="s">
        <v>122</v>
      </c>
      <c r="BHO108" s="1" t="s">
        <v>122</v>
      </c>
      <c r="BHP108" s="1" t="s">
        <v>122</v>
      </c>
      <c r="BHQ108" s="1" t="s">
        <v>122</v>
      </c>
      <c r="BHR108" s="1" t="s">
        <v>122</v>
      </c>
      <c r="BHS108" s="1" t="s">
        <v>122</v>
      </c>
      <c r="BHT108" s="1" t="s">
        <v>122</v>
      </c>
      <c r="BHU108" s="1" t="s">
        <v>122</v>
      </c>
      <c r="BHV108" s="1" t="s">
        <v>122</v>
      </c>
      <c r="BHW108" s="1" t="s">
        <v>122</v>
      </c>
      <c r="BHX108" s="1" t="s">
        <v>122</v>
      </c>
      <c r="BHY108" s="1" t="s">
        <v>122</v>
      </c>
      <c r="BHZ108" s="1" t="s">
        <v>122</v>
      </c>
      <c r="BIA108" s="1" t="s">
        <v>122</v>
      </c>
      <c r="BIB108" s="1" t="s">
        <v>122</v>
      </c>
      <c r="BIC108" s="1" t="s">
        <v>122</v>
      </c>
      <c r="BID108" s="1" t="s">
        <v>122</v>
      </c>
      <c r="BIE108" s="1" t="s">
        <v>122</v>
      </c>
      <c r="BIF108" s="1" t="s">
        <v>122</v>
      </c>
      <c r="BIG108" s="1" t="s">
        <v>122</v>
      </c>
      <c r="BIH108" s="1" t="s">
        <v>122</v>
      </c>
      <c r="BII108" s="1" t="s">
        <v>122</v>
      </c>
      <c r="BIJ108" s="1" t="s">
        <v>122</v>
      </c>
      <c r="BIK108" s="1" t="s">
        <v>122</v>
      </c>
      <c r="BIL108" s="1" t="s">
        <v>122</v>
      </c>
      <c r="BIM108" s="1" t="s">
        <v>122</v>
      </c>
      <c r="BIN108" s="1" t="s">
        <v>122</v>
      </c>
      <c r="BIO108" s="1" t="s">
        <v>122</v>
      </c>
      <c r="BIP108" s="1" t="s">
        <v>122</v>
      </c>
      <c r="BIQ108" s="1" t="s">
        <v>122</v>
      </c>
      <c r="BIR108" s="1" t="s">
        <v>122</v>
      </c>
      <c r="BIS108" s="1" t="s">
        <v>122</v>
      </c>
      <c r="BIT108" s="1" t="s">
        <v>122</v>
      </c>
      <c r="BIU108" s="1" t="s">
        <v>122</v>
      </c>
      <c r="BIV108" s="1" t="s">
        <v>122</v>
      </c>
      <c r="BIW108" s="1" t="s">
        <v>122</v>
      </c>
      <c r="BIX108" s="1" t="s">
        <v>122</v>
      </c>
      <c r="BIY108" s="1" t="s">
        <v>122</v>
      </c>
      <c r="BIZ108" s="1" t="s">
        <v>122</v>
      </c>
      <c r="BJA108" s="1" t="s">
        <v>122</v>
      </c>
      <c r="BJB108" s="1" t="s">
        <v>122</v>
      </c>
      <c r="BJC108" s="1" t="s">
        <v>122</v>
      </c>
      <c r="BJD108" s="1" t="s">
        <v>122</v>
      </c>
      <c r="BJE108" s="1" t="s">
        <v>122</v>
      </c>
      <c r="BJF108" s="1" t="s">
        <v>122</v>
      </c>
      <c r="BJG108" s="1" t="s">
        <v>122</v>
      </c>
      <c r="BJH108" s="1" t="s">
        <v>122</v>
      </c>
      <c r="BJI108" s="1" t="s">
        <v>122</v>
      </c>
      <c r="BJJ108" s="1" t="s">
        <v>122</v>
      </c>
      <c r="BJK108" s="1" t="s">
        <v>122</v>
      </c>
      <c r="BJL108" s="1" t="s">
        <v>122</v>
      </c>
      <c r="BJM108" s="1" t="s">
        <v>122</v>
      </c>
      <c r="BJN108" s="1" t="s">
        <v>122</v>
      </c>
      <c r="BJO108" s="1" t="s">
        <v>122</v>
      </c>
      <c r="BJP108" s="1" t="s">
        <v>122</v>
      </c>
      <c r="BJQ108" s="1" t="s">
        <v>122</v>
      </c>
      <c r="BJR108" s="1" t="s">
        <v>122</v>
      </c>
      <c r="BJS108" s="1" t="s">
        <v>122</v>
      </c>
      <c r="BJT108" s="1" t="s">
        <v>122</v>
      </c>
      <c r="BJU108" s="1" t="s">
        <v>122</v>
      </c>
      <c r="BJV108" s="1" t="s">
        <v>122</v>
      </c>
      <c r="BJW108" s="1" t="s">
        <v>122</v>
      </c>
      <c r="BJX108" s="1" t="s">
        <v>122</v>
      </c>
      <c r="BJY108" s="1" t="s">
        <v>122</v>
      </c>
      <c r="BJZ108" s="1" t="s">
        <v>122</v>
      </c>
      <c r="BKA108" s="1" t="s">
        <v>122</v>
      </c>
      <c r="BKB108" s="1" t="s">
        <v>122</v>
      </c>
      <c r="BKC108" s="1" t="s">
        <v>122</v>
      </c>
      <c r="BKD108" s="1" t="s">
        <v>122</v>
      </c>
      <c r="BKE108" s="1" t="s">
        <v>122</v>
      </c>
      <c r="BKF108" s="1" t="s">
        <v>122</v>
      </c>
      <c r="BKG108" s="1" t="s">
        <v>122</v>
      </c>
      <c r="BKH108" s="1" t="s">
        <v>122</v>
      </c>
      <c r="BKI108" s="1" t="s">
        <v>122</v>
      </c>
      <c r="BKJ108" s="1" t="s">
        <v>122</v>
      </c>
      <c r="BKK108" s="1" t="s">
        <v>122</v>
      </c>
      <c r="BKL108" s="1" t="s">
        <v>122</v>
      </c>
      <c r="BKM108" s="1" t="s">
        <v>122</v>
      </c>
      <c r="BKN108" s="1" t="s">
        <v>122</v>
      </c>
      <c r="BKO108" s="1" t="s">
        <v>122</v>
      </c>
      <c r="BKP108" s="1" t="s">
        <v>122</v>
      </c>
      <c r="BKQ108" s="1" t="s">
        <v>122</v>
      </c>
      <c r="BKR108" s="1" t="s">
        <v>122</v>
      </c>
      <c r="BKS108" s="1" t="s">
        <v>122</v>
      </c>
      <c r="BKT108" s="1" t="s">
        <v>122</v>
      </c>
      <c r="BKU108" s="1" t="s">
        <v>122</v>
      </c>
      <c r="BKV108" s="1" t="s">
        <v>122</v>
      </c>
      <c r="BKW108" s="1" t="s">
        <v>122</v>
      </c>
      <c r="BKX108" s="1" t="s">
        <v>122</v>
      </c>
      <c r="BKY108" s="1" t="s">
        <v>122</v>
      </c>
      <c r="BKZ108" s="1" t="s">
        <v>122</v>
      </c>
      <c r="BLA108" s="1" t="s">
        <v>122</v>
      </c>
      <c r="BLB108" s="1" t="s">
        <v>122</v>
      </c>
      <c r="BLC108" s="1" t="s">
        <v>122</v>
      </c>
      <c r="BLD108" s="1" t="s">
        <v>122</v>
      </c>
      <c r="BLE108" s="1" t="s">
        <v>122</v>
      </c>
      <c r="BLF108" s="1" t="s">
        <v>122</v>
      </c>
      <c r="BLG108" s="1" t="s">
        <v>122</v>
      </c>
      <c r="BLH108" s="1" t="s">
        <v>122</v>
      </c>
      <c r="BLI108" s="1" t="s">
        <v>122</v>
      </c>
      <c r="BLJ108" s="1" t="s">
        <v>122</v>
      </c>
      <c r="BLK108" s="1" t="s">
        <v>122</v>
      </c>
      <c r="BLL108" s="1" t="s">
        <v>122</v>
      </c>
      <c r="BLM108" s="1" t="s">
        <v>122</v>
      </c>
      <c r="BLN108" s="1" t="s">
        <v>122</v>
      </c>
      <c r="BLO108" s="1" t="s">
        <v>122</v>
      </c>
      <c r="BLP108" s="1" t="s">
        <v>122</v>
      </c>
      <c r="BLQ108" s="1" t="s">
        <v>122</v>
      </c>
      <c r="BLR108" s="1" t="s">
        <v>122</v>
      </c>
      <c r="BLS108" s="1" t="s">
        <v>122</v>
      </c>
      <c r="BLT108" s="1" t="s">
        <v>122</v>
      </c>
      <c r="BLU108" s="1" t="s">
        <v>122</v>
      </c>
      <c r="BLV108" s="1" t="s">
        <v>122</v>
      </c>
      <c r="BLW108" s="1" t="s">
        <v>122</v>
      </c>
      <c r="BLX108" s="1" t="s">
        <v>122</v>
      </c>
      <c r="BLY108" s="1" t="s">
        <v>122</v>
      </c>
      <c r="BLZ108" s="1" t="s">
        <v>122</v>
      </c>
      <c r="BMA108" s="1" t="s">
        <v>122</v>
      </c>
      <c r="BMB108" s="1" t="s">
        <v>122</v>
      </c>
      <c r="BMC108" s="1" t="s">
        <v>122</v>
      </c>
      <c r="BMD108" s="1" t="s">
        <v>122</v>
      </c>
      <c r="BME108" s="1" t="s">
        <v>122</v>
      </c>
      <c r="BMF108" s="1" t="s">
        <v>122</v>
      </c>
      <c r="BMG108" s="1" t="s">
        <v>122</v>
      </c>
      <c r="BMH108" s="1" t="s">
        <v>122</v>
      </c>
      <c r="BMI108" s="1" t="s">
        <v>122</v>
      </c>
      <c r="BMJ108" s="1" t="s">
        <v>122</v>
      </c>
      <c r="BMK108" s="1" t="s">
        <v>122</v>
      </c>
      <c r="BML108" s="1" t="s">
        <v>122</v>
      </c>
      <c r="BMM108" s="1" t="s">
        <v>122</v>
      </c>
      <c r="BMN108" s="1" t="s">
        <v>122</v>
      </c>
      <c r="BMO108" s="1" t="s">
        <v>122</v>
      </c>
      <c r="BMP108" s="1" t="s">
        <v>122</v>
      </c>
      <c r="BMQ108" s="1" t="s">
        <v>122</v>
      </c>
      <c r="BMR108" s="1" t="s">
        <v>122</v>
      </c>
      <c r="BMS108" s="1" t="s">
        <v>122</v>
      </c>
      <c r="BMT108" s="1" t="s">
        <v>122</v>
      </c>
      <c r="BMU108" s="1" t="s">
        <v>122</v>
      </c>
      <c r="BMV108" s="1" t="s">
        <v>122</v>
      </c>
      <c r="BMW108" s="1" t="s">
        <v>122</v>
      </c>
      <c r="BMX108" s="1" t="s">
        <v>122</v>
      </c>
      <c r="BMY108" s="1" t="s">
        <v>122</v>
      </c>
      <c r="BMZ108" s="1" t="s">
        <v>122</v>
      </c>
      <c r="BNA108" s="1" t="s">
        <v>122</v>
      </c>
      <c r="BNB108" s="1" t="s">
        <v>122</v>
      </c>
      <c r="BNC108" s="1" t="s">
        <v>122</v>
      </c>
      <c r="BND108" s="1" t="s">
        <v>122</v>
      </c>
      <c r="BNE108" s="1" t="s">
        <v>122</v>
      </c>
      <c r="BNF108" s="1" t="s">
        <v>122</v>
      </c>
      <c r="BNG108" s="1" t="s">
        <v>122</v>
      </c>
      <c r="BNH108" s="1" t="s">
        <v>122</v>
      </c>
      <c r="BNI108" s="1" t="s">
        <v>122</v>
      </c>
      <c r="BNJ108" s="1" t="s">
        <v>122</v>
      </c>
      <c r="BNK108" s="1" t="s">
        <v>122</v>
      </c>
      <c r="BNL108" s="1" t="s">
        <v>122</v>
      </c>
      <c r="BNM108" s="1" t="s">
        <v>122</v>
      </c>
      <c r="BNN108" s="1" t="s">
        <v>122</v>
      </c>
      <c r="BNO108" s="1" t="s">
        <v>122</v>
      </c>
      <c r="BNP108" s="1" t="s">
        <v>122</v>
      </c>
      <c r="BNQ108" s="1" t="s">
        <v>122</v>
      </c>
      <c r="BNR108" s="1" t="s">
        <v>122</v>
      </c>
      <c r="BNS108" s="1" t="s">
        <v>122</v>
      </c>
      <c r="BNT108" s="1" t="s">
        <v>122</v>
      </c>
      <c r="BNU108" s="1" t="s">
        <v>122</v>
      </c>
      <c r="BNV108" s="1" t="s">
        <v>122</v>
      </c>
      <c r="BNW108" s="1" t="s">
        <v>122</v>
      </c>
      <c r="BNX108" s="1" t="s">
        <v>122</v>
      </c>
      <c r="BNY108" s="1" t="s">
        <v>122</v>
      </c>
      <c r="BNZ108" s="1" t="s">
        <v>122</v>
      </c>
      <c r="BOA108" s="1" t="s">
        <v>122</v>
      </c>
      <c r="BOB108" s="1" t="s">
        <v>122</v>
      </c>
      <c r="BOC108" s="1" t="s">
        <v>122</v>
      </c>
      <c r="BOD108" s="1" t="s">
        <v>122</v>
      </c>
      <c r="BOE108" s="1" t="s">
        <v>122</v>
      </c>
      <c r="BOF108" s="1" t="s">
        <v>122</v>
      </c>
      <c r="BOG108" s="1" t="s">
        <v>122</v>
      </c>
      <c r="BOH108" s="1" t="s">
        <v>122</v>
      </c>
      <c r="BOI108" s="1" t="s">
        <v>122</v>
      </c>
      <c r="BOJ108" s="1" t="s">
        <v>122</v>
      </c>
      <c r="BOK108" s="1" t="s">
        <v>122</v>
      </c>
      <c r="BOL108" s="1" t="s">
        <v>122</v>
      </c>
      <c r="BOM108" s="1" t="s">
        <v>122</v>
      </c>
      <c r="BON108" s="1" t="s">
        <v>122</v>
      </c>
      <c r="BOO108" s="1" t="s">
        <v>122</v>
      </c>
      <c r="BOP108" s="1" t="s">
        <v>122</v>
      </c>
      <c r="BOQ108" s="1" t="s">
        <v>122</v>
      </c>
      <c r="BOR108" s="1" t="s">
        <v>122</v>
      </c>
      <c r="BOS108" s="1" t="s">
        <v>122</v>
      </c>
      <c r="BOT108" s="1" t="s">
        <v>122</v>
      </c>
      <c r="BOU108" s="1" t="s">
        <v>122</v>
      </c>
      <c r="BOV108" s="1" t="s">
        <v>122</v>
      </c>
      <c r="BOW108" s="1" t="s">
        <v>122</v>
      </c>
      <c r="BOX108" s="1" t="s">
        <v>122</v>
      </c>
      <c r="BOY108" s="1" t="s">
        <v>122</v>
      </c>
      <c r="BOZ108" s="1" t="s">
        <v>122</v>
      </c>
      <c r="BPA108" s="1" t="s">
        <v>122</v>
      </c>
      <c r="BPB108" s="1" t="s">
        <v>122</v>
      </c>
      <c r="BPC108" s="1" t="s">
        <v>122</v>
      </c>
      <c r="BPD108" s="1" t="s">
        <v>122</v>
      </c>
      <c r="BPE108" s="1" t="s">
        <v>122</v>
      </c>
      <c r="BPF108" s="1" t="s">
        <v>122</v>
      </c>
      <c r="BPG108" s="1" t="s">
        <v>122</v>
      </c>
      <c r="BPH108" s="1" t="s">
        <v>122</v>
      </c>
      <c r="BPI108" s="1" t="s">
        <v>122</v>
      </c>
      <c r="BPJ108" s="1" t="s">
        <v>122</v>
      </c>
      <c r="BPK108" s="1" t="s">
        <v>122</v>
      </c>
      <c r="BPL108" s="1" t="s">
        <v>122</v>
      </c>
      <c r="BPM108" s="1" t="s">
        <v>122</v>
      </c>
      <c r="BPN108" s="1" t="s">
        <v>122</v>
      </c>
      <c r="BPO108" s="1" t="s">
        <v>122</v>
      </c>
      <c r="BPP108" s="1" t="s">
        <v>122</v>
      </c>
      <c r="BPQ108" s="1" t="s">
        <v>122</v>
      </c>
      <c r="BPR108" s="1" t="s">
        <v>122</v>
      </c>
      <c r="BPS108" s="1" t="s">
        <v>122</v>
      </c>
      <c r="BPT108" s="1" t="s">
        <v>122</v>
      </c>
      <c r="BPU108" s="1" t="s">
        <v>122</v>
      </c>
      <c r="BPV108" s="1" t="s">
        <v>122</v>
      </c>
      <c r="BPW108" s="1" t="s">
        <v>122</v>
      </c>
      <c r="BPX108" s="1" t="s">
        <v>122</v>
      </c>
      <c r="BPY108" s="1" t="s">
        <v>122</v>
      </c>
      <c r="BPZ108" s="1" t="s">
        <v>122</v>
      </c>
      <c r="BQA108" s="1" t="s">
        <v>122</v>
      </c>
      <c r="BQB108" s="1" t="s">
        <v>122</v>
      </c>
      <c r="BQC108" s="1" t="s">
        <v>122</v>
      </c>
      <c r="BQD108" s="1" t="s">
        <v>122</v>
      </c>
      <c r="BQE108" s="1" t="s">
        <v>122</v>
      </c>
      <c r="BQF108" s="1" t="s">
        <v>122</v>
      </c>
      <c r="BQG108" s="1" t="s">
        <v>122</v>
      </c>
      <c r="BQH108" s="1" t="s">
        <v>122</v>
      </c>
      <c r="BQI108" s="1" t="s">
        <v>122</v>
      </c>
      <c r="BQJ108" s="1" t="s">
        <v>122</v>
      </c>
      <c r="BQK108" s="1" t="s">
        <v>122</v>
      </c>
      <c r="BQL108" s="1" t="s">
        <v>122</v>
      </c>
      <c r="BQM108" s="1" t="s">
        <v>122</v>
      </c>
      <c r="BQN108" s="1" t="s">
        <v>122</v>
      </c>
      <c r="BQO108" s="1" t="s">
        <v>122</v>
      </c>
      <c r="BQP108" s="1" t="s">
        <v>122</v>
      </c>
      <c r="BQQ108" s="1" t="s">
        <v>122</v>
      </c>
      <c r="BQR108" s="1" t="s">
        <v>122</v>
      </c>
      <c r="BQS108" s="1" t="s">
        <v>122</v>
      </c>
      <c r="BQT108" s="1" t="s">
        <v>122</v>
      </c>
      <c r="BQU108" s="1" t="s">
        <v>122</v>
      </c>
      <c r="BQV108" s="1" t="s">
        <v>122</v>
      </c>
      <c r="BQW108" s="1" t="s">
        <v>122</v>
      </c>
      <c r="BQX108" s="1" t="s">
        <v>122</v>
      </c>
      <c r="BQY108" s="1" t="s">
        <v>122</v>
      </c>
      <c r="BQZ108" s="1" t="s">
        <v>122</v>
      </c>
      <c r="BRA108" s="1" t="s">
        <v>122</v>
      </c>
      <c r="BRB108" s="1" t="s">
        <v>122</v>
      </c>
      <c r="BRC108" s="1" t="s">
        <v>122</v>
      </c>
      <c r="BRD108" s="1" t="s">
        <v>122</v>
      </c>
      <c r="BRE108" s="1" t="s">
        <v>122</v>
      </c>
      <c r="BRF108" s="1" t="s">
        <v>122</v>
      </c>
      <c r="BRG108" s="1" t="s">
        <v>122</v>
      </c>
      <c r="BRH108" s="1" t="s">
        <v>122</v>
      </c>
      <c r="BRI108" s="1" t="s">
        <v>122</v>
      </c>
      <c r="BRJ108" s="1" t="s">
        <v>122</v>
      </c>
      <c r="BRK108" s="1" t="s">
        <v>122</v>
      </c>
      <c r="BRL108" s="1" t="s">
        <v>122</v>
      </c>
      <c r="BRM108" s="1" t="s">
        <v>122</v>
      </c>
      <c r="BRN108" s="1" t="s">
        <v>122</v>
      </c>
      <c r="BRO108" s="1" t="s">
        <v>122</v>
      </c>
      <c r="BRP108" s="1" t="s">
        <v>122</v>
      </c>
      <c r="BRQ108" s="1" t="s">
        <v>122</v>
      </c>
      <c r="BRR108" s="1" t="s">
        <v>122</v>
      </c>
      <c r="BRS108" s="1" t="s">
        <v>122</v>
      </c>
      <c r="BRT108" s="1" t="s">
        <v>122</v>
      </c>
      <c r="BRU108" s="1" t="s">
        <v>122</v>
      </c>
      <c r="BRV108" s="1" t="s">
        <v>122</v>
      </c>
      <c r="BRW108" s="1" t="s">
        <v>122</v>
      </c>
      <c r="BRX108" s="1" t="s">
        <v>122</v>
      </c>
      <c r="BRY108" s="1" t="s">
        <v>122</v>
      </c>
      <c r="BRZ108" s="1" t="s">
        <v>122</v>
      </c>
      <c r="BSA108" s="1" t="s">
        <v>122</v>
      </c>
      <c r="BSB108" s="1" t="s">
        <v>122</v>
      </c>
      <c r="BSC108" s="1" t="s">
        <v>122</v>
      </c>
      <c r="BSD108" s="1" t="s">
        <v>122</v>
      </c>
      <c r="BSE108" s="1" t="s">
        <v>122</v>
      </c>
      <c r="BSF108" s="1" t="s">
        <v>122</v>
      </c>
      <c r="BSG108" s="1" t="s">
        <v>122</v>
      </c>
      <c r="BSH108" s="1" t="s">
        <v>122</v>
      </c>
      <c r="BSI108" s="1" t="s">
        <v>122</v>
      </c>
      <c r="BSJ108" s="1" t="s">
        <v>122</v>
      </c>
      <c r="BSK108" s="1" t="s">
        <v>122</v>
      </c>
      <c r="BSL108" s="1" t="s">
        <v>122</v>
      </c>
      <c r="BSM108" s="1" t="s">
        <v>122</v>
      </c>
      <c r="BSN108" s="1" t="s">
        <v>122</v>
      </c>
      <c r="BSO108" s="1" t="s">
        <v>122</v>
      </c>
      <c r="BSP108" s="1" t="s">
        <v>122</v>
      </c>
      <c r="BSQ108" s="1" t="s">
        <v>122</v>
      </c>
      <c r="BSR108" s="1" t="s">
        <v>122</v>
      </c>
      <c r="BSS108" s="1" t="s">
        <v>122</v>
      </c>
      <c r="BST108" s="1" t="s">
        <v>122</v>
      </c>
      <c r="BSU108" s="1" t="s">
        <v>122</v>
      </c>
      <c r="BSV108" s="1" t="s">
        <v>122</v>
      </c>
      <c r="BSW108" s="1" t="s">
        <v>122</v>
      </c>
      <c r="BSX108" s="1" t="s">
        <v>122</v>
      </c>
      <c r="BSY108" s="1" t="s">
        <v>122</v>
      </c>
      <c r="BSZ108" s="1" t="s">
        <v>122</v>
      </c>
      <c r="BTA108" s="1" t="s">
        <v>122</v>
      </c>
      <c r="BTB108" s="1" t="s">
        <v>122</v>
      </c>
      <c r="BTC108" s="1" t="s">
        <v>122</v>
      </c>
      <c r="BTD108" s="1" t="s">
        <v>122</v>
      </c>
      <c r="BTE108" s="1" t="s">
        <v>122</v>
      </c>
      <c r="BTF108" s="1" t="s">
        <v>122</v>
      </c>
      <c r="BTG108" s="1" t="s">
        <v>122</v>
      </c>
      <c r="BTH108" s="1" t="s">
        <v>122</v>
      </c>
      <c r="BTI108" s="1" t="s">
        <v>122</v>
      </c>
      <c r="BTJ108" s="1" t="s">
        <v>122</v>
      </c>
      <c r="BTK108" s="1" t="s">
        <v>122</v>
      </c>
      <c r="BTL108" s="1" t="s">
        <v>122</v>
      </c>
      <c r="BTM108" s="1" t="s">
        <v>122</v>
      </c>
      <c r="BTN108" s="1" t="s">
        <v>122</v>
      </c>
      <c r="BTO108" s="1" t="s">
        <v>122</v>
      </c>
      <c r="BTP108" s="1" t="s">
        <v>122</v>
      </c>
      <c r="BTQ108" s="1" t="s">
        <v>122</v>
      </c>
      <c r="BTR108" s="1" t="s">
        <v>122</v>
      </c>
      <c r="BTS108" s="1" t="s">
        <v>122</v>
      </c>
      <c r="BTT108" s="1" t="s">
        <v>122</v>
      </c>
      <c r="BTU108" s="1" t="s">
        <v>122</v>
      </c>
      <c r="BTV108" s="1" t="s">
        <v>122</v>
      </c>
      <c r="BTW108" s="1" t="s">
        <v>122</v>
      </c>
      <c r="BTX108" s="1" t="s">
        <v>122</v>
      </c>
      <c r="BTY108" s="1" t="s">
        <v>122</v>
      </c>
      <c r="BTZ108" s="1" t="s">
        <v>122</v>
      </c>
      <c r="BUA108" s="1" t="s">
        <v>122</v>
      </c>
      <c r="BUB108" s="1" t="s">
        <v>122</v>
      </c>
      <c r="BUC108" s="1" t="s">
        <v>122</v>
      </c>
      <c r="BUD108" s="1" t="s">
        <v>122</v>
      </c>
      <c r="BUE108" s="1" t="s">
        <v>122</v>
      </c>
      <c r="BUF108" s="1" t="s">
        <v>122</v>
      </c>
      <c r="BUG108" s="1" t="s">
        <v>122</v>
      </c>
      <c r="BUH108" s="1" t="s">
        <v>122</v>
      </c>
      <c r="BUI108" s="1" t="s">
        <v>122</v>
      </c>
      <c r="BUJ108" s="1" t="s">
        <v>122</v>
      </c>
      <c r="BUK108" s="1" t="s">
        <v>122</v>
      </c>
      <c r="BUL108" s="1" t="s">
        <v>122</v>
      </c>
      <c r="BUM108" s="1" t="s">
        <v>122</v>
      </c>
      <c r="BUN108" s="1" t="s">
        <v>122</v>
      </c>
      <c r="BUO108" s="1" t="s">
        <v>122</v>
      </c>
      <c r="BUP108" s="1" t="s">
        <v>122</v>
      </c>
      <c r="BUQ108" s="1" t="s">
        <v>122</v>
      </c>
      <c r="BUR108" s="1" t="s">
        <v>122</v>
      </c>
      <c r="BUS108" s="1" t="s">
        <v>122</v>
      </c>
      <c r="BUT108" s="1" t="s">
        <v>122</v>
      </c>
      <c r="BUU108" s="1" t="s">
        <v>122</v>
      </c>
      <c r="BUV108" s="1" t="s">
        <v>122</v>
      </c>
      <c r="BUW108" s="1" t="s">
        <v>122</v>
      </c>
      <c r="BUX108" s="1" t="s">
        <v>122</v>
      </c>
      <c r="BUY108" s="1" t="s">
        <v>122</v>
      </c>
      <c r="BUZ108" s="1" t="s">
        <v>122</v>
      </c>
      <c r="BVA108" s="1" t="s">
        <v>122</v>
      </c>
      <c r="BVB108" s="1" t="s">
        <v>122</v>
      </c>
      <c r="BVC108" s="1" t="s">
        <v>122</v>
      </c>
      <c r="BVD108" s="1" t="s">
        <v>122</v>
      </c>
      <c r="BVE108" s="1" t="s">
        <v>122</v>
      </c>
      <c r="BVF108" s="1" t="s">
        <v>122</v>
      </c>
      <c r="BVG108" s="1" t="s">
        <v>122</v>
      </c>
      <c r="BVH108" s="1" t="s">
        <v>122</v>
      </c>
      <c r="BVI108" s="1" t="s">
        <v>122</v>
      </c>
      <c r="BVJ108" s="1" t="s">
        <v>122</v>
      </c>
      <c r="BVK108" s="1" t="s">
        <v>122</v>
      </c>
      <c r="BVL108" s="1" t="s">
        <v>122</v>
      </c>
      <c r="BVM108" s="1" t="s">
        <v>122</v>
      </c>
      <c r="BVN108" s="1" t="s">
        <v>122</v>
      </c>
      <c r="BVO108" s="1" t="s">
        <v>122</v>
      </c>
      <c r="BVP108" s="1" t="s">
        <v>122</v>
      </c>
      <c r="BVQ108" s="1" t="s">
        <v>122</v>
      </c>
      <c r="BVR108" s="1" t="s">
        <v>122</v>
      </c>
      <c r="BVS108" s="1" t="s">
        <v>122</v>
      </c>
      <c r="BVT108" s="1" t="s">
        <v>122</v>
      </c>
      <c r="BVU108" s="1" t="s">
        <v>122</v>
      </c>
      <c r="BVV108" s="1" t="s">
        <v>122</v>
      </c>
      <c r="BVW108" s="1" t="s">
        <v>122</v>
      </c>
      <c r="BVX108" s="1" t="s">
        <v>122</v>
      </c>
      <c r="BVY108" s="1" t="s">
        <v>122</v>
      </c>
      <c r="BVZ108" s="1" t="s">
        <v>122</v>
      </c>
      <c r="BWA108" s="1" t="s">
        <v>122</v>
      </c>
      <c r="BWB108" s="1" t="s">
        <v>122</v>
      </c>
      <c r="BWC108" s="1" t="s">
        <v>122</v>
      </c>
      <c r="BWD108" s="1" t="s">
        <v>122</v>
      </c>
      <c r="BWE108" s="1" t="s">
        <v>122</v>
      </c>
      <c r="BWF108" s="1" t="s">
        <v>122</v>
      </c>
      <c r="BWG108" s="1" t="s">
        <v>122</v>
      </c>
      <c r="BWH108" s="1" t="s">
        <v>122</v>
      </c>
      <c r="BWI108" s="1" t="s">
        <v>122</v>
      </c>
      <c r="BWJ108" s="1" t="s">
        <v>122</v>
      </c>
      <c r="BWK108" s="1" t="s">
        <v>122</v>
      </c>
      <c r="BWL108" s="1" t="s">
        <v>122</v>
      </c>
      <c r="BWM108" s="1" t="s">
        <v>122</v>
      </c>
      <c r="BWN108" s="1" t="s">
        <v>122</v>
      </c>
      <c r="BWO108" s="1" t="s">
        <v>122</v>
      </c>
      <c r="BWP108" s="1" t="s">
        <v>122</v>
      </c>
      <c r="BWQ108" s="1" t="s">
        <v>122</v>
      </c>
      <c r="BWR108" s="1" t="s">
        <v>122</v>
      </c>
      <c r="BWS108" s="1" t="s">
        <v>122</v>
      </c>
      <c r="BWT108" s="1" t="s">
        <v>122</v>
      </c>
      <c r="BWU108" s="1" t="s">
        <v>122</v>
      </c>
      <c r="BWV108" s="1" t="s">
        <v>122</v>
      </c>
      <c r="BWW108" s="1" t="s">
        <v>122</v>
      </c>
      <c r="BWX108" s="1" t="s">
        <v>122</v>
      </c>
      <c r="BWY108" s="1" t="s">
        <v>122</v>
      </c>
      <c r="BWZ108" s="1" t="s">
        <v>122</v>
      </c>
      <c r="BXA108" s="1" t="s">
        <v>122</v>
      </c>
      <c r="BXB108" s="1" t="s">
        <v>122</v>
      </c>
      <c r="BXC108" s="1" t="s">
        <v>122</v>
      </c>
      <c r="BXD108" s="1" t="s">
        <v>122</v>
      </c>
      <c r="BXE108" s="1" t="s">
        <v>122</v>
      </c>
      <c r="BXF108" s="1" t="s">
        <v>122</v>
      </c>
      <c r="BXG108" s="1" t="s">
        <v>122</v>
      </c>
      <c r="BXH108" s="1" t="s">
        <v>122</v>
      </c>
      <c r="BXI108" s="1" t="s">
        <v>122</v>
      </c>
      <c r="BXJ108" s="1" t="s">
        <v>122</v>
      </c>
      <c r="BXK108" s="1" t="s">
        <v>122</v>
      </c>
      <c r="BXL108" s="1" t="s">
        <v>122</v>
      </c>
      <c r="BXM108" s="1" t="s">
        <v>122</v>
      </c>
      <c r="BXN108" s="1" t="s">
        <v>122</v>
      </c>
      <c r="BXO108" s="1" t="s">
        <v>122</v>
      </c>
      <c r="BXP108" s="1" t="s">
        <v>122</v>
      </c>
      <c r="BXQ108" s="1" t="s">
        <v>122</v>
      </c>
      <c r="BXR108" s="1" t="s">
        <v>122</v>
      </c>
      <c r="BXS108" s="1" t="s">
        <v>122</v>
      </c>
      <c r="BXT108" s="1" t="s">
        <v>122</v>
      </c>
      <c r="BXU108" s="1" t="s">
        <v>122</v>
      </c>
      <c r="BXV108" s="1" t="s">
        <v>122</v>
      </c>
      <c r="BXW108" s="1" t="s">
        <v>122</v>
      </c>
      <c r="BXX108" s="1" t="s">
        <v>122</v>
      </c>
      <c r="BXY108" s="1" t="s">
        <v>122</v>
      </c>
      <c r="BXZ108" s="1" t="s">
        <v>122</v>
      </c>
      <c r="BYA108" s="1" t="s">
        <v>122</v>
      </c>
      <c r="BYB108" s="1" t="s">
        <v>122</v>
      </c>
      <c r="BYC108" s="1" t="s">
        <v>122</v>
      </c>
      <c r="BYD108" s="1" t="s">
        <v>122</v>
      </c>
      <c r="BYE108" s="1" t="s">
        <v>122</v>
      </c>
      <c r="BYF108" s="1" t="s">
        <v>122</v>
      </c>
      <c r="BYG108" s="1" t="s">
        <v>122</v>
      </c>
      <c r="BYH108" s="1" t="s">
        <v>122</v>
      </c>
      <c r="BYI108" s="1" t="s">
        <v>122</v>
      </c>
      <c r="BYJ108" s="1" t="s">
        <v>122</v>
      </c>
      <c r="BYK108" s="1" t="s">
        <v>122</v>
      </c>
      <c r="BYL108" s="1" t="s">
        <v>122</v>
      </c>
      <c r="BYM108" s="1" t="s">
        <v>122</v>
      </c>
      <c r="BYN108" s="1" t="s">
        <v>122</v>
      </c>
      <c r="BYO108" s="1" t="s">
        <v>122</v>
      </c>
      <c r="BYP108" s="1" t="s">
        <v>122</v>
      </c>
      <c r="BYQ108" s="1" t="s">
        <v>122</v>
      </c>
      <c r="BYR108" s="1" t="s">
        <v>122</v>
      </c>
      <c r="BYS108" s="1" t="s">
        <v>122</v>
      </c>
      <c r="BYT108" s="1" t="s">
        <v>122</v>
      </c>
      <c r="BYU108" s="1" t="s">
        <v>122</v>
      </c>
      <c r="BYV108" s="1" t="s">
        <v>122</v>
      </c>
      <c r="BYW108" s="1" t="s">
        <v>122</v>
      </c>
      <c r="BYX108" s="1" t="s">
        <v>122</v>
      </c>
      <c r="BYY108" s="1" t="s">
        <v>122</v>
      </c>
      <c r="BYZ108" s="1" t="s">
        <v>122</v>
      </c>
      <c r="BZA108" s="1" t="s">
        <v>122</v>
      </c>
      <c r="BZB108" s="1" t="s">
        <v>122</v>
      </c>
      <c r="BZC108" s="1" t="s">
        <v>122</v>
      </c>
      <c r="BZD108" s="1" t="s">
        <v>122</v>
      </c>
      <c r="BZE108" s="1" t="s">
        <v>122</v>
      </c>
      <c r="BZF108" s="1" t="s">
        <v>122</v>
      </c>
      <c r="BZG108" s="1" t="s">
        <v>122</v>
      </c>
      <c r="BZH108" s="1" t="s">
        <v>122</v>
      </c>
      <c r="BZI108" s="1" t="s">
        <v>122</v>
      </c>
      <c r="BZJ108" s="1" t="s">
        <v>122</v>
      </c>
      <c r="BZK108" s="1" t="s">
        <v>122</v>
      </c>
      <c r="BZL108" s="1" t="s">
        <v>122</v>
      </c>
      <c r="BZM108" s="1" t="s">
        <v>122</v>
      </c>
      <c r="BZN108" s="1" t="s">
        <v>122</v>
      </c>
      <c r="BZO108" s="1" t="s">
        <v>122</v>
      </c>
      <c r="BZP108" s="1" t="s">
        <v>122</v>
      </c>
      <c r="BZQ108" s="1" t="s">
        <v>122</v>
      </c>
      <c r="BZR108" s="1" t="s">
        <v>122</v>
      </c>
      <c r="BZS108" s="1" t="s">
        <v>122</v>
      </c>
      <c r="BZT108" s="1" t="s">
        <v>122</v>
      </c>
      <c r="BZU108" s="1" t="s">
        <v>122</v>
      </c>
      <c r="BZV108" s="1" t="s">
        <v>122</v>
      </c>
      <c r="BZW108" s="1" t="s">
        <v>122</v>
      </c>
      <c r="BZX108" s="1" t="s">
        <v>122</v>
      </c>
      <c r="BZY108" s="1" t="s">
        <v>122</v>
      </c>
      <c r="BZZ108" s="1" t="s">
        <v>122</v>
      </c>
      <c r="CAA108" s="1" t="s">
        <v>122</v>
      </c>
      <c r="CAB108" s="1" t="s">
        <v>122</v>
      </c>
      <c r="CAC108" s="1" t="s">
        <v>122</v>
      </c>
      <c r="CAD108" s="1" t="s">
        <v>122</v>
      </c>
      <c r="CAE108" s="1" t="s">
        <v>122</v>
      </c>
      <c r="CAF108" s="1" t="s">
        <v>122</v>
      </c>
      <c r="CAG108" s="1" t="s">
        <v>122</v>
      </c>
      <c r="CAH108" s="1" t="s">
        <v>122</v>
      </c>
      <c r="CAI108" s="1" t="s">
        <v>122</v>
      </c>
      <c r="CAJ108" s="1" t="s">
        <v>122</v>
      </c>
      <c r="CAK108" s="1" t="s">
        <v>122</v>
      </c>
      <c r="CAL108" s="1" t="s">
        <v>122</v>
      </c>
      <c r="CAM108" s="1" t="s">
        <v>122</v>
      </c>
      <c r="CAN108" s="1" t="s">
        <v>122</v>
      </c>
      <c r="CAO108" s="1" t="s">
        <v>122</v>
      </c>
      <c r="CAP108" s="1" t="s">
        <v>122</v>
      </c>
      <c r="CAQ108" s="1" t="s">
        <v>122</v>
      </c>
      <c r="CAR108" s="1" t="s">
        <v>122</v>
      </c>
      <c r="CAS108" s="1" t="s">
        <v>122</v>
      </c>
      <c r="CAT108" s="1" t="s">
        <v>122</v>
      </c>
      <c r="CAU108" s="1" t="s">
        <v>122</v>
      </c>
      <c r="CAV108" s="1" t="s">
        <v>122</v>
      </c>
      <c r="CAW108" s="1" t="s">
        <v>122</v>
      </c>
      <c r="CAX108" s="1" t="s">
        <v>122</v>
      </c>
      <c r="CAY108" s="1" t="s">
        <v>122</v>
      </c>
      <c r="CAZ108" s="1" t="s">
        <v>122</v>
      </c>
      <c r="CBA108" s="1" t="s">
        <v>122</v>
      </c>
      <c r="CBB108" s="1" t="s">
        <v>122</v>
      </c>
      <c r="CBC108" s="1" t="s">
        <v>122</v>
      </c>
      <c r="CBD108" s="1" t="s">
        <v>122</v>
      </c>
      <c r="CBE108" s="1" t="s">
        <v>122</v>
      </c>
      <c r="CBF108" s="1" t="s">
        <v>122</v>
      </c>
      <c r="CBG108" s="1" t="s">
        <v>122</v>
      </c>
      <c r="CBH108" s="1" t="s">
        <v>122</v>
      </c>
      <c r="CBI108" s="1" t="s">
        <v>122</v>
      </c>
      <c r="CBJ108" s="1" t="s">
        <v>122</v>
      </c>
      <c r="CBK108" s="1" t="s">
        <v>122</v>
      </c>
      <c r="CBL108" s="1" t="s">
        <v>122</v>
      </c>
      <c r="CBM108" s="1" t="s">
        <v>122</v>
      </c>
      <c r="CBN108" s="1" t="s">
        <v>122</v>
      </c>
      <c r="CBO108" s="1" t="s">
        <v>122</v>
      </c>
      <c r="CBP108" s="1" t="s">
        <v>122</v>
      </c>
      <c r="CBQ108" s="1" t="s">
        <v>122</v>
      </c>
      <c r="CBR108" s="1" t="s">
        <v>122</v>
      </c>
      <c r="CBS108" s="1" t="s">
        <v>122</v>
      </c>
      <c r="CBT108" s="1" t="s">
        <v>122</v>
      </c>
      <c r="CBU108" s="1" t="s">
        <v>122</v>
      </c>
      <c r="CBV108" s="1" t="s">
        <v>122</v>
      </c>
      <c r="CBW108" s="1" t="s">
        <v>122</v>
      </c>
      <c r="CBX108" s="1" t="s">
        <v>122</v>
      </c>
      <c r="CBY108" s="1" t="s">
        <v>122</v>
      </c>
      <c r="CBZ108" s="1" t="s">
        <v>122</v>
      </c>
      <c r="CCA108" s="1" t="s">
        <v>122</v>
      </c>
      <c r="CCB108" s="1" t="s">
        <v>122</v>
      </c>
      <c r="CCC108" s="1" t="s">
        <v>122</v>
      </c>
      <c r="CCD108" s="1" t="s">
        <v>122</v>
      </c>
      <c r="CCE108" s="1" t="s">
        <v>122</v>
      </c>
      <c r="CCF108" s="1" t="s">
        <v>122</v>
      </c>
      <c r="CCG108" s="1" t="s">
        <v>122</v>
      </c>
      <c r="CCH108" s="1" t="s">
        <v>122</v>
      </c>
      <c r="CCI108" s="1" t="s">
        <v>122</v>
      </c>
      <c r="CCJ108" s="1" t="s">
        <v>122</v>
      </c>
      <c r="CCK108" s="1" t="s">
        <v>122</v>
      </c>
      <c r="CCL108" s="1" t="s">
        <v>122</v>
      </c>
      <c r="CCM108" s="1" t="s">
        <v>122</v>
      </c>
      <c r="CCN108" s="1" t="s">
        <v>122</v>
      </c>
      <c r="CCO108" s="1" t="s">
        <v>122</v>
      </c>
      <c r="CCP108" s="1" t="s">
        <v>122</v>
      </c>
      <c r="CCQ108" s="1" t="s">
        <v>122</v>
      </c>
      <c r="CCR108" s="1" t="s">
        <v>122</v>
      </c>
      <c r="CCS108" s="1" t="s">
        <v>122</v>
      </c>
      <c r="CCT108" s="1" t="s">
        <v>122</v>
      </c>
      <c r="CCU108" s="1" t="s">
        <v>122</v>
      </c>
      <c r="CCV108" s="1" t="s">
        <v>122</v>
      </c>
      <c r="CCW108" s="1" t="s">
        <v>122</v>
      </c>
      <c r="CCX108" s="1" t="s">
        <v>122</v>
      </c>
      <c r="CCY108" s="1" t="s">
        <v>122</v>
      </c>
      <c r="CCZ108" s="1" t="s">
        <v>122</v>
      </c>
      <c r="CDA108" s="1" t="s">
        <v>122</v>
      </c>
      <c r="CDB108" s="1" t="s">
        <v>122</v>
      </c>
      <c r="CDC108" s="1" t="s">
        <v>122</v>
      </c>
      <c r="CDD108" s="1" t="s">
        <v>122</v>
      </c>
      <c r="CDE108" s="1" t="s">
        <v>122</v>
      </c>
      <c r="CDF108" s="1" t="s">
        <v>122</v>
      </c>
      <c r="CDG108" s="1" t="s">
        <v>122</v>
      </c>
      <c r="CDH108" s="1" t="s">
        <v>122</v>
      </c>
      <c r="CDI108" s="1" t="s">
        <v>122</v>
      </c>
      <c r="CDJ108" s="1" t="s">
        <v>122</v>
      </c>
      <c r="CDK108" s="1" t="s">
        <v>122</v>
      </c>
      <c r="CDL108" s="1" t="s">
        <v>122</v>
      </c>
      <c r="CDM108" s="1" t="s">
        <v>122</v>
      </c>
      <c r="CDN108" s="1" t="s">
        <v>122</v>
      </c>
      <c r="CDO108" s="1" t="s">
        <v>122</v>
      </c>
      <c r="CDP108" s="1" t="s">
        <v>122</v>
      </c>
      <c r="CDQ108" s="1" t="s">
        <v>122</v>
      </c>
      <c r="CDR108" s="1" t="s">
        <v>122</v>
      </c>
      <c r="CDS108" s="1" t="s">
        <v>122</v>
      </c>
      <c r="CDT108" s="1" t="s">
        <v>122</v>
      </c>
      <c r="CDU108" s="1" t="s">
        <v>122</v>
      </c>
      <c r="CDV108" s="1" t="s">
        <v>122</v>
      </c>
      <c r="CDW108" s="1" t="s">
        <v>122</v>
      </c>
      <c r="CDX108" s="1" t="s">
        <v>122</v>
      </c>
      <c r="CDY108" s="1" t="s">
        <v>122</v>
      </c>
      <c r="CDZ108" s="1" t="s">
        <v>122</v>
      </c>
      <c r="CEA108" s="1" t="s">
        <v>122</v>
      </c>
      <c r="CEB108" s="1" t="s">
        <v>122</v>
      </c>
      <c r="CEC108" s="1" t="s">
        <v>122</v>
      </c>
      <c r="CED108" s="1" t="s">
        <v>122</v>
      </c>
      <c r="CEE108" s="1" t="s">
        <v>122</v>
      </c>
      <c r="CEF108" s="1" t="s">
        <v>122</v>
      </c>
      <c r="CEG108" s="1" t="s">
        <v>122</v>
      </c>
      <c r="CEH108" s="1" t="s">
        <v>122</v>
      </c>
      <c r="CEI108" s="1" t="s">
        <v>122</v>
      </c>
      <c r="CEJ108" s="1" t="s">
        <v>122</v>
      </c>
      <c r="CEK108" s="1" t="s">
        <v>122</v>
      </c>
      <c r="CEL108" s="1" t="s">
        <v>122</v>
      </c>
      <c r="CEM108" s="1" t="s">
        <v>122</v>
      </c>
      <c r="CEN108" s="1" t="s">
        <v>122</v>
      </c>
      <c r="CEO108" s="1" t="s">
        <v>122</v>
      </c>
      <c r="CEP108" s="1" t="s">
        <v>122</v>
      </c>
      <c r="CEQ108" s="1" t="s">
        <v>122</v>
      </c>
      <c r="CER108" s="1" t="s">
        <v>122</v>
      </c>
      <c r="CES108" s="1" t="s">
        <v>122</v>
      </c>
      <c r="CET108" s="1" t="s">
        <v>122</v>
      </c>
      <c r="CEU108" s="1" t="s">
        <v>122</v>
      </c>
      <c r="CEV108" s="1" t="s">
        <v>122</v>
      </c>
      <c r="CEW108" s="1" t="s">
        <v>122</v>
      </c>
      <c r="CEX108" s="1" t="s">
        <v>122</v>
      </c>
      <c r="CEY108" s="1" t="s">
        <v>122</v>
      </c>
      <c r="CEZ108" s="1" t="s">
        <v>122</v>
      </c>
      <c r="CFA108" s="1" t="s">
        <v>122</v>
      </c>
      <c r="CFB108" s="1" t="s">
        <v>122</v>
      </c>
      <c r="CFC108" s="1" t="s">
        <v>122</v>
      </c>
      <c r="CFD108" s="1" t="s">
        <v>122</v>
      </c>
      <c r="CFE108" s="1" t="s">
        <v>122</v>
      </c>
      <c r="CFF108" s="1" t="s">
        <v>122</v>
      </c>
      <c r="CFG108" s="1" t="s">
        <v>122</v>
      </c>
      <c r="CFH108" s="1" t="s">
        <v>122</v>
      </c>
      <c r="CFI108" s="1" t="s">
        <v>122</v>
      </c>
      <c r="CFJ108" s="1" t="s">
        <v>122</v>
      </c>
      <c r="CFK108" s="1" t="s">
        <v>122</v>
      </c>
      <c r="CFL108" s="1" t="s">
        <v>122</v>
      </c>
      <c r="CFM108" s="1" t="s">
        <v>122</v>
      </c>
      <c r="CFN108" s="1" t="s">
        <v>122</v>
      </c>
      <c r="CFO108" s="1" t="s">
        <v>122</v>
      </c>
      <c r="CFP108" s="1" t="s">
        <v>122</v>
      </c>
      <c r="CFQ108" s="1" t="s">
        <v>122</v>
      </c>
      <c r="CFR108" s="1" t="s">
        <v>122</v>
      </c>
      <c r="CFS108" s="1" t="s">
        <v>122</v>
      </c>
      <c r="CFT108" s="1" t="s">
        <v>122</v>
      </c>
      <c r="CFU108" s="1" t="s">
        <v>122</v>
      </c>
      <c r="CFV108" s="1" t="s">
        <v>122</v>
      </c>
      <c r="CFW108" s="1" t="s">
        <v>122</v>
      </c>
      <c r="CFX108" s="1" t="s">
        <v>122</v>
      </c>
      <c r="CFY108" s="1" t="s">
        <v>122</v>
      </c>
      <c r="CFZ108" s="1" t="s">
        <v>122</v>
      </c>
      <c r="CGA108" s="1" t="s">
        <v>122</v>
      </c>
      <c r="CGB108" s="1" t="s">
        <v>122</v>
      </c>
      <c r="CGC108" s="1" t="s">
        <v>122</v>
      </c>
      <c r="CGD108" s="1" t="s">
        <v>122</v>
      </c>
      <c r="CGE108" s="1" t="s">
        <v>122</v>
      </c>
      <c r="CGF108" s="1" t="s">
        <v>122</v>
      </c>
      <c r="CGG108" s="1" t="s">
        <v>122</v>
      </c>
      <c r="CGH108" s="1" t="s">
        <v>122</v>
      </c>
      <c r="CGI108" s="1" t="s">
        <v>122</v>
      </c>
      <c r="CGJ108" s="1" t="s">
        <v>122</v>
      </c>
      <c r="CGK108" s="1" t="s">
        <v>122</v>
      </c>
      <c r="CGL108" s="1" t="s">
        <v>122</v>
      </c>
      <c r="CGM108" s="1" t="s">
        <v>122</v>
      </c>
      <c r="CGN108" s="1" t="s">
        <v>122</v>
      </c>
      <c r="CGO108" s="1" t="s">
        <v>122</v>
      </c>
      <c r="CGP108" s="1" t="s">
        <v>122</v>
      </c>
      <c r="CGQ108" s="1" t="s">
        <v>122</v>
      </c>
      <c r="CGR108" s="1" t="s">
        <v>122</v>
      </c>
      <c r="CGS108" s="1" t="s">
        <v>122</v>
      </c>
      <c r="CGT108" s="1" t="s">
        <v>122</v>
      </c>
      <c r="CGU108" s="1" t="s">
        <v>122</v>
      </c>
      <c r="CGV108" s="1" t="s">
        <v>122</v>
      </c>
      <c r="CGW108" s="1" t="s">
        <v>122</v>
      </c>
      <c r="CGX108" s="1" t="s">
        <v>122</v>
      </c>
      <c r="CGY108" s="1" t="s">
        <v>122</v>
      </c>
      <c r="CGZ108" s="1" t="s">
        <v>122</v>
      </c>
      <c r="CHA108" s="1" t="s">
        <v>122</v>
      </c>
      <c r="CHB108" s="1" t="s">
        <v>122</v>
      </c>
      <c r="CHC108" s="1" t="s">
        <v>122</v>
      </c>
      <c r="CHD108" s="1" t="s">
        <v>122</v>
      </c>
      <c r="CHE108" s="1" t="s">
        <v>122</v>
      </c>
      <c r="CHF108" s="1" t="s">
        <v>122</v>
      </c>
      <c r="CHG108" s="1" t="s">
        <v>122</v>
      </c>
      <c r="CHH108" s="1" t="s">
        <v>122</v>
      </c>
      <c r="CHI108" s="1" t="s">
        <v>122</v>
      </c>
      <c r="CHJ108" s="1" t="s">
        <v>122</v>
      </c>
      <c r="CHK108" s="1" t="s">
        <v>122</v>
      </c>
      <c r="CHL108" s="1" t="s">
        <v>122</v>
      </c>
      <c r="CHM108" s="1" t="s">
        <v>122</v>
      </c>
      <c r="CHN108" s="1" t="s">
        <v>122</v>
      </c>
      <c r="CHO108" s="1" t="s">
        <v>122</v>
      </c>
      <c r="CHP108" s="1" t="s">
        <v>122</v>
      </c>
      <c r="CHQ108" s="1" t="s">
        <v>122</v>
      </c>
      <c r="CHR108" s="1" t="s">
        <v>122</v>
      </c>
      <c r="CHS108" s="1" t="s">
        <v>122</v>
      </c>
      <c r="CHT108" s="1" t="s">
        <v>122</v>
      </c>
      <c r="CHU108" s="1" t="s">
        <v>122</v>
      </c>
      <c r="CHV108" s="1" t="s">
        <v>122</v>
      </c>
      <c r="CHW108" s="1" t="s">
        <v>122</v>
      </c>
      <c r="CHX108" s="1" t="s">
        <v>122</v>
      </c>
      <c r="CHY108" s="1" t="s">
        <v>122</v>
      </c>
      <c r="CHZ108" s="1" t="s">
        <v>122</v>
      </c>
      <c r="CIA108" s="1" t="s">
        <v>122</v>
      </c>
      <c r="CIB108" s="1" t="s">
        <v>122</v>
      </c>
      <c r="CIC108" s="1" t="s">
        <v>122</v>
      </c>
      <c r="CID108" s="1" t="s">
        <v>122</v>
      </c>
      <c r="CIE108" s="1" t="s">
        <v>122</v>
      </c>
      <c r="CIF108" s="1" t="s">
        <v>122</v>
      </c>
      <c r="CIG108" s="1" t="s">
        <v>122</v>
      </c>
      <c r="CIH108" s="1" t="s">
        <v>122</v>
      </c>
      <c r="CII108" s="1" t="s">
        <v>122</v>
      </c>
      <c r="CIJ108" s="1" t="s">
        <v>122</v>
      </c>
      <c r="CIK108" s="1" t="s">
        <v>122</v>
      </c>
      <c r="CIL108" s="1" t="s">
        <v>122</v>
      </c>
      <c r="CIM108" s="1" t="s">
        <v>122</v>
      </c>
      <c r="CIN108" s="1" t="s">
        <v>122</v>
      </c>
      <c r="CIO108" s="1" t="s">
        <v>122</v>
      </c>
      <c r="CIP108" s="1" t="s">
        <v>122</v>
      </c>
      <c r="CIQ108" s="1" t="s">
        <v>122</v>
      </c>
      <c r="CIR108" s="1" t="s">
        <v>122</v>
      </c>
      <c r="CIS108" s="1" t="s">
        <v>122</v>
      </c>
      <c r="CIT108" s="1" t="s">
        <v>122</v>
      </c>
      <c r="CIU108" s="1" t="s">
        <v>122</v>
      </c>
      <c r="CIV108" s="1" t="s">
        <v>122</v>
      </c>
      <c r="CIW108" s="1" t="s">
        <v>122</v>
      </c>
      <c r="CIX108" s="1" t="s">
        <v>122</v>
      </c>
      <c r="CIY108" s="1" t="s">
        <v>122</v>
      </c>
      <c r="CIZ108" s="1" t="s">
        <v>122</v>
      </c>
      <c r="CJA108" s="1" t="s">
        <v>122</v>
      </c>
      <c r="CJB108" s="1" t="s">
        <v>122</v>
      </c>
      <c r="CJC108" s="1" t="s">
        <v>122</v>
      </c>
      <c r="CJD108" s="1" t="s">
        <v>122</v>
      </c>
      <c r="CJE108" s="1" t="s">
        <v>122</v>
      </c>
      <c r="CJF108" s="1" t="s">
        <v>122</v>
      </c>
      <c r="CJG108" s="1" t="s">
        <v>122</v>
      </c>
      <c r="CJH108" s="1" t="s">
        <v>122</v>
      </c>
      <c r="CJI108" s="1" t="s">
        <v>122</v>
      </c>
      <c r="CJJ108" s="1" t="s">
        <v>122</v>
      </c>
      <c r="CJK108" s="1" t="s">
        <v>122</v>
      </c>
      <c r="CJL108" s="1" t="s">
        <v>122</v>
      </c>
      <c r="CJM108" s="1" t="s">
        <v>122</v>
      </c>
      <c r="CJN108" s="1" t="s">
        <v>122</v>
      </c>
      <c r="CJO108" s="1" t="s">
        <v>122</v>
      </c>
      <c r="CJP108" s="1" t="s">
        <v>122</v>
      </c>
      <c r="CJQ108" s="1" t="s">
        <v>122</v>
      </c>
      <c r="CJR108" s="1" t="s">
        <v>122</v>
      </c>
      <c r="CJS108" s="1" t="s">
        <v>122</v>
      </c>
      <c r="CJT108" s="1" t="s">
        <v>122</v>
      </c>
      <c r="CJU108" s="1" t="s">
        <v>122</v>
      </c>
      <c r="CJV108" s="1" t="s">
        <v>122</v>
      </c>
      <c r="CJW108" s="1" t="s">
        <v>122</v>
      </c>
      <c r="CJX108" s="1" t="s">
        <v>122</v>
      </c>
      <c r="CJY108" s="1" t="s">
        <v>122</v>
      </c>
      <c r="CJZ108" s="1" t="s">
        <v>122</v>
      </c>
      <c r="CKA108" s="1" t="s">
        <v>122</v>
      </c>
      <c r="CKB108" s="1" t="s">
        <v>122</v>
      </c>
      <c r="CKC108" s="1" t="s">
        <v>122</v>
      </c>
      <c r="CKD108" s="1" t="s">
        <v>122</v>
      </c>
      <c r="CKE108" s="1" t="s">
        <v>122</v>
      </c>
      <c r="CKF108" s="1" t="s">
        <v>122</v>
      </c>
      <c r="CKG108" s="1" t="s">
        <v>122</v>
      </c>
      <c r="CKH108" s="1" t="s">
        <v>122</v>
      </c>
      <c r="CKI108" s="1" t="s">
        <v>122</v>
      </c>
      <c r="CKJ108" s="1" t="s">
        <v>122</v>
      </c>
      <c r="CKK108" s="1" t="s">
        <v>122</v>
      </c>
      <c r="CKL108" s="1" t="s">
        <v>122</v>
      </c>
      <c r="CKM108" s="1" t="s">
        <v>122</v>
      </c>
      <c r="CKN108" s="1" t="s">
        <v>122</v>
      </c>
      <c r="CKO108" s="1" t="s">
        <v>122</v>
      </c>
      <c r="CKP108" s="1" t="s">
        <v>122</v>
      </c>
      <c r="CKQ108" s="1" t="s">
        <v>122</v>
      </c>
      <c r="CKR108" s="1" t="s">
        <v>122</v>
      </c>
      <c r="CKS108" s="1" t="s">
        <v>122</v>
      </c>
      <c r="CKT108" s="1" t="s">
        <v>122</v>
      </c>
      <c r="CKU108" s="1" t="s">
        <v>122</v>
      </c>
      <c r="CKV108" s="1" t="s">
        <v>122</v>
      </c>
      <c r="CKW108" s="1" t="s">
        <v>122</v>
      </c>
      <c r="CKX108" s="1" t="s">
        <v>122</v>
      </c>
      <c r="CKY108" s="1" t="s">
        <v>122</v>
      </c>
      <c r="CKZ108" s="1" t="s">
        <v>122</v>
      </c>
      <c r="CLA108" s="1" t="s">
        <v>122</v>
      </c>
      <c r="CLB108" s="1" t="s">
        <v>122</v>
      </c>
      <c r="CLC108" s="1" t="s">
        <v>122</v>
      </c>
      <c r="CLD108" s="1" t="s">
        <v>122</v>
      </c>
      <c r="CLE108" s="1" t="s">
        <v>122</v>
      </c>
      <c r="CLF108" s="1" t="s">
        <v>122</v>
      </c>
      <c r="CLG108" s="1" t="s">
        <v>122</v>
      </c>
      <c r="CLH108" s="1" t="s">
        <v>122</v>
      </c>
      <c r="CLI108" s="1" t="s">
        <v>122</v>
      </c>
      <c r="CLJ108" s="1" t="s">
        <v>122</v>
      </c>
      <c r="CLK108" s="1" t="s">
        <v>122</v>
      </c>
      <c r="CLL108" s="1" t="s">
        <v>122</v>
      </c>
      <c r="CLM108" s="1" t="s">
        <v>122</v>
      </c>
      <c r="CLN108" s="1" t="s">
        <v>122</v>
      </c>
      <c r="CLO108" s="1" t="s">
        <v>122</v>
      </c>
      <c r="CLP108" s="1" t="s">
        <v>122</v>
      </c>
      <c r="CLQ108" s="1" t="s">
        <v>122</v>
      </c>
      <c r="CLR108" s="1" t="s">
        <v>122</v>
      </c>
      <c r="CLS108" s="1" t="s">
        <v>122</v>
      </c>
      <c r="CLT108" s="1" t="s">
        <v>122</v>
      </c>
      <c r="CLU108" s="1" t="s">
        <v>122</v>
      </c>
      <c r="CLV108" s="1" t="s">
        <v>122</v>
      </c>
      <c r="CLW108" s="1" t="s">
        <v>122</v>
      </c>
      <c r="CLX108" s="1" t="s">
        <v>122</v>
      </c>
      <c r="CLY108" s="1" t="s">
        <v>122</v>
      </c>
      <c r="CLZ108" s="1" t="s">
        <v>122</v>
      </c>
      <c r="CMA108" s="1" t="s">
        <v>122</v>
      </c>
      <c r="CMB108" s="1" t="s">
        <v>122</v>
      </c>
      <c r="CMC108" s="1" t="s">
        <v>122</v>
      </c>
      <c r="CMD108" s="1" t="s">
        <v>122</v>
      </c>
      <c r="CME108" s="1" t="s">
        <v>122</v>
      </c>
      <c r="CMF108" s="1" t="s">
        <v>122</v>
      </c>
      <c r="CMG108" s="1" t="s">
        <v>122</v>
      </c>
      <c r="CMH108" s="1" t="s">
        <v>122</v>
      </c>
      <c r="CMI108" s="1" t="s">
        <v>122</v>
      </c>
      <c r="CMJ108" s="1" t="s">
        <v>122</v>
      </c>
      <c r="CMK108" s="1" t="s">
        <v>122</v>
      </c>
      <c r="CML108" s="1" t="s">
        <v>122</v>
      </c>
      <c r="CMM108" s="1" t="s">
        <v>122</v>
      </c>
      <c r="CMN108" s="1" t="s">
        <v>122</v>
      </c>
      <c r="CMO108" s="1" t="s">
        <v>122</v>
      </c>
      <c r="CMP108" s="1" t="s">
        <v>122</v>
      </c>
      <c r="CMQ108" s="1" t="s">
        <v>122</v>
      </c>
      <c r="CMR108" s="1" t="s">
        <v>122</v>
      </c>
      <c r="CMS108" s="1" t="s">
        <v>122</v>
      </c>
      <c r="CMT108" s="1" t="s">
        <v>122</v>
      </c>
      <c r="CMU108" s="1" t="s">
        <v>122</v>
      </c>
      <c r="CMV108" s="1" t="s">
        <v>122</v>
      </c>
      <c r="CMW108" s="1" t="s">
        <v>122</v>
      </c>
      <c r="CMX108" s="1" t="s">
        <v>122</v>
      </c>
      <c r="CMY108" s="1" t="s">
        <v>122</v>
      </c>
      <c r="CMZ108" s="1" t="s">
        <v>122</v>
      </c>
      <c r="CNA108" s="1" t="s">
        <v>122</v>
      </c>
      <c r="CNB108" s="1" t="s">
        <v>122</v>
      </c>
      <c r="CNC108" s="1" t="s">
        <v>122</v>
      </c>
      <c r="CND108" s="1" t="s">
        <v>122</v>
      </c>
      <c r="CNE108" s="1" t="s">
        <v>122</v>
      </c>
      <c r="CNF108" s="1" t="s">
        <v>122</v>
      </c>
      <c r="CNG108" s="1" t="s">
        <v>122</v>
      </c>
      <c r="CNH108" s="1" t="s">
        <v>122</v>
      </c>
      <c r="CNI108" s="1" t="s">
        <v>122</v>
      </c>
      <c r="CNJ108" s="1" t="s">
        <v>122</v>
      </c>
      <c r="CNK108" s="1" t="s">
        <v>122</v>
      </c>
      <c r="CNL108" s="1" t="s">
        <v>122</v>
      </c>
      <c r="CNM108" s="1" t="s">
        <v>122</v>
      </c>
      <c r="CNN108" s="1" t="s">
        <v>122</v>
      </c>
      <c r="CNO108" s="1" t="s">
        <v>122</v>
      </c>
      <c r="CNP108" s="1" t="s">
        <v>122</v>
      </c>
      <c r="CNQ108" s="1" t="s">
        <v>122</v>
      </c>
      <c r="CNR108" s="1" t="s">
        <v>122</v>
      </c>
      <c r="CNS108" s="1" t="s">
        <v>122</v>
      </c>
      <c r="CNT108" s="1" t="s">
        <v>122</v>
      </c>
      <c r="CNU108" s="1" t="s">
        <v>122</v>
      </c>
      <c r="CNV108" s="1" t="s">
        <v>122</v>
      </c>
      <c r="CNW108" s="1" t="s">
        <v>122</v>
      </c>
      <c r="CNX108" s="1" t="s">
        <v>122</v>
      </c>
      <c r="CNY108" s="1" t="s">
        <v>122</v>
      </c>
      <c r="CNZ108" s="1" t="s">
        <v>122</v>
      </c>
      <c r="COA108" s="1" t="s">
        <v>122</v>
      </c>
      <c r="COB108" s="1" t="s">
        <v>122</v>
      </c>
      <c r="COC108" s="1" t="s">
        <v>122</v>
      </c>
      <c r="COD108" s="1" t="s">
        <v>122</v>
      </c>
      <c r="COE108" s="1" t="s">
        <v>122</v>
      </c>
      <c r="COF108" s="1" t="s">
        <v>122</v>
      </c>
      <c r="COG108" s="1" t="s">
        <v>122</v>
      </c>
      <c r="COH108" s="1" t="s">
        <v>122</v>
      </c>
      <c r="COI108" s="1" t="s">
        <v>122</v>
      </c>
      <c r="COJ108" s="1" t="s">
        <v>122</v>
      </c>
      <c r="COK108" s="1" t="s">
        <v>122</v>
      </c>
      <c r="COL108" s="1" t="s">
        <v>122</v>
      </c>
      <c r="COM108" s="1" t="s">
        <v>122</v>
      </c>
      <c r="CON108" s="1" t="s">
        <v>122</v>
      </c>
      <c r="COO108" s="1" t="s">
        <v>122</v>
      </c>
      <c r="COP108" s="1" t="s">
        <v>122</v>
      </c>
      <c r="COQ108" s="1" t="s">
        <v>122</v>
      </c>
      <c r="COR108" s="1" t="s">
        <v>122</v>
      </c>
      <c r="COS108" s="1" t="s">
        <v>122</v>
      </c>
      <c r="COT108" s="1" t="s">
        <v>122</v>
      </c>
      <c r="COU108" s="1" t="s">
        <v>122</v>
      </c>
      <c r="COV108" s="1" t="s">
        <v>122</v>
      </c>
      <c r="COW108" s="1" t="s">
        <v>122</v>
      </c>
      <c r="COX108" s="1" t="s">
        <v>122</v>
      </c>
      <c r="COY108" s="1" t="s">
        <v>122</v>
      </c>
      <c r="COZ108" s="1" t="s">
        <v>122</v>
      </c>
      <c r="CPA108" s="1" t="s">
        <v>122</v>
      </c>
      <c r="CPB108" s="1" t="s">
        <v>122</v>
      </c>
      <c r="CPC108" s="1" t="s">
        <v>122</v>
      </c>
      <c r="CPD108" s="1" t="s">
        <v>122</v>
      </c>
      <c r="CPE108" s="1" t="s">
        <v>122</v>
      </c>
      <c r="CPF108" s="1" t="s">
        <v>122</v>
      </c>
      <c r="CPG108" s="1" t="s">
        <v>122</v>
      </c>
      <c r="CPH108" s="1" t="s">
        <v>122</v>
      </c>
      <c r="CPI108" s="1" t="s">
        <v>122</v>
      </c>
      <c r="CPJ108" s="1" t="s">
        <v>122</v>
      </c>
      <c r="CPK108" s="1" t="s">
        <v>122</v>
      </c>
      <c r="CPL108" s="1" t="s">
        <v>122</v>
      </c>
      <c r="CPM108" s="1" t="s">
        <v>122</v>
      </c>
      <c r="CPN108" s="1" t="s">
        <v>122</v>
      </c>
      <c r="CPO108" s="1" t="s">
        <v>122</v>
      </c>
      <c r="CPP108" s="1" t="s">
        <v>122</v>
      </c>
      <c r="CPQ108" s="1" t="s">
        <v>122</v>
      </c>
      <c r="CPR108" s="1" t="s">
        <v>122</v>
      </c>
      <c r="CPS108" s="1" t="s">
        <v>122</v>
      </c>
      <c r="CPT108" s="1" t="s">
        <v>122</v>
      </c>
      <c r="CPU108" s="1" t="s">
        <v>122</v>
      </c>
      <c r="CPV108" s="1" t="s">
        <v>122</v>
      </c>
      <c r="CPW108" s="1" t="s">
        <v>122</v>
      </c>
      <c r="CPX108" s="1" t="s">
        <v>122</v>
      </c>
      <c r="CPY108" s="1" t="s">
        <v>122</v>
      </c>
      <c r="CPZ108" s="1" t="s">
        <v>122</v>
      </c>
      <c r="CQA108" s="1" t="s">
        <v>122</v>
      </c>
      <c r="CQB108" s="1" t="s">
        <v>122</v>
      </c>
      <c r="CQC108" s="1" t="s">
        <v>122</v>
      </c>
      <c r="CQD108" s="1" t="s">
        <v>122</v>
      </c>
      <c r="CQE108" s="1" t="s">
        <v>122</v>
      </c>
      <c r="CQF108" s="1" t="s">
        <v>122</v>
      </c>
      <c r="CQG108" s="1" t="s">
        <v>122</v>
      </c>
      <c r="CQH108" s="1" t="s">
        <v>122</v>
      </c>
      <c r="CQI108" s="1" t="s">
        <v>122</v>
      </c>
      <c r="CQJ108" s="1" t="s">
        <v>122</v>
      </c>
      <c r="CQK108" s="1" t="s">
        <v>122</v>
      </c>
      <c r="CQL108" s="1" t="s">
        <v>122</v>
      </c>
      <c r="CQM108" s="1" t="s">
        <v>122</v>
      </c>
      <c r="CQN108" s="1" t="s">
        <v>122</v>
      </c>
      <c r="CQO108" s="1" t="s">
        <v>122</v>
      </c>
      <c r="CQP108" s="1" t="s">
        <v>122</v>
      </c>
      <c r="CQQ108" s="1" t="s">
        <v>122</v>
      </c>
      <c r="CQR108" s="1" t="s">
        <v>122</v>
      </c>
      <c r="CQS108" s="1" t="s">
        <v>122</v>
      </c>
      <c r="CQT108" s="1" t="s">
        <v>122</v>
      </c>
      <c r="CQU108" s="1" t="s">
        <v>122</v>
      </c>
      <c r="CQV108" s="1" t="s">
        <v>122</v>
      </c>
      <c r="CQW108" s="1" t="s">
        <v>122</v>
      </c>
      <c r="CQX108" s="1" t="s">
        <v>122</v>
      </c>
      <c r="CQY108" s="1" t="s">
        <v>122</v>
      </c>
      <c r="CQZ108" s="1" t="s">
        <v>122</v>
      </c>
      <c r="CRA108" s="1" t="s">
        <v>122</v>
      </c>
      <c r="CRB108" s="1" t="s">
        <v>122</v>
      </c>
      <c r="CRC108" s="1" t="s">
        <v>122</v>
      </c>
      <c r="CRD108" s="1" t="s">
        <v>122</v>
      </c>
      <c r="CRE108" s="1" t="s">
        <v>122</v>
      </c>
      <c r="CRF108" s="1" t="s">
        <v>122</v>
      </c>
      <c r="CRG108" s="1" t="s">
        <v>122</v>
      </c>
      <c r="CRH108" s="1" t="s">
        <v>122</v>
      </c>
      <c r="CRI108" s="1" t="s">
        <v>122</v>
      </c>
      <c r="CRJ108" s="1" t="s">
        <v>122</v>
      </c>
      <c r="CRK108" s="1" t="s">
        <v>122</v>
      </c>
      <c r="CRL108" s="1" t="s">
        <v>122</v>
      </c>
      <c r="CRM108" s="1" t="s">
        <v>122</v>
      </c>
      <c r="CRN108" s="1" t="s">
        <v>122</v>
      </c>
      <c r="CRO108" s="1" t="s">
        <v>122</v>
      </c>
      <c r="CRP108" s="1" t="s">
        <v>122</v>
      </c>
      <c r="CRQ108" s="1" t="s">
        <v>122</v>
      </c>
      <c r="CRR108" s="1" t="s">
        <v>122</v>
      </c>
      <c r="CRS108" s="1" t="s">
        <v>122</v>
      </c>
      <c r="CRT108" s="1" t="s">
        <v>122</v>
      </c>
      <c r="CRU108" s="1" t="s">
        <v>122</v>
      </c>
      <c r="CRV108" s="1" t="s">
        <v>122</v>
      </c>
      <c r="CRW108" s="1" t="s">
        <v>122</v>
      </c>
      <c r="CRX108" s="1" t="s">
        <v>122</v>
      </c>
      <c r="CRY108" s="1" t="s">
        <v>122</v>
      </c>
      <c r="CRZ108" s="1" t="s">
        <v>122</v>
      </c>
      <c r="CSA108" s="1" t="s">
        <v>122</v>
      </c>
      <c r="CSB108" s="1" t="s">
        <v>122</v>
      </c>
      <c r="CSC108" s="1" t="s">
        <v>122</v>
      </c>
      <c r="CSD108" s="1" t="s">
        <v>122</v>
      </c>
      <c r="CSE108" s="1" t="s">
        <v>122</v>
      </c>
      <c r="CSF108" s="1" t="s">
        <v>122</v>
      </c>
      <c r="CSG108" s="1" t="s">
        <v>122</v>
      </c>
      <c r="CSH108" s="1" t="s">
        <v>122</v>
      </c>
      <c r="CSI108" s="1" t="s">
        <v>122</v>
      </c>
      <c r="CSJ108" s="1" t="s">
        <v>122</v>
      </c>
      <c r="CSK108" s="1" t="s">
        <v>122</v>
      </c>
      <c r="CSL108" s="1" t="s">
        <v>122</v>
      </c>
      <c r="CSM108" s="1" t="s">
        <v>122</v>
      </c>
      <c r="CSN108" s="1" t="s">
        <v>122</v>
      </c>
      <c r="CSO108" s="1" t="s">
        <v>122</v>
      </c>
      <c r="CSP108" s="1" t="s">
        <v>122</v>
      </c>
      <c r="CSQ108" s="1" t="s">
        <v>122</v>
      </c>
      <c r="CSR108" s="1" t="s">
        <v>122</v>
      </c>
      <c r="CSS108" s="1" t="s">
        <v>122</v>
      </c>
      <c r="CST108" s="1" t="s">
        <v>122</v>
      </c>
      <c r="CSU108" s="1" t="s">
        <v>122</v>
      </c>
      <c r="CSV108" s="1" t="s">
        <v>122</v>
      </c>
      <c r="CSW108" s="1" t="s">
        <v>122</v>
      </c>
      <c r="CSX108" s="1" t="s">
        <v>122</v>
      </c>
      <c r="CSY108" s="1" t="s">
        <v>122</v>
      </c>
      <c r="CSZ108" s="1" t="s">
        <v>122</v>
      </c>
      <c r="CTA108" s="1" t="s">
        <v>122</v>
      </c>
      <c r="CTB108" s="1" t="s">
        <v>122</v>
      </c>
      <c r="CTC108" s="1" t="s">
        <v>122</v>
      </c>
      <c r="CTD108" s="1" t="s">
        <v>122</v>
      </c>
      <c r="CTE108" s="1" t="s">
        <v>122</v>
      </c>
      <c r="CTF108" s="1" t="s">
        <v>122</v>
      </c>
      <c r="CTG108" s="1" t="s">
        <v>122</v>
      </c>
      <c r="CTH108" s="1" t="s">
        <v>122</v>
      </c>
      <c r="CTI108" s="1" t="s">
        <v>122</v>
      </c>
      <c r="CTJ108" s="1" t="s">
        <v>122</v>
      </c>
      <c r="CTK108" s="1" t="s">
        <v>122</v>
      </c>
      <c r="CTL108" s="1" t="s">
        <v>122</v>
      </c>
      <c r="CTM108" s="1" t="s">
        <v>122</v>
      </c>
      <c r="CTN108" s="1" t="s">
        <v>122</v>
      </c>
      <c r="CTO108" s="1" t="s">
        <v>122</v>
      </c>
      <c r="CTP108" s="1" t="s">
        <v>122</v>
      </c>
      <c r="CTQ108" s="1" t="s">
        <v>122</v>
      </c>
      <c r="CTR108" s="1" t="s">
        <v>122</v>
      </c>
      <c r="CTS108" s="1" t="s">
        <v>122</v>
      </c>
      <c r="CTT108" s="1" t="s">
        <v>122</v>
      </c>
      <c r="CTU108" s="1" t="s">
        <v>122</v>
      </c>
      <c r="CTV108" s="1" t="s">
        <v>122</v>
      </c>
      <c r="CTW108" s="1" t="s">
        <v>122</v>
      </c>
      <c r="CTX108" s="1" t="s">
        <v>122</v>
      </c>
      <c r="CTY108" s="1" t="s">
        <v>122</v>
      </c>
      <c r="CTZ108" s="1" t="s">
        <v>122</v>
      </c>
      <c r="CUA108" s="1" t="s">
        <v>122</v>
      </c>
      <c r="CUB108" s="1" t="s">
        <v>122</v>
      </c>
      <c r="CUC108" s="1" t="s">
        <v>122</v>
      </c>
      <c r="CUD108" s="1" t="s">
        <v>122</v>
      </c>
      <c r="CUE108" s="1" t="s">
        <v>122</v>
      </c>
      <c r="CUF108" s="1" t="s">
        <v>122</v>
      </c>
      <c r="CUG108" s="1" t="s">
        <v>122</v>
      </c>
      <c r="CUH108" s="1" t="s">
        <v>122</v>
      </c>
      <c r="CUI108" s="1" t="s">
        <v>122</v>
      </c>
      <c r="CUJ108" s="1" t="s">
        <v>122</v>
      </c>
      <c r="CUK108" s="1" t="s">
        <v>122</v>
      </c>
      <c r="CUL108" s="1" t="s">
        <v>122</v>
      </c>
      <c r="CUM108" s="1" t="s">
        <v>122</v>
      </c>
      <c r="CUN108" s="1" t="s">
        <v>122</v>
      </c>
      <c r="CUO108" s="1" t="s">
        <v>122</v>
      </c>
      <c r="CUP108" s="1" t="s">
        <v>122</v>
      </c>
      <c r="CUQ108" s="1" t="s">
        <v>122</v>
      </c>
      <c r="CUR108" s="1" t="s">
        <v>122</v>
      </c>
      <c r="CUS108" s="1" t="s">
        <v>122</v>
      </c>
      <c r="CUT108" s="1" t="s">
        <v>122</v>
      </c>
      <c r="CUU108" s="1" t="s">
        <v>122</v>
      </c>
      <c r="CUV108" s="1" t="s">
        <v>122</v>
      </c>
      <c r="CUW108" s="1" t="s">
        <v>122</v>
      </c>
      <c r="CUX108" s="1" t="s">
        <v>122</v>
      </c>
      <c r="CUY108" s="1" t="s">
        <v>122</v>
      </c>
      <c r="CUZ108" s="1" t="s">
        <v>122</v>
      </c>
      <c r="CVA108" s="1" t="s">
        <v>122</v>
      </c>
      <c r="CVB108" s="1" t="s">
        <v>122</v>
      </c>
      <c r="CVC108" s="1" t="s">
        <v>122</v>
      </c>
      <c r="CVD108" s="1" t="s">
        <v>122</v>
      </c>
      <c r="CVE108" s="1" t="s">
        <v>122</v>
      </c>
      <c r="CVF108" s="1" t="s">
        <v>122</v>
      </c>
      <c r="CVG108" s="1" t="s">
        <v>122</v>
      </c>
      <c r="CVH108" s="1" t="s">
        <v>122</v>
      </c>
      <c r="CVI108" s="1" t="s">
        <v>122</v>
      </c>
      <c r="CVJ108" s="1" t="s">
        <v>122</v>
      </c>
      <c r="CVK108" s="1" t="s">
        <v>122</v>
      </c>
      <c r="CVL108" s="1" t="s">
        <v>122</v>
      </c>
      <c r="CVM108" s="1" t="s">
        <v>122</v>
      </c>
      <c r="CVN108" s="1" t="s">
        <v>122</v>
      </c>
      <c r="CVO108" s="1" t="s">
        <v>122</v>
      </c>
      <c r="CVP108" s="1" t="s">
        <v>122</v>
      </c>
      <c r="CVQ108" s="1" t="s">
        <v>122</v>
      </c>
      <c r="CVR108" s="1" t="s">
        <v>122</v>
      </c>
      <c r="CVS108" s="1" t="s">
        <v>122</v>
      </c>
      <c r="CVT108" s="1" t="s">
        <v>122</v>
      </c>
      <c r="CVU108" s="1" t="s">
        <v>122</v>
      </c>
      <c r="CVV108" s="1" t="s">
        <v>122</v>
      </c>
      <c r="CVW108" s="1" t="s">
        <v>122</v>
      </c>
      <c r="CVX108" s="1" t="s">
        <v>122</v>
      </c>
      <c r="CVY108" s="1" t="s">
        <v>122</v>
      </c>
      <c r="CVZ108" s="1" t="s">
        <v>122</v>
      </c>
      <c r="CWA108" s="1" t="s">
        <v>122</v>
      </c>
      <c r="CWB108" s="1" t="s">
        <v>122</v>
      </c>
      <c r="CWC108" s="1" t="s">
        <v>122</v>
      </c>
      <c r="CWD108" s="1" t="s">
        <v>122</v>
      </c>
      <c r="CWE108" s="1" t="s">
        <v>122</v>
      </c>
      <c r="CWF108" s="1" t="s">
        <v>122</v>
      </c>
      <c r="CWG108" s="1" t="s">
        <v>122</v>
      </c>
      <c r="CWH108" s="1" t="s">
        <v>122</v>
      </c>
      <c r="CWI108" s="1" t="s">
        <v>122</v>
      </c>
      <c r="CWJ108" s="1" t="s">
        <v>122</v>
      </c>
      <c r="CWK108" s="1" t="s">
        <v>122</v>
      </c>
      <c r="CWL108" s="1" t="s">
        <v>122</v>
      </c>
      <c r="CWM108" s="1" t="s">
        <v>122</v>
      </c>
      <c r="CWN108" s="1" t="s">
        <v>122</v>
      </c>
      <c r="CWO108" s="1" t="s">
        <v>122</v>
      </c>
      <c r="CWP108" s="1" t="s">
        <v>122</v>
      </c>
      <c r="CWQ108" s="1" t="s">
        <v>122</v>
      </c>
      <c r="CWR108" s="1" t="s">
        <v>122</v>
      </c>
      <c r="CWS108" s="1" t="s">
        <v>122</v>
      </c>
      <c r="CWT108" s="1" t="s">
        <v>122</v>
      </c>
      <c r="CWU108" s="1" t="s">
        <v>122</v>
      </c>
      <c r="CWV108" s="1" t="s">
        <v>122</v>
      </c>
      <c r="CWW108" s="1" t="s">
        <v>122</v>
      </c>
      <c r="CWX108" s="1" t="s">
        <v>122</v>
      </c>
      <c r="CWY108" s="1" t="s">
        <v>122</v>
      </c>
      <c r="CWZ108" s="1" t="s">
        <v>122</v>
      </c>
      <c r="CXA108" s="1" t="s">
        <v>122</v>
      </c>
      <c r="CXB108" s="1" t="s">
        <v>122</v>
      </c>
      <c r="CXC108" s="1" t="s">
        <v>122</v>
      </c>
      <c r="CXD108" s="1" t="s">
        <v>122</v>
      </c>
      <c r="CXE108" s="1" t="s">
        <v>122</v>
      </c>
      <c r="CXF108" s="1" t="s">
        <v>122</v>
      </c>
      <c r="CXG108" s="1" t="s">
        <v>122</v>
      </c>
      <c r="CXH108" s="1" t="s">
        <v>122</v>
      </c>
      <c r="CXI108" s="1" t="s">
        <v>122</v>
      </c>
      <c r="CXJ108" s="1" t="s">
        <v>122</v>
      </c>
      <c r="CXK108" s="1" t="s">
        <v>122</v>
      </c>
      <c r="CXL108" s="1" t="s">
        <v>122</v>
      </c>
      <c r="CXM108" s="1" t="s">
        <v>122</v>
      </c>
      <c r="CXN108" s="1" t="s">
        <v>122</v>
      </c>
      <c r="CXO108" s="1" t="s">
        <v>122</v>
      </c>
      <c r="CXP108" s="1" t="s">
        <v>122</v>
      </c>
      <c r="CXQ108" s="1" t="s">
        <v>122</v>
      </c>
      <c r="CXR108" s="1" t="s">
        <v>122</v>
      </c>
      <c r="CXS108" s="1" t="s">
        <v>122</v>
      </c>
      <c r="CXT108" s="1" t="s">
        <v>122</v>
      </c>
      <c r="CXU108" s="1" t="s">
        <v>122</v>
      </c>
      <c r="CXV108" s="1" t="s">
        <v>122</v>
      </c>
      <c r="CXW108" s="1" t="s">
        <v>122</v>
      </c>
      <c r="CXX108" s="1" t="s">
        <v>122</v>
      </c>
      <c r="CXY108" s="1" t="s">
        <v>122</v>
      </c>
      <c r="CXZ108" s="1" t="s">
        <v>122</v>
      </c>
      <c r="CYA108" s="1" t="s">
        <v>122</v>
      </c>
      <c r="CYB108" s="1" t="s">
        <v>122</v>
      </c>
      <c r="CYC108" s="1" t="s">
        <v>122</v>
      </c>
      <c r="CYD108" s="1" t="s">
        <v>122</v>
      </c>
      <c r="CYE108" s="1" t="s">
        <v>122</v>
      </c>
      <c r="CYF108" s="1" t="s">
        <v>122</v>
      </c>
      <c r="CYG108" s="1" t="s">
        <v>122</v>
      </c>
      <c r="CYH108" s="1" t="s">
        <v>122</v>
      </c>
      <c r="CYI108" s="1" t="s">
        <v>122</v>
      </c>
      <c r="CYJ108" s="1" t="s">
        <v>122</v>
      </c>
      <c r="CYK108" s="1" t="s">
        <v>122</v>
      </c>
      <c r="CYL108" s="1" t="s">
        <v>122</v>
      </c>
      <c r="CYM108" s="1" t="s">
        <v>122</v>
      </c>
      <c r="CYN108" s="1" t="s">
        <v>122</v>
      </c>
      <c r="CYO108" s="1" t="s">
        <v>122</v>
      </c>
      <c r="CYP108" s="1" t="s">
        <v>122</v>
      </c>
      <c r="CYQ108" s="1" t="s">
        <v>122</v>
      </c>
      <c r="CYR108" s="1" t="s">
        <v>122</v>
      </c>
      <c r="CYS108" s="1" t="s">
        <v>122</v>
      </c>
      <c r="CYT108" s="1" t="s">
        <v>122</v>
      </c>
      <c r="CYU108" s="1" t="s">
        <v>122</v>
      </c>
      <c r="CYV108" s="1" t="s">
        <v>122</v>
      </c>
      <c r="CYW108" s="1" t="s">
        <v>122</v>
      </c>
      <c r="CYX108" s="1" t="s">
        <v>122</v>
      </c>
      <c r="CYY108" s="1" t="s">
        <v>122</v>
      </c>
      <c r="CYZ108" s="1" t="s">
        <v>122</v>
      </c>
      <c r="CZA108" s="1" t="s">
        <v>122</v>
      </c>
      <c r="CZB108" s="1" t="s">
        <v>122</v>
      </c>
      <c r="CZC108" s="1" t="s">
        <v>122</v>
      </c>
      <c r="CZD108" s="1" t="s">
        <v>122</v>
      </c>
      <c r="CZE108" s="1" t="s">
        <v>122</v>
      </c>
      <c r="CZF108" s="1" t="s">
        <v>122</v>
      </c>
      <c r="CZG108" s="1" t="s">
        <v>122</v>
      </c>
      <c r="CZH108" s="1" t="s">
        <v>122</v>
      </c>
      <c r="CZI108" s="1" t="s">
        <v>122</v>
      </c>
      <c r="CZJ108" s="1" t="s">
        <v>122</v>
      </c>
      <c r="CZK108" s="1" t="s">
        <v>122</v>
      </c>
      <c r="CZL108" s="1" t="s">
        <v>122</v>
      </c>
      <c r="CZM108" s="1" t="s">
        <v>122</v>
      </c>
      <c r="CZN108" s="1" t="s">
        <v>122</v>
      </c>
      <c r="CZO108" s="1" t="s">
        <v>122</v>
      </c>
      <c r="CZP108" s="1" t="s">
        <v>122</v>
      </c>
      <c r="CZQ108" s="1" t="s">
        <v>122</v>
      </c>
      <c r="CZR108" s="1" t="s">
        <v>122</v>
      </c>
      <c r="CZS108" s="1" t="s">
        <v>122</v>
      </c>
      <c r="CZT108" s="1" t="s">
        <v>122</v>
      </c>
      <c r="CZU108" s="1" t="s">
        <v>122</v>
      </c>
      <c r="CZV108" s="1" t="s">
        <v>122</v>
      </c>
      <c r="CZW108" s="1" t="s">
        <v>122</v>
      </c>
      <c r="CZX108" s="1" t="s">
        <v>122</v>
      </c>
      <c r="CZY108" s="1" t="s">
        <v>122</v>
      </c>
      <c r="CZZ108" s="1" t="s">
        <v>122</v>
      </c>
      <c r="DAA108" s="1" t="s">
        <v>122</v>
      </c>
      <c r="DAB108" s="1" t="s">
        <v>122</v>
      </c>
      <c r="DAC108" s="1" t="s">
        <v>122</v>
      </c>
      <c r="DAD108" s="1" t="s">
        <v>122</v>
      </c>
      <c r="DAE108" s="1" t="s">
        <v>122</v>
      </c>
      <c r="DAF108" s="1" t="s">
        <v>122</v>
      </c>
      <c r="DAG108" s="1" t="s">
        <v>122</v>
      </c>
      <c r="DAH108" s="1" t="s">
        <v>122</v>
      </c>
      <c r="DAI108" s="1" t="s">
        <v>122</v>
      </c>
      <c r="DAJ108" s="1" t="s">
        <v>122</v>
      </c>
      <c r="DAK108" s="1" t="s">
        <v>122</v>
      </c>
      <c r="DAL108" s="1" t="s">
        <v>122</v>
      </c>
      <c r="DAM108" s="1" t="s">
        <v>122</v>
      </c>
      <c r="DAN108" s="1" t="s">
        <v>122</v>
      </c>
      <c r="DAO108" s="1" t="s">
        <v>122</v>
      </c>
      <c r="DAP108" s="1" t="s">
        <v>122</v>
      </c>
      <c r="DAQ108" s="1" t="s">
        <v>122</v>
      </c>
      <c r="DAR108" s="1" t="s">
        <v>122</v>
      </c>
      <c r="DAS108" s="1" t="s">
        <v>122</v>
      </c>
      <c r="DAT108" s="1" t="s">
        <v>122</v>
      </c>
      <c r="DAU108" s="1" t="s">
        <v>122</v>
      </c>
      <c r="DAV108" s="1" t="s">
        <v>122</v>
      </c>
      <c r="DAW108" s="1" t="s">
        <v>122</v>
      </c>
      <c r="DAX108" s="1" t="s">
        <v>122</v>
      </c>
      <c r="DAY108" s="1" t="s">
        <v>122</v>
      </c>
      <c r="DAZ108" s="1" t="s">
        <v>122</v>
      </c>
      <c r="DBA108" s="1" t="s">
        <v>122</v>
      </c>
      <c r="DBB108" s="1" t="s">
        <v>122</v>
      </c>
      <c r="DBC108" s="1" t="s">
        <v>122</v>
      </c>
      <c r="DBD108" s="1" t="s">
        <v>122</v>
      </c>
      <c r="DBE108" s="1" t="s">
        <v>122</v>
      </c>
      <c r="DBF108" s="1" t="s">
        <v>122</v>
      </c>
      <c r="DBG108" s="1" t="s">
        <v>122</v>
      </c>
      <c r="DBH108" s="1" t="s">
        <v>122</v>
      </c>
      <c r="DBI108" s="1" t="s">
        <v>122</v>
      </c>
      <c r="DBJ108" s="1" t="s">
        <v>122</v>
      </c>
      <c r="DBK108" s="1" t="s">
        <v>122</v>
      </c>
      <c r="DBL108" s="1" t="s">
        <v>122</v>
      </c>
      <c r="DBM108" s="1" t="s">
        <v>122</v>
      </c>
      <c r="DBN108" s="1" t="s">
        <v>122</v>
      </c>
      <c r="DBO108" s="1" t="s">
        <v>122</v>
      </c>
      <c r="DBP108" s="1" t="s">
        <v>122</v>
      </c>
      <c r="DBQ108" s="1" t="s">
        <v>122</v>
      </c>
      <c r="DBR108" s="1" t="s">
        <v>122</v>
      </c>
      <c r="DBS108" s="1" t="s">
        <v>122</v>
      </c>
      <c r="DBT108" s="1" t="s">
        <v>122</v>
      </c>
      <c r="DBU108" s="1" t="s">
        <v>122</v>
      </c>
      <c r="DBV108" s="1" t="s">
        <v>122</v>
      </c>
      <c r="DBW108" s="1" t="s">
        <v>122</v>
      </c>
      <c r="DBX108" s="1" t="s">
        <v>122</v>
      </c>
      <c r="DBY108" s="1" t="s">
        <v>122</v>
      </c>
      <c r="DBZ108" s="1" t="s">
        <v>122</v>
      </c>
      <c r="DCA108" s="1" t="s">
        <v>122</v>
      </c>
      <c r="DCB108" s="1" t="s">
        <v>122</v>
      </c>
      <c r="DCC108" s="1" t="s">
        <v>122</v>
      </c>
      <c r="DCD108" s="1" t="s">
        <v>122</v>
      </c>
      <c r="DCE108" s="1" t="s">
        <v>122</v>
      </c>
      <c r="DCF108" s="1" t="s">
        <v>122</v>
      </c>
      <c r="DCG108" s="1" t="s">
        <v>122</v>
      </c>
      <c r="DCH108" s="1" t="s">
        <v>122</v>
      </c>
      <c r="DCI108" s="1" t="s">
        <v>122</v>
      </c>
      <c r="DCJ108" s="1" t="s">
        <v>122</v>
      </c>
      <c r="DCK108" s="1" t="s">
        <v>122</v>
      </c>
      <c r="DCL108" s="1" t="s">
        <v>122</v>
      </c>
      <c r="DCM108" s="1" t="s">
        <v>122</v>
      </c>
      <c r="DCN108" s="1" t="s">
        <v>122</v>
      </c>
      <c r="DCO108" s="1" t="s">
        <v>122</v>
      </c>
      <c r="DCP108" s="1" t="s">
        <v>122</v>
      </c>
      <c r="DCQ108" s="1" t="s">
        <v>122</v>
      </c>
      <c r="DCR108" s="1" t="s">
        <v>122</v>
      </c>
      <c r="DCS108" s="1" t="s">
        <v>122</v>
      </c>
      <c r="DCT108" s="1" t="s">
        <v>122</v>
      </c>
      <c r="DCU108" s="1" t="s">
        <v>122</v>
      </c>
      <c r="DCV108" s="1" t="s">
        <v>122</v>
      </c>
      <c r="DCW108" s="1" t="s">
        <v>122</v>
      </c>
      <c r="DCX108" s="1" t="s">
        <v>122</v>
      </c>
      <c r="DCY108" s="1" t="s">
        <v>122</v>
      </c>
      <c r="DCZ108" s="1" t="s">
        <v>122</v>
      </c>
      <c r="DDA108" s="1" t="s">
        <v>122</v>
      </c>
      <c r="DDB108" s="1" t="s">
        <v>122</v>
      </c>
      <c r="DDC108" s="1" t="s">
        <v>122</v>
      </c>
      <c r="DDD108" s="1" t="s">
        <v>122</v>
      </c>
      <c r="DDE108" s="1" t="s">
        <v>122</v>
      </c>
      <c r="DDF108" s="1" t="s">
        <v>122</v>
      </c>
      <c r="DDG108" s="1" t="s">
        <v>122</v>
      </c>
      <c r="DDH108" s="1" t="s">
        <v>122</v>
      </c>
      <c r="DDI108" s="1" t="s">
        <v>122</v>
      </c>
      <c r="DDJ108" s="1" t="s">
        <v>122</v>
      </c>
      <c r="DDK108" s="1" t="s">
        <v>122</v>
      </c>
      <c r="DDL108" s="1" t="s">
        <v>122</v>
      </c>
      <c r="DDM108" s="1" t="s">
        <v>122</v>
      </c>
      <c r="DDN108" s="1" t="s">
        <v>122</v>
      </c>
      <c r="DDO108" s="1" t="s">
        <v>122</v>
      </c>
      <c r="DDP108" s="1" t="s">
        <v>122</v>
      </c>
      <c r="DDQ108" s="1" t="s">
        <v>122</v>
      </c>
      <c r="DDR108" s="1" t="s">
        <v>122</v>
      </c>
      <c r="DDS108" s="1" t="s">
        <v>122</v>
      </c>
      <c r="DDT108" s="1" t="s">
        <v>122</v>
      </c>
      <c r="DDU108" s="1" t="s">
        <v>122</v>
      </c>
      <c r="DDV108" s="1" t="s">
        <v>122</v>
      </c>
      <c r="DDW108" s="1" t="s">
        <v>122</v>
      </c>
      <c r="DDX108" s="1" t="s">
        <v>122</v>
      </c>
      <c r="DDY108" s="1" t="s">
        <v>122</v>
      </c>
      <c r="DDZ108" s="1" t="s">
        <v>122</v>
      </c>
      <c r="DEA108" s="1" t="s">
        <v>122</v>
      </c>
      <c r="DEB108" s="1" t="s">
        <v>122</v>
      </c>
      <c r="DEC108" s="1" t="s">
        <v>122</v>
      </c>
      <c r="DED108" s="1" t="s">
        <v>122</v>
      </c>
      <c r="DEE108" s="1" t="s">
        <v>122</v>
      </c>
      <c r="DEF108" s="1" t="s">
        <v>122</v>
      </c>
      <c r="DEG108" s="1" t="s">
        <v>122</v>
      </c>
      <c r="DEH108" s="1" t="s">
        <v>122</v>
      </c>
      <c r="DEI108" s="1" t="s">
        <v>122</v>
      </c>
      <c r="DEJ108" s="1" t="s">
        <v>122</v>
      </c>
      <c r="DEK108" s="1" t="s">
        <v>122</v>
      </c>
      <c r="DEL108" s="1" t="s">
        <v>122</v>
      </c>
      <c r="DEM108" s="1" t="s">
        <v>122</v>
      </c>
      <c r="DEN108" s="1" t="s">
        <v>122</v>
      </c>
      <c r="DEO108" s="1" t="s">
        <v>122</v>
      </c>
      <c r="DEP108" s="1" t="s">
        <v>122</v>
      </c>
      <c r="DEQ108" s="1" t="s">
        <v>122</v>
      </c>
      <c r="DER108" s="1" t="s">
        <v>122</v>
      </c>
      <c r="DES108" s="1" t="s">
        <v>122</v>
      </c>
      <c r="DET108" s="1" t="s">
        <v>122</v>
      </c>
      <c r="DEU108" s="1" t="s">
        <v>122</v>
      </c>
      <c r="DEV108" s="1" t="s">
        <v>122</v>
      </c>
      <c r="DEW108" s="1" t="s">
        <v>122</v>
      </c>
      <c r="DEX108" s="1" t="s">
        <v>122</v>
      </c>
      <c r="DEY108" s="1" t="s">
        <v>122</v>
      </c>
      <c r="DEZ108" s="1" t="s">
        <v>122</v>
      </c>
      <c r="DFA108" s="1" t="s">
        <v>122</v>
      </c>
      <c r="DFB108" s="1" t="s">
        <v>122</v>
      </c>
      <c r="DFC108" s="1" t="s">
        <v>122</v>
      </c>
      <c r="DFD108" s="1" t="s">
        <v>122</v>
      </c>
      <c r="DFE108" s="1" t="s">
        <v>122</v>
      </c>
      <c r="DFF108" s="1" t="s">
        <v>122</v>
      </c>
      <c r="DFG108" s="1" t="s">
        <v>122</v>
      </c>
      <c r="DFH108" s="1" t="s">
        <v>122</v>
      </c>
      <c r="DFI108" s="1" t="s">
        <v>122</v>
      </c>
      <c r="DFJ108" s="1" t="s">
        <v>122</v>
      </c>
      <c r="DFK108" s="1" t="s">
        <v>122</v>
      </c>
      <c r="DFL108" s="1" t="s">
        <v>122</v>
      </c>
      <c r="DFM108" s="1" t="s">
        <v>122</v>
      </c>
      <c r="DFN108" s="1" t="s">
        <v>122</v>
      </c>
      <c r="DFO108" s="1" t="s">
        <v>122</v>
      </c>
      <c r="DFP108" s="1" t="s">
        <v>122</v>
      </c>
      <c r="DFQ108" s="1" t="s">
        <v>122</v>
      </c>
      <c r="DFR108" s="1" t="s">
        <v>122</v>
      </c>
      <c r="DFS108" s="1" t="s">
        <v>122</v>
      </c>
      <c r="DFT108" s="1" t="s">
        <v>122</v>
      </c>
      <c r="DFU108" s="1" t="s">
        <v>122</v>
      </c>
      <c r="DFV108" s="1" t="s">
        <v>122</v>
      </c>
      <c r="DFW108" s="1" t="s">
        <v>122</v>
      </c>
      <c r="DFX108" s="1" t="s">
        <v>122</v>
      </c>
      <c r="DFY108" s="1" t="s">
        <v>122</v>
      </c>
      <c r="DFZ108" s="1" t="s">
        <v>122</v>
      </c>
      <c r="DGA108" s="1" t="s">
        <v>122</v>
      </c>
      <c r="DGB108" s="1" t="s">
        <v>122</v>
      </c>
      <c r="DGC108" s="1" t="s">
        <v>122</v>
      </c>
      <c r="DGD108" s="1" t="s">
        <v>122</v>
      </c>
      <c r="DGE108" s="1" t="s">
        <v>122</v>
      </c>
      <c r="DGF108" s="1" t="s">
        <v>122</v>
      </c>
      <c r="DGG108" s="1" t="s">
        <v>122</v>
      </c>
      <c r="DGH108" s="1" t="s">
        <v>122</v>
      </c>
      <c r="DGI108" s="1" t="s">
        <v>122</v>
      </c>
      <c r="DGJ108" s="1" t="s">
        <v>122</v>
      </c>
      <c r="DGK108" s="1" t="s">
        <v>122</v>
      </c>
      <c r="DGL108" s="1" t="s">
        <v>122</v>
      </c>
      <c r="DGM108" s="1" t="s">
        <v>122</v>
      </c>
      <c r="DGN108" s="1" t="s">
        <v>122</v>
      </c>
      <c r="DGO108" s="1" t="s">
        <v>122</v>
      </c>
      <c r="DGP108" s="1" t="s">
        <v>122</v>
      </c>
      <c r="DGQ108" s="1" t="s">
        <v>122</v>
      </c>
      <c r="DGR108" s="1" t="s">
        <v>122</v>
      </c>
      <c r="DGS108" s="1" t="s">
        <v>122</v>
      </c>
      <c r="DGT108" s="1" t="s">
        <v>122</v>
      </c>
      <c r="DGU108" s="1" t="s">
        <v>122</v>
      </c>
      <c r="DGV108" s="1" t="s">
        <v>122</v>
      </c>
      <c r="DGW108" s="1" t="s">
        <v>122</v>
      </c>
      <c r="DGX108" s="1" t="s">
        <v>122</v>
      </c>
      <c r="DGY108" s="1" t="s">
        <v>122</v>
      </c>
      <c r="DGZ108" s="1" t="s">
        <v>122</v>
      </c>
      <c r="DHA108" s="1" t="s">
        <v>122</v>
      </c>
      <c r="DHB108" s="1" t="s">
        <v>122</v>
      </c>
      <c r="DHC108" s="1" t="s">
        <v>122</v>
      </c>
      <c r="DHD108" s="1" t="s">
        <v>122</v>
      </c>
      <c r="DHE108" s="1" t="s">
        <v>122</v>
      </c>
      <c r="DHF108" s="1" t="s">
        <v>122</v>
      </c>
      <c r="DHG108" s="1" t="s">
        <v>122</v>
      </c>
      <c r="DHH108" s="1" t="s">
        <v>122</v>
      </c>
      <c r="DHI108" s="1" t="s">
        <v>122</v>
      </c>
      <c r="DHJ108" s="1" t="s">
        <v>122</v>
      </c>
      <c r="DHK108" s="1" t="s">
        <v>122</v>
      </c>
      <c r="DHL108" s="1" t="s">
        <v>122</v>
      </c>
      <c r="DHM108" s="1" t="s">
        <v>122</v>
      </c>
      <c r="DHN108" s="1" t="s">
        <v>122</v>
      </c>
      <c r="DHO108" s="1" t="s">
        <v>122</v>
      </c>
      <c r="DHP108" s="1" t="s">
        <v>122</v>
      </c>
      <c r="DHQ108" s="1" t="s">
        <v>122</v>
      </c>
      <c r="DHR108" s="1" t="s">
        <v>122</v>
      </c>
      <c r="DHS108" s="1" t="s">
        <v>122</v>
      </c>
      <c r="DHT108" s="1" t="s">
        <v>122</v>
      </c>
      <c r="DHU108" s="1" t="s">
        <v>122</v>
      </c>
      <c r="DHV108" s="1" t="s">
        <v>122</v>
      </c>
      <c r="DHW108" s="1" t="s">
        <v>122</v>
      </c>
      <c r="DHX108" s="1" t="s">
        <v>122</v>
      </c>
      <c r="DHY108" s="1" t="s">
        <v>122</v>
      </c>
      <c r="DHZ108" s="1" t="s">
        <v>122</v>
      </c>
      <c r="DIA108" s="1" t="s">
        <v>122</v>
      </c>
      <c r="DIB108" s="1" t="s">
        <v>122</v>
      </c>
      <c r="DIC108" s="1" t="s">
        <v>122</v>
      </c>
      <c r="DID108" s="1" t="s">
        <v>122</v>
      </c>
      <c r="DIE108" s="1" t="s">
        <v>122</v>
      </c>
      <c r="DIF108" s="1" t="s">
        <v>122</v>
      </c>
      <c r="DIG108" s="1" t="s">
        <v>122</v>
      </c>
      <c r="DIH108" s="1" t="s">
        <v>122</v>
      </c>
      <c r="DII108" s="1" t="s">
        <v>122</v>
      </c>
      <c r="DIJ108" s="1" t="s">
        <v>122</v>
      </c>
      <c r="DIK108" s="1" t="s">
        <v>122</v>
      </c>
      <c r="DIL108" s="1" t="s">
        <v>122</v>
      </c>
      <c r="DIM108" s="1" t="s">
        <v>122</v>
      </c>
      <c r="DIN108" s="1" t="s">
        <v>122</v>
      </c>
      <c r="DIO108" s="1" t="s">
        <v>122</v>
      </c>
      <c r="DIP108" s="1" t="s">
        <v>122</v>
      </c>
      <c r="DIQ108" s="1" t="s">
        <v>122</v>
      </c>
      <c r="DIR108" s="1" t="s">
        <v>122</v>
      </c>
      <c r="DIS108" s="1" t="s">
        <v>122</v>
      </c>
      <c r="DIT108" s="1" t="s">
        <v>122</v>
      </c>
      <c r="DIU108" s="1" t="s">
        <v>122</v>
      </c>
      <c r="DIV108" s="1" t="s">
        <v>122</v>
      </c>
      <c r="DIW108" s="1" t="s">
        <v>122</v>
      </c>
      <c r="DIX108" s="1" t="s">
        <v>122</v>
      </c>
      <c r="DIY108" s="1" t="s">
        <v>122</v>
      </c>
      <c r="DIZ108" s="1" t="s">
        <v>122</v>
      </c>
      <c r="DJA108" s="1" t="s">
        <v>122</v>
      </c>
      <c r="DJB108" s="1" t="s">
        <v>122</v>
      </c>
      <c r="DJC108" s="1" t="s">
        <v>122</v>
      </c>
      <c r="DJD108" s="1" t="s">
        <v>122</v>
      </c>
      <c r="DJE108" s="1" t="s">
        <v>122</v>
      </c>
      <c r="DJF108" s="1" t="s">
        <v>122</v>
      </c>
      <c r="DJG108" s="1" t="s">
        <v>122</v>
      </c>
      <c r="DJH108" s="1" t="s">
        <v>122</v>
      </c>
      <c r="DJI108" s="1" t="s">
        <v>122</v>
      </c>
      <c r="DJJ108" s="1" t="s">
        <v>122</v>
      </c>
      <c r="DJK108" s="1" t="s">
        <v>122</v>
      </c>
      <c r="DJL108" s="1" t="s">
        <v>122</v>
      </c>
      <c r="DJM108" s="1" t="s">
        <v>122</v>
      </c>
      <c r="DJN108" s="1" t="s">
        <v>122</v>
      </c>
      <c r="DJO108" s="1" t="s">
        <v>122</v>
      </c>
      <c r="DJP108" s="1" t="s">
        <v>122</v>
      </c>
      <c r="DJQ108" s="1" t="s">
        <v>122</v>
      </c>
      <c r="DJR108" s="1" t="s">
        <v>122</v>
      </c>
      <c r="DJS108" s="1" t="s">
        <v>122</v>
      </c>
      <c r="DJT108" s="1" t="s">
        <v>122</v>
      </c>
      <c r="DJU108" s="1" t="s">
        <v>122</v>
      </c>
      <c r="DJV108" s="1" t="s">
        <v>122</v>
      </c>
      <c r="DJW108" s="1" t="s">
        <v>122</v>
      </c>
      <c r="DJX108" s="1" t="s">
        <v>122</v>
      </c>
      <c r="DJY108" s="1" t="s">
        <v>122</v>
      </c>
      <c r="DJZ108" s="1" t="s">
        <v>122</v>
      </c>
      <c r="DKA108" s="1" t="s">
        <v>122</v>
      </c>
      <c r="DKB108" s="1" t="s">
        <v>122</v>
      </c>
      <c r="DKC108" s="1" t="s">
        <v>122</v>
      </c>
      <c r="DKD108" s="1" t="s">
        <v>122</v>
      </c>
      <c r="DKE108" s="1" t="s">
        <v>122</v>
      </c>
      <c r="DKF108" s="1" t="s">
        <v>122</v>
      </c>
      <c r="DKG108" s="1" t="s">
        <v>122</v>
      </c>
      <c r="DKH108" s="1" t="s">
        <v>122</v>
      </c>
      <c r="DKI108" s="1" t="s">
        <v>122</v>
      </c>
      <c r="DKJ108" s="1" t="s">
        <v>122</v>
      </c>
      <c r="DKK108" s="1" t="s">
        <v>122</v>
      </c>
      <c r="DKL108" s="1" t="s">
        <v>122</v>
      </c>
      <c r="DKM108" s="1" t="s">
        <v>122</v>
      </c>
      <c r="DKN108" s="1" t="s">
        <v>122</v>
      </c>
      <c r="DKO108" s="1" t="s">
        <v>122</v>
      </c>
      <c r="DKP108" s="1" t="s">
        <v>122</v>
      </c>
      <c r="DKQ108" s="1" t="s">
        <v>122</v>
      </c>
      <c r="DKR108" s="1" t="s">
        <v>122</v>
      </c>
      <c r="DKS108" s="1" t="s">
        <v>122</v>
      </c>
      <c r="DKT108" s="1" t="s">
        <v>122</v>
      </c>
      <c r="DKU108" s="1" t="s">
        <v>122</v>
      </c>
      <c r="DKV108" s="1" t="s">
        <v>122</v>
      </c>
      <c r="DKW108" s="1" t="s">
        <v>122</v>
      </c>
      <c r="DKX108" s="1" t="s">
        <v>122</v>
      </c>
      <c r="DKY108" s="1" t="s">
        <v>122</v>
      </c>
      <c r="DKZ108" s="1" t="s">
        <v>122</v>
      </c>
      <c r="DLA108" s="1" t="s">
        <v>122</v>
      </c>
      <c r="DLB108" s="1" t="s">
        <v>122</v>
      </c>
      <c r="DLC108" s="1" t="s">
        <v>122</v>
      </c>
      <c r="DLD108" s="1" t="s">
        <v>122</v>
      </c>
      <c r="DLE108" s="1" t="s">
        <v>122</v>
      </c>
      <c r="DLF108" s="1" t="s">
        <v>122</v>
      </c>
      <c r="DLG108" s="1" t="s">
        <v>122</v>
      </c>
      <c r="DLH108" s="1" t="s">
        <v>122</v>
      </c>
      <c r="DLI108" s="1" t="s">
        <v>122</v>
      </c>
      <c r="DLJ108" s="1" t="s">
        <v>122</v>
      </c>
      <c r="DLK108" s="1" t="s">
        <v>122</v>
      </c>
      <c r="DLL108" s="1" t="s">
        <v>122</v>
      </c>
      <c r="DLM108" s="1" t="s">
        <v>122</v>
      </c>
      <c r="DLN108" s="1" t="s">
        <v>122</v>
      </c>
      <c r="DLO108" s="1" t="s">
        <v>122</v>
      </c>
      <c r="DLP108" s="1" t="s">
        <v>122</v>
      </c>
      <c r="DLQ108" s="1" t="s">
        <v>122</v>
      </c>
      <c r="DLR108" s="1" t="s">
        <v>122</v>
      </c>
      <c r="DLS108" s="1" t="s">
        <v>122</v>
      </c>
      <c r="DLT108" s="1" t="s">
        <v>122</v>
      </c>
      <c r="DLU108" s="1" t="s">
        <v>122</v>
      </c>
      <c r="DLV108" s="1" t="s">
        <v>122</v>
      </c>
      <c r="DLW108" s="1" t="s">
        <v>122</v>
      </c>
      <c r="DLX108" s="1" t="s">
        <v>122</v>
      </c>
      <c r="DLY108" s="1" t="s">
        <v>122</v>
      </c>
      <c r="DLZ108" s="1" t="s">
        <v>122</v>
      </c>
      <c r="DMA108" s="1" t="s">
        <v>122</v>
      </c>
      <c r="DMB108" s="1" t="s">
        <v>122</v>
      </c>
      <c r="DMC108" s="1" t="s">
        <v>122</v>
      </c>
      <c r="DMD108" s="1" t="s">
        <v>122</v>
      </c>
      <c r="DME108" s="1" t="s">
        <v>122</v>
      </c>
      <c r="DMF108" s="1" t="s">
        <v>122</v>
      </c>
      <c r="DMG108" s="1" t="s">
        <v>122</v>
      </c>
      <c r="DMH108" s="1" t="s">
        <v>122</v>
      </c>
      <c r="DMI108" s="1" t="s">
        <v>122</v>
      </c>
      <c r="DMJ108" s="1" t="s">
        <v>122</v>
      </c>
      <c r="DMK108" s="1" t="s">
        <v>122</v>
      </c>
      <c r="DML108" s="1" t="s">
        <v>122</v>
      </c>
      <c r="DMM108" s="1" t="s">
        <v>122</v>
      </c>
      <c r="DMN108" s="1" t="s">
        <v>122</v>
      </c>
      <c r="DMO108" s="1" t="s">
        <v>122</v>
      </c>
      <c r="DMP108" s="1" t="s">
        <v>122</v>
      </c>
      <c r="DMQ108" s="1" t="s">
        <v>122</v>
      </c>
      <c r="DMR108" s="1" t="s">
        <v>122</v>
      </c>
      <c r="DMS108" s="1" t="s">
        <v>122</v>
      </c>
      <c r="DMT108" s="1" t="s">
        <v>122</v>
      </c>
      <c r="DMU108" s="1" t="s">
        <v>122</v>
      </c>
      <c r="DMV108" s="1" t="s">
        <v>122</v>
      </c>
      <c r="DMW108" s="1" t="s">
        <v>122</v>
      </c>
      <c r="DMX108" s="1" t="s">
        <v>122</v>
      </c>
      <c r="DMY108" s="1" t="s">
        <v>122</v>
      </c>
      <c r="DMZ108" s="1" t="s">
        <v>122</v>
      </c>
      <c r="DNA108" s="1" t="s">
        <v>122</v>
      </c>
      <c r="DNB108" s="1" t="s">
        <v>122</v>
      </c>
      <c r="DNC108" s="1" t="s">
        <v>122</v>
      </c>
      <c r="DND108" s="1" t="s">
        <v>122</v>
      </c>
      <c r="DNE108" s="1" t="s">
        <v>122</v>
      </c>
      <c r="DNF108" s="1" t="s">
        <v>122</v>
      </c>
      <c r="DNG108" s="1" t="s">
        <v>122</v>
      </c>
      <c r="DNH108" s="1" t="s">
        <v>122</v>
      </c>
      <c r="DNI108" s="1" t="s">
        <v>122</v>
      </c>
      <c r="DNJ108" s="1" t="s">
        <v>122</v>
      </c>
      <c r="DNK108" s="1" t="s">
        <v>122</v>
      </c>
      <c r="DNL108" s="1" t="s">
        <v>122</v>
      </c>
      <c r="DNM108" s="1" t="s">
        <v>122</v>
      </c>
      <c r="DNN108" s="1" t="s">
        <v>122</v>
      </c>
      <c r="DNO108" s="1" t="s">
        <v>122</v>
      </c>
      <c r="DNP108" s="1" t="s">
        <v>122</v>
      </c>
      <c r="DNQ108" s="1" t="s">
        <v>122</v>
      </c>
      <c r="DNR108" s="1" t="s">
        <v>122</v>
      </c>
      <c r="DNS108" s="1" t="s">
        <v>122</v>
      </c>
      <c r="DNT108" s="1" t="s">
        <v>122</v>
      </c>
      <c r="DNU108" s="1" t="s">
        <v>122</v>
      </c>
      <c r="DNV108" s="1" t="s">
        <v>122</v>
      </c>
      <c r="DNW108" s="1" t="s">
        <v>122</v>
      </c>
      <c r="DNX108" s="1" t="s">
        <v>122</v>
      </c>
      <c r="DNY108" s="1" t="s">
        <v>122</v>
      </c>
      <c r="DNZ108" s="1" t="s">
        <v>122</v>
      </c>
      <c r="DOA108" s="1" t="s">
        <v>122</v>
      </c>
      <c r="DOB108" s="1" t="s">
        <v>122</v>
      </c>
      <c r="DOC108" s="1" t="s">
        <v>122</v>
      </c>
      <c r="DOD108" s="1" t="s">
        <v>122</v>
      </c>
      <c r="DOE108" s="1" t="s">
        <v>122</v>
      </c>
      <c r="DOF108" s="1" t="s">
        <v>122</v>
      </c>
      <c r="DOG108" s="1" t="s">
        <v>122</v>
      </c>
      <c r="DOH108" s="1" t="s">
        <v>122</v>
      </c>
      <c r="DOI108" s="1" t="s">
        <v>122</v>
      </c>
      <c r="DOJ108" s="1" t="s">
        <v>122</v>
      </c>
      <c r="DOK108" s="1" t="s">
        <v>122</v>
      </c>
      <c r="DOL108" s="1" t="s">
        <v>122</v>
      </c>
      <c r="DOM108" s="1" t="s">
        <v>122</v>
      </c>
      <c r="DON108" s="1" t="s">
        <v>122</v>
      </c>
      <c r="DOO108" s="1" t="s">
        <v>122</v>
      </c>
      <c r="DOP108" s="1" t="s">
        <v>122</v>
      </c>
      <c r="DOQ108" s="1" t="s">
        <v>122</v>
      </c>
      <c r="DOR108" s="1" t="s">
        <v>122</v>
      </c>
      <c r="DOS108" s="1" t="s">
        <v>122</v>
      </c>
      <c r="DOT108" s="1" t="s">
        <v>122</v>
      </c>
      <c r="DOU108" s="1" t="s">
        <v>122</v>
      </c>
      <c r="DOV108" s="1" t="s">
        <v>122</v>
      </c>
      <c r="DOW108" s="1" t="s">
        <v>122</v>
      </c>
      <c r="DOX108" s="1" t="s">
        <v>122</v>
      </c>
      <c r="DOY108" s="1" t="s">
        <v>122</v>
      </c>
      <c r="DOZ108" s="1" t="s">
        <v>122</v>
      </c>
      <c r="DPA108" s="1" t="s">
        <v>122</v>
      </c>
      <c r="DPB108" s="1" t="s">
        <v>122</v>
      </c>
      <c r="DPC108" s="1" t="s">
        <v>122</v>
      </c>
      <c r="DPD108" s="1" t="s">
        <v>122</v>
      </c>
      <c r="DPE108" s="1" t="s">
        <v>122</v>
      </c>
      <c r="DPF108" s="1" t="s">
        <v>122</v>
      </c>
      <c r="DPG108" s="1" t="s">
        <v>122</v>
      </c>
      <c r="DPH108" s="1" t="s">
        <v>122</v>
      </c>
      <c r="DPI108" s="1" t="s">
        <v>122</v>
      </c>
      <c r="DPJ108" s="1" t="s">
        <v>122</v>
      </c>
      <c r="DPK108" s="1" t="s">
        <v>122</v>
      </c>
      <c r="DPL108" s="1" t="s">
        <v>122</v>
      </c>
      <c r="DPM108" s="1" t="s">
        <v>122</v>
      </c>
      <c r="DPN108" s="1" t="s">
        <v>122</v>
      </c>
      <c r="DPO108" s="1" t="s">
        <v>122</v>
      </c>
      <c r="DPP108" s="1" t="s">
        <v>122</v>
      </c>
      <c r="DPQ108" s="1" t="s">
        <v>122</v>
      </c>
      <c r="DPR108" s="1" t="s">
        <v>122</v>
      </c>
      <c r="DPS108" s="1" t="s">
        <v>122</v>
      </c>
      <c r="DPT108" s="1" t="s">
        <v>122</v>
      </c>
      <c r="DPU108" s="1" t="s">
        <v>122</v>
      </c>
      <c r="DPV108" s="1" t="s">
        <v>122</v>
      </c>
      <c r="DPW108" s="1" t="s">
        <v>122</v>
      </c>
      <c r="DPX108" s="1" t="s">
        <v>122</v>
      </c>
      <c r="DPY108" s="1" t="s">
        <v>122</v>
      </c>
      <c r="DPZ108" s="1" t="s">
        <v>122</v>
      </c>
      <c r="DQA108" s="1" t="s">
        <v>122</v>
      </c>
      <c r="DQB108" s="1" t="s">
        <v>122</v>
      </c>
      <c r="DQC108" s="1" t="s">
        <v>122</v>
      </c>
      <c r="DQD108" s="1" t="s">
        <v>122</v>
      </c>
      <c r="DQE108" s="1" t="s">
        <v>122</v>
      </c>
      <c r="DQF108" s="1" t="s">
        <v>122</v>
      </c>
      <c r="DQG108" s="1" t="s">
        <v>122</v>
      </c>
      <c r="DQH108" s="1" t="s">
        <v>122</v>
      </c>
      <c r="DQI108" s="1" t="s">
        <v>122</v>
      </c>
      <c r="DQJ108" s="1" t="s">
        <v>122</v>
      </c>
      <c r="DQK108" s="1" t="s">
        <v>122</v>
      </c>
      <c r="DQL108" s="1" t="s">
        <v>122</v>
      </c>
      <c r="DQM108" s="1" t="s">
        <v>122</v>
      </c>
      <c r="DQN108" s="1" t="s">
        <v>122</v>
      </c>
      <c r="DQO108" s="1" t="s">
        <v>122</v>
      </c>
      <c r="DQP108" s="1" t="s">
        <v>122</v>
      </c>
      <c r="DQQ108" s="1" t="s">
        <v>122</v>
      </c>
      <c r="DQR108" s="1" t="s">
        <v>122</v>
      </c>
      <c r="DQS108" s="1" t="s">
        <v>122</v>
      </c>
      <c r="DQT108" s="1" t="s">
        <v>122</v>
      </c>
      <c r="DQU108" s="1" t="s">
        <v>122</v>
      </c>
      <c r="DQV108" s="1" t="s">
        <v>122</v>
      </c>
      <c r="DQW108" s="1" t="s">
        <v>122</v>
      </c>
      <c r="DQX108" s="1" t="s">
        <v>122</v>
      </c>
      <c r="DQY108" s="1" t="s">
        <v>122</v>
      </c>
      <c r="DQZ108" s="1" t="s">
        <v>122</v>
      </c>
      <c r="DRA108" s="1" t="s">
        <v>122</v>
      </c>
      <c r="DRB108" s="1" t="s">
        <v>122</v>
      </c>
      <c r="DRC108" s="1" t="s">
        <v>122</v>
      </c>
      <c r="DRD108" s="1" t="s">
        <v>122</v>
      </c>
      <c r="DRE108" s="1" t="s">
        <v>122</v>
      </c>
      <c r="DRF108" s="1" t="s">
        <v>122</v>
      </c>
      <c r="DRG108" s="1" t="s">
        <v>122</v>
      </c>
      <c r="DRH108" s="1" t="s">
        <v>122</v>
      </c>
      <c r="DRI108" s="1" t="s">
        <v>122</v>
      </c>
      <c r="DRJ108" s="1" t="s">
        <v>122</v>
      </c>
      <c r="DRK108" s="1" t="s">
        <v>122</v>
      </c>
      <c r="DRL108" s="1" t="s">
        <v>122</v>
      </c>
      <c r="DRM108" s="1" t="s">
        <v>122</v>
      </c>
      <c r="DRN108" s="1" t="s">
        <v>122</v>
      </c>
      <c r="DRO108" s="1" t="s">
        <v>122</v>
      </c>
      <c r="DRP108" s="1" t="s">
        <v>122</v>
      </c>
      <c r="DRQ108" s="1" t="s">
        <v>122</v>
      </c>
      <c r="DRR108" s="1" t="s">
        <v>122</v>
      </c>
      <c r="DRS108" s="1" t="s">
        <v>122</v>
      </c>
      <c r="DRT108" s="1" t="s">
        <v>122</v>
      </c>
      <c r="DRU108" s="1" t="s">
        <v>122</v>
      </c>
      <c r="DRV108" s="1" t="s">
        <v>122</v>
      </c>
      <c r="DRW108" s="1" t="s">
        <v>122</v>
      </c>
      <c r="DRX108" s="1" t="s">
        <v>122</v>
      </c>
      <c r="DRY108" s="1" t="s">
        <v>122</v>
      </c>
      <c r="DRZ108" s="1" t="s">
        <v>122</v>
      </c>
      <c r="DSA108" s="1" t="s">
        <v>122</v>
      </c>
      <c r="DSB108" s="1" t="s">
        <v>122</v>
      </c>
      <c r="DSC108" s="1" t="s">
        <v>122</v>
      </c>
      <c r="DSD108" s="1" t="s">
        <v>122</v>
      </c>
      <c r="DSE108" s="1" t="s">
        <v>122</v>
      </c>
      <c r="DSF108" s="1" t="s">
        <v>122</v>
      </c>
      <c r="DSG108" s="1" t="s">
        <v>122</v>
      </c>
      <c r="DSH108" s="1" t="s">
        <v>122</v>
      </c>
      <c r="DSI108" s="1" t="s">
        <v>122</v>
      </c>
      <c r="DSJ108" s="1" t="s">
        <v>122</v>
      </c>
      <c r="DSK108" s="1" t="s">
        <v>122</v>
      </c>
      <c r="DSL108" s="1" t="s">
        <v>122</v>
      </c>
      <c r="DSM108" s="1" t="s">
        <v>122</v>
      </c>
      <c r="DSN108" s="1" t="s">
        <v>122</v>
      </c>
      <c r="DSO108" s="1" t="s">
        <v>122</v>
      </c>
      <c r="DSP108" s="1" t="s">
        <v>122</v>
      </c>
      <c r="DSQ108" s="1" t="s">
        <v>122</v>
      </c>
      <c r="DSR108" s="1" t="s">
        <v>122</v>
      </c>
      <c r="DSS108" s="1" t="s">
        <v>122</v>
      </c>
      <c r="DST108" s="1" t="s">
        <v>122</v>
      </c>
      <c r="DSU108" s="1" t="s">
        <v>122</v>
      </c>
      <c r="DSV108" s="1" t="s">
        <v>122</v>
      </c>
      <c r="DSW108" s="1" t="s">
        <v>122</v>
      </c>
      <c r="DSX108" s="1" t="s">
        <v>122</v>
      </c>
      <c r="DSY108" s="1" t="s">
        <v>122</v>
      </c>
      <c r="DSZ108" s="1" t="s">
        <v>122</v>
      </c>
      <c r="DTA108" s="1" t="s">
        <v>122</v>
      </c>
      <c r="DTB108" s="1" t="s">
        <v>122</v>
      </c>
      <c r="DTC108" s="1" t="s">
        <v>122</v>
      </c>
      <c r="DTD108" s="1" t="s">
        <v>122</v>
      </c>
      <c r="DTE108" s="1" t="s">
        <v>122</v>
      </c>
      <c r="DTF108" s="1" t="s">
        <v>122</v>
      </c>
      <c r="DTG108" s="1" t="s">
        <v>122</v>
      </c>
      <c r="DTH108" s="1" t="s">
        <v>122</v>
      </c>
      <c r="DTI108" s="1" t="s">
        <v>122</v>
      </c>
      <c r="DTJ108" s="1" t="s">
        <v>122</v>
      </c>
      <c r="DTK108" s="1" t="s">
        <v>122</v>
      </c>
      <c r="DTL108" s="1" t="s">
        <v>122</v>
      </c>
      <c r="DTM108" s="1" t="s">
        <v>122</v>
      </c>
      <c r="DTN108" s="1" t="s">
        <v>122</v>
      </c>
      <c r="DTO108" s="1" t="s">
        <v>122</v>
      </c>
      <c r="DTP108" s="1" t="s">
        <v>122</v>
      </c>
      <c r="DTQ108" s="1" t="s">
        <v>122</v>
      </c>
      <c r="DTR108" s="1" t="s">
        <v>122</v>
      </c>
      <c r="DTS108" s="1" t="s">
        <v>122</v>
      </c>
      <c r="DTT108" s="1" t="s">
        <v>122</v>
      </c>
      <c r="DTU108" s="1" t="s">
        <v>122</v>
      </c>
      <c r="DTV108" s="1" t="s">
        <v>122</v>
      </c>
      <c r="DTW108" s="1" t="s">
        <v>122</v>
      </c>
      <c r="DTX108" s="1" t="s">
        <v>122</v>
      </c>
      <c r="DTY108" s="1" t="s">
        <v>122</v>
      </c>
      <c r="DTZ108" s="1" t="s">
        <v>122</v>
      </c>
      <c r="DUA108" s="1" t="s">
        <v>122</v>
      </c>
      <c r="DUB108" s="1" t="s">
        <v>122</v>
      </c>
      <c r="DUC108" s="1" t="s">
        <v>122</v>
      </c>
      <c r="DUD108" s="1" t="s">
        <v>122</v>
      </c>
      <c r="DUE108" s="1" t="s">
        <v>122</v>
      </c>
      <c r="DUF108" s="1" t="s">
        <v>122</v>
      </c>
      <c r="DUG108" s="1" t="s">
        <v>122</v>
      </c>
      <c r="DUH108" s="1" t="s">
        <v>122</v>
      </c>
      <c r="DUI108" s="1" t="s">
        <v>122</v>
      </c>
      <c r="DUJ108" s="1" t="s">
        <v>122</v>
      </c>
      <c r="DUK108" s="1" t="s">
        <v>122</v>
      </c>
      <c r="DUL108" s="1" t="s">
        <v>122</v>
      </c>
      <c r="DUM108" s="1" t="s">
        <v>122</v>
      </c>
      <c r="DUN108" s="1" t="s">
        <v>122</v>
      </c>
      <c r="DUO108" s="1" t="s">
        <v>122</v>
      </c>
      <c r="DUP108" s="1" t="s">
        <v>122</v>
      </c>
      <c r="DUQ108" s="1" t="s">
        <v>122</v>
      </c>
      <c r="DUR108" s="1" t="s">
        <v>122</v>
      </c>
      <c r="DUS108" s="1" t="s">
        <v>122</v>
      </c>
      <c r="DUT108" s="1" t="s">
        <v>122</v>
      </c>
      <c r="DUU108" s="1" t="s">
        <v>122</v>
      </c>
      <c r="DUV108" s="1" t="s">
        <v>122</v>
      </c>
      <c r="DUW108" s="1" t="s">
        <v>122</v>
      </c>
      <c r="DUX108" s="1" t="s">
        <v>122</v>
      </c>
      <c r="DUY108" s="1" t="s">
        <v>122</v>
      </c>
      <c r="DUZ108" s="1" t="s">
        <v>122</v>
      </c>
      <c r="DVA108" s="1" t="s">
        <v>122</v>
      </c>
      <c r="DVB108" s="1" t="s">
        <v>122</v>
      </c>
      <c r="DVC108" s="1" t="s">
        <v>122</v>
      </c>
      <c r="DVD108" s="1" t="s">
        <v>122</v>
      </c>
      <c r="DVE108" s="1" t="s">
        <v>122</v>
      </c>
      <c r="DVF108" s="1" t="s">
        <v>122</v>
      </c>
      <c r="DVG108" s="1" t="s">
        <v>122</v>
      </c>
      <c r="DVH108" s="1" t="s">
        <v>122</v>
      </c>
      <c r="DVI108" s="1" t="s">
        <v>122</v>
      </c>
      <c r="DVJ108" s="1" t="s">
        <v>122</v>
      </c>
      <c r="DVK108" s="1" t="s">
        <v>122</v>
      </c>
      <c r="DVL108" s="1" t="s">
        <v>122</v>
      </c>
      <c r="DVM108" s="1" t="s">
        <v>122</v>
      </c>
      <c r="DVN108" s="1" t="s">
        <v>122</v>
      </c>
      <c r="DVO108" s="1" t="s">
        <v>122</v>
      </c>
      <c r="DVP108" s="1" t="s">
        <v>122</v>
      </c>
      <c r="DVQ108" s="1" t="s">
        <v>122</v>
      </c>
      <c r="DVR108" s="1" t="s">
        <v>122</v>
      </c>
      <c r="DVS108" s="1" t="s">
        <v>122</v>
      </c>
      <c r="DVT108" s="1" t="s">
        <v>122</v>
      </c>
      <c r="DVU108" s="1" t="s">
        <v>122</v>
      </c>
      <c r="DVV108" s="1" t="s">
        <v>122</v>
      </c>
      <c r="DVW108" s="1" t="s">
        <v>122</v>
      </c>
      <c r="DVX108" s="1" t="s">
        <v>122</v>
      </c>
      <c r="DVY108" s="1" t="s">
        <v>122</v>
      </c>
      <c r="DVZ108" s="1" t="s">
        <v>122</v>
      </c>
      <c r="DWA108" s="1" t="s">
        <v>122</v>
      </c>
      <c r="DWB108" s="1" t="s">
        <v>122</v>
      </c>
      <c r="DWC108" s="1" t="s">
        <v>122</v>
      </c>
      <c r="DWD108" s="1" t="s">
        <v>122</v>
      </c>
      <c r="DWE108" s="1" t="s">
        <v>122</v>
      </c>
      <c r="DWF108" s="1" t="s">
        <v>122</v>
      </c>
      <c r="DWG108" s="1" t="s">
        <v>122</v>
      </c>
      <c r="DWH108" s="1" t="s">
        <v>122</v>
      </c>
      <c r="DWI108" s="1" t="s">
        <v>122</v>
      </c>
      <c r="DWJ108" s="1" t="s">
        <v>122</v>
      </c>
      <c r="DWK108" s="1" t="s">
        <v>122</v>
      </c>
      <c r="DWL108" s="1" t="s">
        <v>122</v>
      </c>
      <c r="DWM108" s="1" t="s">
        <v>122</v>
      </c>
      <c r="DWN108" s="1" t="s">
        <v>122</v>
      </c>
      <c r="DWO108" s="1" t="s">
        <v>122</v>
      </c>
      <c r="DWP108" s="1" t="s">
        <v>122</v>
      </c>
      <c r="DWQ108" s="1" t="s">
        <v>122</v>
      </c>
      <c r="DWR108" s="1" t="s">
        <v>122</v>
      </c>
      <c r="DWS108" s="1" t="s">
        <v>122</v>
      </c>
      <c r="DWT108" s="1" t="s">
        <v>122</v>
      </c>
      <c r="DWU108" s="1" t="s">
        <v>122</v>
      </c>
      <c r="DWV108" s="1" t="s">
        <v>122</v>
      </c>
      <c r="DWW108" s="1" t="s">
        <v>122</v>
      </c>
      <c r="DWX108" s="1" t="s">
        <v>122</v>
      </c>
      <c r="DWY108" s="1" t="s">
        <v>122</v>
      </c>
      <c r="DWZ108" s="1" t="s">
        <v>122</v>
      </c>
      <c r="DXA108" s="1" t="s">
        <v>122</v>
      </c>
      <c r="DXB108" s="1" t="s">
        <v>122</v>
      </c>
      <c r="DXC108" s="1" t="s">
        <v>122</v>
      </c>
      <c r="DXD108" s="1" t="s">
        <v>122</v>
      </c>
      <c r="DXE108" s="1" t="s">
        <v>122</v>
      </c>
      <c r="DXF108" s="1" t="s">
        <v>122</v>
      </c>
      <c r="DXG108" s="1" t="s">
        <v>122</v>
      </c>
      <c r="DXH108" s="1" t="s">
        <v>122</v>
      </c>
      <c r="DXI108" s="1" t="s">
        <v>122</v>
      </c>
      <c r="DXJ108" s="1" t="s">
        <v>122</v>
      </c>
      <c r="DXK108" s="1" t="s">
        <v>122</v>
      </c>
      <c r="DXL108" s="1" t="s">
        <v>122</v>
      </c>
      <c r="DXM108" s="1" t="s">
        <v>122</v>
      </c>
      <c r="DXN108" s="1" t="s">
        <v>122</v>
      </c>
      <c r="DXO108" s="1" t="s">
        <v>122</v>
      </c>
      <c r="DXP108" s="1" t="s">
        <v>122</v>
      </c>
      <c r="DXQ108" s="1" t="s">
        <v>122</v>
      </c>
      <c r="DXR108" s="1" t="s">
        <v>122</v>
      </c>
      <c r="DXS108" s="1" t="s">
        <v>122</v>
      </c>
      <c r="DXT108" s="1" t="s">
        <v>122</v>
      </c>
      <c r="DXU108" s="1" t="s">
        <v>122</v>
      </c>
      <c r="DXV108" s="1" t="s">
        <v>122</v>
      </c>
      <c r="DXW108" s="1" t="s">
        <v>122</v>
      </c>
      <c r="DXX108" s="1" t="s">
        <v>122</v>
      </c>
      <c r="DXY108" s="1" t="s">
        <v>122</v>
      </c>
      <c r="DXZ108" s="1" t="s">
        <v>122</v>
      </c>
      <c r="DYA108" s="1" t="s">
        <v>122</v>
      </c>
      <c r="DYB108" s="1" t="s">
        <v>122</v>
      </c>
      <c r="DYC108" s="1" t="s">
        <v>122</v>
      </c>
      <c r="DYD108" s="1" t="s">
        <v>122</v>
      </c>
      <c r="DYE108" s="1" t="s">
        <v>122</v>
      </c>
      <c r="DYF108" s="1" t="s">
        <v>122</v>
      </c>
      <c r="DYG108" s="1" t="s">
        <v>122</v>
      </c>
      <c r="DYH108" s="1" t="s">
        <v>122</v>
      </c>
      <c r="DYI108" s="1" t="s">
        <v>122</v>
      </c>
      <c r="DYJ108" s="1" t="s">
        <v>122</v>
      </c>
      <c r="DYK108" s="1" t="s">
        <v>122</v>
      </c>
      <c r="DYL108" s="1" t="s">
        <v>122</v>
      </c>
      <c r="DYM108" s="1" t="s">
        <v>122</v>
      </c>
      <c r="DYN108" s="1" t="s">
        <v>122</v>
      </c>
      <c r="DYO108" s="1" t="s">
        <v>122</v>
      </c>
      <c r="DYP108" s="1" t="s">
        <v>122</v>
      </c>
      <c r="DYQ108" s="1" t="s">
        <v>122</v>
      </c>
      <c r="DYR108" s="1" t="s">
        <v>122</v>
      </c>
      <c r="DYS108" s="1" t="s">
        <v>122</v>
      </c>
      <c r="DYT108" s="1" t="s">
        <v>122</v>
      </c>
      <c r="DYU108" s="1" t="s">
        <v>122</v>
      </c>
      <c r="DYV108" s="1" t="s">
        <v>122</v>
      </c>
      <c r="DYW108" s="1" t="s">
        <v>122</v>
      </c>
      <c r="DYX108" s="1" t="s">
        <v>122</v>
      </c>
      <c r="DYY108" s="1" t="s">
        <v>122</v>
      </c>
      <c r="DYZ108" s="1" t="s">
        <v>122</v>
      </c>
      <c r="DZA108" s="1" t="s">
        <v>122</v>
      </c>
      <c r="DZB108" s="1" t="s">
        <v>122</v>
      </c>
      <c r="DZC108" s="1" t="s">
        <v>122</v>
      </c>
      <c r="DZD108" s="1" t="s">
        <v>122</v>
      </c>
      <c r="DZE108" s="1" t="s">
        <v>122</v>
      </c>
      <c r="DZF108" s="1" t="s">
        <v>122</v>
      </c>
      <c r="DZG108" s="1" t="s">
        <v>122</v>
      </c>
      <c r="DZH108" s="1" t="s">
        <v>122</v>
      </c>
      <c r="DZI108" s="1" t="s">
        <v>122</v>
      </c>
      <c r="DZJ108" s="1" t="s">
        <v>122</v>
      </c>
      <c r="DZK108" s="1" t="s">
        <v>122</v>
      </c>
      <c r="DZL108" s="1" t="s">
        <v>122</v>
      </c>
      <c r="DZM108" s="1" t="s">
        <v>122</v>
      </c>
      <c r="DZN108" s="1" t="s">
        <v>122</v>
      </c>
      <c r="DZO108" s="1" t="s">
        <v>122</v>
      </c>
      <c r="DZP108" s="1" t="s">
        <v>122</v>
      </c>
      <c r="DZQ108" s="1" t="s">
        <v>122</v>
      </c>
      <c r="DZR108" s="1" t="s">
        <v>122</v>
      </c>
      <c r="DZS108" s="1" t="s">
        <v>122</v>
      </c>
      <c r="DZT108" s="1" t="s">
        <v>122</v>
      </c>
      <c r="DZU108" s="1" t="s">
        <v>122</v>
      </c>
      <c r="DZV108" s="1" t="s">
        <v>122</v>
      </c>
      <c r="DZW108" s="1" t="s">
        <v>122</v>
      </c>
      <c r="DZX108" s="1" t="s">
        <v>122</v>
      </c>
      <c r="DZY108" s="1" t="s">
        <v>122</v>
      </c>
      <c r="DZZ108" s="1" t="s">
        <v>122</v>
      </c>
      <c r="EAA108" s="1" t="s">
        <v>122</v>
      </c>
      <c r="EAB108" s="1" t="s">
        <v>122</v>
      </c>
      <c r="EAC108" s="1" t="s">
        <v>122</v>
      </c>
      <c r="EAD108" s="1" t="s">
        <v>122</v>
      </c>
      <c r="EAE108" s="1" t="s">
        <v>122</v>
      </c>
      <c r="EAF108" s="1" t="s">
        <v>122</v>
      </c>
      <c r="EAG108" s="1" t="s">
        <v>122</v>
      </c>
      <c r="EAH108" s="1" t="s">
        <v>122</v>
      </c>
      <c r="EAI108" s="1" t="s">
        <v>122</v>
      </c>
      <c r="EAJ108" s="1" t="s">
        <v>122</v>
      </c>
      <c r="EAK108" s="1" t="s">
        <v>122</v>
      </c>
      <c r="EAL108" s="1" t="s">
        <v>122</v>
      </c>
      <c r="EAM108" s="1" t="s">
        <v>122</v>
      </c>
      <c r="EAN108" s="1" t="s">
        <v>122</v>
      </c>
      <c r="EAO108" s="1" t="s">
        <v>122</v>
      </c>
      <c r="EAP108" s="1" t="s">
        <v>122</v>
      </c>
      <c r="EAQ108" s="1" t="s">
        <v>122</v>
      </c>
      <c r="EAR108" s="1" t="s">
        <v>122</v>
      </c>
      <c r="EAS108" s="1" t="s">
        <v>122</v>
      </c>
      <c r="EAT108" s="1" t="s">
        <v>122</v>
      </c>
      <c r="EAU108" s="1" t="s">
        <v>122</v>
      </c>
      <c r="EAV108" s="1" t="s">
        <v>122</v>
      </c>
      <c r="EAW108" s="1" t="s">
        <v>122</v>
      </c>
      <c r="EAX108" s="1" t="s">
        <v>122</v>
      </c>
      <c r="EAY108" s="1" t="s">
        <v>122</v>
      </c>
      <c r="EAZ108" s="1" t="s">
        <v>122</v>
      </c>
      <c r="EBA108" s="1" t="s">
        <v>122</v>
      </c>
      <c r="EBB108" s="1" t="s">
        <v>122</v>
      </c>
      <c r="EBC108" s="1" t="s">
        <v>122</v>
      </c>
      <c r="EBD108" s="1" t="s">
        <v>122</v>
      </c>
      <c r="EBE108" s="1" t="s">
        <v>122</v>
      </c>
      <c r="EBF108" s="1" t="s">
        <v>122</v>
      </c>
      <c r="EBG108" s="1" t="s">
        <v>122</v>
      </c>
      <c r="EBH108" s="1" t="s">
        <v>122</v>
      </c>
      <c r="EBI108" s="1" t="s">
        <v>122</v>
      </c>
      <c r="EBJ108" s="1" t="s">
        <v>122</v>
      </c>
      <c r="EBK108" s="1" t="s">
        <v>122</v>
      </c>
      <c r="EBL108" s="1" t="s">
        <v>122</v>
      </c>
      <c r="EBM108" s="1" t="s">
        <v>122</v>
      </c>
      <c r="EBN108" s="1" t="s">
        <v>122</v>
      </c>
      <c r="EBO108" s="1" t="s">
        <v>122</v>
      </c>
      <c r="EBP108" s="1" t="s">
        <v>122</v>
      </c>
      <c r="EBQ108" s="1" t="s">
        <v>122</v>
      </c>
      <c r="EBR108" s="1" t="s">
        <v>122</v>
      </c>
      <c r="EBS108" s="1" t="s">
        <v>122</v>
      </c>
      <c r="EBT108" s="1" t="s">
        <v>122</v>
      </c>
      <c r="EBU108" s="1" t="s">
        <v>122</v>
      </c>
      <c r="EBV108" s="1" t="s">
        <v>122</v>
      </c>
      <c r="EBW108" s="1" t="s">
        <v>122</v>
      </c>
      <c r="EBX108" s="1" t="s">
        <v>122</v>
      </c>
      <c r="EBY108" s="1" t="s">
        <v>122</v>
      </c>
      <c r="EBZ108" s="1" t="s">
        <v>122</v>
      </c>
      <c r="ECA108" s="1" t="s">
        <v>122</v>
      </c>
      <c r="ECB108" s="1" t="s">
        <v>122</v>
      </c>
      <c r="ECC108" s="1" t="s">
        <v>122</v>
      </c>
      <c r="ECD108" s="1" t="s">
        <v>122</v>
      </c>
      <c r="ECE108" s="1" t="s">
        <v>122</v>
      </c>
      <c r="ECF108" s="1" t="s">
        <v>122</v>
      </c>
      <c r="ECG108" s="1" t="s">
        <v>122</v>
      </c>
      <c r="ECH108" s="1" t="s">
        <v>122</v>
      </c>
      <c r="ECI108" s="1" t="s">
        <v>122</v>
      </c>
      <c r="ECJ108" s="1" t="s">
        <v>122</v>
      </c>
      <c r="ECK108" s="1" t="s">
        <v>122</v>
      </c>
      <c r="ECL108" s="1" t="s">
        <v>122</v>
      </c>
      <c r="ECM108" s="1" t="s">
        <v>122</v>
      </c>
      <c r="ECN108" s="1" t="s">
        <v>122</v>
      </c>
      <c r="ECO108" s="1" t="s">
        <v>122</v>
      </c>
      <c r="ECP108" s="1" t="s">
        <v>122</v>
      </c>
      <c r="ECQ108" s="1" t="s">
        <v>122</v>
      </c>
      <c r="ECR108" s="1" t="s">
        <v>122</v>
      </c>
      <c r="ECS108" s="1" t="s">
        <v>122</v>
      </c>
      <c r="ECT108" s="1" t="s">
        <v>122</v>
      </c>
      <c r="ECU108" s="1" t="s">
        <v>122</v>
      </c>
      <c r="ECV108" s="1" t="s">
        <v>122</v>
      </c>
      <c r="ECW108" s="1" t="s">
        <v>122</v>
      </c>
      <c r="ECX108" s="1" t="s">
        <v>122</v>
      </c>
      <c r="ECY108" s="1" t="s">
        <v>122</v>
      </c>
      <c r="ECZ108" s="1" t="s">
        <v>122</v>
      </c>
      <c r="EDA108" s="1" t="s">
        <v>122</v>
      </c>
      <c r="EDB108" s="1" t="s">
        <v>122</v>
      </c>
      <c r="EDC108" s="1" t="s">
        <v>122</v>
      </c>
      <c r="EDD108" s="1" t="s">
        <v>122</v>
      </c>
      <c r="EDE108" s="1" t="s">
        <v>122</v>
      </c>
      <c r="EDF108" s="1" t="s">
        <v>122</v>
      </c>
      <c r="EDG108" s="1" t="s">
        <v>122</v>
      </c>
      <c r="EDH108" s="1" t="s">
        <v>122</v>
      </c>
      <c r="EDI108" s="1" t="s">
        <v>122</v>
      </c>
      <c r="EDJ108" s="1" t="s">
        <v>122</v>
      </c>
      <c r="EDK108" s="1" t="s">
        <v>122</v>
      </c>
      <c r="EDL108" s="1" t="s">
        <v>122</v>
      </c>
      <c r="EDM108" s="1" t="s">
        <v>122</v>
      </c>
      <c r="EDN108" s="1" t="s">
        <v>122</v>
      </c>
      <c r="EDO108" s="1" t="s">
        <v>122</v>
      </c>
      <c r="EDP108" s="1" t="s">
        <v>122</v>
      </c>
      <c r="EDQ108" s="1" t="s">
        <v>122</v>
      </c>
      <c r="EDR108" s="1" t="s">
        <v>122</v>
      </c>
      <c r="EDS108" s="1" t="s">
        <v>122</v>
      </c>
      <c r="EDT108" s="1" t="s">
        <v>122</v>
      </c>
      <c r="EDU108" s="1" t="s">
        <v>122</v>
      </c>
      <c r="EDV108" s="1" t="s">
        <v>122</v>
      </c>
      <c r="EDW108" s="1" t="s">
        <v>122</v>
      </c>
      <c r="EDX108" s="1" t="s">
        <v>122</v>
      </c>
      <c r="EDY108" s="1" t="s">
        <v>122</v>
      </c>
      <c r="EDZ108" s="1" t="s">
        <v>122</v>
      </c>
      <c r="EEA108" s="1" t="s">
        <v>122</v>
      </c>
      <c r="EEB108" s="1" t="s">
        <v>122</v>
      </c>
      <c r="EEC108" s="1" t="s">
        <v>122</v>
      </c>
      <c r="EED108" s="1" t="s">
        <v>122</v>
      </c>
      <c r="EEE108" s="1" t="s">
        <v>122</v>
      </c>
      <c r="EEF108" s="1" t="s">
        <v>122</v>
      </c>
      <c r="EEG108" s="1" t="s">
        <v>122</v>
      </c>
      <c r="EEH108" s="1" t="s">
        <v>122</v>
      </c>
      <c r="EEI108" s="1" t="s">
        <v>122</v>
      </c>
      <c r="EEJ108" s="1" t="s">
        <v>122</v>
      </c>
      <c r="EEK108" s="1" t="s">
        <v>122</v>
      </c>
      <c r="EEL108" s="1" t="s">
        <v>122</v>
      </c>
      <c r="EEM108" s="1" t="s">
        <v>122</v>
      </c>
      <c r="EEN108" s="1" t="s">
        <v>122</v>
      </c>
      <c r="EEO108" s="1" t="s">
        <v>122</v>
      </c>
      <c r="EEP108" s="1" t="s">
        <v>122</v>
      </c>
      <c r="EEQ108" s="1" t="s">
        <v>122</v>
      </c>
      <c r="EER108" s="1" t="s">
        <v>122</v>
      </c>
      <c r="EES108" s="1" t="s">
        <v>122</v>
      </c>
      <c r="EET108" s="1" t="s">
        <v>122</v>
      </c>
      <c r="EEU108" s="1" t="s">
        <v>122</v>
      </c>
      <c r="EEV108" s="1" t="s">
        <v>122</v>
      </c>
      <c r="EEW108" s="1" t="s">
        <v>122</v>
      </c>
      <c r="EEX108" s="1" t="s">
        <v>122</v>
      </c>
      <c r="EEY108" s="1" t="s">
        <v>122</v>
      </c>
      <c r="EEZ108" s="1" t="s">
        <v>122</v>
      </c>
      <c r="EFA108" s="1" t="s">
        <v>122</v>
      </c>
      <c r="EFB108" s="1" t="s">
        <v>122</v>
      </c>
      <c r="EFC108" s="1" t="s">
        <v>122</v>
      </c>
      <c r="EFD108" s="1" t="s">
        <v>122</v>
      </c>
      <c r="EFE108" s="1" t="s">
        <v>122</v>
      </c>
      <c r="EFF108" s="1" t="s">
        <v>122</v>
      </c>
      <c r="EFG108" s="1" t="s">
        <v>122</v>
      </c>
      <c r="EFH108" s="1" t="s">
        <v>122</v>
      </c>
      <c r="EFI108" s="1" t="s">
        <v>122</v>
      </c>
      <c r="EFJ108" s="1" t="s">
        <v>122</v>
      </c>
      <c r="EFK108" s="1" t="s">
        <v>122</v>
      </c>
      <c r="EFL108" s="1" t="s">
        <v>122</v>
      </c>
      <c r="EFM108" s="1" t="s">
        <v>122</v>
      </c>
      <c r="EFN108" s="1" t="s">
        <v>122</v>
      </c>
      <c r="EFO108" s="1" t="s">
        <v>122</v>
      </c>
      <c r="EFP108" s="1" t="s">
        <v>122</v>
      </c>
      <c r="EFQ108" s="1" t="s">
        <v>122</v>
      </c>
      <c r="EFR108" s="1" t="s">
        <v>122</v>
      </c>
      <c r="EFS108" s="1" t="s">
        <v>122</v>
      </c>
      <c r="EFT108" s="1" t="s">
        <v>122</v>
      </c>
      <c r="EFU108" s="1" t="s">
        <v>122</v>
      </c>
      <c r="EFV108" s="1" t="s">
        <v>122</v>
      </c>
      <c r="EFW108" s="1" t="s">
        <v>122</v>
      </c>
      <c r="EFX108" s="1" t="s">
        <v>122</v>
      </c>
      <c r="EFY108" s="1" t="s">
        <v>122</v>
      </c>
      <c r="EFZ108" s="1" t="s">
        <v>122</v>
      </c>
      <c r="EGA108" s="1" t="s">
        <v>122</v>
      </c>
      <c r="EGB108" s="1" t="s">
        <v>122</v>
      </c>
      <c r="EGC108" s="1" t="s">
        <v>122</v>
      </c>
      <c r="EGD108" s="1" t="s">
        <v>122</v>
      </c>
      <c r="EGE108" s="1" t="s">
        <v>122</v>
      </c>
      <c r="EGF108" s="1" t="s">
        <v>122</v>
      </c>
      <c r="EGG108" s="1" t="s">
        <v>122</v>
      </c>
      <c r="EGH108" s="1" t="s">
        <v>122</v>
      </c>
      <c r="EGI108" s="1" t="s">
        <v>122</v>
      </c>
      <c r="EGJ108" s="1" t="s">
        <v>122</v>
      </c>
      <c r="EGK108" s="1" t="s">
        <v>122</v>
      </c>
      <c r="EGL108" s="1" t="s">
        <v>122</v>
      </c>
      <c r="EGM108" s="1" t="s">
        <v>122</v>
      </c>
      <c r="EGN108" s="1" t="s">
        <v>122</v>
      </c>
      <c r="EGO108" s="1" t="s">
        <v>122</v>
      </c>
      <c r="EGP108" s="1" t="s">
        <v>122</v>
      </c>
      <c r="EGQ108" s="1" t="s">
        <v>122</v>
      </c>
      <c r="EGR108" s="1" t="s">
        <v>122</v>
      </c>
      <c r="EGS108" s="1" t="s">
        <v>122</v>
      </c>
      <c r="EGT108" s="1" t="s">
        <v>122</v>
      </c>
      <c r="EGU108" s="1" t="s">
        <v>122</v>
      </c>
      <c r="EGV108" s="1" t="s">
        <v>122</v>
      </c>
      <c r="EGW108" s="1" t="s">
        <v>122</v>
      </c>
      <c r="EGX108" s="1" t="s">
        <v>122</v>
      </c>
      <c r="EGY108" s="1" t="s">
        <v>122</v>
      </c>
      <c r="EGZ108" s="1" t="s">
        <v>122</v>
      </c>
      <c r="EHA108" s="1" t="s">
        <v>122</v>
      </c>
      <c r="EHB108" s="1" t="s">
        <v>122</v>
      </c>
      <c r="EHC108" s="1" t="s">
        <v>122</v>
      </c>
      <c r="EHD108" s="1" t="s">
        <v>122</v>
      </c>
      <c r="EHE108" s="1" t="s">
        <v>122</v>
      </c>
      <c r="EHF108" s="1" t="s">
        <v>122</v>
      </c>
      <c r="EHG108" s="1" t="s">
        <v>122</v>
      </c>
      <c r="EHH108" s="1" t="s">
        <v>122</v>
      </c>
      <c r="EHI108" s="1" t="s">
        <v>122</v>
      </c>
      <c r="EHJ108" s="1" t="s">
        <v>122</v>
      </c>
      <c r="EHK108" s="1" t="s">
        <v>122</v>
      </c>
      <c r="EHL108" s="1" t="s">
        <v>122</v>
      </c>
      <c r="EHM108" s="1" t="s">
        <v>122</v>
      </c>
      <c r="EHN108" s="1" t="s">
        <v>122</v>
      </c>
      <c r="EHO108" s="1" t="s">
        <v>122</v>
      </c>
      <c r="EHP108" s="1" t="s">
        <v>122</v>
      </c>
      <c r="EHQ108" s="1" t="s">
        <v>122</v>
      </c>
      <c r="EHR108" s="1" t="s">
        <v>122</v>
      </c>
      <c r="EHS108" s="1" t="s">
        <v>122</v>
      </c>
      <c r="EHT108" s="1" t="s">
        <v>122</v>
      </c>
      <c r="EHU108" s="1" t="s">
        <v>122</v>
      </c>
      <c r="EHV108" s="1" t="s">
        <v>122</v>
      </c>
      <c r="EHW108" s="1" t="s">
        <v>122</v>
      </c>
      <c r="EHX108" s="1" t="s">
        <v>122</v>
      </c>
      <c r="EHY108" s="1" t="s">
        <v>122</v>
      </c>
      <c r="EHZ108" s="1" t="s">
        <v>122</v>
      </c>
      <c r="EIA108" s="1" t="s">
        <v>122</v>
      </c>
      <c r="EIB108" s="1" t="s">
        <v>122</v>
      </c>
      <c r="EIC108" s="1" t="s">
        <v>122</v>
      </c>
      <c r="EID108" s="1" t="s">
        <v>122</v>
      </c>
      <c r="EIE108" s="1" t="s">
        <v>122</v>
      </c>
      <c r="EIF108" s="1" t="s">
        <v>122</v>
      </c>
      <c r="EIG108" s="1" t="s">
        <v>122</v>
      </c>
      <c r="EIH108" s="1" t="s">
        <v>122</v>
      </c>
      <c r="EII108" s="1" t="s">
        <v>122</v>
      </c>
      <c r="EIJ108" s="1" t="s">
        <v>122</v>
      </c>
      <c r="EIK108" s="1" t="s">
        <v>122</v>
      </c>
      <c r="EIL108" s="1" t="s">
        <v>122</v>
      </c>
      <c r="EIM108" s="1" t="s">
        <v>122</v>
      </c>
      <c r="EIN108" s="1" t="s">
        <v>122</v>
      </c>
      <c r="EIO108" s="1" t="s">
        <v>122</v>
      </c>
      <c r="EIP108" s="1" t="s">
        <v>122</v>
      </c>
      <c r="EIQ108" s="1" t="s">
        <v>122</v>
      </c>
      <c r="EIR108" s="1" t="s">
        <v>122</v>
      </c>
      <c r="EIS108" s="1" t="s">
        <v>122</v>
      </c>
      <c r="EIT108" s="1" t="s">
        <v>122</v>
      </c>
      <c r="EIU108" s="1" t="s">
        <v>122</v>
      </c>
      <c r="EIV108" s="1" t="s">
        <v>122</v>
      </c>
      <c r="EIW108" s="1" t="s">
        <v>122</v>
      </c>
      <c r="EIX108" s="1" t="s">
        <v>122</v>
      </c>
      <c r="EIY108" s="1" t="s">
        <v>122</v>
      </c>
      <c r="EIZ108" s="1" t="s">
        <v>122</v>
      </c>
      <c r="EJA108" s="1" t="s">
        <v>122</v>
      </c>
      <c r="EJB108" s="1" t="s">
        <v>122</v>
      </c>
      <c r="EJC108" s="1" t="s">
        <v>122</v>
      </c>
      <c r="EJD108" s="1" t="s">
        <v>122</v>
      </c>
      <c r="EJE108" s="1" t="s">
        <v>122</v>
      </c>
      <c r="EJF108" s="1" t="s">
        <v>122</v>
      </c>
      <c r="EJG108" s="1" t="s">
        <v>122</v>
      </c>
      <c r="EJH108" s="1" t="s">
        <v>122</v>
      </c>
      <c r="EJI108" s="1" t="s">
        <v>122</v>
      </c>
      <c r="EJJ108" s="1" t="s">
        <v>122</v>
      </c>
      <c r="EJK108" s="1" t="s">
        <v>122</v>
      </c>
      <c r="EJL108" s="1" t="s">
        <v>122</v>
      </c>
      <c r="EJM108" s="1" t="s">
        <v>122</v>
      </c>
      <c r="EJN108" s="1" t="s">
        <v>122</v>
      </c>
      <c r="EJO108" s="1" t="s">
        <v>122</v>
      </c>
      <c r="EJP108" s="1" t="s">
        <v>122</v>
      </c>
      <c r="EJQ108" s="1" t="s">
        <v>122</v>
      </c>
      <c r="EJR108" s="1" t="s">
        <v>122</v>
      </c>
      <c r="EJS108" s="1" t="s">
        <v>122</v>
      </c>
      <c r="EJT108" s="1" t="s">
        <v>122</v>
      </c>
      <c r="EJU108" s="1" t="s">
        <v>122</v>
      </c>
      <c r="EJV108" s="1" t="s">
        <v>122</v>
      </c>
      <c r="EJW108" s="1" t="s">
        <v>122</v>
      </c>
      <c r="EJX108" s="1" t="s">
        <v>122</v>
      </c>
      <c r="EJY108" s="1" t="s">
        <v>122</v>
      </c>
      <c r="EJZ108" s="1" t="s">
        <v>122</v>
      </c>
      <c r="EKA108" s="1" t="s">
        <v>122</v>
      </c>
      <c r="EKB108" s="1" t="s">
        <v>122</v>
      </c>
      <c r="EKC108" s="1" t="s">
        <v>122</v>
      </c>
      <c r="EKD108" s="1" t="s">
        <v>122</v>
      </c>
      <c r="EKE108" s="1" t="s">
        <v>122</v>
      </c>
      <c r="EKF108" s="1" t="s">
        <v>122</v>
      </c>
      <c r="EKG108" s="1" t="s">
        <v>122</v>
      </c>
      <c r="EKH108" s="1" t="s">
        <v>122</v>
      </c>
      <c r="EKI108" s="1" t="s">
        <v>122</v>
      </c>
      <c r="EKJ108" s="1" t="s">
        <v>122</v>
      </c>
      <c r="EKK108" s="1" t="s">
        <v>122</v>
      </c>
      <c r="EKL108" s="1" t="s">
        <v>122</v>
      </c>
      <c r="EKM108" s="1" t="s">
        <v>122</v>
      </c>
      <c r="EKN108" s="1" t="s">
        <v>122</v>
      </c>
      <c r="EKO108" s="1" t="s">
        <v>122</v>
      </c>
      <c r="EKP108" s="1" t="s">
        <v>122</v>
      </c>
      <c r="EKQ108" s="1" t="s">
        <v>122</v>
      </c>
      <c r="EKR108" s="1" t="s">
        <v>122</v>
      </c>
      <c r="EKS108" s="1" t="s">
        <v>122</v>
      </c>
      <c r="EKT108" s="1" t="s">
        <v>122</v>
      </c>
      <c r="EKU108" s="1" t="s">
        <v>122</v>
      </c>
      <c r="EKV108" s="1" t="s">
        <v>122</v>
      </c>
      <c r="EKW108" s="1" t="s">
        <v>122</v>
      </c>
      <c r="EKX108" s="1" t="s">
        <v>122</v>
      </c>
      <c r="EKY108" s="1" t="s">
        <v>122</v>
      </c>
      <c r="EKZ108" s="1" t="s">
        <v>122</v>
      </c>
      <c r="ELA108" s="1" t="s">
        <v>122</v>
      </c>
      <c r="ELB108" s="1" t="s">
        <v>122</v>
      </c>
      <c r="ELC108" s="1" t="s">
        <v>122</v>
      </c>
      <c r="ELD108" s="1" t="s">
        <v>122</v>
      </c>
      <c r="ELE108" s="1" t="s">
        <v>122</v>
      </c>
      <c r="ELF108" s="1" t="s">
        <v>122</v>
      </c>
      <c r="ELG108" s="1" t="s">
        <v>122</v>
      </c>
      <c r="ELH108" s="1" t="s">
        <v>122</v>
      </c>
      <c r="ELI108" s="1" t="s">
        <v>122</v>
      </c>
      <c r="ELJ108" s="1" t="s">
        <v>122</v>
      </c>
      <c r="ELK108" s="1" t="s">
        <v>122</v>
      </c>
      <c r="ELL108" s="1" t="s">
        <v>122</v>
      </c>
      <c r="ELM108" s="1" t="s">
        <v>122</v>
      </c>
      <c r="ELN108" s="1" t="s">
        <v>122</v>
      </c>
      <c r="ELO108" s="1" t="s">
        <v>122</v>
      </c>
      <c r="ELP108" s="1" t="s">
        <v>122</v>
      </c>
      <c r="ELQ108" s="1" t="s">
        <v>122</v>
      </c>
      <c r="ELR108" s="1" t="s">
        <v>122</v>
      </c>
      <c r="ELS108" s="1" t="s">
        <v>122</v>
      </c>
      <c r="ELT108" s="1" t="s">
        <v>122</v>
      </c>
      <c r="ELU108" s="1" t="s">
        <v>122</v>
      </c>
      <c r="ELV108" s="1" t="s">
        <v>122</v>
      </c>
      <c r="ELW108" s="1" t="s">
        <v>122</v>
      </c>
      <c r="ELX108" s="1" t="s">
        <v>122</v>
      </c>
      <c r="ELY108" s="1" t="s">
        <v>122</v>
      </c>
      <c r="ELZ108" s="1" t="s">
        <v>122</v>
      </c>
      <c r="EMA108" s="1" t="s">
        <v>122</v>
      </c>
      <c r="EMB108" s="1" t="s">
        <v>122</v>
      </c>
      <c r="EMC108" s="1" t="s">
        <v>122</v>
      </c>
      <c r="EMD108" s="1" t="s">
        <v>122</v>
      </c>
      <c r="EME108" s="1" t="s">
        <v>122</v>
      </c>
      <c r="EMF108" s="1" t="s">
        <v>122</v>
      </c>
      <c r="EMG108" s="1" t="s">
        <v>122</v>
      </c>
      <c r="EMH108" s="1" t="s">
        <v>122</v>
      </c>
      <c r="EMI108" s="1" t="s">
        <v>122</v>
      </c>
      <c r="EMJ108" s="1" t="s">
        <v>122</v>
      </c>
      <c r="EMK108" s="1" t="s">
        <v>122</v>
      </c>
      <c r="EML108" s="1" t="s">
        <v>122</v>
      </c>
      <c r="EMM108" s="1" t="s">
        <v>122</v>
      </c>
      <c r="EMN108" s="1" t="s">
        <v>122</v>
      </c>
      <c r="EMO108" s="1" t="s">
        <v>122</v>
      </c>
      <c r="EMP108" s="1" t="s">
        <v>122</v>
      </c>
      <c r="EMQ108" s="1" t="s">
        <v>122</v>
      </c>
      <c r="EMR108" s="1" t="s">
        <v>122</v>
      </c>
      <c r="EMS108" s="1" t="s">
        <v>122</v>
      </c>
      <c r="EMT108" s="1" t="s">
        <v>122</v>
      </c>
      <c r="EMU108" s="1" t="s">
        <v>122</v>
      </c>
      <c r="EMV108" s="1" t="s">
        <v>122</v>
      </c>
      <c r="EMW108" s="1" t="s">
        <v>122</v>
      </c>
      <c r="EMX108" s="1" t="s">
        <v>122</v>
      </c>
      <c r="EMY108" s="1" t="s">
        <v>122</v>
      </c>
      <c r="EMZ108" s="1" t="s">
        <v>122</v>
      </c>
      <c r="ENA108" s="1" t="s">
        <v>122</v>
      </c>
      <c r="ENB108" s="1" t="s">
        <v>122</v>
      </c>
      <c r="ENC108" s="1" t="s">
        <v>122</v>
      </c>
      <c r="END108" s="1" t="s">
        <v>122</v>
      </c>
      <c r="ENE108" s="1" t="s">
        <v>122</v>
      </c>
      <c r="ENF108" s="1" t="s">
        <v>122</v>
      </c>
      <c r="ENG108" s="1" t="s">
        <v>122</v>
      </c>
      <c r="ENH108" s="1" t="s">
        <v>122</v>
      </c>
      <c r="ENI108" s="1" t="s">
        <v>122</v>
      </c>
      <c r="ENJ108" s="1" t="s">
        <v>122</v>
      </c>
      <c r="ENK108" s="1" t="s">
        <v>122</v>
      </c>
      <c r="ENL108" s="1" t="s">
        <v>122</v>
      </c>
      <c r="ENM108" s="1" t="s">
        <v>122</v>
      </c>
      <c r="ENN108" s="1" t="s">
        <v>122</v>
      </c>
      <c r="ENO108" s="1" t="s">
        <v>122</v>
      </c>
      <c r="ENP108" s="1" t="s">
        <v>122</v>
      </c>
      <c r="ENQ108" s="1" t="s">
        <v>122</v>
      </c>
      <c r="ENR108" s="1" t="s">
        <v>122</v>
      </c>
      <c r="ENS108" s="1" t="s">
        <v>122</v>
      </c>
      <c r="ENT108" s="1" t="s">
        <v>122</v>
      </c>
      <c r="ENU108" s="1" t="s">
        <v>122</v>
      </c>
      <c r="ENV108" s="1" t="s">
        <v>122</v>
      </c>
      <c r="ENW108" s="1" t="s">
        <v>122</v>
      </c>
      <c r="ENX108" s="1" t="s">
        <v>122</v>
      </c>
      <c r="ENY108" s="1" t="s">
        <v>122</v>
      </c>
      <c r="ENZ108" s="1" t="s">
        <v>122</v>
      </c>
      <c r="EOA108" s="1" t="s">
        <v>122</v>
      </c>
      <c r="EOB108" s="1" t="s">
        <v>122</v>
      </c>
      <c r="EOC108" s="1" t="s">
        <v>122</v>
      </c>
      <c r="EOD108" s="1" t="s">
        <v>122</v>
      </c>
      <c r="EOE108" s="1" t="s">
        <v>122</v>
      </c>
      <c r="EOF108" s="1" t="s">
        <v>122</v>
      </c>
      <c r="EOG108" s="1" t="s">
        <v>122</v>
      </c>
      <c r="EOH108" s="1" t="s">
        <v>122</v>
      </c>
      <c r="EOI108" s="1" t="s">
        <v>122</v>
      </c>
      <c r="EOJ108" s="1" t="s">
        <v>122</v>
      </c>
      <c r="EOK108" s="1" t="s">
        <v>122</v>
      </c>
      <c r="EOL108" s="1" t="s">
        <v>122</v>
      </c>
      <c r="EOM108" s="1" t="s">
        <v>122</v>
      </c>
      <c r="EON108" s="1" t="s">
        <v>122</v>
      </c>
      <c r="EOO108" s="1" t="s">
        <v>122</v>
      </c>
      <c r="EOP108" s="1" t="s">
        <v>122</v>
      </c>
      <c r="EOQ108" s="1" t="s">
        <v>122</v>
      </c>
      <c r="EOR108" s="1" t="s">
        <v>122</v>
      </c>
      <c r="EOS108" s="1" t="s">
        <v>122</v>
      </c>
      <c r="EOT108" s="1" t="s">
        <v>122</v>
      </c>
      <c r="EOU108" s="1" t="s">
        <v>122</v>
      </c>
      <c r="EOV108" s="1" t="s">
        <v>122</v>
      </c>
      <c r="EOW108" s="1" t="s">
        <v>122</v>
      </c>
      <c r="EOX108" s="1" t="s">
        <v>122</v>
      </c>
      <c r="EOY108" s="1" t="s">
        <v>122</v>
      </c>
      <c r="EOZ108" s="1" t="s">
        <v>122</v>
      </c>
      <c r="EPA108" s="1" t="s">
        <v>122</v>
      </c>
      <c r="EPB108" s="1" t="s">
        <v>122</v>
      </c>
      <c r="EPC108" s="1" t="s">
        <v>122</v>
      </c>
      <c r="EPD108" s="1" t="s">
        <v>122</v>
      </c>
      <c r="EPE108" s="1" t="s">
        <v>122</v>
      </c>
      <c r="EPF108" s="1" t="s">
        <v>122</v>
      </c>
      <c r="EPG108" s="1" t="s">
        <v>122</v>
      </c>
      <c r="EPH108" s="1" t="s">
        <v>122</v>
      </c>
      <c r="EPI108" s="1" t="s">
        <v>122</v>
      </c>
      <c r="EPJ108" s="1" t="s">
        <v>122</v>
      </c>
      <c r="EPK108" s="1" t="s">
        <v>122</v>
      </c>
      <c r="EPL108" s="1" t="s">
        <v>122</v>
      </c>
      <c r="EPM108" s="1" t="s">
        <v>122</v>
      </c>
      <c r="EPN108" s="1" t="s">
        <v>122</v>
      </c>
      <c r="EPO108" s="1" t="s">
        <v>122</v>
      </c>
      <c r="EPP108" s="1" t="s">
        <v>122</v>
      </c>
      <c r="EPQ108" s="1" t="s">
        <v>122</v>
      </c>
      <c r="EPR108" s="1" t="s">
        <v>122</v>
      </c>
      <c r="EPS108" s="1" t="s">
        <v>122</v>
      </c>
      <c r="EPT108" s="1" t="s">
        <v>122</v>
      </c>
      <c r="EPU108" s="1" t="s">
        <v>122</v>
      </c>
      <c r="EPV108" s="1" t="s">
        <v>122</v>
      </c>
      <c r="EPW108" s="1" t="s">
        <v>122</v>
      </c>
      <c r="EPX108" s="1" t="s">
        <v>122</v>
      </c>
      <c r="EPY108" s="1" t="s">
        <v>122</v>
      </c>
      <c r="EPZ108" s="1" t="s">
        <v>122</v>
      </c>
      <c r="EQA108" s="1" t="s">
        <v>122</v>
      </c>
      <c r="EQB108" s="1" t="s">
        <v>122</v>
      </c>
      <c r="EQC108" s="1" t="s">
        <v>122</v>
      </c>
      <c r="EQD108" s="1" t="s">
        <v>122</v>
      </c>
      <c r="EQE108" s="1" t="s">
        <v>122</v>
      </c>
      <c r="EQF108" s="1" t="s">
        <v>122</v>
      </c>
      <c r="EQG108" s="1" t="s">
        <v>122</v>
      </c>
      <c r="EQH108" s="1" t="s">
        <v>122</v>
      </c>
      <c r="EQI108" s="1" t="s">
        <v>122</v>
      </c>
      <c r="EQJ108" s="1" t="s">
        <v>122</v>
      </c>
      <c r="EQK108" s="1" t="s">
        <v>122</v>
      </c>
      <c r="EQL108" s="1" t="s">
        <v>122</v>
      </c>
      <c r="EQM108" s="1" t="s">
        <v>122</v>
      </c>
      <c r="EQN108" s="1" t="s">
        <v>122</v>
      </c>
      <c r="EQO108" s="1" t="s">
        <v>122</v>
      </c>
      <c r="EQP108" s="1" t="s">
        <v>122</v>
      </c>
      <c r="EQQ108" s="1" t="s">
        <v>122</v>
      </c>
      <c r="EQR108" s="1" t="s">
        <v>122</v>
      </c>
      <c r="EQS108" s="1" t="s">
        <v>122</v>
      </c>
      <c r="EQT108" s="1" t="s">
        <v>122</v>
      </c>
      <c r="EQU108" s="1" t="s">
        <v>122</v>
      </c>
      <c r="EQV108" s="1" t="s">
        <v>122</v>
      </c>
      <c r="EQW108" s="1" t="s">
        <v>122</v>
      </c>
      <c r="EQX108" s="1" t="s">
        <v>122</v>
      </c>
      <c r="EQY108" s="1" t="s">
        <v>122</v>
      </c>
      <c r="EQZ108" s="1" t="s">
        <v>122</v>
      </c>
      <c r="ERA108" s="1" t="s">
        <v>122</v>
      </c>
      <c r="ERB108" s="1" t="s">
        <v>122</v>
      </c>
      <c r="ERC108" s="1" t="s">
        <v>122</v>
      </c>
      <c r="ERD108" s="1" t="s">
        <v>122</v>
      </c>
      <c r="ERE108" s="1" t="s">
        <v>122</v>
      </c>
      <c r="ERF108" s="1" t="s">
        <v>122</v>
      </c>
      <c r="ERG108" s="1" t="s">
        <v>122</v>
      </c>
      <c r="ERH108" s="1" t="s">
        <v>122</v>
      </c>
      <c r="ERI108" s="1" t="s">
        <v>122</v>
      </c>
      <c r="ERJ108" s="1" t="s">
        <v>122</v>
      </c>
      <c r="ERK108" s="1" t="s">
        <v>122</v>
      </c>
      <c r="ERL108" s="1" t="s">
        <v>122</v>
      </c>
      <c r="ERM108" s="1" t="s">
        <v>122</v>
      </c>
      <c r="ERN108" s="1" t="s">
        <v>122</v>
      </c>
      <c r="ERO108" s="1" t="s">
        <v>122</v>
      </c>
      <c r="ERP108" s="1" t="s">
        <v>122</v>
      </c>
      <c r="ERQ108" s="1" t="s">
        <v>122</v>
      </c>
      <c r="ERR108" s="1" t="s">
        <v>122</v>
      </c>
      <c r="ERS108" s="1" t="s">
        <v>122</v>
      </c>
      <c r="ERT108" s="1" t="s">
        <v>122</v>
      </c>
      <c r="ERU108" s="1" t="s">
        <v>122</v>
      </c>
      <c r="ERV108" s="1" t="s">
        <v>122</v>
      </c>
      <c r="ERW108" s="1" t="s">
        <v>122</v>
      </c>
      <c r="ERX108" s="1" t="s">
        <v>122</v>
      </c>
      <c r="ERY108" s="1" t="s">
        <v>122</v>
      </c>
      <c r="ERZ108" s="1" t="s">
        <v>122</v>
      </c>
      <c r="ESA108" s="1" t="s">
        <v>122</v>
      </c>
      <c r="ESB108" s="1" t="s">
        <v>122</v>
      </c>
      <c r="ESC108" s="1" t="s">
        <v>122</v>
      </c>
      <c r="ESD108" s="1" t="s">
        <v>122</v>
      </c>
      <c r="ESE108" s="1" t="s">
        <v>122</v>
      </c>
      <c r="ESF108" s="1" t="s">
        <v>122</v>
      </c>
      <c r="ESG108" s="1" t="s">
        <v>122</v>
      </c>
      <c r="ESH108" s="1" t="s">
        <v>122</v>
      </c>
      <c r="ESI108" s="1" t="s">
        <v>122</v>
      </c>
      <c r="ESJ108" s="1" t="s">
        <v>122</v>
      </c>
      <c r="ESK108" s="1" t="s">
        <v>122</v>
      </c>
      <c r="ESL108" s="1" t="s">
        <v>122</v>
      </c>
      <c r="ESM108" s="1" t="s">
        <v>122</v>
      </c>
      <c r="ESN108" s="1" t="s">
        <v>122</v>
      </c>
      <c r="ESO108" s="1" t="s">
        <v>122</v>
      </c>
      <c r="ESP108" s="1" t="s">
        <v>122</v>
      </c>
      <c r="ESQ108" s="1" t="s">
        <v>122</v>
      </c>
      <c r="ESR108" s="1" t="s">
        <v>122</v>
      </c>
      <c r="ESS108" s="1" t="s">
        <v>122</v>
      </c>
      <c r="EST108" s="1" t="s">
        <v>122</v>
      </c>
      <c r="ESU108" s="1" t="s">
        <v>122</v>
      </c>
      <c r="ESV108" s="1" t="s">
        <v>122</v>
      </c>
      <c r="ESW108" s="1" t="s">
        <v>122</v>
      </c>
      <c r="ESX108" s="1" t="s">
        <v>122</v>
      </c>
      <c r="ESY108" s="1" t="s">
        <v>122</v>
      </c>
      <c r="ESZ108" s="1" t="s">
        <v>122</v>
      </c>
      <c r="ETA108" s="1" t="s">
        <v>122</v>
      </c>
      <c r="ETB108" s="1" t="s">
        <v>122</v>
      </c>
      <c r="ETC108" s="1" t="s">
        <v>122</v>
      </c>
      <c r="ETD108" s="1" t="s">
        <v>122</v>
      </c>
      <c r="ETE108" s="1" t="s">
        <v>122</v>
      </c>
      <c r="ETF108" s="1" t="s">
        <v>122</v>
      </c>
      <c r="ETG108" s="1" t="s">
        <v>122</v>
      </c>
      <c r="ETH108" s="1" t="s">
        <v>122</v>
      </c>
      <c r="ETI108" s="1" t="s">
        <v>122</v>
      </c>
      <c r="ETJ108" s="1" t="s">
        <v>122</v>
      </c>
      <c r="ETK108" s="1" t="s">
        <v>122</v>
      </c>
      <c r="ETL108" s="1" t="s">
        <v>122</v>
      </c>
      <c r="ETM108" s="1" t="s">
        <v>122</v>
      </c>
      <c r="ETN108" s="1" t="s">
        <v>122</v>
      </c>
      <c r="ETO108" s="1" t="s">
        <v>122</v>
      </c>
      <c r="ETP108" s="1" t="s">
        <v>122</v>
      </c>
      <c r="ETQ108" s="1" t="s">
        <v>122</v>
      </c>
      <c r="ETR108" s="1" t="s">
        <v>122</v>
      </c>
      <c r="ETS108" s="1" t="s">
        <v>122</v>
      </c>
      <c r="ETT108" s="1" t="s">
        <v>122</v>
      </c>
      <c r="ETU108" s="1" t="s">
        <v>122</v>
      </c>
      <c r="ETV108" s="1" t="s">
        <v>122</v>
      </c>
      <c r="ETW108" s="1" t="s">
        <v>122</v>
      </c>
      <c r="ETX108" s="1" t="s">
        <v>122</v>
      </c>
      <c r="ETY108" s="1" t="s">
        <v>122</v>
      </c>
      <c r="ETZ108" s="1" t="s">
        <v>122</v>
      </c>
      <c r="EUA108" s="1" t="s">
        <v>122</v>
      </c>
      <c r="EUB108" s="1" t="s">
        <v>122</v>
      </c>
      <c r="EUC108" s="1" t="s">
        <v>122</v>
      </c>
      <c r="EUD108" s="1" t="s">
        <v>122</v>
      </c>
      <c r="EUE108" s="1" t="s">
        <v>122</v>
      </c>
      <c r="EUF108" s="1" t="s">
        <v>122</v>
      </c>
      <c r="EUG108" s="1" t="s">
        <v>122</v>
      </c>
      <c r="EUH108" s="1" t="s">
        <v>122</v>
      </c>
      <c r="EUI108" s="1" t="s">
        <v>122</v>
      </c>
      <c r="EUJ108" s="1" t="s">
        <v>122</v>
      </c>
      <c r="EUK108" s="1" t="s">
        <v>122</v>
      </c>
      <c r="EUL108" s="1" t="s">
        <v>122</v>
      </c>
      <c r="EUM108" s="1" t="s">
        <v>122</v>
      </c>
      <c r="EUN108" s="1" t="s">
        <v>122</v>
      </c>
      <c r="EUO108" s="1" t="s">
        <v>122</v>
      </c>
      <c r="EUP108" s="1" t="s">
        <v>122</v>
      </c>
      <c r="EUQ108" s="1" t="s">
        <v>122</v>
      </c>
      <c r="EUR108" s="1" t="s">
        <v>122</v>
      </c>
      <c r="EUS108" s="1" t="s">
        <v>122</v>
      </c>
      <c r="EUT108" s="1" t="s">
        <v>122</v>
      </c>
      <c r="EUU108" s="1" t="s">
        <v>122</v>
      </c>
      <c r="EUV108" s="1" t="s">
        <v>122</v>
      </c>
      <c r="EUW108" s="1" t="s">
        <v>122</v>
      </c>
      <c r="EUX108" s="1" t="s">
        <v>122</v>
      </c>
      <c r="EUY108" s="1" t="s">
        <v>122</v>
      </c>
      <c r="EUZ108" s="1" t="s">
        <v>122</v>
      </c>
      <c r="EVA108" s="1" t="s">
        <v>122</v>
      </c>
      <c r="EVB108" s="1" t="s">
        <v>122</v>
      </c>
      <c r="EVC108" s="1" t="s">
        <v>122</v>
      </c>
      <c r="EVD108" s="1" t="s">
        <v>122</v>
      </c>
      <c r="EVE108" s="1" t="s">
        <v>122</v>
      </c>
      <c r="EVF108" s="1" t="s">
        <v>122</v>
      </c>
      <c r="EVG108" s="1" t="s">
        <v>122</v>
      </c>
      <c r="EVH108" s="1" t="s">
        <v>122</v>
      </c>
      <c r="EVI108" s="1" t="s">
        <v>122</v>
      </c>
      <c r="EVJ108" s="1" t="s">
        <v>122</v>
      </c>
      <c r="EVK108" s="1" t="s">
        <v>122</v>
      </c>
      <c r="EVL108" s="1" t="s">
        <v>122</v>
      </c>
      <c r="EVM108" s="1" t="s">
        <v>122</v>
      </c>
      <c r="EVN108" s="1" t="s">
        <v>122</v>
      </c>
      <c r="EVO108" s="1" t="s">
        <v>122</v>
      </c>
      <c r="EVP108" s="1" t="s">
        <v>122</v>
      </c>
      <c r="EVQ108" s="1" t="s">
        <v>122</v>
      </c>
      <c r="EVR108" s="1" t="s">
        <v>122</v>
      </c>
      <c r="EVS108" s="1" t="s">
        <v>122</v>
      </c>
      <c r="EVT108" s="1" t="s">
        <v>122</v>
      </c>
      <c r="EVU108" s="1" t="s">
        <v>122</v>
      </c>
      <c r="EVV108" s="1" t="s">
        <v>122</v>
      </c>
      <c r="EVW108" s="1" t="s">
        <v>122</v>
      </c>
      <c r="EVX108" s="1" t="s">
        <v>122</v>
      </c>
      <c r="EVY108" s="1" t="s">
        <v>122</v>
      </c>
      <c r="EVZ108" s="1" t="s">
        <v>122</v>
      </c>
      <c r="EWA108" s="1" t="s">
        <v>122</v>
      </c>
      <c r="EWB108" s="1" t="s">
        <v>122</v>
      </c>
      <c r="EWC108" s="1" t="s">
        <v>122</v>
      </c>
      <c r="EWD108" s="1" t="s">
        <v>122</v>
      </c>
      <c r="EWE108" s="1" t="s">
        <v>122</v>
      </c>
      <c r="EWF108" s="1" t="s">
        <v>122</v>
      </c>
      <c r="EWG108" s="1" t="s">
        <v>122</v>
      </c>
      <c r="EWH108" s="1" t="s">
        <v>122</v>
      </c>
      <c r="EWI108" s="1" t="s">
        <v>122</v>
      </c>
      <c r="EWJ108" s="1" t="s">
        <v>122</v>
      </c>
      <c r="EWK108" s="1" t="s">
        <v>122</v>
      </c>
      <c r="EWL108" s="1" t="s">
        <v>122</v>
      </c>
      <c r="EWM108" s="1" t="s">
        <v>122</v>
      </c>
      <c r="EWN108" s="1" t="s">
        <v>122</v>
      </c>
      <c r="EWO108" s="1" t="s">
        <v>122</v>
      </c>
      <c r="EWP108" s="1" t="s">
        <v>122</v>
      </c>
      <c r="EWQ108" s="1" t="s">
        <v>122</v>
      </c>
      <c r="EWR108" s="1" t="s">
        <v>122</v>
      </c>
      <c r="EWS108" s="1" t="s">
        <v>122</v>
      </c>
      <c r="EWT108" s="1" t="s">
        <v>122</v>
      </c>
      <c r="EWU108" s="1" t="s">
        <v>122</v>
      </c>
      <c r="EWV108" s="1" t="s">
        <v>122</v>
      </c>
      <c r="EWW108" s="1" t="s">
        <v>122</v>
      </c>
      <c r="EWX108" s="1" t="s">
        <v>122</v>
      </c>
      <c r="EWY108" s="1" t="s">
        <v>122</v>
      </c>
      <c r="EWZ108" s="1" t="s">
        <v>122</v>
      </c>
      <c r="EXA108" s="1" t="s">
        <v>122</v>
      </c>
      <c r="EXB108" s="1" t="s">
        <v>122</v>
      </c>
      <c r="EXC108" s="1" t="s">
        <v>122</v>
      </c>
      <c r="EXD108" s="1" t="s">
        <v>122</v>
      </c>
      <c r="EXE108" s="1" t="s">
        <v>122</v>
      </c>
      <c r="EXF108" s="1" t="s">
        <v>122</v>
      </c>
      <c r="EXG108" s="1" t="s">
        <v>122</v>
      </c>
      <c r="EXH108" s="1" t="s">
        <v>122</v>
      </c>
      <c r="EXI108" s="1" t="s">
        <v>122</v>
      </c>
      <c r="EXJ108" s="1" t="s">
        <v>122</v>
      </c>
      <c r="EXK108" s="1" t="s">
        <v>122</v>
      </c>
      <c r="EXL108" s="1" t="s">
        <v>122</v>
      </c>
      <c r="EXM108" s="1" t="s">
        <v>122</v>
      </c>
      <c r="EXN108" s="1" t="s">
        <v>122</v>
      </c>
      <c r="EXO108" s="1" t="s">
        <v>122</v>
      </c>
      <c r="EXP108" s="1" t="s">
        <v>122</v>
      </c>
      <c r="EXQ108" s="1" t="s">
        <v>122</v>
      </c>
      <c r="EXR108" s="1" t="s">
        <v>122</v>
      </c>
      <c r="EXS108" s="1" t="s">
        <v>122</v>
      </c>
      <c r="EXT108" s="1" t="s">
        <v>122</v>
      </c>
      <c r="EXU108" s="1" t="s">
        <v>122</v>
      </c>
      <c r="EXV108" s="1" t="s">
        <v>122</v>
      </c>
      <c r="EXW108" s="1" t="s">
        <v>122</v>
      </c>
      <c r="EXX108" s="1" t="s">
        <v>122</v>
      </c>
      <c r="EXY108" s="1" t="s">
        <v>122</v>
      </c>
      <c r="EXZ108" s="1" t="s">
        <v>122</v>
      </c>
      <c r="EYA108" s="1" t="s">
        <v>122</v>
      </c>
      <c r="EYB108" s="1" t="s">
        <v>122</v>
      </c>
      <c r="EYC108" s="1" t="s">
        <v>122</v>
      </c>
      <c r="EYD108" s="1" t="s">
        <v>122</v>
      </c>
      <c r="EYE108" s="1" t="s">
        <v>122</v>
      </c>
      <c r="EYF108" s="1" t="s">
        <v>122</v>
      </c>
      <c r="EYG108" s="1" t="s">
        <v>122</v>
      </c>
      <c r="EYH108" s="1" t="s">
        <v>122</v>
      </c>
      <c r="EYI108" s="1" t="s">
        <v>122</v>
      </c>
      <c r="EYJ108" s="1" t="s">
        <v>122</v>
      </c>
      <c r="EYK108" s="1" t="s">
        <v>122</v>
      </c>
      <c r="EYL108" s="1" t="s">
        <v>122</v>
      </c>
      <c r="EYM108" s="1" t="s">
        <v>122</v>
      </c>
      <c r="EYN108" s="1" t="s">
        <v>122</v>
      </c>
      <c r="EYO108" s="1" t="s">
        <v>122</v>
      </c>
      <c r="EYP108" s="1" t="s">
        <v>122</v>
      </c>
      <c r="EYQ108" s="1" t="s">
        <v>122</v>
      </c>
      <c r="EYR108" s="1" t="s">
        <v>122</v>
      </c>
      <c r="EYS108" s="1" t="s">
        <v>122</v>
      </c>
      <c r="EYT108" s="1" t="s">
        <v>122</v>
      </c>
      <c r="EYU108" s="1" t="s">
        <v>122</v>
      </c>
      <c r="EYV108" s="1" t="s">
        <v>122</v>
      </c>
      <c r="EYW108" s="1" t="s">
        <v>122</v>
      </c>
      <c r="EYX108" s="1" t="s">
        <v>122</v>
      </c>
      <c r="EYY108" s="1" t="s">
        <v>122</v>
      </c>
      <c r="EYZ108" s="1" t="s">
        <v>122</v>
      </c>
      <c r="EZA108" s="1" t="s">
        <v>122</v>
      </c>
      <c r="EZB108" s="1" t="s">
        <v>122</v>
      </c>
      <c r="EZC108" s="1" t="s">
        <v>122</v>
      </c>
      <c r="EZD108" s="1" t="s">
        <v>122</v>
      </c>
      <c r="EZE108" s="1" t="s">
        <v>122</v>
      </c>
      <c r="EZF108" s="1" t="s">
        <v>122</v>
      </c>
      <c r="EZG108" s="1" t="s">
        <v>122</v>
      </c>
      <c r="EZH108" s="1" t="s">
        <v>122</v>
      </c>
      <c r="EZI108" s="1" t="s">
        <v>122</v>
      </c>
      <c r="EZJ108" s="1" t="s">
        <v>122</v>
      </c>
      <c r="EZK108" s="1" t="s">
        <v>122</v>
      </c>
      <c r="EZL108" s="1" t="s">
        <v>122</v>
      </c>
      <c r="EZM108" s="1" t="s">
        <v>122</v>
      </c>
      <c r="EZN108" s="1" t="s">
        <v>122</v>
      </c>
      <c r="EZO108" s="1" t="s">
        <v>122</v>
      </c>
      <c r="EZP108" s="1" t="s">
        <v>122</v>
      </c>
      <c r="EZQ108" s="1" t="s">
        <v>122</v>
      </c>
      <c r="EZR108" s="1" t="s">
        <v>122</v>
      </c>
      <c r="EZS108" s="1" t="s">
        <v>122</v>
      </c>
      <c r="EZT108" s="1" t="s">
        <v>122</v>
      </c>
      <c r="EZU108" s="1" t="s">
        <v>122</v>
      </c>
      <c r="EZV108" s="1" t="s">
        <v>122</v>
      </c>
      <c r="EZW108" s="1" t="s">
        <v>122</v>
      </c>
      <c r="EZX108" s="1" t="s">
        <v>122</v>
      </c>
      <c r="EZY108" s="1" t="s">
        <v>122</v>
      </c>
      <c r="EZZ108" s="1" t="s">
        <v>122</v>
      </c>
      <c r="FAA108" s="1" t="s">
        <v>122</v>
      </c>
      <c r="FAB108" s="1" t="s">
        <v>122</v>
      </c>
      <c r="FAC108" s="1" t="s">
        <v>122</v>
      </c>
      <c r="FAD108" s="1" t="s">
        <v>122</v>
      </c>
      <c r="FAE108" s="1" t="s">
        <v>122</v>
      </c>
      <c r="FAF108" s="1" t="s">
        <v>122</v>
      </c>
      <c r="FAG108" s="1" t="s">
        <v>122</v>
      </c>
      <c r="FAH108" s="1" t="s">
        <v>122</v>
      </c>
      <c r="FAI108" s="1" t="s">
        <v>122</v>
      </c>
      <c r="FAJ108" s="1" t="s">
        <v>122</v>
      </c>
      <c r="FAK108" s="1" t="s">
        <v>122</v>
      </c>
      <c r="FAL108" s="1" t="s">
        <v>122</v>
      </c>
      <c r="FAM108" s="1" t="s">
        <v>122</v>
      </c>
      <c r="FAN108" s="1" t="s">
        <v>122</v>
      </c>
      <c r="FAO108" s="1" t="s">
        <v>122</v>
      </c>
      <c r="FAP108" s="1" t="s">
        <v>122</v>
      </c>
      <c r="FAQ108" s="1" t="s">
        <v>122</v>
      </c>
      <c r="FAR108" s="1" t="s">
        <v>122</v>
      </c>
      <c r="FAS108" s="1" t="s">
        <v>122</v>
      </c>
      <c r="FAT108" s="1" t="s">
        <v>122</v>
      </c>
      <c r="FAU108" s="1" t="s">
        <v>122</v>
      </c>
      <c r="FAV108" s="1" t="s">
        <v>122</v>
      </c>
      <c r="FAW108" s="1" t="s">
        <v>122</v>
      </c>
      <c r="FAX108" s="1" t="s">
        <v>122</v>
      </c>
      <c r="FAY108" s="1" t="s">
        <v>122</v>
      </c>
      <c r="FAZ108" s="1" t="s">
        <v>122</v>
      </c>
      <c r="FBA108" s="1" t="s">
        <v>122</v>
      </c>
      <c r="FBB108" s="1" t="s">
        <v>122</v>
      </c>
      <c r="FBC108" s="1" t="s">
        <v>122</v>
      </c>
      <c r="FBD108" s="1" t="s">
        <v>122</v>
      </c>
      <c r="FBE108" s="1" t="s">
        <v>122</v>
      </c>
      <c r="FBF108" s="1" t="s">
        <v>122</v>
      </c>
      <c r="FBG108" s="1" t="s">
        <v>122</v>
      </c>
      <c r="FBH108" s="1" t="s">
        <v>122</v>
      </c>
      <c r="FBI108" s="1" t="s">
        <v>122</v>
      </c>
      <c r="FBJ108" s="1" t="s">
        <v>122</v>
      </c>
      <c r="FBK108" s="1" t="s">
        <v>122</v>
      </c>
      <c r="FBL108" s="1" t="s">
        <v>122</v>
      </c>
      <c r="FBM108" s="1" t="s">
        <v>122</v>
      </c>
      <c r="FBN108" s="1" t="s">
        <v>122</v>
      </c>
      <c r="FBO108" s="1" t="s">
        <v>122</v>
      </c>
      <c r="FBP108" s="1" t="s">
        <v>122</v>
      </c>
      <c r="FBQ108" s="1" t="s">
        <v>122</v>
      </c>
      <c r="FBR108" s="1" t="s">
        <v>122</v>
      </c>
      <c r="FBS108" s="1" t="s">
        <v>122</v>
      </c>
      <c r="FBT108" s="1" t="s">
        <v>122</v>
      </c>
      <c r="FBU108" s="1" t="s">
        <v>122</v>
      </c>
      <c r="FBV108" s="1" t="s">
        <v>122</v>
      </c>
      <c r="FBW108" s="1" t="s">
        <v>122</v>
      </c>
      <c r="FBX108" s="1" t="s">
        <v>122</v>
      </c>
      <c r="FBY108" s="1" t="s">
        <v>122</v>
      </c>
      <c r="FBZ108" s="1" t="s">
        <v>122</v>
      </c>
      <c r="FCA108" s="1" t="s">
        <v>122</v>
      </c>
      <c r="FCB108" s="1" t="s">
        <v>122</v>
      </c>
      <c r="FCC108" s="1" t="s">
        <v>122</v>
      </c>
      <c r="FCD108" s="1" t="s">
        <v>122</v>
      </c>
      <c r="FCE108" s="1" t="s">
        <v>122</v>
      </c>
      <c r="FCF108" s="1" t="s">
        <v>122</v>
      </c>
      <c r="FCG108" s="1" t="s">
        <v>122</v>
      </c>
      <c r="FCH108" s="1" t="s">
        <v>122</v>
      </c>
      <c r="FCI108" s="1" t="s">
        <v>122</v>
      </c>
      <c r="FCJ108" s="1" t="s">
        <v>122</v>
      </c>
      <c r="FCK108" s="1" t="s">
        <v>122</v>
      </c>
      <c r="FCL108" s="1" t="s">
        <v>122</v>
      </c>
      <c r="FCM108" s="1" t="s">
        <v>122</v>
      </c>
      <c r="FCN108" s="1" t="s">
        <v>122</v>
      </c>
      <c r="FCO108" s="1" t="s">
        <v>122</v>
      </c>
      <c r="FCP108" s="1" t="s">
        <v>122</v>
      </c>
      <c r="FCQ108" s="1" t="s">
        <v>122</v>
      </c>
      <c r="FCR108" s="1" t="s">
        <v>122</v>
      </c>
      <c r="FCS108" s="1" t="s">
        <v>122</v>
      </c>
      <c r="FCT108" s="1" t="s">
        <v>122</v>
      </c>
      <c r="FCU108" s="1" t="s">
        <v>122</v>
      </c>
      <c r="FCV108" s="1" t="s">
        <v>122</v>
      </c>
      <c r="FCW108" s="1" t="s">
        <v>122</v>
      </c>
      <c r="FCX108" s="1" t="s">
        <v>122</v>
      </c>
      <c r="FCY108" s="1" t="s">
        <v>122</v>
      </c>
      <c r="FCZ108" s="1" t="s">
        <v>122</v>
      </c>
      <c r="FDA108" s="1" t="s">
        <v>122</v>
      </c>
      <c r="FDB108" s="1" t="s">
        <v>122</v>
      </c>
      <c r="FDC108" s="1" t="s">
        <v>122</v>
      </c>
      <c r="FDD108" s="1" t="s">
        <v>122</v>
      </c>
      <c r="FDE108" s="1" t="s">
        <v>122</v>
      </c>
      <c r="FDF108" s="1" t="s">
        <v>122</v>
      </c>
      <c r="FDG108" s="1" t="s">
        <v>122</v>
      </c>
      <c r="FDH108" s="1" t="s">
        <v>122</v>
      </c>
      <c r="FDI108" s="1" t="s">
        <v>122</v>
      </c>
      <c r="FDJ108" s="1" t="s">
        <v>122</v>
      </c>
      <c r="FDK108" s="1" t="s">
        <v>122</v>
      </c>
      <c r="FDL108" s="1" t="s">
        <v>122</v>
      </c>
      <c r="FDM108" s="1" t="s">
        <v>122</v>
      </c>
      <c r="FDN108" s="1" t="s">
        <v>122</v>
      </c>
      <c r="FDO108" s="1" t="s">
        <v>122</v>
      </c>
      <c r="FDP108" s="1" t="s">
        <v>122</v>
      </c>
      <c r="FDQ108" s="1" t="s">
        <v>122</v>
      </c>
      <c r="FDR108" s="1" t="s">
        <v>122</v>
      </c>
      <c r="FDS108" s="1" t="s">
        <v>122</v>
      </c>
      <c r="FDT108" s="1" t="s">
        <v>122</v>
      </c>
      <c r="FDU108" s="1" t="s">
        <v>122</v>
      </c>
      <c r="FDV108" s="1" t="s">
        <v>122</v>
      </c>
      <c r="FDW108" s="1" t="s">
        <v>122</v>
      </c>
      <c r="FDX108" s="1" t="s">
        <v>122</v>
      </c>
      <c r="FDY108" s="1" t="s">
        <v>122</v>
      </c>
      <c r="FDZ108" s="1" t="s">
        <v>122</v>
      </c>
      <c r="FEA108" s="1" t="s">
        <v>122</v>
      </c>
      <c r="FEB108" s="1" t="s">
        <v>122</v>
      </c>
      <c r="FEC108" s="1" t="s">
        <v>122</v>
      </c>
      <c r="FED108" s="1" t="s">
        <v>122</v>
      </c>
      <c r="FEE108" s="1" t="s">
        <v>122</v>
      </c>
      <c r="FEF108" s="1" t="s">
        <v>122</v>
      </c>
      <c r="FEG108" s="1" t="s">
        <v>122</v>
      </c>
      <c r="FEH108" s="1" t="s">
        <v>122</v>
      </c>
      <c r="FEI108" s="1" t="s">
        <v>122</v>
      </c>
      <c r="FEJ108" s="1" t="s">
        <v>122</v>
      </c>
      <c r="FEK108" s="1" t="s">
        <v>122</v>
      </c>
      <c r="FEL108" s="1" t="s">
        <v>122</v>
      </c>
      <c r="FEM108" s="1" t="s">
        <v>122</v>
      </c>
      <c r="FEN108" s="1" t="s">
        <v>122</v>
      </c>
      <c r="FEO108" s="1" t="s">
        <v>122</v>
      </c>
      <c r="FEP108" s="1" t="s">
        <v>122</v>
      </c>
      <c r="FEQ108" s="1" t="s">
        <v>122</v>
      </c>
      <c r="FER108" s="1" t="s">
        <v>122</v>
      </c>
      <c r="FES108" s="1" t="s">
        <v>122</v>
      </c>
      <c r="FET108" s="1" t="s">
        <v>122</v>
      </c>
      <c r="FEU108" s="1" t="s">
        <v>122</v>
      </c>
      <c r="FEV108" s="1" t="s">
        <v>122</v>
      </c>
      <c r="FEW108" s="1" t="s">
        <v>122</v>
      </c>
      <c r="FEX108" s="1" t="s">
        <v>122</v>
      </c>
      <c r="FEY108" s="1" t="s">
        <v>122</v>
      </c>
      <c r="FEZ108" s="1" t="s">
        <v>122</v>
      </c>
      <c r="FFA108" s="1" t="s">
        <v>122</v>
      </c>
      <c r="FFB108" s="1" t="s">
        <v>122</v>
      </c>
      <c r="FFC108" s="1" t="s">
        <v>122</v>
      </c>
      <c r="FFD108" s="1" t="s">
        <v>122</v>
      </c>
      <c r="FFE108" s="1" t="s">
        <v>122</v>
      </c>
      <c r="FFF108" s="1" t="s">
        <v>122</v>
      </c>
      <c r="FFG108" s="1" t="s">
        <v>122</v>
      </c>
      <c r="FFH108" s="1" t="s">
        <v>122</v>
      </c>
      <c r="FFI108" s="1" t="s">
        <v>122</v>
      </c>
      <c r="FFJ108" s="1" t="s">
        <v>122</v>
      </c>
      <c r="FFK108" s="1" t="s">
        <v>122</v>
      </c>
      <c r="FFL108" s="1" t="s">
        <v>122</v>
      </c>
      <c r="FFM108" s="1" t="s">
        <v>122</v>
      </c>
      <c r="FFN108" s="1" t="s">
        <v>122</v>
      </c>
      <c r="FFO108" s="1" t="s">
        <v>122</v>
      </c>
      <c r="FFP108" s="1" t="s">
        <v>122</v>
      </c>
      <c r="FFQ108" s="1" t="s">
        <v>122</v>
      </c>
      <c r="FFR108" s="1" t="s">
        <v>122</v>
      </c>
      <c r="FFS108" s="1" t="s">
        <v>122</v>
      </c>
      <c r="FFT108" s="1" t="s">
        <v>122</v>
      </c>
      <c r="FFU108" s="1" t="s">
        <v>122</v>
      </c>
      <c r="FFV108" s="1" t="s">
        <v>122</v>
      </c>
      <c r="FFW108" s="1" t="s">
        <v>122</v>
      </c>
      <c r="FFX108" s="1" t="s">
        <v>122</v>
      </c>
      <c r="FFY108" s="1" t="s">
        <v>122</v>
      </c>
      <c r="FFZ108" s="1" t="s">
        <v>122</v>
      </c>
      <c r="FGA108" s="1" t="s">
        <v>122</v>
      </c>
      <c r="FGB108" s="1" t="s">
        <v>122</v>
      </c>
      <c r="FGC108" s="1" t="s">
        <v>122</v>
      </c>
      <c r="FGD108" s="1" t="s">
        <v>122</v>
      </c>
      <c r="FGE108" s="1" t="s">
        <v>122</v>
      </c>
      <c r="FGF108" s="1" t="s">
        <v>122</v>
      </c>
      <c r="FGG108" s="1" t="s">
        <v>122</v>
      </c>
      <c r="FGH108" s="1" t="s">
        <v>122</v>
      </c>
      <c r="FGI108" s="1" t="s">
        <v>122</v>
      </c>
      <c r="FGJ108" s="1" t="s">
        <v>122</v>
      </c>
      <c r="FGK108" s="1" t="s">
        <v>122</v>
      </c>
      <c r="FGL108" s="1" t="s">
        <v>122</v>
      </c>
      <c r="FGM108" s="1" t="s">
        <v>122</v>
      </c>
      <c r="FGN108" s="1" t="s">
        <v>122</v>
      </c>
      <c r="FGO108" s="1" t="s">
        <v>122</v>
      </c>
      <c r="FGP108" s="1" t="s">
        <v>122</v>
      </c>
      <c r="FGQ108" s="1" t="s">
        <v>122</v>
      </c>
      <c r="FGR108" s="1" t="s">
        <v>122</v>
      </c>
      <c r="FGS108" s="1" t="s">
        <v>122</v>
      </c>
      <c r="FGT108" s="1" t="s">
        <v>122</v>
      </c>
      <c r="FGU108" s="1" t="s">
        <v>122</v>
      </c>
      <c r="FGV108" s="1" t="s">
        <v>122</v>
      </c>
      <c r="FGW108" s="1" t="s">
        <v>122</v>
      </c>
      <c r="FGX108" s="1" t="s">
        <v>122</v>
      </c>
      <c r="FGY108" s="1" t="s">
        <v>122</v>
      </c>
      <c r="FGZ108" s="1" t="s">
        <v>122</v>
      </c>
      <c r="FHA108" s="1" t="s">
        <v>122</v>
      </c>
      <c r="FHB108" s="1" t="s">
        <v>122</v>
      </c>
      <c r="FHC108" s="1" t="s">
        <v>122</v>
      </c>
      <c r="FHD108" s="1" t="s">
        <v>122</v>
      </c>
      <c r="FHE108" s="1" t="s">
        <v>122</v>
      </c>
      <c r="FHF108" s="1" t="s">
        <v>122</v>
      </c>
      <c r="FHG108" s="1" t="s">
        <v>122</v>
      </c>
      <c r="FHH108" s="1" t="s">
        <v>122</v>
      </c>
      <c r="FHI108" s="1" t="s">
        <v>122</v>
      </c>
      <c r="FHJ108" s="1" t="s">
        <v>122</v>
      </c>
      <c r="FHK108" s="1" t="s">
        <v>122</v>
      </c>
      <c r="FHL108" s="1" t="s">
        <v>122</v>
      </c>
      <c r="FHM108" s="1" t="s">
        <v>122</v>
      </c>
      <c r="FHN108" s="1" t="s">
        <v>122</v>
      </c>
      <c r="FHO108" s="1" t="s">
        <v>122</v>
      </c>
      <c r="FHP108" s="1" t="s">
        <v>122</v>
      </c>
      <c r="FHQ108" s="1" t="s">
        <v>122</v>
      </c>
      <c r="FHR108" s="1" t="s">
        <v>122</v>
      </c>
      <c r="FHS108" s="1" t="s">
        <v>122</v>
      </c>
      <c r="FHT108" s="1" t="s">
        <v>122</v>
      </c>
      <c r="FHU108" s="1" t="s">
        <v>122</v>
      </c>
      <c r="FHV108" s="1" t="s">
        <v>122</v>
      </c>
      <c r="FHW108" s="1" t="s">
        <v>122</v>
      </c>
      <c r="FHX108" s="1" t="s">
        <v>122</v>
      </c>
      <c r="FHY108" s="1" t="s">
        <v>122</v>
      </c>
      <c r="FHZ108" s="1" t="s">
        <v>122</v>
      </c>
      <c r="FIA108" s="1" t="s">
        <v>122</v>
      </c>
      <c r="FIB108" s="1" t="s">
        <v>122</v>
      </c>
      <c r="FIC108" s="1" t="s">
        <v>122</v>
      </c>
      <c r="FID108" s="1" t="s">
        <v>122</v>
      </c>
      <c r="FIE108" s="1" t="s">
        <v>122</v>
      </c>
      <c r="FIF108" s="1" t="s">
        <v>122</v>
      </c>
      <c r="FIG108" s="1" t="s">
        <v>122</v>
      </c>
      <c r="FIH108" s="1" t="s">
        <v>122</v>
      </c>
      <c r="FII108" s="1" t="s">
        <v>122</v>
      </c>
      <c r="FIJ108" s="1" t="s">
        <v>122</v>
      </c>
      <c r="FIK108" s="1" t="s">
        <v>122</v>
      </c>
      <c r="FIL108" s="1" t="s">
        <v>122</v>
      </c>
      <c r="FIM108" s="1" t="s">
        <v>122</v>
      </c>
      <c r="FIN108" s="1" t="s">
        <v>122</v>
      </c>
      <c r="FIO108" s="1" t="s">
        <v>122</v>
      </c>
      <c r="FIP108" s="1" t="s">
        <v>122</v>
      </c>
      <c r="FIQ108" s="1" t="s">
        <v>122</v>
      </c>
      <c r="FIR108" s="1" t="s">
        <v>122</v>
      </c>
      <c r="FIS108" s="1" t="s">
        <v>122</v>
      </c>
      <c r="FIT108" s="1" t="s">
        <v>122</v>
      </c>
      <c r="FIU108" s="1" t="s">
        <v>122</v>
      </c>
      <c r="FIV108" s="1" t="s">
        <v>122</v>
      </c>
      <c r="FIW108" s="1" t="s">
        <v>122</v>
      </c>
      <c r="FIX108" s="1" t="s">
        <v>122</v>
      </c>
      <c r="FIY108" s="1" t="s">
        <v>122</v>
      </c>
      <c r="FIZ108" s="1" t="s">
        <v>122</v>
      </c>
      <c r="FJA108" s="1" t="s">
        <v>122</v>
      </c>
      <c r="FJB108" s="1" t="s">
        <v>122</v>
      </c>
      <c r="FJC108" s="1" t="s">
        <v>122</v>
      </c>
      <c r="FJD108" s="1" t="s">
        <v>122</v>
      </c>
      <c r="FJE108" s="1" t="s">
        <v>122</v>
      </c>
      <c r="FJF108" s="1" t="s">
        <v>122</v>
      </c>
      <c r="FJG108" s="1" t="s">
        <v>122</v>
      </c>
      <c r="FJH108" s="1" t="s">
        <v>122</v>
      </c>
      <c r="FJI108" s="1" t="s">
        <v>122</v>
      </c>
      <c r="FJJ108" s="1" t="s">
        <v>122</v>
      </c>
      <c r="FJK108" s="1" t="s">
        <v>122</v>
      </c>
      <c r="FJL108" s="1" t="s">
        <v>122</v>
      </c>
      <c r="FJM108" s="1" t="s">
        <v>122</v>
      </c>
      <c r="FJN108" s="1" t="s">
        <v>122</v>
      </c>
      <c r="FJO108" s="1" t="s">
        <v>122</v>
      </c>
      <c r="FJP108" s="1" t="s">
        <v>122</v>
      </c>
      <c r="FJQ108" s="1" t="s">
        <v>122</v>
      </c>
      <c r="FJR108" s="1" t="s">
        <v>122</v>
      </c>
      <c r="FJS108" s="1" t="s">
        <v>122</v>
      </c>
      <c r="FJT108" s="1" t="s">
        <v>122</v>
      </c>
      <c r="FJU108" s="1" t="s">
        <v>122</v>
      </c>
      <c r="FJV108" s="1" t="s">
        <v>122</v>
      </c>
      <c r="FJW108" s="1" t="s">
        <v>122</v>
      </c>
      <c r="FJX108" s="1" t="s">
        <v>122</v>
      </c>
      <c r="FJY108" s="1" t="s">
        <v>122</v>
      </c>
      <c r="FJZ108" s="1" t="s">
        <v>122</v>
      </c>
      <c r="FKA108" s="1" t="s">
        <v>122</v>
      </c>
      <c r="FKB108" s="1" t="s">
        <v>122</v>
      </c>
      <c r="FKC108" s="1" t="s">
        <v>122</v>
      </c>
      <c r="FKD108" s="1" t="s">
        <v>122</v>
      </c>
      <c r="FKE108" s="1" t="s">
        <v>122</v>
      </c>
      <c r="FKF108" s="1" t="s">
        <v>122</v>
      </c>
      <c r="FKG108" s="1" t="s">
        <v>122</v>
      </c>
      <c r="FKH108" s="1" t="s">
        <v>122</v>
      </c>
      <c r="FKI108" s="1" t="s">
        <v>122</v>
      </c>
      <c r="FKJ108" s="1" t="s">
        <v>122</v>
      </c>
      <c r="FKK108" s="1" t="s">
        <v>122</v>
      </c>
      <c r="FKL108" s="1" t="s">
        <v>122</v>
      </c>
      <c r="FKM108" s="1" t="s">
        <v>122</v>
      </c>
      <c r="FKN108" s="1" t="s">
        <v>122</v>
      </c>
      <c r="FKO108" s="1" t="s">
        <v>122</v>
      </c>
      <c r="FKP108" s="1" t="s">
        <v>122</v>
      </c>
      <c r="FKQ108" s="1" t="s">
        <v>122</v>
      </c>
      <c r="FKR108" s="1" t="s">
        <v>122</v>
      </c>
      <c r="FKS108" s="1" t="s">
        <v>122</v>
      </c>
      <c r="FKT108" s="1" t="s">
        <v>122</v>
      </c>
      <c r="FKU108" s="1" t="s">
        <v>122</v>
      </c>
      <c r="FKV108" s="1" t="s">
        <v>122</v>
      </c>
      <c r="FKW108" s="1" t="s">
        <v>122</v>
      </c>
      <c r="FKX108" s="1" t="s">
        <v>122</v>
      </c>
      <c r="FKY108" s="1" t="s">
        <v>122</v>
      </c>
      <c r="FKZ108" s="1" t="s">
        <v>122</v>
      </c>
      <c r="FLA108" s="1" t="s">
        <v>122</v>
      </c>
      <c r="FLB108" s="1" t="s">
        <v>122</v>
      </c>
      <c r="FLC108" s="1" t="s">
        <v>122</v>
      </c>
      <c r="FLD108" s="1" t="s">
        <v>122</v>
      </c>
      <c r="FLE108" s="1" t="s">
        <v>122</v>
      </c>
      <c r="FLF108" s="1" t="s">
        <v>122</v>
      </c>
      <c r="FLG108" s="1" t="s">
        <v>122</v>
      </c>
      <c r="FLH108" s="1" t="s">
        <v>122</v>
      </c>
      <c r="FLI108" s="1" t="s">
        <v>122</v>
      </c>
      <c r="FLJ108" s="1" t="s">
        <v>122</v>
      </c>
      <c r="FLK108" s="1" t="s">
        <v>122</v>
      </c>
      <c r="FLL108" s="1" t="s">
        <v>122</v>
      </c>
      <c r="FLM108" s="1" t="s">
        <v>122</v>
      </c>
      <c r="FLN108" s="1" t="s">
        <v>122</v>
      </c>
      <c r="FLO108" s="1" t="s">
        <v>122</v>
      </c>
      <c r="FLP108" s="1" t="s">
        <v>122</v>
      </c>
      <c r="FLQ108" s="1" t="s">
        <v>122</v>
      </c>
      <c r="FLR108" s="1" t="s">
        <v>122</v>
      </c>
      <c r="FLS108" s="1" t="s">
        <v>122</v>
      </c>
      <c r="FLT108" s="1" t="s">
        <v>122</v>
      </c>
      <c r="FLU108" s="1" t="s">
        <v>122</v>
      </c>
      <c r="FLV108" s="1" t="s">
        <v>122</v>
      </c>
      <c r="FLW108" s="1" t="s">
        <v>122</v>
      </c>
      <c r="FLX108" s="1" t="s">
        <v>122</v>
      </c>
      <c r="FLY108" s="1" t="s">
        <v>122</v>
      </c>
      <c r="FLZ108" s="1" t="s">
        <v>122</v>
      </c>
      <c r="FMA108" s="1" t="s">
        <v>122</v>
      </c>
      <c r="FMB108" s="1" t="s">
        <v>122</v>
      </c>
      <c r="FMC108" s="1" t="s">
        <v>122</v>
      </c>
      <c r="FMD108" s="1" t="s">
        <v>122</v>
      </c>
      <c r="FME108" s="1" t="s">
        <v>122</v>
      </c>
      <c r="FMF108" s="1" t="s">
        <v>122</v>
      </c>
      <c r="FMG108" s="1" t="s">
        <v>122</v>
      </c>
      <c r="FMH108" s="1" t="s">
        <v>122</v>
      </c>
      <c r="FMI108" s="1" t="s">
        <v>122</v>
      </c>
      <c r="FMJ108" s="1" t="s">
        <v>122</v>
      </c>
      <c r="FMK108" s="1" t="s">
        <v>122</v>
      </c>
      <c r="FML108" s="1" t="s">
        <v>122</v>
      </c>
      <c r="FMM108" s="1" t="s">
        <v>122</v>
      </c>
      <c r="FMN108" s="1" t="s">
        <v>122</v>
      </c>
      <c r="FMO108" s="1" t="s">
        <v>122</v>
      </c>
      <c r="FMP108" s="1" t="s">
        <v>122</v>
      </c>
      <c r="FMQ108" s="1" t="s">
        <v>122</v>
      </c>
      <c r="FMR108" s="1" t="s">
        <v>122</v>
      </c>
      <c r="FMS108" s="1" t="s">
        <v>122</v>
      </c>
      <c r="FMT108" s="1" t="s">
        <v>122</v>
      </c>
      <c r="FMU108" s="1" t="s">
        <v>122</v>
      </c>
      <c r="FMV108" s="1" t="s">
        <v>122</v>
      </c>
      <c r="FMW108" s="1" t="s">
        <v>122</v>
      </c>
      <c r="FMX108" s="1" t="s">
        <v>122</v>
      </c>
      <c r="FMY108" s="1" t="s">
        <v>122</v>
      </c>
      <c r="FMZ108" s="1" t="s">
        <v>122</v>
      </c>
      <c r="FNA108" s="1" t="s">
        <v>122</v>
      </c>
      <c r="FNB108" s="1" t="s">
        <v>122</v>
      </c>
      <c r="FNC108" s="1" t="s">
        <v>122</v>
      </c>
      <c r="FND108" s="1" t="s">
        <v>122</v>
      </c>
      <c r="FNE108" s="1" t="s">
        <v>122</v>
      </c>
      <c r="FNF108" s="1" t="s">
        <v>122</v>
      </c>
      <c r="FNG108" s="1" t="s">
        <v>122</v>
      </c>
      <c r="FNH108" s="1" t="s">
        <v>122</v>
      </c>
      <c r="FNI108" s="1" t="s">
        <v>122</v>
      </c>
      <c r="FNJ108" s="1" t="s">
        <v>122</v>
      </c>
      <c r="FNK108" s="1" t="s">
        <v>122</v>
      </c>
      <c r="FNL108" s="1" t="s">
        <v>122</v>
      </c>
      <c r="FNM108" s="1" t="s">
        <v>122</v>
      </c>
      <c r="FNN108" s="1" t="s">
        <v>122</v>
      </c>
      <c r="FNO108" s="1" t="s">
        <v>122</v>
      </c>
      <c r="FNP108" s="1" t="s">
        <v>122</v>
      </c>
      <c r="FNQ108" s="1" t="s">
        <v>122</v>
      </c>
      <c r="FNR108" s="1" t="s">
        <v>122</v>
      </c>
      <c r="FNS108" s="1" t="s">
        <v>122</v>
      </c>
      <c r="FNT108" s="1" t="s">
        <v>122</v>
      </c>
      <c r="FNU108" s="1" t="s">
        <v>122</v>
      </c>
      <c r="FNV108" s="1" t="s">
        <v>122</v>
      </c>
      <c r="FNW108" s="1" t="s">
        <v>122</v>
      </c>
      <c r="FNX108" s="1" t="s">
        <v>122</v>
      </c>
      <c r="FNY108" s="1" t="s">
        <v>122</v>
      </c>
      <c r="FNZ108" s="1" t="s">
        <v>122</v>
      </c>
      <c r="FOA108" s="1" t="s">
        <v>122</v>
      </c>
      <c r="FOB108" s="1" t="s">
        <v>122</v>
      </c>
      <c r="FOC108" s="1" t="s">
        <v>122</v>
      </c>
      <c r="FOD108" s="1" t="s">
        <v>122</v>
      </c>
      <c r="FOE108" s="1" t="s">
        <v>122</v>
      </c>
      <c r="FOF108" s="1" t="s">
        <v>122</v>
      </c>
      <c r="FOG108" s="1" t="s">
        <v>122</v>
      </c>
      <c r="FOH108" s="1" t="s">
        <v>122</v>
      </c>
      <c r="FOI108" s="1" t="s">
        <v>122</v>
      </c>
      <c r="FOJ108" s="1" t="s">
        <v>122</v>
      </c>
      <c r="FOK108" s="1" t="s">
        <v>122</v>
      </c>
      <c r="FOL108" s="1" t="s">
        <v>122</v>
      </c>
      <c r="FOM108" s="1" t="s">
        <v>122</v>
      </c>
      <c r="FON108" s="1" t="s">
        <v>122</v>
      </c>
      <c r="FOO108" s="1" t="s">
        <v>122</v>
      </c>
      <c r="FOP108" s="1" t="s">
        <v>122</v>
      </c>
      <c r="FOQ108" s="1" t="s">
        <v>122</v>
      </c>
      <c r="FOR108" s="1" t="s">
        <v>122</v>
      </c>
      <c r="FOS108" s="1" t="s">
        <v>122</v>
      </c>
      <c r="FOT108" s="1" t="s">
        <v>122</v>
      </c>
      <c r="FOU108" s="1" t="s">
        <v>122</v>
      </c>
      <c r="FOV108" s="1" t="s">
        <v>122</v>
      </c>
      <c r="FOW108" s="1" t="s">
        <v>122</v>
      </c>
      <c r="FOX108" s="1" t="s">
        <v>122</v>
      </c>
      <c r="FOY108" s="1" t="s">
        <v>122</v>
      </c>
      <c r="FOZ108" s="1" t="s">
        <v>122</v>
      </c>
      <c r="FPA108" s="1" t="s">
        <v>122</v>
      </c>
      <c r="FPB108" s="1" t="s">
        <v>122</v>
      </c>
      <c r="FPC108" s="1" t="s">
        <v>122</v>
      </c>
      <c r="FPD108" s="1" t="s">
        <v>122</v>
      </c>
      <c r="FPE108" s="1" t="s">
        <v>122</v>
      </c>
      <c r="FPF108" s="1" t="s">
        <v>122</v>
      </c>
      <c r="FPG108" s="1" t="s">
        <v>122</v>
      </c>
      <c r="FPH108" s="1" t="s">
        <v>122</v>
      </c>
      <c r="FPI108" s="1" t="s">
        <v>122</v>
      </c>
      <c r="FPJ108" s="1" t="s">
        <v>122</v>
      </c>
      <c r="FPK108" s="1" t="s">
        <v>122</v>
      </c>
      <c r="FPL108" s="1" t="s">
        <v>122</v>
      </c>
      <c r="FPM108" s="1" t="s">
        <v>122</v>
      </c>
      <c r="FPN108" s="1" t="s">
        <v>122</v>
      </c>
      <c r="FPO108" s="1" t="s">
        <v>122</v>
      </c>
      <c r="FPP108" s="1" t="s">
        <v>122</v>
      </c>
      <c r="FPQ108" s="1" t="s">
        <v>122</v>
      </c>
      <c r="FPR108" s="1" t="s">
        <v>122</v>
      </c>
      <c r="FPS108" s="1" t="s">
        <v>122</v>
      </c>
      <c r="FPT108" s="1" t="s">
        <v>122</v>
      </c>
      <c r="FPU108" s="1" t="s">
        <v>122</v>
      </c>
      <c r="FPV108" s="1" t="s">
        <v>122</v>
      </c>
      <c r="FPW108" s="1" t="s">
        <v>122</v>
      </c>
      <c r="FPX108" s="1" t="s">
        <v>122</v>
      </c>
      <c r="FPY108" s="1" t="s">
        <v>122</v>
      </c>
      <c r="FPZ108" s="1" t="s">
        <v>122</v>
      </c>
      <c r="FQA108" s="1" t="s">
        <v>122</v>
      </c>
      <c r="FQB108" s="1" t="s">
        <v>122</v>
      </c>
      <c r="FQC108" s="1" t="s">
        <v>122</v>
      </c>
      <c r="FQD108" s="1" t="s">
        <v>122</v>
      </c>
      <c r="FQE108" s="1" t="s">
        <v>122</v>
      </c>
      <c r="FQF108" s="1" t="s">
        <v>122</v>
      </c>
      <c r="FQG108" s="1" t="s">
        <v>122</v>
      </c>
      <c r="FQH108" s="1" t="s">
        <v>122</v>
      </c>
      <c r="FQI108" s="1" t="s">
        <v>122</v>
      </c>
      <c r="FQJ108" s="1" t="s">
        <v>122</v>
      </c>
      <c r="FQK108" s="1" t="s">
        <v>122</v>
      </c>
      <c r="FQL108" s="1" t="s">
        <v>122</v>
      </c>
      <c r="FQM108" s="1" t="s">
        <v>122</v>
      </c>
      <c r="FQN108" s="1" t="s">
        <v>122</v>
      </c>
      <c r="FQO108" s="1" t="s">
        <v>122</v>
      </c>
      <c r="FQP108" s="1" t="s">
        <v>122</v>
      </c>
      <c r="FQQ108" s="1" t="s">
        <v>122</v>
      </c>
      <c r="FQR108" s="1" t="s">
        <v>122</v>
      </c>
      <c r="FQS108" s="1" t="s">
        <v>122</v>
      </c>
      <c r="FQT108" s="1" t="s">
        <v>122</v>
      </c>
      <c r="FQU108" s="1" t="s">
        <v>122</v>
      </c>
      <c r="FQV108" s="1" t="s">
        <v>122</v>
      </c>
      <c r="FQW108" s="1" t="s">
        <v>122</v>
      </c>
      <c r="FQX108" s="1" t="s">
        <v>122</v>
      </c>
      <c r="FQY108" s="1" t="s">
        <v>122</v>
      </c>
      <c r="FQZ108" s="1" t="s">
        <v>122</v>
      </c>
      <c r="FRA108" s="1" t="s">
        <v>122</v>
      </c>
      <c r="FRB108" s="1" t="s">
        <v>122</v>
      </c>
      <c r="FRC108" s="1" t="s">
        <v>122</v>
      </c>
      <c r="FRD108" s="1" t="s">
        <v>122</v>
      </c>
      <c r="FRE108" s="1" t="s">
        <v>122</v>
      </c>
      <c r="FRF108" s="1" t="s">
        <v>122</v>
      </c>
      <c r="FRG108" s="1" t="s">
        <v>122</v>
      </c>
      <c r="FRH108" s="1" t="s">
        <v>122</v>
      </c>
      <c r="FRI108" s="1" t="s">
        <v>122</v>
      </c>
      <c r="FRJ108" s="1" t="s">
        <v>122</v>
      </c>
      <c r="FRK108" s="1" t="s">
        <v>122</v>
      </c>
      <c r="FRL108" s="1" t="s">
        <v>122</v>
      </c>
      <c r="FRM108" s="1" t="s">
        <v>122</v>
      </c>
      <c r="FRN108" s="1" t="s">
        <v>122</v>
      </c>
      <c r="FRO108" s="1" t="s">
        <v>122</v>
      </c>
      <c r="FRP108" s="1" t="s">
        <v>122</v>
      </c>
      <c r="FRQ108" s="1" t="s">
        <v>122</v>
      </c>
      <c r="FRR108" s="1" t="s">
        <v>122</v>
      </c>
      <c r="FRS108" s="1" t="s">
        <v>122</v>
      </c>
      <c r="FRT108" s="1" t="s">
        <v>122</v>
      </c>
      <c r="FRU108" s="1" t="s">
        <v>122</v>
      </c>
      <c r="FRV108" s="1" t="s">
        <v>122</v>
      </c>
      <c r="FRW108" s="1" t="s">
        <v>122</v>
      </c>
      <c r="FRX108" s="1" t="s">
        <v>122</v>
      </c>
      <c r="FRY108" s="1" t="s">
        <v>122</v>
      </c>
      <c r="FRZ108" s="1" t="s">
        <v>122</v>
      </c>
      <c r="FSA108" s="1" t="s">
        <v>122</v>
      </c>
      <c r="FSB108" s="1" t="s">
        <v>122</v>
      </c>
      <c r="FSC108" s="1" t="s">
        <v>122</v>
      </c>
      <c r="FSD108" s="1" t="s">
        <v>122</v>
      </c>
      <c r="FSE108" s="1" t="s">
        <v>122</v>
      </c>
      <c r="FSF108" s="1" t="s">
        <v>122</v>
      </c>
      <c r="FSG108" s="1" t="s">
        <v>122</v>
      </c>
      <c r="FSH108" s="1" t="s">
        <v>122</v>
      </c>
      <c r="FSI108" s="1" t="s">
        <v>122</v>
      </c>
      <c r="FSJ108" s="1" t="s">
        <v>122</v>
      </c>
      <c r="FSK108" s="1" t="s">
        <v>122</v>
      </c>
      <c r="FSL108" s="1" t="s">
        <v>122</v>
      </c>
      <c r="FSM108" s="1" t="s">
        <v>122</v>
      </c>
      <c r="FSN108" s="1" t="s">
        <v>122</v>
      </c>
      <c r="FSO108" s="1" t="s">
        <v>122</v>
      </c>
      <c r="FSP108" s="1" t="s">
        <v>122</v>
      </c>
      <c r="FSQ108" s="1" t="s">
        <v>122</v>
      </c>
      <c r="FSR108" s="1" t="s">
        <v>122</v>
      </c>
      <c r="FSS108" s="1" t="s">
        <v>122</v>
      </c>
      <c r="FST108" s="1" t="s">
        <v>122</v>
      </c>
      <c r="FSU108" s="1" t="s">
        <v>122</v>
      </c>
      <c r="FSV108" s="1" t="s">
        <v>122</v>
      </c>
      <c r="FSW108" s="1" t="s">
        <v>122</v>
      </c>
      <c r="FSX108" s="1" t="s">
        <v>122</v>
      </c>
      <c r="FSY108" s="1" t="s">
        <v>122</v>
      </c>
      <c r="FSZ108" s="1" t="s">
        <v>122</v>
      </c>
      <c r="FTA108" s="1" t="s">
        <v>122</v>
      </c>
      <c r="FTB108" s="1" t="s">
        <v>122</v>
      </c>
      <c r="FTC108" s="1" t="s">
        <v>122</v>
      </c>
      <c r="FTD108" s="1" t="s">
        <v>122</v>
      </c>
      <c r="FTE108" s="1" t="s">
        <v>122</v>
      </c>
      <c r="FTF108" s="1" t="s">
        <v>122</v>
      </c>
      <c r="FTG108" s="1" t="s">
        <v>122</v>
      </c>
      <c r="FTH108" s="1" t="s">
        <v>122</v>
      </c>
      <c r="FTI108" s="1" t="s">
        <v>122</v>
      </c>
      <c r="FTJ108" s="1" t="s">
        <v>122</v>
      </c>
      <c r="FTK108" s="1" t="s">
        <v>122</v>
      </c>
      <c r="FTL108" s="1" t="s">
        <v>122</v>
      </c>
      <c r="FTM108" s="1" t="s">
        <v>122</v>
      </c>
      <c r="FTN108" s="1" t="s">
        <v>122</v>
      </c>
      <c r="FTO108" s="1" t="s">
        <v>122</v>
      </c>
      <c r="FTP108" s="1" t="s">
        <v>122</v>
      </c>
      <c r="FTQ108" s="1" t="s">
        <v>122</v>
      </c>
      <c r="FTR108" s="1" t="s">
        <v>122</v>
      </c>
      <c r="FTS108" s="1" t="s">
        <v>122</v>
      </c>
      <c r="FTT108" s="1" t="s">
        <v>122</v>
      </c>
      <c r="FTU108" s="1" t="s">
        <v>122</v>
      </c>
      <c r="FTV108" s="1" t="s">
        <v>122</v>
      </c>
      <c r="FTW108" s="1" t="s">
        <v>122</v>
      </c>
      <c r="FTX108" s="1" t="s">
        <v>122</v>
      </c>
      <c r="FTY108" s="1" t="s">
        <v>122</v>
      </c>
      <c r="FTZ108" s="1" t="s">
        <v>122</v>
      </c>
      <c r="FUA108" s="1" t="s">
        <v>122</v>
      </c>
      <c r="FUB108" s="1" t="s">
        <v>122</v>
      </c>
      <c r="FUC108" s="1" t="s">
        <v>122</v>
      </c>
      <c r="FUD108" s="1" t="s">
        <v>122</v>
      </c>
      <c r="FUE108" s="1" t="s">
        <v>122</v>
      </c>
      <c r="FUF108" s="1" t="s">
        <v>122</v>
      </c>
      <c r="FUG108" s="1" t="s">
        <v>122</v>
      </c>
      <c r="FUH108" s="1" t="s">
        <v>122</v>
      </c>
      <c r="FUI108" s="1" t="s">
        <v>122</v>
      </c>
      <c r="FUJ108" s="1" t="s">
        <v>122</v>
      </c>
      <c r="FUK108" s="1" t="s">
        <v>122</v>
      </c>
      <c r="FUL108" s="1" t="s">
        <v>122</v>
      </c>
      <c r="FUM108" s="1" t="s">
        <v>122</v>
      </c>
      <c r="FUN108" s="1" t="s">
        <v>122</v>
      </c>
      <c r="FUO108" s="1" t="s">
        <v>122</v>
      </c>
      <c r="FUP108" s="1" t="s">
        <v>122</v>
      </c>
      <c r="FUQ108" s="1" t="s">
        <v>122</v>
      </c>
      <c r="FUR108" s="1" t="s">
        <v>122</v>
      </c>
      <c r="FUS108" s="1" t="s">
        <v>122</v>
      </c>
      <c r="FUT108" s="1" t="s">
        <v>122</v>
      </c>
      <c r="FUU108" s="1" t="s">
        <v>122</v>
      </c>
      <c r="FUV108" s="1" t="s">
        <v>122</v>
      </c>
      <c r="FUW108" s="1" t="s">
        <v>122</v>
      </c>
      <c r="FUX108" s="1" t="s">
        <v>122</v>
      </c>
      <c r="FUY108" s="1" t="s">
        <v>122</v>
      </c>
      <c r="FUZ108" s="1" t="s">
        <v>122</v>
      </c>
      <c r="FVA108" s="1" t="s">
        <v>122</v>
      </c>
      <c r="FVB108" s="1" t="s">
        <v>122</v>
      </c>
      <c r="FVC108" s="1" t="s">
        <v>122</v>
      </c>
      <c r="FVD108" s="1" t="s">
        <v>122</v>
      </c>
      <c r="FVE108" s="1" t="s">
        <v>122</v>
      </c>
      <c r="FVF108" s="1" t="s">
        <v>122</v>
      </c>
      <c r="FVG108" s="1" t="s">
        <v>122</v>
      </c>
      <c r="FVH108" s="1" t="s">
        <v>122</v>
      </c>
      <c r="FVI108" s="1" t="s">
        <v>122</v>
      </c>
      <c r="FVJ108" s="1" t="s">
        <v>122</v>
      </c>
      <c r="FVK108" s="1" t="s">
        <v>122</v>
      </c>
      <c r="FVL108" s="1" t="s">
        <v>122</v>
      </c>
      <c r="FVM108" s="1" t="s">
        <v>122</v>
      </c>
      <c r="FVN108" s="1" t="s">
        <v>122</v>
      </c>
      <c r="FVO108" s="1" t="s">
        <v>122</v>
      </c>
      <c r="FVP108" s="1" t="s">
        <v>122</v>
      </c>
      <c r="FVQ108" s="1" t="s">
        <v>122</v>
      </c>
      <c r="FVR108" s="1" t="s">
        <v>122</v>
      </c>
      <c r="FVS108" s="1" t="s">
        <v>122</v>
      </c>
      <c r="FVT108" s="1" t="s">
        <v>122</v>
      </c>
      <c r="FVU108" s="1" t="s">
        <v>122</v>
      </c>
      <c r="FVV108" s="1" t="s">
        <v>122</v>
      </c>
      <c r="FVW108" s="1" t="s">
        <v>122</v>
      </c>
      <c r="FVX108" s="1" t="s">
        <v>122</v>
      </c>
      <c r="FVY108" s="1" t="s">
        <v>122</v>
      </c>
      <c r="FVZ108" s="1" t="s">
        <v>122</v>
      </c>
      <c r="FWA108" s="1" t="s">
        <v>122</v>
      </c>
      <c r="FWB108" s="1" t="s">
        <v>122</v>
      </c>
      <c r="FWC108" s="1" t="s">
        <v>122</v>
      </c>
      <c r="FWD108" s="1" t="s">
        <v>122</v>
      </c>
      <c r="FWE108" s="1" t="s">
        <v>122</v>
      </c>
      <c r="FWF108" s="1" t="s">
        <v>122</v>
      </c>
      <c r="FWG108" s="1" t="s">
        <v>122</v>
      </c>
      <c r="FWH108" s="1" t="s">
        <v>122</v>
      </c>
      <c r="FWI108" s="1" t="s">
        <v>122</v>
      </c>
      <c r="FWJ108" s="1" t="s">
        <v>122</v>
      </c>
      <c r="FWK108" s="1" t="s">
        <v>122</v>
      </c>
      <c r="FWL108" s="1" t="s">
        <v>122</v>
      </c>
      <c r="FWM108" s="1" t="s">
        <v>122</v>
      </c>
      <c r="FWN108" s="1" t="s">
        <v>122</v>
      </c>
      <c r="FWO108" s="1" t="s">
        <v>122</v>
      </c>
      <c r="FWP108" s="1" t="s">
        <v>122</v>
      </c>
      <c r="FWQ108" s="1" t="s">
        <v>122</v>
      </c>
      <c r="FWR108" s="1" t="s">
        <v>122</v>
      </c>
      <c r="FWS108" s="1" t="s">
        <v>122</v>
      </c>
      <c r="FWT108" s="1" t="s">
        <v>122</v>
      </c>
      <c r="FWU108" s="1" t="s">
        <v>122</v>
      </c>
      <c r="FWV108" s="1" t="s">
        <v>122</v>
      </c>
      <c r="FWW108" s="1" t="s">
        <v>122</v>
      </c>
      <c r="FWX108" s="1" t="s">
        <v>122</v>
      </c>
      <c r="FWY108" s="1" t="s">
        <v>122</v>
      </c>
      <c r="FWZ108" s="1" t="s">
        <v>122</v>
      </c>
      <c r="FXA108" s="1" t="s">
        <v>122</v>
      </c>
      <c r="FXB108" s="1" t="s">
        <v>122</v>
      </c>
      <c r="FXC108" s="1" t="s">
        <v>122</v>
      </c>
      <c r="FXD108" s="1" t="s">
        <v>122</v>
      </c>
      <c r="FXE108" s="1" t="s">
        <v>122</v>
      </c>
      <c r="FXF108" s="1" t="s">
        <v>122</v>
      </c>
      <c r="FXG108" s="1" t="s">
        <v>122</v>
      </c>
      <c r="FXH108" s="1" t="s">
        <v>122</v>
      </c>
      <c r="FXI108" s="1" t="s">
        <v>122</v>
      </c>
      <c r="FXJ108" s="1" t="s">
        <v>122</v>
      </c>
      <c r="FXK108" s="1" t="s">
        <v>122</v>
      </c>
      <c r="FXL108" s="1" t="s">
        <v>122</v>
      </c>
      <c r="FXM108" s="1" t="s">
        <v>122</v>
      </c>
      <c r="FXN108" s="1" t="s">
        <v>122</v>
      </c>
      <c r="FXO108" s="1" t="s">
        <v>122</v>
      </c>
      <c r="FXP108" s="1" t="s">
        <v>122</v>
      </c>
      <c r="FXQ108" s="1" t="s">
        <v>122</v>
      </c>
      <c r="FXR108" s="1" t="s">
        <v>122</v>
      </c>
      <c r="FXS108" s="1" t="s">
        <v>122</v>
      </c>
      <c r="FXT108" s="1" t="s">
        <v>122</v>
      </c>
      <c r="FXU108" s="1" t="s">
        <v>122</v>
      </c>
      <c r="FXV108" s="1" t="s">
        <v>122</v>
      </c>
      <c r="FXW108" s="1" t="s">
        <v>122</v>
      </c>
      <c r="FXX108" s="1" t="s">
        <v>122</v>
      </c>
      <c r="FXY108" s="1" t="s">
        <v>122</v>
      </c>
      <c r="FXZ108" s="1" t="s">
        <v>122</v>
      </c>
      <c r="FYA108" s="1" t="s">
        <v>122</v>
      </c>
      <c r="FYB108" s="1" t="s">
        <v>122</v>
      </c>
      <c r="FYC108" s="1" t="s">
        <v>122</v>
      </c>
      <c r="FYD108" s="1" t="s">
        <v>122</v>
      </c>
      <c r="FYE108" s="1" t="s">
        <v>122</v>
      </c>
      <c r="FYF108" s="1" t="s">
        <v>122</v>
      </c>
      <c r="FYG108" s="1" t="s">
        <v>122</v>
      </c>
      <c r="FYH108" s="1" t="s">
        <v>122</v>
      </c>
      <c r="FYI108" s="1" t="s">
        <v>122</v>
      </c>
      <c r="FYJ108" s="1" t="s">
        <v>122</v>
      </c>
      <c r="FYK108" s="1" t="s">
        <v>122</v>
      </c>
      <c r="FYL108" s="1" t="s">
        <v>122</v>
      </c>
      <c r="FYM108" s="1" t="s">
        <v>122</v>
      </c>
      <c r="FYN108" s="1" t="s">
        <v>122</v>
      </c>
      <c r="FYO108" s="1" t="s">
        <v>122</v>
      </c>
      <c r="FYP108" s="1" t="s">
        <v>122</v>
      </c>
      <c r="FYQ108" s="1" t="s">
        <v>122</v>
      </c>
      <c r="FYR108" s="1" t="s">
        <v>122</v>
      </c>
      <c r="FYS108" s="1" t="s">
        <v>122</v>
      </c>
      <c r="FYT108" s="1" t="s">
        <v>122</v>
      </c>
      <c r="FYU108" s="1" t="s">
        <v>122</v>
      </c>
      <c r="FYV108" s="1" t="s">
        <v>122</v>
      </c>
      <c r="FYW108" s="1" t="s">
        <v>122</v>
      </c>
      <c r="FYX108" s="1" t="s">
        <v>122</v>
      </c>
      <c r="FYY108" s="1" t="s">
        <v>122</v>
      </c>
      <c r="FYZ108" s="1" t="s">
        <v>122</v>
      </c>
      <c r="FZA108" s="1" t="s">
        <v>122</v>
      </c>
      <c r="FZB108" s="1" t="s">
        <v>122</v>
      </c>
      <c r="FZC108" s="1" t="s">
        <v>122</v>
      </c>
      <c r="FZD108" s="1" t="s">
        <v>122</v>
      </c>
      <c r="FZE108" s="1" t="s">
        <v>122</v>
      </c>
      <c r="FZF108" s="1" t="s">
        <v>122</v>
      </c>
      <c r="FZG108" s="1" t="s">
        <v>122</v>
      </c>
      <c r="FZH108" s="1" t="s">
        <v>122</v>
      </c>
      <c r="FZI108" s="1" t="s">
        <v>122</v>
      </c>
      <c r="FZJ108" s="1" t="s">
        <v>122</v>
      </c>
      <c r="FZK108" s="1" t="s">
        <v>122</v>
      </c>
      <c r="FZL108" s="1" t="s">
        <v>122</v>
      </c>
      <c r="FZM108" s="1" t="s">
        <v>122</v>
      </c>
      <c r="FZN108" s="1" t="s">
        <v>122</v>
      </c>
      <c r="FZO108" s="1" t="s">
        <v>122</v>
      </c>
      <c r="FZP108" s="1" t="s">
        <v>122</v>
      </c>
      <c r="FZQ108" s="1" t="s">
        <v>122</v>
      </c>
      <c r="FZR108" s="1" t="s">
        <v>122</v>
      </c>
      <c r="FZS108" s="1" t="s">
        <v>122</v>
      </c>
      <c r="FZT108" s="1" t="s">
        <v>122</v>
      </c>
      <c r="FZU108" s="1" t="s">
        <v>122</v>
      </c>
      <c r="FZV108" s="1" t="s">
        <v>122</v>
      </c>
      <c r="FZW108" s="1" t="s">
        <v>122</v>
      </c>
      <c r="FZX108" s="1" t="s">
        <v>122</v>
      </c>
      <c r="FZY108" s="1" t="s">
        <v>122</v>
      </c>
      <c r="FZZ108" s="1" t="s">
        <v>122</v>
      </c>
      <c r="GAA108" s="1" t="s">
        <v>122</v>
      </c>
      <c r="GAB108" s="1" t="s">
        <v>122</v>
      </c>
      <c r="GAC108" s="1" t="s">
        <v>122</v>
      </c>
      <c r="GAD108" s="1" t="s">
        <v>122</v>
      </c>
      <c r="GAE108" s="1" t="s">
        <v>122</v>
      </c>
      <c r="GAF108" s="1" t="s">
        <v>122</v>
      </c>
      <c r="GAG108" s="1" t="s">
        <v>122</v>
      </c>
      <c r="GAH108" s="1" t="s">
        <v>122</v>
      </c>
      <c r="GAI108" s="1" t="s">
        <v>122</v>
      </c>
      <c r="GAJ108" s="1" t="s">
        <v>122</v>
      </c>
      <c r="GAK108" s="1" t="s">
        <v>122</v>
      </c>
      <c r="GAL108" s="1" t="s">
        <v>122</v>
      </c>
      <c r="GAM108" s="1" t="s">
        <v>122</v>
      </c>
      <c r="GAN108" s="1" t="s">
        <v>122</v>
      </c>
      <c r="GAO108" s="1" t="s">
        <v>122</v>
      </c>
      <c r="GAP108" s="1" t="s">
        <v>122</v>
      </c>
      <c r="GAQ108" s="1" t="s">
        <v>122</v>
      </c>
      <c r="GAR108" s="1" t="s">
        <v>122</v>
      </c>
      <c r="GAS108" s="1" t="s">
        <v>122</v>
      </c>
      <c r="GAT108" s="1" t="s">
        <v>122</v>
      </c>
      <c r="GAU108" s="1" t="s">
        <v>122</v>
      </c>
      <c r="GAV108" s="1" t="s">
        <v>122</v>
      </c>
      <c r="GAW108" s="1" t="s">
        <v>122</v>
      </c>
      <c r="GAX108" s="1" t="s">
        <v>122</v>
      </c>
      <c r="GAY108" s="1" t="s">
        <v>122</v>
      </c>
      <c r="GAZ108" s="1" t="s">
        <v>122</v>
      </c>
      <c r="GBA108" s="1" t="s">
        <v>122</v>
      </c>
      <c r="GBB108" s="1" t="s">
        <v>122</v>
      </c>
      <c r="GBC108" s="1" t="s">
        <v>122</v>
      </c>
      <c r="GBD108" s="1" t="s">
        <v>122</v>
      </c>
      <c r="GBE108" s="1" t="s">
        <v>122</v>
      </c>
      <c r="GBF108" s="1" t="s">
        <v>122</v>
      </c>
      <c r="GBG108" s="1" t="s">
        <v>122</v>
      </c>
      <c r="GBH108" s="1" t="s">
        <v>122</v>
      </c>
      <c r="GBI108" s="1" t="s">
        <v>122</v>
      </c>
      <c r="GBJ108" s="1" t="s">
        <v>122</v>
      </c>
      <c r="GBK108" s="1" t="s">
        <v>122</v>
      </c>
      <c r="GBL108" s="1" t="s">
        <v>122</v>
      </c>
      <c r="GBM108" s="1" t="s">
        <v>122</v>
      </c>
      <c r="GBN108" s="1" t="s">
        <v>122</v>
      </c>
      <c r="GBO108" s="1" t="s">
        <v>122</v>
      </c>
      <c r="GBP108" s="1" t="s">
        <v>122</v>
      </c>
      <c r="GBQ108" s="1" t="s">
        <v>122</v>
      </c>
      <c r="GBR108" s="1" t="s">
        <v>122</v>
      </c>
      <c r="GBS108" s="1" t="s">
        <v>122</v>
      </c>
      <c r="GBT108" s="1" t="s">
        <v>122</v>
      </c>
      <c r="GBU108" s="1" t="s">
        <v>122</v>
      </c>
      <c r="GBV108" s="1" t="s">
        <v>122</v>
      </c>
      <c r="GBW108" s="1" t="s">
        <v>122</v>
      </c>
      <c r="GBX108" s="1" t="s">
        <v>122</v>
      </c>
      <c r="GBY108" s="1" t="s">
        <v>122</v>
      </c>
      <c r="GBZ108" s="1" t="s">
        <v>122</v>
      </c>
      <c r="GCA108" s="1" t="s">
        <v>122</v>
      </c>
      <c r="GCB108" s="1" t="s">
        <v>122</v>
      </c>
      <c r="GCC108" s="1" t="s">
        <v>122</v>
      </c>
      <c r="GCD108" s="1" t="s">
        <v>122</v>
      </c>
      <c r="GCE108" s="1" t="s">
        <v>122</v>
      </c>
      <c r="GCF108" s="1" t="s">
        <v>122</v>
      </c>
      <c r="GCG108" s="1" t="s">
        <v>122</v>
      </c>
      <c r="GCH108" s="1" t="s">
        <v>122</v>
      </c>
      <c r="GCI108" s="1" t="s">
        <v>122</v>
      </c>
      <c r="GCJ108" s="1" t="s">
        <v>122</v>
      </c>
      <c r="GCK108" s="1" t="s">
        <v>122</v>
      </c>
      <c r="GCL108" s="1" t="s">
        <v>122</v>
      </c>
      <c r="GCM108" s="1" t="s">
        <v>122</v>
      </c>
      <c r="GCN108" s="1" t="s">
        <v>122</v>
      </c>
      <c r="GCO108" s="1" t="s">
        <v>122</v>
      </c>
      <c r="GCP108" s="1" t="s">
        <v>122</v>
      </c>
      <c r="GCQ108" s="1" t="s">
        <v>122</v>
      </c>
      <c r="GCR108" s="1" t="s">
        <v>122</v>
      </c>
      <c r="GCS108" s="1" t="s">
        <v>122</v>
      </c>
      <c r="GCT108" s="1" t="s">
        <v>122</v>
      </c>
      <c r="GCU108" s="1" t="s">
        <v>122</v>
      </c>
      <c r="GCV108" s="1" t="s">
        <v>122</v>
      </c>
      <c r="GCW108" s="1" t="s">
        <v>122</v>
      </c>
      <c r="GCX108" s="1" t="s">
        <v>122</v>
      </c>
      <c r="GCY108" s="1" t="s">
        <v>122</v>
      </c>
      <c r="GCZ108" s="1" t="s">
        <v>122</v>
      </c>
      <c r="GDA108" s="1" t="s">
        <v>122</v>
      </c>
      <c r="GDB108" s="1" t="s">
        <v>122</v>
      </c>
      <c r="GDC108" s="1" t="s">
        <v>122</v>
      </c>
      <c r="GDD108" s="1" t="s">
        <v>122</v>
      </c>
      <c r="GDE108" s="1" t="s">
        <v>122</v>
      </c>
      <c r="GDF108" s="1" t="s">
        <v>122</v>
      </c>
      <c r="GDG108" s="1" t="s">
        <v>122</v>
      </c>
      <c r="GDH108" s="1" t="s">
        <v>122</v>
      </c>
      <c r="GDI108" s="1" t="s">
        <v>122</v>
      </c>
      <c r="GDJ108" s="1" t="s">
        <v>122</v>
      </c>
      <c r="GDK108" s="1" t="s">
        <v>122</v>
      </c>
      <c r="GDL108" s="1" t="s">
        <v>122</v>
      </c>
      <c r="GDM108" s="1" t="s">
        <v>122</v>
      </c>
      <c r="GDN108" s="1" t="s">
        <v>122</v>
      </c>
      <c r="GDO108" s="1" t="s">
        <v>122</v>
      </c>
      <c r="GDP108" s="1" t="s">
        <v>122</v>
      </c>
      <c r="GDQ108" s="1" t="s">
        <v>122</v>
      </c>
      <c r="GDR108" s="1" t="s">
        <v>122</v>
      </c>
      <c r="GDS108" s="1" t="s">
        <v>122</v>
      </c>
      <c r="GDT108" s="1" t="s">
        <v>122</v>
      </c>
      <c r="GDU108" s="1" t="s">
        <v>122</v>
      </c>
      <c r="GDV108" s="1" t="s">
        <v>122</v>
      </c>
      <c r="GDW108" s="1" t="s">
        <v>122</v>
      </c>
      <c r="GDX108" s="1" t="s">
        <v>122</v>
      </c>
      <c r="GDY108" s="1" t="s">
        <v>122</v>
      </c>
      <c r="GDZ108" s="1" t="s">
        <v>122</v>
      </c>
      <c r="GEA108" s="1" t="s">
        <v>122</v>
      </c>
      <c r="GEB108" s="1" t="s">
        <v>122</v>
      </c>
      <c r="GEC108" s="1" t="s">
        <v>122</v>
      </c>
      <c r="GED108" s="1" t="s">
        <v>122</v>
      </c>
      <c r="GEE108" s="1" t="s">
        <v>122</v>
      </c>
      <c r="GEF108" s="1" t="s">
        <v>122</v>
      </c>
      <c r="GEG108" s="1" t="s">
        <v>122</v>
      </c>
      <c r="GEH108" s="1" t="s">
        <v>122</v>
      </c>
      <c r="GEI108" s="1" t="s">
        <v>122</v>
      </c>
      <c r="GEJ108" s="1" t="s">
        <v>122</v>
      </c>
      <c r="GEK108" s="1" t="s">
        <v>122</v>
      </c>
      <c r="GEL108" s="1" t="s">
        <v>122</v>
      </c>
      <c r="GEM108" s="1" t="s">
        <v>122</v>
      </c>
      <c r="GEN108" s="1" t="s">
        <v>122</v>
      </c>
      <c r="GEO108" s="1" t="s">
        <v>122</v>
      </c>
      <c r="GEP108" s="1" t="s">
        <v>122</v>
      </c>
      <c r="GEQ108" s="1" t="s">
        <v>122</v>
      </c>
      <c r="GER108" s="1" t="s">
        <v>122</v>
      </c>
      <c r="GES108" s="1" t="s">
        <v>122</v>
      </c>
      <c r="GET108" s="1" t="s">
        <v>122</v>
      </c>
      <c r="GEU108" s="1" t="s">
        <v>122</v>
      </c>
      <c r="GEV108" s="1" t="s">
        <v>122</v>
      </c>
      <c r="GEW108" s="1" t="s">
        <v>122</v>
      </c>
      <c r="GEX108" s="1" t="s">
        <v>122</v>
      </c>
      <c r="GEY108" s="1" t="s">
        <v>122</v>
      </c>
      <c r="GEZ108" s="1" t="s">
        <v>122</v>
      </c>
      <c r="GFA108" s="1" t="s">
        <v>122</v>
      </c>
      <c r="GFB108" s="1" t="s">
        <v>122</v>
      </c>
      <c r="GFC108" s="1" t="s">
        <v>122</v>
      </c>
      <c r="GFD108" s="1" t="s">
        <v>122</v>
      </c>
      <c r="GFE108" s="1" t="s">
        <v>122</v>
      </c>
      <c r="GFF108" s="1" t="s">
        <v>122</v>
      </c>
      <c r="GFG108" s="1" t="s">
        <v>122</v>
      </c>
      <c r="GFH108" s="1" t="s">
        <v>122</v>
      </c>
      <c r="GFI108" s="1" t="s">
        <v>122</v>
      </c>
      <c r="GFJ108" s="1" t="s">
        <v>122</v>
      </c>
      <c r="GFK108" s="1" t="s">
        <v>122</v>
      </c>
      <c r="GFL108" s="1" t="s">
        <v>122</v>
      </c>
      <c r="GFM108" s="1" t="s">
        <v>122</v>
      </c>
      <c r="GFN108" s="1" t="s">
        <v>122</v>
      </c>
      <c r="GFO108" s="1" t="s">
        <v>122</v>
      </c>
      <c r="GFP108" s="1" t="s">
        <v>122</v>
      </c>
      <c r="GFQ108" s="1" t="s">
        <v>122</v>
      </c>
      <c r="GFR108" s="1" t="s">
        <v>122</v>
      </c>
      <c r="GFS108" s="1" t="s">
        <v>122</v>
      </c>
      <c r="GFT108" s="1" t="s">
        <v>122</v>
      </c>
      <c r="GFU108" s="1" t="s">
        <v>122</v>
      </c>
      <c r="GFV108" s="1" t="s">
        <v>122</v>
      </c>
      <c r="GFW108" s="1" t="s">
        <v>122</v>
      </c>
      <c r="GFX108" s="1" t="s">
        <v>122</v>
      </c>
      <c r="GFY108" s="1" t="s">
        <v>122</v>
      </c>
      <c r="GFZ108" s="1" t="s">
        <v>122</v>
      </c>
      <c r="GGA108" s="1" t="s">
        <v>122</v>
      </c>
      <c r="GGB108" s="1" t="s">
        <v>122</v>
      </c>
      <c r="GGC108" s="1" t="s">
        <v>122</v>
      </c>
      <c r="GGD108" s="1" t="s">
        <v>122</v>
      </c>
      <c r="GGE108" s="1" t="s">
        <v>122</v>
      </c>
      <c r="GGF108" s="1" t="s">
        <v>122</v>
      </c>
      <c r="GGG108" s="1" t="s">
        <v>122</v>
      </c>
      <c r="GGH108" s="1" t="s">
        <v>122</v>
      </c>
      <c r="GGI108" s="1" t="s">
        <v>122</v>
      </c>
      <c r="GGJ108" s="1" t="s">
        <v>122</v>
      </c>
      <c r="GGK108" s="1" t="s">
        <v>122</v>
      </c>
      <c r="GGL108" s="1" t="s">
        <v>122</v>
      </c>
      <c r="GGM108" s="1" t="s">
        <v>122</v>
      </c>
      <c r="GGN108" s="1" t="s">
        <v>122</v>
      </c>
      <c r="GGO108" s="1" t="s">
        <v>122</v>
      </c>
      <c r="GGP108" s="1" t="s">
        <v>122</v>
      </c>
      <c r="GGQ108" s="1" t="s">
        <v>122</v>
      </c>
      <c r="GGR108" s="1" t="s">
        <v>122</v>
      </c>
      <c r="GGS108" s="1" t="s">
        <v>122</v>
      </c>
      <c r="GGT108" s="1" t="s">
        <v>122</v>
      </c>
      <c r="GGU108" s="1" t="s">
        <v>122</v>
      </c>
      <c r="GGV108" s="1" t="s">
        <v>122</v>
      </c>
      <c r="GGW108" s="1" t="s">
        <v>122</v>
      </c>
      <c r="GGX108" s="1" t="s">
        <v>122</v>
      </c>
      <c r="GGY108" s="1" t="s">
        <v>122</v>
      </c>
      <c r="GGZ108" s="1" t="s">
        <v>122</v>
      </c>
      <c r="GHA108" s="1" t="s">
        <v>122</v>
      </c>
      <c r="GHB108" s="1" t="s">
        <v>122</v>
      </c>
      <c r="GHC108" s="1" t="s">
        <v>122</v>
      </c>
      <c r="GHD108" s="1" t="s">
        <v>122</v>
      </c>
      <c r="GHE108" s="1" t="s">
        <v>122</v>
      </c>
      <c r="GHF108" s="1" t="s">
        <v>122</v>
      </c>
      <c r="GHG108" s="1" t="s">
        <v>122</v>
      </c>
      <c r="GHH108" s="1" t="s">
        <v>122</v>
      </c>
      <c r="GHI108" s="1" t="s">
        <v>122</v>
      </c>
      <c r="GHJ108" s="1" t="s">
        <v>122</v>
      </c>
      <c r="GHK108" s="1" t="s">
        <v>122</v>
      </c>
      <c r="GHL108" s="1" t="s">
        <v>122</v>
      </c>
      <c r="GHM108" s="1" t="s">
        <v>122</v>
      </c>
      <c r="GHN108" s="1" t="s">
        <v>122</v>
      </c>
      <c r="GHO108" s="1" t="s">
        <v>122</v>
      </c>
      <c r="GHP108" s="1" t="s">
        <v>122</v>
      </c>
      <c r="GHQ108" s="1" t="s">
        <v>122</v>
      </c>
      <c r="GHR108" s="1" t="s">
        <v>122</v>
      </c>
      <c r="GHS108" s="1" t="s">
        <v>122</v>
      </c>
      <c r="GHT108" s="1" t="s">
        <v>122</v>
      </c>
      <c r="GHU108" s="1" t="s">
        <v>122</v>
      </c>
      <c r="GHV108" s="1" t="s">
        <v>122</v>
      </c>
      <c r="GHW108" s="1" t="s">
        <v>122</v>
      </c>
      <c r="GHX108" s="1" t="s">
        <v>122</v>
      </c>
      <c r="GHY108" s="1" t="s">
        <v>122</v>
      </c>
      <c r="GHZ108" s="1" t="s">
        <v>122</v>
      </c>
      <c r="GIA108" s="1" t="s">
        <v>122</v>
      </c>
      <c r="GIB108" s="1" t="s">
        <v>122</v>
      </c>
      <c r="GIC108" s="1" t="s">
        <v>122</v>
      </c>
      <c r="GID108" s="1" t="s">
        <v>122</v>
      </c>
      <c r="GIE108" s="1" t="s">
        <v>122</v>
      </c>
      <c r="GIF108" s="1" t="s">
        <v>122</v>
      </c>
      <c r="GIG108" s="1" t="s">
        <v>122</v>
      </c>
      <c r="GIH108" s="1" t="s">
        <v>122</v>
      </c>
      <c r="GII108" s="1" t="s">
        <v>122</v>
      </c>
      <c r="GIJ108" s="1" t="s">
        <v>122</v>
      </c>
      <c r="GIK108" s="1" t="s">
        <v>122</v>
      </c>
      <c r="GIL108" s="1" t="s">
        <v>122</v>
      </c>
      <c r="GIM108" s="1" t="s">
        <v>122</v>
      </c>
      <c r="GIN108" s="1" t="s">
        <v>122</v>
      </c>
      <c r="GIO108" s="1" t="s">
        <v>122</v>
      </c>
      <c r="GIP108" s="1" t="s">
        <v>122</v>
      </c>
      <c r="GIQ108" s="1" t="s">
        <v>122</v>
      </c>
      <c r="GIR108" s="1" t="s">
        <v>122</v>
      </c>
      <c r="GIS108" s="1" t="s">
        <v>122</v>
      </c>
      <c r="GIT108" s="1" t="s">
        <v>122</v>
      </c>
      <c r="GIU108" s="1" t="s">
        <v>122</v>
      </c>
      <c r="GIV108" s="1" t="s">
        <v>122</v>
      </c>
      <c r="GIW108" s="1" t="s">
        <v>122</v>
      </c>
      <c r="GIX108" s="1" t="s">
        <v>122</v>
      </c>
      <c r="GIY108" s="1" t="s">
        <v>122</v>
      </c>
      <c r="GIZ108" s="1" t="s">
        <v>122</v>
      </c>
      <c r="GJA108" s="1" t="s">
        <v>122</v>
      </c>
      <c r="GJB108" s="1" t="s">
        <v>122</v>
      </c>
      <c r="GJC108" s="1" t="s">
        <v>122</v>
      </c>
      <c r="GJD108" s="1" t="s">
        <v>122</v>
      </c>
      <c r="GJE108" s="1" t="s">
        <v>122</v>
      </c>
      <c r="GJF108" s="1" t="s">
        <v>122</v>
      </c>
      <c r="GJG108" s="1" t="s">
        <v>122</v>
      </c>
      <c r="GJH108" s="1" t="s">
        <v>122</v>
      </c>
      <c r="GJI108" s="1" t="s">
        <v>122</v>
      </c>
      <c r="GJJ108" s="1" t="s">
        <v>122</v>
      </c>
      <c r="GJK108" s="1" t="s">
        <v>122</v>
      </c>
      <c r="GJL108" s="1" t="s">
        <v>122</v>
      </c>
      <c r="GJM108" s="1" t="s">
        <v>122</v>
      </c>
      <c r="GJN108" s="1" t="s">
        <v>122</v>
      </c>
      <c r="GJO108" s="1" t="s">
        <v>122</v>
      </c>
      <c r="GJP108" s="1" t="s">
        <v>122</v>
      </c>
      <c r="GJQ108" s="1" t="s">
        <v>122</v>
      </c>
      <c r="GJR108" s="1" t="s">
        <v>122</v>
      </c>
      <c r="GJS108" s="1" t="s">
        <v>122</v>
      </c>
      <c r="GJT108" s="1" t="s">
        <v>122</v>
      </c>
      <c r="GJU108" s="1" t="s">
        <v>122</v>
      </c>
      <c r="GJV108" s="1" t="s">
        <v>122</v>
      </c>
      <c r="GJW108" s="1" t="s">
        <v>122</v>
      </c>
      <c r="GJX108" s="1" t="s">
        <v>122</v>
      </c>
      <c r="GJY108" s="1" t="s">
        <v>122</v>
      </c>
      <c r="GJZ108" s="1" t="s">
        <v>122</v>
      </c>
      <c r="GKA108" s="1" t="s">
        <v>122</v>
      </c>
      <c r="GKB108" s="1" t="s">
        <v>122</v>
      </c>
      <c r="GKC108" s="1" t="s">
        <v>122</v>
      </c>
      <c r="GKD108" s="1" t="s">
        <v>122</v>
      </c>
      <c r="GKE108" s="1" t="s">
        <v>122</v>
      </c>
      <c r="GKF108" s="1" t="s">
        <v>122</v>
      </c>
      <c r="GKG108" s="1" t="s">
        <v>122</v>
      </c>
      <c r="GKH108" s="1" t="s">
        <v>122</v>
      </c>
      <c r="GKI108" s="1" t="s">
        <v>122</v>
      </c>
      <c r="GKJ108" s="1" t="s">
        <v>122</v>
      </c>
      <c r="GKK108" s="1" t="s">
        <v>122</v>
      </c>
      <c r="GKL108" s="1" t="s">
        <v>122</v>
      </c>
      <c r="GKM108" s="1" t="s">
        <v>122</v>
      </c>
      <c r="GKN108" s="1" t="s">
        <v>122</v>
      </c>
      <c r="GKO108" s="1" t="s">
        <v>122</v>
      </c>
      <c r="GKP108" s="1" t="s">
        <v>122</v>
      </c>
      <c r="GKQ108" s="1" t="s">
        <v>122</v>
      </c>
      <c r="GKR108" s="1" t="s">
        <v>122</v>
      </c>
      <c r="GKS108" s="1" t="s">
        <v>122</v>
      </c>
      <c r="GKT108" s="1" t="s">
        <v>122</v>
      </c>
      <c r="GKU108" s="1" t="s">
        <v>122</v>
      </c>
      <c r="GKV108" s="1" t="s">
        <v>122</v>
      </c>
      <c r="GKW108" s="1" t="s">
        <v>122</v>
      </c>
      <c r="GKX108" s="1" t="s">
        <v>122</v>
      </c>
      <c r="GKY108" s="1" t="s">
        <v>122</v>
      </c>
      <c r="GKZ108" s="1" t="s">
        <v>122</v>
      </c>
      <c r="GLA108" s="1" t="s">
        <v>122</v>
      </c>
      <c r="GLB108" s="1" t="s">
        <v>122</v>
      </c>
      <c r="GLC108" s="1" t="s">
        <v>122</v>
      </c>
      <c r="GLD108" s="1" t="s">
        <v>122</v>
      </c>
      <c r="GLE108" s="1" t="s">
        <v>122</v>
      </c>
      <c r="GLF108" s="1" t="s">
        <v>122</v>
      </c>
      <c r="GLG108" s="1" t="s">
        <v>122</v>
      </c>
      <c r="GLH108" s="1" t="s">
        <v>122</v>
      </c>
      <c r="GLI108" s="1" t="s">
        <v>122</v>
      </c>
      <c r="GLJ108" s="1" t="s">
        <v>122</v>
      </c>
      <c r="GLK108" s="1" t="s">
        <v>122</v>
      </c>
      <c r="GLL108" s="1" t="s">
        <v>122</v>
      </c>
      <c r="GLM108" s="1" t="s">
        <v>122</v>
      </c>
      <c r="GLN108" s="1" t="s">
        <v>122</v>
      </c>
      <c r="GLO108" s="1" t="s">
        <v>122</v>
      </c>
      <c r="GLP108" s="1" t="s">
        <v>122</v>
      </c>
      <c r="GLQ108" s="1" t="s">
        <v>122</v>
      </c>
      <c r="GLR108" s="1" t="s">
        <v>122</v>
      </c>
      <c r="GLS108" s="1" t="s">
        <v>122</v>
      </c>
      <c r="GLT108" s="1" t="s">
        <v>122</v>
      </c>
      <c r="GLU108" s="1" t="s">
        <v>122</v>
      </c>
      <c r="GLV108" s="1" t="s">
        <v>122</v>
      </c>
      <c r="GLW108" s="1" t="s">
        <v>122</v>
      </c>
      <c r="GLX108" s="1" t="s">
        <v>122</v>
      </c>
      <c r="GLY108" s="1" t="s">
        <v>122</v>
      </c>
      <c r="GLZ108" s="1" t="s">
        <v>122</v>
      </c>
      <c r="GMA108" s="1" t="s">
        <v>122</v>
      </c>
      <c r="GMB108" s="1" t="s">
        <v>122</v>
      </c>
      <c r="GMC108" s="1" t="s">
        <v>122</v>
      </c>
      <c r="GMD108" s="1" t="s">
        <v>122</v>
      </c>
      <c r="GME108" s="1" t="s">
        <v>122</v>
      </c>
      <c r="GMF108" s="1" t="s">
        <v>122</v>
      </c>
      <c r="GMG108" s="1" t="s">
        <v>122</v>
      </c>
      <c r="GMH108" s="1" t="s">
        <v>122</v>
      </c>
      <c r="GMI108" s="1" t="s">
        <v>122</v>
      </c>
      <c r="GMJ108" s="1" t="s">
        <v>122</v>
      </c>
      <c r="GMK108" s="1" t="s">
        <v>122</v>
      </c>
      <c r="GML108" s="1" t="s">
        <v>122</v>
      </c>
      <c r="GMM108" s="1" t="s">
        <v>122</v>
      </c>
      <c r="GMN108" s="1" t="s">
        <v>122</v>
      </c>
      <c r="GMO108" s="1" t="s">
        <v>122</v>
      </c>
      <c r="GMP108" s="1" t="s">
        <v>122</v>
      </c>
      <c r="GMQ108" s="1" t="s">
        <v>122</v>
      </c>
      <c r="GMR108" s="1" t="s">
        <v>122</v>
      </c>
      <c r="GMS108" s="1" t="s">
        <v>122</v>
      </c>
      <c r="GMT108" s="1" t="s">
        <v>122</v>
      </c>
      <c r="GMU108" s="1" t="s">
        <v>122</v>
      </c>
      <c r="GMV108" s="1" t="s">
        <v>122</v>
      </c>
      <c r="GMW108" s="1" t="s">
        <v>122</v>
      </c>
      <c r="GMX108" s="1" t="s">
        <v>122</v>
      </c>
      <c r="GMY108" s="1" t="s">
        <v>122</v>
      </c>
      <c r="GMZ108" s="1" t="s">
        <v>122</v>
      </c>
      <c r="GNA108" s="1" t="s">
        <v>122</v>
      </c>
      <c r="GNB108" s="1" t="s">
        <v>122</v>
      </c>
      <c r="GNC108" s="1" t="s">
        <v>122</v>
      </c>
      <c r="GND108" s="1" t="s">
        <v>122</v>
      </c>
      <c r="GNE108" s="1" t="s">
        <v>122</v>
      </c>
      <c r="GNF108" s="1" t="s">
        <v>122</v>
      </c>
      <c r="GNG108" s="1" t="s">
        <v>122</v>
      </c>
      <c r="GNH108" s="1" t="s">
        <v>122</v>
      </c>
      <c r="GNI108" s="1" t="s">
        <v>122</v>
      </c>
      <c r="GNJ108" s="1" t="s">
        <v>122</v>
      </c>
      <c r="GNK108" s="1" t="s">
        <v>122</v>
      </c>
      <c r="GNL108" s="1" t="s">
        <v>122</v>
      </c>
      <c r="GNM108" s="1" t="s">
        <v>122</v>
      </c>
      <c r="GNN108" s="1" t="s">
        <v>122</v>
      </c>
      <c r="GNO108" s="1" t="s">
        <v>122</v>
      </c>
      <c r="GNP108" s="1" t="s">
        <v>122</v>
      </c>
      <c r="GNQ108" s="1" t="s">
        <v>122</v>
      </c>
      <c r="GNR108" s="1" t="s">
        <v>122</v>
      </c>
      <c r="GNS108" s="1" t="s">
        <v>122</v>
      </c>
      <c r="GNT108" s="1" t="s">
        <v>122</v>
      </c>
      <c r="GNU108" s="1" t="s">
        <v>122</v>
      </c>
      <c r="GNV108" s="1" t="s">
        <v>122</v>
      </c>
      <c r="GNW108" s="1" t="s">
        <v>122</v>
      </c>
      <c r="GNX108" s="1" t="s">
        <v>122</v>
      </c>
      <c r="GNY108" s="1" t="s">
        <v>122</v>
      </c>
      <c r="GNZ108" s="1" t="s">
        <v>122</v>
      </c>
      <c r="GOA108" s="1" t="s">
        <v>122</v>
      </c>
      <c r="GOB108" s="1" t="s">
        <v>122</v>
      </c>
      <c r="GOC108" s="1" t="s">
        <v>122</v>
      </c>
      <c r="GOD108" s="1" t="s">
        <v>122</v>
      </c>
      <c r="GOE108" s="1" t="s">
        <v>122</v>
      </c>
      <c r="GOF108" s="1" t="s">
        <v>122</v>
      </c>
      <c r="GOG108" s="1" t="s">
        <v>122</v>
      </c>
      <c r="GOH108" s="1" t="s">
        <v>122</v>
      </c>
      <c r="GOI108" s="1" t="s">
        <v>122</v>
      </c>
      <c r="GOJ108" s="1" t="s">
        <v>122</v>
      </c>
      <c r="GOK108" s="1" t="s">
        <v>122</v>
      </c>
      <c r="GOL108" s="1" t="s">
        <v>122</v>
      </c>
      <c r="GOM108" s="1" t="s">
        <v>122</v>
      </c>
      <c r="GON108" s="1" t="s">
        <v>122</v>
      </c>
      <c r="GOO108" s="1" t="s">
        <v>122</v>
      </c>
      <c r="GOP108" s="1" t="s">
        <v>122</v>
      </c>
      <c r="GOQ108" s="1" t="s">
        <v>122</v>
      </c>
      <c r="GOR108" s="1" t="s">
        <v>122</v>
      </c>
      <c r="GOS108" s="1" t="s">
        <v>122</v>
      </c>
      <c r="GOT108" s="1" t="s">
        <v>122</v>
      </c>
      <c r="GOU108" s="1" t="s">
        <v>122</v>
      </c>
      <c r="GOV108" s="1" t="s">
        <v>122</v>
      </c>
      <c r="GOW108" s="1" t="s">
        <v>122</v>
      </c>
      <c r="GOX108" s="1" t="s">
        <v>122</v>
      </c>
      <c r="GOY108" s="1" t="s">
        <v>122</v>
      </c>
      <c r="GOZ108" s="1" t="s">
        <v>122</v>
      </c>
      <c r="GPA108" s="1" t="s">
        <v>122</v>
      </c>
      <c r="GPB108" s="1" t="s">
        <v>122</v>
      </c>
      <c r="GPC108" s="1" t="s">
        <v>122</v>
      </c>
      <c r="GPD108" s="1" t="s">
        <v>122</v>
      </c>
      <c r="GPE108" s="1" t="s">
        <v>122</v>
      </c>
      <c r="GPF108" s="1" t="s">
        <v>122</v>
      </c>
      <c r="GPG108" s="1" t="s">
        <v>122</v>
      </c>
      <c r="GPH108" s="1" t="s">
        <v>122</v>
      </c>
      <c r="GPI108" s="1" t="s">
        <v>122</v>
      </c>
      <c r="GPJ108" s="1" t="s">
        <v>122</v>
      </c>
      <c r="GPK108" s="1" t="s">
        <v>122</v>
      </c>
      <c r="GPL108" s="1" t="s">
        <v>122</v>
      </c>
      <c r="GPM108" s="1" t="s">
        <v>122</v>
      </c>
      <c r="GPN108" s="1" t="s">
        <v>122</v>
      </c>
      <c r="GPO108" s="1" t="s">
        <v>122</v>
      </c>
      <c r="GPP108" s="1" t="s">
        <v>122</v>
      </c>
      <c r="GPQ108" s="1" t="s">
        <v>122</v>
      </c>
      <c r="GPR108" s="1" t="s">
        <v>122</v>
      </c>
      <c r="GPS108" s="1" t="s">
        <v>122</v>
      </c>
      <c r="GPT108" s="1" t="s">
        <v>122</v>
      </c>
      <c r="GPU108" s="1" t="s">
        <v>122</v>
      </c>
      <c r="GPV108" s="1" t="s">
        <v>122</v>
      </c>
      <c r="GPW108" s="1" t="s">
        <v>122</v>
      </c>
      <c r="GPX108" s="1" t="s">
        <v>122</v>
      </c>
      <c r="GPY108" s="1" t="s">
        <v>122</v>
      </c>
      <c r="GPZ108" s="1" t="s">
        <v>122</v>
      </c>
      <c r="GQA108" s="1" t="s">
        <v>122</v>
      </c>
      <c r="GQB108" s="1" t="s">
        <v>122</v>
      </c>
      <c r="GQC108" s="1" t="s">
        <v>122</v>
      </c>
      <c r="GQD108" s="1" t="s">
        <v>122</v>
      </c>
      <c r="GQE108" s="1" t="s">
        <v>122</v>
      </c>
      <c r="GQF108" s="1" t="s">
        <v>122</v>
      </c>
      <c r="GQG108" s="1" t="s">
        <v>122</v>
      </c>
      <c r="GQH108" s="1" t="s">
        <v>122</v>
      </c>
      <c r="GQI108" s="1" t="s">
        <v>122</v>
      </c>
      <c r="GQJ108" s="1" t="s">
        <v>122</v>
      </c>
      <c r="GQK108" s="1" t="s">
        <v>122</v>
      </c>
      <c r="GQL108" s="1" t="s">
        <v>122</v>
      </c>
      <c r="GQM108" s="1" t="s">
        <v>122</v>
      </c>
      <c r="GQN108" s="1" t="s">
        <v>122</v>
      </c>
      <c r="GQO108" s="1" t="s">
        <v>122</v>
      </c>
      <c r="GQP108" s="1" t="s">
        <v>122</v>
      </c>
      <c r="GQQ108" s="1" t="s">
        <v>122</v>
      </c>
      <c r="GQR108" s="1" t="s">
        <v>122</v>
      </c>
      <c r="GQS108" s="1" t="s">
        <v>122</v>
      </c>
      <c r="GQT108" s="1" t="s">
        <v>122</v>
      </c>
      <c r="GQU108" s="1" t="s">
        <v>122</v>
      </c>
      <c r="GQV108" s="1" t="s">
        <v>122</v>
      </c>
      <c r="GQW108" s="1" t="s">
        <v>122</v>
      </c>
      <c r="GQX108" s="1" t="s">
        <v>122</v>
      </c>
      <c r="GQY108" s="1" t="s">
        <v>122</v>
      </c>
      <c r="GQZ108" s="1" t="s">
        <v>122</v>
      </c>
      <c r="GRA108" s="1" t="s">
        <v>122</v>
      </c>
      <c r="GRB108" s="1" t="s">
        <v>122</v>
      </c>
      <c r="GRC108" s="1" t="s">
        <v>122</v>
      </c>
      <c r="GRD108" s="1" t="s">
        <v>122</v>
      </c>
      <c r="GRE108" s="1" t="s">
        <v>122</v>
      </c>
      <c r="GRF108" s="1" t="s">
        <v>122</v>
      </c>
      <c r="GRG108" s="1" t="s">
        <v>122</v>
      </c>
      <c r="GRH108" s="1" t="s">
        <v>122</v>
      </c>
      <c r="GRI108" s="1" t="s">
        <v>122</v>
      </c>
      <c r="GRJ108" s="1" t="s">
        <v>122</v>
      </c>
      <c r="GRK108" s="1" t="s">
        <v>122</v>
      </c>
      <c r="GRL108" s="1" t="s">
        <v>122</v>
      </c>
      <c r="GRM108" s="1" t="s">
        <v>122</v>
      </c>
      <c r="GRN108" s="1" t="s">
        <v>122</v>
      </c>
      <c r="GRO108" s="1" t="s">
        <v>122</v>
      </c>
      <c r="GRP108" s="1" t="s">
        <v>122</v>
      </c>
      <c r="GRQ108" s="1" t="s">
        <v>122</v>
      </c>
      <c r="GRR108" s="1" t="s">
        <v>122</v>
      </c>
      <c r="GRS108" s="1" t="s">
        <v>122</v>
      </c>
      <c r="GRT108" s="1" t="s">
        <v>122</v>
      </c>
      <c r="GRU108" s="1" t="s">
        <v>122</v>
      </c>
      <c r="GRV108" s="1" t="s">
        <v>122</v>
      </c>
      <c r="GRW108" s="1" t="s">
        <v>122</v>
      </c>
      <c r="GRX108" s="1" t="s">
        <v>122</v>
      </c>
      <c r="GRY108" s="1" t="s">
        <v>122</v>
      </c>
      <c r="GRZ108" s="1" t="s">
        <v>122</v>
      </c>
      <c r="GSA108" s="1" t="s">
        <v>122</v>
      </c>
      <c r="GSB108" s="1" t="s">
        <v>122</v>
      </c>
      <c r="GSC108" s="1" t="s">
        <v>122</v>
      </c>
      <c r="GSD108" s="1" t="s">
        <v>122</v>
      </c>
      <c r="GSE108" s="1" t="s">
        <v>122</v>
      </c>
      <c r="GSF108" s="1" t="s">
        <v>122</v>
      </c>
      <c r="GSG108" s="1" t="s">
        <v>122</v>
      </c>
      <c r="GSH108" s="1" t="s">
        <v>122</v>
      </c>
      <c r="GSI108" s="1" t="s">
        <v>122</v>
      </c>
      <c r="GSJ108" s="1" t="s">
        <v>122</v>
      </c>
      <c r="GSK108" s="1" t="s">
        <v>122</v>
      </c>
      <c r="GSL108" s="1" t="s">
        <v>122</v>
      </c>
      <c r="GSM108" s="1" t="s">
        <v>122</v>
      </c>
      <c r="GSN108" s="1" t="s">
        <v>122</v>
      </c>
      <c r="GSO108" s="1" t="s">
        <v>122</v>
      </c>
      <c r="GSP108" s="1" t="s">
        <v>122</v>
      </c>
      <c r="GSQ108" s="1" t="s">
        <v>122</v>
      </c>
      <c r="GSR108" s="1" t="s">
        <v>122</v>
      </c>
      <c r="GSS108" s="1" t="s">
        <v>122</v>
      </c>
      <c r="GST108" s="1" t="s">
        <v>122</v>
      </c>
      <c r="GSU108" s="1" t="s">
        <v>122</v>
      </c>
      <c r="GSV108" s="1" t="s">
        <v>122</v>
      </c>
      <c r="GSW108" s="1" t="s">
        <v>122</v>
      </c>
      <c r="GSX108" s="1" t="s">
        <v>122</v>
      </c>
      <c r="GSY108" s="1" t="s">
        <v>122</v>
      </c>
      <c r="GSZ108" s="1" t="s">
        <v>122</v>
      </c>
      <c r="GTA108" s="1" t="s">
        <v>122</v>
      </c>
      <c r="GTB108" s="1" t="s">
        <v>122</v>
      </c>
      <c r="GTC108" s="1" t="s">
        <v>122</v>
      </c>
      <c r="GTD108" s="1" t="s">
        <v>122</v>
      </c>
      <c r="GTE108" s="1" t="s">
        <v>122</v>
      </c>
      <c r="GTF108" s="1" t="s">
        <v>122</v>
      </c>
      <c r="GTG108" s="1" t="s">
        <v>122</v>
      </c>
      <c r="GTH108" s="1" t="s">
        <v>122</v>
      </c>
      <c r="GTI108" s="1" t="s">
        <v>122</v>
      </c>
      <c r="GTJ108" s="1" t="s">
        <v>122</v>
      </c>
      <c r="GTK108" s="1" t="s">
        <v>122</v>
      </c>
      <c r="GTL108" s="1" t="s">
        <v>122</v>
      </c>
      <c r="GTM108" s="1" t="s">
        <v>122</v>
      </c>
      <c r="GTN108" s="1" t="s">
        <v>122</v>
      </c>
      <c r="GTO108" s="1" t="s">
        <v>122</v>
      </c>
      <c r="GTP108" s="1" t="s">
        <v>122</v>
      </c>
      <c r="GTQ108" s="1" t="s">
        <v>122</v>
      </c>
      <c r="GTR108" s="1" t="s">
        <v>122</v>
      </c>
      <c r="GTS108" s="1" t="s">
        <v>122</v>
      </c>
      <c r="GTT108" s="1" t="s">
        <v>122</v>
      </c>
      <c r="GTU108" s="1" t="s">
        <v>122</v>
      </c>
      <c r="GTV108" s="1" t="s">
        <v>122</v>
      </c>
      <c r="GTW108" s="1" t="s">
        <v>122</v>
      </c>
      <c r="GTX108" s="1" t="s">
        <v>122</v>
      </c>
      <c r="GTY108" s="1" t="s">
        <v>122</v>
      </c>
      <c r="GTZ108" s="1" t="s">
        <v>122</v>
      </c>
      <c r="GUA108" s="1" t="s">
        <v>122</v>
      </c>
      <c r="GUB108" s="1" t="s">
        <v>122</v>
      </c>
      <c r="GUC108" s="1" t="s">
        <v>122</v>
      </c>
      <c r="GUD108" s="1" t="s">
        <v>122</v>
      </c>
      <c r="GUE108" s="1" t="s">
        <v>122</v>
      </c>
      <c r="GUF108" s="1" t="s">
        <v>122</v>
      </c>
      <c r="GUG108" s="1" t="s">
        <v>122</v>
      </c>
      <c r="GUH108" s="1" t="s">
        <v>122</v>
      </c>
      <c r="GUI108" s="1" t="s">
        <v>122</v>
      </c>
      <c r="GUJ108" s="1" t="s">
        <v>122</v>
      </c>
      <c r="GUK108" s="1" t="s">
        <v>122</v>
      </c>
      <c r="GUL108" s="1" t="s">
        <v>122</v>
      </c>
      <c r="GUM108" s="1" t="s">
        <v>122</v>
      </c>
      <c r="GUN108" s="1" t="s">
        <v>122</v>
      </c>
      <c r="GUO108" s="1" t="s">
        <v>122</v>
      </c>
      <c r="GUP108" s="1" t="s">
        <v>122</v>
      </c>
      <c r="GUQ108" s="1" t="s">
        <v>122</v>
      </c>
      <c r="GUR108" s="1" t="s">
        <v>122</v>
      </c>
      <c r="GUS108" s="1" t="s">
        <v>122</v>
      </c>
      <c r="GUT108" s="1" t="s">
        <v>122</v>
      </c>
      <c r="GUU108" s="1" t="s">
        <v>122</v>
      </c>
      <c r="GUV108" s="1" t="s">
        <v>122</v>
      </c>
      <c r="GUW108" s="1" t="s">
        <v>122</v>
      </c>
      <c r="GUX108" s="1" t="s">
        <v>122</v>
      </c>
      <c r="GUY108" s="1" t="s">
        <v>122</v>
      </c>
      <c r="GUZ108" s="1" t="s">
        <v>122</v>
      </c>
      <c r="GVA108" s="1" t="s">
        <v>122</v>
      </c>
      <c r="GVB108" s="1" t="s">
        <v>122</v>
      </c>
      <c r="GVC108" s="1" t="s">
        <v>122</v>
      </c>
      <c r="GVD108" s="1" t="s">
        <v>122</v>
      </c>
      <c r="GVE108" s="1" t="s">
        <v>122</v>
      </c>
      <c r="GVF108" s="1" t="s">
        <v>122</v>
      </c>
      <c r="GVG108" s="1" t="s">
        <v>122</v>
      </c>
      <c r="GVH108" s="1" t="s">
        <v>122</v>
      </c>
      <c r="GVI108" s="1" t="s">
        <v>122</v>
      </c>
      <c r="GVJ108" s="1" t="s">
        <v>122</v>
      </c>
      <c r="GVK108" s="1" t="s">
        <v>122</v>
      </c>
      <c r="GVL108" s="1" t="s">
        <v>122</v>
      </c>
      <c r="GVM108" s="1" t="s">
        <v>122</v>
      </c>
      <c r="GVN108" s="1" t="s">
        <v>122</v>
      </c>
      <c r="GVO108" s="1" t="s">
        <v>122</v>
      </c>
      <c r="GVP108" s="1" t="s">
        <v>122</v>
      </c>
      <c r="GVQ108" s="1" t="s">
        <v>122</v>
      </c>
      <c r="GVR108" s="1" t="s">
        <v>122</v>
      </c>
      <c r="GVS108" s="1" t="s">
        <v>122</v>
      </c>
      <c r="GVT108" s="1" t="s">
        <v>122</v>
      </c>
      <c r="GVU108" s="1" t="s">
        <v>122</v>
      </c>
      <c r="GVV108" s="1" t="s">
        <v>122</v>
      </c>
      <c r="GVW108" s="1" t="s">
        <v>122</v>
      </c>
      <c r="GVX108" s="1" t="s">
        <v>122</v>
      </c>
      <c r="GVY108" s="1" t="s">
        <v>122</v>
      </c>
      <c r="GVZ108" s="1" t="s">
        <v>122</v>
      </c>
      <c r="GWA108" s="1" t="s">
        <v>122</v>
      </c>
      <c r="GWB108" s="1" t="s">
        <v>122</v>
      </c>
      <c r="GWC108" s="1" t="s">
        <v>122</v>
      </c>
      <c r="GWD108" s="1" t="s">
        <v>122</v>
      </c>
      <c r="GWE108" s="1" t="s">
        <v>122</v>
      </c>
      <c r="GWF108" s="1" t="s">
        <v>122</v>
      </c>
      <c r="GWG108" s="1" t="s">
        <v>122</v>
      </c>
      <c r="GWH108" s="1" t="s">
        <v>122</v>
      </c>
      <c r="GWI108" s="1" t="s">
        <v>122</v>
      </c>
      <c r="GWJ108" s="1" t="s">
        <v>122</v>
      </c>
      <c r="GWK108" s="1" t="s">
        <v>122</v>
      </c>
      <c r="GWL108" s="1" t="s">
        <v>122</v>
      </c>
      <c r="GWM108" s="1" t="s">
        <v>122</v>
      </c>
      <c r="GWN108" s="1" t="s">
        <v>122</v>
      </c>
      <c r="GWO108" s="1" t="s">
        <v>122</v>
      </c>
      <c r="GWP108" s="1" t="s">
        <v>122</v>
      </c>
      <c r="GWQ108" s="1" t="s">
        <v>122</v>
      </c>
      <c r="GWR108" s="1" t="s">
        <v>122</v>
      </c>
      <c r="GWS108" s="1" t="s">
        <v>122</v>
      </c>
      <c r="GWT108" s="1" t="s">
        <v>122</v>
      </c>
      <c r="GWU108" s="1" t="s">
        <v>122</v>
      </c>
      <c r="GWV108" s="1" t="s">
        <v>122</v>
      </c>
      <c r="GWW108" s="1" t="s">
        <v>122</v>
      </c>
      <c r="GWX108" s="1" t="s">
        <v>122</v>
      </c>
      <c r="GWY108" s="1" t="s">
        <v>122</v>
      </c>
      <c r="GWZ108" s="1" t="s">
        <v>122</v>
      </c>
      <c r="GXA108" s="1" t="s">
        <v>122</v>
      </c>
      <c r="GXB108" s="1" t="s">
        <v>122</v>
      </c>
      <c r="GXC108" s="1" t="s">
        <v>122</v>
      </c>
      <c r="GXD108" s="1" t="s">
        <v>122</v>
      </c>
      <c r="GXE108" s="1" t="s">
        <v>122</v>
      </c>
      <c r="GXF108" s="1" t="s">
        <v>122</v>
      </c>
      <c r="GXG108" s="1" t="s">
        <v>122</v>
      </c>
      <c r="GXH108" s="1" t="s">
        <v>122</v>
      </c>
      <c r="GXI108" s="1" t="s">
        <v>122</v>
      </c>
      <c r="GXJ108" s="1" t="s">
        <v>122</v>
      </c>
      <c r="GXK108" s="1" t="s">
        <v>122</v>
      </c>
      <c r="GXL108" s="1" t="s">
        <v>122</v>
      </c>
      <c r="GXM108" s="1" t="s">
        <v>122</v>
      </c>
      <c r="GXN108" s="1" t="s">
        <v>122</v>
      </c>
      <c r="GXO108" s="1" t="s">
        <v>122</v>
      </c>
      <c r="GXP108" s="1" t="s">
        <v>122</v>
      </c>
      <c r="GXQ108" s="1" t="s">
        <v>122</v>
      </c>
      <c r="GXR108" s="1" t="s">
        <v>122</v>
      </c>
      <c r="GXS108" s="1" t="s">
        <v>122</v>
      </c>
      <c r="GXT108" s="1" t="s">
        <v>122</v>
      </c>
      <c r="GXU108" s="1" t="s">
        <v>122</v>
      </c>
      <c r="GXV108" s="1" t="s">
        <v>122</v>
      </c>
      <c r="GXW108" s="1" t="s">
        <v>122</v>
      </c>
      <c r="GXX108" s="1" t="s">
        <v>122</v>
      </c>
      <c r="GXY108" s="1" t="s">
        <v>122</v>
      </c>
      <c r="GXZ108" s="1" t="s">
        <v>122</v>
      </c>
      <c r="GYA108" s="1" t="s">
        <v>122</v>
      </c>
      <c r="GYB108" s="1" t="s">
        <v>122</v>
      </c>
      <c r="GYC108" s="1" t="s">
        <v>122</v>
      </c>
      <c r="GYD108" s="1" t="s">
        <v>122</v>
      </c>
      <c r="GYE108" s="1" t="s">
        <v>122</v>
      </c>
      <c r="GYF108" s="1" t="s">
        <v>122</v>
      </c>
      <c r="GYG108" s="1" t="s">
        <v>122</v>
      </c>
      <c r="GYH108" s="1" t="s">
        <v>122</v>
      </c>
      <c r="GYI108" s="1" t="s">
        <v>122</v>
      </c>
      <c r="GYJ108" s="1" t="s">
        <v>122</v>
      </c>
      <c r="GYK108" s="1" t="s">
        <v>122</v>
      </c>
      <c r="GYL108" s="1" t="s">
        <v>122</v>
      </c>
      <c r="GYM108" s="1" t="s">
        <v>122</v>
      </c>
      <c r="GYN108" s="1" t="s">
        <v>122</v>
      </c>
      <c r="GYO108" s="1" t="s">
        <v>122</v>
      </c>
      <c r="GYP108" s="1" t="s">
        <v>122</v>
      </c>
      <c r="GYQ108" s="1" t="s">
        <v>122</v>
      </c>
      <c r="GYR108" s="1" t="s">
        <v>122</v>
      </c>
      <c r="GYS108" s="1" t="s">
        <v>122</v>
      </c>
      <c r="GYT108" s="1" t="s">
        <v>122</v>
      </c>
      <c r="GYU108" s="1" t="s">
        <v>122</v>
      </c>
      <c r="GYV108" s="1" t="s">
        <v>122</v>
      </c>
      <c r="GYW108" s="1" t="s">
        <v>122</v>
      </c>
      <c r="GYX108" s="1" t="s">
        <v>122</v>
      </c>
      <c r="GYY108" s="1" t="s">
        <v>122</v>
      </c>
      <c r="GYZ108" s="1" t="s">
        <v>122</v>
      </c>
      <c r="GZA108" s="1" t="s">
        <v>122</v>
      </c>
      <c r="GZB108" s="1" t="s">
        <v>122</v>
      </c>
      <c r="GZC108" s="1" t="s">
        <v>122</v>
      </c>
      <c r="GZD108" s="1" t="s">
        <v>122</v>
      </c>
      <c r="GZE108" s="1" t="s">
        <v>122</v>
      </c>
      <c r="GZF108" s="1" t="s">
        <v>122</v>
      </c>
      <c r="GZG108" s="1" t="s">
        <v>122</v>
      </c>
      <c r="GZH108" s="1" t="s">
        <v>122</v>
      </c>
      <c r="GZI108" s="1" t="s">
        <v>122</v>
      </c>
      <c r="GZJ108" s="1" t="s">
        <v>122</v>
      </c>
      <c r="GZK108" s="1" t="s">
        <v>122</v>
      </c>
      <c r="GZL108" s="1" t="s">
        <v>122</v>
      </c>
      <c r="GZM108" s="1" t="s">
        <v>122</v>
      </c>
      <c r="GZN108" s="1" t="s">
        <v>122</v>
      </c>
      <c r="GZO108" s="1" t="s">
        <v>122</v>
      </c>
      <c r="GZP108" s="1" t="s">
        <v>122</v>
      </c>
      <c r="GZQ108" s="1" t="s">
        <v>122</v>
      </c>
      <c r="GZR108" s="1" t="s">
        <v>122</v>
      </c>
      <c r="GZS108" s="1" t="s">
        <v>122</v>
      </c>
      <c r="GZT108" s="1" t="s">
        <v>122</v>
      </c>
      <c r="GZU108" s="1" t="s">
        <v>122</v>
      </c>
      <c r="GZV108" s="1" t="s">
        <v>122</v>
      </c>
      <c r="GZW108" s="1" t="s">
        <v>122</v>
      </c>
      <c r="GZX108" s="1" t="s">
        <v>122</v>
      </c>
      <c r="GZY108" s="1" t="s">
        <v>122</v>
      </c>
      <c r="GZZ108" s="1" t="s">
        <v>122</v>
      </c>
      <c r="HAA108" s="1" t="s">
        <v>122</v>
      </c>
      <c r="HAB108" s="1" t="s">
        <v>122</v>
      </c>
      <c r="HAC108" s="1" t="s">
        <v>122</v>
      </c>
      <c r="HAD108" s="1" t="s">
        <v>122</v>
      </c>
      <c r="HAE108" s="1" t="s">
        <v>122</v>
      </c>
      <c r="HAF108" s="1" t="s">
        <v>122</v>
      </c>
      <c r="HAG108" s="1" t="s">
        <v>122</v>
      </c>
      <c r="HAH108" s="1" t="s">
        <v>122</v>
      </c>
      <c r="HAI108" s="1" t="s">
        <v>122</v>
      </c>
      <c r="HAJ108" s="1" t="s">
        <v>122</v>
      </c>
      <c r="HAK108" s="1" t="s">
        <v>122</v>
      </c>
      <c r="HAL108" s="1" t="s">
        <v>122</v>
      </c>
      <c r="HAM108" s="1" t="s">
        <v>122</v>
      </c>
      <c r="HAN108" s="1" t="s">
        <v>122</v>
      </c>
      <c r="HAO108" s="1" t="s">
        <v>122</v>
      </c>
      <c r="HAP108" s="1" t="s">
        <v>122</v>
      </c>
      <c r="HAQ108" s="1" t="s">
        <v>122</v>
      </c>
      <c r="HAR108" s="1" t="s">
        <v>122</v>
      </c>
      <c r="HAS108" s="1" t="s">
        <v>122</v>
      </c>
      <c r="HAT108" s="1" t="s">
        <v>122</v>
      </c>
      <c r="HAU108" s="1" t="s">
        <v>122</v>
      </c>
      <c r="HAV108" s="1" t="s">
        <v>122</v>
      </c>
      <c r="HAW108" s="1" t="s">
        <v>122</v>
      </c>
      <c r="HAX108" s="1" t="s">
        <v>122</v>
      </c>
      <c r="HAY108" s="1" t="s">
        <v>122</v>
      </c>
      <c r="HAZ108" s="1" t="s">
        <v>122</v>
      </c>
      <c r="HBA108" s="1" t="s">
        <v>122</v>
      </c>
      <c r="HBB108" s="1" t="s">
        <v>122</v>
      </c>
      <c r="HBC108" s="1" t="s">
        <v>122</v>
      </c>
      <c r="HBD108" s="1" t="s">
        <v>122</v>
      </c>
      <c r="HBE108" s="1" t="s">
        <v>122</v>
      </c>
      <c r="HBF108" s="1" t="s">
        <v>122</v>
      </c>
      <c r="HBG108" s="1" t="s">
        <v>122</v>
      </c>
      <c r="HBH108" s="1" t="s">
        <v>122</v>
      </c>
      <c r="HBI108" s="1" t="s">
        <v>122</v>
      </c>
      <c r="HBJ108" s="1" t="s">
        <v>122</v>
      </c>
      <c r="HBK108" s="1" t="s">
        <v>122</v>
      </c>
      <c r="HBL108" s="1" t="s">
        <v>122</v>
      </c>
      <c r="HBM108" s="1" t="s">
        <v>122</v>
      </c>
      <c r="HBN108" s="1" t="s">
        <v>122</v>
      </c>
      <c r="HBO108" s="1" t="s">
        <v>122</v>
      </c>
      <c r="HBP108" s="1" t="s">
        <v>122</v>
      </c>
      <c r="HBQ108" s="1" t="s">
        <v>122</v>
      </c>
      <c r="HBR108" s="1" t="s">
        <v>122</v>
      </c>
      <c r="HBS108" s="1" t="s">
        <v>122</v>
      </c>
      <c r="HBT108" s="1" t="s">
        <v>122</v>
      </c>
      <c r="HBU108" s="1" t="s">
        <v>122</v>
      </c>
      <c r="HBV108" s="1" t="s">
        <v>122</v>
      </c>
      <c r="HBW108" s="1" t="s">
        <v>122</v>
      </c>
      <c r="HBX108" s="1" t="s">
        <v>122</v>
      </c>
      <c r="HBY108" s="1" t="s">
        <v>122</v>
      </c>
      <c r="HBZ108" s="1" t="s">
        <v>122</v>
      </c>
      <c r="HCA108" s="1" t="s">
        <v>122</v>
      </c>
      <c r="HCB108" s="1" t="s">
        <v>122</v>
      </c>
      <c r="HCC108" s="1" t="s">
        <v>122</v>
      </c>
      <c r="HCD108" s="1" t="s">
        <v>122</v>
      </c>
      <c r="HCE108" s="1" t="s">
        <v>122</v>
      </c>
      <c r="HCF108" s="1" t="s">
        <v>122</v>
      </c>
      <c r="HCG108" s="1" t="s">
        <v>122</v>
      </c>
      <c r="HCH108" s="1" t="s">
        <v>122</v>
      </c>
      <c r="HCI108" s="1" t="s">
        <v>122</v>
      </c>
      <c r="HCJ108" s="1" t="s">
        <v>122</v>
      </c>
      <c r="HCK108" s="1" t="s">
        <v>122</v>
      </c>
      <c r="HCL108" s="1" t="s">
        <v>122</v>
      </c>
      <c r="HCM108" s="1" t="s">
        <v>122</v>
      </c>
      <c r="HCN108" s="1" t="s">
        <v>122</v>
      </c>
      <c r="HCO108" s="1" t="s">
        <v>122</v>
      </c>
      <c r="HCP108" s="1" t="s">
        <v>122</v>
      </c>
      <c r="HCQ108" s="1" t="s">
        <v>122</v>
      </c>
      <c r="HCR108" s="1" t="s">
        <v>122</v>
      </c>
      <c r="HCS108" s="1" t="s">
        <v>122</v>
      </c>
      <c r="HCT108" s="1" t="s">
        <v>122</v>
      </c>
      <c r="HCU108" s="1" t="s">
        <v>122</v>
      </c>
      <c r="HCV108" s="1" t="s">
        <v>122</v>
      </c>
      <c r="HCW108" s="1" t="s">
        <v>122</v>
      </c>
      <c r="HCX108" s="1" t="s">
        <v>122</v>
      </c>
      <c r="HCY108" s="1" t="s">
        <v>122</v>
      </c>
      <c r="HCZ108" s="1" t="s">
        <v>122</v>
      </c>
      <c r="HDA108" s="1" t="s">
        <v>122</v>
      </c>
      <c r="HDB108" s="1" t="s">
        <v>122</v>
      </c>
      <c r="HDC108" s="1" t="s">
        <v>122</v>
      </c>
      <c r="HDD108" s="1" t="s">
        <v>122</v>
      </c>
      <c r="HDE108" s="1" t="s">
        <v>122</v>
      </c>
      <c r="HDF108" s="1" t="s">
        <v>122</v>
      </c>
      <c r="HDG108" s="1" t="s">
        <v>122</v>
      </c>
      <c r="HDH108" s="1" t="s">
        <v>122</v>
      </c>
      <c r="HDI108" s="1" t="s">
        <v>122</v>
      </c>
      <c r="HDJ108" s="1" t="s">
        <v>122</v>
      </c>
      <c r="HDK108" s="1" t="s">
        <v>122</v>
      </c>
      <c r="HDL108" s="1" t="s">
        <v>122</v>
      </c>
      <c r="HDM108" s="1" t="s">
        <v>122</v>
      </c>
      <c r="HDN108" s="1" t="s">
        <v>122</v>
      </c>
      <c r="HDO108" s="1" t="s">
        <v>122</v>
      </c>
      <c r="HDP108" s="1" t="s">
        <v>122</v>
      </c>
      <c r="HDQ108" s="1" t="s">
        <v>122</v>
      </c>
      <c r="HDR108" s="1" t="s">
        <v>122</v>
      </c>
      <c r="HDS108" s="1" t="s">
        <v>122</v>
      </c>
      <c r="HDT108" s="1" t="s">
        <v>122</v>
      </c>
      <c r="HDU108" s="1" t="s">
        <v>122</v>
      </c>
      <c r="HDV108" s="1" t="s">
        <v>122</v>
      </c>
      <c r="HDW108" s="1" t="s">
        <v>122</v>
      </c>
      <c r="HDX108" s="1" t="s">
        <v>122</v>
      </c>
      <c r="HDY108" s="1" t="s">
        <v>122</v>
      </c>
      <c r="HDZ108" s="1" t="s">
        <v>122</v>
      </c>
      <c r="HEA108" s="1" t="s">
        <v>122</v>
      </c>
      <c r="HEB108" s="1" t="s">
        <v>122</v>
      </c>
      <c r="HEC108" s="1" t="s">
        <v>122</v>
      </c>
      <c r="HED108" s="1" t="s">
        <v>122</v>
      </c>
      <c r="HEE108" s="1" t="s">
        <v>122</v>
      </c>
      <c r="HEF108" s="1" t="s">
        <v>122</v>
      </c>
      <c r="HEG108" s="1" t="s">
        <v>122</v>
      </c>
      <c r="HEH108" s="1" t="s">
        <v>122</v>
      </c>
      <c r="HEI108" s="1" t="s">
        <v>122</v>
      </c>
      <c r="HEJ108" s="1" t="s">
        <v>122</v>
      </c>
      <c r="HEK108" s="1" t="s">
        <v>122</v>
      </c>
      <c r="HEL108" s="1" t="s">
        <v>122</v>
      </c>
      <c r="HEM108" s="1" t="s">
        <v>122</v>
      </c>
      <c r="HEN108" s="1" t="s">
        <v>122</v>
      </c>
      <c r="HEO108" s="1" t="s">
        <v>122</v>
      </c>
      <c r="HEP108" s="1" t="s">
        <v>122</v>
      </c>
      <c r="HEQ108" s="1" t="s">
        <v>122</v>
      </c>
      <c r="HER108" s="1" t="s">
        <v>122</v>
      </c>
      <c r="HES108" s="1" t="s">
        <v>122</v>
      </c>
      <c r="HET108" s="1" t="s">
        <v>122</v>
      </c>
      <c r="HEU108" s="1" t="s">
        <v>122</v>
      </c>
      <c r="HEV108" s="1" t="s">
        <v>122</v>
      </c>
      <c r="HEW108" s="1" t="s">
        <v>122</v>
      </c>
      <c r="HEX108" s="1" t="s">
        <v>122</v>
      </c>
      <c r="HEY108" s="1" t="s">
        <v>122</v>
      </c>
      <c r="HEZ108" s="1" t="s">
        <v>122</v>
      </c>
      <c r="HFA108" s="1" t="s">
        <v>122</v>
      </c>
      <c r="HFB108" s="1" t="s">
        <v>122</v>
      </c>
      <c r="HFC108" s="1" t="s">
        <v>122</v>
      </c>
      <c r="HFD108" s="1" t="s">
        <v>122</v>
      </c>
      <c r="HFE108" s="1" t="s">
        <v>122</v>
      </c>
      <c r="HFF108" s="1" t="s">
        <v>122</v>
      </c>
      <c r="HFG108" s="1" t="s">
        <v>122</v>
      </c>
      <c r="HFH108" s="1" t="s">
        <v>122</v>
      </c>
      <c r="HFI108" s="1" t="s">
        <v>122</v>
      </c>
      <c r="HFJ108" s="1" t="s">
        <v>122</v>
      </c>
      <c r="HFK108" s="1" t="s">
        <v>122</v>
      </c>
      <c r="HFL108" s="1" t="s">
        <v>122</v>
      </c>
      <c r="HFM108" s="1" t="s">
        <v>122</v>
      </c>
      <c r="HFN108" s="1" t="s">
        <v>122</v>
      </c>
      <c r="HFO108" s="1" t="s">
        <v>122</v>
      </c>
      <c r="HFP108" s="1" t="s">
        <v>122</v>
      </c>
      <c r="HFQ108" s="1" t="s">
        <v>122</v>
      </c>
      <c r="HFR108" s="1" t="s">
        <v>122</v>
      </c>
      <c r="HFS108" s="1" t="s">
        <v>122</v>
      </c>
      <c r="HFT108" s="1" t="s">
        <v>122</v>
      </c>
      <c r="HFU108" s="1" t="s">
        <v>122</v>
      </c>
      <c r="HFV108" s="1" t="s">
        <v>122</v>
      </c>
      <c r="HFW108" s="1" t="s">
        <v>122</v>
      </c>
      <c r="HFX108" s="1" t="s">
        <v>122</v>
      </c>
      <c r="HFY108" s="1" t="s">
        <v>122</v>
      </c>
      <c r="HFZ108" s="1" t="s">
        <v>122</v>
      </c>
      <c r="HGA108" s="1" t="s">
        <v>122</v>
      </c>
      <c r="HGB108" s="1" t="s">
        <v>122</v>
      </c>
      <c r="HGC108" s="1" t="s">
        <v>122</v>
      </c>
      <c r="HGD108" s="1" t="s">
        <v>122</v>
      </c>
      <c r="HGE108" s="1" t="s">
        <v>122</v>
      </c>
      <c r="HGF108" s="1" t="s">
        <v>122</v>
      </c>
      <c r="HGG108" s="1" t="s">
        <v>122</v>
      </c>
      <c r="HGH108" s="1" t="s">
        <v>122</v>
      </c>
      <c r="HGI108" s="1" t="s">
        <v>122</v>
      </c>
      <c r="HGJ108" s="1" t="s">
        <v>122</v>
      </c>
      <c r="HGK108" s="1" t="s">
        <v>122</v>
      </c>
      <c r="HGL108" s="1" t="s">
        <v>122</v>
      </c>
      <c r="HGM108" s="1" t="s">
        <v>122</v>
      </c>
      <c r="HGN108" s="1" t="s">
        <v>122</v>
      </c>
      <c r="HGO108" s="1" t="s">
        <v>122</v>
      </c>
      <c r="HGP108" s="1" t="s">
        <v>122</v>
      </c>
      <c r="HGQ108" s="1" t="s">
        <v>122</v>
      </c>
      <c r="HGR108" s="1" t="s">
        <v>122</v>
      </c>
      <c r="HGS108" s="1" t="s">
        <v>122</v>
      </c>
      <c r="HGT108" s="1" t="s">
        <v>122</v>
      </c>
      <c r="HGU108" s="1" t="s">
        <v>122</v>
      </c>
      <c r="HGV108" s="1" t="s">
        <v>122</v>
      </c>
      <c r="HGW108" s="1" t="s">
        <v>122</v>
      </c>
      <c r="HGX108" s="1" t="s">
        <v>122</v>
      </c>
      <c r="HGY108" s="1" t="s">
        <v>122</v>
      </c>
      <c r="HGZ108" s="1" t="s">
        <v>122</v>
      </c>
      <c r="HHA108" s="1" t="s">
        <v>122</v>
      </c>
      <c r="HHB108" s="1" t="s">
        <v>122</v>
      </c>
      <c r="HHC108" s="1" t="s">
        <v>122</v>
      </c>
      <c r="HHD108" s="1" t="s">
        <v>122</v>
      </c>
      <c r="HHE108" s="1" t="s">
        <v>122</v>
      </c>
      <c r="HHF108" s="1" t="s">
        <v>122</v>
      </c>
      <c r="HHG108" s="1" t="s">
        <v>122</v>
      </c>
      <c r="HHH108" s="1" t="s">
        <v>122</v>
      </c>
      <c r="HHI108" s="1" t="s">
        <v>122</v>
      </c>
      <c r="HHJ108" s="1" t="s">
        <v>122</v>
      </c>
      <c r="HHK108" s="1" t="s">
        <v>122</v>
      </c>
      <c r="HHL108" s="1" t="s">
        <v>122</v>
      </c>
      <c r="HHM108" s="1" t="s">
        <v>122</v>
      </c>
      <c r="HHN108" s="1" t="s">
        <v>122</v>
      </c>
      <c r="HHO108" s="1" t="s">
        <v>122</v>
      </c>
      <c r="HHP108" s="1" t="s">
        <v>122</v>
      </c>
      <c r="HHQ108" s="1" t="s">
        <v>122</v>
      </c>
      <c r="HHR108" s="1" t="s">
        <v>122</v>
      </c>
      <c r="HHS108" s="1" t="s">
        <v>122</v>
      </c>
      <c r="HHT108" s="1" t="s">
        <v>122</v>
      </c>
      <c r="HHU108" s="1" t="s">
        <v>122</v>
      </c>
      <c r="HHV108" s="1" t="s">
        <v>122</v>
      </c>
      <c r="HHW108" s="1" t="s">
        <v>122</v>
      </c>
      <c r="HHX108" s="1" t="s">
        <v>122</v>
      </c>
      <c r="HHY108" s="1" t="s">
        <v>122</v>
      </c>
      <c r="HHZ108" s="1" t="s">
        <v>122</v>
      </c>
      <c r="HIA108" s="1" t="s">
        <v>122</v>
      </c>
      <c r="HIB108" s="1" t="s">
        <v>122</v>
      </c>
      <c r="HIC108" s="1" t="s">
        <v>122</v>
      </c>
      <c r="HID108" s="1" t="s">
        <v>122</v>
      </c>
      <c r="HIE108" s="1" t="s">
        <v>122</v>
      </c>
      <c r="HIF108" s="1" t="s">
        <v>122</v>
      </c>
      <c r="HIG108" s="1" t="s">
        <v>122</v>
      </c>
      <c r="HIH108" s="1" t="s">
        <v>122</v>
      </c>
      <c r="HII108" s="1" t="s">
        <v>122</v>
      </c>
      <c r="HIJ108" s="1" t="s">
        <v>122</v>
      </c>
      <c r="HIK108" s="1" t="s">
        <v>122</v>
      </c>
      <c r="HIL108" s="1" t="s">
        <v>122</v>
      </c>
      <c r="HIM108" s="1" t="s">
        <v>122</v>
      </c>
      <c r="HIN108" s="1" t="s">
        <v>122</v>
      </c>
      <c r="HIO108" s="1" t="s">
        <v>122</v>
      </c>
      <c r="HIP108" s="1" t="s">
        <v>122</v>
      </c>
      <c r="HIQ108" s="1" t="s">
        <v>122</v>
      </c>
      <c r="HIR108" s="1" t="s">
        <v>122</v>
      </c>
      <c r="HIS108" s="1" t="s">
        <v>122</v>
      </c>
      <c r="HIT108" s="1" t="s">
        <v>122</v>
      </c>
      <c r="HIU108" s="1" t="s">
        <v>122</v>
      </c>
      <c r="HIV108" s="1" t="s">
        <v>122</v>
      </c>
      <c r="HIW108" s="1" t="s">
        <v>122</v>
      </c>
      <c r="HIX108" s="1" t="s">
        <v>122</v>
      </c>
      <c r="HIY108" s="1" t="s">
        <v>122</v>
      </c>
      <c r="HIZ108" s="1" t="s">
        <v>122</v>
      </c>
      <c r="HJA108" s="1" t="s">
        <v>122</v>
      </c>
      <c r="HJB108" s="1" t="s">
        <v>122</v>
      </c>
      <c r="HJC108" s="1" t="s">
        <v>122</v>
      </c>
      <c r="HJD108" s="1" t="s">
        <v>122</v>
      </c>
      <c r="HJE108" s="1" t="s">
        <v>122</v>
      </c>
      <c r="HJF108" s="1" t="s">
        <v>122</v>
      </c>
      <c r="HJG108" s="1" t="s">
        <v>122</v>
      </c>
      <c r="HJH108" s="1" t="s">
        <v>122</v>
      </c>
      <c r="HJI108" s="1" t="s">
        <v>122</v>
      </c>
      <c r="HJJ108" s="1" t="s">
        <v>122</v>
      </c>
      <c r="HJK108" s="1" t="s">
        <v>122</v>
      </c>
      <c r="HJL108" s="1" t="s">
        <v>122</v>
      </c>
      <c r="HJM108" s="1" t="s">
        <v>122</v>
      </c>
      <c r="HJN108" s="1" t="s">
        <v>122</v>
      </c>
      <c r="HJO108" s="1" t="s">
        <v>122</v>
      </c>
      <c r="HJP108" s="1" t="s">
        <v>122</v>
      </c>
      <c r="HJQ108" s="1" t="s">
        <v>122</v>
      </c>
      <c r="HJR108" s="1" t="s">
        <v>122</v>
      </c>
      <c r="HJS108" s="1" t="s">
        <v>122</v>
      </c>
      <c r="HJT108" s="1" t="s">
        <v>122</v>
      </c>
      <c r="HJU108" s="1" t="s">
        <v>122</v>
      </c>
      <c r="HJV108" s="1" t="s">
        <v>122</v>
      </c>
      <c r="HJW108" s="1" t="s">
        <v>122</v>
      </c>
      <c r="HJX108" s="1" t="s">
        <v>122</v>
      </c>
      <c r="HJY108" s="1" t="s">
        <v>122</v>
      </c>
      <c r="HJZ108" s="1" t="s">
        <v>122</v>
      </c>
      <c r="HKA108" s="1" t="s">
        <v>122</v>
      </c>
      <c r="HKB108" s="1" t="s">
        <v>122</v>
      </c>
      <c r="HKC108" s="1" t="s">
        <v>122</v>
      </c>
      <c r="HKD108" s="1" t="s">
        <v>122</v>
      </c>
      <c r="HKE108" s="1" t="s">
        <v>122</v>
      </c>
      <c r="HKF108" s="1" t="s">
        <v>122</v>
      </c>
      <c r="HKG108" s="1" t="s">
        <v>122</v>
      </c>
      <c r="HKH108" s="1" t="s">
        <v>122</v>
      </c>
      <c r="HKI108" s="1" t="s">
        <v>122</v>
      </c>
      <c r="HKJ108" s="1" t="s">
        <v>122</v>
      </c>
      <c r="HKK108" s="1" t="s">
        <v>122</v>
      </c>
      <c r="HKL108" s="1" t="s">
        <v>122</v>
      </c>
      <c r="HKM108" s="1" t="s">
        <v>122</v>
      </c>
      <c r="HKN108" s="1" t="s">
        <v>122</v>
      </c>
      <c r="HKO108" s="1" t="s">
        <v>122</v>
      </c>
      <c r="HKP108" s="1" t="s">
        <v>122</v>
      </c>
      <c r="HKQ108" s="1" t="s">
        <v>122</v>
      </c>
      <c r="HKR108" s="1" t="s">
        <v>122</v>
      </c>
      <c r="HKS108" s="1" t="s">
        <v>122</v>
      </c>
      <c r="HKT108" s="1" t="s">
        <v>122</v>
      </c>
      <c r="HKU108" s="1" t="s">
        <v>122</v>
      </c>
      <c r="HKV108" s="1" t="s">
        <v>122</v>
      </c>
      <c r="HKW108" s="1" t="s">
        <v>122</v>
      </c>
      <c r="HKX108" s="1" t="s">
        <v>122</v>
      </c>
      <c r="HKY108" s="1" t="s">
        <v>122</v>
      </c>
      <c r="HKZ108" s="1" t="s">
        <v>122</v>
      </c>
      <c r="HLA108" s="1" t="s">
        <v>122</v>
      </c>
      <c r="HLB108" s="1" t="s">
        <v>122</v>
      </c>
      <c r="HLC108" s="1" t="s">
        <v>122</v>
      </c>
      <c r="HLD108" s="1" t="s">
        <v>122</v>
      </c>
      <c r="HLE108" s="1" t="s">
        <v>122</v>
      </c>
      <c r="HLF108" s="1" t="s">
        <v>122</v>
      </c>
      <c r="HLG108" s="1" t="s">
        <v>122</v>
      </c>
      <c r="HLH108" s="1" t="s">
        <v>122</v>
      </c>
      <c r="HLI108" s="1" t="s">
        <v>122</v>
      </c>
      <c r="HLJ108" s="1" t="s">
        <v>122</v>
      </c>
      <c r="HLK108" s="1" t="s">
        <v>122</v>
      </c>
      <c r="HLL108" s="1" t="s">
        <v>122</v>
      </c>
      <c r="HLM108" s="1" t="s">
        <v>122</v>
      </c>
      <c r="HLN108" s="1" t="s">
        <v>122</v>
      </c>
      <c r="HLO108" s="1" t="s">
        <v>122</v>
      </c>
      <c r="HLP108" s="1" t="s">
        <v>122</v>
      </c>
      <c r="HLQ108" s="1" t="s">
        <v>122</v>
      </c>
      <c r="HLR108" s="1" t="s">
        <v>122</v>
      </c>
      <c r="HLS108" s="1" t="s">
        <v>122</v>
      </c>
      <c r="HLT108" s="1" t="s">
        <v>122</v>
      </c>
      <c r="HLU108" s="1" t="s">
        <v>122</v>
      </c>
      <c r="HLV108" s="1" t="s">
        <v>122</v>
      </c>
      <c r="HLW108" s="1" t="s">
        <v>122</v>
      </c>
      <c r="HLX108" s="1" t="s">
        <v>122</v>
      </c>
      <c r="HLY108" s="1" t="s">
        <v>122</v>
      </c>
      <c r="HLZ108" s="1" t="s">
        <v>122</v>
      </c>
      <c r="HMA108" s="1" t="s">
        <v>122</v>
      </c>
      <c r="HMB108" s="1" t="s">
        <v>122</v>
      </c>
      <c r="HMC108" s="1" t="s">
        <v>122</v>
      </c>
      <c r="HMD108" s="1" t="s">
        <v>122</v>
      </c>
      <c r="HME108" s="1" t="s">
        <v>122</v>
      </c>
      <c r="HMF108" s="1" t="s">
        <v>122</v>
      </c>
      <c r="HMG108" s="1" t="s">
        <v>122</v>
      </c>
      <c r="HMH108" s="1" t="s">
        <v>122</v>
      </c>
      <c r="HMI108" s="1" t="s">
        <v>122</v>
      </c>
      <c r="HMJ108" s="1" t="s">
        <v>122</v>
      </c>
      <c r="HMK108" s="1" t="s">
        <v>122</v>
      </c>
      <c r="HML108" s="1" t="s">
        <v>122</v>
      </c>
      <c r="HMM108" s="1" t="s">
        <v>122</v>
      </c>
      <c r="HMN108" s="1" t="s">
        <v>122</v>
      </c>
      <c r="HMO108" s="1" t="s">
        <v>122</v>
      </c>
      <c r="HMP108" s="1" t="s">
        <v>122</v>
      </c>
      <c r="HMQ108" s="1" t="s">
        <v>122</v>
      </c>
      <c r="HMR108" s="1" t="s">
        <v>122</v>
      </c>
      <c r="HMS108" s="1" t="s">
        <v>122</v>
      </c>
      <c r="HMT108" s="1" t="s">
        <v>122</v>
      </c>
      <c r="HMU108" s="1" t="s">
        <v>122</v>
      </c>
      <c r="HMV108" s="1" t="s">
        <v>122</v>
      </c>
      <c r="HMW108" s="1" t="s">
        <v>122</v>
      </c>
      <c r="HMX108" s="1" t="s">
        <v>122</v>
      </c>
      <c r="HMY108" s="1" t="s">
        <v>122</v>
      </c>
      <c r="HMZ108" s="1" t="s">
        <v>122</v>
      </c>
      <c r="HNA108" s="1" t="s">
        <v>122</v>
      </c>
      <c r="HNB108" s="1" t="s">
        <v>122</v>
      </c>
      <c r="HNC108" s="1" t="s">
        <v>122</v>
      </c>
      <c r="HND108" s="1" t="s">
        <v>122</v>
      </c>
      <c r="HNE108" s="1" t="s">
        <v>122</v>
      </c>
      <c r="HNF108" s="1" t="s">
        <v>122</v>
      </c>
      <c r="HNG108" s="1" t="s">
        <v>122</v>
      </c>
      <c r="HNH108" s="1" t="s">
        <v>122</v>
      </c>
      <c r="HNI108" s="1" t="s">
        <v>122</v>
      </c>
      <c r="HNJ108" s="1" t="s">
        <v>122</v>
      </c>
      <c r="HNK108" s="1" t="s">
        <v>122</v>
      </c>
      <c r="HNL108" s="1" t="s">
        <v>122</v>
      </c>
      <c r="HNM108" s="1" t="s">
        <v>122</v>
      </c>
      <c r="HNN108" s="1" t="s">
        <v>122</v>
      </c>
      <c r="HNO108" s="1" t="s">
        <v>122</v>
      </c>
      <c r="HNP108" s="1" t="s">
        <v>122</v>
      </c>
      <c r="HNQ108" s="1" t="s">
        <v>122</v>
      </c>
      <c r="HNR108" s="1" t="s">
        <v>122</v>
      </c>
      <c r="HNS108" s="1" t="s">
        <v>122</v>
      </c>
      <c r="HNT108" s="1" t="s">
        <v>122</v>
      </c>
      <c r="HNU108" s="1" t="s">
        <v>122</v>
      </c>
      <c r="HNV108" s="1" t="s">
        <v>122</v>
      </c>
      <c r="HNW108" s="1" t="s">
        <v>122</v>
      </c>
      <c r="HNX108" s="1" t="s">
        <v>122</v>
      </c>
      <c r="HNY108" s="1" t="s">
        <v>122</v>
      </c>
      <c r="HNZ108" s="1" t="s">
        <v>122</v>
      </c>
      <c r="HOA108" s="1" t="s">
        <v>122</v>
      </c>
      <c r="HOB108" s="1" t="s">
        <v>122</v>
      </c>
      <c r="HOC108" s="1" t="s">
        <v>122</v>
      </c>
      <c r="HOD108" s="1" t="s">
        <v>122</v>
      </c>
      <c r="HOE108" s="1" t="s">
        <v>122</v>
      </c>
      <c r="HOF108" s="1" t="s">
        <v>122</v>
      </c>
      <c r="HOG108" s="1" t="s">
        <v>122</v>
      </c>
      <c r="HOH108" s="1" t="s">
        <v>122</v>
      </c>
      <c r="HOI108" s="1" t="s">
        <v>122</v>
      </c>
      <c r="HOJ108" s="1" t="s">
        <v>122</v>
      </c>
      <c r="HOK108" s="1" t="s">
        <v>122</v>
      </c>
      <c r="HOL108" s="1" t="s">
        <v>122</v>
      </c>
      <c r="HOM108" s="1" t="s">
        <v>122</v>
      </c>
      <c r="HON108" s="1" t="s">
        <v>122</v>
      </c>
      <c r="HOO108" s="1" t="s">
        <v>122</v>
      </c>
      <c r="HOP108" s="1" t="s">
        <v>122</v>
      </c>
      <c r="HOQ108" s="1" t="s">
        <v>122</v>
      </c>
      <c r="HOR108" s="1" t="s">
        <v>122</v>
      </c>
      <c r="HOS108" s="1" t="s">
        <v>122</v>
      </c>
      <c r="HOT108" s="1" t="s">
        <v>122</v>
      </c>
      <c r="HOU108" s="1" t="s">
        <v>122</v>
      </c>
      <c r="HOV108" s="1" t="s">
        <v>122</v>
      </c>
      <c r="HOW108" s="1" t="s">
        <v>122</v>
      </c>
      <c r="HOX108" s="1" t="s">
        <v>122</v>
      </c>
      <c r="HOY108" s="1" t="s">
        <v>122</v>
      </c>
      <c r="HOZ108" s="1" t="s">
        <v>122</v>
      </c>
      <c r="HPA108" s="1" t="s">
        <v>122</v>
      </c>
      <c r="HPB108" s="1" t="s">
        <v>122</v>
      </c>
      <c r="HPC108" s="1" t="s">
        <v>122</v>
      </c>
      <c r="HPD108" s="1" t="s">
        <v>122</v>
      </c>
      <c r="HPE108" s="1" t="s">
        <v>122</v>
      </c>
      <c r="HPF108" s="1" t="s">
        <v>122</v>
      </c>
      <c r="HPG108" s="1" t="s">
        <v>122</v>
      </c>
      <c r="HPH108" s="1" t="s">
        <v>122</v>
      </c>
      <c r="HPI108" s="1" t="s">
        <v>122</v>
      </c>
      <c r="HPJ108" s="1" t="s">
        <v>122</v>
      </c>
      <c r="HPK108" s="1" t="s">
        <v>122</v>
      </c>
      <c r="HPL108" s="1" t="s">
        <v>122</v>
      </c>
      <c r="HPM108" s="1" t="s">
        <v>122</v>
      </c>
      <c r="HPN108" s="1" t="s">
        <v>122</v>
      </c>
      <c r="HPO108" s="1" t="s">
        <v>122</v>
      </c>
      <c r="HPP108" s="1" t="s">
        <v>122</v>
      </c>
      <c r="HPQ108" s="1" t="s">
        <v>122</v>
      </c>
      <c r="HPR108" s="1" t="s">
        <v>122</v>
      </c>
      <c r="HPS108" s="1" t="s">
        <v>122</v>
      </c>
      <c r="HPT108" s="1" t="s">
        <v>122</v>
      </c>
      <c r="HPU108" s="1" t="s">
        <v>122</v>
      </c>
      <c r="HPV108" s="1" t="s">
        <v>122</v>
      </c>
      <c r="HPW108" s="1" t="s">
        <v>122</v>
      </c>
      <c r="HPX108" s="1" t="s">
        <v>122</v>
      </c>
      <c r="HPY108" s="1" t="s">
        <v>122</v>
      </c>
      <c r="HPZ108" s="1" t="s">
        <v>122</v>
      </c>
      <c r="HQA108" s="1" t="s">
        <v>122</v>
      </c>
      <c r="HQB108" s="1" t="s">
        <v>122</v>
      </c>
      <c r="HQC108" s="1" t="s">
        <v>122</v>
      </c>
      <c r="HQD108" s="1" t="s">
        <v>122</v>
      </c>
      <c r="HQE108" s="1" t="s">
        <v>122</v>
      </c>
      <c r="HQF108" s="1" t="s">
        <v>122</v>
      </c>
      <c r="HQG108" s="1" t="s">
        <v>122</v>
      </c>
      <c r="HQH108" s="1" t="s">
        <v>122</v>
      </c>
      <c r="HQI108" s="1" t="s">
        <v>122</v>
      </c>
      <c r="HQJ108" s="1" t="s">
        <v>122</v>
      </c>
      <c r="HQK108" s="1" t="s">
        <v>122</v>
      </c>
      <c r="HQL108" s="1" t="s">
        <v>122</v>
      </c>
      <c r="HQM108" s="1" t="s">
        <v>122</v>
      </c>
      <c r="HQN108" s="1" t="s">
        <v>122</v>
      </c>
      <c r="HQO108" s="1" t="s">
        <v>122</v>
      </c>
      <c r="HQP108" s="1" t="s">
        <v>122</v>
      </c>
      <c r="HQQ108" s="1" t="s">
        <v>122</v>
      </c>
      <c r="HQR108" s="1" t="s">
        <v>122</v>
      </c>
      <c r="HQS108" s="1" t="s">
        <v>122</v>
      </c>
      <c r="HQT108" s="1" t="s">
        <v>122</v>
      </c>
      <c r="HQU108" s="1" t="s">
        <v>122</v>
      </c>
      <c r="HQV108" s="1" t="s">
        <v>122</v>
      </c>
      <c r="HQW108" s="1" t="s">
        <v>122</v>
      </c>
      <c r="HQX108" s="1" t="s">
        <v>122</v>
      </c>
      <c r="HQY108" s="1" t="s">
        <v>122</v>
      </c>
      <c r="HQZ108" s="1" t="s">
        <v>122</v>
      </c>
      <c r="HRA108" s="1" t="s">
        <v>122</v>
      </c>
      <c r="HRB108" s="1" t="s">
        <v>122</v>
      </c>
      <c r="HRC108" s="1" t="s">
        <v>122</v>
      </c>
      <c r="HRD108" s="1" t="s">
        <v>122</v>
      </c>
      <c r="HRE108" s="1" t="s">
        <v>122</v>
      </c>
      <c r="HRF108" s="1" t="s">
        <v>122</v>
      </c>
      <c r="HRG108" s="1" t="s">
        <v>122</v>
      </c>
      <c r="HRH108" s="1" t="s">
        <v>122</v>
      </c>
      <c r="HRI108" s="1" t="s">
        <v>122</v>
      </c>
      <c r="HRJ108" s="1" t="s">
        <v>122</v>
      </c>
      <c r="HRK108" s="1" t="s">
        <v>122</v>
      </c>
      <c r="HRL108" s="1" t="s">
        <v>122</v>
      </c>
      <c r="HRM108" s="1" t="s">
        <v>122</v>
      </c>
      <c r="HRN108" s="1" t="s">
        <v>122</v>
      </c>
      <c r="HRO108" s="1" t="s">
        <v>122</v>
      </c>
      <c r="HRP108" s="1" t="s">
        <v>122</v>
      </c>
      <c r="HRQ108" s="1" t="s">
        <v>122</v>
      </c>
      <c r="HRR108" s="1" t="s">
        <v>122</v>
      </c>
      <c r="HRS108" s="1" t="s">
        <v>122</v>
      </c>
      <c r="HRT108" s="1" t="s">
        <v>122</v>
      </c>
      <c r="HRU108" s="1" t="s">
        <v>122</v>
      </c>
      <c r="HRV108" s="1" t="s">
        <v>122</v>
      </c>
      <c r="HRW108" s="1" t="s">
        <v>122</v>
      </c>
      <c r="HRX108" s="1" t="s">
        <v>122</v>
      </c>
      <c r="HRY108" s="1" t="s">
        <v>122</v>
      </c>
      <c r="HRZ108" s="1" t="s">
        <v>122</v>
      </c>
      <c r="HSA108" s="1" t="s">
        <v>122</v>
      </c>
      <c r="HSB108" s="1" t="s">
        <v>122</v>
      </c>
      <c r="HSC108" s="1" t="s">
        <v>122</v>
      </c>
      <c r="HSD108" s="1" t="s">
        <v>122</v>
      </c>
      <c r="HSE108" s="1" t="s">
        <v>122</v>
      </c>
      <c r="HSF108" s="1" t="s">
        <v>122</v>
      </c>
      <c r="HSG108" s="1" t="s">
        <v>122</v>
      </c>
      <c r="HSH108" s="1" t="s">
        <v>122</v>
      </c>
      <c r="HSI108" s="1" t="s">
        <v>122</v>
      </c>
      <c r="HSJ108" s="1" t="s">
        <v>122</v>
      </c>
      <c r="HSK108" s="1" t="s">
        <v>122</v>
      </c>
      <c r="HSL108" s="1" t="s">
        <v>122</v>
      </c>
      <c r="HSM108" s="1" t="s">
        <v>122</v>
      </c>
      <c r="HSN108" s="1" t="s">
        <v>122</v>
      </c>
      <c r="HSO108" s="1" t="s">
        <v>122</v>
      </c>
      <c r="HSP108" s="1" t="s">
        <v>122</v>
      </c>
      <c r="HSQ108" s="1" t="s">
        <v>122</v>
      </c>
      <c r="HSR108" s="1" t="s">
        <v>122</v>
      </c>
      <c r="HSS108" s="1" t="s">
        <v>122</v>
      </c>
      <c r="HST108" s="1" t="s">
        <v>122</v>
      </c>
      <c r="HSU108" s="1" t="s">
        <v>122</v>
      </c>
      <c r="HSV108" s="1" t="s">
        <v>122</v>
      </c>
      <c r="HSW108" s="1" t="s">
        <v>122</v>
      </c>
      <c r="HSX108" s="1" t="s">
        <v>122</v>
      </c>
      <c r="HSY108" s="1" t="s">
        <v>122</v>
      </c>
      <c r="HSZ108" s="1" t="s">
        <v>122</v>
      </c>
      <c r="HTA108" s="1" t="s">
        <v>122</v>
      </c>
      <c r="HTB108" s="1" t="s">
        <v>122</v>
      </c>
      <c r="HTC108" s="1" t="s">
        <v>122</v>
      </c>
      <c r="HTD108" s="1" t="s">
        <v>122</v>
      </c>
      <c r="HTE108" s="1" t="s">
        <v>122</v>
      </c>
      <c r="HTF108" s="1" t="s">
        <v>122</v>
      </c>
      <c r="HTG108" s="1" t="s">
        <v>122</v>
      </c>
      <c r="HTH108" s="1" t="s">
        <v>122</v>
      </c>
      <c r="HTI108" s="1" t="s">
        <v>122</v>
      </c>
      <c r="HTJ108" s="1" t="s">
        <v>122</v>
      </c>
      <c r="HTK108" s="1" t="s">
        <v>122</v>
      </c>
      <c r="HTL108" s="1" t="s">
        <v>122</v>
      </c>
      <c r="HTM108" s="1" t="s">
        <v>122</v>
      </c>
      <c r="HTN108" s="1" t="s">
        <v>122</v>
      </c>
      <c r="HTO108" s="1" t="s">
        <v>122</v>
      </c>
      <c r="HTP108" s="1" t="s">
        <v>122</v>
      </c>
      <c r="HTQ108" s="1" t="s">
        <v>122</v>
      </c>
      <c r="HTR108" s="1" t="s">
        <v>122</v>
      </c>
      <c r="HTS108" s="1" t="s">
        <v>122</v>
      </c>
      <c r="HTT108" s="1" t="s">
        <v>122</v>
      </c>
      <c r="HTU108" s="1" t="s">
        <v>122</v>
      </c>
      <c r="HTV108" s="1" t="s">
        <v>122</v>
      </c>
      <c r="HTW108" s="1" t="s">
        <v>122</v>
      </c>
      <c r="HTX108" s="1" t="s">
        <v>122</v>
      </c>
      <c r="HTY108" s="1" t="s">
        <v>122</v>
      </c>
      <c r="HTZ108" s="1" t="s">
        <v>122</v>
      </c>
      <c r="HUA108" s="1" t="s">
        <v>122</v>
      </c>
      <c r="HUB108" s="1" t="s">
        <v>122</v>
      </c>
      <c r="HUC108" s="1" t="s">
        <v>122</v>
      </c>
      <c r="HUD108" s="1" t="s">
        <v>122</v>
      </c>
      <c r="HUE108" s="1" t="s">
        <v>122</v>
      </c>
      <c r="HUF108" s="1" t="s">
        <v>122</v>
      </c>
      <c r="HUG108" s="1" t="s">
        <v>122</v>
      </c>
      <c r="HUH108" s="1" t="s">
        <v>122</v>
      </c>
      <c r="HUI108" s="1" t="s">
        <v>122</v>
      </c>
      <c r="HUJ108" s="1" t="s">
        <v>122</v>
      </c>
      <c r="HUK108" s="1" t="s">
        <v>122</v>
      </c>
      <c r="HUL108" s="1" t="s">
        <v>122</v>
      </c>
      <c r="HUM108" s="1" t="s">
        <v>122</v>
      </c>
      <c r="HUN108" s="1" t="s">
        <v>122</v>
      </c>
      <c r="HUO108" s="1" t="s">
        <v>122</v>
      </c>
      <c r="HUP108" s="1" t="s">
        <v>122</v>
      </c>
      <c r="HUQ108" s="1" t="s">
        <v>122</v>
      </c>
      <c r="HUR108" s="1" t="s">
        <v>122</v>
      </c>
      <c r="HUS108" s="1" t="s">
        <v>122</v>
      </c>
      <c r="HUT108" s="1" t="s">
        <v>122</v>
      </c>
      <c r="HUU108" s="1" t="s">
        <v>122</v>
      </c>
      <c r="HUV108" s="1" t="s">
        <v>122</v>
      </c>
      <c r="HUW108" s="1" t="s">
        <v>122</v>
      </c>
      <c r="HUX108" s="1" t="s">
        <v>122</v>
      </c>
      <c r="HUY108" s="1" t="s">
        <v>122</v>
      </c>
      <c r="HUZ108" s="1" t="s">
        <v>122</v>
      </c>
      <c r="HVA108" s="1" t="s">
        <v>122</v>
      </c>
      <c r="HVB108" s="1" t="s">
        <v>122</v>
      </c>
      <c r="HVC108" s="1" t="s">
        <v>122</v>
      </c>
      <c r="HVD108" s="1" t="s">
        <v>122</v>
      </c>
      <c r="HVE108" s="1" t="s">
        <v>122</v>
      </c>
      <c r="HVF108" s="1" t="s">
        <v>122</v>
      </c>
      <c r="HVG108" s="1" t="s">
        <v>122</v>
      </c>
      <c r="HVH108" s="1" t="s">
        <v>122</v>
      </c>
      <c r="HVI108" s="1" t="s">
        <v>122</v>
      </c>
      <c r="HVJ108" s="1" t="s">
        <v>122</v>
      </c>
      <c r="HVK108" s="1" t="s">
        <v>122</v>
      </c>
      <c r="HVL108" s="1" t="s">
        <v>122</v>
      </c>
      <c r="HVM108" s="1" t="s">
        <v>122</v>
      </c>
      <c r="HVN108" s="1" t="s">
        <v>122</v>
      </c>
      <c r="HVO108" s="1" t="s">
        <v>122</v>
      </c>
      <c r="HVP108" s="1" t="s">
        <v>122</v>
      </c>
      <c r="HVQ108" s="1" t="s">
        <v>122</v>
      </c>
      <c r="HVR108" s="1" t="s">
        <v>122</v>
      </c>
      <c r="HVS108" s="1" t="s">
        <v>122</v>
      </c>
      <c r="HVT108" s="1" t="s">
        <v>122</v>
      </c>
      <c r="HVU108" s="1" t="s">
        <v>122</v>
      </c>
      <c r="HVV108" s="1" t="s">
        <v>122</v>
      </c>
      <c r="HVW108" s="1" t="s">
        <v>122</v>
      </c>
      <c r="HVX108" s="1" t="s">
        <v>122</v>
      </c>
      <c r="HVY108" s="1" t="s">
        <v>122</v>
      </c>
      <c r="HVZ108" s="1" t="s">
        <v>122</v>
      </c>
      <c r="HWA108" s="1" t="s">
        <v>122</v>
      </c>
      <c r="HWB108" s="1" t="s">
        <v>122</v>
      </c>
      <c r="HWC108" s="1" t="s">
        <v>122</v>
      </c>
      <c r="HWD108" s="1" t="s">
        <v>122</v>
      </c>
      <c r="HWE108" s="1" t="s">
        <v>122</v>
      </c>
      <c r="HWF108" s="1" t="s">
        <v>122</v>
      </c>
      <c r="HWG108" s="1" t="s">
        <v>122</v>
      </c>
      <c r="HWH108" s="1" t="s">
        <v>122</v>
      </c>
      <c r="HWI108" s="1" t="s">
        <v>122</v>
      </c>
      <c r="HWJ108" s="1" t="s">
        <v>122</v>
      </c>
      <c r="HWK108" s="1" t="s">
        <v>122</v>
      </c>
      <c r="HWL108" s="1" t="s">
        <v>122</v>
      </c>
      <c r="HWM108" s="1" t="s">
        <v>122</v>
      </c>
      <c r="HWN108" s="1" t="s">
        <v>122</v>
      </c>
      <c r="HWO108" s="1" t="s">
        <v>122</v>
      </c>
      <c r="HWP108" s="1" t="s">
        <v>122</v>
      </c>
      <c r="HWQ108" s="1" t="s">
        <v>122</v>
      </c>
      <c r="HWR108" s="1" t="s">
        <v>122</v>
      </c>
      <c r="HWS108" s="1" t="s">
        <v>122</v>
      </c>
      <c r="HWT108" s="1" t="s">
        <v>122</v>
      </c>
      <c r="HWU108" s="1" t="s">
        <v>122</v>
      </c>
      <c r="HWV108" s="1" t="s">
        <v>122</v>
      </c>
      <c r="HWW108" s="1" t="s">
        <v>122</v>
      </c>
      <c r="HWX108" s="1" t="s">
        <v>122</v>
      </c>
      <c r="HWY108" s="1" t="s">
        <v>122</v>
      </c>
      <c r="HWZ108" s="1" t="s">
        <v>122</v>
      </c>
      <c r="HXA108" s="1" t="s">
        <v>122</v>
      </c>
      <c r="HXB108" s="1" t="s">
        <v>122</v>
      </c>
      <c r="HXC108" s="1" t="s">
        <v>122</v>
      </c>
      <c r="HXD108" s="1" t="s">
        <v>122</v>
      </c>
      <c r="HXE108" s="1" t="s">
        <v>122</v>
      </c>
      <c r="HXF108" s="1" t="s">
        <v>122</v>
      </c>
      <c r="HXG108" s="1" t="s">
        <v>122</v>
      </c>
      <c r="HXH108" s="1" t="s">
        <v>122</v>
      </c>
      <c r="HXI108" s="1" t="s">
        <v>122</v>
      </c>
      <c r="HXJ108" s="1" t="s">
        <v>122</v>
      </c>
      <c r="HXK108" s="1" t="s">
        <v>122</v>
      </c>
      <c r="HXL108" s="1" t="s">
        <v>122</v>
      </c>
      <c r="HXM108" s="1" t="s">
        <v>122</v>
      </c>
      <c r="HXN108" s="1" t="s">
        <v>122</v>
      </c>
      <c r="HXO108" s="1" t="s">
        <v>122</v>
      </c>
      <c r="HXP108" s="1" t="s">
        <v>122</v>
      </c>
      <c r="HXQ108" s="1" t="s">
        <v>122</v>
      </c>
      <c r="HXR108" s="1" t="s">
        <v>122</v>
      </c>
      <c r="HXS108" s="1" t="s">
        <v>122</v>
      </c>
      <c r="HXT108" s="1" t="s">
        <v>122</v>
      </c>
      <c r="HXU108" s="1" t="s">
        <v>122</v>
      </c>
      <c r="HXV108" s="1" t="s">
        <v>122</v>
      </c>
      <c r="HXW108" s="1" t="s">
        <v>122</v>
      </c>
      <c r="HXX108" s="1" t="s">
        <v>122</v>
      </c>
      <c r="HXY108" s="1" t="s">
        <v>122</v>
      </c>
      <c r="HXZ108" s="1" t="s">
        <v>122</v>
      </c>
      <c r="HYA108" s="1" t="s">
        <v>122</v>
      </c>
      <c r="HYB108" s="1" t="s">
        <v>122</v>
      </c>
      <c r="HYC108" s="1" t="s">
        <v>122</v>
      </c>
      <c r="HYD108" s="1" t="s">
        <v>122</v>
      </c>
      <c r="HYE108" s="1" t="s">
        <v>122</v>
      </c>
      <c r="HYF108" s="1" t="s">
        <v>122</v>
      </c>
      <c r="HYG108" s="1" t="s">
        <v>122</v>
      </c>
      <c r="HYH108" s="1" t="s">
        <v>122</v>
      </c>
      <c r="HYI108" s="1" t="s">
        <v>122</v>
      </c>
      <c r="HYJ108" s="1" t="s">
        <v>122</v>
      </c>
      <c r="HYK108" s="1" t="s">
        <v>122</v>
      </c>
      <c r="HYL108" s="1" t="s">
        <v>122</v>
      </c>
      <c r="HYM108" s="1" t="s">
        <v>122</v>
      </c>
      <c r="HYN108" s="1" t="s">
        <v>122</v>
      </c>
      <c r="HYO108" s="1" t="s">
        <v>122</v>
      </c>
      <c r="HYP108" s="1" t="s">
        <v>122</v>
      </c>
      <c r="HYQ108" s="1" t="s">
        <v>122</v>
      </c>
      <c r="HYR108" s="1" t="s">
        <v>122</v>
      </c>
      <c r="HYS108" s="1" t="s">
        <v>122</v>
      </c>
      <c r="HYT108" s="1" t="s">
        <v>122</v>
      </c>
      <c r="HYU108" s="1" t="s">
        <v>122</v>
      </c>
      <c r="HYV108" s="1" t="s">
        <v>122</v>
      </c>
      <c r="HYW108" s="1" t="s">
        <v>122</v>
      </c>
      <c r="HYX108" s="1" t="s">
        <v>122</v>
      </c>
      <c r="HYY108" s="1" t="s">
        <v>122</v>
      </c>
      <c r="HYZ108" s="1" t="s">
        <v>122</v>
      </c>
      <c r="HZA108" s="1" t="s">
        <v>122</v>
      </c>
      <c r="HZB108" s="1" t="s">
        <v>122</v>
      </c>
      <c r="HZC108" s="1" t="s">
        <v>122</v>
      </c>
      <c r="HZD108" s="1" t="s">
        <v>122</v>
      </c>
      <c r="HZE108" s="1" t="s">
        <v>122</v>
      </c>
      <c r="HZF108" s="1" t="s">
        <v>122</v>
      </c>
      <c r="HZG108" s="1" t="s">
        <v>122</v>
      </c>
      <c r="HZH108" s="1" t="s">
        <v>122</v>
      </c>
      <c r="HZI108" s="1" t="s">
        <v>122</v>
      </c>
      <c r="HZJ108" s="1" t="s">
        <v>122</v>
      </c>
      <c r="HZK108" s="1" t="s">
        <v>122</v>
      </c>
      <c r="HZL108" s="1" t="s">
        <v>122</v>
      </c>
      <c r="HZM108" s="1" t="s">
        <v>122</v>
      </c>
      <c r="HZN108" s="1" t="s">
        <v>122</v>
      </c>
      <c r="HZO108" s="1" t="s">
        <v>122</v>
      </c>
      <c r="HZP108" s="1" t="s">
        <v>122</v>
      </c>
      <c r="HZQ108" s="1" t="s">
        <v>122</v>
      </c>
      <c r="HZR108" s="1" t="s">
        <v>122</v>
      </c>
      <c r="HZS108" s="1" t="s">
        <v>122</v>
      </c>
      <c r="HZT108" s="1" t="s">
        <v>122</v>
      </c>
      <c r="HZU108" s="1" t="s">
        <v>122</v>
      </c>
      <c r="HZV108" s="1" t="s">
        <v>122</v>
      </c>
      <c r="HZW108" s="1" t="s">
        <v>122</v>
      </c>
      <c r="HZX108" s="1" t="s">
        <v>122</v>
      </c>
      <c r="HZY108" s="1" t="s">
        <v>122</v>
      </c>
      <c r="HZZ108" s="1" t="s">
        <v>122</v>
      </c>
      <c r="IAA108" s="1" t="s">
        <v>122</v>
      </c>
      <c r="IAB108" s="1" t="s">
        <v>122</v>
      </c>
      <c r="IAC108" s="1" t="s">
        <v>122</v>
      </c>
      <c r="IAD108" s="1" t="s">
        <v>122</v>
      </c>
      <c r="IAE108" s="1" t="s">
        <v>122</v>
      </c>
      <c r="IAF108" s="1" t="s">
        <v>122</v>
      </c>
      <c r="IAG108" s="1" t="s">
        <v>122</v>
      </c>
      <c r="IAH108" s="1" t="s">
        <v>122</v>
      </c>
      <c r="IAI108" s="1" t="s">
        <v>122</v>
      </c>
      <c r="IAJ108" s="1" t="s">
        <v>122</v>
      </c>
      <c r="IAK108" s="1" t="s">
        <v>122</v>
      </c>
      <c r="IAL108" s="1" t="s">
        <v>122</v>
      </c>
      <c r="IAM108" s="1" t="s">
        <v>122</v>
      </c>
      <c r="IAN108" s="1" t="s">
        <v>122</v>
      </c>
      <c r="IAO108" s="1" t="s">
        <v>122</v>
      </c>
      <c r="IAP108" s="1" t="s">
        <v>122</v>
      </c>
      <c r="IAQ108" s="1" t="s">
        <v>122</v>
      </c>
      <c r="IAR108" s="1" t="s">
        <v>122</v>
      </c>
      <c r="IAS108" s="1" t="s">
        <v>122</v>
      </c>
      <c r="IAT108" s="1" t="s">
        <v>122</v>
      </c>
      <c r="IAU108" s="1" t="s">
        <v>122</v>
      </c>
      <c r="IAV108" s="1" t="s">
        <v>122</v>
      </c>
      <c r="IAW108" s="1" t="s">
        <v>122</v>
      </c>
      <c r="IAX108" s="1" t="s">
        <v>122</v>
      </c>
      <c r="IAY108" s="1" t="s">
        <v>122</v>
      </c>
      <c r="IAZ108" s="1" t="s">
        <v>122</v>
      </c>
      <c r="IBA108" s="1" t="s">
        <v>122</v>
      </c>
      <c r="IBB108" s="1" t="s">
        <v>122</v>
      </c>
      <c r="IBC108" s="1" t="s">
        <v>122</v>
      </c>
      <c r="IBD108" s="1" t="s">
        <v>122</v>
      </c>
      <c r="IBE108" s="1" t="s">
        <v>122</v>
      </c>
      <c r="IBF108" s="1" t="s">
        <v>122</v>
      </c>
      <c r="IBG108" s="1" t="s">
        <v>122</v>
      </c>
      <c r="IBH108" s="1" t="s">
        <v>122</v>
      </c>
      <c r="IBI108" s="1" t="s">
        <v>122</v>
      </c>
      <c r="IBJ108" s="1" t="s">
        <v>122</v>
      </c>
      <c r="IBK108" s="1" t="s">
        <v>122</v>
      </c>
      <c r="IBL108" s="1" t="s">
        <v>122</v>
      </c>
      <c r="IBM108" s="1" t="s">
        <v>122</v>
      </c>
      <c r="IBN108" s="1" t="s">
        <v>122</v>
      </c>
      <c r="IBO108" s="1" t="s">
        <v>122</v>
      </c>
      <c r="IBP108" s="1" t="s">
        <v>122</v>
      </c>
      <c r="IBQ108" s="1" t="s">
        <v>122</v>
      </c>
      <c r="IBR108" s="1" t="s">
        <v>122</v>
      </c>
      <c r="IBS108" s="1" t="s">
        <v>122</v>
      </c>
      <c r="IBT108" s="1" t="s">
        <v>122</v>
      </c>
      <c r="IBU108" s="1" t="s">
        <v>122</v>
      </c>
      <c r="IBV108" s="1" t="s">
        <v>122</v>
      </c>
      <c r="IBW108" s="1" t="s">
        <v>122</v>
      </c>
      <c r="IBX108" s="1" t="s">
        <v>122</v>
      </c>
      <c r="IBY108" s="1" t="s">
        <v>122</v>
      </c>
      <c r="IBZ108" s="1" t="s">
        <v>122</v>
      </c>
      <c r="ICA108" s="1" t="s">
        <v>122</v>
      </c>
      <c r="ICB108" s="1" t="s">
        <v>122</v>
      </c>
      <c r="ICC108" s="1" t="s">
        <v>122</v>
      </c>
      <c r="ICD108" s="1" t="s">
        <v>122</v>
      </c>
      <c r="ICE108" s="1" t="s">
        <v>122</v>
      </c>
      <c r="ICF108" s="1" t="s">
        <v>122</v>
      </c>
      <c r="ICG108" s="1" t="s">
        <v>122</v>
      </c>
      <c r="ICH108" s="1" t="s">
        <v>122</v>
      </c>
      <c r="ICI108" s="1" t="s">
        <v>122</v>
      </c>
      <c r="ICJ108" s="1" t="s">
        <v>122</v>
      </c>
      <c r="ICK108" s="1" t="s">
        <v>122</v>
      </c>
      <c r="ICL108" s="1" t="s">
        <v>122</v>
      </c>
      <c r="ICM108" s="1" t="s">
        <v>122</v>
      </c>
      <c r="ICN108" s="1" t="s">
        <v>122</v>
      </c>
      <c r="ICO108" s="1" t="s">
        <v>122</v>
      </c>
      <c r="ICP108" s="1" t="s">
        <v>122</v>
      </c>
      <c r="ICQ108" s="1" t="s">
        <v>122</v>
      </c>
      <c r="ICR108" s="1" t="s">
        <v>122</v>
      </c>
      <c r="ICS108" s="1" t="s">
        <v>122</v>
      </c>
      <c r="ICT108" s="1" t="s">
        <v>122</v>
      </c>
      <c r="ICU108" s="1" t="s">
        <v>122</v>
      </c>
      <c r="ICV108" s="1" t="s">
        <v>122</v>
      </c>
      <c r="ICW108" s="1" t="s">
        <v>122</v>
      </c>
      <c r="ICX108" s="1" t="s">
        <v>122</v>
      </c>
      <c r="ICY108" s="1" t="s">
        <v>122</v>
      </c>
      <c r="ICZ108" s="1" t="s">
        <v>122</v>
      </c>
      <c r="IDA108" s="1" t="s">
        <v>122</v>
      </c>
      <c r="IDB108" s="1" t="s">
        <v>122</v>
      </c>
      <c r="IDC108" s="1" t="s">
        <v>122</v>
      </c>
      <c r="IDD108" s="1" t="s">
        <v>122</v>
      </c>
      <c r="IDE108" s="1" t="s">
        <v>122</v>
      </c>
      <c r="IDF108" s="1" t="s">
        <v>122</v>
      </c>
      <c r="IDG108" s="1" t="s">
        <v>122</v>
      </c>
      <c r="IDH108" s="1" t="s">
        <v>122</v>
      </c>
      <c r="IDI108" s="1" t="s">
        <v>122</v>
      </c>
      <c r="IDJ108" s="1" t="s">
        <v>122</v>
      </c>
      <c r="IDK108" s="1" t="s">
        <v>122</v>
      </c>
      <c r="IDL108" s="1" t="s">
        <v>122</v>
      </c>
      <c r="IDM108" s="1" t="s">
        <v>122</v>
      </c>
      <c r="IDN108" s="1" t="s">
        <v>122</v>
      </c>
      <c r="IDO108" s="1" t="s">
        <v>122</v>
      </c>
      <c r="IDP108" s="1" t="s">
        <v>122</v>
      </c>
      <c r="IDQ108" s="1" t="s">
        <v>122</v>
      </c>
      <c r="IDR108" s="1" t="s">
        <v>122</v>
      </c>
      <c r="IDS108" s="1" t="s">
        <v>122</v>
      </c>
      <c r="IDT108" s="1" t="s">
        <v>122</v>
      </c>
      <c r="IDU108" s="1" t="s">
        <v>122</v>
      </c>
      <c r="IDV108" s="1" t="s">
        <v>122</v>
      </c>
      <c r="IDW108" s="1" t="s">
        <v>122</v>
      </c>
      <c r="IDX108" s="1" t="s">
        <v>122</v>
      </c>
      <c r="IDY108" s="1" t="s">
        <v>122</v>
      </c>
      <c r="IDZ108" s="1" t="s">
        <v>122</v>
      </c>
      <c r="IEA108" s="1" t="s">
        <v>122</v>
      </c>
      <c r="IEB108" s="1" t="s">
        <v>122</v>
      </c>
      <c r="IEC108" s="1" t="s">
        <v>122</v>
      </c>
      <c r="IED108" s="1" t="s">
        <v>122</v>
      </c>
      <c r="IEE108" s="1" t="s">
        <v>122</v>
      </c>
      <c r="IEF108" s="1" t="s">
        <v>122</v>
      </c>
      <c r="IEG108" s="1" t="s">
        <v>122</v>
      </c>
      <c r="IEH108" s="1" t="s">
        <v>122</v>
      </c>
      <c r="IEI108" s="1" t="s">
        <v>122</v>
      </c>
      <c r="IEJ108" s="1" t="s">
        <v>122</v>
      </c>
      <c r="IEK108" s="1" t="s">
        <v>122</v>
      </c>
      <c r="IEL108" s="1" t="s">
        <v>122</v>
      </c>
      <c r="IEM108" s="1" t="s">
        <v>122</v>
      </c>
      <c r="IEN108" s="1" t="s">
        <v>122</v>
      </c>
      <c r="IEO108" s="1" t="s">
        <v>122</v>
      </c>
      <c r="IEP108" s="1" t="s">
        <v>122</v>
      </c>
      <c r="IEQ108" s="1" t="s">
        <v>122</v>
      </c>
      <c r="IER108" s="1" t="s">
        <v>122</v>
      </c>
      <c r="IES108" s="1" t="s">
        <v>122</v>
      </c>
      <c r="IET108" s="1" t="s">
        <v>122</v>
      </c>
      <c r="IEU108" s="1" t="s">
        <v>122</v>
      </c>
      <c r="IEV108" s="1" t="s">
        <v>122</v>
      </c>
      <c r="IEW108" s="1" t="s">
        <v>122</v>
      </c>
      <c r="IEX108" s="1" t="s">
        <v>122</v>
      </c>
      <c r="IEY108" s="1" t="s">
        <v>122</v>
      </c>
      <c r="IEZ108" s="1" t="s">
        <v>122</v>
      </c>
      <c r="IFA108" s="1" t="s">
        <v>122</v>
      </c>
      <c r="IFB108" s="1" t="s">
        <v>122</v>
      </c>
      <c r="IFC108" s="1" t="s">
        <v>122</v>
      </c>
      <c r="IFD108" s="1" t="s">
        <v>122</v>
      </c>
      <c r="IFE108" s="1" t="s">
        <v>122</v>
      </c>
      <c r="IFF108" s="1" t="s">
        <v>122</v>
      </c>
      <c r="IFG108" s="1" t="s">
        <v>122</v>
      </c>
      <c r="IFH108" s="1" t="s">
        <v>122</v>
      </c>
      <c r="IFI108" s="1" t="s">
        <v>122</v>
      </c>
      <c r="IFJ108" s="1" t="s">
        <v>122</v>
      </c>
      <c r="IFK108" s="1" t="s">
        <v>122</v>
      </c>
      <c r="IFL108" s="1" t="s">
        <v>122</v>
      </c>
      <c r="IFM108" s="1" t="s">
        <v>122</v>
      </c>
      <c r="IFN108" s="1" t="s">
        <v>122</v>
      </c>
      <c r="IFO108" s="1" t="s">
        <v>122</v>
      </c>
      <c r="IFP108" s="1" t="s">
        <v>122</v>
      </c>
      <c r="IFQ108" s="1" t="s">
        <v>122</v>
      </c>
      <c r="IFR108" s="1" t="s">
        <v>122</v>
      </c>
      <c r="IFS108" s="1" t="s">
        <v>122</v>
      </c>
      <c r="IFT108" s="1" t="s">
        <v>122</v>
      </c>
      <c r="IFU108" s="1" t="s">
        <v>122</v>
      </c>
      <c r="IFV108" s="1" t="s">
        <v>122</v>
      </c>
      <c r="IFW108" s="1" t="s">
        <v>122</v>
      </c>
      <c r="IFX108" s="1" t="s">
        <v>122</v>
      </c>
      <c r="IFY108" s="1" t="s">
        <v>122</v>
      </c>
      <c r="IFZ108" s="1" t="s">
        <v>122</v>
      </c>
      <c r="IGA108" s="1" t="s">
        <v>122</v>
      </c>
      <c r="IGB108" s="1" t="s">
        <v>122</v>
      </c>
      <c r="IGC108" s="1" t="s">
        <v>122</v>
      </c>
      <c r="IGD108" s="1" t="s">
        <v>122</v>
      </c>
      <c r="IGE108" s="1" t="s">
        <v>122</v>
      </c>
      <c r="IGF108" s="1" t="s">
        <v>122</v>
      </c>
      <c r="IGG108" s="1" t="s">
        <v>122</v>
      </c>
      <c r="IGH108" s="1" t="s">
        <v>122</v>
      </c>
      <c r="IGI108" s="1" t="s">
        <v>122</v>
      </c>
      <c r="IGJ108" s="1" t="s">
        <v>122</v>
      </c>
      <c r="IGK108" s="1" t="s">
        <v>122</v>
      </c>
      <c r="IGL108" s="1" t="s">
        <v>122</v>
      </c>
      <c r="IGM108" s="1" t="s">
        <v>122</v>
      </c>
      <c r="IGN108" s="1" t="s">
        <v>122</v>
      </c>
      <c r="IGO108" s="1" t="s">
        <v>122</v>
      </c>
      <c r="IGP108" s="1" t="s">
        <v>122</v>
      </c>
      <c r="IGQ108" s="1" t="s">
        <v>122</v>
      </c>
      <c r="IGR108" s="1" t="s">
        <v>122</v>
      </c>
      <c r="IGS108" s="1" t="s">
        <v>122</v>
      </c>
      <c r="IGT108" s="1" t="s">
        <v>122</v>
      </c>
      <c r="IGU108" s="1" t="s">
        <v>122</v>
      </c>
      <c r="IGV108" s="1" t="s">
        <v>122</v>
      </c>
      <c r="IGW108" s="1" t="s">
        <v>122</v>
      </c>
      <c r="IGX108" s="1" t="s">
        <v>122</v>
      </c>
      <c r="IGY108" s="1" t="s">
        <v>122</v>
      </c>
      <c r="IGZ108" s="1" t="s">
        <v>122</v>
      </c>
      <c r="IHA108" s="1" t="s">
        <v>122</v>
      </c>
      <c r="IHB108" s="1" t="s">
        <v>122</v>
      </c>
      <c r="IHC108" s="1" t="s">
        <v>122</v>
      </c>
      <c r="IHD108" s="1" t="s">
        <v>122</v>
      </c>
      <c r="IHE108" s="1" t="s">
        <v>122</v>
      </c>
      <c r="IHF108" s="1" t="s">
        <v>122</v>
      </c>
      <c r="IHG108" s="1" t="s">
        <v>122</v>
      </c>
      <c r="IHH108" s="1" t="s">
        <v>122</v>
      </c>
      <c r="IHI108" s="1" t="s">
        <v>122</v>
      </c>
      <c r="IHJ108" s="1" t="s">
        <v>122</v>
      </c>
      <c r="IHK108" s="1" t="s">
        <v>122</v>
      </c>
      <c r="IHL108" s="1" t="s">
        <v>122</v>
      </c>
      <c r="IHM108" s="1" t="s">
        <v>122</v>
      </c>
      <c r="IHN108" s="1" t="s">
        <v>122</v>
      </c>
      <c r="IHO108" s="1" t="s">
        <v>122</v>
      </c>
      <c r="IHP108" s="1" t="s">
        <v>122</v>
      </c>
      <c r="IHQ108" s="1" t="s">
        <v>122</v>
      </c>
      <c r="IHR108" s="1" t="s">
        <v>122</v>
      </c>
      <c r="IHS108" s="1" t="s">
        <v>122</v>
      </c>
      <c r="IHT108" s="1" t="s">
        <v>122</v>
      </c>
      <c r="IHU108" s="1" t="s">
        <v>122</v>
      </c>
      <c r="IHV108" s="1" t="s">
        <v>122</v>
      </c>
      <c r="IHW108" s="1" t="s">
        <v>122</v>
      </c>
      <c r="IHX108" s="1" t="s">
        <v>122</v>
      </c>
      <c r="IHY108" s="1" t="s">
        <v>122</v>
      </c>
      <c r="IHZ108" s="1" t="s">
        <v>122</v>
      </c>
      <c r="IIA108" s="1" t="s">
        <v>122</v>
      </c>
      <c r="IIB108" s="1" t="s">
        <v>122</v>
      </c>
      <c r="IIC108" s="1" t="s">
        <v>122</v>
      </c>
      <c r="IID108" s="1" t="s">
        <v>122</v>
      </c>
      <c r="IIE108" s="1" t="s">
        <v>122</v>
      </c>
      <c r="IIF108" s="1" t="s">
        <v>122</v>
      </c>
      <c r="IIG108" s="1" t="s">
        <v>122</v>
      </c>
      <c r="IIH108" s="1" t="s">
        <v>122</v>
      </c>
      <c r="III108" s="1" t="s">
        <v>122</v>
      </c>
      <c r="IIJ108" s="1" t="s">
        <v>122</v>
      </c>
      <c r="IIK108" s="1" t="s">
        <v>122</v>
      </c>
      <c r="IIL108" s="1" t="s">
        <v>122</v>
      </c>
      <c r="IIM108" s="1" t="s">
        <v>122</v>
      </c>
      <c r="IIN108" s="1" t="s">
        <v>122</v>
      </c>
      <c r="IIO108" s="1" t="s">
        <v>122</v>
      </c>
      <c r="IIP108" s="1" t="s">
        <v>122</v>
      </c>
      <c r="IIQ108" s="1" t="s">
        <v>122</v>
      </c>
      <c r="IIR108" s="1" t="s">
        <v>122</v>
      </c>
      <c r="IIS108" s="1" t="s">
        <v>122</v>
      </c>
      <c r="IIT108" s="1" t="s">
        <v>122</v>
      </c>
      <c r="IIU108" s="1" t="s">
        <v>122</v>
      </c>
      <c r="IIV108" s="1" t="s">
        <v>122</v>
      </c>
      <c r="IIW108" s="1" t="s">
        <v>122</v>
      </c>
      <c r="IIX108" s="1" t="s">
        <v>122</v>
      </c>
      <c r="IIY108" s="1" t="s">
        <v>122</v>
      </c>
      <c r="IIZ108" s="1" t="s">
        <v>122</v>
      </c>
      <c r="IJA108" s="1" t="s">
        <v>122</v>
      </c>
      <c r="IJB108" s="1" t="s">
        <v>122</v>
      </c>
      <c r="IJC108" s="1" t="s">
        <v>122</v>
      </c>
      <c r="IJD108" s="1" t="s">
        <v>122</v>
      </c>
      <c r="IJE108" s="1" t="s">
        <v>122</v>
      </c>
      <c r="IJF108" s="1" t="s">
        <v>122</v>
      </c>
      <c r="IJG108" s="1" t="s">
        <v>122</v>
      </c>
      <c r="IJH108" s="1" t="s">
        <v>122</v>
      </c>
      <c r="IJI108" s="1" t="s">
        <v>122</v>
      </c>
      <c r="IJJ108" s="1" t="s">
        <v>122</v>
      </c>
      <c r="IJK108" s="1" t="s">
        <v>122</v>
      </c>
      <c r="IJL108" s="1" t="s">
        <v>122</v>
      </c>
      <c r="IJM108" s="1" t="s">
        <v>122</v>
      </c>
      <c r="IJN108" s="1" t="s">
        <v>122</v>
      </c>
      <c r="IJO108" s="1" t="s">
        <v>122</v>
      </c>
      <c r="IJP108" s="1" t="s">
        <v>122</v>
      </c>
      <c r="IJQ108" s="1" t="s">
        <v>122</v>
      </c>
      <c r="IJR108" s="1" t="s">
        <v>122</v>
      </c>
      <c r="IJS108" s="1" t="s">
        <v>122</v>
      </c>
      <c r="IJT108" s="1" t="s">
        <v>122</v>
      </c>
      <c r="IJU108" s="1" t="s">
        <v>122</v>
      </c>
      <c r="IJV108" s="1" t="s">
        <v>122</v>
      </c>
      <c r="IJW108" s="1" t="s">
        <v>122</v>
      </c>
      <c r="IJX108" s="1" t="s">
        <v>122</v>
      </c>
      <c r="IJY108" s="1" t="s">
        <v>122</v>
      </c>
      <c r="IJZ108" s="1" t="s">
        <v>122</v>
      </c>
      <c r="IKA108" s="1" t="s">
        <v>122</v>
      </c>
      <c r="IKB108" s="1" t="s">
        <v>122</v>
      </c>
      <c r="IKC108" s="1" t="s">
        <v>122</v>
      </c>
      <c r="IKD108" s="1" t="s">
        <v>122</v>
      </c>
      <c r="IKE108" s="1" t="s">
        <v>122</v>
      </c>
      <c r="IKF108" s="1" t="s">
        <v>122</v>
      </c>
      <c r="IKG108" s="1" t="s">
        <v>122</v>
      </c>
      <c r="IKH108" s="1" t="s">
        <v>122</v>
      </c>
      <c r="IKI108" s="1" t="s">
        <v>122</v>
      </c>
      <c r="IKJ108" s="1" t="s">
        <v>122</v>
      </c>
      <c r="IKK108" s="1" t="s">
        <v>122</v>
      </c>
      <c r="IKL108" s="1" t="s">
        <v>122</v>
      </c>
      <c r="IKM108" s="1" t="s">
        <v>122</v>
      </c>
      <c r="IKN108" s="1" t="s">
        <v>122</v>
      </c>
      <c r="IKO108" s="1" t="s">
        <v>122</v>
      </c>
      <c r="IKP108" s="1" t="s">
        <v>122</v>
      </c>
      <c r="IKQ108" s="1" t="s">
        <v>122</v>
      </c>
      <c r="IKR108" s="1" t="s">
        <v>122</v>
      </c>
      <c r="IKS108" s="1" t="s">
        <v>122</v>
      </c>
      <c r="IKT108" s="1" t="s">
        <v>122</v>
      </c>
      <c r="IKU108" s="1" t="s">
        <v>122</v>
      </c>
      <c r="IKV108" s="1" t="s">
        <v>122</v>
      </c>
      <c r="IKW108" s="1" t="s">
        <v>122</v>
      </c>
      <c r="IKX108" s="1" t="s">
        <v>122</v>
      </c>
      <c r="IKY108" s="1" t="s">
        <v>122</v>
      </c>
      <c r="IKZ108" s="1" t="s">
        <v>122</v>
      </c>
      <c r="ILA108" s="1" t="s">
        <v>122</v>
      </c>
      <c r="ILB108" s="1" t="s">
        <v>122</v>
      </c>
      <c r="ILC108" s="1" t="s">
        <v>122</v>
      </c>
      <c r="ILD108" s="1" t="s">
        <v>122</v>
      </c>
      <c r="ILE108" s="1" t="s">
        <v>122</v>
      </c>
      <c r="ILF108" s="1" t="s">
        <v>122</v>
      </c>
      <c r="ILG108" s="1" t="s">
        <v>122</v>
      </c>
      <c r="ILH108" s="1" t="s">
        <v>122</v>
      </c>
      <c r="ILI108" s="1" t="s">
        <v>122</v>
      </c>
      <c r="ILJ108" s="1" t="s">
        <v>122</v>
      </c>
      <c r="ILK108" s="1" t="s">
        <v>122</v>
      </c>
      <c r="ILL108" s="1" t="s">
        <v>122</v>
      </c>
      <c r="ILM108" s="1" t="s">
        <v>122</v>
      </c>
      <c r="ILN108" s="1" t="s">
        <v>122</v>
      </c>
      <c r="ILO108" s="1" t="s">
        <v>122</v>
      </c>
      <c r="ILP108" s="1" t="s">
        <v>122</v>
      </c>
      <c r="ILQ108" s="1" t="s">
        <v>122</v>
      </c>
      <c r="ILR108" s="1" t="s">
        <v>122</v>
      </c>
      <c r="ILS108" s="1" t="s">
        <v>122</v>
      </c>
      <c r="ILT108" s="1" t="s">
        <v>122</v>
      </c>
      <c r="ILU108" s="1" t="s">
        <v>122</v>
      </c>
      <c r="ILV108" s="1" t="s">
        <v>122</v>
      </c>
      <c r="ILW108" s="1" t="s">
        <v>122</v>
      </c>
      <c r="ILX108" s="1" t="s">
        <v>122</v>
      </c>
      <c r="ILY108" s="1" t="s">
        <v>122</v>
      </c>
      <c r="ILZ108" s="1" t="s">
        <v>122</v>
      </c>
      <c r="IMA108" s="1" t="s">
        <v>122</v>
      </c>
      <c r="IMB108" s="1" t="s">
        <v>122</v>
      </c>
      <c r="IMC108" s="1" t="s">
        <v>122</v>
      </c>
      <c r="IMD108" s="1" t="s">
        <v>122</v>
      </c>
      <c r="IME108" s="1" t="s">
        <v>122</v>
      </c>
      <c r="IMF108" s="1" t="s">
        <v>122</v>
      </c>
      <c r="IMG108" s="1" t="s">
        <v>122</v>
      </c>
      <c r="IMH108" s="1" t="s">
        <v>122</v>
      </c>
      <c r="IMI108" s="1" t="s">
        <v>122</v>
      </c>
      <c r="IMJ108" s="1" t="s">
        <v>122</v>
      </c>
      <c r="IMK108" s="1" t="s">
        <v>122</v>
      </c>
      <c r="IML108" s="1" t="s">
        <v>122</v>
      </c>
      <c r="IMM108" s="1" t="s">
        <v>122</v>
      </c>
      <c r="IMN108" s="1" t="s">
        <v>122</v>
      </c>
      <c r="IMO108" s="1" t="s">
        <v>122</v>
      </c>
      <c r="IMP108" s="1" t="s">
        <v>122</v>
      </c>
      <c r="IMQ108" s="1" t="s">
        <v>122</v>
      </c>
      <c r="IMR108" s="1" t="s">
        <v>122</v>
      </c>
      <c r="IMS108" s="1" t="s">
        <v>122</v>
      </c>
      <c r="IMT108" s="1" t="s">
        <v>122</v>
      </c>
      <c r="IMU108" s="1" t="s">
        <v>122</v>
      </c>
      <c r="IMV108" s="1" t="s">
        <v>122</v>
      </c>
      <c r="IMW108" s="1" t="s">
        <v>122</v>
      </c>
      <c r="IMX108" s="1" t="s">
        <v>122</v>
      </c>
      <c r="IMY108" s="1" t="s">
        <v>122</v>
      </c>
      <c r="IMZ108" s="1" t="s">
        <v>122</v>
      </c>
      <c r="INA108" s="1" t="s">
        <v>122</v>
      </c>
      <c r="INB108" s="1" t="s">
        <v>122</v>
      </c>
      <c r="INC108" s="1" t="s">
        <v>122</v>
      </c>
      <c r="IND108" s="1" t="s">
        <v>122</v>
      </c>
      <c r="INE108" s="1" t="s">
        <v>122</v>
      </c>
      <c r="INF108" s="1" t="s">
        <v>122</v>
      </c>
      <c r="ING108" s="1" t="s">
        <v>122</v>
      </c>
      <c r="INH108" s="1" t="s">
        <v>122</v>
      </c>
      <c r="INI108" s="1" t="s">
        <v>122</v>
      </c>
      <c r="INJ108" s="1" t="s">
        <v>122</v>
      </c>
      <c r="INK108" s="1" t="s">
        <v>122</v>
      </c>
      <c r="INL108" s="1" t="s">
        <v>122</v>
      </c>
      <c r="INM108" s="1" t="s">
        <v>122</v>
      </c>
      <c r="INN108" s="1" t="s">
        <v>122</v>
      </c>
      <c r="INO108" s="1" t="s">
        <v>122</v>
      </c>
      <c r="INP108" s="1" t="s">
        <v>122</v>
      </c>
      <c r="INQ108" s="1" t="s">
        <v>122</v>
      </c>
      <c r="INR108" s="1" t="s">
        <v>122</v>
      </c>
      <c r="INS108" s="1" t="s">
        <v>122</v>
      </c>
      <c r="INT108" s="1" t="s">
        <v>122</v>
      </c>
      <c r="INU108" s="1" t="s">
        <v>122</v>
      </c>
      <c r="INV108" s="1" t="s">
        <v>122</v>
      </c>
      <c r="INW108" s="1" t="s">
        <v>122</v>
      </c>
      <c r="INX108" s="1" t="s">
        <v>122</v>
      </c>
      <c r="INY108" s="1" t="s">
        <v>122</v>
      </c>
      <c r="INZ108" s="1" t="s">
        <v>122</v>
      </c>
      <c r="IOA108" s="1" t="s">
        <v>122</v>
      </c>
      <c r="IOB108" s="1" t="s">
        <v>122</v>
      </c>
      <c r="IOC108" s="1" t="s">
        <v>122</v>
      </c>
      <c r="IOD108" s="1" t="s">
        <v>122</v>
      </c>
      <c r="IOE108" s="1" t="s">
        <v>122</v>
      </c>
      <c r="IOF108" s="1" t="s">
        <v>122</v>
      </c>
      <c r="IOG108" s="1" t="s">
        <v>122</v>
      </c>
      <c r="IOH108" s="1" t="s">
        <v>122</v>
      </c>
      <c r="IOI108" s="1" t="s">
        <v>122</v>
      </c>
      <c r="IOJ108" s="1" t="s">
        <v>122</v>
      </c>
      <c r="IOK108" s="1" t="s">
        <v>122</v>
      </c>
      <c r="IOL108" s="1" t="s">
        <v>122</v>
      </c>
      <c r="IOM108" s="1" t="s">
        <v>122</v>
      </c>
      <c r="ION108" s="1" t="s">
        <v>122</v>
      </c>
      <c r="IOO108" s="1" t="s">
        <v>122</v>
      </c>
      <c r="IOP108" s="1" t="s">
        <v>122</v>
      </c>
      <c r="IOQ108" s="1" t="s">
        <v>122</v>
      </c>
      <c r="IOR108" s="1" t="s">
        <v>122</v>
      </c>
      <c r="IOS108" s="1" t="s">
        <v>122</v>
      </c>
      <c r="IOT108" s="1" t="s">
        <v>122</v>
      </c>
      <c r="IOU108" s="1" t="s">
        <v>122</v>
      </c>
      <c r="IOV108" s="1" t="s">
        <v>122</v>
      </c>
      <c r="IOW108" s="1" t="s">
        <v>122</v>
      </c>
      <c r="IOX108" s="1" t="s">
        <v>122</v>
      </c>
      <c r="IOY108" s="1" t="s">
        <v>122</v>
      </c>
      <c r="IOZ108" s="1" t="s">
        <v>122</v>
      </c>
      <c r="IPA108" s="1" t="s">
        <v>122</v>
      </c>
      <c r="IPB108" s="1" t="s">
        <v>122</v>
      </c>
      <c r="IPC108" s="1" t="s">
        <v>122</v>
      </c>
      <c r="IPD108" s="1" t="s">
        <v>122</v>
      </c>
      <c r="IPE108" s="1" t="s">
        <v>122</v>
      </c>
      <c r="IPF108" s="1" t="s">
        <v>122</v>
      </c>
      <c r="IPG108" s="1" t="s">
        <v>122</v>
      </c>
      <c r="IPH108" s="1" t="s">
        <v>122</v>
      </c>
      <c r="IPI108" s="1" t="s">
        <v>122</v>
      </c>
      <c r="IPJ108" s="1" t="s">
        <v>122</v>
      </c>
      <c r="IPK108" s="1" t="s">
        <v>122</v>
      </c>
      <c r="IPL108" s="1" t="s">
        <v>122</v>
      </c>
      <c r="IPM108" s="1" t="s">
        <v>122</v>
      </c>
      <c r="IPN108" s="1" t="s">
        <v>122</v>
      </c>
      <c r="IPO108" s="1" t="s">
        <v>122</v>
      </c>
      <c r="IPP108" s="1" t="s">
        <v>122</v>
      </c>
      <c r="IPQ108" s="1" t="s">
        <v>122</v>
      </c>
      <c r="IPR108" s="1" t="s">
        <v>122</v>
      </c>
      <c r="IPS108" s="1" t="s">
        <v>122</v>
      </c>
      <c r="IPT108" s="1" t="s">
        <v>122</v>
      </c>
      <c r="IPU108" s="1" t="s">
        <v>122</v>
      </c>
      <c r="IPV108" s="1" t="s">
        <v>122</v>
      </c>
      <c r="IPW108" s="1" t="s">
        <v>122</v>
      </c>
      <c r="IPX108" s="1" t="s">
        <v>122</v>
      </c>
      <c r="IPY108" s="1" t="s">
        <v>122</v>
      </c>
      <c r="IPZ108" s="1" t="s">
        <v>122</v>
      </c>
      <c r="IQA108" s="1" t="s">
        <v>122</v>
      </c>
      <c r="IQB108" s="1" t="s">
        <v>122</v>
      </c>
      <c r="IQC108" s="1" t="s">
        <v>122</v>
      </c>
      <c r="IQD108" s="1" t="s">
        <v>122</v>
      </c>
      <c r="IQE108" s="1" t="s">
        <v>122</v>
      </c>
      <c r="IQF108" s="1" t="s">
        <v>122</v>
      </c>
      <c r="IQG108" s="1" t="s">
        <v>122</v>
      </c>
      <c r="IQH108" s="1" t="s">
        <v>122</v>
      </c>
      <c r="IQI108" s="1" t="s">
        <v>122</v>
      </c>
      <c r="IQJ108" s="1" t="s">
        <v>122</v>
      </c>
      <c r="IQK108" s="1" t="s">
        <v>122</v>
      </c>
      <c r="IQL108" s="1" t="s">
        <v>122</v>
      </c>
      <c r="IQM108" s="1" t="s">
        <v>122</v>
      </c>
      <c r="IQN108" s="1" t="s">
        <v>122</v>
      </c>
      <c r="IQO108" s="1" t="s">
        <v>122</v>
      </c>
      <c r="IQP108" s="1" t="s">
        <v>122</v>
      </c>
      <c r="IQQ108" s="1" t="s">
        <v>122</v>
      </c>
      <c r="IQR108" s="1" t="s">
        <v>122</v>
      </c>
      <c r="IQS108" s="1" t="s">
        <v>122</v>
      </c>
      <c r="IQT108" s="1" t="s">
        <v>122</v>
      </c>
      <c r="IQU108" s="1" t="s">
        <v>122</v>
      </c>
      <c r="IQV108" s="1" t="s">
        <v>122</v>
      </c>
      <c r="IQW108" s="1" t="s">
        <v>122</v>
      </c>
      <c r="IQX108" s="1" t="s">
        <v>122</v>
      </c>
      <c r="IQY108" s="1" t="s">
        <v>122</v>
      </c>
      <c r="IQZ108" s="1" t="s">
        <v>122</v>
      </c>
      <c r="IRA108" s="1" t="s">
        <v>122</v>
      </c>
      <c r="IRB108" s="1" t="s">
        <v>122</v>
      </c>
      <c r="IRC108" s="1" t="s">
        <v>122</v>
      </c>
      <c r="IRD108" s="1" t="s">
        <v>122</v>
      </c>
      <c r="IRE108" s="1" t="s">
        <v>122</v>
      </c>
      <c r="IRF108" s="1" t="s">
        <v>122</v>
      </c>
      <c r="IRG108" s="1" t="s">
        <v>122</v>
      </c>
      <c r="IRH108" s="1" t="s">
        <v>122</v>
      </c>
      <c r="IRI108" s="1" t="s">
        <v>122</v>
      </c>
      <c r="IRJ108" s="1" t="s">
        <v>122</v>
      </c>
      <c r="IRK108" s="1" t="s">
        <v>122</v>
      </c>
      <c r="IRL108" s="1" t="s">
        <v>122</v>
      </c>
      <c r="IRM108" s="1" t="s">
        <v>122</v>
      </c>
      <c r="IRN108" s="1" t="s">
        <v>122</v>
      </c>
      <c r="IRO108" s="1" t="s">
        <v>122</v>
      </c>
      <c r="IRP108" s="1" t="s">
        <v>122</v>
      </c>
      <c r="IRQ108" s="1" t="s">
        <v>122</v>
      </c>
      <c r="IRR108" s="1" t="s">
        <v>122</v>
      </c>
      <c r="IRS108" s="1" t="s">
        <v>122</v>
      </c>
      <c r="IRT108" s="1" t="s">
        <v>122</v>
      </c>
      <c r="IRU108" s="1" t="s">
        <v>122</v>
      </c>
      <c r="IRV108" s="1" t="s">
        <v>122</v>
      </c>
      <c r="IRW108" s="1" t="s">
        <v>122</v>
      </c>
      <c r="IRX108" s="1" t="s">
        <v>122</v>
      </c>
      <c r="IRY108" s="1" t="s">
        <v>122</v>
      </c>
      <c r="IRZ108" s="1" t="s">
        <v>122</v>
      </c>
      <c r="ISA108" s="1" t="s">
        <v>122</v>
      </c>
      <c r="ISB108" s="1" t="s">
        <v>122</v>
      </c>
      <c r="ISC108" s="1" t="s">
        <v>122</v>
      </c>
      <c r="ISD108" s="1" t="s">
        <v>122</v>
      </c>
      <c r="ISE108" s="1" t="s">
        <v>122</v>
      </c>
      <c r="ISF108" s="1" t="s">
        <v>122</v>
      </c>
      <c r="ISG108" s="1" t="s">
        <v>122</v>
      </c>
      <c r="ISH108" s="1" t="s">
        <v>122</v>
      </c>
      <c r="ISI108" s="1" t="s">
        <v>122</v>
      </c>
      <c r="ISJ108" s="1" t="s">
        <v>122</v>
      </c>
      <c r="ISK108" s="1" t="s">
        <v>122</v>
      </c>
      <c r="ISL108" s="1" t="s">
        <v>122</v>
      </c>
      <c r="ISM108" s="1" t="s">
        <v>122</v>
      </c>
      <c r="ISN108" s="1" t="s">
        <v>122</v>
      </c>
      <c r="ISO108" s="1" t="s">
        <v>122</v>
      </c>
      <c r="ISP108" s="1" t="s">
        <v>122</v>
      </c>
      <c r="ISQ108" s="1" t="s">
        <v>122</v>
      </c>
      <c r="ISR108" s="1" t="s">
        <v>122</v>
      </c>
      <c r="ISS108" s="1" t="s">
        <v>122</v>
      </c>
      <c r="IST108" s="1" t="s">
        <v>122</v>
      </c>
      <c r="ISU108" s="1" t="s">
        <v>122</v>
      </c>
      <c r="ISV108" s="1" t="s">
        <v>122</v>
      </c>
      <c r="ISW108" s="1" t="s">
        <v>122</v>
      </c>
      <c r="ISX108" s="1" t="s">
        <v>122</v>
      </c>
      <c r="ISY108" s="1" t="s">
        <v>122</v>
      </c>
      <c r="ISZ108" s="1" t="s">
        <v>122</v>
      </c>
      <c r="ITA108" s="1" t="s">
        <v>122</v>
      </c>
      <c r="ITB108" s="1" t="s">
        <v>122</v>
      </c>
      <c r="ITC108" s="1" t="s">
        <v>122</v>
      </c>
      <c r="ITD108" s="1" t="s">
        <v>122</v>
      </c>
      <c r="ITE108" s="1" t="s">
        <v>122</v>
      </c>
      <c r="ITF108" s="1" t="s">
        <v>122</v>
      </c>
      <c r="ITG108" s="1" t="s">
        <v>122</v>
      </c>
      <c r="ITH108" s="1" t="s">
        <v>122</v>
      </c>
      <c r="ITI108" s="1" t="s">
        <v>122</v>
      </c>
      <c r="ITJ108" s="1" t="s">
        <v>122</v>
      </c>
      <c r="ITK108" s="1" t="s">
        <v>122</v>
      </c>
      <c r="ITL108" s="1" t="s">
        <v>122</v>
      </c>
      <c r="ITM108" s="1" t="s">
        <v>122</v>
      </c>
      <c r="ITN108" s="1" t="s">
        <v>122</v>
      </c>
      <c r="ITO108" s="1" t="s">
        <v>122</v>
      </c>
      <c r="ITP108" s="1" t="s">
        <v>122</v>
      </c>
      <c r="ITQ108" s="1" t="s">
        <v>122</v>
      </c>
      <c r="ITR108" s="1" t="s">
        <v>122</v>
      </c>
      <c r="ITS108" s="1" t="s">
        <v>122</v>
      </c>
      <c r="ITT108" s="1" t="s">
        <v>122</v>
      </c>
      <c r="ITU108" s="1" t="s">
        <v>122</v>
      </c>
      <c r="ITV108" s="1" t="s">
        <v>122</v>
      </c>
      <c r="ITW108" s="1" t="s">
        <v>122</v>
      </c>
      <c r="ITX108" s="1" t="s">
        <v>122</v>
      </c>
      <c r="ITY108" s="1" t="s">
        <v>122</v>
      </c>
      <c r="ITZ108" s="1" t="s">
        <v>122</v>
      </c>
      <c r="IUA108" s="1" t="s">
        <v>122</v>
      </c>
      <c r="IUB108" s="1" t="s">
        <v>122</v>
      </c>
      <c r="IUC108" s="1" t="s">
        <v>122</v>
      </c>
      <c r="IUD108" s="1" t="s">
        <v>122</v>
      </c>
      <c r="IUE108" s="1" t="s">
        <v>122</v>
      </c>
      <c r="IUF108" s="1" t="s">
        <v>122</v>
      </c>
      <c r="IUG108" s="1" t="s">
        <v>122</v>
      </c>
      <c r="IUH108" s="1" t="s">
        <v>122</v>
      </c>
      <c r="IUI108" s="1" t="s">
        <v>122</v>
      </c>
      <c r="IUJ108" s="1" t="s">
        <v>122</v>
      </c>
      <c r="IUK108" s="1" t="s">
        <v>122</v>
      </c>
      <c r="IUL108" s="1" t="s">
        <v>122</v>
      </c>
      <c r="IUM108" s="1" t="s">
        <v>122</v>
      </c>
      <c r="IUN108" s="1" t="s">
        <v>122</v>
      </c>
      <c r="IUO108" s="1" t="s">
        <v>122</v>
      </c>
      <c r="IUP108" s="1" t="s">
        <v>122</v>
      </c>
      <c r="IUQ108" s="1" t="s">
        <v>122</v>
      </c>
      <c r="IUR108" s="1" t="s">
        <v>122</v>
      </c>
      <c r="IUS108" s="1" t="s">
        <v>122</v>
      </c>
      <c r="IUT108" s="1" t="s">
        <v>122</v>
      </c>
      <c r="IUU108" s="1" t="s">
        <v>122</v>
      </c>
      <c r="IUV108" s="1" t="s">
        <v>122</v>
      </c>
      <c r="IUW108" s="1" t="s">
        <v>122</v>
      </c>
      <c r="IUX108" s="1" t="s">
        <v>122</v>
      </c>
      <c r="IUY108" s="1" t="s">
        <v>122</v>
      </c>
      <c r="IUZ108" s="1" t="s">
        <v>122</v>
      </c>
      <c r="IVA108" s="1" t="s">
        <v>122</v>
      </c>
      <c r="IVB108" s="1" t="s">
        <v>122</v>
      </c>
      <c r="IVC108" s="1" t="s">
        <v>122</v>
      </c>
      <c r="IVD108" s="1" t="s">
        <v>122</v>
      </c>
      <c r="IVE108" s="1" t="s">
        <v>122</v>
      </c>
      <c r="IVF108" s="1" t="s">
        <v>122</v>
      </c>
      <c r="IVG108" s="1" t="s">
        <v>122</v>
      </c>
      <c r="IVH108" s="1" t="s">
        <v>122</v>
      </c>
      <c r="IVI108" s="1" t="s">
        <v>122</v>
      </c>
      <c r="IVJ108" s="1" t="s">
        <v>122</v>
      </c>
      <c r="IVK108" s="1" t="s">
        <v>122</v>
      </c>
      <c r="IVL108" s="1" t="s">
        <v>122</v>
      </c>
      <c r="IVM108" s="1" t="s">
        <v>122</v>
      </c>
      <c r="IVN108" s="1" t="s">
        <v>122</v>
      </c>
      <c r="IVO108" s="1" t="s">
        <v>122</v>
      </c>
      <c r="IVP108" s="1" t="s">
        <v>122</v>
      </c>
      <c r="IVQ108" s="1" t="s">
        <v>122</v>
      </c>
      <c r="IVR108" s="1" t="s">
        <v>122</v>
      </c>
      <c r="IVS108" s="1" t="s">
        <v>122</v>
      </c>
      <c r="IVT108" s="1" t="s">
        <v>122</v>
      </c>
      <c r="IVU108" s="1" t="s">
        <v>122</v>
      </c>
      <c r="IVV108" s="1" t="s">
        <v>122</v>
      </c>
      <c r="IVW108" s="1" t="s">
        <v>122</v>
      </c>
      <c r="IVX108" s="1" t="s">
        <v>122</v>
      </c>
      <c r="IVY108" s="1" t="s">
        <v>122</v>
      </c>
      <c r="IVZ108" s="1" t="s">
        <v>122</v>
      </c>
      <c r="IWA108" s="1" t="s">
        <v>122</v>
      </c>
      <c r="IWB108" s="1" t="s">
        <v>122</v>
      </c>
      <c r="IWC108" s="1" t="s">
        <v>122</v>
      </c>
      <c r="IWD108" s="1" t="s">
        <v>122</v>
      </c>
      <c r="IWE108" s="1" t="s">
        <v>122</v>
      </c>
      <c r="IWF108" s="1" t="s">
        <v>122</v>
      </c>
      <c r="IWG108" s="1" t="s">
        <v>122</v>
      </c>
      <c r="IWH108" s="1" t="s">
        <v>122</v>
      </c>
      <c r="IWI108" s="1" t="s">
        <v>122</v>
      </c>
      <c r="IWJ108" s="1" t="s">
        <v>122</v>
      </c>
      <c r="IWK108" s="1" t="s">
        <v>122</v>
      </c>
      <c r="IWL108" s="1" t="s">
        <v>122</v>
      </c>
      <c r="IWM108" s="1" t="s">
        <v>122</v>
      </c>
      <c r="IWN108" s="1" t="s">
        <v>122</v>
      </c>
      <c r="IWO108" s="1" t="s">
        <v>122</v>
      </c>
      <c r="IWP108" s="1" t="s">
        <v>122</v>
      </c>
      <c r="IWQ108" s="1" t="s">
        <v>122</v>
      </c>
      <c r="IWR108" s="1" t="s">
        <v>122</v>
      </c>
      <c r="IWS108" s="1" t="s">
        <v>122</v>
      </c>
      <c r="IWT108" s="1" t="s">
        <v>122</v>
      </c>
      <c r="IWU108" s="1" t="s">
        <v>122</v>
      </c>
      <c r="IWV108" s="1" t="s">
        <v>122</v>
      </c>
      <c r="IWW108" s="1" t="s">
        <v>122</v>
      </c>
      <c r="IWX108" s="1" t="s">
        <v>122</v>
      </c>
      <c r="IWY108" s="1" t="s">
        <v>122</v>
      </c>
      <c r="IWZ108" s="1" t="s">
        <v>122</v>
      </c>
      <c r="IXA108" s="1" t="s">
        <v>122</v>
      </c>
      <c r="IXB108" s="1" t="s">
        <v>122</v>
      </c>
      <c r="IXC108" s="1" t="s">
        <v>122</v>
      </c>
      <c r="IXD108" s="1" t="s">
        <v>122</v>
      </c>
      <c r="IXE108" s="1" t="s">
        <v>122</v>
      </c>
      <c r="IXF108" s="1" t="s">
        <v>122</v>
      </c>
      <c r="IXG108" s="1" t="s">
        <v>122</v>
      </c>
      <c r="IXH108" s="1" t="s">
        <v>122</v>
      </c>
      <c r="IXI108" s="1" t="s">
        <v>122</v>
      </c>
      <c r="IXJ108" s="1" t="s">
        <v>122</v>
      </c>
      <c r="IXK108" s="1" t="s">
        <v>122</v>
      </c>
      <c r="IXL108" s="1" t="s">
        <v>122</v>
      </c>
      <c r="IXM108" s="1" t="s">
        <v>122</v>
      </c>
      <c r="IXN108" s="1" t="s">
        <v>122</v>
      </c>
      <c r="IXO108" s="1" t="s">
        <v>122</v>
      </c>
      <c r="IXP108" s="1" t="s">
        <v>122</v>
      </c>
      <c r="IXQ108" s="1" t="s">
        <v>122</v>
      </c>
      <c r="IXR108" s="1" t="s">
        <v>122</v>
      </c>
      <c r="IXS108" s="1" t="s">
        <v>122</v>
      </c>
      <c r="IXT108" s="1" t="s">
        <v>122</v>
      </c>
      <c r="IXU108" s="1" t="s">
        <v>122</v>
      </c>
      <c r="IXV108" s="1" t="s">
        <v>122</v>
      </c>
      <c r="IXW108" s="1" t="s">
        <v>122</v>
      </c>
      <c r="IXX108" s="1" t="s">
        <v>122</v>
      </c>
      <c r="IXY108" s="1" t="s">
        <v>122</v>
      </c>
      <c r="IXZ108" s="1" t="s">
        <v>122</v>
      </c>
      <c r="IYA108" s="1" t="s">
        <v>122</v>
      </c>
      <c r="IYB108" s="1" t="s">
        <v>122</v>
      </c>
      <c r="IYC108" s="1" t="s">
        <v>122</v>
      </c>
      <c r="IYD108" s="1" t="s">
        <v>122</v>
      </c>
      <c r="IYE108" s="1" t="s">
        <v>122</v>
      </c>
      <c r="IYF108" s="1" t="s">
        <v>122</v>
      </c>
      <c r="IYG108" s="1" t="s">
        <v>122</v>
      </c>
      <c r="IYH108" s="1" t="s">
        <v>122</v>
      </c>
      <c r="IYI108" s="1" t="s">
        <v>122</v>
      </c>
      <c r="IYJ108" s="1" t="s">
        <v>122</v>
      </c>
      <c r="IYK108" s="1" t="s">
        <v>122</v>
      </c>
      <c r="IYL108" s="1" t="s">
        <v>122</v>
      </c>
      <c r="IYM108" s="1" t="s">
        <v>122</v>
      </c>
      <c r="IYN108" s="1" t="s">
        <v>122</v>
      </c>
      <c r="IYO108" s="1" t="s">
        <v>122</v>
      </c>
      <c r="IYP108" s="1" t="s">
        <v>122</v>
      </c>
      <c r="IYQ108" s="1" t="s">
        <v>122</v>
      </c>
      <c r="IYR108" s="1" t="s">
        <v>122</v>
      </c>
      <c r="IYS108" s="1" t="s">
        <v>122</v>
      </c>
      <c r="IYT108" s="1" t="s">
        <v>122</v>
      </c>
      <c r="IYU108" s="1" t="s">
        <v>122</v>
      </c>
      <c r="IYV108" s="1" t="s">
        <v>122</v>
      </c>
      <c r="IYW108" s="1" t="s">
        <v>122</v>
      </c>
      <c r="IYX108" s="1" t="s">
        <v>122</v>
      </c>
      <c r="IYY108" s="1" t="s">
        <v>122</v>
      </c>
      <c r="IYZ108" s="1" t="s">
        <v>122</v>
      </c>
      <c r="IZA108" s="1" t="s">
        <v>122</v>
      </c>
      <c r="IZB108" s="1" t="s">
        <v>122</v>
      </c>
      <c r="IZC108" s="1" t="s">
        <v>122</v>
      </c>
      <c r="IZD108" s="1" t="s">
        <v>122</v>
      </c>
      <c r="IZE108" s="1" t="s">
        <v>122</v>
      </c>
      <c r="IZF108" s="1" t="s">
        <v>122</v>
      </c>
      <c r="IZG108" s="1" t="s">
        <v>122</v>
      </c>
      <c r="IZH108" s="1" t="s">
        <v>122</v>
      </c>
      <c r="IZI108" s="1" t="s">
        <v>122</v>
      </c>
      <c r="IZJ108" s="1" t="s">
        <v>122</v>
      </c>
      <c r="IZK108" s="1" t="s">
        <v>122</v>
      </c>
      <c r="IZL108" s="1" t="s">
        <v>122</v>
      </c>
      <c r="IZM108" s="1" t="s">
        <v>122</v>
      </c>
      <c r="IZN108" s="1" t="s">
        <v>122</v>
      </c>
      <c r="IZO108" s="1" t="s">
        <v>122</v>
      </c>
      <c r="IZP108" s="1" t="s">
        <v>122</v>
      </c>
      <c r="IZQ108" s="1" t="s">
        <v>122</v>
      </c>
      <c r="IZR108" s="1" t="s">
        <v>122</v>
      </c>
      <c r="IZS108" s="1" t="s">
        <v>122</v>
      </c>
      <c r="IZT108" s="1" t="s">
        <v>122</v>
      </c>
      <c r="IZU108" s="1" t="s">
        <v>122</v>
      </c>
      <c r="IZV108" s="1" t="s">
        <v>122</v>
      </c>
      <c r="IZW108" s="1" t="s">
        <v>122</v>
      </c>
      <c r="IZX108" s="1" t="s">
        <v>122</v>
      </c>
      <c r="IZY108" s="1" t="s">
        <v>122</v>
      </c>
      <c r="IZZ108" s="1" t="s">
        <v>122</v>
      </c>
      <c r="JAA108" s="1" t="s">
        <v>122</v>
      </c>
      <c r="JAB108" s="1" t="s">
        <v>122</v>
      </c>
      <c r="JAC108" s="1" t="s">
        <v>122</v>
      </c>
      <c r="JAD108" s="1" t="s">
        <v>122</v>
      </c>
      <c r="JAE108" s="1" t="s">
        <v>122</v>
      </c>
      <c r="JAF108" s="1" t="s">
        <v>122</v>
      </c>
      <c r="JAG108" s="1" t="s">
        <v>122</v>
      </c>
      <c r="JAH108" s="1" t="s">
        <v>122</v>
      </c>
      <c r="JAI108" s="1" t="s">
        <v>122</v>
      </c>
      <c r="JAJ108" s="1" t="s">
        <v>122</v>
      </c>
      <c r="JAK108" s="1" t="s">
        <v>122</v>
      </c>
      <c r="JAL108" s="1" t="s">
        <v>122</v>
      </c>
      <c r="JAM108" s="1" t="s">
        <v>122</v>
      </c>
      <c r="JAN108" s="1" t="s">
        <v>122</v>
      </c>
      <c r="JAO108" s="1" t="s">
        <v>122</v>
      </c>
      <c r="JAP108" s="1" t="s">
        <v>122</v>
      </c>
      <c r="JAQ108" s="1" t="s">
        <v>122</v>
      </c>
      <c r="JAR108" s="1" t="s">
        <v>122</v>
      </c>
      <c r="JAS108" s="1" t="s">
        <v>122</v>
      </c>
      <c r="JAT108" s="1" t="s">
        <v>122</v>
      </c>
      <c r="JAU108" s="1" t="s">
        <v>122</v>
      </c>
      <c r="JAV108" s="1" t="s">
        <v>122</v>
      </c>
      <c r="JAW108" s="1" t="s">
        <v>122</v>
      </c>
      <c r="JAX108" s="1" t="s">
        <v>122</v>
      </c>
      <c r="JAY108" s="1" t="s">
        <v>122</v>
      </c>
      <c r="JAZ108" s="1" t="s">
        <v>122</v>
      </c>
      <c r="JBA108" s="1" t="s">
        <v>122</v>
      </c>
      <c r="JBB108" s="1" t="s">
        <v>122</v>
      </c>
      <c r="JBC108" s="1" t="s">
        <v>122</v>
      </c>
      <c r="JBD108" s="1" t="s">
        <v>122</v>
      </c>
      <c r="JBE108" s="1" t="s">
        <v>122</v>
      </c>
      <c r="JBF108" s="1" t="s">
        <v>122</v>
      </c>
      <c r="JBG108" s="1" t="s">
        <v>122</v>
      </c>
      <c r="JBH108" s="1" t="s">
        <v>122</v>
      </c>
      <c r="JBI108" s="1" t="s">
        <v>122</v>
      </c>
      <c r="JBJ108" s="1" t="s">
        <v>122</v>
      </c>
      <c r="JBK108" s="1" t="s">
        <v>122</v>
      </c>
      <c r="JBL108" s="1" t="s">
        <v>122</v>
      </c>
      <c r="JBM108" s="1" t="s">
        <v>122</v>
      </c>
      <c r="JBN108" s="1" t="s">
        <v>122</v>
      </c>
      <c r="JBO108" s="1" t="s">
        <v>122</v>
      </c>
      <c r="JBP108" s="1" t="s">
        <v>122</v>
      </c>
      <c r="JBQ108" s="1" t="s">
        <v>122</v>
      </c>
      <c r="JBR108" s="1" t="s">
        <v>122</v>
      </c>
      <c r="JBS108" s="1" t="s">
        <v>122</v>
      </c>
      <c r="JBT108" s="1" t="s">
        <v>122</v>
      </c>
      <c r="JBU108" s="1" t="s">
        <v>122</v>
      </c>
      <c r="JBV108" s="1" t="s">
        <v>122</v>
      </c>
      <c r="JBW108" s="1" t="s">
        <v>122</v>
      </c>
      <c r="JBX108" s="1" t="s">
        <v>122</v>
      </c>
      <c r="JBY108" s="1" t="s">
        <v>122</v>
      </c>
      <c r="JBZ108" s="1" t="s">
        <v>122</v>
      </c>
      <c r="JCA108" s="1" t="s">
        <v>122</v>
      </c>
      <c r="JCB108" s="1" t="s">
        <v>122</v>
      </c>
      <c r="JCC108" s="1" t="s">
        <v>122</v>
      </c>
      <c r="JCD108" s="1" t="s">
        <v>122</v>
      </c>
      <c r="JCE108" s="1" t="s">
        <v>122</v>
      </c>
      <c r="JCF108" s="1" t="s">
        <v>122</v>
      </c>
      <c r="JCG108" s="1" t="s">
        <v>122</v>
      </c>
      <c r="JCH108" s="1" t="s">
        <v>122</v>
      </c>
      <c r="JCI108" s="1" t="s">
        <v>122</v>
      </c>
      <c r="JCJ108" s="1" t="s">
        <v>122</v>
      </c>
      <c r="JCK108" s="1" t="s">
        <v>122</v>
      </c>
      <c r="JCL108" s="1" t="s">
        <v>122</v>
      </c>
      <c r="JCM108" s="1" t="s">
        <v>122</v>
      </c>
      <c r="JCN108" s="1" t="s">
        <v>122</v>
      </c>
      <c r="JCO108" s="1" t="s">
        <v>122</v>
      </c>
      <c r="JCP108" s="1" t="s">
        <v>122</v>
      </c>
      <c r="JCQ108" s="1" t="s">
        <v>122</v>
      </c>
      <c r="JCR108" s="1" t="s">
        <v>122</v>
      </c>
      <c r="JCS108" s="1" t="s">
        <v>122</v>
      </c>
      <c r="JCT108" s="1" t="s">
        <v>122</v>
      </c>
      <c r="JCU108" s="1" t="s">
        <v>122</v>
      </c>
      <c r="JCV108" s="1" t="s">
        <v>122</v>
      </c>
      <c r="JCW108" s="1" t="s">
        <v>122</v>
      </c>
      <c r="JCX108" s="1" t="s">
        <v>122</v>
      </c>
      <c r="JCY108" s="1" t="s">
        <v>122</v>
      </c>
      <c r="JCZ108" s="1" t="s">
        <v>122</v>
      </c>
      <c r="JDA108" s="1" t="s">
        <v>122</v>
      </c>
      <c r="JDB108" s="1" t="s">
        <v>122</v>
      </c>
      <c r="JDC108" s="1" t="s">
        <v>122</v>
      </c>
      <c r="JDD108" s="1" t="s">
        <v>122</v>
      </c>
      <c r="JDE108" s="1" t="s">
        <v>122</v>
      </c>
      <c r="JDF108" s="1" t="s">
        <v>122</v>
      </c>
      <c r="JDG108" s="1" t="s">
        <v>122</v>
      </c>
      <c r="JDH108" s="1" t="s">
        <v>122</v>
      </c>
      <c r="JDI108" s="1" t="s">
        <v>122</v>
      </c>
      <c r="JDJ108" s="1" t="s">
        <v>122</v>
      </c>
      <c r="JDK108" s="1" t="s">
        <v>122</v>
      </c>
      <c r="JDL108" s="1" t="s">
        <v>122</v>
      </c>
      <c r="JDM108" s="1" t="s">
        <v>122</v>
      </c>
      <c r="JDN108" s="1" t="s">
        <v>122</v>
      </c>
      <c r="JDO108" s="1" t="s">
        <v>122</v>
      </c>
      <c r="JDP108" s="1" t="s">
        <v>122</v>
      </c>
      <c r="JDQ108" s="1" t="s">
        <v>122</v>
      </c>
      <c r="JDR108" s="1" t="s">
        <v>122</v>
      </c>
      <c r="JDS108" s="1" t="s">
        <v>122</v>
      </c>
      <c r="JDT108" s="1" t="s">
        <v>122</v>
      </c>
      <c r="JDU108" s="1" t="s">
        <v>122</v>
      </c>
      <c r="JDV108" s="1" t="s">
        <v>122</v>
      </c>
      <c r="JDW108" s="1" t="s">
        <v>122</v>
      </c>
      <c r="JDX108" s="1" t="s">
        <v>122</v>
      </c>
      <c r="JDY108" s="1" t="s">
        <v>122</v>
      </c>
      <c r="JDZ108" s="1" t="s">
        <v>122</v>
      </c>
      <c r="JEA108" s="1" t="s">
        <v>122</v>
      </c>
      <c r="JEB108" s="1" t="s">
        <v>122</v>
      </c>
      <c r="JEC108" s="1" t="s">
        <v>122</v>
      </c>
      <c r="JED108" s="1" t="s">
        <v>122</v>
      </c>
      <c r="JEE108" s="1" t="s">
        <v>122</v>
      </c>
      <c r="JEF108" s="1" t="s">
        <v>122</v>
      </c>
      <c r="JEG108" s="1" t="s">
        <v>122</v>
      </c>
      <c r="JEH108" s="1" t="s">
        <v>122</v>
      </c>
      <c r="JEI108" s="1" t="s">
        <v>122</v>
      </c>
      <c r="JEJ108" s="1" t="s">
        <v>122</v>
      </c>
      <c r="JEK108" s="1" t="s">
        <v>122</v>
      </c>
      <c r="JEL108" s="1" t="s">
        <v>122</v>
      </c>
      <c r="JEM108" s="1" t="s">
        <v>122</v>
      </c>
      <c r="JEN108" s="1" t="s">
        <v>122</v>
      </c>
      <c r="JEO108" s="1" t="s">
        <v>122</v>
      </c>
      <c r="JEP108" s="1" t="s">
        <v>122</v>
      </c>
      <c r="JEQ108" s="1" t="s">
        <v>122</v>
      </c>
      <c r="JER108" s="1" t="s">
        <v>122</v>
      </c>
      <c r="JES108" s="1" t="s">
        <v>122</v>
      </c>
      <c r="JET108" s="1" t="s">
        <v>122</v>
      </c>
      <c r="JEU108" s="1" t="s">
        <v>122</v>
      </c>
      <c r="JEV108" s="1" t="s">
        <v>122</v>
      </c>
      <c r="JEW108" s="1" t="s">
        <v>122</v>
      </c>
      <c r="JEX108" s="1" t="s">
        <v>122</v>
      </c>
      <c r="JEY108" s="1" t="s">
        <v>122</v>
      </c>
      <c r="JEZ108" s="1" t="s">
        <v>122</v>
      </c>
      <c r="JFA108" s="1" t="s">
        <v>122</v>
      </c>
      <c r="JFB108" s="1" t="s">
        <v>122</v>
      </c>
      <c r="JFC108" s="1" t="s">
        <v>122</v>
      </c>
      <c r="JFD108" s="1" t="s">
        <v>122</v>
      </c>
      <c r="JFE108" s="1" t="s">
        <v>122</v>
      </c>
      <c r="JFF108" s="1" t="s">
        <v>122</v>
      </c>
      <c r="JFG108" s="1" t="s">
        <v>122</v>
      </c>
      <c r="JFH108" s="1" t="s">
        <v>122</v>
      </c>
      <c r="JFI108" s="1" t="s">
        <v>122</v>
      </c>
      <c r="JFJ108" s="1" t="s">
        <v>122</v>
      </c>
      <c r="JFK108" s="1" t="s">
        <v>122</v>
      </c>
      <c r="JFL108" s="1" t="s">
        <v>122</v>
      </c>
      <c r="JFM108" s="1" t="s">
        <v>122</v>
      </c>
      <c r="JFN108" s="1" t="s">
        <v>122</v>
      </c>
      <c r="JFO108" s="1" t="s">
        <v>122</v>
      </c>
      <c r="JFP108" s="1" t="s">
        <v>122</v>
      </c>
      <c r="JFQ108" s="1" t="s">
        <v>122</v>
      </c>
      <c r="JFR108" s="1" t="s">
        <v>122</v>
      </c>
      <c r="JFS108" s="1" t="s">
        <v>122</v>
      </c>
      <c r="JFT108" s="1" t="s">
        <v>122</v>
      </c>
      <c r="JFU108" s="1" t="s">
        <v>122</v>
      </c>
      <c r="JFV108" s="1" t="s">
        <v>122</v>
      </c>
      <c r="JFW108" s="1" t="s">
        <v>122</v>
      </c>
      <c r="JFX108" s="1" t="s">
        <v>122</v>
      </c>
      <c r="JFY108" s="1" t="s">
        <v>122</v>
      </c>
      <c r="JFZ108" s="1" t="s">
        <v>122</v>
      </c>
      <c r="JGA108" s="1" t="s">
        <v>122</v>
      </c>
      <c r="JGB108" s="1" t="s">
        <v>122</v>
      </c>
      <c r="JGC108" s="1" t="s">
        <v>122</v>
      </c>
      <c r="JGD108" s="1" t="s">
        <v>122</v>
      </c>
      <c r="JGE108" s="1" t="s">
        <v>122</v>
      </c>
      <c r="JGF108" s="1" t="s">
        <v>122</v>
      </c>
      <c r="JGG108" s="1" t="s">
        <v>122</v>
      </c>
      <c r="JGH108" s="1" t="s">
        <v>122</v>
      </c>
      <c r="JGI108" s="1" t="s">
        <v>122</v>
      </c>
      <c r="JGJ108" s="1" t="s">
        <v>122</v>
      </c>
      <c r="JGK108" s="1" t="s">
        <v>122</v>
      </c>
      <c r="JGL108" s="1" t="s">
        <v>122</v>
      </c>
      <c r="JGM108" s="1" t="s">
        <v>122</v>
      </c>
      <c r="JGN108" s="1" t="s">
        <v>122</v>
      </c>
      <c r="JGO108" s="1" t="s">
        <v>122</v>
      </c>
      <c r="JGP108" s="1" t="s">
        <v>122</v>
      </c>
      <c r="JGQ108" s="1" t="s">
        <v>122</v>
      </c>
      <c r="JGR108" s="1" t="s">
        <v>122</v>
      </c>
      <c r="JGS108" s="1" t="s">
        <v>122</v>
      </c>
      <c r="JGT108" s="1" t="s">
        <v>122</v>
      </c>
      <c r="JGU108" s="1" t="s">
        <v>122</v>
      </c>
      <c r="JGV108" s="1" t="s">
        <v>122</v>
      </c>
      <c r="JGW108" s="1" t="s">
        <v>122</v>
      </c>
      <c r="JGX108" s="1" t="s">
        <v>122</v>
      </c>
      <c r="JGY108" s="1" t="s">
        <v>122</v>
      </c>
      <c r="JGZ108" s="1" t="s">
        <v>122</v>
      </c>
      <c r="JHA108" s="1" t="s">
        <v>122</v>
      </c>
      <c r="JHB108" s="1" t="s">
        <v>122</v>
      </c>
      <c r="JHC108" s="1" t="s">
        <v>122</v>
      </c>
      <c r="JHD108" s="1" t="s">
        <v>122</v>
      </c>
      <c r="JHE108" s="1" t="s">
        <v>122</v>
      </c>
      <c r="JHF108" s="1" t="s">
        <v>122</v>
      </c>
      <c r="JHG108" s="1" t="s">
        <v>122</v>
      </c>
      <c r="JHH108" s="1" t="s">
        <v>122</v>
      </c>
      <c r="JHI108" s="1" t="s">
        <v>122</v>
      </c>
      <c r="JHJ108" s="1" t="s">
        <v>122</v>
      </c>
      <c r="JHK108" s="1" t="s">
        <v>122</v>
      </c>
      <c r="JHL108" s="1" t="s">
        <v>122</v>
      </c>
      <c r="JHM108" s="1" t="s">
        <v>122</v>
      </c>
      <c r="JHN108" s="1" t="s">
        <v>122</v>
      </c>
      <c r="JHO108" s="1" t="s">
        <v>122</v>
      </c>
      <c r="JHP108" s="1" t="s">
        <v>122</v>
      </c>
      <c r="JHQ108" s="1" t="s">
        <v>122</v>
      </c>
      <c r="JHR108" s="1" t="s">
        <v>122</v>
      </c>
      <c r="JHS108" s="1" t="s">
        <v>122</v>
      </c>
      <c r="JHT108" s="1" t="s">
        <v>122</v>
      </c>
      <c r="JHU108" s="1" t="s">
        <v>122</v>
      </c>
      <c r="JHV108" s="1" t="s">
        <v>122</v>
      </c>
      <c r="JHW108" s="1" t="s">
        <v>122</v>
      </c>
      <c r="JHX108" s="1" t="s">
        <v>122</v>
      </c>
      <c r="JHY108" s="1" t="s">
        <v>122</v>
      </c>
      <c r="JHZ108" s="1" t="s">
        <v>122</v>
      </c>
      <c r="JIA108" s="1" t="s">
        <v>122</v>
      </c>
      <c r="JIB108" s="1" t="s">
        <v>122</v>
      </c>
      <c r="JIC108" s="1" t="s">
        <v>122</v>
      </c>
      <c r="JID108" s="1" t="s">
        <v>122</v>
      </c>
      <c r="JIE108" s="1" t="s">
        <v>122</v>
      </c>
      <c r="JIF108" s="1" t="s">
        <v>122</v>
      </c>
      <c r="JIG108" s="1" t="s">
        <v>122</v>
      </c>
      <c r="JIH108" s="1" t="s">
        <v>122</v>
      </c>
      <c r="JII108" s="1" t="s">
        <v>122</v>
      </c>
      <c r="JIJ108" s="1" t="s">
        <v>122</v>
      </c>
      <c r="JIK108" s="1" t="s">
        <v>122</v>
      </c>
      <c r="JIL108" s="1" t="s">
        <v>122</v>
      </c>
      <c r="JIM108" s="1" t="s">
        <v>122</v>
      </c>
      <c r="JIN108" s="1" t="s">
        <v>122</v>
      </c>
      <c r="JIO108" s="1" t="s">
        <v>122</v>
      </c>
      <c r="JIP108" s="1" t="s">
        <v>122</v>
      </c>
      <c r="JIQ108" s="1" t="s">
        <v>122</v>
      </c>
      <c r="JIR108" s="1" t="s">
        <v>122</v>
      </c>
      <c r="JIS108" s="1" t="s">
        <v>122</v>
      </c>
      <c r="JIT108" s="1" t="s">
        <v>122</v>
      </c>
      <c r="JIU108" s="1" t="s">
        <v>122</v>
      </c>
      <c r="JIV108" s="1" t="s">
        <v>122</v>
      </c>
      <c r="JIW108" s="1" t="s">
        <v>122</v>
      </c>
      <c r="JIX108" s="1" t="s">
        <v>122</v>
      </c>
      <c r="JIY108" s="1" t="s">
        <v>122</v>
      </c>
      <c r="JIZ108" s="1" t="s">
        <v>122</v>
      </c>
      <c r="JJA108" s="1" t="s">
        <v>122</v>
      </c>
      <c r="JJB108" s="1" t="s">
        <v>122</v>
      </c>
      <c r="JJC108" s="1" t="s">
        <v>122</v>
      </c>
      <c r="JJD108" s="1" t="s">
        <v>122</v>
      </c>
      <c r="JJE108" s="1" t="s">
        <v>122</v>
      </c>
      <c r="JJF108" s="1" t="s">
        <v>122</v>
      </c>
      <c r="JJG108" s="1" t="s">
        <v>122</v>
      </c>
      <c r="JJH108" s="1" t="s">
        <v>122</v>
      </c>
      <c r="JJI108" s="1" t="s">
        <v>122</v>
      </c>
      <c r="JJJ108" s="1" t="s">
        <v>122</v>
      </c>
      <c r="JJK108" s="1" t="s">
        <v>122</v>
      </c>
      <c r="JJL108" s="1" t="s">
        <v>122</v>
      </c>
      <c r="JJM108" s="1" t="s">
        <v>122</v>
      </c>
      <c r="JJN108" s="1" t="s">
        <v>122</v>
      </c>
      <c r="JJO108" s="1" t="s">
        <v>122</v>
      </c>
      <c r="JJP108" s="1" t="s">
        <v>122</v>
      </c>
      <c r="JJQ108" s="1" t="s">
        <v>122</v>
      </c>
      <c r="JJR108" s="1" t="s">
        <v>122</v>
      </c>
      <c r="JJS108" s="1" t="s">
        <v>122</v>
      </c>
      <c r="JJT108" s="1" t="s">
        <v>122</v>
      </c>
      <c r="JJU108" s="1" t="s">
        <v>122</v>
      </c>
      <c r="JJV108" s="1" t="s">
        <v>122</v>
      </c>
      <c r="JJW108" s="1" t="s">
        <v>122</v>
      </c>
      <c r="JJX108" s="1" t="s">
        <v>122</v>
      </c>
      <c r="JJY108" s="1" t="s">
        <v>122</v>
      </c>
      <c r="JJZ108" s="1" t="s">
        <v>122</v>
      </c>
      <c r="JKA108" s="1" t="s">
        <v>122</v>
      </c>
      <c r="JKB108" s="1" t="s">
        <v>122</v>
      </c>
      <c r="JKC108" s="1" t="s">
        <v>122</v>
      </c>
      <c r="JKD108" s="1" t="s">
        <v>122</v>
      </c>
      <c r="JKE108" s="1" t="s">
        <v>122</v>
      </c>
      <c r="JKF108" s="1" t="s">
        <v>122</v>
      </c>
      <c r="JKG108" s="1" t="s">
        <v>122</v>
      </c>
      <c r="JKH108" s="1" t="s">
        <v>122</v>
      </c>
      <c r="JKI108" s="1" t="s">
        <v>122</v>
      </c>
      <c r="JKJ108" s="1" t="s">
        <v>122</v>
      </c>
      <c r="JKK108" s="1" t="s">
        <v>122</v>
      </c>
      <c r="JKL108" s="1" t="s">
        <v>122</v>
      </c>
      <c r="JKM108" s="1" t="s">
        <v>122</v>
      </c>
      <c r="JKN108" s="1" t="s">
        <v>122</v>
      </c>
      <c r="JKO108" s="1" t="s">
        <v>122</v>
      </c>
      <c r="JKP108" s="1" t="s">
        <v>122</v>
      </c>
      <c r="JKQ108" s="1" t="s">
        <v>122</v>
      </c>
      <c r="JKR108" s="1" t="s">
        <v>122</v>
      </c>
      <c r="JKS108" s="1" t="s">
        <v>122</v>
      </c>
      <c r="JKT108" s="1" t="s">
        <v>122</v>
      </c>
      <c r="JKU108" s="1" t="s">
        <v>122</v>
      </c>
      <c r="JKV108" s="1" t="s">
        <v>122</v>
      </c>
      <c r="JKW108" s="1" t="s">
        <v>122</v>
      </c>
      <c r="JKX108" s="1" t="s">
        <v>122</v>
      </c>
      <c r="JKY108" s="1" t="s">
        <v>122</v>
      </c>
      <c r="JKZ108" s="1" t="s">
        <v>122</v>
      </c>
      <c r="JLA108" s="1" t="s">
        <v>122</v>
      </c>
      <c r="JLB108" s="1" t="s">
        <v>122</v>
      </c>
      <c r="JLC108" s="1" t="s">
        <v>122</v>
      </c>
      <c r="JLD108" s="1" t="s">
        <v>122</v>
      </c>
      <c r="JLE108" s="1" t="s">
        <v>122</v>
      </c>
      <c r="JLF108" s="1" t="s">
        <v>122</v>
      </c>
      <c r="JLG108" s="1" t="s">
        <v>122</v>
      </c>
      <c r="JLH108" s="1" t="s">
        <v>122</v>
      </c>
      <c r="JLI108" s="1" t="s">
        <v>122</v>
      </c>
      <c r="JLJ108" s="1" t="s">
        <v>122</v>
      </c>
      <c r="JLK108" s="1" t="s">
        <v>122</v>
      </c>
      <c r="JLL108" s="1" t="s">
        <v>122</v>
      </c>
      <c r="JLM108" s="1" t="s">
        <v>122</v>
      </c>
      <c r="JLN108" s="1" t="s">
        <v>122</v>
      </c>
      <c r="JLO108" s="1" t="s">
        <v>122</v>
      </c>
      <c r="JLP108" s="1" t="s">
        <v>122</v>
      </c>
      <c r="JLQ108" s="1" t="s">
        <v>122</v>
      </c>
      <c r="JLR108" s="1" t="s">
        <v>122</v>
      </c>
      <c r="JLS108" s="1" t="s">
        <v>122</v>
      </c>
      <c r="JLT108" s="1" t="s">
        <v>122</v>
      </c>
      <c r="JLU108" s="1" t="s">
        <v>122</v>
      </c>
      <c r="JLV108" s="1" t="s">
        <v>122</v>
      </c>
      <c r="JLW108" s="1" t="s">
        <v>122</v>
      </c>
      <c r="JLX108" s="1" t="s">
        <v>122</v>
      </c>
      <c r="JLY108" s="1" t="s">
        <v>122</v>
      </c>
      <c r="JLZ108" s="1" t="s">
        <v>122</v>
      </c>
      <c r="JMA108" s="1" t="s">
        <v>122</v>
      </c>
      <c r="JMB108" s="1" t="s">
        <v>122</v>
      </c>
      <c r="JMC108" s="1" t="s">
        <v>122</v>
      </c>
      <c r="JMD108" s="1" t="s">
        <v>122</v>
      </c>
      <c r="JME108" s="1" t="s">
        <v>122</v>
      </c>
      <c r="JMF108" s="1" t="s">
        <v>122</v>
      </c>
      <c r="JMG108" s="1" t="s">
        <v>122</v>
      </c>
      <c r="JMH108" s="1" t="s">
        <v>122</v>
      </c>
      <c r="JMI108" s="1" t="s">
        <v>122</v>
      </c>
      <c r="JMJ108" s="1" t="s">
        <v>122</v>
      </c>
      <c r="JMK108" s="1" t="s">
        <v>122</v>
      </c>
      <c r="JML108" s="1" t="s">
        <v>122</v>
      </c>
      <c r="JMM108" s="1" t="s">
        <v>122</v>
      </c>
      <c r="JMN108" s="1" t="s">
        <v>122</v>
      </c>
      <c r="JMO108" s="1" t="s">
        <v>122</v>
      </c>
      <c r="JMP108" s="1" t="s">
        <v>122</v>
      </c>
      <c r="JMQ108" s="1" t="s">
        <v>122</v>
      </c>
      <c r="JMR108" s="1" t="s">
        <v>122</v>
      </c>
      <c r="JMS108" s="1" t="s">
        <v>122</v>
      </c>
      <c r="JMT108" s="1" t="s">
        <v>122</v>
      </c>
      <c r="JMU108" s="1" t="s">
        <v>122</v>
      </c>
      <c r="JMV108" s="1" t="s">
        <v>122</v>
      </c>
      <c r="JMW108" s="1" t="s">
        <v>122</v>
      </c>
      <c r="JMX108" s="1" t="s">
        <v>122</v>
      </c>
      <c r="JMY108" s="1" t="s">
        <v>122</v>
      </c>
      <c r="JMZ108" s="1" t="s">
        <v>122</v>
      </c>
      <c r="JNA108" s="1" t="s">
        <v>122</v>
      </c>
      <c r="JNB108" s="1" t="s">
        <v>122</v>
      </c>
      <c r="JNC108" s="1" t="s">
        <v>122</v>
      </c>
      <c r="JND108" s="1" t="s">
        <v>122</v>
      </c>
      <c r="JNE108" s="1" t="s">
        <v>122</v>
      </c>
      <c r="JNF108" s="1" t="s">
        <v>122</v>
      </c>
      <c r="JNG108" s="1" t="s">
        <v>122</v>
      </c>
      <c r="JNH108" s="1" t="s">
        <v>122</v>
      </c>
      <c r="JNI108" s="1" t="s">
        <v>122</v>
      </c>
      <c r="JNJ108" s="1" t="s">
        <v>122</v>
      </c>
      <c r="JNK108" s="1" t="s">
        <v>122</v>
      </c>
      <c r="JNL108" s="1" t="s">
        <v>122</v>
      </c>
      <c r="JNM108" s="1" t="s">
        <v>122</v>
      </c>
      <c r="JNN108" s="1" t="s">
        <v>122</v>
      </c>
      <c r="JNO108" s="1" t="s">
        <v>122</v>
      </c>
      <c r="JNP108" s="1" t="s">
        <v>122</v>
      </c>
      <c r="JNQ108" s="1" t="s">
        <v>122</v>
      </c>
      <c r="JNR108" s="1" t="s">
        <v>122</v>
      </c>
      <c r="JNS108" s="1" t="s">
        <v>122</v>
      </c>
      <c r="JNT108" s="1" t="s">
        <v>122</v>
      </c>
      <c r="JNU108" s="1" t="s">
        <v>122</v>
      </c>
      <c r="JNV108" s="1" t="s">
        <v>122</v>
      </c>
      <c r="JNW108" s="1" t="s">
        <v>122</v>
      </c>
      <c r="JNX108" s="1" t="s">
        <v>122</v>
      </c>
      <c r="JNY108" s="1" t="s">
        <v>122</v>
      </c>
      <c r="JNZ108" s="1" t="s">
        <v>122</v>
      </c>
      <c r="JOA108" s="1" t="s">
        <v>122</v>
      </c>
      <c r="JOB108" s="1" t="s">
        <v>122</v>
      </c>
      <c r="JOC108" s="1" t="s">
        <v>122</v>
      </c>
      <c r="JOD108" s="1" t="s">
        <v>122</v>
      </c>
      <c r="JOE108" s="1" t="s">
        <v>122</v>
      </c>
      <c r="JOF108" s="1" t="s">
        <v>122</v>
      </c>
      <c r="JOG108" s="1" t="s">
        <v>122</v>
      </c>
      <c r="JOH108" s="1" t="s">
        <v>122</v>
      </c>
      <c r="JOI108" s="1" t="s">
        <v>122</v>
      </c>
      <c r="JOJ108" s="1" t="s">
        <v>122</v>
      </c>
      <c r="JOK108" s="1" t="s">
        <v>122</v>
      </c>
      <c r="JOL108" s="1" t="s">
        <v>122</v>
      </c>
      <c r="JOM108" s="1" t="s">
        <v>122</v>
      </c>
      <c r="JON108" s="1" t="s">
        <v>122</v>
      </c>
      <c r="JOO108" s="1" t="s">
        <v>122</v>
      </c>
      <c r="JOP108" s="1" t="s">
        <v>122</v>
      </c>
      <c r="JOQ108" s="1" t="s">
        <v>122</v>
      </c>
      <c r="JOR108" s="1" t="s">
        <v>122</v>
      </c>
      <c r="JOS108" s="1" t="s">
        <v>122</v>
      </c>
      <c r="JOT108" s="1" t="s">
        <v>122</v>
      </c>
      <c r="JOU108" s="1" t="s">
        <v>122</v>
      </c>
      <c r="JOV108" s="1" t="s">
        <v>122</v>
      </c>
      <c r="JOW108" s="1" t="s">
        <v>122</v>
      </c>
      <c r="JOX108" s="1" t="s">
        <v>122</v>
      </c>
      <c r="JOY108" s="1" t="s">
        <v>122</v>
      </c>
      <c r="JOZ108" s="1" t="s">
        <v>122</v>
      </c>
      <c r="JPA108" s="1" t="s">
        <v>122</v>
      </c>
      <c r="JPB108" s="1" t="s">
        <v>122</v>
      </c>
      <c r="JPC108" s="1" t="s">
        <v>122</v>
      </c>
      <c r="JPD108" s="1" t="s">
        <v>122</v>
      </c>
      <c r="JPE108" s="1" t="s">
        <v>122</v>
      </c>
      <c r="JPF108" s="1" t="s">
        <v>122</v>
      </c>
      <c r="JPG108" s="1" t="s">
        <v>122</v>
      </c>
      <c r="JPH108" s="1" t="s">
        <v>122</v>
      </c>
      <c r="JPI108" s="1" t="s">
        <v>122</v>
      </c>
      <c r="JPJ108" s="1" t="s">
        <v>122</v>
      </c>
      <c r="JPK108" s="1" t="s">
        <v>122</v>
      </c>
      <c r="JPL108" s="1" t="s">
        <v>122</v>
      </c>
      <c r="JPM108" s="1" t="s">
        <v>122</v>
      </c>
      <c r="JPN108" s="1" t="s">
        <v>122</v>
      </c>
      <c r="JPO108" s="1" t="s">
        <v>122</v>
      </c>
      <c r="JPP108" s="1" t="s">
        <v>122</v>
      </c>
      <c r="JPQ108" s="1" t="s">
        <v>122</v>
      </c>
      <c r="JPR108" s="1" t="s">
        <v>122</v>
      </c>
      <c r="JPS108" s="1" t="s">
        <v>122</v>
      </c>
      <c r="JPT108" s="1" t="s">
        <v>122</v>
      </c>
      <c r="JPU108" s="1" t="s">
        <v>122</v>
      </c>
      <c r="JPV108" s="1" t="s">
        <v>122</v>
      </c>
      <c r="JPW108" s="1" t="s">
        <v>122</v>
      </c>
      <c r="JPX108" s="1" t="s">
        <v>122</v>
      </c>
      <c r="JPY108" s="1" t="s">
        <v>122</v>
      </c>
      <c r="JPZ108" s="1" t="s">
        <v>122</v>
      </c>
      <c r="JQA108" s="1" t="s">
        <v>122</v>
      </c>
      <c r="JQB108" s="1" t="s">
        <v>122</v>
      </c>
      <c r="JQC108" s="1" t="s">
        <v>122</v>
      </c>
      <c r="JQD108" s="1" t="s">
        <v>122</v>
      </c>
      <c r="JQE108" s="1" t="s">
        <v>122</v>
      </c>
      <c r="JQF108" s="1" t="s">
        <v>122</v>
      </c>
      <c r="JQG108" s="1" t="s">
        <v>122</v>
      </c>
      <c r="JQH108" s="1" t="s">
        <v>122</v>
      </c>
      <c r="JQI108" s="1" t="s">
        <v>122</v>
      </c>
      <c r="JQJ108" s="1" t="s">
        <v>122</v>
      </c>
      <c r="JQK108" s="1" t="s">
        <v>122</v>
      </c>
      <c r="JQL108" s="1" t="s">
        <v>122</v>
      </c>
      <c r="JQM108" s="1" t="s">
        <v>122</v>
      </c>
      <c r="JQN108" s="1" t="s">
        <v>122</v>
      </c>
      <c r="JQO108" s="1" t="s">
        <v>122</v>
      </c>
      <c r="JQP108" s="1" t="s">
        <v>122</v>
      </c>
      <c r="JQQ108" s="1" t="s">
        <v>122</v>
      </c>
      <c r="JQR108" s="1" t="s">
        <v>122</v>
      </c>
      <c r="JQS108" s="1" t="s">
        <v>122</v>
      </c>
      <c r="JQT108" s="1" t="s">
        <v>122</v>
      </c>
      <c r="JQU108" s="1" t="s">
        <v>122</v>
      </c>
      <c r="JQV108" s="1" t="s">
        <v>122</v>
      </c>
      <c r="JQW108" s="1" t="s">
        <v>122</v>
      </c>
      <c r="JQX108" s="1" t="s">
        <v>122</v>
      </c>
      <c r="JQY108" s="1" t="s">
        <v>122</v>
      </c>
      <c r="JQZ108" s="1" t="s">
        <v>122</v>
      </c>
      <c r="JRA108" s="1" t="s">
        <v>122</v>
      </c>
      <c r="JRB108" s="1" t="s">
        <v>122</v>
      </c>
      <c r="JRC108" s="1" t="s">
        <v>122</v>
      </c>
      <c r="JRD108" s="1" t="s">
        <v>122</v>
      </c>
      <c r="JRE108" s="1" t="s">
        <v>122</v>
      </c>
      <c r="JRF108" s="1" t="s">
        <v>122</v>
      </c>
      <c r="JRG108" s="1" t="s">
        <v>122</v>
      </c>
      <c r="JRH108" s="1" t="s">
        <v>122</v>
      </c>
      <c r="JRI108" s="1" t="s">
        <v>122</v>
      </c>
      <c r="JRJ108" s="1" t="s">
        <v>122</v>
      </c>
      <c r="JRK108" s="1" t="s">
        <v>122</v>
      </c>
      <c r="JRL108" s="1" t="s">
        <v>122</v>
      </c>
      <c r="JRM108" s="1" t="s">
        <v>122</v>
      </c>
      <c r="JRN108" s="1" t="s">
        <v>122</v>
      </c>
      <c r="JRO108" s="1" t="s">
        <v>122</v>
      </c>
      <c r="JRP108" s="1" t="s">
        <v>122</v>
      </c>
      <c r="JRQ108" s="1" t="s">
        <v>122</v>
      </c>
      <c r="JRR108" s="1" t="s">
        <v>122</v>
      </c>
      <c r="JRS108" s="1" t="s">
        <v>122</v>
      </c>
      <c r="JRT108" s="1" t="s">
        <v>122</v>
      </c>
      <c r="JRU108" s="1" t="s">
        <v>122</v>
      </c>
      <c r="JRV108" s="1" t="s">
        <v>122</v>
      </c>
      <c r="JRW108" s="1" t="s">
        <v>122</v>
      </c>
      <c r="JRX108" s="1" t="s">
        <v>122</v>
      </c>
      <c r="JRY108" s="1" t="s">
        <v>122</v>
      </c>
      <c r="JRZ108" s="1" t="s">
        <v>122</v>
      </c>
      <c r="JSA108" s="1" t="s">
        <v>122</v>
      </c>
      <c r="JSB108" s="1" t="s">
        <v>122</v>
      </c>
      <c r="JSC108" s="1" t="s">
        <v>122</v>
      </c>
      <c r="JSD108" s="1" t="s">
        <v>122</v>
      </c>
      <c r="JSE108" s="1" t="s">
        <v>122</v>
      </c>
      <c r="JSF108" s="1" t="s">
        <v>122</v>
      </c>
      <c r="JSG108" s="1" t="s">
        <v>122</v>
      </c>
      <c r="JSH108" s="1" t="s">
        <v>122</v>
      </c>
      <c r="JSI108" s="1" t="s">
        <v>122</v>
      </c>
      <c r="JSJ108" s="1" t="s">
        <v>122</v>
      </c>
      <c r="JSK108" s="1" t="s">
        <v>122</v>
      </c>
      <c r="JSL108" s="1" t="s">
        <v>122</v>
      </c>
      <c r="JSM108" s="1" t="s">
        <v>122</v>
      </c>
      <c r="JSN108" s="1" t="s">
        <v>122</v>
      </c>
      <c r="JSO108" s="1" t="s">
        <v>122</v>
      </c>
      <c r="JSP108" s="1" t="s">
        <v>122</v>
      </c>
      <c r="JSQ108" s="1" t="s">
        <v>122</v>
      </c>
      <c r="JSR108" s="1" t="s">
        <v>122</v>
      </c>
      <c r="JSS108" s="1" t="s">
        <v>122</v>
      </c>
      <c r="JST108" s="1" t="s">
        <v>122</v>
      </c>
      <c r="JSU108" s="1" t="s">
        <v>122</v>
      </c>
      <c r="JSV108" s="1" t="s">
        <v>122</v>
      </c>
      <c r="JSW108" s="1" t="s">
        <v>122</v>
      </c>
      <c r="JSX108" s="1" t="s">
        <v>122</v>
      </c>
      <c r="JSY108" s="1" t="s">
        <v>122</v>
      </c>
      <c r="JSZ108" s="1" t="s">
        <v>122</v>
      </c>
      <c r="JTA108" s="1" t="s">
        <v>122</v>
      </c>
      <c r="JTB108" s="1" t="s">
        <v>122</v>
      </c>
      <c r="JTC108" s="1" t="s">
        <v>122</v>
      </c>
      <c r="JTD108" s="1" t="s">
        <v>122</v>
      </c>
      <c r="JTE108" s="1" t="s">
        <v>122</v>
      </c>
      <c r="JTF108" s="1" t="s">
        <v>122</v>
      </c>
      <c r="JTG108" s="1" t="s">
        <v>122</v>
      </c>
      <c r="JTH108" s="1" t="s">
        <v>122</v>
      </c>
      <c r="JTI108" s="1" t="s">
        <v>122</v>
      </c>
      <c r="JTJ108" s="1" t="s">
        <v>122</v>
      </c>
      <c r="JTK108" s="1" t="s">
        <v>122</v>
      </c>
      <c r="JTL108" s="1" t="s">
        <v>122</v>
      </c>
      <c r="JTM108" s="1" t="s">
        <v>122</v>
      </c>
      <c r="JTN108" s="1" t="s">
        <v>122</v>
      </c>
      <c r="JTO108" s="1" t="s">
        <v>122</v>
      </c>
      <c r="JTP108" s="1" t="s">
        <v>122</v>
      </c>
      <c r="JTQ108" s="1" t="s">
        <v>122</v>
      </c>
      <c r="JTR108" s="1" t="s">
        <v>122</v>
      </c>
      <c r="JTS108" s="1" t="s">
        <v>122</v>
      </c>
      <c r="JTT108" s="1" t="s">
        <v>122</v>
      </c>
      <c r="JTU108" s="1" t="s">
        <v>122</v>
      </c>
      <c r="JTV108" s="1" t="s">
        <v>122</v>
      </c>
      <c r="JTW108" s="1" t="s">
        <v>122</v>
      </c>
      <c r="JTX108" s="1" t="s">
        <v>122</v>
      </c>
      <c r="JTY108" s="1" t="s">
        <v>122</v>
      </c>
      <c r="JTZ108" s="1" t="s">
        <v>122</v>
      </c>
      <c r="JUA108" s="1" t="s">
        <v>122</v>
      </c>
      <c r="JUB108" s="1" t="s">
        <v>122</v>
      </c>
      <c r="JUC108" s="1" t="s">
        <v>122</v>
      </c>
      <c r="JUD108" s="1" t="s">
        <v>122</v>
      </c>
      <c r="JUE108" s="1" t="s">
        <v>122</v>
      </c>
      <c r="JUF108" s="1" t="s">
        <v>122</v>
      </c>
      <c r="JUG108" s="1" t="s">
        <v>122</v>
      </c>
      <c r="JUH108" s="1" t="s">
        <v>122</v>
      </c>
      <c r="JUI108" s="1" t="s">
        <v>122</v>
      </c>
      <c r="JUJ108" s="1" t="s">
        <v>122</v>
      </c>
      <c r="JUK108" s="1" t="s">
        <v>122</v>
      </c>
      <c r="JUL108" s="1" t="s">
        <v>122</v>
      </c>
      <c r="JUM108" s="1" t="s">
        <v>122</v>
      </c>
      <c r="JUN108" s="1" t="s">
        <v>122</v>
      </c>
      <c r="JUO108" s="1" t="s">
        <v>122</v>
      </c>
      <c r="JUP108" s="1" t="s">
        <v>122</v>
      </c>
      <c r="JUQ108" s="1" t="s">
        <v>122</v>
      </c>
      <c r="JUR108" s="1" t="s">
        <v>122</v>
      </c>
      <c r="JUS108" s="1" t="s">
        <v>122</v>
      </c>
      <c r="JUT108" s="1" t="s">
        <v>122</v>
      </c>
      <c r="JUU108" s="1" t="s">
        <v>122</v>
      </c>
      <c r="JUV108" s="1" t="s">
        <v>122</v>
      </c>
      <c r="JUW108" s="1" t="s">
        <v>122</v>
      </c>
      <c r="JUX108" s="1" t="s">
        <v>122</v>
      </c>
      <c r="JUY108" s="1" t="s">
        <v>122</v>
      </c>
      <c r="JUZ108" s="1" t="s">
        <v>122</v>
      </c>
      <c r="JVA108" s="1" t="s">
        <v>122</v>
      </c>
      <c r="JVB108" s="1" t="s">
        <v>122</v>
      </c>
      <c r="JVC108" s="1" t="s">
        <v>122</v>
      </c>
      <c r="JVD108" s="1" t="s">
        <v>122</v>
      </c>
      <c r="JVE108" s="1" t="s">
        <v>122</v>
      </c>
      <c r="JVF108" s="1" t="s">
        <v>122</v>
      </c>
      <c r="JVG108" s="1" t="s">
        <v>122</v>
      </c>
      <c r="JVH108" s="1" t="s">
        <v>122</v>
      </c>
      <c r="JVI108" s="1" t="s">
        <v>122</v>
      </c>
      <c r="JVJ108" s="1" t="s">
        <v>122</v>
      </c>
      <c r="JVK108" s="1" t="s">
        <v>122</v>
      </c>
      <c r="JVL108" s="1" t="s">
        <v>122</v>
      </c>
      <c r="JVM108" s="1" t="s">
        <v>122</v>
      </c>
      <c r="JVN108" s="1" t="s">
        <v>122</v>
      </c>
      <c r="JVO108" s="1" t="s">
        <v>122</v>
      </c>
      <c r="JVP108" s="1" t="s">
        <v>122</v>
      </c>
      <c r="JVQ108" s="1" t="s">
        <v>122</v>
      </c>
      <c r="JVR108" s="1" t="s">
        <v>122</v>
      </c>
      <c r="JVS108" s="1" t="s">
        <v>122</v>
      </c>
      <c r="JVT108" s="1" t="s">
        <v>122</v>
      </c>
      <c r="JVU108" s="1" t="s">
        <v>122</v>
      </c>
      <c r="JVV108" s="1" t="s">
        <v>122</v>
      </c>
      <c r="JVW108" s="1" t="s">
        <v>122</v>
      </c>
      <c r="JVX108" s="1" t="s">
        <v>122</v>
      </c>
      <c r="JVY108" s="1" t="s">
        <v>122</v>
      </c>
      <c r="JVZ108" s="1" t="s">
        <v>122</v>
      </c>
      <c r="JWA108" s="1" t="s">
        <v>122</v>
      </c>
      <c r="JWB108" s="1" t="s">
        <v>122</v>
      </c>
      <c r="JWC108" s="1" t="s">
        <v>122</v>
      </c>
      <c r="JWD108" s="1" t="s">
        <v>122</v>
      </c>
      <c r="JWE108" s="1" t="s">
        <v>122</v>
      </c>
      <c r="JWF108" s="1" t="s">
        <v>122</v>
      </c>
      <c r="JWG108" s="1" t="s">
        <v>122</v>
      </c>
      <c r="JWH108" s="1" t="s">
        <v>122</v>
      </c>
      <c r="JWI108" s="1" t="s">
        <v>122</v>
      </c>
      <c r="JWJ108" s="1" t="s">
        <v>122</v>
      </c>
      <c r="JWK108" s="1" t="s">
        <v>122</v>
      </c>
      <c r="JWL108" s="1" t="s">
        <v>122</v>
      </c>
      <c r="JWM108" s="1" t="s">
        <v>122</v>
      </c>
      <c r="JWN108" s="1" t="s">
        <v>122</v>
      </c>
      <c r="JWO108" s="1" t="s">
        <v>122</v>
      </c>
      <c r="JWP108" s="1" t="s">
        <v>122</v>
      </c>
      <c r="JWQ108" s="1" t="s">
        <v>122</v>
      </c>
      <c r="JWR108" s="1" t="s">
        <v>122</v>
      </c>
      <c r="JWS108" s="1" t="s">
        <v>122</v>
      </c>
      <c r="JWT108" s="1" t="s">
        <v>122</v>
      </c>
      <c r="JWU108" s="1" t="s">
        <v>122</v>
      </c>
      <c r="JWV108" s="1" t="s">
        <v>122</v>
      </c>
      <c r="JWW108" s="1" t="s">
        <v>122</v>
      </c>
      <c r="JWX108" s="1" t="s">
        <v>122</v>
      </c>
      <c r="JWY108" s="1" t="s">
        <v>122</v>
      </c>
      <c r="JWZ108" s="1" t="s">
        <v>122</v>
      </c>
      <c r="JXA108" s="1" t="s">
        <v>122</v>
      </c>
      <c r="JXB108" s="1" t="s">
        <v>122</v>
      </c>
      <c r="JXC108" s="1" t="s">
        <v>122</v>
      </c>
      <c r="JXD108" s="1" t="s">
        <v>122</v>
      </c>
      <c r="JXE108" s="1" t="s">
        <v>122</v>
      </c>
      <c r="JXF108" s="1" t="s">
        <v>122</v>
      </c>
      <c r="JXG108" s="1" t="s">
        <v>122</v>
      </c>
      <c r="JXH108" s="1" t="s">
        <v>122</v>
      </c>
      <c r="JXI108" s="1" t="s">
        <v>122</v>
      </c>
      <c r="JXJ108" s="1" t="s">
        <v>122</v>
      </c>
      <c r="JXK108" s="1" t="s">
        <v>122</v>
      </c>
      <c r="JXL108" s="1" t="s">
        <v>122</v>
      </c>
      <c r="JXM108" s="1" t="s">
        <v>122</v>
      </c>
      <c r="JXN108" s="1" t="s">
        <v>122</v>
      </c>
      <c r="JXO108" s="1" t="s">
        <v>122</v>
      </c>
      <c r="JXP108" s="1" t="s">
        <v>122</v>
      </c>
      <c r="JXQ108" s="1" t="s">
        <v>122</v>
      </c>
      <c r="JXR108" s="1" t="s">
        <v>122</v>
      </c>
      <c r="JXS108" s="1" t="s">
        <v>122</v>
      </c>
      <c r="JXT108" s="1" t="s">
        <v>122</v>
      </c>
      <c r="JXU108" s="1" t="s">
        <v>122</v>
      </c>
      <c r="JXV108" s="1" t="s">
        <v>122</v>
      </c>
      <c r="JXW108" s="1" t="s">
        <v>122</v>
      </c>
      <c r="JXX108" s="1" t="s">
        <v>122</v>
      </c>
      <c r="JXY108" s="1" t="s">
        <v>122</v>
      </c>
      <c r="JXZ108" s="1" t="s">
        <v>122</v>
      </c>
      <c r="JYA108" s="1" t="s">
        <v>122</v>
      </c>
      <c r="JYB108" s="1" t="s">
        <v>122</v>
      </c>
      <c r="JYC108" s="1" t="s">
        <v>122</v>
      </c>
      <c r="JYD108" s="1" t="s">
        <v>122</v>
      </c>
      <c r="JYE108" s="1" t="s">
        <v>122</v>
      </c>
      <c r="JYF108" s="1" t="s">
        <v>122</v>
      </c>
      <c r="JYG108" s="1" t="s">
        <v>122</v>
      </c>
      <c r="JYH108" s="1" t="s">
        <v>122</v>
      </c>
      <c r="JYI108" s="1" t="s">
        <v>122</v>
      </c>
      <c r="JYJ108" s="1" t="s">
        <v>122</v>
      </c>
      <c r="JYK108" s="1" t="s">
        <v>122</v>
      </c>
      <c r="JYL108" s="1" t="s">
        <v>122</v>
      </c>
      <c r="JYM108" s="1" t="s">
        <v>122</v>
      </c>
      <c r="JYN108" s="1" t="s">
        <v>122</v>
      </c>
      <c r="JYO108" s="1" t="s">
        <v>122</v>
      </c>
      <c r="JYP108" s="1" t="s">
        <v>122</v>
      </c>
      <c r="JYQ108" s="1" t="s">
        <v>122</v>
      </c>
      <c r="JYR108" s="1" t="s">
        <v>122</v>
      </c>
      <c r="JYS108" s="1" t="s">
        <v>122</v>
      </c>
      <c r="JYT108" s="1" t="s">
        <v>122</v>
      </c>
      <c r="JYU108" s="1" t="s">
        <v>122</v>
      </c>
      <c r="JYV108" s="1" t="s">
        <v>122</v>
      </c>
      <c r="JYW108" s="1" t="s">
        <v>122</v>
      </c>
      <c r="JYX108" s="1" t="s">
        <v>122</v>
      </c>
      <c r="JYY108" s="1" t="s">
        <v>122</v>
      </c>
      <c r="JYZ108" s="1" t="s">
        <v>122</v>
      </c>
      <c r="JZA108" s="1" t="s">
        <v>122</v>
      </c>
      <c r="JZB108" s="1" t="s">
        <v>122</v>
      </c>
      <c r="JZC108" s="1" t="s">
        <v>122</v>
      </c>
      <c r="JZD108" s="1" t="s">
        <v>122</v>
      </c>
      <c r="JZE108" s="1" t="s">
        <v>122</v>
      </c>
      <c r="JZF108" s="1" t="s">
        <v>122</v>
      </c>
      <c r="JZG108" s="1" t="s">
        <v>122</v>
      </c>
      <c r="JZH108" s="1" t="s">
        <v>122</v>
      </c>
      <c r="JZI108" s="1" t="s">
        <v>122</v>
      </c>
      <c r="JZJ108" s="1" t="s">
        <v>122</v>
      </c>
      <c r="JZK108" s="1" t="s">
        <v>122</v>
      </c>
      <c r="JZL108" s="1" t="s">
        <v>122</v>
      </c>
      <c r="JZM108" s="1" t="s">
        <v>122</v>
      </c>
      <c r="JZN108" s="1" t="s">
        <v>122</v>
      </c>
      <c r="JZO108" s="1" t="s">
        <v>122</v>
      </c>
      <c r="JZP108" s="1" t="s">
        <v>122</v>
      </c>
      <c r="JZQ108" s="1" t="s">
        <v>122</v>
      </c>
      <c r="JZR108" s="1" t="s">
        <v>122</v>
      </c>
      <c r="JZS108" s="1" t="s">
        <v>122</v>
      </c>
      <c r="JZT108" s="1" t="s">
        <v>122</v>
      </c>
      <c r="JZU108" s="1" t="s">
        <v>122</v>
      </c>
      <c r="JZV108" s="1" t="s">
        <v>122</v>
      </c>
      <c r="JZW108" s="1" t="s">
        <v>122</v>
      </c>
      <c r="JZX108" s="1" t="s">
        <v>122</v>
      </c>
      <c r="JZY108" s="1" t="s">
        <v>122</v>
      </c>
      <c r="JZZ108" s="1" t="s">
        <v>122</v>
      </c>
      <c r="KAA108" s="1" t="s">
        <v>122</v>
      </c>
      <c r="KAB108" s="1" t="s">
        <v>122</v>
      </c>
      <c r="KAC108" s="1" t="s">
        <v>122</v>
      </c>
      <c r="KAD108" s="1" t="s">
        <v>122</v>
      </c>
      <c r="KAE108" s="1" t="s">
        <v>122</v>
      </c>
      <c r="KAF108" s="1" t="s">
        <v>122</v>
      </c>
      <c r="KAG108" s="1" t="s">
        <v>122</v>
      </c>
      <c r="KAH108" s="1" t="s">
        <v>122</v>
      </c>
      <c r="KAI108" s="1" t="s">
        <v>122</v>
      </c>
      <c r="KAJ108" s="1" t="s">
        <v>122</v>
      </c>
      <c r="KAK108" s="1" t="s">
        <v>122</v>
      </c>
      <c r="KAL108" s="1" t="s">
        <v>122</v>
      </c>
      <c r="KAM108" s="1" t="s">
        <v>122</v>
      </c>
      <c r="KAN108" s="1" t="s">
        <v>122</v>
      </c>
      <c r="KAO108" s="1" t="s">
        <v>122</v>
      </c>
      <c r="KAP108" s="1" t="s">
        <v>122</v>
      </c>
      <c r="KAQ108" s="1" t="s">
        <v>122</v>
      </c>
      <c r="KAR108" s="1" t="s">
        <v>122</v>
      </c>
      <c r="KAS108" s="1" t="s">
        <v>122</v>
      </c>
      <c r="KAT108" s="1" t="s">
        <v>122</v>
      </c>
      <c r="KAU108" s="1" t="s">
        <v>122</v>
      </c>
      <c r="KAV108" s="1" t="s">
        <v>122</v>
      </c>
      <c r="KAW108" s="1" t="s">
        <v>122</v>
      </c>
      <c r="KAX108" s="1" t="s">
        <v>122</v>
      </c>
      <c r="KAY108" s="1" t="s">
        <v>122</v>
      </c>
      <c r="KAZ108" s="1" t="s">
        <v>122</v>
      </c>
      <c r="KBA108" s="1" t="s">
        <v>122</v>
      </c>
      <c r="KBB108" s="1" t="s">
        <v>122</v>
      </c>
      <c r="KBC108" s="1" t="s">
        <v>122</v>
      </c>
      <c r="KBD108" s="1" t="s">
        <v>122</v>
      </c>
      <c r="KBE108" s="1" t="s">
        <v>122</v>
      </c>
      <c r="KBF108" s="1" t="s">
        <v>122</v>
      </c>
      <c r="KBG108" s="1" t="s">
        <v>122</v>
      </c>
      <c r="KBH108" s="1" t="s">
        <v>122</v>
      </c>
      <c r="KBI108" s="1" t="s">
        <v>122</v>
      </c>
      <c r="KBJ108" s="1" t="s">
        <v>122</v>
      </c>
      <c r="KBK108" s="1" t="s">
        <v>122</v>
      </c>
      <c r="KBL108" s="1" t="s">
        <v>122</v>
      </c>
      <c r="KBM108" s="1" t="s">
        <v>122</v>
      </c>
      <c r="KBN108" s="1" t="s">
        <v>122</v>
      </c>
      <c r="KBO108" s="1" t="s">
        <v>122</v>
      </c>
      <c r="KBP108" s="1" t="s">
        <v>122</v>
      </c>
      <c r="KBQ108" s="1" t="s">
        <v>122</v>
      </c>
      <c r="KBR108" s="1" t="s">
        <v>122</v>
      </c>
      <c r="KBS108" s="1" t="s">
        <v>122</v>
      </c>
      <c r="KBT108" s="1" t="s">
        <v>122</v>
      </c>
      <c r="KBU108" s="1" t="s">
        <v>122</v>
      </c>
      <c r="KBV108" s="1" t="s">
        <v>122</v>
      </c>
      <c r="KBW108" s="1" t="s">
        <v>122</v>
      </c>
      <c r="KBX108" s="1" t="s">
        <v>122</v>
      </c>
      <c r="KBY108" s="1" t="s">
        <v>122</v>
      </c>
      <c r="KBZ108" s="1" t="s">
        <v>122</v>
      </c>
      <c r="KCA108" s="1" t="s">
        <v>122</v>
      </c>
      <c r="KCB108" s="1" t="s">
        <v>122</v>
      </c>
      <c r="KCC108" s="1" t="s">
        <v>122</v>
      </c>
      <c r="KCD108" s="1" t="s">
        <v>122</v>
      </c>
      <c r="KCE108" s="1" t="s">
        <v>122</v>
      </c>
      <c r="KCF108" s="1" t="s">
        <v>122</v>
      </c>
      <c r="KCG108" s="1" t="s">
        <v>122</v>
      </c>
      <c r="KCH108" s="1" t="s">
        <v>122</v>
      </c>
      <c r="KCI108" s="1" t="s">
        <v>122</v>
      </c>
      <c r="KCJ108" s="1" t="s">
        <v>122</v>
      </c>
      <c r="KCK108" s="1" t="s">
        <v>122</v>
      </c>
      <c r="KCL108" s="1" t="s">
        <v>122</v>
      </c>
      <c r="KCM108" s="1" t="s">
        <v>122</v>
      </c>
      <c r="KCN108" s="1" t="s">
        <v>122</v>
      </c>
      <c r="KCO108" s="1" t="s">
        <v>122</v>
      </c>
      <c r="KCP108" s="1" t="s">
        <v>122</v>
      </c>
      <c r="KCQ108" s="1" t="s">
        <v>122</v>
      </c>
      <c r="KCR108" s="1" t="s">
        <v>122</v>
      </c>
      <c r="KCS108" s="1" t="s">
        <v>122</v>
      </c>
      <c r="KCT108" s="1" t="s">
        <v>122</v>
      </c>
      <c r="KCU108" s="1" t="s">
        <v>122</v>
      </c>
      <c r="KCV108" s="1" t="s">
        <v>122</v>
      </c>
      <c r="KCW108" s="1" t="s">
        <v>122</v>
      </c>
      <c r="KCX108" s="1" t="s">
        <v>122</v>
      </c>
      <c r="KCY108" s="1" t="s">
        <v>122</v>
      </c>
      <c r="KCZ108" s="1" t="s">
        <v>122</v>
      </c>
      <c r="KDA108" s="1" t="s">
        <v>122</v>
      </c>
      <c r="KDB108" s="1" t="s">
        <v>122</v>
      </c>
      <c r="KDC108" s="1" t="s">
        <v>122</v>
      </c>
      <c r="KDD108" s="1" t="s">
        <v>122</v>
      </c>
      <c r="KDE108" s="1" t="s">
        <v>122</v>
      </c>
      <c r="KDF108" s="1" t="s">
        <v>122</v>
      </c>
      <c r="KDG108" s="1" t="s">
        <v>122</v>
      </c>
      <c r="KDH108" s="1" t="s">
        <v>122</v>
      </c>
      <c r="KDI108" s="1" t="s">
        <v>122</v>
      </c>
      <c r="KDJ108" s="1" t="s">
        <v>122</v>
      </c>
      <c r="KDK108" s="1" t="s">
        <v>122</v>
      </c>
      <c r="KDL108" s="1" t="s">
        <v>122</v>
      </c>
      <c r="KDM108" s="1" t="s">
        <v>122</v>
      </c>
      <c r="KDN108" s="1" t="s">
        <v>122</v>
      </c>
      <c r="KDO108" s="1" t="s">
        <v>122</v>
      </c>
      <c r="KDP108" s="1" t="s">
        <v>122</v>
      </c>
      <c r="KDQ108" s="1" t="s">
        <v>122</v>
      </c>
      <c r="KDR108" s="1" t="s">
        <v>122</v>
      </c>
      <c r="KDS108" s="1" t="s">
        <v>122</v>
      </c>
      <c r="KDT108" s="1" t="s">
        <v>122</v>
      </c>
      <c r="KDU108" s="1" t="s">
        <v>122</v>
      </c>
      <c r="KDV108" s="1" t="s">
        <v>122</v>
      </c>
      <c r="KDW108" s="1" t="s">
        <v>122</v>
      </c>
      <c r="KDX108" s="1" t="s">
        <v>122</v>
      </c>
      <c r="KDY108" s="1" t="s">
        <v>122</v>
      </c>
      <c r="KDZ108" s="1" t="s">
        <v>122</v>
      </c>
      <c r="KEA108" s="1" t="s">
        <v>122</v>
      </c>
      <c r="KEB108" s="1" t="s">
        <v>122</v>
      </c>
      <c r="KEC108" s="1" t="s">
        <v>122</v>
      </c>
      <c r="KED108" s="1" t="s">
        <v>122</v>
      </c>
      <c r="KEE108" s="1" t="s">
        <v>122</v>
      </c>
      <c r="KEF108" s="1" t="s">
        <v>122</v>
      </c>
      <c r="KEG108" s="1" t="s">
        <v>122</v>
      </c>
      <c r="KEH108" s="1" t="s">
        <v>122</v>
      </c>
      <c r="KEI108" s="1" t="s">
        <v>122</v>
      </c>
      <c r="KEJ108" s="1" t="s">
        <v>122</v>
      </c>
      <c r="KEK108" s="1" t="s">
        <v>122</v>
      </c>
      <c r="KEL108" s="1" t="s">
        <v>122</v>
      </c>
      <c r="KEM108" s="1" t="s">
        <v>122</v>
      </c>
      <c r="KEN108" s="1" t="s">
        <v>122</v>
      </c>
      <c r="KEO108" s="1" t="s">
        <v>122</v>
      </c>
      <c r="KEP108" s="1" t="s">
        <v>122</v>
      </c>
      <c r="KEQ108" s="1" t="s">
        <v>122</v>
      </c>
      <c r="KER108" s="1" t="s">
        <v>122</v>
      </c>
      <c r="KES108" s="1" t="s">
        <v>122</v>
      </c>
      <c r="KET108" s="1" t="s">
        <v>122</v>
      </c>
      <c r="KEU108" s="1" t="s">
        <v>122</v>
      </c>
      <c r="KEV108" s="1" t="s">
        <v>122</v>
      </c>
      <c r="KEW108" s="1" t="s">
        <v>122</v>
      </c>
      <c r="KEX108" s="1" t="s">
        <v>122</v>
      </c>
      <c r="KEY108" s="1" t="s">
        <v>122</v>
      </c>
      <c r="KEZ108" s="1" t="s">
        <v>122</v>
      </c>
      <c r="KFA108" s="1" t="s">
        <v>122</v>
      </c>
      <c r="KFB108" s="1" t="s">
        <v>122</v>
      </c>
      <c r="KFC108" s="1" t="s">
        <v>122</v>
      </c>
      <c r="KFD108" s="1" t="s">
        <v>122</v>
      </c>
      <c r="KFE108" s="1" t="s">
        <v>122</v>
      </c>
      <c r="KFF108" s="1" t="s">
        <v>122</v>
      </c>
      <c r="KFG108" s="1" t="s">
        <v>122</v>
      </c>
      <c r="KFH108" s="1" t="s">
        <v>122</v>
      </c>
      <c r="KFI108" s="1" t="s">
        <v>122</v>
      </c>
      <c r="KFJ108" s="1" t="s">
        <v>122</v>
      </c>
      <c r="KFK108" s="1" t="s">
        <v>122</v>
      </c>
      <c r="KFL108" s="1" t="s">
        <v>122</v>
      </c>
      <c r="KFM108" s="1" t="s">
        <v>122</v>
      </c>
      <c r="KFN108" s="1" t="s">
        <v>122</v>
      </c>
      <c r="KFO108" s="1" t="s">
        <v>122</v>
      </c>
      <c r="KFP108" s="1" t="s">
        <v>122</v>
      </c>
      <c r="KFQ108" s="1" t="s">
        <v>122</v>
      </c>
      <c r="KFR108" s="1" t="s">
        <v>122</v>
      </c>
      <c r="KFS108" s="1" t="s">
        <v>122</v>
      </c>
      <c r="KFT108" s="1" t="s">
        <v>122</v>
      </c>
      <c r="KFU108" s="1" t="s">
        <v>122</v>
      </c>
      <c r="KFV108" s="1" t="s">
        <v>122</v>
      </c>
      <c r="KFW108" s="1" t="s">
        <v>122</v>
      </c>
      <c r="KFX108" s="1" t="s">
        <v>122</v>
      </c>
      <c r="KFY108" s="1" t="s">
        <v>122</v>
      </c>
      <c r="KFZ108" s="1" t="s">
        <v>122</v>
      </c>
      <c r="KGA108" s="1" t="s">
        <v>122</v>
      </c>
      <c r="KGB108" s="1" t="s">
        <v>122</v>
      </c>
      <c r="KGC108" s="1" t="s">
        <v>122</v>
      </c>
      <c r="KGD108" s="1" t="s">
        <v>122</v>
      </c>
      <c r="KGE108" s="1" t="s">
        <v>122</v>
      </c>
      <c r="KGF108" s="1" t="s">
        <v>122</v>
      </c>
      <c r="KGG108" s="1" t="s">
        <v>122</v>
      </c>
      <c r="KGH108" s="1" t="s">
        <v>122</v>
      </c>
      <c r="KGI108" s="1" t="s">
        <v>122</v>
      </c>
      <c r="KGJ108" s="1" t="s">
        <v>122</v>
      </c>
      <c r="KGK108" s="1" t="s">
        <v>122</v>
      </c>
      <c r="KGL108" s="1" t="s">
        <v>122</v>
      </c>
      <c r="KGM108" s="1" t="s">
        <v>122</v>
      </c>
      <c r="KGN108" s="1" t="s">
        <v>122</v>
      </c>
      <c r="KGO108" s="1" t="s">
        <v>122</v>
      </c>
      <c r="KGP108" s="1" t="s">
        <v>122</v>
      </c>
      <c r="KGQ108" s="1" t="s">
        <v>122</v>
      </c>
      <c r="KGR108" s="1" t="s">
        <v>122</v>
      </c>
      <c r="KGS108" s="1" t="s">
        <v>122</v>
      </c>
      <c r="KGT108" s="1" t="s">
        <v>122</v>
      </c>
      <c r="KGU108" s="1" t="s">
        <v>122</v>
      </c>
      <c r="KGV108" s="1" t="s">
        <v>122</v>
      </c>
      <c r="KGW108" s="1" t="s">
        <v>122</v>
      </c>
      <c r="KGX108" s="1" t="s">
        <v>122</v>
      </c>
      <c r="KGY108" s="1" t="s">
        <v>122</v>
      </c>
      <c r="KGZ108" s="1" t="s">
        <v>122</v>
      </c>
      <c r="KHA108" s="1" t="s">
        <v>122</v>
      </c>
      <c r="KHB108" s="1" t="s">
        <v>122</v>
      </c>
      <c r="KHC108" s="1" t="s">
        <v>122</v>
      </c>
      <c r="KHD108" s="1" t="s">
        <v>122</v>
      </c>
      <c r="KHE108" s="1" t="s">
        <v>122</v>
      </c>
      <c r="KHF108" s="1" t="s">
        <v>122</v>
      </c>
      <c r="KHG108" s="1" t="s">
        <v>122</v>
      </c>
      <c r="KHH108" s="1" t="s">
        <v>122</v>
      </c>
      <c r="KHI108" s="1" t="s">
        <v>122</v>
      </c>
      <c r="KHJ108" s="1" t="s">
        <v>122</v>
      </c>
      <c r="KHK108" s="1" t="s">
        <v>122</v>
      </c>
      <c r="KHL108" s="1" t="s">
        <v>122</v>
      </c>
      <c r="KHM108" s="1" t="s">
        <v>122</v>
      </c>
      <c r="KHN108" s="1" t="s">
        <v>122</v>
      </c>
      <c r="KHO108" s="1" t="s">
        <v>122</v>
      </c>
      <c r="KHP108" s="1" t="s">
        <v>122</v>
      </c>
      <c r="KHQ108" s="1" t="s">
        <v>122</v>
      </c>
      <c r="KHR108" s="1" t="s">
        <v>122</v>
      </c>
      <c r="KHS108" s="1" t="s">
        <v>122</v>
      </c>
      <c r="KHT108" s="1" t="s">
        <v>122</v>
      </c>
      <c r="KHU108" s="1" t="s">
        <v>122</v>
      </c>
      <c r="KHV108" s="1" t="s">
        <v>122</v>
      </c>
      <c r="KHW108" s="1" t="s">
        <v>122</v>
      </c>
      <c r="KHX108" s="1" t="s">
        <v>122</v>
      </c>
      <c r="KHY108" s="1" t="s">
        <v>122</v>
      </c>
      <c r="KHZ108" s="1" t="s">
        <v>122</v>
      </c>
      <c r="KIA108" s="1" t="s">
        <v>122</v>
      </c>
      <c r="KIB108" s="1" t="s">
        <v>122</v>
      </c>
      <c r="KIC108" s="1" t="s">
        <v>122</v>
      </c>
      <c r="KID108" s="1" t="s">
        <v>122</v>
      </c>
      <c r="KIE108" s="1" t="s">
        <v>122</v>
      </c>
      <c r="KIF108" s="1" t="s">
        <v>122</v>
      </c>
      <c r="KIG108" s="1" t="s">
        <v>122</v>
      </c>
      <c r="KIH108" s="1" t="s">
        <v>122</v>
      </c>
      <c r="KII108" s="1" t="s">
        <v>122</v>
      </c>
      <c r="KIJ108" s="1" t="s">
        <v>122</v>
      </c>
      <c r="KIK108" s="1" t="s">
        <v>122</v>
      </c>
      <c r="KIL108" s="1" t="s">
        <v>122</v>
      </c>
      <c r="KIM108" s="1" t="s">
        <v>122</v>
      </c>
      <c r="KIN108" s="1" t="s">
        <v>122</v>
      </c>
      <c r="KIO108" s="1" t="s">
        <v>122</v>
      </c>
      <c r="KIP108" s="1" t="s">
        <v>122</v>
      </c>
      <c r="KIQ108" s="1" t="s">
        <v>122</v>
      </c>
      <c r="KIR108" s="1" t="s">
        <v>122</v>
      </c>
      <c r="KIS108" s="1" t="s">
        <v>122</v>
      </c>
      <c r="KIT108" s="1" t="s">
        <v>122</v>
      </c>
      <c r="KIU108" s="1" t="s">
        <v>122</v>
      </c>
      <c r="KIV108" s="1" t="s">
        <v>122</v>
      </c>
      <c r="KIW108" s="1" t="s">
        <v>122</v>
      </c>
      <c r="KIX108" s="1" t="s">
        <v>122</v>
      </c>
      <c r="KIY108" s="1" t="s">
        <v>122</v>
      </c>
      <c r="KIZ108" s="1" t="s">
        <v>122</v>
      </c>
      <c r="KJA108" s="1" t="s">
        <v>122</v>
      </c>
      <c r="KJB108" s="1" t="s">
        <v>122</v>
      </c>
      <c r="KJC108" s="1" t="s">
        <v>122</v>
      </c>
      <c r="KJD108" s="1" t="s">
        <v>122</v>
      </c>
      <c r="KJE108" s="1" t="s">
        <v>122</v>
      </c>
      <c r="KJF108" s="1" t="s">
        <v>122</v>
      </c>
      <c r="KJG108" s="1" t="s">
        <v>122</v>
      </c>
      <c r="KJH108" s="1" t="s">
        <v>122</v>
      </c>
      <c r="KJI108" s="1" t="s">
        <v>122</v>
      </c>
      <c r="KJJ108" s="1" t="s">
        <v>122</v>
      </c>
      <c r="KJK108" s="1" t="s">
        <v>122</v>
      </c>
      <c r="KJL108" s="1" t="s">
        <v>122</v>
      </c>
      <c r="KJM108" s="1" t="s">
        <v>122</v>
      </c>
      <c r="KJN108" s="1" t="s">
        <v>122</v>
      </c>
      <c r="KJO108" s="1" t="s">
        <v>122</v>
      </c>
      <c r="KJP108" s="1" t="s">
        <v>122</v>
      </c>
      <c r="KJQ108" s="1" t="s">
        <v>122</v>
      </c>
      <c r="KJR108" s="1" t="s">
        <v>122</v>
      </c>
      <c r="KJS108" s="1" t="s">
        <v>122</v>
      </c>
      <c r="KJT108" s="1" t="s">
        <v>122</v>
      </c>
      <c r="KJU108" s="1" t="s">
        <v>122</v>
      </c>
      <c r="KJV108" s="1" t="s">
        <v>122</v>
      </c>
      <c r="KJW108" s="1" t="s">
        <v>122</v>
      </c>
      <c r="KJX108" s="1" t="s">
        <v>122</v>
      </c>
      <c r="KJY108" s="1" t="s">
        <v>122</v>
      </c>
      <c r="KJZ108" s="1" t="s">
        <v>122</v>
      </c>
      <c r="KKA108" s="1" t="s">
        <v>122</v>
      </c>
      <c r="KKB108" s="1" t="s">
        <v>122</v>
      </c>
      <c r="KKC108" s="1" t="s">
        <v>122</v>
      </c>
      <c r="KKD108" s="1" t="s">
        <v>122</v>
      </c>
      <c r="KKE108" s="1" t="s">
        <v>122</v>
      </c>
      <c r="KKF108" s="1" t="s">
        <v>122</v>
      </c>
      <c r="KKG108" s="1" t="s">
        <v>122</v>
      </c>
      <c r="KKH108" s="1" t="s">
        <v>122</v>
      </c>
      <c r="KKI108" s="1" t="s">
        <v>122</v>
      </c>
      <c r="KKJ108" s="1" t="s">
        <v>122</v>
      </c>
      <c r="KKK108" s="1" t="s">
        <v>122</v>
      </c>
      <c r="KKL108" s="1" t="s">
        <v>122</v>
      </c>
      <c r="KKM108" s="1" t="s">
        <v>122</v>
      </c>
      <c r="KKN108" s="1" t="s">
        <v>122</v>
      </c>
      <c r="KKO108" s="1" t="s">
        <v>122</v>
      </c>
      <c r="KKP108" s="1" t="s">
        <v>122</v>
      </c>
      <c r="KKQ108" s="1" t="s">
        <v>122</v>
      </c>
      <c r="KKR108" s="1" t="s">
        <v>122</v>
      </c>
      <c r="KKS108" s="1" t="s">
        <v>122</v>
      </c>
      <c r="KKT108" s="1" t="s">
        <v>122</v>
      </c>
      <c r="KKU108" s="1" t="s">
        <v>122</v>
      </c>
      <c r="KKV108" s="1" t="s">
        <v>122</v>
      </c>
      <c r="KKW108" s="1" t="s">
        <v>122</v>
      </c>
      <c r="KKX108" s="1" t="s">
        <v>122</v>
      </c>
      <c r="KKY108" s="1" t="s">
        <v>122</v>
      </c>
      <c r="KKZ108" s="1" t="s">
        <v>122</v>
      </c>
      <c r="KLA108" s="1" t="s">
        <v>122</v>
      </c>
      <c r="KLB108" s="1" t="s">
        <v>122</v>
      </c>
      <c r="KLC108" s="1" t="s">
        <v>122</v>
      </c>
      <c r="KLD108" s="1" t="s">
        <v>122</v>
      </c>
      <c r="KLE108" s="1" t="s">
        <v>122</v>
      </c>
      <c r="KLF108" s="1" t="s">
        <v>122</v>
      </c>
      <c r="KLG108" s="1" t="s">
        <v>122</v>
      </c>
      <c r="KLH108" s="1" t="s">
        <v>122</v>
      </c>
      <c r="KLI108" s="1" t="s">
        <v>122</v>
      </c>
      <c r="KLJ108" s="1" t="s">
        <v>122</v>
      </c>
      <c r="KLK108" s="1" t="s">
        <v>122</v>
      </c>
      <c r="KLL108" s="1" t="s">
        <v>122</v>
      </c>
      <c r="KLM108" s="1" t="s">
        <v>122</v>
      </c>
      <c r="KLN108" s="1" t="s">
        <v>122</v>
      </c>
      <c r="KLO108" s="1" t="s">
        <v>122</v>
      </c>
      <c r="KLP108" s="1" t="s">
        <v>122</v>
      </c>
      <c r="KLQ108" s="1" t="s">
        <v>122</v>
      </c>
      <c r="KLR108" s="1" t="s">
        <v>122</v>
      </c>
      <c r="KLS108" s="1" t="s">
        <v>122</v>
      </c>
      <c r="KLT108" s="1" t="s">
        <v>122</v>
      </c>
      <c r="KLU108" s="1" t="s">
        <v>122</v>
      </c>
      <c r="KLV108" s="1" t="s">
        <v>122</v>
      </c>
      <c r="KLW108" s="1" t="s">
        <v>122</v>
      </c>
      <c r="KLX108" s="1" t="s">
        <v>122</v>
      </c>
      <c r="KLY108" s="1" t="s">
        <v>122</v>
      </c>
      <c r="KLZ108" s="1" t="s">
        <v>122</v>
      </c>
      <c r="KMA108" s="1" t="s">
        <v>122</v>
      </c>
      <c r="KMB108" s="1" t="s">
        <v>122</v>
      </c>
      <c r="KMC108" s="1" t="s">
        <v>122</v>
      </c>
      <c r="KMD108" s="1" t="s">
        <v>122</v>
      </c>
      <c r="KME108" s="1" t="s">
        <v>122</v>
      </c>
      <c r="KMF108" s="1" t="s">
        <v>122</v>
      </c>
      <c r="KMG108" s="1" t="s">
        <v>122</v>
      </c>
      <c r="KMH108" s="1" t="s">
        <v>122</v>
      </c>
      <c r="KMI108" s="1" t="s">
        <v>122</v>
      </c>
      <c r="KMJ108" s="1" t="s">
        <v>122</v>
      </c>
      <c r="KMK108" s="1" t="s">
        <v>122</v>
      </c>
      <c r="KML108" s="1" t="s">
        <v>122</v>
      </c>
      <c r="KMM108" s="1" t="s">
        <v>122</v>
      </c>
      <c r="KMN108" s="1" t="s">
        <v>122</v>
      </c>
      <c r="KMO108" s="1" t="s">
        <v>122</v>
      </c>
      <c r="KMP108" s="1" t="s">
        <v>122</v>
      </c>
      <c r="KMQ108" s="1" t="s">
        <v>122</v>
      </c>
      <c r="KMR108" s="1" t="s">
        <v>122</v>
      </c>
      <c r="KMS108" s="1" t="s">
        <v>122</v>
      </c>
      <c r="KMT108" s="1" t="s">
        <v>122</v>
      </c>
      <c r="KMU108" s="1" t="s">
        <v>122</v>
      </c>
      <c r="KMV108" s="1" t="s">
        <v>122</v>
      </c>
      <c r="KMW108" s="1" t="s">
        <v>122</v>
      </c>
      <c r="KMX108" s="1" t="s">
        <v>122</v>
      </c>
      <c r="KMY108" s="1" t="s">
        <v>122</v>
      </c>
      <c r="KMZ108" s="1" t="s">
        <v>122</v>
      </c>
      <c r="KNA108" s="1" t="s">
        <v>122</v>
      </c>
      <c r="KNB108" s="1" t="s">
        <v>122</v>
      </c>
      <c r="KNC108" s="1" t="s">
        <v>122</v>
      </c>
      <c r="KND108" s="1" t="s">
        <v>122</v>
      </c>
      <c r="KNE108" s="1" t="s">
        <v>122</v>
      </c>
      <c r="KNF108" s="1" t="s">
        <v>122</v>
      </c>
      <c r="KNG108" s="1" t="s">
        <v>122</v>
      </c>
      <c r="KNH108" s="1" t="s">
        <v>122</v>
      </c>
      <c r="KNI108" s="1" t="s">
        <v>122</v>
      </c>
      <c r="KNJ108" s="1" t="s">
        <v>122</v>
      </c>
      <c r="KNK108" s="1" t="s">
        <v>122</v>
      </c>
      <c r="KNL108" s="1" t="s">
        <v>122</v>
      </c>
      <c r="KNM108" s="1" t="s">
        <v>122</v>
      </c>
      <c r="KNN108" s="1" t="s">
        <v>122</v>
      </c>
      <c r="KNO108" s="1" t="s">
        <v>122</v>
      </c>
      <c r="KNP108" s="1" t="s">
        <v>122</v>
      </c>
      <c r="KNQ108" s="1" t="s">
        <v>122</v>
      </c>
      <c r="KNR108" s="1" t="s">
        <v>122</v>
      </c>
      <c r="KNS108" s="1" t="s">
        <v>122</v>
      </c>
      <c r="KNT108" s="1" t="s">
        <v>122</v>
      </c>
      <c r="KNU108" s="1" t="s">
        <v>122</v>
      </c>
      <c r="KNV108" s="1" t="s">
        <v>122</v>
      </c>
      <c r="KNW108" s="1" t="s">
        <v>122</v>
      </c>
      <c r="KNX108" s="1" t="s">
        <v>122</v>
      </c>
      <c r="KNY108" s="1" t="s">
        <v>122</v>
      </c>
      <c r="KNZ108" s="1" t="s">
        <v>122</v>
      </c>
      <c r="KOA108" s="1" t="s">
        <v>122</v>
      </c>
      <c r="KOB108" s="1" t="s">
        <v>122</v>
      </c>
      <c r="KOC108" s="1" t="s">
        <v>122</v>
      </c>
      <c r="KOD108" s="1" t="s">
        <v>122</v>
      </c>
      <c r="KOE108" s="1" t="s">
        <v>122</v>
      </c>
      <c r="KOF108" s="1" t="s">
        <v>122</v>
      </c>
      <c r="KOG108" s="1" t="s">
        <v>122</v>
      </c>
      <c r="KOH108" s="1" t="s">
        <v>122</v>
      </c>
      <c r="KOI108" s="1" t="s">
        <v>122</v>
      </c>
      <c r="KOJ108" s="1" t="s">
        <v>122</v>
      </c>
      <c r="KOK108" s="1" t="s">
        <v>122</v>
      </c>
      <c r="KOL108" s="1" t="s">
        <v>122</v>
      </c>
      <c r="KOM108" s="1" t="s">
        <v>122</v>
      </c>
      <c r="KON108" s="1" t="s">
        <v>122</v>
      </c>
      <c r="KOO108" s="1" t="s">
        <v>122</v>
      </c>
      <c r="KOP108" s="1" t="s">
        <v>122</v>
      </c>
      <c r="KOQ108" s="1" t="s">
        <v>122</v>
      </c>
      <c r="KOR108" s="1" t="s">
        <v>122</v>
      </c>
      <c r="KOS108" s="1" t="s">
        <v>122</v>
      </c>
      <c r="KOT108" s="1" t="s">
        <v>122</v>
      </c>
      <c r="KOU108" s="1" t="s">
        <v>122</v>
      </c>
      <c r="KOV108" s="1" t="s">
        <v>122</v>
      </c>
      <c r="KOW108" s="1" t="s">
        <v>122</v>
      </c>
      <c r="KOX108" s="1" t="s">
        <v>122</v>
      </c>
      <c r="KOY108" s="1" t="s">
        <v>122</v>
      </c>
      <c r="KOZ108" s="1" t="s">
        <v>122</v>
      </c>
      <c r="KPA108" s="1" t="s">
        <v>122</v>
      </c>
      <c r="KPB108" s="1" t="s">
        <v>122</v>
      </c>
      <c r="KPC108" s="1" t="s">
        <v>122</v>
      </c>
      <c r="KPD108" s="1" t="s">
        <v>122</v>
      </c>
      <c r="KPE108" s="1" t="s">
        <v>122</v>
      </c>
      <c r="KPF108" s="1" t="s">
        <v>122</v>
      </c>
      <c r="KPG108" s="1" t="s">
        <v>122</v>
      </c>
      <c r="KPH108" s="1" t="s">
        <v>122</v>
      </c>
      <c r="KPI108" s="1" t="s">
        <v>122</v>
      </c>
      <c r="KPJ108" s="1" t="s">
        <v>122</v>
      </c>
      <c r="KPK108" s="1" t="s">
        <v>122</v>
      </c>
      <c r="KPL108" s="1" t="s">
        <v>122</v>
      </c>
      <c r="KPM108" s="1" t="s">
        <v>122</v>
      </c>
      <c r="KPN108" s="1" t="s">
        <v>122</v>
      </c>
      <c r="KPO108" s="1" t="s">
        <v>122</v>
      </c>
      <c r="KPP108" s="1" t="s">
        <v>122</v>
      </c>
      <c r="KPQ108" s="1" t="s">
        <v>122</v>
      </c>
      <c r="KPR108" s="1" t="s">
        <v>122</v>
      </c>
      <c r="KPS108" s="1" t="s">
        <v>122</v>
      </c>
      <c r="KPT108" s="1" t="s">
        <v>122</v>
      </c>
      <c r="KPU108" s="1" t="s">
        <v>122</v>
      </c>
      <c r="KPV108" s="1" t="s">
        <v>122</v>
      </c>
      <c r="KPW108" s="1" t="s">
        <v>122</v>
      </c>
      <c r="KPX108" s="1" t="s">
        <v>122</v>
      </c>
      <c r="KPY108" s="1" t="s">
        <v>122</v>
      </c>
      <c r="KPZ108" s="1" t="s">
        <v>122</v>
      </c>
      <c r="KQA108" s="1" t="s">
        <v>122</v>
      </c>
      <c r="KQB108" s="1" t="s">
        <v>122</v>
      </c>
      <c r="KQC108" s="1" t="s">
        <v>122</v>
      </c>
      <c r="KQD108" s="1" t="s">
        <v>122</v>
      </c>
      <c r="KQE108" s="1" t="s">
        <v>122</v>
      </c>
      <c r="KQF108" s="1" t="s">
        <v>122</v>
      </c>
      <c r="KQG108" s="1" t="s">
        <v>122</v>
      </c>
      <c r="KQH108" s="1" t="s">
        <v>122</v>
      </c>
      <c r="KQI108" s="1" t="s">
        <v>122</v>
      </c>
      <c r="KQJ108" s="1" t="s">
        <v>122</v>
      </c>
      <c r="KQK108" s="1" t="s">
        <v>122</v>
      </c>
      <c r="KQL108" s="1" t="s">
        <v>122</v>
      </c>
      <c r="KQM108" s="1" t="s">
        <v>122</v>
      </c>
      <c r="KQN108" s="1" t="s">
        <v>122</v>
      </c>
      <c r="KQO108" s="1" t="s">
        <v>122</v>
      </c>
      <c r="KQP108" s="1" t="s">
        <v>122</v>
      </c>
      <c r="KQQ108" s="1" t="s">
        <v>122</v>
      </c>
      <c r="KQR108" s="1" t="s">
        <v>122</v>
      </c>
      <c r="KQS108" s="1" t="s">
        <v>122</v>
      </c>
      <c r="KQT108" s="1" t="s">
        <v>122</v>
      </c>
      <c r="KQU108" s="1" t="s">
        <v>122</v>
      </c>
      <c r="KQV108" s="1" t="s">
        <v>122</v>
      </c>
      <c r="KQW108" s="1" t="s">
        <v>122</v>
      </c>
      <c r="KQX108" s="1" t="s">
        <v>122</v>
      </c>
      <c r="KQY108" s="1" t="s">
        <v>122</v>
      </c>
      <c r="KQZ108" s="1" t="s">
        <v>122</v>
      </c>
      <c r="KRA108" s="1" t="s">
        <v>122</v>
      </c>
      <c r="KRB108" s="1" t="s">
        <v>122</v>
      </c>
      <c r="KRC108" s="1" t="s">
        <v>122</v>
      </c>
      <c r="KRD108" s="1" t="s">
        <v>122</v>
      </c>
      <c r="KRE108" s="1" t="s">
        <v>122</v>
      </c>
      <c r="KRF108" s="1" t="s">
        <v>122</v>
      </c>
      <c r="KRG108" s="1" t="s">
        <v>122</v>
      </c>
      <c r="KRH108" s="1" t="s">
        <v>122</v>
      </c>
      <c r="KRI108" s="1" t="s">
        <v>122</v>
      </c>
      <c r="KRJ108" s="1" t="s">
        <v>122</v>
      </c>
      <c r="KRK108" s="1" t="s">
        <v>122</v>
      </c>
      <c r="KRL108" s="1" t="s">
        <v>122</v>
      </c>
      <c r="KRM108" s="1" t="s">
        <v>122</v>
      </c>
      <c r="KRN108" s="1" t="s">
        <v>122</v>
      </c>
      <c r="KRO108" s="1" t="s">
        <v>122</v>
      </c>
      <c r="KRP108" s="1" t="s">
        <v>122</v>
      </c>
      <c r="KRQ108" s="1" t="s">
        <v>122</v>
      </c>
      <c r="KRR108" s="1" t="s">
        <v>122</v>
      </c>
      <c r="KRS108" s="1" t="s">
        <v>122</v>
      </c>
      <c r="KRT108" s="1" t="s">
        <v>122</v>
      </c>
      <c r="KRU108" s="1" t="s">
        <v>122</v>
      </c>
      <c r="KRV108" s="1" t="s">
        <v>122</v>
      </c>
      <c r="KRW108" s="1" t="s">
        <v>122</v>
      </c>
      <c r="KRX108" s="1" t="s">
        <v>122</v>
      </c>
      <c r="KRY108" s="1" t="s">
        <v>122</v>
      </c>
      <c r="KRZ108" s="1" t="s">
        <v>122</v>
      </c>
      <c r="KSA108" s="1" t="s">
        <v>122</v>
      </c>
      <c r="KSB108" s="1" t="s">
        <v>122</v>
      </c>
      <c r="KSC108" s="1" t="s">
        <v>122</v>
      </c>
      <c r="KSD108" s="1" t="s">
        <v>122</v>
      </c>
      <c r="KSE108" s="1" t="s">
        <v>122</v>
      </c>
      <c r="KSF108" s="1" t="s">
        <v>122</v>
      </c>
      <c r="KSG108" s="1" t="s">
        <v>122</v>
      </c>
      <c r="KSH108" s="1" t="s">
        <v>122</v>
      </c>
      <c r="KSI108" s="1" t="s">
        <v>122</v>
      </c>
      <c r="KSJ108" s="1" t="s">
        <v>122</v>
      </c>
      <c r="KSK108" s="1" t="s">
        <v>122</v>
      </c>
      <c r="KSL108" s="1" t="s">
        <v>122</v>
      </c>
      <c r="KSM108" s="1" t="s">
        <v>122</v>
      </c>
      <c r="KSN108" s="1" t="s">
        <v>122</v>
      </c>
      <c r="KSO108" s="1" t="s">
        <v>122</v>
      </c>
      <c r="KSP108" s="1" t="s">
        <v>122</v>
      </c>
      <c r="KSQ108" s="1" t="s">
        <v>122</v>
      </c>
      <c r="KSR108" s="1" t="s">
        <v>122</v>
      </c>
      <c r="KSS108" s="1" t="s">
        <v>122</v>
      </c>
      <c r="KST108" s="1" t="s">
        <v>122</v>
      </c>
      <c r="KSU108" s="1" t="s">
        <v>122</v>
      </c>
      <c r="KSV108" s="1" t="s">
        <v>122</v>
      </c>
      <c r="KSW108" s="1" t="s">
        <v>122</v>
      </c>
      <c r="KSX108" s="1" t="s">
        <v>122</v>
      </c>
      <c r="KSY108" s="1" t="s">
        <v>122</v>
      </c>
      <c r="KSZ108" s="1" t="s">
        <v>122</v>
      </c>
      <c r="KTA108" s="1" t="s">
        <v>122</v>
      </c>
      <c r="KTB108" s="1" t="s">
        <v>122</v>
      </c>
      <c r="KTC108" s="1" t="s">
        <v>122</v>
      </c>
      <c r="KTD108" s="1" t="s">
        <v>122</v>
      </c>
      <c r="KTE108" s="1" t="s">
        <v>122</v>
      </c>
      <c r="KTF108" s="1" t="s">
        <v>122</v>
      </c>
      <c r="KTG108" s="1" t="s">
        <v>122</v>
      </c>
      <c r="KTH108" s="1" t="s">
        <v>122</v>
      </c>
      <c r="KTI108" s="1" t="s">
        <v>122</v>
      </c>
      <c r="KTJ108" s="1" t="s">
        <v>122</v>
      </c>
      <c r="KTK108" s="1" t="s">
        <v>122</v>
      </c>
      <c r="KTL108" s="1" t="s">
        <v>122</v>
      </c>
      <c r="KTM108" s="1" t="s">
        <v>122</v>
      </c>
      <c r="KTN108" s="1" t="s">
        <v>122</v>
      </c>
      <c r="KTO108" s="1" t="s">
        <v>122</v>
      </c>
      <c r="KTP108" s="1" t="s">
        <v>122</v>
      </c>
      <c r="KTQ108" s="1" t="s">
        <v>122</v>
      </c>
      <c r="KTR108" s="1" t="s">
        <v>122</v>
      </c>
      <c r="KTS108" s="1" t="s">
        <v>122</v>
      </c>
      <c r="KTT108" s="1" t="s">
        <v>122</v>
      </c>
      <c r="KTU108" s="1" t="s">
        <v>122</v>
      </c>
      <c r="KTV108" s="1" t="s">
        <v>122</v>
      </c>
      <c r="KTW108" s="1" t="s">
        <v>122</v>
      </c>
      <c r="KTX108" s="1" t="s">
        <v>122</v>
      </c>
      <c r="KTY108" s="1" t="s">
        <v>122</v>
      </c>
      <c r="KTZ108" s="1" t="s">
        <v>122</v>
      </c>
      <c r="KUA108" s="1" t="s">
        <v>122</v>
      </c>
      <c r="KUB108" s="1" t="s">
        <v>122</v>
      </c>
      <c r="KUC108" s="1" t="s">
        <v>122</v>
      </c>
      <c r="KUD108" s="1" t="s">
        <v>122</v>
      </c>
      <c r="KUE108" s="1" t="s">
        <v>122</v>
      </c>
      <c r="KUF108" s="1" t="s">
        <v>122</v>
      </c>
      <c r="KUG108" s="1" t="s">
        <v>122</v>
      </c>
      <c r="KUH108" s="1" t="s">
        <v>122</v>
      </c>
      <c r="KUI108" s="1" t="s">
        <v>122</v>
      </c>
      <c r="KUJ108" s="1" t="s">
        <v>122</v>
      </c>
      <c r="KUK108" s="1" t="s">
        <v>122</v>
      </c>
      <c r="KUL108" s="1" t="s">
        <v>122</v>
      </c>
      <c r="KUM108" s="1" t="s">
        <v>122</v>
      </c>
      <c r="KUN108" s="1" t="s">
        <v>122</v>
      </c>
      <c r="KUO108" s="1" t="s">
        <v>122</v>
      </c>
      <c r="KUP108" s="1" t="s">
        <v>122</v>
      </c>
      <c r="KUQ108" s="1" t="s">
        <v>122</v>
      </c>
      <c r="KUR108" s="1" t="s">
        <v>122</v>
      </c>
      <c r="KUS108" s="1" t="s">
        <v>122</v>
      </c>
      <c r="KUT108" s="1" t="s">
        <v>122</v>
      </c>
      <c r="KUU108" s="1" t="s">
        <v>122</v>
      </c>
      <c r="KUV108" s="1" t="s">
        <v>122</v>
      </c>
      <c r="KUW108" s="1" t="s">
        <v>122</v>
      </c>
      <c r="KUX108" s="1" t="s">
        <v>122</v>
      </c>
      <c r="KUY108" s="1" t="s">
        <v>122</v>
      </c>
      <c r="KUZ108" s="1" t="s">
        <v>122</v>
      </c>
      <c r="KVA108" s="1" t="s">
        <v>122</v>
      </c>
      <c r="KVB108" s="1" t="s">
        <v>122</v>
      </c>
      <c r="KVC108" s="1" t="s">
        <v>122</v>
      </c>
      <c r="KVD108" s="1" t="s">
        <v>122</v>
      </c>
      <c r="KVE108" s="1" t="s">
        <v>122</v>
      </c>
      <c r="KVF108" s="1" t="s">
        <v>122</v>
      </c>
      <c r="KVG108" s="1" t="s">
        <v>122</v>
      </c>
      <c r="KVH108" s="1" t="s">
        <v>122</v>
      </c>
      <c r="KVI108" s="1" t="s">
        <v>122</v>
      </c>
      <c r="KVJ108" s="1" t="s">
        <v>122</v>
      </c>
      <c r="KVK108" s="1" t="s">
        <v>122</v>
      </c>
      <c r="KVL108" s="1" t="s">
        <v>122</v>
      </c>
      <c r="KVM108" s="1" t="s">
        <v>122</v>
      </c>
      <c r="KVN108" s="1" t="s">
        <v>122</v>
      </c>
      <c r="KVO108" s="1" t="s">
        <v>122</v>
      </c>
      <c r="KVP108" s="1" t="s">
        <v>122</v>
      </c>
      <c r="KVQ108" s="1" t="s">
        <v>122</v>
      </c>
      <c r="KVR108" s="1" t="s">
        <v>122</v>
      </c>
      <c r="KVS108" s="1" t="s">
        <v>122</v>
      </c>
      <c r="KVT108" s="1" t="s">
        <v>122</v>
      </c>
      <c r="KVU108" s="1" t="s">
        <v>122</v>
      </c>
      <c r="KVV108" s="1" t="s">
        <v>122</v>
      </c>
      <c r="KVW108" s="1" t="s">
        <v>122</v>
      </c>
      <c r="KVX108" s="1" t="s">
        <v>122</v>
      </c>
      <c r="KVY108" s="1" t="s">
        <v>122</v>
      </c>
      <c r="KVZ108" s="1" t="s">
        <v>122</v>
      </c>
      <c r="KWA108" s="1" t="s">
        <v>122</v>
      </c>
      <c r="KWB108" s="1" t="s">
        <v>122</v>
      </c>
      <c r="KWC108" s="1" t="s">
        <v>122</v>
      </c>
      <c r="KWD108" s="1" t="s">
        <v>122</v>
      </c>
      <c r="KWE108" s="1" t="s">
        <v>122</v>
      </c>
      <c r="KWF108" s="1" t="s">
        <v>122</v>
      </c>
      <c r="KWG108" s="1" t="s">
        <v>122</v>
      </c>
      <c r="KWH108" s="1" t="s">
        <v>122</v>
      </c>
      <c r="KWI108" s="1" t="s">
        <v>122</v>
      </c>
      <c r="KWJ108" s="1" t="s">
        <v>122</v>
      </c>
      <c r="KWK108" s="1" t="s">
        <v>122</v>
      </c>
      <c r="KWL108" s="1" t="s">
        <v>122</v>
      </c>
      <c r="KWM108" s="1" t="s">
        <v>122</v>
      </c>
      <c r="KWN108" s="1" t="s">
        <v>122</v>
      </c>
      <c r="KWO108" s="1" t="s">
        <v>122</v>
      </c>
      <c r="KWP108" s="1" t="s">
        <v>122</v>
      </c>
      <c r="KWQ108" s="1" t="s">
        <v>122</v>
      </c>
      <c r="KWR108" s="1" t="s">
        <v>122</v>
      </c>
      <c r="KWS108" s="1" t="s">
        <v>122</v>
      </c>
      <c r="KWT108" s="1" t="s">
        <v>122</v>
      </c>
      <c r="KWU108" s="1" t="s">
        <v>122</v>
      </c>
      <c r="KWV108" s="1" t="s">
        <v>122</v>
      </c>
      <c r="KWW108" s="1" t="s">
        <v>122</v>
      </c>
      <c r="KWX108" s="1" t="s">
        <v>122</v>
      </c>
      <c r="KWY108" s="1" t="s">
        <v>122</v>
      </c>
      <c r="KWZ108" s="1" t="s">
        <v>122</v>
      </c>
      <c r="KXA108" s="1" t="s">
        <v>122</v>
      </c>
      <c r="KXB108" s="1" t="s">
        <v>122</v>
      </c>
      <c r="KXC108" s="1" t="s">
        <v>122</v>
      </c>
      <c r="KXD108" s="1" t="s">
        <v>122</v>
      </c>
      <c r="KXE108" s="1" t="s">
        <v>122</v>
      </c>
      <c r="KXF108" s="1" t="s">
        <v>122</v>
      </c>
      <c r="KXG108" s="1" t="s">
        <v>122</v>
      </c>
      <c r="KXH108" s="1" t="s">
        <v>122</v>
      </c>
      <c r="KXI108" s="1" t="s">
        <v>122</v>
      </c>
      <c r="KXJ108" s="1" t="s">
        <v>122</v>
      </c>
      <c r="KXK108" s="1" t="s">
        <v>122</v>
      </c>
      <c r="KXL108" s="1" t="s">
        <v>122</v>
      </c>
      <c r="KXM108" s="1" t="s">
        <v>122</v>
      </c>
      <c r="KXN108" s="1" t="s">
        <v>122</v>
      </c>
      <c r="KXO108" s="1" t="s">
        <v>122</v>
      </c>
      <c r="KXP108" s="1" t="s">
        <v>122</v>
      </c>
      <c r="KXQ108" s="1" t="s">
        <v>122</v>
      </c>
      <c r="KXR108" s="1" t="s">
        <v>122</v>
      </c>
      <c r="KXS108" s="1" t="s">
        <v>122</v>
      </c>
      <c r="KXT108" s="1" t="s">
        <v>122</v>
      </c>
      <c r="KXU108" s="1" t="s">
        <v>122</v>
      </c>
      <c r="KXV108" s="1" t="s">
        <v>122</v>
      </c>
      <c r="KXW108" s="1" t="s">
        <v>122</v>
      </c>
      <c r="KXX108" s="1" t="s">
        <v>122</v>
      </c>
      <c r="KXY108" s="1" t="s">
        <v>122</v>
      </c>
      <c r="KXZ108" s="1" t="s">
        <v>122</v>
      </c>
      <c r="KYA108" s="1" t="s">
        <v>122</v>
      </c>
      <c r="KYB108" s="1" t="s">
        <v>122</v>
      </c>
      <c r="KYC108" s="1" t="s">
        <v>122</v>
      </c>
      <c r="KYD108" s="1" t="s">
        <v>122</v>
      </c>
      <c r="KYE108" s="1" t="s">
        <v>122</v>
      </c>
      <c r="KYF108" s="1" t="s">
        <v>122</v>
      </c>
      <c r="KYG108" s="1" t="s">
        <v>122</v>
      </c>
      <c r="KYH108" s="1" t="s">
        <v>122</v>
      </c>
      <c r="KYI108" s="1" t="s">
        <v>122</v>
      </c>
      <c r="KYJ108" s="1" t="s">
        <v>122</v>
      </c>
      <c r="KYK108" s="1" t="s">
        <v>122</v>
      </c>
      <c r="KYL108" s="1" t="s">
        <v>122</v>
      </c>
      <c r="KYM108" s="1" t="s">
        <v>122</v>
      </c>
      <c r="KYN108" s="1" t="s">
        <v>122</v>
      </c>
      <c r="KYO108" s="1" t="s">
        <v>122</v>
      </c>
      <c r="KYP108" s="1" t="s">
        <v>122</v>
      </c>
      <c r="KYQ108" s="1" t="s">
        <v>122</v>
      </c>
      <c r="KYR108" s="1" t="s">
        <v>122</v>
      </c>
      <c r="KYS108" s="1" t="s">
        <v>122</v>
      </c>
      <c r="KYT108" s="1" t="s">
        <v>122</v>
      </c>
      <c r="KYU108" s="1" t="s">
        <v>122</v>
      </c>
      <c r="KYV108" s="1" t="s">
        <v>122</v>
      </c>
      <c r="KYW108" s="1" t="s">
        <v>122</v>
      </c>
      <c r="KYX108" s="1" t="s">
        <v>122</v>
      </c>
      <c r="KYY108" s="1" t="s">
        <v>122</v>
      </c>
      <c r="KYZ108" s="1" t="s">
        <v>122</v>
      </c>
      <c r="KZA108" s="1" t="s">
        <v>122</v>
      </c>
      <c r="KZB108" s="1" t="s">
        <v>122</v>
      </c>
      <c r="KZC108" s="1" t="s">
        <v>122</v>
      </c>
      <c r="KZD108" s="1" t="s">
        <v>122</v>
      </c>
      <c r="KZE108" s="1" t="s">
        <v>122</v>
      </c>
      <c r="KZF108" s="1" t="s">
        <v>122</v>
      </c>
      <c r="KZG108" s="1" t="s">
        <v>122</v>
      </c>
      <c r="KZH108" s="1" t="s">
        <v>122</v>
      </c>
      <c r="KZI108" s="1" t="s">
        <v>122</v>
      </c>
      <c r="KZJ108" s="1" t="s">
        <v>122</v>
      </c>
      <c r="KZK108" s="1" t="s">
        <v>122</v>
      </c>
      <c r="KZL108" s="1" t="s">
        <v>122</v>
      </c>
      <c r="KZM108" s="1" t="s">
        <v>122</v>
      </c>
      <c r="KZN108" s="1" t="s">
        <v>122</v>
      </c>
      <c r="KZO108" s="1" t="s">
        <v>122</v>
      </c>
      <c r="KZP108" s="1" t="s">
        <v>122</v>
      </c>
      <c r="KZQ108" s="1" t="s">
        <v>122</v>
      </c>
      <c r="KZR108" s="1" t="s">
        <v>122</v>
      </c>
      <c r="KZS108" s="1" t="s">
        <v>122</v>
      </c>
      <c r="KZT108" s="1" t="s">
        <v>122</v>
      </c>
      <c r="KZU108" s="1" t="s">
        <v>122</v>
      </c>
      <c r="KZV108" s="1" t="s">
        <v>122</v>
      </c>
      <c r="KZW108" s="1" t="s">
        <v>122</v>
      </c>
      <c r="KZX108" s="1" t="s">
        <v>122</v>
      </c>
      <c r="KZY108" s="1" t="s">
        <v>122</v>
      </c>
      <c r="KZZ108" s="1" t="s">
        <v>122</v>
      </c>
      <c r="LAA108" s="1" t="s">
        <v>122</v>
      </c>
      <c r="LAB108" s="1" t="s">
        <v>122</v>
      </c>
      <c r="LAC108" s="1" t="s">
        <v>122</v>
      </c>
      <c r="LAD108" s="1" t="s">
        <v>122</v>
      </c>
      <c r="LAE108" s="1" t="s">
        <v>122</v>
      </c>
      <c r="LAF108" s="1" t="s">
        <v>122</v>
      </c>
      <c r="LAG108" s="1" t="s">
        <v>122</v>
      </c>
      <c r="LAH108" s="1" t="s">
        <v>122</v>
      </c>
      <c r="LAI108" s="1" t="s">
        <v>122</v>
      </c>
      <c r="LAJ108" s="1" t="s">
        <v>122</v>
      </c>
      <c r="LAK108" s="1" t="s">
        <v>122</v>
      </c>
      <c r="LAL108" s="1" t="s">
        <v>122</v>
      </c>
      <c r="LAM108" s="1" t="s">
        <v>122</v>
      </c>
      <c r="LAN108" s="1" t="s">
        <v>122</v>
      </c>
      <c r="LAO108" s="1" t="s">
        <v>122</v>
      </c>
      <c r="LAP108" s="1" t="s">
        <v>122</v>
      </c>
      <c r="LAQ108" s="1" t="s">
        <v>122</v>
      </c>
      <c r="LAR108" s="1" t="s">
        <v>122</v>
      </c>
      <c r="LAS108" s="1" t="s">
        <v>122</v>
      </c>
      <c r="LAT108" s="1" t="s">
        <v>122</v>
      </c>
      <c r="LAU108" s="1" t="s">
        <v>122</v>
      </c>
      <c r="LAV108" s="1" t="s">
        <v>122</v>
      </c>
      <c r="LAW108" s="1" t="s">
        <v>122</v>
      </c>
      <c r="LAX108" s="1" t="s">
        <v>122</v>
      </c>
      <c r="LAY108" s="1" t="s">
        <v>122</v>
      </c>
      <c r="LAZ108" s="1" t="s">
        <v>122</v>
      </c>
      <c r="LBA108" s="1" t="s">
        <v>122</v>
      </c>
      <c r="LBB108" s="1" t="s">
        <v>122</v>
      </c>
      <c r="LBC108" s="1" t="s">
        <v>122</v>
      </c>
      <c r="LBD108" s="1" t="s">
        <v>122</v>
      </c>
      <c r="LBE108" s="1" t="s">
        <v>122</v>
      </c>
      <c r="LBF108" s="1" t="s">
        <v>122</v>
      </c>
      <c r="LBG108" s="1" t="s">
        <v>122</v>
      </c>
      <c r="LBH108" s="1" t="s">
        <v>122</v>
      </c>
      <c r="LBI108" s="1" t="s">
        <v>122</v>
      </c>
      <c r="LBJ108" s="1" t="s">
        <v>122</v>
      </c>
      <c r="LBK108" s="1" t="s">
        <v>122</v>
      </c>
      <c r="LBL108" s="1" t="s">
        <v>122</v>
      </c>
      <c r="LBM108" s="1" t="s">
        <v>122</v>
      </c>
      <c r="LBN108" s="1" t="s">
        <v>122</v>
      </c>
      <c r="LBO108" s="1" t="s">
        <v>122</v>
      </c>
      <c r="LBP108" s="1" t="s">
        <v>122</v>
      </c>
      <c r="LBQ108" s="1" t="s">
        <v>122</v>
      </c>
      <c r="LBR108" s="1" t="s">
        <v>122</v>
      </c>
      <c r="LBS108" s="1" t="s">
        <v>122</v>
      </c>
      <c r="LBT108" s="1" t="s">
        <v>122</v>
      </c>
      <c r="LBU108" s="1" t="s">
        <v>122</v>
      </c>
      <c r="LBV108" s="1" t="s">
        <v>122</v>
      </c>
      <c r="LBW108" s="1" t="s">
        <v>122</v>
      </c>
      <c r="LBX108" s="1" t="s">
        <v>122</v>
      </c>
      <c r="LBY108" s="1" t="s">
        <v>122</v>
      </c>
      <c r="LBZ108" s="1" t="s">
        <v>122</v>
      </c>
      <c r="LCA108" s="1" t="s">
        <v>122</v>
      </c>
      <c r="LCB108" s="1" t="s">
        <v>122</v>
      </c>
      <c r="LCC108" s="1" t="s">
        <v>122</v>
      </c>
      <c r="LCD108" s="1" t="s">
        <v>122</v>
      </c>
      <c r="LCE108" s="1" t="s">
        <v>122</v>
      </c>
      <c r="LCF108" s="1" t="s">
        <v>122</v>
      </c>
      <c r="LCG108" s="1" t="s">
        <v>122</v>
      </c>
      <c r="LCH108" s="1" t="s">
        <v>122</v>
      </c>
      <c r="LCI108" s="1" t="s">
        <v>122</v>
      </c>
      <c r="LCJ108" s="1" t="s">
        <v>122</v>
      </c>
      <c r="LCK108" s="1" t="s">
        <v>122</v>
      </c>
      <c r="LCL108" s="1" t="s">
        <v>122</v>
      </c>
      <c r="LCM108" s="1" t="s">
        <v>122</v>
      </c>
      <c r="LCN108" s="1" t="s">
        <v>122</v>
      </c>
      <c r="LCO108" s="1" t="s">
        <v>122</v>
      </c>
      <c r="LCP108" s="1" t="s">
        <v>122</v>
      </c>
      <c r="LCQ108" s="1" t="s">
        <v>122</v>
      </c>
      <c r="LCR108" s="1" t="s">
        <v>122</v>
      </c>
      <c r="LCS108" s="1" t="s">
        <v>122</v>
      </c>
      <c r="LCT108" s="1" t="s">
        <v>122</v>
      </c>
      <c r="LCU108" s="1" t="s">
        <v>122</v>
      </c>
      <c r="LCV108" s="1" t="s">
        <v>122</v>
      </c>
      <c r="LCW108" s="1" t="s">
        <v>122</v>
      </c>
      <c r="LCX108" s="1" t="s">
        <v>122</v>
      </c>
      <c r="LCY108" s="1" t="s">
        <v>122</v>
      </c>
      <c r="LCZ108" s="1" t="s">
        <v>122</v>
      </c>
      <c r="LDA108" s="1" t="s">
        <v>122</v>
      </c>
      <c r="LDB108" s="1" t="s">
        <v>122</v>
      </c>
      <c r="LDC108" s="1" t="s">
        <v>122</v>
      </c>
      <c r="LDD108" s="1" t="s">
        <v>122</v>
      </c>
      <c r="LDE108" s="1" t="s">
        <v>122</v>
      </c>
      <c r="LDF108" s="1" t="s">
        <v>122</v>
      </c>
      <c r="LDG108" s="1" t="s">
        <v>122</v>
      </c>
      <c r="LDH108" s="1" t="s">
        <v>122</v>
      </c>
      <c r="LDI108" s="1" t="s">
        <v>122</v>
      </c>
      <c r="LDJ108" s="1" t="s">
        <v>122</v>
      </c>
      <c r="LDK108" s="1" t="s">
        <v>122</v>
      </c>
      <c r="LDL108" s="1" t="s">
        <v>122</v>
      </c>
      <c r="LDM108" s="1" t="s">
        <v>122</v>
      </c>
      <c r="LDN108" s="1" t="s">
        <v>122</v>
      </c>
      <c r="LDO108" s="1" t="s">
        <v>122</v>
      </c>
      <c r="LDP108" s="1" t="s">
        <v>122</v>
      </c>
      <c r="LDQ108" s="1" t="s">
        <v>122</v>
      </c>
      <c r="LDR108" s="1" t="s">
        <v>122</v>
      </c>
      <c r="LDS108" s="1" t="s">
        <v>122</v>
      </c>
      <c r="LDT108" s="1" t="s">
        <v>122</v>
      </c>
      <c r="LDU108" s="1" t="s">
        <v>122</v>
      </c>
      <c r="LDV108" s="1" t="s">
        <v>122</v>
      </c>
      <c r="LDW108" s="1" t="s">
        <v>122</v>
      </c>
      <c r="LDX108" s="1" t="s">
        <v>122</v>
      </c>
      <c r="LDY108" s="1" t="s">
        <v>122</v>
      </c>
      <c r="LDZ108" s="1" t="s">
        <v>122</v>
      </c>
      <c r="LEA108" s="1" t="s">
        <v>122</v>
      </c>
      <c r="LEB108" s="1" t="s">
        <v>122</v>
      </c>
      <c r="LEC108" s="1" t="s">
        <v>122</v>
      </c>
      <c r="LED108" s="1" t="s">
        <v>122</v>
      </c>
      <c r="LEE108" s="1" t="s">
        <v>122</v>
      </c>
      <c r="LEF108" s="1" t="s">
        <v>122</v>
      </c>
      <c r="LEG108" s="1" t="s">
        <v>122</v>
      </c>
      <c r="LEH108" s="1" t="s">
        <v>122</v>
      </c>
      <c r="LEI108" s="1" t="s">
        <v>122</v>
      </c>
      <c r="LEJ108" s="1" t="s">
        <v>122</v>
      </c>
      <c r="LEK108" s="1" t="s">
        <v>122</v>
      </c>
      <c r="LEL108" s="1" t="s">
        <v>122</v>
      </c>
      <c r="LEM108" s="1" t="s">
        <v>122</v>
      </c>
      <c r="LEN108" s="1" t="s">
        <v>122</v>
      </c>
      <c r="LEO108" s="1" t="s">
        <v>122</v>
      </c>
      <c r="LEP108" s="1" t="s">
        <v>122</v>
      </c>
      <c r="LEQ108" s="1" t="s">
        <v>122</v>
      </c>
      <c r="LER108" s="1" t="s">
        <v>122</v>
      </c>
      <c r="LES108" s="1" t="s">
        <v>122</v>
      </c>
      <c r="LET108" s="1" t="s">
        <v>122</v>
      </c>
      <c r="LEU108" s="1" t="s">
        <v>122</v>
      </c>
      <c r="LEV108" s="1" t="s">
        <v>122</v>
      </c>
      <c r="LEW108" s="1" t="s">
        <v>122</v>
      </c>
      <c r="LEX108" s="1" t="s">
        <v>122</v>
      </c>
      <c r="LEY108" s="1" t="s">
        <v>122</v>
      </c>
      <c r="LEZ108" s="1" t="s">
        <v>122</v>
      </c>
      <c r="LFA108" s="1" t="s">
        <v>122</v>
      </c>
      <c r="LFB108" s="1" t="s">
        <v>122</v>
      </c>
      <c r="LFC108" s="1" t="s">
        <v>122</v>
      </c>
      <c r="LFD108" s="1" t="s">
        <v>122</v>
      </c>
      <c r="LFE108" s="1" t="s">
        <v>122</v>
      </c>
      <c r="LFF108" s="1" t="s">
        <v>122</v>
      </c>
      <c r="LFG108" s="1" t="s">
        <v>122</v>
      </c>
      <c r="LFH108" s="1" t="s">
        <v>122</v>
      </c>
      <c r="LFI108" s="1" t="s">
        <v>122</v>
      </c>
      <c r="LFJ108" s="1" t="s">
        <v>122</v>
      </c>
      <c r="LFK108" s="1" t="s">
        <v>122</v>
      </c>
      <c r="LFL108" s="1" t="s">
        <v>122</v>
      </c>
      <c r="LFM108" s="1" t="s">
        <v>122</v>
      </c>
      <c r="LFN108" s="1" t="s">
        <v>122</v>
      </c>
      <c r="LFO108" s="1" t="s">
        <v>122</v>
      </c>
      <c r="LFP108" s="1" t="s">
        <v>122</v>
      </c>
      <c r="LFQ108" s="1" t="s">
        <v>122</v>
      </c>
      <c r="LFR108" s="1" t="s">
        <v>122</v>
      </c>
      <c r="LFS108" s="1" t="s">
        <v>122</v>
      </c>
      <c r="LFT108" s="1" t="s">
        <v>122</v>
      </c>
      <c r="LFU108" s="1" t="s">
        <v>122</v>
      </c>
      <c r="LFV108" s="1" t="s">
        <v>122</v>
      </c>
      <c r="LFW108" s="1" t="s">
        <v>122</v>
      </c>
      <c r="LFX108" s="1" t="s">
        <v>122</v>
      </c>
      <c r="LFY108" s="1" t="s">
        <v>122</v>
      </c>
      <c r="LFZ108" s="1" t="s">
        <v>122</v>
      </c>
      <c r="LGA108" s="1" t="s">
        <v>122</v>
      </c>
      <c r="LGB108" s="1" t="s">
        <v>122</v>
      </c>
      <c r="LGC108" s="1" t="s">
        <v>122</v>
      </c>
      <c r="LGD108" s="1" t="s">
        <v>122</v>
      </c>
      <c r="LGE108" s="1" t="s">
        <v>122</v>
      </c>
      <c r="LGF108" s="1" t="s">
        <v>122</v>
      </c>
      <c r="LGG108" s="1" t="s">
        <v>122</v>
      </c>
      <c r="LGH108" s="1" t="s">
        <v>122</v>
      </c>
      <c r="LGI108" s="1" t="s">
        <v>122</v>
      </c>
      <c r="LGJ108" s="1" t="s">
        <v>122</v>
      </c>
      <c r="LGK108" s="1" t="s">
        <v>122</v>
      </c>
      <c r="LGL108" s="1" t="s">
        <v>122</v>
      </c>
      <c r="LGM108" s="1" t="s">
        <v>122</v>
      </c>
      <c r="LGN108" s="1" t="s">
        <v>122</v>
      </c>
      <c r="LGO108" s="1" t="s">
        <v>122</v>
      </c>
      <c r="LGP108" s="1" t="s">
        <v>122</v>
      </c>
      <c r="LGQ108" s="1" t="s">
        <v>122</v>
      </c>
      <c r="LGR108" s="1" t="s">
        <v>122</v>
      </c>
      <c r="LGS108" s="1" t="s">
        <v>122</v>
      </c>
      <c r="LGT108" s="1" t="s">
        <v>122</v>
      </c>
      <c r="LGU108" s="1" t="s">
        <v>122</v>
      </c>
      <c r="LGV108" s="1" t="s">
        <v>122</v>
      </c>
      <c r="LGW108" s="1" t="s">
        <v>122</v>
      </c>
      <c r="LGX108" s="1" t="s">
        <v>122</v>
      </c>
      <c r="LGY108" s="1" t="s">
        <v>122</v>
      </c>
      <c r="LGZ108" s="1" t="s">
        <v>122</v>
      </c>
      <c r="LHA108" s="1" t="s">
        <v>122</v>
      </c>
      <c r="LHB108" s="1" t="s">
        <v>122</v>
      </c>
      <c r="LHC108" s="1" t="s">
        <v>122</v>
      </c>
      <c r="LHD108" s="1" t="s">
        <v>122</v>
      </c>
      <c r="LHE108" s="1" t="s">
        <v>122</v>
      </c>
      <c r="LHF108" s="1" t="s">
        <v>122</v>
      </c>
      <c r="LHG108" s="1" t="s">
        <v>122</v>
      </c>
      <c r="LHH108" s="1" t="s">
        <v>122</v>
      </c>
      <c r="LHI108" s="1" t="s">
        <v>122</v>
      </c>
      <c r="LHJ108" s="1" t="s">
        <v>122</v>
      </c>
      <c r="LHK108" s="1" t="s">
        <v>122</v>
      </c>
      <c r="LHL108" s="1" t="s">
        <v>122</v>
      </c>
      <c r="LHM108" s="1" t="s">
        <v>122</v>
      </c>
      <c r="LHN108" s="1" t="s">
        <v>122</v>
      </c>
      <c r="LHO108" s="1" t="s">
        <v>122</v>
      </c>
      <c r="LHP108" s="1" t="s">
        <v>122</v>
      </c>
      <c r="LHQ108" s="1" t="s">
        <v>122</v>
      </c>
      <c r="LHR108" s="1" t="s">
        <v>122</v>
      </c>
      <c r="LHS108" s="1" t="s">
        <v>122</v>
      </c>
      <c r="LHT108" s="1" t="s">
        <v>122</v>
      </c>
      <c r="LHU108" s="1" t="s">
        <v>122</v>
      </c>
      <c r="LHV108" s="1" t="s">
        <v>122</v>
      </c>
      <c r="LHW108" s="1" t="s">
        <v>122</v>
      </c>
      <c r="LHX108" s="1" t="s">
        <v>122</v>
      </c>
      <c r="LHY108" s="1" t="s">
        <v>122</v>
      </c>
      <c r="LHZ108" s="1" t="s">
        <v>122</v>
      </c>
      <c r="LIA108" s="1" t="s">
        <v>122</v>
      </c>
      <c r="LIB108" s="1" t="s">
        <v>122</v>
      </c>
      <c r="LIC108" s="1" t="s">
        <v>122</v>
      </c>
      <c r="LID108" s="1" t="s">
        <v>122</v>
      </c>
      <c r="LIE108" s="1" t="s">
        <v>122</v>
      </c>
      <c r="LIF108" s="1" t="s">
        <v>122</v>
      </c>
      <c r="LIG108" s="1" t="s">
        <v>122</v>
      </c>
      <c r="LIH108" s="1" t="s">
        <v>122</v>
      </c>
      <c r="LII108" s="1" t="s">
        <v>122</v>
      </c>
      <c r="LIJ108" s="1" t="s">
        <v>122</v>
      </c>
      <c r="LIK108" s="1" t="s">
        <v>122</v>
      </c>
      <c r="LIL108" s="1" t="s">
        <v>122</v>
      </c>
      <c r="LIM108" s="1" t="s">
        <v>122</v>
      </c>
      <c r="LIN108" s="1" t="s">
        <v>122</v>
      </c>
      <c r="LIO108" s="1" t="s">
        <v>122</v>
      </c>
      <c r="LIP108" s="1" t="s">
        <v>122</v>
      </c>
      <c r="LIQ108" s="1" t="s">
        <v>122</v>
      </c>
      <c r="LIR108" s="1" t="s">
        <v>122</v>
      </c>
      <c r="LIS108" s="1" t="s">
        <v>122</v>
      </c>
      <c r="LIT108" s="1" t="s">
        <v>122</v>
      </c>
      <c r="LIU108" s="1" t="s">
        <v>122</v>
      </c>
      <c r="LIV108" s="1" t="s">
        <v>122</v>
      </c>
      <c r="LIW108" s="1" t="s">
        <v>122</v>
      </c>
      <c r="LIX108" s="1" t="s">
        <v>122</v>
      </c>
      <c r="LIY108" s="1" t="s">
        <v>122</v>
      </c>
      <c r="LIZ108" s="1" t="s">
        <v>122</v>
      </c>
      <c r="LJA108" s="1" t="s">
        <v>122</v>
      </c>
      <c r="LJB108" s="1" t="s">
        <v>122</v>
      </c>
      <c r="LJC108" s="1" t="s">
        <v>122</v>
      </c>
      <c r="LJD108" s="1" t="s">
        <v>122</v>
      </c>
      <c r="LJE108" s="1" t="s">
        <v>122</v>
      </c>
      <c r="LJF108" s="1" t="s">
        <v>122</v>
      </c>
      <c r="LJG108" s="1" t="s">
        <v>122</v>
      </c>
      <c r="LJH108" s="1" t="s">
        <v>122</v>
      </c>
      <c r="LJI108" s="1" t="s">
        <v>122</v>
      </c>
      <c r="LJJ108" s="1" t="s">
        <v>122</v>
      </c>
      <c r="LJK108" s="1" t="s">
        <v>122</v>
      </c>
      <c r="LJL108" s="1" t="s">
        <v>122</v>
      </c>
      <c r="LJM108" s="1" t="s">
        <v>122</v>
      </c>
      <c r="LJN108" s="1" t="s">
        <v>122</v>
      </c>
      <c r="LJO108" s="1" t="s">
        <v>122</v>
      </c>
      <c r="LJP108" s="1" t="s">
        <v>122</v>
      </c>
      <c r="LJQ108" s="1" t="s">
        <v>122</v>
      </c>
      <c r="LJR108" s="1" t="s">
        <v>122</v>
      </c>
      <c r="LJS108" s="1" t="s">
        <v>122</v>
      </c>
      <c r="LJT108" s="1" t="s">
        <v>122</v>
      </c>
      <c r="LJU108" s="1" t="s">
        <v>122</v>
      </c>
      <c r="LJV108" s="1" t="s">
        <v>122</v>
      </c>
      <c r="LJW108" s="1" t="s">
        <v>122</v>
      </c>
      <c r="LJX108" s="1" t="s">
        <v>122</v>
      </c>
      <c r="LJY108" s="1" t="s">
        <v>122</v>
      </c>
      <c r="LJZ108" s="1" t="s">
        <v>122</v>
      </c>
      <c r="LKA108" s="1" t="s">
        <v>122</v>
      </c>
      <c r="LKB108" s="1" t="s">
        <v>122</v>
      </c>
      <c r="LKC108" s="1" t="s">
        <v>122</v>
      </c>
      <c r="LKD108" s="1" t="s">
        <v>122</v>
      </c>
      <c r="LKE108" s="1" t="s">
        <v>122</v>
      </c>
      <c r="LKF108" s="1" t="s">
        <v>122</v>
      </c>
      <c r="LKG108" s="1" t="s">
        <v>122</v>
      </c>
      <c r="LKH108" s="1" t="s">
        <v>122</v>
      </c>
      <c r="LKI108" s="1" t="s">
        <v>122</v>
      </c>
      <c r="LKJ108" s="1" t="s">
        <v>122</v>
      </c>
      <c r="LKK108" s="1" t="s">
        <v>122</v>
      </c>
      <c r="LKL108" s="1" t="s">
        <v>122</v>
      </c>
      <c r="LKM108" s="1" t="s">
        <v>122</v>
      </c>
      <c r="LKN108" s="1" t="s">
        <v>122</v>
      </c>
      <c r="LKO108" s="1" t="s">
        <v>122</v>
      </c>
      <c r="LKP108" s="1" t="s">
        <v>122</v>
      </c>
      <c r="LKQ108" s="1" t="s">
        <v>122</v>
      </c>
      <c r="LKR108" s="1" t="s">
        <v>122</v>
      </c>
      <c r="LKS108" s="1" t="s">
        <v>122</v>
      </c>
      <c r="LKT108" s="1" t="s">
        <v>122</v>
      </c>
      <c r="LKU108" s="1" t="s">
        <v>122</v>
      </c>
      <c r="LKV108" s="1" t="s">
        <v>122</v>
      </c>
      <c r="LKW108" s="1" t="s">
        <v>122</v>
      </c>
      <c r="LKX108" s="1" t="s">
        <v>122</v>
      </c>
      <c r="LKY108" s="1" t="s">
        <v>122</v>
      </c>
      <c r="LKZ108" s="1" t="s">
        <v>122</v>
      </c>
      <c r="LLA108" s="1" t="s">
        <v>122</v>
      </c>
      <c r="LLB108" s="1" t="s">
        <v>122</v>
      </c>
      <c r="LLC108" s="1" t="s">
        <v>122</v>
      </c>
      <c r="LLD108" s="1" t="s">
        <v>122</v>
      </c>
      <c r="LLE108" s="1" t="s">
        <v>122</v>
      </c>
      <c r="LLF108" s="1" t="s">
        <v>122</v>
      </c>
      <c r="LLG108" s="1" t="s">
        <v>122</v>
      </c>
      <c r="LLH108" s="1" t="s">
        <v>122</v>
      </c>
      <c r="LLI108" s="1" t="s">
        <v>122</v>
      </c>
      <c r="LLJ108" s="1" t="s">
        <v>122</v>
      </c>
      <c r="LLK108" s="1" t="s">
        <v>122</v>
      </c>
      <c r="LLL108" s="1" t="s">
        <v>122</v>
      </c>
      <c r="LLM108" s="1" t="s">
        <v>122</v>
      </c>
      <c r="LLN108" s="1" t="s">
        <v>122</v>
      </c>
      <c r="LLO108" s="1" t="s">
        <v>122</v>
      </c>
      <c r="LLP108" s="1" t="s">
        <v>122</v>
      </c>
      <c r="LLQ108" s="1" t="s">
        <v>122</v>
      </c>
      <c r="LLR108" s="1" t="s">
        <v>122</v>
      </c>
      <c r="LLS108" s="1" t="s">
        <v>122</v>
      </c>
      <c r="LLT108" s="1" t="s">
        <v>122</v>
      </c>
      <c r="LLU108" s="1" t="s">
        <v>122</v>
      </c>
      <c r="LLV108" s="1" t="s">
        <v>122</v>
      </c>
      <c r="LLW108" s="1" t="s">
        <v>122</v>
      </c>
      <c r="LLX108" s="1" t="s">
        <v>122</v>
      </c>
      <c r="LLY108" s="1" t="s">
        <v>122</v>
      </c>
      <c r="LLZ108" s="1" t="s">
        <v>122</v>
      </c>
      <c r="LMA108" s="1" t="s">
        <v>122</v>
      </c>
      <c r="LMB108" s="1" t="s">
        <v>122</v>
      </c>
      <c r="LMC108" s="1" t="s">
        <v>122</v>
      </c>
      <c r="LMD108" s="1" t="s">
        <v>122</v>
      </c>
      <c r="LME108" s="1" t="s">
        <v>122</v>
      </c>
      <c r="LMF108" s="1" t="s">
        <v>122</v>
      </c>
      <c r="LMG108" s="1" t="s">
        <v>122</v>
      </c>
      <c r="LMH108" s="1" t="s">
        <v>122</v>
      </c>
      <c r="LMI108" s="1" t="s">
        <v>122</v>
      </c>
      <c r="LMJ108" s="1" t="s">
        <v>122</v>
      </c>
      <c r="LMK108" s="1" t="s">
        <v>122</v>
      </c>
      <c r="LML108" s="1" t="s">
        <v>122</v>
      </c>
      <c r="LMM108" s="1" t="s">
        <v>122</v>
      </c>
      <c r="LMN108" s="1" t="s">
        <v>122</v>
      </c>
      <c r="LMO108" s="1" t="s">
        <v>122</v>
      </c>
      <c r="LMP108" s="1" t="s">
        <v>122</v>
      </c>
      <c r="LMQ108" s="1" t="s">
        <v>122</v>
      </c>
      <c r="LMR108" s="1" t="s">
        <v>122</v>
      </c>
      <c r="LMS108" s="1" t="s">
        <v>122</v>
      </c>
      <c r="LMT108" s="1" t="s">
        <v>122</v>
      </c>
      <c r="LMU108" s="1" t="s">
        <v>122</v>
      </c>
      <c r="LMV108" s="1" t="s">
        <v>122</v>
      </c>
      <c r="LMW108" s="1" t="s">
        <v>122</v>
      </c>
      <c r="LMX108" s="1" t="s">
        <v>122</v>
      </c>
      <c r="LMY108" s="1" t="s">
        <v>122</v>
      </c>
      <c r="LMZ108" s="1" t="s">
        <v>122</v>
      </c>
      <c r="LNA108" s="1" t="s">
        <v>122</v>
      </c>
      <c r="LNB108" s="1" t="s">
        <v>122</v>
      </c>
      <c r="LNC108" s="1" t="s">
        <v>122</v>
      </c>
      <c r="LND108" s="1" t="s">
        <v>122</v>
      </c>
      <c r="LNE108" s="1" t="s">
        <v>122</v>
      </c>
      <c r="LNF108" s="1" t="s">
        <v>122</v>
      </c>
      <c r="LNG108" s="1" t="s">
        <v>122</v>
      </c>
      <c r="LNH108" s="1" t="s">
        <v>122</v>
      </c>
      <c r="LNI108" s="1" t="s">
        <v>122</v>
      </c>
      <c r="LNJ108" s="1" t="s">
        <v>122</v>
      </c>
      <c r="LNK108" s="1" t="s">
        <v>122</v>
      </c>
      <c r="LNL108" s="1" t="s">
        <v>122</v>
      </c>
      <c r="LNM108" s="1" t="s">
        <v>122</v>
      </c>
      <c r="LNN108" s="1" t="s">
        <v>122</v>
      </c>
      <c r="LNO108" s="1" t="s">
        <v>122</v>
      </c>
      <c r="LNP108" s="1" t="s">
        <v>122</v>
      </c>
      <c r="LNQ108" s="1" t="s">
        <v>122</v>
      </c>
      <c r="LNR108" s="1" t="s">
        <v>122</v>
      </c>
      <c r="LNS108" s="1" t="s">
        <v>122</v>
      </c>
      <c r="LNT108" s="1" t="s">
        <v>122</v>
      </c>
      <c r="LNU108" s="1" t="s">
        <v>122</v>
      </c>
      <c r="LNV108" s="1" t="s">
        <v>122</v>
      </c>
      <c r="LNW108" s="1" t="s">
        <v>122</v>
      </c>
      <c r="LNX108" s="1" t="s">
        <v>122</v>
      </c>
      <c r="LNY108" s="1" t="s">
        <v>122</v>
      </c>
      <c r="LNZ108" s="1" t="s">
        <v>122</v>
      </c>
      <c r="LOA108" s="1" t="s">
        <v>122</v>
      </c>
      <c r="LOB108" s="1" t="s">
        <v>122</v>
      </c>
      <c r="LOC108" s="1" t="s">
        <v>122</v>
      </c>
      <c r="LOD108" s="1" t="s">
        <v>122</v>
      </c>
      <c r="LOE108" s="1" t="s">
        <v>122</v>
      </c>
      <c r="LOF108" s="1" t="s">
        <v>122</v>
      </c>
      <c r="LOG108" s="1" t="s">
        <v>122</v>
      </c>
      <c r="LOH108" s="1" t="s">
        <v>122</v>
      </c>
      <c r="LOI108" s="1" t="s">
        <v>122</v>
      </c>
      <c r="LOJ108" s="1" t="s">
        <v>122</v>
      </c>
      <c r="LOK108" s="1" t="s">
        <v>122</v>
      </c>
      <c r="LOL108" s="1" t="s">
        <v>122</v>
      </c>
      <c r="LOM108" s="1" t="s">
        <v>122</v>
      </c>
      <c r="LON108" s="1" t="s">
        <v>122</v>
      </c>
      <c r="LOO108" s="1" t="s">
        <v>122</v>
      </c>
      <c r="LOP108" s="1" t="s">
        <v>122</v>
      </c>
      <c r="LOQ108" s="1" t="s">
        <v>122</v>
      </c>
      <c r="LOR108" s="1" t="s">
        <v>122</v>
      </c>
      <c r="LOS108" s="1" t="s">
        <v>122</v>
      </c>
      <c r="LOT108" s="1" t="s">
        <v>122</v>
      </c>
      <c r="LOU108" s="1" t="s">
        <v>122</v>
      </c>
      <c r="LOV108" s="1" t="s">
        <v>122</v>
      </c>
      <c r="LOW108" s="1" t="s">
        <v>122</v>
      </c>
      <c r="LOX108" s="1" t="s">
        <v>122</v>
      </c>
      <c r="LOY108" s="1" t="s">
        <v>122</v>
      </c>
      <c r="LOZ108" s="1" t="s">
        <v>122</v>
      </c>
      <c r="LPA108" s="1" t="s">
        <v>122</v>
      </c>
      <c r="LPB108" s="1" t="s">
        <v>122</v>
      </c>
      <c r="LPC108" s="1" t="s">
        <v>122</v>
      </c>
      <c r="LPD108" s="1" t="s">
        <v>122</v>
      </c>
      <c r="LPE108" s="1" t="s">
        <v>122</v>
      </c>
      <c r="LPF108" s="1" t="s">
        <v>122</v>
      </c>
      <c r="LPG108" s="1" t="s">
        <v>122</v>
      </c>
      <c r="LPH108" s="1" t="s">
        <v>122</v>
      </c>
      <c r="LPI108" s="1" t="s">
        <v>122</v>
      </c>
      <c r="LPJ108" s="1" t="s">
        <v>122</v>
      </c>
      <c r="LPK108" s="1" t="s">
        <v>122</v>
      </c>
      <c r="LPL108" s="1" t="s">
        <v>122</v>
      </c>
      <c r="LPM108" s="1" t="s">
        <v>122</v>
      </c>
      <c r="LPN108" s="1" t="s">
        <v>122</v>
      </c>
      <c r="LPO108" s="1" t="s">
        <v>122</v>
      </c>
      <c r="LPP108" s="1" t="s">
        <v>122</v>
      </c>
      <c r="LPQ108" s="1" t="s">
        <v>122</v>
      </c>
      <c r="LPR108" s="1" t="s">
        <v>122</v>
      </c>
      <c r="LPS108" s="1" t="s">
        <v>122</v>
      </c>
      <c r="LPT108" s="1" t="s">
        <v>122</v>
      </c>
      <c r="LPU108" s="1" t="s">
        <v>122</v>
      </c>
      <c r="LPV108" s="1" t="s">
        <v>122</v>
      </c>
      <c r="LPW108" s="1" t="s">
        <v>122</v>
      </c>
      <c r="LPX108" s="1" t="s">
        <v>122</v>
      </c>
      <c r="LPY108" s="1" t="s">
        <v>122</v>
      </c>
      <c r="LPZ108" s="1" t="s">
        <v>122</v>
      </c>
      <c r="LQA108" s="1" t="s">
        <v>122</v>
      </c>
      <c r="LQB108" s="1" t="s">
        <v>122</v>
      </c>
      <c r="LQC108" s="1" t="s">
        <v>122</v>
      </c>
      <c r="LQD108" s="1" t="s">
        <v>122</v>
      </c>
      <c r="LQE108" s="1" t="s">
        <v>122</v>
      </c>
      <c r="LQF108" s="1" t="s">
        <v>122</v>
      </c>
      <c r="LQG108" s="1" t="s">
        <v>122</v>
      </c>
      <c r="LQH108" s="1" t="s">
        <v>122</v>
      </c>
      <c r="LQI108" s="1" t="s">
        <v>122</v>
      </c>
      <c r="LQJ108" s="1" t="s">
        <v>122</v>
      </c>
      <c r="LQK108" s="1" t="s">
        <v>122</v>
      </c>
      <c r="LQL108" s="1" t="s">
        <v>122</v>
      </c>
      <c r="LQM108" s="1" t="s">
        <v>122</v>
      </c>
      <c r="LQN108" s="1" t="s">
        <v>122</v>
      </c>
      <c r="LQO108" s="1" t="s">
        <v>122</v>
      </c>
      <c r="LQP108" s="1" t="s">
        <v>122</v>
      </c>
      <c r="LQQ108" s="1" t="s">
        <v>122</v>
      </c>
      <c r="LQR108" s="1" t="s">
        <v>122</v>
      </c>
      <c r="LQS108" s="1" t="s">
        <v>122</v>
      </c>
      <c r="LQT108" s="1" t="s">
        <v>122</v>
      </c>
      <c r="LQU108" s="1" t="s">
        <v>122</v>
      </c>
      <c r="LQV108" s="1" t="s">
        <v>122</v>
      </c>
      <c r="LQW108" s="1" t="s">
        <v>122</v>
      </c>
      <c r="LQX108" s="1" t="s">
        <v>122</v>
      </c>
      <c r="LQY108" s="1" t="s">
        <v>122</v>
      </c>
      <c r="LQZ108" s="1" t="s">
        <v>122</v>
      </c>
      <c r="LRA108" s="1" t="s">
        <v>122</v>
      </c>
      <c r="LRB108" s="1" t="s">
        <v>122</v>
      </c>
      <c r="LRC108" s="1" t="s">
        <v>122</v>
      </c>
      <c r="LRD108" s="1" t="s">
        <v>122</v>
      </c>
      <c r="LRE108" s="1" t="s">
        <v>122</v>
      </c>
      <c r="LRF108" s="1" t="s">
        <v>122</v>
      </c>
      <c r="LRG108" s="1" t="s">
        <v>122</v>
      </c>
      <c r="LRH108" s="1" t="s">
        <v>122</v>
      </c>
      <c r="LRI108" s="1" t="s">
        <v>122</v>
      </c>
      <c r="LRJ108" s="1" t="s">
        <v>122</v>
      </c>
      <c r="LRK108" s="1" t="s">
        <v>122</v>
      </c>
      <c r="LRL108" s="1" t="s">
        <v>122</v>
      </c>
      <c r="LRM108" s="1" t="s">
        <v>122</v>
      </c>
      <c r="LRN108" s="1" t="s">
        <v>122</v>
      </c>
      <c r="LRO108" s="1" t="s">
        <v>122</v>
      </c>
      <c r="LRP108" s="1" t="s">
        <v>122</v>
      </c>
      <c r="LRQ108" s="1" t="s">
        <v>122</v>
      </c>
      <c r="LRR108" s="1" t="s">
        <v>122</v>
      </c>
      <c r="LRS108" s="1" t="s">
        <v>122</v>
      </c>
      <c r="LRT108" s="1" t="s">
        <v>122</v>
      </c>
      <c r="LRU108" s="1" t="s">
        <v>122</v>
      </c>
      <c r="LRV108" s="1" t="s">
        <v>122</v>
      </c>
      <c r="LRW108" s="1" t="s">
        <v>122</v>
      </c>
      <c r="LRX108" s="1" t="s">
        <v>122</v>
      </c>
      <c r="LRY108" s="1" t="s">
        <v>122</v>
      </c>
      <c r="LRZ108" s="1" t="s">
        <v>122</v>
      </c>
      <c r="LSA108" s="1" t="s">
        <v>122</v>
      </c>
      <c r="LSB108" s="1" t="s">
        <v>122</v>
      </c>
      <c r="LSC108" s="1" t="s">
        <v>122</v>
      </c>
      <c r="LSD108" s="1" t="s">
        <v>122</v>
      </c>
      <c r="LSE108" s="1" t="s">
        <v>122</v>
      </c>
      <c r="LSF108" s="1" t="s">
        <v>122</v>
      </c>
      <c r="LSG108" s="1" t="s">
        <v>122</v>
      </c>
      <c r="LSH108" s="1" t="s">
        <v>122</v>
      </c>
      <c r="LSI108" s="1" t="s">
        <v>122</v>
      </c>
      <c r="LSJ108" s="1" t="s">
        <v>122</v>
      </c>
      <c r="LSK108" s="1" t="s">
        <v>122</v>
      </c>
      <c r="LSL108" s="1" t="s">
        <v>122</v>
      </c>
      <c r="LSM108" s="1" t="s">
        <v>122</v>
      </c>
      <c r="LSN108" s="1" t="s">
        <v>122</v>
      </c>
      <c r="LSO108" s="1" t="s">
        <v>122</v>
      </c>
      <c r="LSP108" s="1" t="s">
        <v>122</v>
      </c>
      <c r="LSQ108" s="1" t="s">
        <v>122</v>
      </c>
      <c r="LSR108" s="1" t="s">
        <v>122</v>
      </c>
      <c r="LSS108" s="1" t="s">
        <v>122</v>
      </c>
      <c r="LST108" s="1" t="s">
        <v>122</v>
      </c>
      <c r="LSU108" s="1" t="s">
        <v>122</v>
      </c>
      <c r="LSV108" s="1" t="s">
        <v>122</v>
      </c>
      <c r="LSW108" s="1" t="s">
        <v>122</v>
      </c>
      <c r="LSX108" s="1" t="s">
        <v>122</v>
      </c>
      <c r="LSY108" s="1" t="s">
        <v>122</v>
      </c>
      <c r="LSZ108" s="1" t="s">
        <v>122</v>
      </c>
      <c r="LTA108" s="1" t="s">
        <v>122</v>
      </c>
      <c r="LTB108" s="1" t="s">
        <v>122</v>
      </c>
      <c r="LTC108" s="1" t="s">
        <v>122</v>
      </c>
      <c r="LTD108" s="1" t="s">
        <v>122</v>
      </c>
      <c r="LTE108" s="1" t="s">
        <v>122</v>
      </c>
      <c r="LTF108" s="1" t="s">
        <v>122</v>
      </c>
      <c r="LTG108" s="1" t="s">
        <v>122</v>
      </c>
      <c r="LTH108" s="1" t="s">
        <v>122</v>
      </c>
      <c r="LTI108" s="1" t="s">
        <v>122</v>
      </c>
      <c r="LTJ108" s="1" t="s">
        <v>122</v>
      </c>
      <c r="LTK108" s="1" t="s">
        <v>122</v>
      </c>
      <c r="LTL108" s="1" t="s">
        <v>122</v>
      </c>
      <c r="LTM108" s="1" t="s">
        <v>122</v>
      </c>
      <c r="LTN108" s="1" t="s">
        <v>122</v>
      </c>
      <c r="LTO108" s="1" t="s">
        <v>122</v>
      </c>
      <c r="LTP108" s="1" t="s">
        <v>122</v>
      </c>
      <c r="LTQ108" s="1" t="s">
        <v>122</v>
      </c>
      <c r="LTR108" s="1" t="s">
        <v>122</v>
      </c>
      <c r="LTS108" s="1" t="s">
        <v>122</v>
      </c>
      <c r="LTT108" s="1" t="s">
        <v>122</v>
      </c>
      <c r="LTU108" s="1" t="s">
        <v>122</v>
      </c>
      <c r="LTV108" s="1" t="s">
        <v>122</v>
      </c>
      <c r="LTW108" s="1" t="s">
        <v>122</v>
      </c>
      <c r="LTX108" s="1" t="s">
        <v>122</v>
      </c>
      <c r="LTY108" s="1" t="s">
        <v>122</v>
      </c>
      <c r="LTZ108" s="1" t="s">
        <v>122</v>
      </c>
      <c r="LUA108" s="1" t="s">
        <v>122</v>
      </c>
      <c r="LUB108" s="1" t="s">
        <v>122</v>
      </c>
      <c r="LUC108" s="1" t="s">
        <v>122</v>
      </c>
      <c r="LUD108" s="1" t="s">
        <v>122</v>
      </c>
      <c r="LUE108" s="1" t="s">
        <v>122</v>
      </c>
      <c r="LUF108" s="1" t="s">
        <v>122</v>
      </c>
      <c r="LUG108" s="1" t="s">
        <v>122</v>
      </c>
      <c r="LUH108" s="1" t="s">
        <v>122</v>
      </c>
      <c r="LUI108" s="1" t="s">
        <v>122</v>
      </c>
      <c r="LUJ108" s="1" t="s">
        <v>122</v>
      </c>
      <c r="LUK108" s="1" t="s">
        <v>122</v>
      </c>
      <c r="LUL108" s="1" t="s">
        <v>122</v>
      </c>
      <c r="LUM108" s="1" t="s">
        <v>122</v>
      </c>
      <c r="LUN108" s="1" t="s">
        <v>122</v>
      </c>
      <c r="LUO108" s="1" t="s">
        <v>122</v>
      </c>
      <c r="LUP108" s="1" t="s">
        <v>122</v>
      </c>
      <c r="LUQ108" s="1" t="s">
        <v>122</v>
      </c>
      <c r="LUR108" s="1" t="s">
        <v>122</v>
      </c>
      <c r="LUS108" s="1" t="s">
        <v>122</v>
      </c>
      <c r="LUT108" s="1" t="s">
        <v>122</v>
      </c>
      <c r="LUU108" s="1" t="s">
        <v>122</v>
      </c>
      <c r="LUV108" s="1" t="s">
        <v>122</v>
      </c>
      <c r="LUW108" s="1" t="s">
        <v>122</v>
      </c>
      <c r="LUX108" s="1" t="s">
        <v>122</v>
      </c>
      <c r="LUY108" s="1" t="s">
        <v>122</v>
      </c>
      <c r="LUZ108" s="1" t="s">
        <v>122</v>
      </c>
      <c r="LVA108" s="1" t="s">
        <v>122</v>
      </c>
      <c r="LVB108" s="1" t="s">
        <v>122</v>
      </c>
      <c r="LVC108" s="1" t="s">
        <v>122</v>
      </c>
      <c r="LVD108" s="1" t="s">
        <v>122</v>
      </c>
      <c r="LVE108" s="1" t="s">
        <v>122</v>
      </c>
      <c r="LVF108" s="1" t="s">
        <v>122</v>
      </c>
      <c r="LVG108" s="1" t="s">
        <v>122</v>
      </c>
      <c r="LVH108" s="1" t="s">
        <v>122</v>
      </c>
      <c r="LVI108" s="1" t="s">
        <v>122</v>
      </c>
      <c r="LVJ108" s="1" t="s">
        <v>122</v>
      </c>
      <c r="LVK108" s="1" t="s">
        <v>122</v>
      </c>
      <c r="LVL108" s="1" t="s">
        <v>122</v>
      </c>
      <c r="LVM108" s="1" t="s">
        <v>122</v>
      </c>
      <c r="LVN108" s="1" t="s">
        <v>122</v>
      </c>
      <c r="LVO108" s="1" t="s">
        <v>122</v>
      </c>
      <c r="LVP108" s="1" t="s">
        <v>122</v>
      </c>
      <c r="LVQ108" s="1" t="s">
        <v>122</v>
      </c>
      <c r="LVR108" s="1" t="s">
        <v>122</v>
      </c>
      <c r="LVS108" s="1" t="s">
        <v>122</v>
      </c>
      <c r="LVT108" s="1" t="s">
        <v>122</v>
      </c>
      <c r="LVU108" s="1" t="s">
        <v>122</v>
      </c>
      <c r="LVV108" s="1" t="s">
        <v>122</v>
      </c>
      <c r="LVW108" s="1" t="s">
        <v>122</v>
      </c>
      <c r="LVX108" s="1" t="s">
        <v>122</v>
      </c>
      <c r="LVY108" s="1" t="s">
        <v>122</v>
      </c>
      <c r="LVZ108" s="1" t="s">
        <v>122</v>
      </c>
      <c r="LWA108" s="1" t="s">
        <v>122</v>
      </c>
      <c r="LWB108" s="1" t="s">
        <v>122</v>
      </c>
      <c r="LWC108" s="1" t="s">
        <v>122</v>
      </c>
      <c r="LWD108" s="1" t="s">
        <v>122</v>
      </c>
      <c r="LWE108" s="1" t="s">
        <v>122</v>
      </c>
      <c r="LWF108" s="1" t="s">
        <v>122</v>
      </c>
      <c r="LWG108" s="1" t="s">
        <v>122</v>
      </c>
      <c r="LWH108" s="1" t="s">
        <v>122</v>
      </c>
      <c r="LWI108" s="1" t="s">
        <v>122</v>
      </c>
      <c r="LWJ108" s="1" t="s">
        <v>122</v>
      </c>
      <c r="LWK108" s="1" t="s">
        <v>122</v>
      </c>
      <c r="LWL108" s="1" t="s">
        <v>122</v>
      </c>
      <c r="LWM108" s="1" t="s">
        <v>122</v>
      </c>
      <c r="LWN108" s="1" t="s">
        <v>122</v>
      </c>
      <c r="LWO108" s="1" t="s">
        <v>122</v>
      </c>
      <c r="LWP108" s="1" t="s">
        <v>122</v>
      </c>
      <c r="LWQ108" s="1" t="s">
        <v>122</v>
      </c>
      <c r="LWR108" s="1" t="s">
        <v>122</v>
      </c>
      <c r="LWS108" s="1" t="s">
        <v>122</v>
      </c>
      <c r="LWT108" s="1" t="s">
        <v>122</v>
      </c>
      <c r="LWU108" s="1" t="s">
        <v>122</v>
      </c>
      <c r="LWV108" s="1" t="s">
        <v>122</v>
      </c>
      <c r="LWW108" s="1" t="s">
        <v>122</v>
      </c>
      <c r="LWX108" s="1" t="s">
        <v>122</v>
      </c>
      <c r="LWY108" s="1" t="s">
        <v>122</v>
      </c>
      <c r="LWZ108" s="1" t="s">
        <v>122</v>
      </c>
      <c r="LXA108" s="1" t="s">
        <v>122</v>
      </c>
      <c r="LXB108" s="1" t="s">
        <v>122</v>
      </c>
      <c r="LXC108" s="1" t="s">
        <v>122</v>
      </c>
      <c r="LXD108" s="1" t="s">
        <v>122</v>
      </c>
      <c r="LXE108" s="1" t="s">
        <v>122</v>
      </c>
      <c r="LXF108" s="1" t="s">
        <v>122</v>
      </c>
      <c r="LXG108" s="1" t="s">
        <v>122</v>
      </c>
      <c r="LXH108" s="1" t="s">
        <v>122</v>
      </c>
      <c r="LXI108" s="1" t="s">
        <v>122</v>
      </c>
      <c r="LXJ108" s="1" t="s">
        <v>122</v>
      </c>
      <c r="LXK108" s="1" t="s">
        <v>122</v>
      </c>
      <c r="LXL108" s="1" t="s">
        <v>122</v>
      </c>
      <c r="LXM108" s="1" t="s">
        <v>122</v>
      </c>
      <c r="LXN108" s="1" t="s">
        <v>122</v>
      </c>
      <c r="LXO108" s="1" t="s">
        <v>122</v>
      </c>
      <c r="LXP108" s="1" t="s">
        <v>122</v>
      </c>
      <c r="LXQ108" s="1" t="s">
        <v>122</v>
      </c>
      <c r="LXR108" s="1" t="s">
        <v>122</v>
      </c>
      <c r="LXS108" s="1" t="s">
        <v>122</v>
      </c>
      <c r="LXT108" s="1" t="s">
        <v>122</v>
      </c>
      <c r="LXU108" s="1" t="s">
        <v>122</v>
      </c>
      <c r="LXV108" s="1" t="s">
        <v>122</v>
      </c>
      <c r="LXW108" s="1" t="s">
        <v>122</v>
      </c>
      <c r="LXX108" s="1" t="s">
        <v>122</v>
      </c>
      <c r="LXY108" s="1" t="s">
        <v>122</v>
      </c>
      <c r="LXZ108" s="1" t="s">
        <v>122</v>
      </c>
      <c r="LYA108" s="1" t="s">
        <v>122</v>
      </c>
      <c r="LYB108" s="1" t="s">
        <v>122</v>
      </c>
      <c r="LYC108" s="1" t="s">
        <v>122</v>
      </c>
      <c r="LYD108" s="1" t="s">
        <v>122</v>
      </c>
      <c r="LYE108" s="1" t="s">
        <v>122</v>
      </c>
      <c r="LYF108" s="1" t="s">
        <v>122</v>
      </c>
      <c r="LYG108" s="1" t="s">
        <v>122</v>
      </c>
      <c r="LYH108" s="1" t="s">
        <v>122</v>
      </c>
      <c r="LYI108" s="1" t="s">
        <v>122</v>
      </c>
      <c r="LYJ108" s="1" t="s">
        <v>122</v>
      </c>
      <c r="LYK108" s="1" t="s">
        <v>122</v>
      </c>
      <c r="LYL108" s="1" t="s">
        <v>122</v>
      </c>
      <c r="LYM108" s="1" t="s">
        <v>122</v>
      </c>
      <c r="LYN108" s="1" t="s">
        <v>122</v>
      </c>
      <c r="LYO108" s="1" t="s">
        <v>122</v>
      </c>
      <c r="LYP108" s="1" t="s">
        <v>122</v>
      </c>
      <c r="LYQ108" s="1" t="s">
        <v>122</v>
      </c>
      <c r="LYR108" s="1" t="s">
        <v>122</v>
      </c>
      <c r="LYS108" s="1" t="s">
        <v>122</v>
      </c>
      <c r="LYT108" s="1" t="s">
        <v>122</v>
      </c>
      <c r="LYU108" s="1" t="s">
        <v>122</v>
      </c>
      <c r="LYV108" s="1" t="s">
        <v>122</v>
      </c>
      <c r="LYW108" s="1" t="s">
        <v>122</v>
      </c>
      <c r="LYX108" s="1" t="s">
        <v>122</v>
      </c>
      <c r="LYY108" s="1" t="s">
        <v>122</v>
      </c>
      <c r="LYZ108" s="1" t="s">
        <v>122</v>
      </c>
      <c r="LZA108" s="1" t="s">
        <v>122</v>
      </c>
      <c r="LZB108" s="1" t="s">
        <v>122</v>
      </c>
      <c r="LZC108" s="1" t="s">
        <v>122</v>
      </c>
      <c r="LZD108" s="1" t="s">
        <v>122</v>
      </c>
      <c r="LZE108" s="1" t="s">
        <v>122</v>
      </c>
      <c r="LZF108" s="1" t="s">
        <v>122</v>
      </c>
      <c r="LZG108" s="1" t="s">
        <v>122</v>
      </c>
      <c r="LZH108" s="1" t="s">
        <v>122</v>
      </c>
      <c r="LZI108" s="1" t="s">
        <v>122</v>
      </c>
      <c r="LZJ108" s="1" t="s">
        <v>122</v>
      </c>
      <c r="LZK108" s="1" t="s">
        <v>122</v>
      </c>
      <c r="LZL108" s="1" t="s">
        <v>122</v>
      </c>
      <c r="LZM108" s="1" t="s">
        <v>122</v>
      </c>
      <c r="LZN108" s="1" t="s">
        <v>122</v>
      </c>
      <c r="LZO108" s="1" t="s">
        <v>122</v>
      </c>
      <c r="LZP108" s="1" t="s">
        <v>122</v>
      </c>
      <c r="LZQ108" s="1" t="s">
        <v>122</v>
      </c>
      <c r="LZR108" s="1" t="s">
        <v>122</v>
      </c>
      <c r="LZS108" s="1" t="s">
        <v>122</v>
      </c>
      <c r="LZT108" s="1" t="s">
        <v>122</v>
      </c>
      <c r="LZU108" s="1" t="s">
        <v>122</v>
      </c>
      <c r="LZV108" s="1" t="s">
        <v>122</v>
      </c>
      <c r="LZW108" s="1" t="s">
        <v>122</v>
      </c>
      <c r="LZX108" s="1" t="s">
        <v>122</v>
      </c>
      <c r="LZY108" s="1" t="s">
        <v>122</v>
      </c>
      <c r="LZZ108" s="1" t="s">
        <v>122</v>
      </c>
      <c r="MAA108" s="1" t="s">
        <v>122</v>
      </c>
      <c r="MAB108" s="1" t="s">
        <v>122</v>
      </c>
      <c r="MAC108" s="1" t="s">
        <v>122</v>
      </c>
      <c r="MAD108" s="1" t="s">
        <v>122</v>
      </c>
      <c r="MAE108" s="1" t="s">
        <v>122</v>
      </c>
      <c r="MAF108" s="1" t="s">
        <v>122</v>
      </c>
      <c r="MAG108" s="1" t="s">
        <v>122</v>
      </c>
      <c r="MAH108" s="1" t="s">
        <v>122</v>
      </c>
      <c r="MAI108" s="1" t="s">
        <v>122</v>
      </c>
      <c r="MAJ108" s="1" t="s">
        <v>122</v>
      </c>
      <c r="MAK108" s="1" t="s">
        <v>122</v>
      </c>
      <c r="MAL108" s="1" t="s">
        <v>122</v>
      </c>
      <c r="MAM108" s="1" t="s">
        <v>122</v>
      </c>
      <c r="MAN108" s="1" t="s">
        <v>122</v>
      </c>
      <c r="MAO108" s="1" t="s">
        <v>122</v>
      </c>
      <c r="MAP108" s="1" t="s">
        <v>122</v>
      </c>
      <c r="MAQ108" s="1" t="s">
        <v>122</v>
      </c>
      <c r="MAR108" s="1" t="s">
        <v>122</v>
      </c>
      <c r="MAS108" s="1" t="s">
        <v>122</v>
      </c>
      <c r="MAT108" s="1" t="s">
        <v>122</v>
      </c>
      <c r="MAU108" s="1" t="s">
        <v>122</v>
      </c>
      <c r="MAV108" s="1" t="s">
        <v>122</v>
      </c>
      <c r="MAW108" s="1" t="s">
        <v>122</v>
      </c>
      <c r="MAX108" s="1" t="s">
        <v>122</v>
      </c>
      <c r="MAY108" s="1" t="s">
        <v>122</v>
      </c>
      <c r="MAZ108" s="1" t="s">
        <v>122</v>
      </c>
      <c r="MBA108" s="1" t="s">
        <v>122</v>
      </c>
      <c r="MBB108" s="1" t="s">
        <v>122</v>
      </c>
      <c r="MBC108" s="1" t="s">
        <v>122</v>
      </c>
      <c r="MBD108" s="1" t="s">
        <v>122</v>
      </c>
      <c r="MBE108" s="1" t="s">
        <v>122</v>
      </c>
      <c r="MBF108" s="1" t="s">
        <v>122</v>
      </c>
      <c r="MBG108" s="1" t="s">
        <v>122</v>
      </c>
      <c r="MBH108" s="1" t="s">
        <v>122</v>
      </c>
      <c r="MBI108" s="1" t="s">
        <v>122</v>
      </c>
      <c r="MBJ108" s="1" t="s">
        <v>122</v>
      </c>
      <c r="MBK108" s="1" t="s">
        <v>122</v>
      </c>
      <c r="MBL108" s="1" t="s">
        <v>122</v>
      </c>
      <c r="MBM108" s="1" t="s">
        <v>122</v>
      </c>
      <c r="MBN108" s="1" t="s">
        <v>122</v>
      </c>
      <c r="MBO108" s="1" t="s">
        <v>122</v>
      </c>
      <c r="MBP108" s="1" t="s">
        <v>122</v>
      </c>
      <c r="MBQ108" s="1" t="s">
        <v>122</v>
      </c>
      <c r="MBR108" s="1" t="s">
        <v>122</v>
      </c>
      <c r="MBS108" s="1" t="s">
        <v>122</v>
      </c>
      <c r="MBT108" s="1" t="s">
        <v>122</v>
      </c>
      <c r="MBU108" s="1" t="s">
        <v>122</v>
      </c>
      <c r="MBV108" s="1" t="s">
        <v>122</v>
      </c>
      <c r="MBW108" s="1" t="s">
        <v>122</v>
      </c>
      <c r="MBX108" s="1" t="s">
        <v>122</v>
      </c>
      <c r="MBY108" s="1" t="s">
        <v>122</v>
      </c>
      <c r="MBZ108" s="1" t="s">
        <v>122</v>
      </c>
      <c r="MCA108" s="1" t="s">
        <v>122</v>
      </c>
      <c r="MCB108" s="1" t="s">
        <v>122</v>
      </c>
      <c r="MCC108" s="1" t="s">
        <v>122</v>
      </c>
      <c r="MCD108" s="1" t="s">
        <v>122</v>
      </c>
      <c r="MCE108" s="1" t="s">
        <v>122</v>
      </c>
      <c r="MCF108" s="1" t="s">
        <v>122</v>
      </c>
      <c r="MCG108" s="1" t="s">
        <v>122</v>
      </c>
      <c r="MCH108" s="1" t="s">
        <v>122</v>
      </c>
      <c r="MCI108" s="1" t="s">
        <v>122</v>
      </c>
      <c r="MCJ108" s="1" t="s">
        <v>122</v>
      </c>
      <c r="MCK108" s="1" t="s">
        <v>122</v>
      </c>
      <c r="MCL108" s="1" t="s">
        <v>122</v>
      </c>
      <c r="MCM108" s="1" t="s">
        <v>122</v>
      </c>
      <c r="MCN108" s="1" t="s">
        <v>122</v>
      </c>
      <c r="MCO108" s="1" t="s">
        <v>122</v>
      </c>
      <c r="MCP108" s="1" t="s">
        <v>122</v>
      </c>
      <c r="MCQ108" s="1" t="s">
        <v>122</v>
      </c>
      <c r="MCR108" s="1" t="s">
        <v>122</v>
      </c>
      <c r="MCS108" s="1" t="s">
        <v>122</v>
      </c>
      <c r="MCT108" s="1" t="s">
        <v>122</v>
      </c>
      <c r="MCU108" s="1" t="s">
        <v>122</v>
      </c>
      <c r="MCV108" s="1" t="s">
        <v>122</v>
      </c>
      <c r="MCW108" s="1" t="s">
        <v>122</v>
      </c>
      <c r="MCX108" s="1" t="s">
        <v>122</v>
      </c>
      <c r="MCY108" s="1" t="s">
        <v>122</v>
      </c>
      <c r="MCZ108" s="1" t="s">
        <v>122</v>
      </c>
      <c r="MDA108" s="1" t="s">
        <v>122</v>
      </c>
      <c r="MDB108" s="1" t="s">
        <v>122</v>
      </c>
      <c r="MDC108" s="1" t="s">
        <v>122</v>
      </c>
      <c r="MDD108" s="1" t="s">
        <v>122</v>
      </c>
      <c r="MDE108" s="1" t="s">
        <v>122</v>
      </c>
      <c r="MDF108" s="1" t="s">
        <v>122</v>
      </c>
      <c r="MDG108" s="1" t="s">
        <v>122</v>
      </c>
      <c r="MDH108" s="1" t="s">
        <v>122</v>
      </c>
      <c r="MDI108" s="1" t="s">
        <v>122</v>
      </c>
      <c r="MDJ108" s="1" t="s">
        <v>122</v>
      </c>
      <c r="MDK108" s="1" t="s">
        <v>122</v>
      </c>
      <c r="MDL108" s="1" t="s">
        <v>122</v>
      </c>
      <c r="MDM108" s="1" t="s">
        <v>122</v>
      </c>
      <c r="MDN108" s="1" t="s">
        <v>122</v>
      </c>
      <c r="MDO108" s="1" t="s">
        <v>122</v>
      </c>
      <c r="MDP108" s="1" t="s">
        <v>122</v>
      </c>
      <c r="MDQ108" s="1" t="s">
        <v>122</v>
      </c>
      <c r="MDR108" s="1" t="s">
        <v>122</v>
      </c>
      <c r="MDS108" s="1" t="s">
        <v>122</v>
      </c>
      <c r="MDT108" s="1" t="s">
        <v>122</v>
      </c>
      <c r="MDU108" s="1" t="s">
        <v>122</v>
      </c>
      <c r="MDV108" s="1" t="s">
        <v>122</v>
      </c>
      <c r="MDW108" s="1" t="s">
        <v>122</v>
      </c>
      <c r="MDX108" s="1" t="s">
        <v>122</v>
      </c>
      <c r="MDY108" s="1" t="s">
        <v>122</v>
      </c>
      <c r="MDZ108" s="1" t="s">
        <v>122</v>
      </c>
      <c r="MEA108" s="1" t="s">
        <v>122</v>
      </c>
      <c r="MEB108" s="1" t="s">
        <v>122</v>
      </c>
      <c r="MEC108" s="1" t="s">
        <v>122</v>
      </c>
      <c r="MED108" s="1" t="s">
        <v>122</v>
      </c>
      <c r="MEE108" s="1" t="s">
        <v>122</v>
      </c>
      <c r="MEF108" s="1" t="s">
        <v>122</v>
      </c>
      <c r="MEG108" s="1" t="s">
        <v>122</v>
      </c>
      <c r="MEH108" s="1" t="s">
        <v>122</v>
      </c>
      <c r="MEI108" s="1" t="s">
        <v>122</v>
      </c>
      <c r="MEJ108" s="1" t="s">
        <v>122</v>
      </c>
      <c r="MEK108" s="1" t="s">
        <v>122</v>
      </c>
      <c r="MEL108" s="1" t="s">
        <v>122</v>
      </c>
      <c r="MEM108" s="1" t="s">
        <v>122</v>
      </c>
      <c r="MEN108" s="1" t="s">
        <v>122</v>
      </c>
      <c r="MEO108" s="1" t="s">
        <v>122</v>
      </c>
      <c r="MEP108" s="1" t="s">
        <v>122</v>
      </c>
      <c r="MEQ108" s="1" t="s">
        <v>122</v>
      </c>
      <c r="MER108" s="1" t="s">
        <v>122</v>
      </c>
      <c r="MES108" s="1" t="s">
        <v>122</v>
      </c>
      <c r="MET108" s="1" t="s">
        <v>122</v>
      </c>
      <c r="MEU108" s="1" t="s">
        <v>122</v>
      </c>
      <c r="MEV108" s="1" t="s">
        <v>122</v>
      </c>
      <c r="MEW108" s="1" t="s">
        <v>122</v>
      </c>
      <c r="MEX108" s="1" t="s">
        <v>122</v>
      </c>
      <c r="MEY108" s="1" t="s">
        <v>122</v>
      </c>
      <c r="MEZ108" s="1" t="s">
        <v>122</v>
      </c>
      <c r="MFA108" s="1" t="s">
        <v>122</v>
      </c>
      <c r="MFB108" s="1" t="s">
        <v>122</v>
      </c>
      <c r="MFC108" s="1" t="s">
        <v>122</v>
      </c>
      <c r="MFD108" s="1" t="s">
        <v>122</v>
      </c>
      <c r="MFE108" s="1" t="s">
        <v>122</v>
      </c>
      <c r="MFF108" s="1" t="s">
        <v>122</v>
      </c>
      <c r="MFG108" s="1" t="s">
        <v>122</v>
      </c>
      <c r="MFH108" s="1" t="s">
        <v>122</v>
      </c>
      <c r="MFI108" s="1" t="s">
        <v>122</v>
      </c>
      <c r="MFJ108" s="1" t="s">
        <v>122</v>
      </c>
      <c r="MFK108" s="1" t="s">
        <v>122</v>
      </c>
      <c r="MFL108" s="1" t="s">
        <v>122</v>
      </c>
      <c r="MFM108" s="1" t="s">
        <v>122</v>
      </c>
      <c r="MFN108" s="1" t="s">
        <v>122</v>
      </c>
      <c r="MFO108" s="1" t="s">
        <v>122</v>
      </c>
      <c r="MFP108" s="1" t="s">
        <v>122</v>
      </c>
      <c r="MFQ108" s="1" t="s">
        <v>122</v>
      </c>
      <c r="MFR108" s="1" t="s">
        <v>122</v>
      </c>
      <c r="MFS108" s="1" t="s">
        <v>122</v>
      </c>
      <c r="MFT108" s="1" t="s">
        <v>122</v>
      </c>
      <c r="MFU108" s="1" t="s">
        <v>122</v>
      </c>
      <c r="MFV108" s="1" t="s">
        <v>122</v>
      </c>
      <c r="MFW108" s="1" t="s">
        <v>122</v>
      </c>
      <c r="MFX108" s="1" t="s">
        <v>122</v>
      </c>
      <c r="MFY108" s="1" t="s">
        <v>122</v>
      </c>
      <c r="MFZ108" s="1" t="s">
        <v>122</v>
      </c>
      <c r="MGA108" s="1" t="s">
        <v>122</v>
      </c>
      <c r="MGB108" s="1" t="s">
        <v>122</v>
      </c>
      <c r="MGC108" s="1" t="s">
        <v>122</v>
      </c>
      <c r="MGD108" s="1" t="s">
        <v>122</v>
      </c>
      <c r="MGE108" s="1" t="s">
        <v>122</v>
      </c>
      <c r="MGF108" s="1" t="s">
        <v>122</v>
      </c>
      <c r="MGG108" s="1" t="s">
        <v>122</v>
      </c>
      <c r="MGH108" s="1" t="s">
        <v>122</v>
      </c>
      <c r="MGI108" s="1" t="s">
        <v>122</v>
      </c>
      <c r="MGJ108" s="1" t="s">
        <v>122</v>
      </c>
      <c r="MGK108" s="1" t="s">
        <v>122</v>
      </c>
      <c r="MGL108" s="1" t="s">
        <v>122</v>
      </c>
      <c r="MGM108" s="1" t="s">
        <v>122</v>
      </c>
      <c r="MGN108" s="1" t="s">
        <v>122</v>
      </c>
      <c r="MGO108" s="1" t="s">
        <v>122</v>
      </c>
      <c r="MGP108" s="1" t="s">
        <v>122</v>
      </c>
      <c r="MGQ108" s="1" t="s">
        <v>122</v>
      </c>
      <c r="MGR108" s="1" t="s">
        <v>122</v>
      </c>
      <c r="MGS108" s="1" t="s">
        <v>122</v>
      </c>
      <c r="MGT108" s="1" t="s">
        <v>122</v>
      </c>
      <c r="MGU108" s="1" t="s">
        <v>122</v>
      </c>
      <c r="MGV108" s="1" t="s">
        <v>122</v>
      </c>
      <c r="MGW108" s="1" t="s">
        <v>122</v>
      </c>
      <c r="MGX108" s="1" t="s">
        <v>122</v>
      </c>
      <c r="MGY108" s="1" t="s">
        <v>122</v>
      </c>
      <c r="MGZ108" s="1" t="s">
        <v>122</v>
      </c>
      <c r="MHA108" s="1" t="s">
        <v>122</v>
      </c>
      <c r="MHB108" s="1" t="s">
        <v>122</v>
      </c>
      <c r="MHC108" s="1" t="s">
        <v>122</v>
      </c>
      <c r="MHD108" s="1" t="s">
        <v>122</v>
      </c>
      <c r="MHE108" s="1" t="s">
        <v>122</v>
      </c>
      <c r="MHF108" s="1" t="s">
        <v>122</v>
      </c>
      <c r="MHG108" s="1" t="s">
        <v>122</v>
      </c>
      <c r="MHH108" s="1" t="s">
        <v>122</v>
      </c>
      <c r="MHI108" s="1" t="s">
        <v>122</v>
      </c>
      <c r="MHJ108" s="1" t="s">
        <v>122</v>
      </c>
      <c r="MHK108" s="1" t="s">
        <v>122</v>
      </c>
      <c r="MHL108" s="1" t="s">
        <v>122</v>
      </c>
      <c r="MHM108" s="1" t="s">
        <v>122</v>
      </c>
      <c r="MHN108" s="1" t="s">
        <v>122</v>
      </c>
      <c r="MHO108" s="1" t="s">
        <v>122</v>
      </c>
      <c r="MHP108" s="1" t="s">
        <v>122</v>
      </c>
      <c r="MHQ108" s="1" t="s">
        <v>122</v>
      </c>
      <c r="MHR108" s="1" t="s">
        <v>122</v>
      </c>
      <c r="MHS108" s="1" t="s">
        <v>122</v>
      </c>
      <c r="MHT108" s="1" t="s">
        <v>122</v>
      </c>
      <c r="MHU108" s="1" t="s">
        <v>122</v>
      </c>
      <c r="MHV108" s="1" t="s">
        <v>122</v>
      </c>
      <c r="MHW108" s="1" t="s">
        <v>122</v>
      </c>
      <c r="MHX108" s="1" t="s">
        <v>122</v>
      </c>
      <c r="MHY108" s="1" t="s">
        <v>122</v>
      </c>
      <c r="MHZ108" s="1" t="s">
        <v>122</v>
      </c>
      <c r="MIA108" s="1" t="s">
        <v>122</v>
      </c>
      <c r="MIB108" s="1" t="s">
        <v>122</v>
      </c>
      <c r="MIC108" s="1" t="s">
        <v>122</v>
      </c>
      <c r="MID108" s="1" t="s">
        <v>122</v>
      </c>
      <c r="MIE108" s="1" t="s">
        <v>122</v>
      </c>
      <c r="MIF108" s="1" t="s">
        <v>122</v>
      </c>
      <c r="MIG108" s="1" t="s">
        <v>122</v>
      </c>
      <c r="MIH108" s="1" t="s">
        <v>122</v>
      </c>
      <c r="MII108" s="1" t="s">
        <v>122</v>
      </c>
      <c r="MIJ108" s="1" t="s">
        <v>122</v>
      </c>
      <c r="MIK108" s="1" t="s">
        <v>122</v>
      </c>
      <c r="MIL108" s="1" t="s">
        <v>122</v>
      </c>
      <c r="MIM108" s="1" t="s">
        <v>122</v>
      </c>
      <c r="MIN108" s="1" t="s">
        <v>122</v>
      </c>
      <c r="MIO108" s="1" t="s">
        <v>122</v>
      </c>
      <c r="MIP108" s="1" t="s">
        <v>122</v>
      </c>
      <c r="MIQ108" s="1" t="s">
        <v>122</v>
      </c>
      <c r="MIR108" s="1" t="s">
        <v>122</v>
      </c>
      <c r="MIS108" s="1" t="s">
        <v>122</v>
      </c>
      <c r="MIT108" s="1" t="s">
        <v>122</v>
      </c>
      <c r="MIU108" s="1" t="s">
        <v>122</v>
      </c>
      <c r="MIV108" s="1" t="s">
        <v>122</v>
      </c>
      <c r="MIW108" s="1" t="s">
        <v>122</v>
      </c>
      <c r="MIX108" s="1" t="s">
        <v>122</v>
      </c>
      <c r="MIY108" s="1" t="s">
        <v>122</v>
      </c>
      <c r="MIZ108" s="1" t="s">
        <v>122</v>
      </c>
      <c r="MJA108" s="1" t="s">
        <v>122</v>
      </c>
      <c r="MJB108" s="1" t="s">
        <v>122</v>
      </c>
      <c r="MJC108" s="1" t="s">
        <v>122</v>
      </c>
      <c r="MJD108" s="1" t="s">
        <v>122</v>
      </c>
      <c r="MJE108" s="1" t="s">
        <v>122</v>
      </c>
      <c r="MJF108" s="1" t="s">
        <v>122</v>
      </c>
      <c r="MJG108" s="1" t="s">
        <v>122</v>
      </c>
      <c r="MJH108" s="1" t="s">
        <v>122</v>
      </c>
      <c r="MJI108" s="1" t="s">
        <v>122</v>
      </c>
      <c r="MJJ108" s="1" t="s">
        <v>122</v>
      </c>
      <c r="MJK108" s="1" t="s">
        <v>122</v>
      </c>
      <c r="MJL108" s="1" t="s">
        <v>122</v>
      </c>
      <c r="MJM108" s="1" t="s">
        <v>122</v>
      </c>
      <c r="MJN108" s="1" t="s">
        <v>122</v>
      </c>
      <c r="MJO108" s="1" t="s">
        <v>122</v>
      </c>
      <c r="MJP108" s="1" t="s">
        <v>122</v>
      </c>
      <c r="MJQ108" s="1" t="s">
        <v>122</v>
      </c>
      <c r="MJR108" s="1" t="s">
        <v>122</v>
      </c>
      <c r="MJS108" s="1" t="s">
        <v>122</v>
      </c>
      <c r="MJT108" s="1" t="s">
        <v>122</v>
      </c>
      <c r="MJU108" s="1" t="s">
        <v>122</v>
      </c>
      <c r="MJV108" s="1" t="s">
        <v>122</v>
      </c>
      <c r="MJW108" s="1" t="s">
        <v>122</v>
      </c>
      <c r="MJX108" s="1" t="s">
        <v>122</v>
      </c>
      <c r="MJY108" s="1" t="s">
        <v>122</v>
      </c>
      <c r="MJZ108" s="1" t="s">
        <v>122</v>
      </c>
      <c r="MKA108" s="1" t="s">
        <v>122</v>
      </c>
      <c r="MKB108" s="1" t="s">
        <v>122</v>
      </c>
      <c r="MKC108" s="1" t="s">
        <v>122</v>
      </c>
      <c r="MKD108" s="1" t="s">
        <v>122</v>
      </c>
      <c r="MKE108" s="1" t="s">
        <v>122</v>
      </c>
      <c r="MKF108" s="1" t="s">
        <v>122</v>
      </c>
      <c r="MKG108" s="1" t="s">
        <v>122</v>
      </c>
      <c r="MKH108" s="1" t="s">
        <v>122</v>
      </c>
      <c r="MKI108" s="1" t="s">
        <v>122</v>
      </c>
      <c r="MKJ108" s="1" t="s">
        <v>122</v>
      </c>
      <c r="MKK108" s="1" t="s">
        <v>122</v>
      </c>
      <c r="MKL108" s="1" t="s">
        <v>122</v>
      </c>
      <c r="MKM108" s="1" t="s">
        <v>122</v>
      </c>
      <c r="MKN108" s="1" t="s">
        <v>122</v>
      </c>
      <c r="MKO108" s="1" t="s">
        <v>122</v>
      </c>
      <c r="MKP108" s="1" t="s">
        <v>122</v>
      </c>
      <c r="MKQ108" s="1" t="s">
        <v>122</v>
      </c>
      <c r="MKR108" s="1" t="s">
        <v>122</v>
      </c>
      <c r="MKS108" s="1" t="s">
        <v>122</v>
      </c>
      <c r="MKT108" s="1" t="s">
        <v>122</v>
      </c>
      <c r="MKU108" s="1" t="s">
        <v>122</v>
      </c>
      <c r="MKV108" s="1" t="s">
        <v>122</v>
      </c>
      <c r="MKW108" s="1" t="s">
        <v>122</v>
      </c>
      <c r="MKX108" s="1" t="s">
        <v>122</v>
      </c>
      <c r="MKY108" s="1" t="s">
        <v>122</v>
      </c>
      <c r="MKZ108" s="1" t="s">
        <v>122</v>
      </c>
      <c r="MLA108" s="1" t="s">
        <v>122</v>
      </c>
      <c r="MLB108" s="1" t="s">
        <v>122</v>
      </c>
      <c r="MLC108" s="1" t="s">
        <v>122</v>
      </c>
      <c r="MLD108" s="1" t="s">
        <v>122</v>
      </c>
      <c r="MLE108" s="1" t="s">
        <v>122</v>
      </c>
      <c r="MLF108" s="1" t="s">
        <v>122</v>
      </c>
      <c r="MLG108" s="1" t="s">
        <v>122</v>
      </c>
      <c r="MLH108" s="1" t="s">
        <v>122</v>
      </c>
      <c r="MLI108" s="1" t="s">
        <v>122</v>
      </c>
      <c r="MLJ108" s="1" t="s">
        <v>122</v>
      </c>
      <c r="MLK108" s="1" t="s">
        <v>122</v>
      </c>
      <c r="MLL108" s="1" t="s">
        <v>122</v>
      </c>
      <c r="MLM108" s="1" t="s">
        <v>122</v>
      </c>
      <c r="MLN108" s="1" t="s">
        <v>122</v>
      </c>
      <c r="MLO108" s="1" t="s">
        <v>122</v>
      </c>
      <c r="MLP108" s="1" t="s">
        <v>122</v>
      </c>
      <c r="MLQ108" s="1" t="s">
        <v>122</v>
      </c>
      <c r="MLR108" s="1" t="s">
        <v>122</v>
      </c>
      <c r="MLS108" s="1" t="s">
        <v>122</v>
      </c>
      <c r="MLT108" s="1" t="s">
        <v>122</v>
      </c>
      <c r="MLU108" s="1" t="s">
        <v>122</v>
      </c>
      <c r="MLV108" s="1" t="s">
        <v>122</v>
      </c>
      <c r="MLW108" s="1" t="s">
        <v>122</v>
      </c>
      <c r="MLX108" s="1" t="s">
        <v>122</v>
      </c>
      <c r="MLY108" s="1" t="s">
        <v>122</v>
      </c>
      <c r="MLZ108" s="1" t="s">
        <v>122</v>
      </c>
      <c r="MMA108" s="1" t="s">
        <v>122</v>
      </c>
      <c r="MMB108" s="1" t="s">
        <v>122</v>
      </c>
      <c r="MMC108" s="1" t="s">
        <v>122</v>
      </c>
      <c r="MMD108" s="1" t="s">
        <v>122</v>
      </c>
      <c r="MME108" s="1" t="s">
        <v>122</v>
      </c>
      <c r="MMF108" s="1" t="s">
        <v>122</v>
      </c>
      <c r="MMG108" s="1" t="s">
        <v>122</v>
      </c>
      <c r="MMH108" s="1" t="s">
        <v>122</v>
      </c>
      <c r="MMI108" s="1" t="s">
        <v>122</v>
      </c>
      <c r="MMJ108" s="1" t="s">
        <v>122</v>
      </c>
      <c r="MMK108" s="1" t="s">
        <v>122</v>
      </c>
      <c r="MML108" s="1" t="s">
        <v>122</v>
      </c>
      <c r="MMM108" s="1" t="s">
        <v>122</v>
      </c>
      <c r="MMN108" s="1" t="s">
        <v>122</v>
      </c>
      <c r="MMO108" s="1" t="s">
        <v>122</v>
      </c>
      <c r="MMP108" s="1" t="s">
        <v>122</v>
      </c>
      <c r="MMQ108" s="1" t="s">
        <v>122</v>
      </c>
      <c r="MMR108" s="1" t="s">
        <v>122</v>
      </c>
      <c r="MMS108" s="1" t="s">
        <v>122</v>
      </c>
      <c r="MMT108" s="1" t="s">
        <v>122</v>
      </c>
      <c r="MMU108" s="1" t="s">
        <v>122</v>
      </c>
      <c r="MMV108" s="1" t="s">
        <v>122</v>
      </c>
      <c r="MMW108" s="1" t="s">
        <v>122</v>
      </c>
      <c r="MMX108" s="1" t="s">
        <v>122</v>
      </c>
      <c r="MMY108" s="1" t="s">
        <v>122</v>
      </c>
      <c r="MMZ108" s="1" t="s">
        <v>122</v>
      </c>
      <c r="MNA108" s="1" t="s">
        <v>122</v>
      </c>
      <c r="MNB108" s="1" t="s">
        <v>122</v>
      </c>
      <c r="MNC108" s="1" t="s">
        <v>122</v>
      </c>
      <c r="MND108" s="1" t="s">
        <v>122</v>
      </c>
      <c r="MNE108" s="1" t="s">
        <v>122</v>
      </c>
      <c r="MNF108" s="1" t="s">
        <v>122</v>
      </c>
      <c r="MNG108" s="1" t="s">
        <v>122</v>
      </c>
      <c r="MNH108" s="1" t="s">
        <v>122</v>
      </c>
      <c r="MNI108" s="1" t="s">
        <v>122</v>
      </c>
      <c r="MNJ108" s="1" t="s">
        <v>122</v>
      </c>
      <c r="MNK108" s="1" t="s">
        <v>122</v>
      </c>
      <c r="MNL108" s="1" t="s">
        <v>122</v>
      </c>
      <c r="MNM108" s="1" t="s">
        <v>122</v>
      </c>
      <c r="MNN108" s="1" t="s">
        <v>122</v>
      </c>
      <c r="MNO108" s="1" t="s">
        <v>122</v>
      </c>
      <c r="MNP108" s="1" t="s">
        <v>122</v>
      </c>
      <c r="MNQ108" s="1" t="s">
        <v>122</v>
      </c>
      <c r="MNR108" s="1" t="s">
        <v>122</v>
      </c>
      <c r="MNS108" s="1" t="s">
        <v>122</v>
      </c>
      <c r="MNT108" s="1" t="s">
        <v>122</v>
      </c>
      <c r="MNU108" s="1" t="s">
        <v>122</v>
      </c>
      <c r="MNV108" s="1" t="s">
        <v>122</v>
      </c>
      <c r="MNW108" s="1" t="s">
        <v>122</v>
      </c>
      <c r="MNX108" s="1" t="s">
        <v>122</v>
      </c>
      <c r="MNY108" s="1" t="s">
        <v>122</v>
      </c>
      <c r="MNZ108" s="1" t="s">
        <v>122</v>
      </c>
      <c r="MOA108" s="1" t="s">
        <v>122</v>
      </c>
      <c r="MOB108" s="1" t="s">
        <v>122</v>
      </c>
      <c r="MOC108" s="1" t="s">
        <v>122</v>
      </c>
      <c r="MOD108" s="1" t="s">
        <v>122</v>
      </c>
      <c r="MOE108" s="1" t="s">
        <v>122</v>
      </c>
      <c r="MOF108" s="1" t="s">
        <v>122</v>
      </c>
      <c r="MOG108" s="1" t="s">
        <v>122</v>
      </c>
      <c r="MOH108" s="1" t="s">
        <v>122</v>
      </c>
      <c r="MOI108" s="1" t="s">
        <v>122</v>
      </c>
      <c r="MOJ108" s="1" t="s">
        <v>122</v>
      </c>
      <c r="MOK108" s="1" t="s">
        <v>122</v>
      </c>
      <c r="MOL108" s="1" t="s">
        <v>122</v>
      </c>
      <c r="MOM108" s="1" t="s">
        <v>122</v>
      </c>
      <c r="MON108" s="1" t="s">
        <v>122</v>
      </c>
      <c r="MOO108" s="1" t="s">
        <v>122</v>
      </c>
      <c r="MOP108" s="1" t="s">
        <v>122</v>
      </c>
      <c r="MOQ108" s="1" t="s">
        <v>122</v>
      </c>
      <c r="MOR108" s="1" t="s">
        <v>122</v>
      </c>
      <c r="MOS108" s="1" t="s">
        <v>122</v>
      </c>
      <c r="MOT108" s="1" t="s">
        <v>122</v>
      </c>
      <c r="MOU108" s="1" t="s">
        <v>122</v>
      </c>
      <c r="MOV108" s="1" t="s">
        <v>122</v>
      </c>
      <c r="MOW108" s="1" t="s">
        <v>122</v>
      </c>
      <c r="MOX108" s="1" t="s">
        <v>122</v>
      </c>
      <c r="MOY108" s="1" t="s">
        <v>122</v>
      </c>
      <c r="MOZ108" s="1" t="s">
        <v>122</v>
      </c>
      <c r="MPA108" s="1" t="s">
        <v>122</v>
      </c>
      <c r="MPB108" s="1" t="s">
        <v>122</v>
      </c>
      <c r="MPC108" s="1" t="s">
        <v>122</v>
      </c>
      <c r="MPD108" s="1" t="s">
        <v>122</v>
      </c>
      <c r="MPE108" s="1" t="s">
        <v>122</v>
      </c>
      <c r="MPF108" s="1" t="s">
        <v>122</v>
      </c>
      <c r="MPG108" s="1" t="s">
        <v>122</v>
      </c>
      <c r="MPH108" s="1" t="s">
        <v>122</v>
      </c>
      <c r="MPI108" s="1" t="s">
        <v>122</v>
      </c>
      <c r="MPJ108" s="1" t="s">
        <v>122</v>
      </c>
      <c r="MPK108" s="1" t="s">
        <v>122</v>
      </c>
      <c r="MPL108" s="1" t="s">
        <v>122</v>
      </c>
      <c r="MPM108" s="1" t="s">
        <v>122</v>
      </c>
      <c r="MPN108" s="1" t="s">
        <v>122</v>
      </c>
      <c r="MPO108" s="1" t="s">
        <v>122</v>
      </c>
      <c r="MPP108" s="1" t="s">
        <v>122</v>
      </c>
      <c r="MPQ108" s="1" t="s">
        <v>122</v>
      </c>
      <c r="MPR108" s="1" t="s">
        <v>122</v>
      </c>
      <c r="MPS108" s="1" t="s">
        <v>122</v>
      </c>
      <c r="MPT108" s="1" t="s">
        <v>122</v>
      </c>
      <c r="MPU108" s="1" t="s">
        <v>122</v>
      </c>
      <c r="MPV108" s="1" t="s">
        <v>122</v>
      </c>
      <c r="MPW108" s="1" t="s">
        <v>122</v>
      </c>
      <c r="MPX108" s="1" t="s">
        <v>122</v>
      </c>
      <c r="MPY108" s="1" t="s">
        <v>122</v>
      </c>
      <c r="MPZ108" s="1" t="s">
        <v>122</v>
      </c>
      <c r="MQA108" s="1" t="s">
        <v>122</v>
      </c>
      <c r="MQB108" s="1" t="s">
        <v>122</v>
      </c>
      <c r="MQC108" s="1" t="s">
        <v>122</v>
      </c>
      <c r="MQD108" s="1" t="s">
        <v>122</v>
      </c>
      <c r="MQE108" s="1" t="s">
        <v>122</v>
      </c>
      <c r="MQF108" s="1" t="s">
        <v>122</v>
      </c>
      <c r="MQG108" s="1" t="s">
        <v>122</v>
      </c>
      <c r="MQH108" s="1" t="s">
        <v>122</v>
      </c>
      <c r="MQI108" s="1" t="s">
        <v>122</v>
      </c>
      <c r="MQJ108" s="1" t="s">
        <v>122</v>
      </c>
      <c r="MQK108" s="1" t="s">
        <v>122</v>
      </c>
      <c r="MQL108" s="1" t="s">
        <v>122</v>
      </c>
      <c r="MQM108" s="1" t="s">
        <v>122</v>
      </c>
      <c r="MQN108" s="1" t="s">
        <v>122</v>
      </c>
      <c r="MQO108" s="1" t="s">
        <v>122</v>
      </c>
      <c r="MQP108" s="1" t="s">
        <v>122</v>
      </c>
      <c r="MQQ108" s="1" t="s">
        <v>122</v>
      </c>
      <c r="MQR108" s="1" t="s">
        <v>122</v>
      </c>
      <c r="MQS108" s="1" t="s">
        <v>122</v>
      </c>
      <c r="MQT108" s="1" t="s">
        <v>122</v>
      </c>
      <c r="MQU108" s="1" t="s">
        <v>122</v>
      </c>
      <c r="MQV108" s="1" t="s">
        <v>122</v>
      </c>
      <c r="MQW108" s="1" t="s">
        <v>122</v>
      </c>
      <c r="MQX108" s="1" t="s">
        <v>122</v>
      </c>
      <c r="MQY108" s="1" t="s">
        <v>122</v>
      </c>
      <c r="MQZ108" s="1" t="s">
        <v>122</v>
      </c>
      <c r="MRA108" s="1" t="s">
        <v>122</v>
      </c>
      <c r="MRB108" s="1" t="s">
        <v>122</v>
      </c>
      <c r="MRC108" s="1" t="s">
        <v>122</v>
      </c>
      <c r="MRD108" s="1" t="s">
        <v>122</v>
      </c>
      <c r="MRE108" s="1" t="s">
        <v>122</v>
      </c>
      <c r="MRF108" s="1" t="s">
        <v>122</v>
      </c>
      <c r="MRG108" s="1" t="s">
        <v>122</v>
      </c>
      <c r="MRH108" s="1" t="s">
        <v>122</v>
      </c>
      <c r="MRI108" s="1" t="s">
        <v>122</v>
      </c>
      <c r="MRJ108" s="1" t="s">
        <v>122</v>
      </c>
      <c r="MRK108" s="1" t="s">
        <v>122</v>
      </c>
      <c r="MRL108" s="1" t="s">
        <v>122</v>
      </c>
      <c r="MRM108" s="1" t="s">
        <v>122</v>
      </c>
      <c r="MRN108" s="1" t="s">
        <v>122</v>
      </c>
      <c r="MRO108" s="1" t="s">
        <v>122</v>
      </c>
      <c r="MRP108" s="1" t="s">
        <v>122</v>
      </c>
      <c r="MRQ108" s="1" t="s">
        <v>122</v>
      </c>
      <c r="MRR108" s="1" t="s">
        <v>122</v>
      </c>
      <c r="MRS108" s="1" t="s">
        <v>122</v>
      </c>
      <c r="MRT108" s="1" t="s">
        <v>122</v>
      </c>
      <c r="MRU108" s="1" t="s">
        <v>122</v>
      </c>
      <c r="MRV108" s="1" t="s">
        <v>122</v>
      </c>
      <c r="MRW108" s="1" t="s">
        <v>122</v>
      </c>
      <c r="MRX108" s="1" t="s">
        <v>122</v>
      </c>
      <c r="MRY108" s="1" t="s">
        <v>122</v>
      </c>
      <c r="MRZ108" s="1" t="s">
        <v>122</v>
      </c>
      <c r="MSA108" s="1" t="s">
        <v>122</v>
      </c>
      <c r="MSB108" s="1" t="s">
        <v>122</v>
      </c>
      <c r="MSC108" s="1" t="s">
        <v>122</v>
      </c>
      <c r="MSD108" s="1" t="s">
        <v>122</v>
      </c>
      <c r="MSE108" s="1" t="s">
        <v>122</v>
      </c>
      <c r="MSF108" s="1" t="s">
        <v>122</v>
      </c>
      <c r="MSG108" s="1" t="s">
        <v>122</v>
      </c>
      <c r="MSH108" s="1" t="s">
        <v>122</v>
      </c>
      <c r="MSI108" s="1" t="s">
        <v>122</v>
      </c>
      <c r="MSJ108" s="1" t="s">
        <v>122</v>
      </c>
      <c r="MSK108" s="1" t="s">
        <v>122</v>
      </c>
      <c r="MSL108" s="1" t="s">
        <v>122</v>
      </c>
      <c r="MSM108" s="1" t="s">
        <v>122</v>
      </c>
      <c r="MSN108" s="1" t="s">
        <v>122</v>
      </c>
      <c r="MSO108" s="1" t="s">
        <v>122</v>
      </c>
      <c r="MSP108" s="1" t="s">
        <v>122</v>
      </c>
      <c r="MSQ108" s="1" t="s">
        <v>122</v>
      </c>
      <c r="MSR108" s="1" t="s">
        <v>122</v>
      </c>
      <c r="MSS108" s="1" t="s">
        <v>122</v>
      </c>
      <c r="MST108" s="1" t="s">
        <v>122</v>
      </c>
      <c r="MSU108" s="1" t="s">
        <v>122</v>
      </c>
      <c r="MSV108" s="1" t="s">
        <v>122</v>
      </c>
      <c r="MSW108" s="1" t="s">
        <v>122</v>
      </c>
      <c r="MSX108" s="1" t="s">
        <v>122</v>
      </c>
      <c r="MSY108" s="1" t="s">
        <v>122</v>
      </c>
      <c r="MSZ108" s="1" t="s">
        <v>122</v>
      </c>
      <c r="MTA108" s="1" t="s">
        <v>122</v>
      </c>
      <c r="MTB108" s="1" t="s">
        <v>122</v>
      </c>
      <c r="MTC108" s="1" t="s">
        <v>122</v>
      </c>
      <c r="MTD108" s="1" t="s">
        <v>122</v>
      </c>
      <c r="MTE108" s="1" t="s">
        <v>122</v>
      </c>
      <c r="MTF108" s="1" t="s">
        <v>122</v>
      </c>
      <c r="MTG108" s="1" t="s">
        <v>122</v>
      </c>
      <c r="MTH108" s="1" t="s">
        <v>122</v>
      </c>
      <c r="MTI108" s="1" t="s">
        <v>122</v>
      </c>
      <c r="MTJ108" s="1" t="s">
        <v>122</v>
      </c>
      <c r="MTK108" s="1" t="s">
        <v>122</v>
      </c>
      <c r="MTL108" s="1" t="s">
        <v>122</v>
      </c>
      <c r="MTM108" s="1" t="s">
        <v>122</v>
      </c>
      <c r="MTN108" s="1" t="s">
        <v>122</v>
      </c>
      <c r="MTO108" s="1" t="s">
        <v>122</v>
      </c>
      <c r="MTP108" s="1" t="s">
        <v>122</v>
      </c>
      <c r="MTQ108" s="1" t="s">
        <v>122</v>
      </c>
      <c r="MTR108" s="1" t="s">
        <v>122</v>
      </c>
      <c r="MTS108" s="1" t="s">
        <v>122</v>
      </c>
      <c r="MTT108" s="1" t="s">
        <v>122</v>
      </c>
      <c r="MTU108" s="1" t="s">
        <v>122</v>
      </c>
      <c r="MTV108" s="1" t="s">
        <v>122</v>
      </c>
      <c r="MTW108" s="1" t="s">
        <v>122</v>
      </c>
      <c r="MTX108" s="1" t="s">
        <v>122</v>
      </c>
      <c r="MTY108" s="1" t="s">
        <v>122</v>
      </c>
      <c r="MTZ108" s="1" t="s">
        <v>122</v>
      </c>
      <c r="MUA108" s="1" t="s">
        <v>122</v>
      </c>
      <c r="MUB108" s="1" t="s">
        <v>122</v>
      </c>
      <c r="MUC108" s="1" t="s">
        <v>122</v>
      </c>
      <c r="MUD108" s="1" t="s">
        <v>122</v>
      </c>
      <c r="MUE108" s="1" t="s">
        <v>122</v>
      </c>
      <c r="MUF108" s="1" t="s">
        <v>122</v>
      </c>
      <c r="MUG108" s="1" t="s">
        <v>122</v>
      </c>
      <c r="MUH108" s="1" t="s">
        <v>122</v>
      </c>
      <c r="MUI108" s="1" t="s">
        <v>122</v>
      </c>
      <c r="MUJ108" s="1" t="s">
        <v>122</v>
      </c>
      <c r="MUK108" s="1" t="s">
        <v>122</v>
      </c>
      <c r="MUL108" s="1" t="s">
        <v>122</v>
      </c>
      <c r="MUM108" s="1" t="s">
        <v>122</v>
      </c>
      <c r="MUN108" s="1" t="s">
        <v>122</v>
      </c>
      <c r="MUO108" s="1" t="s">
        <v>122</v>
      </c>
      <c r="MUP108" s="1" t="s">
        <v>122</v>
      </c>
      <c r="MUQ108" s="1" t="s">
        <v>122</v>
      </c>
      <c r="MUR108" s="1" t="s">
        <v>122</v>
      </c>
      <c r="MUS108" s="1" t="s">
        <v>122</v>
      </c>
      <c r="MUT108" s="1" t="s">
        <v>122</v>
      </c>
      <c r="MUU108" s="1" t="s">
        <v>122</v>
      </c>
      <c r="MUV108" s="1" t="s">
        <v>122</v>
      </c>
      <c r="MUW108" s="1" t="s">
        <v>122</v>
      </c>
      <c r="MUX108" s="1" t="s">
        <v>122</v>
      </c>
      <c r="MUY108" s="1" t="s">
        <v>122</v>
      </c>
      <c r="MUZ108" s="1" t="s">
        <v>122</v>
      </c>
      <c r="MVA108" s="1" t="s">
        <v>122</v>
      </c>
      <c r="MVB108" s="1" t="s">
        <v>122</v>
      </c>
      <c r="MVC108" s="1" t="s">
        <v>122</v>
      </c>
      <c r="MVD108" s="1" t="s">
        <v>122</v>
      </c>
      <c r="MVE108" s="1" t="s">
        <v>122</v>
      </c>
      <c r="MVF108" s="1" t="s">
        <v>122</v>
      </c>
      <c r="MVG108" s="1" t="s">
        <v>122</v>
      </c>
      <c r="MVH108" s="1" t="s">
        <v>122</v>
      </c>
      <c r="MVI108" s="1" t="s">
        <v>122</v>
      </c>
      <c r="MVJ108" s="1" t="s">
        <v>122</v>
      </c>
      <c r="MVK108" s="1" t="s">
        <v>122</v>
      </c>
      <c r="MVL108" s="1" t="s">
        <v>122</v>
      </c>
      <c r="MVM108" s="1" t="s">
        <v>122</v>
      </c>
      <c r="MVN108" s="1" t="s">
        <v>122</v>
      </c>
      <c r="MVO108" s="1" t="s">
        <v>122</v>
      </c>
      <c r="MVP108" s="1" t="s">
        <v>122</v>
      </c>
      <c r="MVQ108" s="1" t="s">
        <v>122</v>
      </c>
      <c r="MVR108" s="1" t="s">
        <v>122</v>
      </c>
      <c r="MVS108" s="1" t="s">
        <v>122</v>
      </c>
      <c r="MVT108" s="1" t="s">
        <v>122</v>
      </c>
      <c r="MVU108" s="1" t="s">
        <v>122</v>
      </c>
      <c r="MVV108" s="1" t="s">
        <v>122</v>
      </c>
      <c r="MVW108" s="1" t="s">
        <v>122</v>
      </c>
      <c r="MVX108" s="1" t="s">
        <v>122</v>
      </c>
      <c r="MVY108" s="1" t="s">
        <v>122</v>
      </c>
      <c r="MVZ108" s="1" t="s">
        <v>122</v>
      </c>
      <c r="MWA108" s="1" t="s">
        <v>122</v>
      </c>
      <c r="MWB108" s="1" t="s">
        <v>122</v>
      </c>
      <c r="MWC108" s="1" t="s">
        <v>122</v>
      </c>
      <c r="MWD108" s="1" t="s">
        <v>122</v>
      </c>
      <c r="MWE108" s="1" t="s">
        <v>122</v>
      </c>
      <c r="MWF108" s="1" t="s">
        <v>122</v>
      </c>
      <c r="MWG108" s="1" t="s">
        <v>122</v>
      </c>
      <c r="MWH108" s="1" t="s">
        <v>122</v>
      </c>
      <c r="MWI108" s="1" t="s">
        <v>122</v>
      </c>
      <c r="MWJ108" s="1" t="s">
        <v>122</v>
      </c>
      <c r="MWK108" s="1" t="s">
        <v>122</v>
      </c>
      <c r="MWL108" s="1" t="s">
        <v>122</v>
      </c>
      <c r="MWM108" s="1" t="s">
        <v>122</v>
      </c>
      <c r="MWN108" s="1" t="s">
        <v>122</v>
      </c>
      <c r="MWO108" s="1" t="s">
        <v>122</v>
      </c>
      <c r="MWP108" s="1" t="s">
        <v>122</v>
      </c>
      <c r="MWQ108" s="1" t="s">
        <v>122</v>
      </c>
      <c r="MWR108" s="1" t="s">
        <v>122</v>
      </c>
      <c r="MWS108" s="1" t="s">
        <v>122</v>
      </c>
      <c r="MWT108" s="1" t="s">
        <v>122</v>
      </c>
      <c r="MWU108" s="1" t="s">
        <v>122</v>
      </c>
      <c r="MWV108" s="1" t="s">
        <v>122</v>
      </c>
      <c r="MWW108" s="1" t="s">
        <v>122</v>
      </c>
      <c r="MWX108" s="1" t="s">
        <v>122</v>
      </c>
      <c r="MWY108" s="1" t="s">
        <v>122</v>
      </c>
      <c r="MWZ108" s="1" t="s">
        <v>122</v>
      </c>
      <c r="MXA108" s="1" t="s">
        <v>122</v>
      </c>
      <c r="MXB108" s="1" t="s">
        <v>122</v>
      </c>
      <c r="MXC108" s="1" t="s">
        <v>122</v>
      </c>
      <c r="MXD108" s="1" t="s">
        <v>122</v>
      </c>
      <c r="MXE108" s="1" t="s">
        <v>122</v>
      </c>
      <c r="MXF108" s="1" t="s">
        <v>122</v>
      </c>
      <c r="MXG108" s="1" t="s">
        <v>122</v>
      </c>
      <c r="MXH108" s="1" t="s">
        <v>122</v>
      </c>
      <c r="MXI108" s="1" t="s">
        <v>122</v>
      </c>
      <c r="MXJ108" s="1" t="s">
        <v>122</v>
      </c>
      <c r="MXK108" s="1" t="s">
        <v>122</v>
      </c>
      <c r="MXL108" s="1" t="s">
        <v>122</v>
      </c>
      <c r="MXM108" s="1" t="s">
        <v>122</v>
      </c>
      <c r="MXN108" s="1" t="s">
        <v>122</v>
      </c>
      <c r="MXO108" s="1" t="s">
        <v>122</v>
      </c>
      <c r="MXP108" s="1" t="s">
        <v>122</v>
      </c>
      <c r="MXQ108" s="1" t="s">
        <v>122</v>
      </c>
      <c r="MXR108" s="1" t="s">
        <v>122</v>
      </c>
      <c r="MXS108" s="1" t="s">
        <v>122</v>
      </c>
      <c r="MXT108" s="1" t="s">
        <v>122</v>
      </c>
      <c r="MXU108" s="1" t="s">
        <v>122</v>
      </c>
      <c r="MXV108" s="1" t="s">
        <v>122</v>
      </c>
      <c r="MXW108" s="1" t="s">
        <v>122</v>
      </c>
      <c r="MXX108" s="1" t="s">
        <v>122</v>
      </c>
      <c r="MXY108" s="1" t="s">
        <v>122</v>
      </c>
      <c r="MXZ108" s="1" t="s">
        <v>122</v>
      </c>
      <c r="MYA108" s="1" t="s">
        <v>122</v>
      </c>
      <c r="MYB108" s="1" t="s">
        <v>122</v>
      </c>
      <c r="MYC108" s="1" t="s">
        <v>122</v>
      </c>
      <c r="MYD108" s="1" t="s">
        <v>122</v>
      </c>
      <c r="MYE108" s="1" t="s">
        <v>122</v>
      </c>
      <c r="MYF108" s="1" t="s">
        <v>122</v>
      </c>
      <c r="MYG108" s="1" t="s">
        <v>122</v>
      </c>
      <c r="MYH108" s="1" t="s">
        <v>122</v>
      </c>
      <c r="MYI108" s="1" t="s">
        <v>122</v>
      </c>
      <c r="MYJ108" s="1" t="s">
        <v>122</v>
      </c>
      <c r="MYK108" s="1" t="s">
        <v>122</v>
      </c>
      <c r="MYL108" s="1" t="s">
        <v>122</v>
      </c>
      <c r="MYM108" s="1" t="s">
        <v>122</v>
      </c>
      <c r="MYN108" s="1" t="s">
        <v>122</v>
      </c>
      <c r="MYO108" s="1" t="s">
        <v>122</v>
      </c>
      <c r="MYP108" s="1" t="s">
        <v>122</v>
      </c>
      <c r="MYQ108" s="1" t="s">
        <v>122</v>
      </c>
      <c r="MYR108" s="1" t="s">
        <v>122</v>
      </c>
      <c r="MYS108" s="1" t="s">
        <v>122</v>
      </c>
      <c r="MYT108" s="1" t="s">
        <v>122</v>
      </c>
      <c r="MYU108" s="1" t="s">
        <v>122</v>
      </c>
      <c r="MYV108" s="1" t="s">
        <v>122</v>
      </c>
      <c r="MYW108" s="1" t="s">
        <v>122</v>
      </c>
      <c r="MYX108" s="1" t="s">
        <v>122</v>
      </c>
      <c r="MYY108" s="1" t="s">
        <v>122</v>
      </c>
      <c r="MYZ108" s="1" t="s">
        <v>122</v>
      </c>
      <c r="MZA108" s="1" t="s">
        <v>122</v>
      </c>
      <c r="MZB108" s="1" t="s">
        <v>122</v>
      </c>
      <c r="MZC108" s="1" t="s">
        <v>122</v>
      </c>
      <c r="MZD108" s="1" t="s">
        <v>122</v>
      </c>
      <c r="MZE108" s="1" t="s">
        <v>122</v>
      </c>
      <c r="MZF108" s="1" t="s">
        <v>122</v>
      </c>
      <c r="MZG108" s="1" t="s">
        <v>122</v>
      </c>
      <c r="MZH108" s="1" t="s">
        <v>122</v>
      </c>
      <c r="MZI108" s="1" t="s">
        <v>122</v>
      </c>
      <c r="MZJ108" s="1" t="s">
        <v>122</v>
      </c>
      <c r="MZK108" s="1" t="s">
        <v>122</v>
      </c>
      <c r="MZL108" s="1" t="s">
        <v>122</v>
      </c>
      <c r="MZM108" s="1" t="s">
        <v>122</v>
      </c>
      <c r="MZN108" s="1" t="s">
        <v>122</v>
      </c>
      <c r="MZO108" s="1" t="s">
        <v>122</v>
      </c>
      <c r="MZP108" s="1" t="s">
        <v>122</v>
      </c>
      <c r="MZQ108" s="1" t="s">
        <v>122</v>
      </c>
      <c r="MZR108" s="1" t="s">
        <v>122</v>
      </c>
      <c r="MZS108" s="1" t="s">
        <v>122</v>
      </c>
      <c r="MZT108" s="1" t="s">
        <v>122</v>
      </c>
      <c r="MZU108" s="1" t="s">
        <v>122</v>
      </c>
      <c r="MZV108" s="1" t="s">
        <v>122</v>
      </c>
      <c r="MZW108" s="1" t="s">
        <v>122</v>
      </c>
      <c r="MZX108" s="1" t="s">
        <v>122</v>
      </c>
      <c r="MZY108" s="1" t="s">
        <v>122</v>
      </c>
      <c r="MZZ108" s="1" t="s">
        <v>122</v>
      </c>
      <c r="NAA108" s="1" t="s">
        <v>122</v>
      </c>
      <c r="NAB108" s="1" t="s">
        <v>122</v>
      </c>
      <c r="NAC108" s="1" t="s">
        <v>122</v>
      </c>
      <c r="NAD108" s="1" t="s">
        <v>122</v>
      </c>
      <c r="NAE108" s="1" t="s">
        <v>122</v>
      </c>
      <c r="NAF108" s="1" t="s">
        <v>122</v>
      </c>
      <c r="NAG108" s="1" t="s">
        <v>122</v>
      </c>
      <c r="NAH108" s="1" t="s">
        <v>122</v>
      </c>
      <c r="NAI108" s="1" t="s">
        <v>122</v>
      </c>
      <c r="NAJ108" s="1" t="s">
        <v>122</v>
      </c>
      <c r="NAK108" s="1" t="s">
        <v>122</v>
      </c>
      <c r="NAL108" s="1" t="s">
        <v>122</v>
      </c>
      <c r="NAM108" s="1" t="s">
        <v>122</v>
      </c>
      <c r="NAN108" s="1" t="s">
        <v>122</v>
      </c>
      <c r="NAO108" s="1" t="s">
        <v>122</v>
      </c>
      <c r="NAP108" s="1" t="s">
        <v>122</v>
      </c>
      <c r="NAQ108" s="1" t="s">
        <v>122</v>
      </c>
      <c r="NAR108" s="1" t="s">
        <v>122</v>
      </c>
      <c r="NAS108" s="1" t="s">
        <v>122</v>
      </c>
      <c r="NAT108" s="1" t="s">
        <v>122</v>
      </c>
      <c r="NAU108" s="1" t="s">
        <v>122</v>
      </c>
      <c r="NAV108" s="1" t="s">
        <v>122</v>
      </c>
      <c r="NAW108" s="1" t="s">
        <v>122</v>
      </c>
      <c r="NAX108" s="1" t="s">
        <v>122</v>
      </c>
      <c r="NAY108" s="1" t="s">
        <v>122</v>
      </c>
      <c r="NAZ108" s="1" t="s">
        <v>122</v>
      </c>
      <c r="NBA108" s="1" t="s">
        <v>122</v>
      </c>
      <c r="NBB108" s="1" t="s">
        <v>122</v>
      </c>
      <c r="NBC108" s="1" t="s">
        <v>122</v>
      </c>
      <c r="NBD108" s="1" t="s">
        <v>122</v>
      </c>
      <c r="NBE108" s="1" t="s">
        <v>122</v>
      </c>
      <c r="NBF108" s="1" t="s">
        <v>122</v>
      </c>
      <c r="NBG108" s="1" t="s">
        <v>122</v>
      </c>
      <c r="NBH108" s="1" t="s">
        <v>122</v>
      </c>
      <c r="NBI108" s="1" t="s">
        <v>122</v>
      </c>
      <c r="NBJ108" s="1" t="s">
        <v>122</v>
      </c>
      <c r="NBK108" s="1" t="s">
        <v>122</v>
      </c>
      <c r="NBL108" s="1" t="s">
        <v>122</v>
      </c>
      <c r="NBM108" s="1" t="s">
        <v>122</v>
      </c>
      <c r="NBN108" s="1" t="s">
        <v>122</v>
      </c>
      <c r="NBO108" s="1" t="s">
        <v>122</v>
      </c>
      <c r="NBP108" s="1" t="s">
        <v>122</v>
      </c>
      <c r="NBQ108" s="1" t="s">
        <v>122</v>
      </c>
      <c r="NBR108" s="1" t="s">
        <v>122</v>
      </c>
      <c r="NBS108" s="1" t="s">
        <v>122</v>
      </c>
      <c r="NBT108" s="1" t="s">
        <v>122</v>
      </c>
      <c r="NBU108" s="1" t="s">
        <v>122</v>
      </c>
      <c r="NBV108" s="1" t="s">
        <v>122</v>
      </c>
      <c r="NBW108" s="1" t="s">
        <v>122</v>
      </c>
      <c r="NBX108" s="1" t="s">
        <v>122</v>
      </c>
      <c r="NBY108" s="1" t="s">
        <v>122</v>
      </c>
      <c r="NBZ108" s="1" t="s">
        <v>122</v>
      </c>
      <c r="NCA108" s="1" t="s">
        <v>122</v>
      </c>
      <c r="NCB108" s="1" t="s">
        <v>122</v>
      </c>
      <c r="NCC108" s="1" t="s">
        <v>122</v>
      </c>
      <c r="NCD108" s="1" t="s">
        <v>122</v>
      </c>
      <c r="NCE108" s="1" t="s">
        <v>122</v>
      </c>
      <c r="NCF108" s="1" t="s">
        <v>122</v>
      </c>
      <c r="NCG108" s="1" t="s">
        <v>122</v>
      </c>
      <c r="NCH108" s="1" t="s">
        <v>122</v>
      </c>
      <c r="NCI108" s="1" t="s">
        <v>122</v>
      </c>
      <c r="NCJ108" s="1" t="s">
        <v>122</v>
      </c>
      <c r="NCK108" s="1" t="s">
        <v>122</v>
      </c>
      <c r="NCL108" s="1" t="s">
        <v>122</v>
      </c>
      <c r="NCM108" s="1" t="s">
        <v>122</v>
      </c>
      <c r="NCN108" s="1" t="s">
        <v>122</v>
      </c>
      <c r="NCO108" s="1" t="s">
        <v>122</v>
      </c>
      <c r="NCP108" s="1" t="s">
        <v>122</v>
      </c>
      <c r="NCQ108" s="1" t="s">
        <v>122</v>
      </c>
      <c r="NCR108" s="1" t="s">
        <v>122</v>
      </c>
      <c r="NCS108" s="1" t="s">
        <v>122</v>
      </c>
      <c r="NCT108" s="1" t="s">
        <v>122</v>
      </c>
      <c r="NCU108" s="1" t="s">
        <v>122</v>
      </c>
      <c r="NCV108" s="1" t="s">
        <v>122</v>
      </c>
      <c r="NCW108" s="1" t="s">
        <v>122</v>
      </c>
      <c r="NCX108" s="1" t="s">
        <v>122</v>
      </c>
      <c r="NCY108" s="1" t="s">
        <v>122</v>
      </c>
      <c r="NCZ108" s="1" t="s">
        <v>122</v>
      </c>
      <c r="NDA108" s="1" t="s">
        <v>122</v>
      </c>
      <c r="NDB108" s="1" t="s">
        <v>122</v>
      </c>
      <c r="NDC108" s="1" t="s">
        <v>122</v>
      </c>
      <c r="NDD108" s="1" t="s">
        <v>122</v>
      </c>
      <c r="NDE108" s="1" t="s">
        <v>122</v>
      </c>
      <c r="NDF108" s="1" t="s">
        <v>122</v>
      </c>
      <c r="NDG108" s="1" t="s">
        <v>122</v>
      </c>
      <c r="NDH108" s="1" t="s">
        <v>122</v>
      </c>
      <c r="NDI108" s="1" t="s">
        <v>122</v>
      </c>
      <c r="NDJ108" s="1" t="s">
        <v>122</v>
      </c>
      <c r="NDK108" s="1" t="s">
        <v>122</v>
      </c>
      <c r="NDL108" s="1" t="s">
        <v>122</v>
      </c>
      <c r="NDM108" s="1" t="s">
        <v>122</v>
      </c>
      <c r="NDN108" s="1" t="s">
        <v>122</v>
      </c>
      <c r="NDO108" s="1" t="s">
        <v>122</v>
      </c>
      <c r="NDP108" s="1" t="s">
        <v>122</v>
      </c>
      <c r="NDQ108" s="1" t="s">
        <v>122</v>
      </c>
      <c r="NDR108" s="1" t="s">
        <v>122</v>
      </c>
      <c r="NDS108" s="1" t="s">
        <v>122</v>
      </c>
      <c r="NDT108" s="1" t="s">
        <v>122</v>
      </c>
      <c r="NDU108" s="1" t="s">
        <v>122</v>
      </c>
      <c r="NDV108" s="1" t="s">
        <v>122</v>
      </c>
      <c r="NDW108" s="1" t="s">
        <v>122</v>
      </c>
      <c r="NDX108" s="1" t="s">
        <v>122</v>
      </c>
      <c r="NDY108" s="1" t="s">
        <v>122</v>
      </c>
      <c r="NDZ108" s="1" t="s">
        <v>122</v>
      </c>
      <c r="NEA108" s="1" t="s">
        <v>122</v>
      </c>
      <c r="NEB108" s="1" t="s">
        <v>122</v>
      </c>
      <c r="NEC108" s="1" t="s">
        <v>122</v>
      </c>
      <c r="NED108" s="1" t="s">
        <v>122</v>
      </c>
      <c r="NEE108" s="1" t="s">
        <v>122</v>
      </c>
      <c r="NEF108" s="1" t="s">
        <v>122</v>
      </c>
      <c r="NEG108" s="1" t="s">
        <v>122</v>
      </c>
      <c r="NEH108" s="1" t="s">
        <v>122</v>
      </c>
      <c r="NEI108" s="1" t="s">
        <v>122</v>
      </c>
      <c r="NEJ108" s="1" t="s">
        <v>122</v>
      </c>
      <c r="NEK108" s="1" t="s">
        <v>122</v>
      </c>
      <c r="NEL108" s="1" t="s">
        <v>122</v>
      </c>
      <c r="NEM108" s="1" t="s">
        <v>122</v>
      </c>
      <c r="NEN108" s="1" t="s">
        <v>122</v>
      </c>
      <c r="NEO108" s="1" t="s">
        <v>122</v>
      </c>
      <c r="NEP108" s="1" t="s">
        <v>122</v>
      </c>
      <c r="NEQ108" s="1" t="s">
        <v>122</v>
      </c>
      <c r="NER108" s="1" t="s">
        <v>122</v>
      </c>
      <c r="NES108" s="1" t="s">
        <v>122</v>
      </c>
      <c r="NET108" s="1" t="s">
        <v>122</v>
      </c>
      <c r="NEU108" s="1" t="s">
        <v>122</v>
      </c>
      <c r="NEV108" s="1" t="s">
        <v>122</v>
      </c>
      <c r="NEW108" s="1" t="s">
        <v>122</v>
      </c>
      <c r="NEX108" s="1" t="s">
        <v>122</v>
      </c>
      <c r="NEY108" s="1" t="s">
        <v>122</v>
      </c>
      <c r="NEZ108" s="1" t="s">
        <v>122</v>
      </c>
      <c r="NFA108" s="1" t="s">
        <v>122</v>
      </c>
      <c r="NFB108" s="1" t="s">
        <v>122</v>
      </c>
      <c r="NFC108" s="1" t="s">
        <v>122</v>
      </c>
      <c r="NFD108" s="1" t="s">
        <v>122</v>
      </c>
      <c r="NFE108" s="1" t="s">
        <v>122</v>
      </c>
      <c r="NFF108" s="1" t="s">
        <v>122</v>
      </c>
      <c r="NFG108" s="1" t="s">
        <v>122</v>
      </c>
      <c r="NFH108" s="1" t="s">
        <v>122</v>
      </c>
      <c r="NFI108" s="1" t="s">
        <v>122</v>
      </c>
      <c r="NFJ108" s="1" t="s">
        <v>122</v>
      </c>
      <c r="NFK108" s="1" t="s">
        <v>122</v>
      </c>
      <c r="NFL108" s="1" t="s">
        <v>122</v>
      </c>
      <c r="NFM108" s="1" t="s">
        <v>122</v>
      </c>
      <c r="NFN108" s="1" t="s">
        <v>122</v>
      </c>
      <c r="NFO108" s="1" t="s">
        <v>122</v>
      </c>
      <c r="NFP108" s="1" t="s">
        <v>122</v>
      </c>
      <c r="NFQ108" s="1" t="s">
        <v>122</v>
      </c>
      <c r="NFR108" s="1" t="s">
        <v>122</v>
      </c>
      <c r="NFS108" s="1" t="s">
        <v>122</v>
      </c>
      <c r="NFT108" s="1" t="s">
        <v>122</v>
      </c>
      <c r="NFU108" s="1" t="s">
        <v>122</v>
      </c>
      <c r="NFV108" s="1" t="s">
        <v>122</v>
      </c>
      <c r="NFW108" s="1" t="s">
        <v>122</v>
      </c>
      <c r="NFX108" s="1" t="s">
        <v>122</v>
      </c>
      <c r="NFY108" s="1" t="s">
        <v>122</v>
      </c>
      <c r="NFZ108" s="1" t="s">
        <v>122</v>
      </c>
      <c r="NGA108" s="1" t="s">
        <v>122</v>
      </c>
      <c r="NGB108" s="1" t="s">
        <v>122</v>
      </c>
      <c r="NGC108" s="1" t="s">
        <v>122</v>
      </c>
      <c r="NGD108" s="1" t="s">
        <v>122</v>
      </c>
      <c r="NGE108" s="1" t="s">
        <v>122</v>
      </c>
      <c r="NGF108" s="1" t="s">
        <v>122</v>
      </c>
      <c r="NGG108" s="1" t="s">
        <v>122</v>
      </c>
      <c r="NGH108" s="1" t="s">
        <v>122</v>
      </c>
      <c r="NGI108" s="1" t="s">
        <v>122</v>
      </c>
      <c r="NGJ108" s="1" t="s">
        <v>122</v>
      </c>
      <c r="NGK108" s="1" t="s">
        <v>122</v>
      </c>
      <c r="NGL108" s="1" t="s">
        <v>122</v>
      </c>
      <c r="NGM108" s="1" t="s">
        <v>122</v>
      </c>
      <c r="NGN108" s="1" t="s">
        <v>122</v>
      </c>
      <c r="NGO108" s="1" t="s">
        <v>122</v>
      </c>
      <c r="NGP108" s="1" t="s">
        <v>122</v>
      </c>
      <c r="NGQ108" s="1" t="s">
        <v>122</v>
      </c>
      <c r="NGR108" s="1" t="s">
        <v>122</v>
      </c>
      <c r="NGS108" s="1" t="s">
        <v>122</v>
      </c>
      <c r="NGT108" s="1" t="s">
        <v>122</v>
      </c>
      <c r="NGU108" s="1" t="s">
        <v>122</v>
      </c>
      <c r="NGV108" s="1" t="s">
        <v>122</v>
      </c>
      <c r="NGW108" s="1" t="s">
        <v>122</v>
      </c>
      <c r="NGX108" s="1" t="s">
        <v>122</v>
      </c>
      <c r="NGY108" s="1" t="s">
        <v>122</v>
      </c>
      <c r="NGZ108" s="1" t="s">
        <v>122</v>
      </c>
      <c r="NHA108" s="1" t="s">
        <v>122</v>
      </c>
      <c r="NHB108" s="1" t="s">
        <v>122</v>
      </c>
      <c r="NHC108" s="1" t="s">
        <v>122</v>
      </c>
      <c r="NHD108" s="1" t="s">
        <v>122</v>
      </c>
      <c r="NHE108" s="1" t="s">
        <v>122</v>
      </c>
      <c r="NHF108" s="1" t="s">
        <v>122</v>
      </c>
      <c r="NHG108" s="1" t="s">
        <v>122</v>
      </c>
      <c r="NHH108" s="1" t="s">
        <v>122</v>
      </c>
      <c r="NHI108" s="1" t="s">
        <v>122</v>
      </c>
      <c r="NHJ108" s="1" t="s">
        <v>122</v>
      </c>
      <c r="NHK108" s="1" t="s">
        <v>122</v>
      </c>
      <c r="NHL108" s="1" t="s">
        <v>122</v>
      </c>
      <c r="NHM108" s="1" t="s">
        <v>122</v>
      </c>
      <c r="NHN108" s="1" t="s">
        <v>122</v>
      </c>
      <c r="NHO108" s="1" t="s">
        <v>122</v>
      </c>
      <c r="NHP108" s="1" t="s">
        <v>122</v>
      </c>
      <c r="NHQ108" s="1" t="s">
        <v>122</v>
      </c>
      <c r="NHR108" s="1" t="s">
        <v>122</v>
      </c>
      <c r="NHS108" s="1" t="s">
        <v>122</v>
      </c>
      <c r="NHT108" s="1" t="s">
        <v>122</v>
      </c>
      <c r="NHU108" s="1" t="s">
        <v>122</v>
      </c>
      <c r="NHV108" s="1" t="s">
        <v>122</v>
      </c>
      <c r="NHW108" s="1" t="s">
        <v>122</v>
      </c>
      <c r="NHX108" s="1" t="s">
        <v>122</v>
      </c>
      <c r="NHY108" s="1" t="s">
        <v>122</v>
      </c>
      <c r="NHZ108" s="1" t="s">
        <v>122</v>
      </c>
      <c r="NIA108" s="1" t="s">
        <v>122</v>
      </c>
      <c r="NIB108" s="1" t="s">
        <v>122</v>
      </c>
      <c r="NIC108" s="1" t="s">
        <v>122</v>
      </c>
      <c r="NID108" s="1" t="s">
        <v>122</v>
      </c>
      <c r="NIE108" s="1" t="s">
        <v>122</v>
      </c>
      <c r="NIF108" s="1" t="s">
        <v>122</v>
      </c>
      <c r="NIG108" s="1" t="s">
        <v>122</v>
      </c>
      <c r="NIH108" s="1" t="s">
        <v>122</v>
      </c>
      <c r="NII108" s="1" t="s">
        <v>122</v>
      </c>
      <c r="NIJ108" s="1" t="s">
        <v>122</v>
      </c>
      <c r="NIK108" s="1" t="s">
        <v>122</v>
      </c>
      <c r="NIL108" s="1" t="s">
        <v>122</v>
      </c>
      <c r="NIM108" s="1" t="s">
        <v>122</v>
      </c>
      <c r="NIN108" s="1" t="s">
        <v>122</v>
      </c>
      <c r="NIO108" s="1" t="s">
        <v>122</v>
      </c>
      <c r="NIP108" s="1" t="s">
        <v>122</v>
      </c>
      <c r="NIQ108" s="1" t="s">
        <v>122</v>
      </c>
      <c r="NIR108" s="1" t="s">
        <v>122</v>
      </c>
      <c r="NIS108" s="1" t="s">
        <v>122</v>
      </c>
      <c r="NIT108" s="1" t="s">
        <v>122</v>
      </c>
      <c r="NIU108" s="1" t="s">
        <v>122</v>
      </c>
      <c r="NIV108" s="1" t="s">
        <v>122</v>
      </c>
      <c r="NIW108" s="1" t="s">
        <v>122</v>
      </c>
      <c r="NIX108" s="1" t="s">
        <v>122</v>
      </c>
      <c r="NIY108" s="1" t="s">
        <v>122</v>
      </c>
      <c r="NIZ108" s="1" t="s">
        <v>122</v>
      </c>
      <c r="NJA108" s="1" t="s">
        <v>122</v>
      </c>
      <c r="NJB108" s="1" t="s">
        <v>122</v>
      </c>
      <c r="NJC108" s="1" t="s">
        <v>122</v>
      </c>
      <c r="NJD108" s="1" t="s">
        <v>122</v>
      </c>
      <c r="NJE108" s="1" t="s">
        <v>122</v>
      </c>
      <c r="NJF108" s="1" t="s">
        <v>122</v>
      </c>
      <c r="NJG108" s="1" t="s">
        <v>122</v>
      </c>
      <c r="NJH108" s="1" t="s">
        <v>122</v>
      </c>
      <c r="NJI108" s="1" t="s">
        <v>122</v>
      </c>
      <c r="NJJ108" s="1" t="s">
        <v>122</v>
      </c>
      <c r="NJK108" s="1" t="s">
        <v>122</v>
      </c>
      <c r="NJL108" s="1" t="s">
        <v>122</v>
      </c>
      <c r="NJM108" s="1" t="s">
        <v>122</v>
      </c>
      <c r="NJN108" s="1" t="s">
        <v>122</v>
      </c>
      <c r="NJO108" s="1" t="s">
        <v>122</v>
      </c>
      <c r="NJP108" s="1" t="s">
        <v>122</v>
      </c>
      <c r="NJQ108" s="1" t="s">
        <v>122</v>
      </c>
      <c r="NJR108" s="1" t="s">
        <v>122</v>
      </c>
      <c r="NJS108" s="1" t="s">
        <v>122</v>
      </c>
      <c r="NJT108" s="1" t="s">
        <v>122</v>
      </c>
      <c r="NJU108" s="1" t="s">
        <v>122</v>
      </c>
      <c r="NJV108" s="1" t="s">
        <v>122</v>
      </c>
      <c r="NJW108" s="1" t="s">
        <v>122</v>
      </c>
      <c r="NJX108" s="1" t="s">
        <v>122</v>
      </c>
      <c r="NJY108" s="1" t="s">
        <v>122</v>
      </c>
      <c r="NJZ108" s="1" t="s">
        <v>122</v>
      </c>
      <c r="NKA108" s="1" t="s">
        <v>122</v>
      </c>
      <c r="NKB108" s="1" t="s">
        <v>122</v>
      </c>
      <c r="NKC108" s="1" t="s">
        <v>122</v>
      </c>
      <c r="NKD108" s="1" t="s">
        <v>122</v>
      </c>
      <c r="NKE108" s="1" t="s">
        <v>122</v>
      </c>
      <c r="NKF108" s="1" t="s">
        <v>122</v>
      </c>
      <c r="NKG108" s="1" t="s">
        <v>122</v>
      </c>
      <c r="NKH108" s="1" t="s">
        <v>122</v>
      </c>
      <c r="NKI108" s="1" t="s">
        <v>122</v>
      </c>
      <c r="NKJ108" s="1" t="s">
        <v>122</v>
      </c>
      <c r="NKK108" s="1" t="s">
        <v>122</v>
      </c>
      <c r="NKL108" s="1" t="s">
        <v>122</v>
      </c>
      <c r="NKM108" s="1" t="s">
        <v>122</v>
      </c>
      <c r="NKN108" s="1" t="s">
        <v>122</v>
      </c>
      <c r="NKO108" s="1" t="s">
        <v>122</v>
      </c>
      <c r="NKP108" s="1" t="s">
        <v>122</v>
      </c>
      <c r="NKQ108" s="1" t="s">
        <v>122</v>
      </c>
      <c r="NKR108" s="1" t="s">
        <v>122</v>
      </c>
      <c r="NKS108" s="1" t="s">
        <v>122</v>
      </c>
      <c r="NKT108" s="1" t="s">
        <v>122</v>
      </c>
      <c r="NKU108" s="1" t="s">
        <v>122</v>
      </c>
      <c r="NKV108" s="1" t="s">
        <v>122</v>
      </c>
      <c r="NKW108" s="1" t="s">
        <v>122</v>
      </c>
      <c r="NKX108" s="1" t="s">
        <v>122</v>
      </c>
      <c r="NKY108" s="1" t="s">
        <v>122</v>
      </c>
      <c r="NKZ108" s="1" t="s">
        <v>122</v>
      </c>
      <c r="NLA108" s="1" t="s">
        <v>122</v>
      </c>
      <c r="NLB108" s="1" t="s">
        <v>122</v>
      </c>
      <c r="NLC108" s="1" t="s">
        <v>122</v>
      </c>
      <c r="NLD108" s="1" t="s">
        <v>122</v>
      </c>
      <c r="NLE108" s="1" t="s">
        <v>122</v>
      </c>
      <c r="NLF108" s="1" t="s">
        <v>122</v>
      </c>
      <c r="NLG108" s="1" t="s">
        <v>122</v>
      </c>
      <c r="NLH108" s="1" t="s">
        <v>122</v>
      </c>
      <c r="NLI108" s="1" t="s">
        <v>122</v>
      </c>
      <c r="NLJ108" s="1" t="s">
        <v>122</v>
      </c>
      <c r="NLK108" s="1" t="s">
        <v>122</v>
      </c>
      <c r="NLL108" s="1" t="s">
        <v>122</v>
      </c>
      <c r="NLM108" s="1" t="s">
        <v>122</v>
      </c>
      <c r="NLN108" s="1" t="s">
        <v>122</v>
      </c>
      <c r="NLO108" s="1" t="s">
        <v>122</v>
      </c>
      <c r="NLP108" s="1" t="s">
        <v>122</v>
      </c>
      <c r="NLQ108" s="1" t="s">
        <v>122</v>
      </c>
      <c r="NLR108" s="1" t="s">
        <v>122</v>
      </c>
      <c r="NLS108" s="1" t="s">
        <v>122</v>
      </c>
      <c r="NLT108" s="1" t="s">
        <v>122</v>
      </c>
      <c r="NLU108" s="1" t="s">
        <v>122</v>
      </c>
      <c r="NLV108" s="1" t="s">
        <v>122</v>
      </c>
      <c r="NLW108" s="1" t="s">
        <v>122</v>
      </c>
      <c r="NLX108" s="1" t="s">
        <v>122</v>
      </c>
      <c r="NLY108" s="1" t="s">
        <v>122</v>
      </c>
      <c r="NLZ108" s="1" t="s">
        <v>122</v>
      </c>
      <c r="NMA108" s="1" t="s">
        <v>122</v>
      </c>
      <c r="NMB108" s="1" t="s">
        <v>122</v>
      </c>
      <c r="NMC108" s="1" t="s">
        <v>122</v>
      </c>
      <c r="NMD108" s="1" t="s">
        <v>122</v>
      </c>
      <c r="NME108" s="1" t="s">
        <v>122</v>
      </c>
      <c r="NMF108" s="1" t="s">
        <v>122</v>
      </c>
      <c r="NMG108" s="1" t="s">
        <v>122</v>
      </c>
      <c r="NMH108" s="1" t="s">
        <v>122</v>
      </c>
      <c r="NMI108" s="1" t="s">
        <v>122</v>
      </c>
      <c r="NMJ108" s="1" t="s">
        <v>122</v>
      </c>
      <c r="NMK108" s="1" t="s">
        <v>122</v>
      </c>
      <c r="NML108" s="1" t="s">
        <v>122</v>
      </c>
      <c r="NMM108" s="1" t="s">
        <v>122</v>
      </c>
      <c r="NMN108" s="1" t="s">
        <v>122</v>
      </c>
      <c r="NMO108" s="1" t="s">
        <v>122</v>
      </c>
      <c r="NMP108" s="1" t="s">
        <v>122</v>
      </c>
      <c r="NMQ108" s="1" t="s">
        <v>122</v>
      </c>
      <c r="NMR108" s="1" t="s">
        <v>122</v>
      </c>
      <c r="NMS108" s="1" t="s">
        <v>122</v>
      </c>
      <c r="NMT108" s="1" t="s">
        <v>122</v>
      </c>
      <c r="NMU108" s="1" t="s">
        <v>122</v>
      </c>
      <c r="NMV108" s="1" t="s">
        <v>122</v>
      </c>
      <c r="NMW108" s="1" t="s">
        <v>122</v>
      </c>
      <c r="NMX108" s="1" t="s">
        <v>122</v>
      </c>
      <c r="NMY108" s="1" t="s">
        <v>122</v>
      </c>
      <c r="NMZ108" s="1" t="s">
        <v>122</v>
      </c>
      <c r="NNA108" s="1" t="s">
        <v>122</v>
      </c>
      <c r="NNB108" s="1" t="s">
        <v>122</v>
      </c>
      <c r="NNC108" s="1" t="s">
        <v>122</v>
      </c>
      <c r="NND108" s="1" t="s">
        <v>122</v>
      </c>
      <c r="NNE108" s="1" t="s">
        <v>122</v>
      </c>
      <c r="NNF108" s="1" t="s">
        <v>122</v>
      </c>
      <c r="NNG108" s="1" t="s">
        <v>122</v>
      </c>
      <c r="NNH108" s="1" t="s">
        <v>122</v>
      </c>
      <c r="NNI108" s="1" t="s">
        <v>122</v>
      </c>
      <c r="NNJ108" s="1" t="s">
        <v>122</v>
      </c>
      <c r="NNK108" s="1" t="s">
        <v>122</v>
      </c>
      <c r="NNL108" s="1" t="s">
        <v>122</v>
      </c>
      <c r="NNM108" s="1" t="s">
        <v>122</v>
      </c>
      <c r="NNN108" s="1" t="s">
        <v>122</v>
      </c>
      <c r="NNO108" s="1" t="s">
        <v>122</v>
      </c>
      <c r="NNP108" s="1" t="s">
        <v>122</v>
      </c>
      <c r="NNQ108" s="1" t="s">
        <v>122</v>
      </c>
      <c r="NNR108" s="1" t="s">
        <v>122</v>
      </c>
      <c r="NNS108" s="1" t="s">
        <v>122</v>
      </c>
      <c r="NNT108" s="1" t="s">
        <v>122</v>
      </c>
      <c r="NNU108" s="1" t="s">
        <v>122</v>
      </c>
      <c r="NNV108" s="1" t="s">
        <v>122</v>
      </c>
      <c r="NNW108" s="1" t="s">
        <v>122</v>
      </c>
      <c r="NNX108" s="1" t="s">
        <v>122</v>
      </c>
      <c r="NNY108" s="1" t="s">
        <v>122</v>
      </c>
      <c r="NNZ108" s="1" t="s">
        <v>122</v>
      </c>
      <c r="NOA108" s="1" t="s">
        <v>122</v>
      </c>
      <c r="NOB108" s="1" t="s">
        <v>122</v>
      </c>
      <c r="NOC108" s="1" t="s">
        <v>122</v>
      </c>
      <c r="NOD108" s="1" t="s">
        <v>122</v>
      </c>
      <c r="NOE108" s="1" t="s">
        <v>122</v>
      </c>
      <c r="NOF108" s="1" t="s">
        <v>122</v>
      </c>
      <c r="NOG108" s="1" t="s">
        <v>122</v>
      </c>
      <c r="NOH108" s="1" t="s">
        <v>122</v>
      </c>
      <c r="NOI108" s="1" t="s">
        <v>122</v>
      </c>
      <c r="NOJ108" s="1" t="s">
        <v>122</v>
      </c>
      <c r="NOK108" s="1" t="s">
        <v>122</v>
      </c>
      <c r="NOL108" s="1" t="s">
        <v>122</v>
      </c>
      <c r="NOM108" s="1" t="s">
        <v>122</v>
      </c>
      <c r="NON108" s="1" t="s">
        <v>122</v>
      </c>
      <c r="NOO108" s="1" t="s">
        <v>122</v>
      </c>
      <c r="NOP108" s="1" t="s">
        <v>122</v>
      </c>
      <c r="NOQ108" s="1" t="s">
        <v>122</v>
      </c>
      <c r="NOR108" s="1" t="s">
        <v>122</v>
      </c>
      <c r="NOS108" s="1" t="s">
        <v>122</v>
      </c>
      <c r="NOT108" s="1" t="s">
        <v>122</v>
      </c>
      <c r="NOU108" s="1" t="s">
        <v>122</v>
      </c>
      <c r="NOV108" s="1" t="s">
        <v>122</v>
      </c>
      <c r="NOW108" s="1" t="s">
        <v>122</v>
      </c>
      <c r="NOX108" s="1" t="s">
        <v>122</v>
      </c>
      <c r="NOY108" s="1" t="s">
        <v>122</v>
      </c>
      <c r="NOZ108" s="1" t="s">
        <v>122</v>
      </c>
      <c r="NPA108" s="1" t="s">
        <v>122</v>
      </c>
      <c r="NPB108" s="1" t="s">
        <v>122</v>
      </c>
      <c r="NPC108" s="1" t="s">
        <v>122</v>
      </c>
      <c r="NPD108" s="1" t="s">
        <v>122</v>
      </c>
      <c r="NPE108" s="1" t="s">
        <v>122</v>
      </c>
      <c r="NPF108" s="1" t="s">
        <v>122</v>
      </c>
      <c r="NPG108" s="1" t="s">
        <v>122</v>
      </c>
      <c r="NPH108" s="1" t="s">
        <v>122</v>
      </c>
      <c r="NPI108" s="1" t="s">
        <v>122</v>
      </c>
      <c r="NPJ108" s="1" t="s">
        <v>122</v>
      </c>
      <c r="NPK108" s="1" t="s">
        <v>122</v>
      </c>
      <c r="NPL108" s="1" t="s">
        <v>122</v>
      </c>
      <c r="NPM108" s="1" t="s">
        <v>122</v>
      </c>
      <c r="NPN108" s="1" t="s">
        <v>122</v>
      </c>
      <c r="NPO108" s="1" t="s">
        <v>122</v>
      </c>
      <c r="NPP108" s="1" t="s">
        <v>122</v>
      </c>
      <c r="NPQ108" s="1" t="s">
        <v>122</v>
      </c>
      <c r="NPR108" s="1" t="s">
        <v>122</v>
      </c>
      <c r="NPS108" s="1" t="s">
        <v>122</v>
      </c>
      <c r="NPT108" s="1" t="s">
        <v>122</v>
      </c>
      <c r="NPU108" s="1" t="s">
        <v>122</v>
      </c>
      <c r="NPV108" s="1" t="s">
        <v>122</v>
      </c>
      <c r="NPW108" s="1" t="s">
        <v>122</v>
      </c>
      <c r="NPX108" s="1" t="s">
        <v>122</v>
      </c>
      <c r="NPY108" s="1" t="s">
        <v>122</v>
      </c>
      <c r="NPZ108" s="1" t="s">
        <v>122</v>
      </c>
      <c r="NQA108" s="1" t="s">
        <v>122</v>
      </c>
      <c r="NQB108" s="1" t="s">
        <v>122</v>
      </c>
      <c r="NQC108" s="1" t="s">
        <v>122</v>
      </c>
      <c r="NQD108" s="1" t="s">
        <v>122</v>
      </c>
      <c r="NQE108" s="1" t="s">
        <v>122</v>
      </c>
      <c r="NQF108" s="1" t="s">
        <v>122</v>
      </c>
      <c r="NQG108" s="1" t="s">
        <v>122</v>
      </c>
      <c r="NQH108" s="1" t="s">
        <v>122</v>
      </c>
      <c r="NQI108" s="1" t="s">
        <v>122</v>
      </c>
      <c r="NQJ108" s="1" t="s">
        <v>122</v>
      </c>
      <c r="NQK108" s="1" t="s">
        <v>122</v>
      </c>
      <c r="NQL108" s="1" t="s">
        <v>122</v>
      </c>
      <c r="NQM108" s="1" t="s">
        <v>122</v>
      </c>
      <c r="NQN108" s="1" t="s">
        <v>122</v>
      </c>
      <c r="NQO108" s="1" t="s">
        <v>122</v>
      </c>
      <c r="NQP108" s="1" t="s">
        <v>122</v>
      </c>
      <c r="NQQ108" s="1" t="s">
        <v>122</v>
      </c>
      <c r="NQR108" s="1" t="s">
        <v>122</v>
      </c>
      <c r="NQS108" s="1" t="s">
        <v>122</v>
      </c>
      <c r="NQT108" s="1" t="s">
        <v>122</v>
      </c>
      <c r="NQU108" s="1" t="s">
        <v>122</v>
      </c>
      <c r="NQV108" s="1" t="s">
        <v>122</v>
      </c>
      <c r="NQW108" s="1" t="s">
        <v>122</v>
      </c>
      <c r="NQX108" s="1" t="s">
        <v>122</v>
      </c>
      <c r="NQY108" s="1" t="s">
        <v>122</v>
      </c>
      <c r="NQZ108" s="1" t="s">
        <v>122</v>
      </c>
      <c r="NRA108" s="1" t="s">
        <v>122</v>
      </c>
      <c r="NRB108" s="1" t="s">
        <v>122</v>
      </c>
      <c r="NRC108" s="1" t="s">
        <v>122</v>
      </c>
      <c r="NRD108" s="1" t="s">
        <v>122</v>
      </c>
      <c r="NRE108" s="1" t="s">
        <v>122</v>
      </c>
      <c r="NRF108" s="1" t="s">
        <v>122</v>
      </c>
      <c r="NRG108" s="1" t="s">
        <v>122</v>
      </c>
      <c r="NRH108" s="1" t="s">
        <v>122</v>
      </c>
      <c r="NRI108" s="1" t="s">
        <v>122</v>
      </c>
      <c r="NRJ108" s="1" t="s">
        <v>122</v>
      </c>
      <c r="NRK108" s="1" t="s">
        <v>122</v>
      </c>
      <c r="NRL108" s="1" t="s">
        <v>122</v>
      </c>
      <c r="NRM108" s="1" t="s">
        <v>122</v>
      </c>
      <c r="NRN108" s="1" t="s">
        <v>122</v>
      </c>
      <c r="NRO108" s="1" t="s">
        <v>122</v>
      </c>
      <c r="NRP108" s="1" t="s">
        <v>122</v>
      </c>
      <c r="NRQ108" s="1" t="s">
        <v>122</v>
      </c>
      <c r="NRR108" s="1" t="s">
        <v>122</v>
      </c>
      <c r="NRS108" s="1" t="s">
        <v>122</v>
      </c>
      <c r="NRT108" s="1" t="s">
        <v>122</v>
      </c>
      <c r="NRU108" s="1" t="s">
        <v>122</v>
      </c>
      <c r="NRV108" s="1" t="s">
        <v>122</v>
      </c>
      <c r="NRW108" s="1" t="s">
        <v>122</v>
      </c>
      <c r="NRX108" s="1" t="s">
        <v>122</v>
      </c>
      <c r="NRY108" s="1" t="s">
        <v>122</v>
      </c>
      <c r="NRZ108" s="1" t="s">
        <v>122</v>
      </c>
      <c r="NSA108" s="1" t="s">
        <v>122</v>
      </c>
      <c r="NSB108" s="1" t="s">
        <v>122</v>
      </c>
      <c r="NSC108" s="1" t="s">
        <v>122</v>
      </c>
      <c r="NSD108" s="1" t="s">
        <v>122</v>
      </c>
      <c r="NSE108" s="1" t="s">
        <v>122</v>
      </c>
      <c r="NSF108" s="1" t="s">
        <v>122</v>
      </c>
      <c r="NSG108" s="1" t="s">
        <v>122</v>
      </c>
      <c r="NSH108" s="1" t="s">
        <v>122</v>
      </c>
      <c r="NSI108" s="1" t="s">
        <v>122</v>
      </c>
      <c r="NSJ108" s="1" t="s">
        <v>122</v>
      </c>
      <c r="NSK108" s="1" t="s">
        <v>122</v>
      </c>
      <c r="NSL108" s="1" t="s">
        <v>122</v>
      </c>
      <c r="NSM108" s="1" t="s">
        <v>122</v>
      </c>
      <c r="NSN108" s="1" t="s">
        <v>122</v>
      </c>
      <c r="NSO108" s="1" t="s">
        <v>122</v>
      </c>
      <c r="NSP108" s="1" t="s">
        <v>122</v>
      </c>
      <c r="NSQ108" s="1" t="s">
        <v>122</v>
      </c>
      <c r="NSR108" s="1" t="s">
        <v>122</v>
      </c>
      <c r="NSS108" s="1" t="s">
        <v>122</v>
      </c>
      <c r="NST108" s="1" t="s">
        <v>122</v>
      </c>
      <c r="NSU108" s="1" t="s">
        <v>122</v>
      </c>
      <c r="NSV108" s="1" t="s">
        <v>122</v>
      </c>
      <c r="NSW108" s="1" t="s">
        <v>122</v>
      </c>
      <c r="NSX108" s="1" t="s">
        <v>122</v>
      </c>
      <c r="NSY108" s="1" t="s">
        <v>122</v>
      </c>
      <c r="NSZ108" s="1" t="s">
        <v>122</v>
      </c>
      <c r="NTA108" s="1" t="s">
        <v>122</v>
      </c>
      <c r="NTB108" s="1" t="s">
        <v>122</v>
      </c>
      <c r="NTC108" s="1" t="s">
        <v>122</v>
      </c>
      <c r="NTD108" s="1" t="s">
        <v>122</v>
      </c>
      <c r="NTE108" s="1" t="s">
        <v>122</v>
      </c>
      <c r="NTF108" s="1" t="s">
        <v>122</v>
      </c>
      <c r="NTG108" s="1" t="s">
        <v>122</v>
      </c>
      <c r="NTH108" s="1" t="s">
        <v>122</v>
      </c>
      <c r="NTI108" s="1" t="s">
        <v>122</v>
      </c>
      <c r="NTJ108" s="1" t="s">
        <v>122</v>
      </c>
      <c r="NTK108" s="1" t="s">
        <v>122</v>
      </c>
      <c r="NTL108" s="1" t="s">
        <v>122</v>
      </c>
      <c r="NTM108" s="1" t="s">
        <v>122</v>
      </c>
      <c r="NTN108" s="1" t="s">
        <v>122</v>
      </c>
      <c r="NTO108" s="1" t="s">
        <v>122</v>
      </c>
      <c r="NTP108" s="1" t="s">
        <v>122</v>
      </c>
      <c r="NTQ108" s="1" t="s">
        <v>122</v>
      </c>
      <c r="NTR108" s="1" t="s">
        <v>122</v>
      </c>
      <c r="NTS108" s="1" t="s">
        <v>122</v>
      </c>
      <c r="NTT108" s="1" t="s">
        <v>122</v>
      </c>
      <c r="NTU108" s="1" t="s">
        <v>122</v>
      </c>
      <c r="NTV108" s="1" t="s">
        <v>122</v>
      </c>
      <c r="NTW108" s="1" t="s">
        <v>122</v>
      </c>
      <c r="NTX108" s="1" t="s">
        <v>122</v>
      </c>
      <c r="NTY108" s="1" t="s">
        <v>122</v>
      </c>
      <c r="NTZ108" s="1" t="s">
        <v>122</v>
      </c>
      <c r="NUA108" s="1" t="s">
        <v>122</v>
      </c>
      <c r="NUB108" s="1" t="s">
        <v>122</v>
      </c>
      <c r="NUC108" s="1" t="s">
        <v>122</v>
      </c>
      <c r="NUD108" s="1" t="s">
        <v>122</v>
      </c>
      <c r="NUE108" s="1" t="s">
        <v>122</v>
      </c>
      <c r="NUF108" s="1" t="s">
        <v>122</v>
      </c>
      <c r="NUG108" s="1" t="s">
        <v>122</v>
      </c>
      <c r="NUH108" s="1" t="s">
        <v>122</v>
      </c>
      <c r="NUI108" s="1" t="s">
        <v>122</v>
      </c>
      <c r="NUJ108" s="1" t="s">
        <v>122</v>
      </c>
      <c r="NUK108" s="1" t="s">
        <v>122</v>
      </c>
      <c r="NUL108" s="1" t="s">
        <v>122</v>
      </c>
      <c r="NUM108" s="1" t="s">
        <v>122</v>
      </c>
      <c r="NUN108" s="1" t="s">
        <v>122</v>
      </c>
      <c r="NUO108" s="1" t="s">
        <v>122</v>
      </c>
      <c r="NUP108" s="1" t="s">
        <v>122</v>
      </c>
      <c r="NUQ108" s="1" t="s">
        <v>122</v>
      </c>
      <c r="NUR108" s="1" t="s">
        <v>122</v>
      </c>
      <c r="NUS108" s="1" t="s">
        <v>122</v>
      </c>
      <c r="NUT108" s="1" t="s">
        <v>122</v>
      </c>
      <c r="NUU108" s="1" t="s">
        <v>122</v>
      </c>
      <c r="NUV108" s="1" t="s">
        <v>122</v>
      </c>
      <c r="NUW108" s="1" t="s">
        <v>122</v>
      </c>
      <c r="NUX108" s="1" t="s">
        <v>122</v>
      </c>
      <c r="NUY108" s="1" t="s">
        <v>122</v>
      </c>
      <c r="NUZ108" s="1" t="s">
        <v>122</v>
      </c>
      <c r="NVA108" s="1" t="s">
        <v>122</v>
      </c>
      <c r="NVB108" s="1" t="s">
        <v>122</v>
      </c>
      <c r="NVC108" s="1" t="s">
        <v>122</v>
      </c>
      <c r="NVD108" s="1" t="s">
        <v>122</v>
      </c>
      <c r="NVE108" s="1" t="s">
        <v>122</v>
      </c>
      <c r="NVF108" s="1" t="s">
        <v>122</v>
      </c>
      <c r="NVG108" s="1" t="s">
        <v>122</v>
      </c>
      <c r="NVH108" s="1" t="s">
        <v>122</v>
      </c>
      <c r="NVI108" s="1" t="s">
        <v>122</v>
      </c>
      <c r="NVJ108" s="1" t="s">
        <v>122</v>
      </c>
      <c r="NVK108" s="1" t="s">
        <v>122</v>
      </c>
      <c r="NVL108" s="1" t="s">
        <v>122</v>
      </c>
      <c r="NVM108" s="1" t="s">
        <v>122</v>
      </c>
      <c r="NVN108" s="1" t="s">
        <v>122</v>
      </c>
      <c r="NVO108" s="1" t="s">
        <v>122</v>
      </c>
      <c r="NVP108" s="1" t="s">
        <v>122</v>
      </c>
      <c r="NVQ108" s="1" t="s">
        <v>122</v>
      </c>
      <c r="NVR108" s="1" t="s">
        <v>122</v>
      </c>
      <c r="NVS108" s="1" t="s">
        <v>122</v>
      </c>
      <c r="NVT108" s="1" t="s">
        <v>122</v>
      </c>
      <c r="NVU108" s="1" t="s">
        <v>122</v>
      </c>
      <c r="NVV108" s="1" t="s">
        <v>122</v>
      </c>
      <c r="NVW108" s="1" t="s">
        <v>122</v>
      </c>
      <c r="NVX108" s="1" t="s">
        <v>122</v>
      </c>
      <c r="NVY108" s="1" t="s">
        <v>122</v>
      </c>
      <c r="NVZ108" s="1" t="s">
        <v>122</v>
      </c>
      <c r="NWA108" s="1" t="s">
        <v>122</v>
      </c>
      <c r="NWB108" s="1" t="s">
        <v>122</v>
      </c>
      <c r="NWC108" s="1" t="s">
        <v>122</v>
      </c>
      <c r="NWD108" s="1" t="s">
        <v>122</v>
      </c>
      <c r="NWE108" s="1" t="s">
        <v>122</v>
      </c>
      <c r="NWF108" s="1" t="s">
        <v>122</v>
      </c>
      <c r="NWG108" s="1" t="s">
        <v>122</v>
      </c>
      <c r="NWH108" s="1" t="s">
        <v>122</v>
      </c>
      <c r="NWI108" s="1" t="s">
        <v>122</v>
      </c>
      <c r="NWJ108" s="1" t="s">
        <v>122</v>
      </c>
      <c r="NWK108" s="1" t="s">
        <v>122</v>
      </c>
      <c r="NWL108" s="1" t="s">
        <v>122</v>
      </c>
      <c r="NWM108" s="1" t="s">
        <v>122</v>
      </c>
      <c r="NWN108" s="1" t="s">
        <v>122</v>
      </c>
      <c r="NWO108" s="1" t="s">
        <v>122</v>
      </c>
      <c r="NWP108" s="1" t="s">
        <v>122</v>
      </c>
      <c r="NWQ108" s="1" t="s">
        <v>122</v>
      </c>
      <c r="NWR108" s="1" t="s">
        <v>122</v>
      </c>
      <c r="NWS108" s="1" t="s">
        <v>122</v>
      </c>
      <c r="NWT108" s="1" t="s">
        <v>122</v>
      </c>
      <c r="NWU108" s="1" t="s">
        <v>122</v>
      </c>
      <c r="NWV108" s="1" t="s">
        <v>122</v>
      </c>
      <c r="NWW108" s="1" t="s">
        <v>122</v>
      </c>
      <c r="NWX108" s="1" t="s">
        <v>122</v>
      </c>
      <c r="NWY108" s="1" t="s">
        <v>122</v>
      </c>
      <c r="NWZ108" s="1" t="s">
        <v>122</v>
      </c>
      <c r="NXA108" s="1" t="s">
        <v>122</v>
      </c>
      <c r="NXB108" s="1" t="s">
        <v>122</v>
      </c>
      <c r="NXC108" s="1" t="s">
        <v>122</v>
      </c>
      <c r="NXD108" s="1" t="s">
        <v>122</v>
      </c>
      <c r="NXE108" s="1" t="s">
        <v>122</v>
      </c>
      <c r="NXF108" s="1" t="s">
        <v>122</v>
      </c>
      <c r="NXG108" s="1" t="s">
        <v>122</v>
      </c>
      <c r="NXH108" s="1" t="s">
        <v>122</v>
      </c>
      <c r="NXI108" s="1" t="s">
        <v>122</v>
      </c>
      <c r="NXJ108" s="1" t="s">
        <v>122</v>
      </c>
      <c r="NXK108" s="1" t="s">
        <v>122</v>
      </c>
      <c r="NXL108" s="1" t="s">
        <v>122</v>
      </c>
      <c r="NXM108" s="1" t="s">
        <v>122</v>
      </c>
      <c r="NXN108" s="1" t="s">
        <v>122</v>
      </c>
      <c r="NXO108" s="1" t="s">
        <v>122</v>
      </c>
      <c r="NXP108" s="1" t="s">
        <v>122</v>
      </c>
      <c r="NXQ108" s="1" t="s">
        <v>122</v>
      </c>
      <c r="NXR108" s="1" t="s">
        <v>122</v>
      </c>
      <c r="NXS108" s="1" t="s">
        <v>122</v>
      </c>
      <c r="NXT108" s="1" t="s">
        <v>122</v>
      </c>
      <c r="NXU108" s="1" t="s">
        <v>122</v>
      </c>
      <c r="NXV108" s="1" t="s">
        <v>122</v>
      </c>
      <c r="NXW108" s="1" t="s">
        <v>122</v>
      </c>
      <c r="NXX108" s="1" t="s">
        <v>122</v>
      </c>
      <c r="NXY108" s="1" t="s">
        <v>122</v>
      </c>
      <c r="NXZ108" s="1" t="s">
        <v>122</v>
      </c>
      <c r="NYA108" s="1" t="s">
        <v>122</v>
      </c>
      <c r="NYB108" s="1" t="s">
        <v>122</v>
      </c>
      <c r="NYC108" s="1" t="s">
        <v>122</v>
      </c>
      <c r="NYD108" s="1" t="s">
        <v>122</v>
      </c>
      <c r="NYE108" s="1" t="s">
        <v>122</v>
      </c>
      <c r="NYF108" s="1" t="s">
        <v>122</v>
      </c>
      <c r="NYG108" s="1" t="s">
        <v>122</v>
      </c>
      <c r="NYH108" s="1" t="s">
        <v>122</v>
      </c>
      <c r="NYI108" s="1" t="s">
        <v>122</v>
      </c>
      <c r="NYJ108" s="1" t="s">
        <v>122</v>
      </c>
      <c r="NYK108" s="1" t="s">
        <v>122</v>
      </c>
      <c r="NYL108" s="1" t="s">
        <v>122</v>
      </c>
      <c r="NYM108" s="1" t="s">
        <v>122</v>
      </c>
      <c r="NYN108" s="1" t="s">
        <v>122</v>
      </c>
      <c r="NYO108" s="1" t="s">
        <v>122</v>
      </c>
      <c r="NYP108" s="1" t="s">
        <v>122</v>
      </c>
      <c r="NYQ108" s="1" t="s">
        <v>122</v>
      </c>
      <c r="NYR108" s="1" t="s">
        <v>122</v>
      </c>
      <c r="NYS108" s="1" t="s">
        <v>122</v>
      </c>
      <c r="NYT108" s="1" t="s">
        <v>122</v>
      </c>
      <c r="NYU108" s="1" t="s">
        <v>122</v>
      </c>
      <c r="NYV108" s="1" t="s">
        <v>122</v>
      </c>
      <c r="NYW108" s="1" t="s">
        <v>122</v>
      </c>
      <c r="NYX108" s="1" t="s">
        <v>122</v>
      </c>
      <c r="NYY108" s="1" t="s">
        <v>122</v>
      </c>
      <c r="NYZ108" s="1" t="s">
        <v>122</v>
      </c>
      <c r="NZA108" s="1" t="s">
        <v>122</v>
      </c>
      <c r="NZB108" s="1" t="s">
        <v>122</v>
      </c>
      <c r="NZC108" s="1" t="s">
        <v>122</v>
      </c>
      <c r="NZD108" s="1" t="s">
        <v>122</v>
      </c>
      <c r="NZE108" s="1" t="s">
        <v>122</v>
      </c>
      <c r="NZF108" s="1" t="s">
        <v>122</v>
      </c>
      <c r="NZG108" s="1" t="s">
        <v>122</v>
      </c>
      <c r="NZH108" s="1" t="s">
        <v>122</v>
      </c>
      <c r="NZI108" s="1" t="s">
        <v>122</v>
      </c>
      <c r="NZJ108" s="1" t="s">
        <v>122</v>
      </c>
      <c r="NZK108" s="1" t="s">
        <v>122</v>
      </c>
      <c r="NZL108" s="1" t="s">
        <v>122</v>
      </c>
      <c r="NZM108" s="1" t="s">
        <v>122</v>
      </c>
      <c r="NZN108" s="1" t="s">
        <v>122</v>
      </c>
      <c r="NZO108" s="1" t="s">
        <v>122</v>
      </c>
      <c r="NZP108" s="1" t="s">
        <v>122</v>
      </c>
      <c r="NZQ108" s="1" t="s">
        <v>122</v>
      </c>
      <c r="NZR108" s="1" t="s">
        <v>122</v>
      </c>
      <c r="NZS108" s="1" t="s">
        <v>122</v>
      </c>
      <c r="NZT108" s="1" t="s">
        <v>122</v>
      </c>
      <c r="NZU108" s="1" t="s">
        <v>122</v>
      </c>
      <c r="NZV108" s="1" t="s">
        <v>122</v>
      </c>
      <c r="NZW108" s="1" t="s">
        <v>122</v>
      </c>
      <c r="NZX108" s="1" t="s">
        <v>122</v>
      </c>
      <c r="NZY108" s="1" t="s">
        <v>122</v>
      </c>
      <c r="NZZ108" s="1" t="s">
        <v>122</v>
      </c>
      <c r="OAA108" s="1" t="s">
        <v>122</v>
      </c>
      <c r="OAB108" s="1" t="s">
        <v>122</v>
      </c>
      <c r="OAC108" s="1" t="s">
        <v>122</v>
      </c>
      <c r="OAD108" s="1" t="s">
        <v>122</v>
      </c>
      <c r="OAE108" s="1" t="s">
        <v>122</v>
      </c>
      <c r="OAF108" s="1" t="s">
        <v>122</v>
      </c>
      <c r="OAG108" s="1" t="s">
        <v>122</v>
      </c>
      <c r="OAH108" s="1" t="s">
        <v>122</v>
      </c>
      <c r="OAI108" s="1" t="s">
        <v>122</v>
      </c>
      <c r="OAJ108" s="1" t="s">
        <v>122</v>
      </c>
      <c r="OAK108" s="1" t="s">
        <v>122</v>
      </c>
      <c r="OAL108" s="1" t="s">
        <v>122</v>
      </c>
      <c r="OAM108" s="1" t="s">
        <v>122</v>
      </c>
      <c r="OAN108" s="1" t="s">
        <v>122</v>
      </c>
      <c r="OAO108" s="1" t="s">
        <v>122</v>
      </c>
      <c r="OAP108" s="1" t="s">
        <v>122</v>
      </c>
      <c r="OAQ108" s="1" t="s">
        <v>122</v>
      </c>
      <c r="OAR108" s="1" t="s">
        <v>122</v>
      </c>
      <c r="OAS108" s="1" t="s">
        <v>122</v>
      </c>
      <c r="OAT108" s="1" t="s">
        <v>122</v>
      </c>
      <c r="OAU108" s="1" t="s">
        <v>122</v>
      </c>
      <c r="OAV108" s="1" t="s">
        <v>122</v>
      </c>
      <c r="OAW108" s="1" t="s">
        <v>122</v>
      </c>
      <c r="OAX108" s="1" t="s">
        <v>122</v>
      </c>
      <c r="OAY108" s="1" t="s">
        <v>122</v>
      </c>
      <c r="OAZ108" s="1" t="s">
        <v>122</v>
      </c>
      <c r="OBA108" s="1" t="s">
        <v>122</v>
      </c>
      <c r="OBB108" s="1" t="s">
        <v>122</v>
      </c>
      <c r="OBC108" s="1" t="s">
        <v>122</v>
      </c>
      <c r="OBD108" s="1" t="s">
        <v>122</v>
      </c>
      <c r="OBE108" s="1" t="s">
        <v>122</v>
      </c>
      <c r="OBF108" s="1" t="s">
        <v>122</v>
      </c>
      <c r="OBG108" s="1" t="s">
        <v>122</v>
      </c>
      <c r="OBH108" s="1" t="s">
        <v>122</v>
      </c>
      <c r="OBI108" s="1" t="s">
        <v>122</v>
      </c>
      <c r="OBJ108" s="1" t="s">
        <v>122</v>
      </c>
      <c r="OBK108" s="1" t="s">
        <v>122</v>
      </c>
      <c r="OBL108" s="1" t="s">
        <v>122</v>
      </c>
      <c r="OBM108" s="1" t="s">
        <v>122</v>
      </c>
      <c r="OBN108" s="1" t="s">
        <v>122</v>
      </c>
      <c r="OBO108" s="1" t="s">
        <v>122</v>
      </c>
      <c r="OBP108" s="1" t="s">
        <v>122</v>
      </c>
      <c r="OBQ108" s="1" t="s">
        <v>122</v>
      </c>
      <c r="OBR108" s="1" t="s">
        <v>122</v>
      </c>
      <c r="OBS108" s="1" t="s">
        <v>122</v>
      </c>
      <c r="OBT108" s="1" t="s">
        <v>122</v>
      </c>
      <c r="OBU108" s="1" t="s">
        <v>122</v>
      </c>
      <c r="OBV108" s="1" t="s">
        <v>122</v>
      </c>
      <c r="OBW108" s="1" t="s">
        <v>122</v>
      </c>
      <c r="OBX108" s="1" t="s">
        <v>122</v>
      </c>
      <c r="OBY108" s="1" t="s">
        <v>122</v>
      </c>
      <c r="OBZ108" s="1" t="s">
        <v>122</v>
      </c>
      <c r="OCA108" s="1" t="s">
        <v>122</v>
      </c>
      <c r="OCB108" s="1" t="s">
        <v>122</v>
      </c>
      <c r="OCC108" s="1" t="s">
        <v>122</v>
      </c>
      <c r="OCD108" s="1" t="s">
        <v>122</v>
      </c>
      <c r="OCE108" s="1" t="s">
        <v>122</v>
      </c>
      <c r="OCF108" s="1" t="s">
        <v>122</v>
      </c>
      <c r="OCG108" s="1" t="s">
        <v>122</v>
      </c>
      <c r="OCH108" s="1" t="s">
        <v>122</v>
      </c>
      <c r="OCI108" s="1" t="s">
        <v>122</v>
      </c>
      <c r="OCJ108" s="1" t="s">
        <v>122</v>
      </c>
      <c r="OCK108" s="1" t="s">
        <v>122</v>
      </c>
      <c r="OCL108" s="1" t="s">
        <v>122</v>
      </c>
      <c r="OCM108" s="1" t="s">
        <v>122</v>
      </c>
      <c r="OCN108" s="1" t="s">
        <v>122</v>
      </c>
      <c r="OCO108" s="1" t="s">
        <v>122</v>
      </c>
      <c r="OCP108" s="1" t="s">
        <v>122</v>
      </c>
      <c r="OCQ108" s="1" t="s">
        <v>122</v>
      </c>
      <c r="OCR108" s="1" t="s">
        <v>122</v>
      </c>
      <c r="OCS108" s="1" t="s">
        <v>122</v>
      </c>
      <c r="OCT108" s="1" t="s">
        <v>122</v>
      </c>
      <c r="OCU108" s="1" t="s">
        <v>122</v>
      </c>
      <c r="OCV108" s="1" t="s">
        <v>122</v>
      </c>
      <c r="OCW108" s="1" t="s">
        <v>122</v>
      </c>
      <c r="OCX108" s="1" t="s">
        <v>122</v>
      </c>
      <c r="OCY108" s="1" t="s">
        <v>122</v>
      </c>
      <c r="OCZ108" s="1" t="s">
        <v>122</v>
      </c>
      <c r="ODA108" s="1" t="s">
        <v>122</v>
      </c>
      <c r="ODB108" s="1" t="s">
        <v>122</v>
      </c>
      <c r="ODC108" s="1" t="s">
        <v>122</v>
      </c>
      <c r="ODD108" s="1" t="s">
        <v>122</v>
      </c>
      <c r="ODE108" s="1" t="s">
        <v>122</v>
      </c>
      <c r="ODF108" s="1" t="s">
        <v>122</v>
      </c>
      <c r="ODG108" s="1" t="s">
        <v>122</v>
      </c>
      <c r="ODH108" s="1" t="s">
        <v>122</v>
      </c>
      <c r="ODI108" s="1" t="s">
        <v>122</v>
      </c>
      <c r="ODJ108" s="1" t="s">
        <v>122</v>
      </c>
      <c r="ODK108" s="1" t="s">
        <v>122</v>
      </c>
      <c r="ODL108" s="1" t="s">
        <v>122</v>
      </c>
      <c r="ODM108" s="1" t="s">
        <v>122</v>
      </c>
      <c r="ODN108" s="1" t="s">
        <v>122</v>
      </c>
      <c r="ODO108" s="1" t="s">
        <v>122</v>
      </c>
      <c r="ODP108" s="1" t="s">
        <v>122</v>
      </c>
      <c r="ODQ108" s="1" t="s">
        <v>122</v>
      </c>
      <c r="ODR108" s="1" t="s">
        <v>122</v>
      </c>
      <c r="ODS108" s="1" t="s">
        <v>122</v>
      </c>
      <c r="ODT108" s="1" t="s">
        <v>122</v>
      </c>
      <c r="ODU108" s="1" t="s">
        <v>122</v>
      </c>
      <c r="ODV108" s="1" t="s">
        <v>122</v>
      </c>
      <c r="ODW108" s="1" t="s">
        <v>122</v>
      </c>
      <c r="ODX108" s="1" t="s">
        <v>122</v>
      </c>
      <c r="ODY108" s="1" t="s">
        <v>122</v>
      </c>
      <c r="ODZ108" s="1" t="s">
        <v>122</v>
      </c>
      <c r="OEA108" s="1" t="s">
        <v>122</v>
      </c>
      <c r="OEB108" s="1" t="s">
        <v>122</v>
      </c>
      <c r="OEC108" s="1" t="s">
        <v>122</v>
      </c>
      <c r="OED108" s="1" t="s">
        <v>122</v>
      </c>
      <c r="OEE108" s="1" t="s">
        <v>122</v>
      </c>
      <c r="OEF108" s="1" t="s">
        <v>122</v>
      </c>
      <c r="OEG108" s="1" t="s">
        <v>122</v>
      </c>
      <c r="OEH108" s="1" t="s">
        <v>122</v>
      </c>
      <c r="OEI108" s="1" t="s">
        <v>122</v>
      </c>
      <c r="OEJ108" s="1" t="s">
        <v>122</v>
      </c>
      <c r="OEK108" s="1" t="s">
        <v>122</v>
      </c>
      <c r="OEL108" s="1" t="s">
        <v>122</v>
      </c>
      <c r="OEM108" s="1" t="s">
        <v>122</v>
      </c>
      <c r="OEN108" s="1" t="s">
        <v>122</v>
      </c>
      <c r="OEO108" s="1" t="s">
        <v>122</v>
      </c>
      <c r="OEP108" s="1" t="s">
        <v>122</v>
      </c>
      <c r="OEQ108" s="1" t="s">
        <v>122</v>
      </c>
      <c r="OER108" s="1" t="s">
        <v>122</v>
      </c>
      <c r="OES108" s="1" t="s">
        <v>122</v>
      </c>
      <c r="OET108" s="1" t="s">
        <v>122</v>
      </c>
      <c r="OEU108" s="1" t="s">
        <v>122</v>
      </c>
      <c r="OEV108" s="1" t="s">
        <v>122</v>
      </c>
      <c r="OEW108" s="1" t="s">
        <v>122</v>
      </c>
      <c r="OEX108" s="1" t="s">
        <v>122</v>
      </c>
      <c r="OEY108" s="1" t="s">
        <v>122</v>
      </c>
      <c r="OEZ108" s="1" t="s">
        <v>122</v>
      </c>
      <c r="OFA108" s="1" t="s">
        <v>122</v>
      </c>
      <c r="OFB108" s="1" t="s">
        <v>122</v>
      </c>
      <c r="OFC108" s="1" t="s">
        <v>122</v>
      </c>
      <c r="OFD108" s="1" t="s">
        <v>122</v>
      </c>
      <c r="OFE108" s="1" t="s">
        <v>122</v>
      </c>
      <c r="OFF108" s="1" t="s">
        <v>122</v>
      </c>
      <c r="OFG108" s="1" t="s">
        <v>122</v>
      </c>
      <c r="OFH108" s="1" t="s">
        <v>122</v>
      </c>
      <c r="OFI108" s="1" t="s">
        <v>122</v>
      </c>
      <c r="OFJ108" s="1" t="s">
        <v>122</v>
      </c>
      <c r="OFK108" s="1" t="s">
        <v>122</v>
      </c>
      <c r="OFL108" s="1" t="s">
        <v>122</v>
      </c>
      <c r="OFM108" s="1" t="s">
        <v>122</v>
      </c>
      <c r="OFN108" s="1" t="s">
        <v>122</v>
      </c>
      <c r="OFO108" s="1" t="s">
        <v>122</v>
      </c>
      <c r="OFP108" s="1" t="s">
        <v>122</v>
      </c>
      <c r="OFQ108" s="1" t="s">
        <v>122</v>
      </c>
      <c r="OFR108" s="1" t="s">
        <v>122</v>
      </c>
      <c r="OFS108" s="1" t="s">
        <v>122</v>
      </c>
      <c r="OFT108" s="1" t="s">
        <v>122</v>
      </c>
      <c r="OFU108" s="1" t="s">
        <v>122</v>
      </c>
      <c r="OFV108" s="1" t="s">
        <v>122</v>
      </c>
      <c r="OFW108" s="1" t="s">
        <v>122</v>
      </c>
      <c r="OFX108" s="1" t="s">
        <v>122</v>
      </c>
      <c r="OFY108" s="1" t="s">
        <v>122</v>
      </c>
      <c r="OFZ108" s="1" t="s">
        <v>122</v>
      </c>
      <c r="OGA108" s="1" t="s">
        <v>122</v>
      </c>
      <c r="OGB108" s="1" t="s">
        <v>122</v>
      </c>
      <c r="OGC108" s="1" t="s">
        <v>122</v>
      </c>
      <c r="OGD108" s="1" t="s">
        <v>122</v>
      </c>
      <c r="OGE108" s="1" t="s">
        <v>122</v>
      </c>
      <c r="OGF108" s="1" t="s">
        <v>122</v>
      </c>
      <c r="OGG108" s="1" t="s">
        <v>122</v>
      </c>
      <c r="OGH108" s="1" t="s">
        <v>122</v>
      </c>
      <c r="OGI108" s="1" t="s">
        <v>122</v>
      </c>
      <c r="OGJ108" s="1" t="s">
        <v>122</v>
      </c>
      <c r="OGK108" s="1" t="s">
        <v>122</v>
      </c>
      <c r="OGL108" s="1" t="s">
        <v>122</v>
      </c>
      <c r="OGM108" s="1" t="s">
        <v>122</v>
      </c>
      <c r="OGN108" s="1" t="s">
        <v>122</v>
      </c>
      <c r="OGO108" s="1" t="s">
        <v>122</v>
      </c>
      <c r="OGP108" s="1" t="s">
        <v>122</v>
      </c>
      <c r="OGQ108" s="1" t="s">
        <v>122</v>
      </c>
      <c r="OGR108" s="1" t="s">
        <v>122</v>
      </c>
      <c r="OGS108" s="1" t="s">
        <v>122</v>
      </c>
      <c r="OGT108" s="1" t="s">
        <v>122</v>
      </c>
      <c r="OGU108" s="1" t="s">
        <v>122</v>
      </c>
      <c r="OGV108" s="1" t="s">
        <v>122</v>
      </c>
      <c r="OGW108" s="1" t="s">
        <v>122</v>
      </c>
      <c r="OGX108" s="1" t="s">
        <v>122</v>
      </c>
      <c r="OGY108" s="1" t="s">
        <v>122</v>
      </c>
      <c r="OGZ108" s="1" t="s">
        <v>122</v>
      </c>
      <c r="OHA108" s="1" t="s">
        <v>122</v>
      </c>
      <c r="OHB108" s="1" t="s">
        <v>122</v>
      </c>
      <c r="OHC108" s="1" t="s">
        <v>122</v>
      </c>
      <c r="OHD108" s="1" t="s">
        <v>122</v>
      </c>
      <c r="OHE108" s="1" t="s">
        <v>122</v>
      </c>
      <c r="OHF108" s="1" t="s">
        <v>122</v>
      </c>
      <c r="OHG108" s="1" t="s">
        <v>122</v>
      </c>
      <c r="OHH108" s="1" t="s">
        <v>122</v>
      </c>
      <c r="OHI108" s="1" t="s">
        <v>122</v>
      </c>
      <c r="OHJ108" s="1" t="s">
        <v>122</v>
      </c>
      <c r="OHK108" s="1" t="s">
        <v>122</v>
      </c>
      <c r="OHL108" s="1" t="s">
        <v>122</v>
      </c>
      <c r="OHM108" s="1" t="s">
        <v>122</v>
      </c>
      <c r="OHN108" s="1" t="s">
        <v>122</v>
      </c>
      <c r="OHO108" s="1" t="s">
        <v>122</v>
      </c>
      <c r="OHP108" s="1" t="s">
        <v>122</v>
      </c>
      <c r="OHQ108" s="1" t="s">
        <v>122</v>
      </c>
      <c r="OHR108" s="1" t="s">
        <v>122</v>
      </c>
      <c r="OHS108" s="1" t="s">
        <v>122</v>
      </c>
      <c r="OHT108" s="1" t="s">
        <v>122</v>
      </c>
      <c r="OHU108" s="1" t="s">
        <v>122</v>
      </c>
      <c r="OHV108" s="1" t="s">
        <v>122</v>
      </c>
      <c r="OHW108" s="1" t="s">
        <v>122</v>
      </c>
      <c r="OHX108" s="1" t="s">
        <v>122</v>
      </c>
      <c r="OHY108" s="1" t="s">
        <v>122</v>
      </c>
      <c r="OHZ108" s="1" t="s">
        <v>122</v>
      </c>
      <c r="OIA108" s="1" t="s">
        <v>122</v>
      </c>
      <c r="OIB108" s="1" t="s">
        <v>122</v>
      </c>
      <c r="OIC108" s="1" t="s">
        <v>122</v>
      </c>
      <c r="OID108" s="1" t="s">
        <v>122</v>
      </c>
      <c r="OIE108" s="1" t="s">
        <v>122</v>
      </c>
      <c r="OIF108" s="1" t="s">
        <v>122</v>
      </c>
      <c r="OIG108" s="1" t="s">
        <v>122</v>
      </c>
      <c r="OIH108" s="1" t="s">
        <v>122</v>
      </c>
      <c r="OII108" s="1" t="s">
        <v>122</v>
      </c>
      <c r="OIJ108" s="1" t="s">
        <v>122</v>
      </c>
      <c r="OIK108" s="1" t="s">
        <v>122</v>
      </c>
      <c r="OIL108" s="1" t="s">
        <v>122</v>
      </c>
      <c r="OIM108" s="1" t="s">
        <v>122</v>
      </c>
      <c r="OIN108" s="1" t="s">
        <v>122</v>
      </c>
      <c r="OIO108" s="1" t="s">
        <v>122</v>
      </c>
      <c r="OIP108" s="1" t="s">
        <v>122</v>
      </c>
      <c r="OIQ108" s="1" t="s">
        <v>122</v>
      </c>
      <c r="OIR108" s="1" t="s">
        <v>122</v>
      </c>
      <c r="OIS108" s="1" t="s">
        <v>122</v>
      </c>
      <c r="OIT108" s="1" t="s">
        <v>122</v>
      </c>
      <c r="OIU108" s="1" t="s">
        <v>122</v>
      </c>
      <c r="OIV108" s="1" t="s">
        <v>122</v>
      </c>
      <c r="OIW108" s="1" t="s">
        <v>122</v>
      </c>
      <c r="OIX108" s="1" t="s">
        <v>122</v>
      </c>
      <c r="OIY108" s="1" t="s">
        <v>122</v>
      </c>
      <c r="OIZ108" s="1" t="s">
        <v>122</v>
      </c>
      <c r="OJA108" s="1" t="s">
        <v>122</v>
      </c>
      <c r="OJB108" s="1" t="s">
        <v>122</v>
      </c>
      <c r="OJC108" s="1" t="s">
        <v>122</v>
      </c>
      <c r="OJD108" s="1" t="s">
        <v>122</v>
      </c>
      <c r="OJE108" s="1" t="s">
        <v>122</v>
      </c>
      <c r="OJF108" s="1" t="s">
        <v>122</v>
      </c>
      <c r="OJG108" s="1" t="s">
        <v>122</v>
      </c>
      <c r="OJH108" s="1" t="s">
        <v>122</v>
      </c>
      <c r="OJI108" s="1" t="s">
        <v>122</v>
      </c>
      <c r="OJJ108" s="1" t="s">
        <v>122</v>
      </c>
      <c r="OJK108" s="1" t="s">
        <v>122</v>
      </c>
      <c r="OJL108" s="1" t="s">
        <v>122</v>
      </c>
      <c r="OJM108" s="1" t="s">
        <v>122</v>
      </c>
      <c r="OJN108" s="1" t="s">
        <v>122</v>
      </c>
      <c r="OJO108" s="1" t="s">
        <v>122</v>
      </c>
      <c r="OJP108" s="1" t="s">
        <v>122</v>
      </c>
      <c r="OJQ108" s="1" t="s">
        <v>122</v>
      </c>
      <c r="OJR108" s="1" t="s">
        <v>122</v>
      </c>
      <c r="OJS108" s="1" t="s">
        <v>122</v>
      </c>
      <c r="OJT108" s="1" t="s">
        <v>122</v>
      </c>
      <c r="OJU108" s="1" t="s">
        <v>122</v>
      </c>
      <c r="OJV108" s="1" t="s">
        <v>122</v>
      </c>
      <c r="OJW108" s="1" t="s">
        <v>122</v>
      </c>
      <c r="OJX108" s="1" t="s">
        <v>122</v>
      </c>
      <c r="OJY108" s="1" t="s">
        <v>122</v>
      </c>
      <c r="OJZ108" s="1" t="s">
        <v>122</v>
      </c>
      <c r="OKA108" s="1" t="s">
        <v>122</v>
      </c>
      <c r="OKB108" s="1" t="s">
        <v>122</v>
      </c>
      <c r="OKC108" s="1" t="s">
        <v>122</v>
      </c>
      <c r="OKD108" s="1" t="s">
        <v>122</v>
      </c>
      <c r="OKE108" s="1" t="s">
        <v>122</v>
      </c>
      <c r="OKF108" s="1" t="s">
        <v>122</v>
      </c>
      <c r="OKG108" s="1" t="s">
        <v>122</v>
      </c>
      <c r="OKH108" s="1" t="s">
        <v>122</v>
      </c>
      <c r="OKI108" s="1" t="s">
        <v>122</v>
      </c>
      <c r="OKJ108" s="1" t="s">
        <v>122</v>
      </c>
      <c r="OKK108" s="1" t="s">
        <v>122</v>
      </c>
      <c r="OKL108" s="1" t="s">
        <v>122</v>
      </c>
      <c r="OKM108" s="1" t="s">
        <v>122</v>
      </c>
      <c r="OKN108" s="1" t="s">
        <v>122</v>
      </c>
      <c r="OKO108" s="1" t="s">
        <v>122</v>
      </c>
      <c r="OKP108" s="1" t="s">
        <v>122</v>
      </c>
      <c r="OKQ108" s="1" t="s">
        <v>122</v>
      </c>
      <c r="OKR108" s="1" t="s">
        <v>122</v>
      </c>
      <c r="OKS108" s="1" t="s">
        <v>122</v>
      </c>
      <c r="OKT108" s="1" t="s">
        <v>122</v>
      </c>
      <c r="OKU108" s="1" t="s">
        <v>122</v>
      </c>
      <c r="OKV108" s="1" t="s">
        <v>122</v>
      </c>
      <c r="OKW108" s="1" t="s">
        <v>122</v>
      </c>
      <c r="OKX108" s="1" t="s">
        <v>122</v>
      </c>
      <c r="OKY108" s="1" t="s">
        <v>122</v>
      </c>
      <c r="OKZ108" s="1" t="s">
        <v>122</v>
      </c>
      <c r="OLA108" s="1" t="s">
        <v>122</v>
      </c>
      <c r="OLB108" s="1" t="s">
        <v>122</v>
      </c>
      <c r="OLC108" s="1" t="s">
        <v>122</v>
      </c>
      <c r="OLD108" s="1" t="s">
        <v>122</v>
      </c>
      <c r="OLE108" s="1" t="s">
        <v>122</v>
      </c>
      <c r="OLF108" s="1" t="s">
        <v>122</v>
      </c>
      <c r="OLG108" s="1" t="s">
        <v>122</v>
      </c>
      <c r="OLH108" s="1" t="s">
        <v>122</v>
      </c>
      <c r="OLI108" s="1" t="s">
        <v>122</v>
      </c>
      <c r="OLJ108" s="1" t="s">
        <v>122</v>
      </c>
      <c r="OLK108" s="1" t="s">
        <v>122</v>
      </c>
      <c r="OLL108" s="1" t="s">
        <v>122</v>
      </c>
      <c r="OLM108" s="1" t="s">
        <v>122</v>
      </c>
      <c r="OLN108" s="1" t="s">
        <v>122</v>
      </c>
      <c r="OLO108" s="1" t="s">
        <v>122</v>
      </c>
      <c r="OLP108" s="1" t="s">
        <v>122</v>
      </c>
      <c r="OLQ108" s="1" t="s">
        <v>122</v>
      </c>
      <c r="OLR108" s="1" t="s">
        <v>122</v>
      </c>
      <c r="OLS108" s="1" t="s">
        <v>122</v>
      </c>
      <c r="OLT108" s="1" t="s">
        <v>122</v>
      </c>
      <c r="OLU108" s="1" t="s">
        <v>122</v>
      </c>
      <c r="OLV108" s="1" t="s">
        <v>122</v>
      </c>
      <c r="OLW108" s="1" t="s">
        <v>122</v>
      </c>
      <c r="OLX108" s="1" t="s">
        <v>122</v>
      </c>
      <c r="OLY108" s="1" t="s">
        <v>122</v>
      </c>
      <c r="OLZ108" s="1" t="s">
        <v>122</v>
      </c>
      <c r="OMA108" s="1" t="s">
        <v>122</v>
      </c>
      <c r="OMB108" s="1" t="s">
        <v>122</v>
      </c>
      <c r="OMC108" s="1" t="s">
        <v>122</v>
      </c>
      <c r="OMD108" s="1" t="s">
        <v>122</v>
      </c>
      <c r="OME108" s="1" t="s">
        <v>122</v>
      </c>
      <c r="OMF108" s="1" t="s">
        <v>122</v>
      </c>
      <c r="OMG108" s="1" t="s">
        <v>122</v>
      </c>
      <c r="OMH108" s="1" t="s">
        <v>122</v>
      </c>
      <c r="OMI108" s="1" t="s">
        <v>122</v>
      </c>
      <c r="OMJ108" s="1" t="s">
        <v>122</v>
      </c>
      <c r="OMK108" s="1" t="s">
        <v>122</v>
      </c>
      <c r="OML108" s="1" t="s">
        <v>122</v>
      </c>
      <c r="OMM108" s="1" t="s">
        <v>122</v>
      </c>
      <c r="OMN108" s="1" t="s">
        <v>122</v>
      </c>
      <c r="OMO108" s="1" t="s">
        <v>122</v>
      </c>
      <c r="OMP108" s="1" t="s">
        <v>122</v>
      </c>
      <c r="OMQ108" s="1" t="s">
        <v>122</v>
      </c>
      <c r="OMR108" s="1" t="s">
        <v>122</v>
      </c>
      <c r="OMS108" s="1" t="s">
        <v>122</v>
      </c>
      <c r="OMT108" s="1" t="s">
        <v>122</v>
      </c>
      <c r="OMU108" s="1" t="s">
        <v>122</v>
      </c>
      <c r="OMV108" s="1" t="s">
        <v>122</v>
      </c>
      <c r="OMW108" s="1" t="s">
        <v>122</v>
      </c>
      <c r="OMX108" s="1" t="s">
        <v>122</v>
      </c>
      <c r="OMY108" s="1" t="s">
        <v>122</v>
      </c>
      <c r="OMZ108" s="1" t="s">
        <v>122</v>
      </c>
      <c r="ONA108" s="1" t="s">
        <v>122</v>
      </c>
      <c r="ONB108" s="1" t="s">
        <v>122</v>
      </c>
      <c r="ONC108" s="1" t="s">
        <v>122</v>
      </c>
      <c r="OND108" s="1" t="s">
        <v>122</v>
      </c>
      <c r="ONE108" s="1" t="s">
        <v>122</v>
      </c>
      <c r="ONF108" s="1" t="s">
        <v>122</v>
      </c>
      <c r="ONG108" s="1" t="s">
        <v>122</v>
      </c>
      <c r="ONH108" s="1" t="s">
        <v>122</v>
      </c>
      <c r="ONI108" s="1" t="s">
        <v>122</v>
      </c>
      <c r="ONJ108" s="1" t="s">
        <v>122</v>
      </c>
      <c r="ONK108" s="1" t="s">
        <v>122</v>
      </c>
      <c r="ONL108" s="1" t="s">
        <v>122</v>
      </c>
      <c r="ONM108" s="1" t="s">
        <v>122</v>
      </c>
      <c r="ONN108" s="1" t="s">
        <v>122</v>
      </c>
      <c r="ONO108" s="1" t="s">
        <v>122</v>
      </c>
      <c r="ONP108" s="1" t="s">
        <v>122</v>
      </c>
      <c r="ONQ108" s="1" t="s">
        <v>122</v>
      </c>
      <c r="ONR108" s="1" t="s">
        <v>122</v>
      </c>
      <c r="ONS108" s="1" t="s">
        <v>122</v>
      </c>
      <c r="ONT108" s="1" t="s">
        <v>122</v>
      </c>
      <c r="ONU108" s="1" t="s">
        <v>122</v>
      </c>
      <c r="ONV108" s="1" t="s">
        <v>122</v>
      </c>
      <c r="ONW108" s="1" t="s">
        <v>122</v>
      </c>
      <c r="ONX108" s="1" t="s">
        <v>122</v>
      </c>
      <c r="ONY108" s="1" t="s">
        <v>122</v>
      </c>
      <c r="ONZ108" s="1" t="s">
        <v>122</v>
      </c>
      <c r="OOA108" s="1" t="s">
        <v>122</v>
      </c>
      <c r="OOB108" s="1" t="s">
        <v>122</v>
      </c>
      <c r="OOC108" s="1" t="s">
        <v>122</v>
      </c>
      <c r="OOD108" s="1" t="s">
        <v>122</v>
      </c>
      <c r="OOE108" s="1" t="s">
        <v>122</v>
      </c>
      <c r="OOF108" s="1" t="s">
        <v>122</v>
      </c>
      <c r="OOG108" s="1" t="s">
        <v>122</v>
      </c>
      <c r="OOH108" s="1" t="s">
        <v>122</v>
      </c>
      <c r="OOI108" s="1" t="s">
        <v>122</v>
      </c>
      <c r="OOJ108" s="1" t="s">
        <v>122</v>
      </c>
      <c r="OOK108" s="1" t="s">
        <v>122</v>
      </c>
      <c r="OOL108" s="1" t="s">
        <v>122</v>
      </c>
      <c r="OOM108" s="1" t="s">
        <v>122</v>
      </c>
      <c r="OON108" s="1" t="s">
        <v>122</v>
      </c>
      <c r="OOO108" s="1" t="s">
        <v>122</v>
      </c>
      <c r="OOP108" s="1" t="s">
        <v>122</v>
      </c>
      <c r="OOQ108" s="1" t="s">
        <v>122</v>
      </c>
      <c r="OOR108" s="1" t="s">
        <v>122</v>
      </c>
      <c r="OOS108" s="1" t="s">
        <v>122</v>
      </c>
      <c r="OOT108" s="1" t="s">
        <v>122</v>
      </c>
      <c r="OOU108" s="1" t="s">
        <v>122</v>
      </c>
      <c r="OOV108" s="1" t="s">
        <v>122</v>
      </c>
      <c r="OOW108" s="1" t="s">
        <v>122</v>
      </c>
      <c r="OOX108" s="1" t="s">
        <v>122</v>
      </c>
      <c r="OOY108" s="1" t="s">
        <v>122</v>
      </c>
      <c r="OOZ108" s="1" t="s">
        <v>122</v>
      </c>
      <c r="OPA108" s="1" t="s">
        <v>122</v>
      </c>
      <c r="OPB108" s="1" t="s">
        <v>122</v>
      </c>
      <c r="OPC108" s="1" t="s">
        <v>122</v>
      </c>
      <c r="OPD108" s="1" t="s">
        <v>122</v>
      </c>
      <c r="OPE108" s="1" t="s">
        <v>122</v>
      </c>
      <c r="OPF108" s="1" t="s">
        <v>122</v>
      </c>
      <c r="OPG108" s="1" t="s">
        <v>122</v>
      </c>
      <c r="OPH108" s="1" t="s">
        <v>122</v>
      </c>
      <c r="OPI108" s="1" t="s">
        <v>122</v>
      </c>
      <c r="OPJ108" s="1" t="s">
        <v>122</v>
      </c>
      <c r="OPK108" s="1" t="s">
        <v>122</v>
      </c>
      <c r="OPL108" s="1" t="s">
        <v>122</v>
      </c>
      <c r="OPM108" s="1" t="s">
        <v>122</v>
      </c>
      <c r="OPN108" s="1" t="s">
        <v>122</v>
      </c>
      <c r="OPO108" s="1" t="s">
        <v>122</v>
      </c>
      <c r="OPP108" s="1" t="s">
        <v>122</v>
      </c>
      <c r="OPQ108" s="1" t="s">
        <v>122</v>
      </c>
      <c r="OPR108" s="1" t="s">
        <v>122</v>
      </c>
      <c r="OPS108" s="1" t="s">
        <v>122</v>
      </c>
      <c r="OPT108" s="1" t="s">
        <v>122</v>
      </c>
      <c r="OPU108" s="1" t="s">
        <v>122</v>
      </c>
      <c r="OPV108" s="1" t="s">
        <v>122</v>
      </c>
      <c r="OPW108" s="1" t="s">
        <v>122</v>
      </c>
      <c r="OPX108" s="1" t="s">
        <v>122</v>
      </c>
      <c r="OPY108" s="1" t="s">
        <v>122</v>
      </c>
      <c r="OPZ108" s="1" t="s">
        <v>122</v>
      </c>
      <c r="OQA108" s="1" t="s">
        <v>122</v>
      </c>
      <c r="OQB108" s="1" t="s">
        <v>122</v>
      </c>
      <c r="OQC108" s="1" t="s">
        <v>122</v>
      </c>
      <c r="OQD108" s="1" t="s">
        <v>122</v>
      </c>
      <c r="OQE108" s="1" t="s">
        <v>122</v>
      </c>
      <c r="OQF108" s="1" t="s">
        <v>122</v>
      </c>
      <c r="OQG108" s="1" t="s">
        <v>122</v>
      </c>
      <c r="OQH108" s="1" t="s">
        <v>122</v>
      </c>
      <c r="OQI108" s="1" t="s">
        <v>122</v>
      </c>
      <c r="OQJ108" s="1" t="s">
        <v>122</v>
      </c>
      <c r="OQK108" s="1" t="s">
        <v>122</v>
      </c>
      <c r="OQL108" s="1" t="s">
        <v>122</v>
      </c>
      <c r="OQM108" s="1" t="s">
        <v>122</v>
      </c>
      <c r="OQN108" s="1" t="s">
        <v>122</v>
      </c>
      <c r="OQO108" s="1" t="s">
        <v>122</v>
      </c>
      <c r="OQP108" s="1" t="s">
        <v>122</v>
      </c>
      <c r="OQQ108" s="1" t="s">
        <v>122</v>
      </c>
      <c r="OQR108" s="1" t="s">
        <v>122</v>
      </c>
      <c r="OQS108" s="1" t="s">
        <v>122</v>
      </c>
      <c r="OQT108" s="1" t="s">
        <v>122</v>
      </c>
      <c r="OQU108" s="1" t="s">
        <v>122</v>
      </c>
      <c r="OQV108" s="1" t="s">
        <v>122</v>
      </c>
      <c r="OQW108" s="1" t="s">
        <v>122</v>
      </c>
      <c r="OQX108" s="1" t="s">
        <v>122</v>
      </c>
      <c r="OQY108" s="1" t="s">
        <v>122</v>
      </c>
      <c r="OQZ108" s="1" t="s">
        <v>122</v>
      </c>
      <c r="ORA108" s="1" t="s">
        <v>122</v>
      </c>
      <c r="ORB108" s="1" t="s">
        <v>122</v>
      </c>
      <c r="ORC108" s="1" t="s">
        <v>122</v>
      </c>
      <c r="ORD108" s="1" t="s">
        <v>122</v>
      </c>
      <c r="ORE108" s="1" t="s">
        <v>122</v>
      </c>
      <c r="ORF108" s="1" t="s">
        <v>122</v>
      </c>
      <c r="ORG108" s="1" t="s">
        <v>122</v>
      </c>
      <c r="ORH108" s="1" t="s">
        <v>122</v>
      </c>
      <c r="ORI108" s="1" t="s">
        <v>122</v>
      </c>
      <c r="ORJ108" s="1" t="s">
        <v>122</v>
      </c>
      <c r="ORK108" s="1" t="s">
        <v>122</v>
      </c>
      <c r="ORL108" s="1" t="s">
        <v>122</v>
      </c>
      <c r="ORM108" s="1" t="s">
        <v>122</v>
      </c>
      <c r="ORN108" s="1" t="s">
        <v>122</v>
      </c>
      <c r="ORO108" s="1" t="s">
        <v>122</v>
      </c>
      <c r="ORP108" s="1" t="s">
        <v>122</v>
      </c>
      <c r="ORQ108" s="1" t="s">
        <v>122</v>
      </c>
      <c r="ORR108" s="1" t="s">
        <v>122</v>
      </c>
      <c r="ORS108" s="1" t="s">
        <v>122</v>
      </c>
      <c r="ORT108" s="1" t="s">
        <v>122</v>
      </c>
      <c r="ORU108" s="1" t="s">
        <v>122</v>
      </c>
      <c r="ORV108" s="1" t="s">
        <v>122</v>
      </c>
      <c r="ORW108" s="1" t="s">
        <v>122</v>
      </c>
      <c r="ORX108" s="1" t="s">
        <v>122</v>
      </c>
      <c r="ORY108" s="1" t="s">
        <v>122</v>
      </c>
      <c r="ORZ108" s="1" t="s">
        <v>122</v>
      </c>
      <c r="OSA108" s="1" t="s">
        <v>122</v>
      </c>
      <c r="OSB108" s="1" t="s">
        <v>122</v>
      </c>
      <c r="OSC108" s="1" t="s">
        <v>122</v>
      </c>
      <c r="OSD108" s="1" t="s">
        <v>122</v>
      </c>
      <c r="OSE108" s="1" t="s">
        <v>122</v>
      </c>
      <c r="OSF108" s="1" t="s">
        <v>122</v>
      </c>
      <c r="OSG108" s="1" t="s">
        <v>122</v>
      </c>
      <c r="OSH108" s="1" t="s">
        <v>122</v>
      </c>
      <c r="OSI108" s="1" t="s">
        <v>122</v>
      </c>
      <c r="OSJ108" s="1" t="s">
        <v>122</v>
      </c>
      <c r="OSK108" s="1" t="s">
        <v>122</v>
      </c>
      <c r="OSL108" s="1" t="s">
        <v>122</v>
      </c>
      <c r="OSM108" s="1" t="s">
        <v>122</v>
      </c>
      <c r="OSN108" s="1" t="s">
        <v>122</v>
      </c>
      <c r="OSO108" s="1" t="s">
        <v>122</v>
      </c>
      <c r="OSP108" s="1" t="s">
        <v>122</v>
      </c>
      <c r="OSQ108" s="1" t="s">
        <v>122</v>
      </c>
      <c r="OSR108" s="1" t="s">
        <v>122</v>
      </c>
      <c r="OSS108" s="1" t="s">
        <v>122</v>
      </c>
      <c r="OST108" s="1" t="s">
        <v>122</v>
      </c>
      <c r="OSU108" s="1" t="s">
        <v>122</v>
      </c>
      <c r="OSV108" s="1" t="s">
        <v>122</v>
      </c>
      <c r="OSW108" s="1" t="s">
        <v>122</v>
      </c>
      <c r="OSX108" s="1" t="s">
        <v>122</v>
      </c>
      <c r="OSY108" s="1" t="s">
        <v>122</v>
      </c>
      <c r="OSZ108" s="1" t="s">
        <v>122</v>
      </c>
      <c r="OTA108" s="1" t="s">
        <v>122</v>
      </c>
      <c r="OTB108" s="1" t="s">
        <v>122</v>
      </c>
      <c r="OTC108" s="1" t="s">
        <v>122</v>
      </c>
      <c r="OTD108" s="1" t="s">
        <v>122</v>
      </c>
      <c r="OTE108" s="1" t="s">
        <v>122</v>
      </c>
      <c r="OTF108" s="1" t="s">
        <v>122</v>
      </c>
      <c r="OTG108" s="1" t="s">
        <v>122</v>
      </c>
      <c r="OTH108" s="1" t="s">
        <v>122</v>
      </c>
      <c r="OTI108" s="1" t="s">
        <v>122</v>
      </c>
      <c r="OTJ108" s="1" t="s">
        <v>122</v>
      </c>
      <c r="OTK108" s="1" t="s">
        <v>122</v>
      </c>
      <c r="OTL108" s="1" t="s">
        <v>122</v>
      </c>
      <c r="OTM108" s="1" t="s">
        <v>122</v>
      </c>
      <c r="OTN108" s="1" t="s">
        <v>122</v>
      </c>
      <c r="OTO108" s="1" t="s">
        <v>122</v>
      </c>
      <c r="OTP108" s="1" t="s">
        <v>122</v>
      </c>
      <c r="OTQ108" s="1" t="s">
        <v>122</v>
      </c>
      <c r="OTR108" s="1" t="s">
        <v>122</v>
      </c>
      <c r="OTS108" s="1" t="s">
        <v>122</v>
      </c>
      <c r="OTT108" s="1" t="s">
        <v>122</v>
      </c>
      <c r="OTU108" s="1" t="s">
        <v>122</v>
      </c>
      <c r="OTV108" s="1" t="s">
        <v>122</v>
      </c>
      <c r="OTW108" s="1" t="s">
        <v>122</v>
      </c>
      <c r="OTX108" s="1" t="s">
        <v>122</v>
      </c>
      <c r="OTY108" s="1" t="s">
        <v>122</v>
      </c>
      <c r="OTZ108" s="1" t="s">
        <v>122</v>
      </c>
      <c r="OUA108" s="1" t="s">
        <v>122</v>
      </c>
      <c r="OUB108" s="1" t="s">
        <v>122</v>
      </c>
      <c r="OUC108" s="1" t="s">
        <v>122</v>
      </c>
      <c r="OUD108" s="1" t="s">
        <v>122</v>
      </c>
      <c r="OUE108" s="1" t="s">
        <v>122</v>
      </c>
      <c r="OUF108" s="1" t="s">
        <v>122</v>
      </c>
      <c r="OUG108" s="1" t="s">
        <v>122</v>
      </c>
      <c r="OUH108" s="1" t="s">
        <v>122</v>
      </c>
      <c r="OUI108" s="1" t="s">
        <v>122</v>
      </c>
      <c r="OUJ108" s="1" t="s">
        <v>122</v>
      </c>
      <c r="OUK108" s="1" t="s">
        <v>122</v>
      </c>
      <c r="OUL108" s="1" t="s">
        <v>122</v>
      </c>
      <c r="OUM108" s="1" t="s">
        <v>122</v>
      </c>
      <c r="OUN108" s="1" t="s">
        <v>122</v>
      </c>
      <c r="OUO108" s="1" t="s">
        <v>122</v>
      </c>
      <c r="OUP108" s="1" t="s">
        <v>122</v>
      </c>
      <c r="OUQ108" s="1" t="s">
        <v>122</v>
      </c>
      <c r="OUR108" s="1" t="s">
        <v>122</v>
      </c>
      <c r="OUS108" s="1" t="s">
        <v>122</v>
      </c>
      <c r="OUT108" s="1" t="s">
        <v>122</v>
      </c>
      <c r="OUU108" s="1" t="s">
        <v>122</v>
      </c>
      <c r="OUV108" s="1" t="s">
        <v>122</v>
      </c>
      <c r="OUW108" s="1" t="s">
        <v>122</v>
      </c>
      <c r="OUX108" s="1" t="s">
        <v>122</v>
      </c>
      <c r="OUY108" s="1" t="s">
        <v>122</v>
      </c>
      <c r="OUZ108" s="1" t="s">
        <v>122</v>
      </c>
      <c r="OVA108" s="1" t="s">
        <v>122</v>
      </c>
      <c r="OVB108" s="1" t="s">
        <v>122</v>
      </c>
      <c r="OVC108" s="1" t="s">
        <v>122</v>
      </c>
      <c r="OVD108" s="1" t="s">
        <v>122</v>
      </c>
      <c r="OVE108" s="1" t="s">
        <v>122</v>
      </c>
      <c r="OVF108" s="1" t="s">
        <v>122</v>
      </c>
      <c r="OVG108" s="1" t="s">
        <v>122</v>
      </c>
      <c r="OVH108" s="1" t="s">
        <v>122</v>
      </c>
      <c r="OVI108" s="1" t="s">
        <v>122</v>
      </c>
      <c r="OVJ108" s="1" t="s">
        <v>122</v>
      </c>
      <c r="OVK108" s="1" t="s">
        <v>122</v>
      </c>
      <c r="OVL108" s="1" t="s">
        <v>122</v>
      </c>
      <c r="OVM108" s="1" t="s">
        <v>122</v>
      </c>
      <c r="OVN108" s="1" t="s">
        <v>122</v>
      </c>
      <c r="OVO108" s="1" t="s">
        <v>122</v>
      </c>
      <c r="OVP108" s="1" t="s">
        <v>122</v>
      </c>
      <c r="OVQ108" s="1" t="s">
        <v>122</v>
      </c>
      <c r="OVR108" s="1" t="s">
        <v>122</v>
      </c>
      <c r="OVS108" s="1" t="s">
        <v>122</v>
      </c>
      <c r="OVT108" s="1" t="s">
        <v>122</v>
      </c>
      <c r="OVU108" s="1" t="s">
        <v>122</v>
      </c>
      <c r="OVV108" s="1" t="s">
        <v>122</v>
      </c>
      <c r="OVW108" s="1" t="s">
        <v>122</v>
      </c>
      <c r="OVX108" s="1" t="s">
        <v>122</v>
      </c>
      <c r="OVY108" s="1" t="s">
        <v>122</v>
      </c>
      <c r="OVZ108" s="1" t="s">
        <v>122</v>
      </c>
      <c r="OWA108" s="1" t="s">
        <v>122</v>
      </c>
      <c r="OWB108" s="1" t="s">
        <v>122</v>
      </c>
      <c r="OWC108" s="1" t="s">
        <v>122</v>
      </c>
      <c r="OWD108" s="1" t="s">
        <v>122</v>
      </c>
      <c r="OWE108" s="1" t="s">
        <v>122</v>
      </c>
      <c r="OWF108" s="1" t="s">
        <v>122</v>
      </c>
      <c r="OWG108" s="1" t="s">
        <v>122</v>
      </c>
      <c r="OWH108" s="1" t="s">
        <v>122</v>
      </c>
      <c r="OWI108" s="1" t="s">
        <v>122</v>
      </c>
      <c r="OWJ108" s="1" t="s">
        <v>122</v>
      </c>
      <c r="OWK108" s="1" t="s">
        <v>122</v>
      </c>
      <c r="OWL108" s="1" t="s">
        <v>122</v>
      </c>
      <c r="OWM108" s="1" t="s">
        <v>122</v>
      </c>
      <c r="OWN108" s="1" t="s">
        <v>122</v>
      </c>
      <c r="OWO108" s="1" t="s">
        <v>122</v>
      </c>
      <c r="OWP108" s="1" t="s">
        <v>122</v>
      </c>
      <c r="OWQ108" s="1" t="s">
        <v>122</v>
      </c>
      <c r="OWR108" s="1" t="s">
        <v>122</v>
      </c>
      <c r="OWS108" s="1" t="s">
        <v>122</v>
      </c>
      <c r="OWT108" s="1" t="s">
        <v>122</v>
      </c>
      <c r="OWU108" s="1" t="s">
        <v>122</v>
      </c>
      <c r="OWV108" s="1" t="s">
        <v>122</v>
      </c>
      <c r="OWW108" s="1" t="s">
        <v>122</v>
      </c>
      <c r="OWX108" s="1" t="s">
        <v>122</v>
      </c>
      <c r="OWY108" s="1" t="s">
        <v>122</v>
      </c>
      <c r="OWZ108" s="1" t="s">
        <v>122</v>
      </c>
      <c r="OXA108" s="1" t="s">
        <v>122</v>
      </c>
      <c r="OXB108" s="1" t="s">
        <v>122</v>
      </c>
      <c r="OXC108" s="1" t="s">
        <v>122</v>
      </c>
      <c r="OXD108" s="1" t="s">
        <v>122</v>
      </c>
      <c r="OXE108" s="1" t="s">
        <v>122</v>
      </c>
      <c r="OXF108" s="1" t="s">
        <v>122</v>
      </c>
      <c r="OXG108" s="1" t="s">
        <v>122</v>
      </c>
      <c r="OXH108" s="1" t="s">
        <v>122</v>
      </c>
      <c r="OXI108" s="1" t="s">
        <v>122</v>
      </c>
      <c r="OXJ108" s="1" t="s">
        <v>122</v>
      </c>
      <c r="OXK108" s="1" t="s">
        <v>122</v>
      </c>
      <c r="OXL108" s="1" t="s">
        <v>122</v>
      </c>
      <c r="OXM108" s="1" t="s">
        <v>122</v>
      </c>
      <c r="OXN108" s="1" t="s">
        <v>122</v>
      </c>
      <c r="OXO108" s="1" t="s">
        <v>122</v>
      </c>
      <c r="OXP108" s="1" t="s">
        <v>122</v>
      </c>
      <c r="OXQ108" s="1" t="s">
        <v>122</v>
      </c>
      <c r="OXR108" s="1" t="s">
        <v>122</v>
      </c>
      <c r="OXS108" s="1" t="s">
        <v>122</v>
      </c>
      <c r="OXT108" s="1" t="s">
        <v>122</v>
      </c>
      <c r="OXU108" s="1" t="s">
        <v>122</v>
      </c>
      <c r="OXV108" s="1" t="s">
        <v>122</v>
      </c>
      <c r="OXW108" s="1" t="s">
        <v>122</v>
      </c>
      <c r="OXX108" s="1" t="s">
        <v>122</v>
      </c>
      <c r="OXY108" s="1" t="s">
        <v>122</v>
      </c>
      <c r="OXZ108" s="1" t="s">
        <v>122</v>
      </c>
      <c r="OYA108" s="1" t="s">
        <v>122</v>
      </c>
      <c r="OYB108" s="1" t="s">
        <v>122</v>
      </c>
      <c r="OYC108" s="1" t="s">
        <v>122</v>
      </c>
      <c r="OYD108" s="1" t="s">
        <v>122</v>
      </c>
      <c r="OYE108" s="1" t="s">
        <v>122</v>
      </c>
      <c r="OYF108" s="1" t="s">
        <v>122</v>
      </c>
      <c r="OYG108" s="1" t="s">
        <v>122</v>
      </c>
      <c r="OYH108" s="1" t="s">
        <v>122</v>
      </c>
      <c r="OYI108" s="1" t="s">
        <v>122</v>
      </c>
      <c r="OYJ108" s="1" t="s">
        <v>122</v>
      </c>
      <c r="OYK108" s="1" t="s">
        <v>122</v>
      </c>
      <c r="OYL108" s="1" t="s">
        <v>122</v>
      </c>
      <c r="OYM108" s="1" t="s">
        <v>122</v>
      </c>
      <c r="OYN108" s="1" t="s">
        <v>122</v>
      </c>
      <c r="OYO108" s="1" t="s">
        <v>122</v>
      </c>
      <c r="OYP108" s="1" t="s">
        <v>122</v>
      </c>
      <c r="OYQ108" s="1" t="s">
        <v>122</v>
      </c>
      <c r="OYR108" s="1" t="s">
        <v>122</v>
      </c>
      <c r="OYS108" s="1" t="s">
        <v>122</v>
      </c>
      <c r="OYT108" s="1" t="s">
        <v>122</v>
      </c>
      <c r="OYU108" s="1" t="s">
        <v>122</v>
      </c>
      <c r="OYV108" s="1" t="s">
        <v>122</v>
      </c>
      <c r="OYW108" s="1" t="s">
        <v>122</v>
      </c>
      <c r="OYX108" s="1" t="s">
        <v>122</v>
      </c>
      <c r="OYY108" s="1" t="s">
        <v>122</v>
      </c>
      <c r="OYZ108" s="1" t="s">
        <v>122</v>
      </c>
      <c r="OZA108" s="1" t="s">
        <v>122</v>
      </c>
      <c r="OZB108" s="1" t="s">
        <v>122</v>
      </c>
      <c r="OZC108" s="1" t="s">
        <v>122</v>
      </c>
      <c r="OZD108" s="1" t="s">
        <v>122</v>
      </c>
      <c r="OZE108" s="1" t="s">
        <v>122</v>
      </c>
      <c r="OZF108" s="1" t="s">
        <v>122</v>
      </c>
      <c r="OZG108" s="1" t="s">
        <v>122</v>
      </c>
      <c r="OZH108" s="1" t="s">
        <v>122</v>
      </c>
      <c r="OZI108" s="1" t="s">
        <v>122</v>
      </c>
      <c r="OZJ108" s="1" t="s">
        <v>122</v>
      </c>
      <c r="OZK108" s="1" t="s">
        <v>122</v>
      </c>
      <c r="OZL108" s="1" t="s">
        <v>122</v>
      </c>
      <c r="OZM108" s="1" t="s">
        <v>122</v>
      </c>
      <c r="OZN108" s="1" t="s">
        <v>122</v>
      </c>
      <c r="OZO108" s="1" t="s">
        <v>122</v>
      </c>
      <c r="OZP108" s="1" t="s">
        <v>122</v>
      </c>
      <c r="OZQ108" s="1" t="s">
        <v>122</v>
      </c>
      <c r="OZR108" s="1" t="s">
        <v>122</v>
      </c>
      <c r="OZS108" s="1" t="s">
        <v>122</v>
      </c>
      <c r="OZT108" s="1" t="s">
        <v>122</v>
      </c>
      <c r="OZU108" s="1" t="s">
        <v>122</v>
      </c>
      <c r="OZV108" s="1" t="s">
        <v>122</v>
      </c>
      <c r="OZW108" s="1" t="s">
        <v>122</v>
      </c>
      <c r="OZX108" s="1" t="s">
        <v>122</v>
      </c>
      <c r="OZY108" s="1" t="s">
        <v>122</v>
      </c>
      <c r="OZZ108" s="1" t="s">
        <v>122</v>
      </c>
      <c r="PAA108" s="1" t="s">
        <v>122</v>
      </c>
      <c r="PAB108" s="1" t="s">
        <v>122</v>
      </c>
      <c r="PAC108" s="1" t="s">
        <v>122</v>
      </c>
      <c r="PAD108" s="1" t="s">
        <v>122</v>
      </c>
      <c r="PAE108" s="1" t="s">
        <v>122</v>
      </c>
      <c r="PAF108" s="1" t="s">
        <v>122</v>
      </c>
      <c r="PAG108" s="1" t="s">
        <v>122</v>
      </c>
      <c r="PAH108" s="1" t="s">
        <v>122</v>
      </c>
      <c r="PAI108" s="1" t="s">
        <v>122</v>
      </c>
      <c r="PAJ108" s="1" t="s">
        <v>122</v>
      </c>
      <c r="PAK108" s="1" t="s">
        <v>122</v>
      </c>
      <c r="PAL108" s="1" t="s">
        <v>122</v>
      </c>
      <c r="PAM108" s="1" t="s">
        <v>122</v>
      </c>
      <c r="PAN108" s="1" t="s">
        <v>122</v>
      </c>
      <c r="PAO108" s="1" t="s">
        <v>122</v>
      </c>
      <c r="PAP108" s="1" t="s">
        <v>122</v>
      </c>
      <c r="PAQ108" s="1" t="s">
        <v>122</v>
      </c>
      <c r="PAR108" s="1" t="s">
        <v>122</v>
      </c>
      <c r="PAS108" s="1" t="s">
        <v>122</v>
      </c>
      <c r="PAT108" s="1" t="s">
        <v>122</v>
      </c>
      <c r="PAU108" s="1" t="s">
        <v>122</v>
      </c>
      <c r="PAV108" s="1" t="s">
        <v>122</v>
      </c>
      <c r="PAW108" s="1" t="s">
        <v>122</v>
      </c>
      <c r="PAX108" s="1" t="s">
        <v>122</v>
      </c>
      <c r="PAY108" s="1" t="s">
        <v>122</v>
      </c>
      <c r="PAZ108" s="1" t="s">
        <v>122</v>
      </c>
      <c r="PBA108" s="1" t="s">
        <v>122</v>
      </c>
      <c r="PBB108" s="1" t="s">
        <v>122</v>
      </c>
      <c r="PBC108" s="1" t="s">
        <v>122</v>
      </c>
      <c r="PBD108" s="1" t="s">
        <v>122</v>
      </c>
      <c r="PBE108" s="1" t="s">
        <v>122</v>
      </c>
      <c r="PBF108" s="1" t="s">
        <v>122</v>
      </c>
      <c r="PBG108" s="1" t="s">
        <v>122</v>
      </c>
      <c r="PBH108" s="1" t="s">
        <v>122</v>
      </c>
      <c r="PBI108" s="1" t="s">
        <v>122</v>
      </c>
      <c r="PBJ108" s="1" t="s">
        <v>122</v>
      </c>
      <c r="PBK108" s="1" t="s">
        <v>122</v>
      </c>
      <c r="PBL108" s="1" t="s">
        <v>122</v>
      </c>
      <c r="PBM108" s="1" t="s">
        <v>122</v>
      </c>
      <c r="PBN108" s="1" t="s">
        <v>122</v>
      </c>
      <c r="PBO108" s="1" t="s">
        <v>122</v>
      </c>
      <c r="PBP108" s="1" t="s">
        <v>122</v>
      </c>
      <c r="PBQ108" s="1" t="s">
        <v>122</v>
      </c>
      <c r="PBR108" s="1" t="s">
        <v>122</v>
      </c>
      <c r="PBS108" s="1" t="s">
        <v>122</v>
      </c>
      <c r="PBT108" s="1" t="s">
        <v>122</v>
      </c>
      <c r="PBU108" s="1" t="s">
        <v>122</v>
      </c>
      <c r="PBV108" s="1" t="s">
        <v>122</v>
      </c>
      <c r="PBW108" s="1" t="s">
        <v>122</v>
      </c>
      <c r="PBX108" s="1" t="s">
        <v>122</v>
      </c>
      <c r="PBY108" s="1" t="s">
        <v>122</v>
      </c>
      <c r="PBZ108" s="1" t="s">
        <v>122</v>
      </c>
      <c r="PCA108" s="1" t="s">
        <v>122</v>
      </c>
      <c r="PCB108" s="1" t="s">
        <v>122</v>
      </c>
      <c r="PCC108" s="1" t="s">
        <v>122</v>
      </c>
      <c r="PCD108" s="1" t="s">
        <v>122</v>
      </c>
      <c r="PCE108" s="1" t="s">
        <v>122</v>
      </c>
      <c r="PCF108" s="1" t="s">
        <v>122</v>
      </c>
      <c r="PCG108" s="1" t="s">
        <v>122</v>
      </c>
      <c r="PCH108" s="1" t="s">
        <v>122</v>
      </c>
      <c r="PCI108" s="1" t="s">
        <v>122</v>
      </c>
      <c r="PCJ108" s="1" t="s">
        <v>122</v>
      </c>
      <c r="PCK108" s="1" t="s">
        <v>122</v>
      </c>
      <c r="PCL108" s="1" t="s">
        <v>122</v>
      </c>
      <c r="PCM108" s="1" t="s">
        <v>122</v>
      </c>
      <c r="PCN108" s="1" t="s">
        <v>122</v>
      </c>
      <c r="PCO108" s="1" t="s">
        <v>122</v>
      </c>
      <c r="PCP108" s="1" t="s">
        <v>122</v>
      </c>
      <c r="PCQ108" s="1" t="s">
        <v>122</v>
      </c>
      <c r="PCR108" s="1" t="s">
        <v>122</v>
      </c>
      <c r="PCS108" s="1" t="s">
        <v>122</v>
      </c>
      <c r="PCT108" s="1" t="s">
        <v>122</v>
      </c>
      <c r="PCU108" s="1" t="s">
        <v>122</v>
      </c>
      <c r="PCV108" s="1" t="s">
        <v>122</v>
      </c>
      <c r="PCW108" s="1" t="s">
        <v>122</v>
      </c>
      <c r="PCX108" s="1" t="s">
        <v>122</v>
      </c>
      <c r="PCY108" s="1" t="s">
        <v>122</v>
      </c>
      <c r="PCZ108" s="1" t="s">
        <v>122</v>
      </c>
      <c r="PDA108" s="1" t="s">
        <v>122</v>
      </c>
      <c r="PDB108" s="1" t="s">
        <v>122</v>
      </c>
      <c r="PDC108" s="1" t="s">
        <v>122</v>
      </c>
      <c r="PDD108" s="1" t="s">
        <v>122</v>
      </c>
      <c r="PDE108" s="1" t="s">
        <v>122</v>
      </c>
      <c r="PDF108" s="1" t="s">
        <v>122</v>
      </c>
      <c r="PDG108" s="1" t="s">
        <v>122</v>
      </c>
      <c r="PDH108" s="1" t="s">
        <v>122</v>
      </c>
      <c r="PDI108" s="1" t="s">
        <v>122</v>
      </c>
      <c r="PDJ108" s="1" t="s">
        <v>122</v>
      </c>
      <c r="PDK108" s="1" t="s">
        <v>122</v>
      </c>
      <c r="PDL108" s="1" t="s">
        <v>122</v>
      </c>
      <c r="PDM108" s="1" t="s">
        <v>122</v>
      </c>
      <c r="PDN108" s="1" t="s">
        <v>122</v>
      </c>
      <c r="PDO108" s="1" t="s">
        <v>122</v>
      </c>
      <c r="PDP108" s="1" t="s">
        <v>122</v>
      </c>
      <c r="PDQ108" s="1" t="s">
        <v>122</v>
      </c>
      <c r="PDR108" s="1" t="s">
        <v>122</v>
      </c>
      <c r="PDS108" s="1" t="s">
        <v>122</v>
      </c>
      <c r="PDT108" s="1" t="s">
        <v>122</v>
      </c>
      <c r="PDU108" s="1" t="s">
        <v>122</v>
      </c>
      <c r="PDV108" s="1" t="s">
        <v>122</v>
      </c>
      <c r="PDW108" s="1" t="s">
        <v>122</v>
      </c>
      <c r="PDX108" s="1" t="s">
        <v>122</v>
      </c>
      <c r="PDY108" s="1" t="s">
        <v>122</v>
      </c>
      <c r="PDZ108" s="1" t="s">
        <v>122</v>
      </c>
      <c r="PEA108" s="1" t="s">
        <v>122</v>
      </c>
      <c r="PEB108" s="1" t="s">
        <v>122</v>
      </c>
      <c r="PEC108" s="1" t="s">
        <v>122</v>
      </c>
      <c r="PED108" s="1" t="s">
        <v>122</v>
      </c>
      <c r="PEE108" s="1" t="s">
        <v>122</v>
      </c>
      <c r="PEF108" s="1" t="s">
        <v>122</v>
      </c>
      <c r="PEG108" s="1" t="s">
        <v>122</v>
      </c>
      <c r="PEH108" s="1" t="s">
        <v>122</v>
      </c>
      <c r="PEI108" s="1" t="s">
        <v>122</v>
      </c>
      <c r="PEJ108" s="1" t="s">
        <v>122</v>
      </c>
      <c r="PEK108" s="1" t="s">
        <v>122</v>
      </c>
      <c r="PEL108" s="1" t="s">
        <v>122</v>
      </c>
      <c r="PEM108" s="1" t="s">
        <v>122</v>
      </c>
      <c r="PEN108" s="1" t="s">
        <v>122</v>
      </c>
      <c r="PEO108" s="1" t="s">
        <v>122</v>
      </c>
      <c r="PEP108" s="1" t="s">
        <v>122</v>
      </c>
      <c r="PEQ108" s="1" t="s">
        <v>122</v>
      </c>
      <c r="PER108" s="1" t="s">
        <v>122</v>
      </c>
      <c r="PES108" s="1" t="s">
        <v>122</v>
      </c>
      <c r="PET108" s="1" t="s">
        <v>122</v>
      </c>
      <c r="PEU108" s="1" t="s">
        <v>122</v>
      </c>
      <c r="PEV108" s="1" t="s">
        <v>122</v>
      </c>
      <c r="PEW108" s="1" t="s">
        <v>122</v>
      </c>
      <c r="PEX108" s="1" t="s">
        <v>122</v>
      </c>
      <c r="PEY108" s="1" t="s">
        <v>122</v>
      </c>
      <c r="PEZ108" s="1" t="s">
        <v>122</v>
      </c>
      <c r="PFA108" s="1" t="s">
        <v>122</v>
      </c>
      <c r="PFB108" s="1" t="s">
        <v>122</v>
      </c>
      <c r="PFC108" s="1" t="s">
        <v>122</v>
      </c>
      <c r="PFD108" s="1" t="s">
        <v>122</v>
      </c>
      <c r="PFE108" s="1" t="s">
        <v>122</v>
      </c>
      <c r="PFF108" s="1" t="s">
        <v>122</v>
      </c>
      <c r="PFG108" s="1" t="s">
        <v>122</v>
      </c>
      <c r="PFH108" s="1" t="s">
        <v>122</v>
      </c>
      <c r="PFI108" s="1" t="s">
        <v>122</v>
      </c>
      <c r="PFJ108" s="1" t="s">
        <v>122</v>
      </c>
      <c r="PFK108" s="1" t="s">
        <v>122</v>
      </c>
      <c r="PFL108" s="1" t="s">
        <v>122</v>
      </c>
      <c r="PFM108" s="1" t="s">
        <v>122</v>
      </c>
      <c r="PFN108" s="1" t="s">
        <v>122</v>
      </c>
      <c r="PFO108" s="1" t="s">
        <v>122</v>
      </c>
      <c r="PFP108" s="1" t="s">
        <v>122</v>
      </c>
      <c r="PFQ108" s="1" t="s">
        <v>122</v>
      </c>
      <c r="PFR108" s="1" t="s">
        <v>122</v>
      </c>
      <c r="PFS108" s="1" t="s">
        <v>122</v>
      </c>
      <c r="PFT108" s="1" t="s">
        <v>122</v>
      </c>
      <c r="PFU108" s="1" t="s">
        <v>122</v>
      </c>
      <c r="PFV108" s="1" t="s">
        <v>122</v>
      </c>
      <c r="PFW108" s="1" t="s">
        <v>122</v>
      </c>
      <c r="PFX108" s="1" t="s">
        <v>122</v>
      </c>
      <c r="PFY108" s="1" t="s">
        <v>122</v>
      </c>
      <c r="PFZ108" s="1" t="s">
        <v>122</v>
      </c>
      <c r="PGA108" s="1" t="s">
        <v>122</v>
      </c>
      <c r="PGB108" s="1" t="s">
        <v>122</v>
      </c>
      <c r="PGC108" s="1" t="s">
        <v>122</v>
      </c>
      <c r="PGD108" s="1" t="s">
        <v>122</v>
      </c>
      <c r="PGE108" s="1" t="s">
        <v>122</v>
      </c>
      <c r="PGF108" s="1" t="s">
        <v>122</v>
      </c>
      <c r="PGG108" s="1" t="s">
        <v>122</v>
      </c>
      <c r="PGH108" s="1" t="s">
        <v>122</v>
      </c>
      <c r="PGI108" s="1" t="s">
        <v>122</v>
      </c>
      <c r="PGJ108" s="1" t="s">
        <v>122</v>
      </c>
      <c r="PGK108" s="1" t="s">
        <v>122</v>
      </c>
      <c r="PGL108" s="1" t="s">
        <v>122</v>
      </c>
      <c r="PGM108" s="1" t="s">
        <v>122</v>
      </c>
      <c r="PGN108" s="1" t="s">
        <v>122</v>
      </c>
      <c r="PGO108" s="1" t="s">
        <v>122</v>
      </c>
      <c r="PGP108" s="1" t="s">
        <v>122</v>
      </c>
      <c r="PGQ108" s="1" t="s">
        <v>122</v>
      </c>
      <c r="PGR108" s="1" t="s">
        <v>122</v>
      </c>
      <c r="PGS108" s="1" t="s">
        <v>122</v>
      </c>
      <c r="PGT108" s="1" t="s">
        <v>122</v>
      </c>
      <c r="PGU108" s="1" t="s">
        <v>122</v>
      </c>
      <c r="PGV108" s="1" t="s">
        <v>122</v>
      </c>
      <c r="PGW108" s="1" t="s">
        <v>122</v>
      </c>
      <c r="PGX108" s="1" t="s">
        <v>122</v>
      </c>
      <c r="PGY108" s="1" t="s">
        <v>122</v>
      </c>
      <c r="PGZ108" s="1" t="s">
        <v>122</v>
      </c>
      <c r="PHA108" s="1" t="s">
        <v>122</v>
      </c>
      <c r="PHB108" s="1" t="s">
        <v>122</v>
      </c>
      <c r="PHC108" s="1" t="s">
        <v>122</v>
      </c>
      <c r="PHD108" s="1" t="s">
        <v>122</v>
      </c>
      <c r="PHE108" s="1" t="s">
        <v>122</v>
      </c>
      <c r="PHF108" s="1" t="s">
        <v>122</v>
      </c>
      <c r="PHG108" s="1" t="s">
        <v>122</v>
      </c>
      <c r="PHH108" s="1" t="s">
        <v>122</v>
      </c>
      <c r="PHI108" s="1" t="s">
        <v>122</v>
      </c>
      <c r="PHJ108" s="1" t="s">
        <v>122</v>
      </c>
      <c r="PHK108" s="1" t="s">
        <v>122</v>
      </c>
      <c r="PHL108" s="1" t="s">
        <v>122</v>
      </c>
      <c r="PHM108" s="1" t="s">
        <v>122</v>
      </c>
      <c r="PHN108" s="1" t="s">
        <v>122</v>
      </c>
      <c r="PHO108" s="1" t="s">
        <v>122</v>
      </c>
      <c r="PHP108" s="1" t="s">
        <v>122</v>
      </c>
      <c r="PHQ108" s="1" t="s">
        <v>122</v>
      </c>
      <c r="PHR108" s="1" t="s">
        <v>122</v>
      </c>
      <c r="PHS108" s="1" t="s">
        <v>122</v>
      </c>
      <c r="PHT108" s="1" t="s">
        <v>122</v>
      </c>
      <c r="PHU108" s="1" t="s">
        <v>122</v>
      </c>
      <c r="PHV108" s="1" t="s">
        <v>122</v>
      </c>
      <c r="PHW108" s="1" t="s">
        <v>122</v>
      </c>
      <c r="PHX108" s="1" t="s">
        <v>122</v>
      </c>
      <c r="PHY108" s="1" t="s">
        <v>122</v>
      </c>
      <c r="PHZ108" s="1" t="s">
        <v>122</v>
      </c>
      <c r="PIA108" s="1" t="s">
        <v>122</v>
      </c>
      <c r="PIB108" s="1" t="s">
        <v>122</v>
      </c>
      <c r="PIC108" s="1" t="s">
        <v>122</v>
      </c>
      <c r="PID108" s="1" t="s">
        <v>122</v>
      </c>
      <c r="PIE108" s="1" t="s">
        <v>122</v>
      </c>
      <c r="PIF108" s="1" t="s">
        <v>122</v>
      </c>
      <c r="PIG108" s="1" t="s">
        <v>122</v>
      </c>
      <c r="PIH108" s="1" t="s">
        <v>122</v>
      </c>
      <c r="PII108" s="1" t="s">
        <v>122</v>
      </c>
      <c r="PIJ108" s="1" t="s">
        <v>122</v>
      </c>
      <c r="PIK108" s="1" t="s">
        <v>122</v>
      </c>
      <c r="PIL108" s="1" t="s">
        <v>122</v>
      </c>
      <c r="PIM108" s="1" t="s">
        <v>122</v>
      </c>
      <c r="PIN108" s="1" t="s">
        <v>122</v>
      </c>
      <c r="PIO108" s="1" t="s">
        <v>122</v>
      </c>
      <c r="PIP108" s="1" t="s">
        <v>122</v>
      </c>
      <c r="PIQ108" s="1" t="s">
        <v>122</v>
      </c>
      <c r="PIR108" s="1" t="s">
        <v>122</v>
      </c>
      <c r="PIS108" s="1" t="s">
        <v>122</v>
      </c>
      <c r="PIT108" s="1" t="s">
        <v>122</v>
      </c>
      <c r="PIU108" s="1" t="s">
        <v>122</v>
      </c>
      <c r="PIV108" s="1" t="s">
        <v>122</v>
      </c>
      <c r="PIW108" s="1" t="s">
        <v>122</v>
      </c>
      <c r="PIX108" s="1" t="s">
        <v>122</v>
      </c>
      <c r="PIY108" s="1" t="s">
        <v>122</v>
      </c>
      <c r="PIZ108" s="1" t="s">
        <v>122</v>
      </c>
      <c r="PJA108" s="1" t="s">
        <v>122</v>
      </c>
      <c r="PJB108" s="1" t="s">
        <v>122</v>
      </c>
      <c r="PJC108" s="1" t="s">
        <v>122</v>
      </c>
      <c r="PJD108" s="1" t="s">
        <v>122</v>
      </c>
      <c r="PJE108" s="1" t="s">
        <v>122</v>
      </c>
      <c r="PJF108" s="1" t="s">
        <v>122</v>
      </c>
      <c r="PJG108" s="1" t="s">
        <v>122</v>
      </c>
      <c r="PJH108" s="1" t="s">
        <v>122</v>
      </c>
      <c r="PJI108" s="1" t="s">
        <v>122</v>
      </c>
      <c r="PJJ108" s="1" t="s">
        <v>122</v>
      </c>
      <c r="PJK108" s="1" t="s">
        <v>122</v>
      </c>
      <c r="PJL108" s="1" t="s">
        <v>122</v>
      </c>
      <c r="PJM108" s="1" t="s">
        <v>122</v>
      </c>
      <c r="PJN108" s="1" t="s">
        <v>122</v>
      </c>
      <c r="PJO108" s="1" t="s">
        <v>122</v>
      </c>
      <c r="PJP108" s="1" t="s">
        <v>122</v>
      </c>
      <c r="PJQ108" s="1" t="s">
        <v>122</v>
      </c>
      <c r="PJR108" s="1" t="s">
        <v>122</v>
      </c>
      <c r="PJS108" s="1" t="s">
        <v>122</v>
      </c>
      <c r="PJT108" s="1" t="s">
        <v>122</v>
      </c>
      <c r="PJU108" s="1" t="s">
        <v>122</v>
      </c>
      <c r="PJV108" s="1" t="s">
        <v>122</v>
      </c>
      <c r="PJW108" s="1" t="s">
        <v>122</v>
      </c>
      <c r="PJX108" s="1" t="s">
        <v>122</v>
      </c>
      <c r="PJY108" s="1" t="s">
        <v>122</v>
      </c>
      <c r="PJZ108" s="1" t="s">
        <v>122</v>
      </c>
      <c r="PKA108" s="1" t="s">
        <v>122</v>
      </c>
      <c r="PKB108" s="1" t="s">
        <v>122</v>
      </c>
      <c r="PKC108" s="1" t="s">
        <v>122</v>
      </c>
      <c r="PKD108" s="1" t="s">
        <v>122</v>
      </c>
      <c r="PKE108" s="1" t="s">
        <v>122</v>
      </c>
      <c r="PKF108" s="1" t="s">
        <v>122</v>
      </c>
      <c r="PKG108" s="1" t="s">
        <v>122</v>
      </c>
      <c r="PKH108" s="1" t="s">
        <v>122</v>
      </c>
      <c r="PKI108" s="1" t="s">
        <v>122</v>
      </c>
      <c r="PKJ108" s="1" t="s">
        <v>122</v>
      </c>
      <c r="PKK108" s="1" t="s">
        <v>122</v>
      </c>
      <c r="PKL108" s="1" t="s">
        <v>122</v>
      </c>
      <c r="PKM108" s="1" t="s">
        <v>122</v>
      </c>
      <c r="PKN108" s="1" t="s">
        <v>122</v>
      </c>
      <c r="PKO108" s="1" t="s">
        <v>122</v>
      </c>
      <c r="PKP108" s="1" t="s">
        <v>122</v>
      </c>
      <c r="PKQ108" s="1" t="s">
        <v>122</v>
      </c>
      <c r="PKR108" s="1" t="s">
        <v>122</v>
      </c>
      <c r="PKS108" s="1" t="s">
        <v>122</v>
      </c>
      <c r="PKT108" s="1" t="s">
        <v>122</v>
      </c>
      <c r="PKU108" s="1" t="s">
        <v>122</v>
      </c>
      <c r="PKV108" s="1" t="s">
        <v>122</v>
      </c>
      <c r="PKW108" s="1" t="s">
        <v>122</v>
      </c>
      <c r="PKX108" s="1" t="s">
        <v>122</v>
      </c>
      <c r="PKY108" s="1" t="s">
        <v>122</v>
      </c>
      <c r="PKZ108" s="1" t="s">
        <v>122</v>
      </c>
      <c r="PLA108" s="1" t="s">
        <v>122</v>
      </c>
      <c r="PLB108" s="1" t="s">
        <v>122</v>
      </c>
      <c r="PLC108" s="1" t="s">
        <v>122</v>
      </c>
      <c r="PLD108" s="1" t="s">
        <v>122</v>
      </c>
      <c r="PLE108" s="1" t="s">
        <v>122</v>
      </c>
      <c r="PLF108" s="1" t="s">
        <v>122</v>
      </c>
      <c r="PLG108" s="1" t="s">
        <v>122</v>
      </c>
      <c r="PLH108" s="1" t="s">
        <v>122</v>
      </c>
      <c r="PLI108" s="1" t="s">
        <v>122</v>
      </c>
      <c r="PLJ108" s="1" t="s">
        <v>122</v>
      </c>
      <c r="PLK108" s="1" t="s">
        <v>122</v>
      </c>
      <c r="PLL108" s="1" t="s">
        <v>122</v>
      </c>
      <c r="PLM108" s="1" t="s">
        <v>122</v>
      </c>
      <c r="PLN108" s="1" t="s">
        <v>122</v>
      </c>
      <c r="PLO108" s="1" t="s">
        <v>122</v>
      </c>
      <c r="PLP108" s="1" t="s">
        <v>122</v>
      </c>
      <c r="PLQ108" s="1" t="s">
        <v>122</v>
      </c>
      <c r="PLR108" s="1" t="s">
        <v>122</v>
      </c>
      <c r="PLS108" s="1" t="s">
        <v>122</v>
      </c>
      <c r="PLT108" s="1" t="s">
        <v>122</v>
      </c>
      <c r="PLU108" s="1" t="s">
        <v>122</v>
      </c>
      <c r="PLV108" s="1" t="s">
        <v>122</v>
      </c>
      <c r="PLW108" s="1" t="s">
        <v>122</v>
      </c>
      <c r="PLX108" s="1" t="s">
        <v>122</v>
      </c>
      <c r="PLY108" s="1" t="s">
        <v>122</v>
      </c>
      <c r="PLZ108" s="1" t="s">
        <v>122</v>
      </c>
      <c r="PMA108" s="1" t="s">
        <v>122</v>
      </c>
      <c r="PMB108" s="1" t="s">
        <v>122</v>
      </c>
      <c r="PMC108" s="1" t="s">
        <v>122</v>
      </c>
      <c r="PMD108" s="1" t="s">
        <v>122</v>
      </c>
      <c r="PME108" s="1" t="s">
        <v>122</v>
      </c>
      <c r="PMF108" s="1" t="s">
        <v>122</v>
      </c>
      <c r="PMG108" s="1" t="s">
        <v>122</v>
      </c>
      <c r="PMH108" s="1" t="s">
        <v>122</v>
      </c>
      <c r="PMI108" s="1" t="s">
        <v>122</v>
      </c>
      <c r="PMJ108" s="1" t="s">
        <v>122</v>
      </c>
      <c r="PMK108" s="1" t="s">
        <v>122</v>
      </c>
      <c r="PML108" s="1" t="s">
        <v>122</v>
      </c>
      <c r="PMM108" s="1" t="s">
        <v>122</v>
      </c>
      <c r="PMN108" s="1" t="s">
        <v>122</v>
      </c>
      <c r="PMO108" s="1" t="s">
        <v>122</v>
      </c>
      <c r="PMP108" s="1" t="s">
        <v>122</v>
      </c>
      <c r="PMQ108" s="1" t="s">
        <v>122</v>
      </c>
      <c r="PMR108" s="1" t="s">
        <v>122</v>
      </c>
      <c r="PMS108" s="1" t="s">
        <v>122</v>
      </c>
      <c r="PMT108" s="1" t="s">
        <v>122</v>
      </c>
      <c r="PMU108" s="1" t="s">
        <v>122</v>
      </c>
      <c r="PMV108" s="1" t="s">
        <v>122</v>
      </c>
      <c r="PMW108" s="1" t="s">
        <v>122</v>
      </c>
      <c r="PMX108" s="1" t="s">
        <v>122</v>
      </c>
      <c r="PMY108" s="1" t="s">
        <v>122</v>
      </c>
      <c r="PMZ108" s="1" t="s">
        <v>122</v>
      </c>
      <c r="PNA108" s="1" t="s">
        <v>122</v>
      </c>
      <c r="PNB108" s="1" t="s">
        <v>122</v>
      </c>
      <c r="PNC108" s="1" t="s">
        <v>122</v>
      </c>
      <c r="PND108" s="1" t="s">
        <v>122</v>
      </c>
      <c r="PNE108" s="1" t="s">
        <v>122</v>
      </c>
      <c r="PNF108" s="1" t="s">
        <v>122</v>
      </c>
      <c r="PNG108" s="1" t="s">
        <v>122</v>
      </c>
      <c r="PNH108" s="1" t="s">
        <v>122</v>
      </c>
      <c r="PNI108" s="1" t="s">
        <v>122</v>
      </c>
      <c r="PNJ108" s="1" t="s">
        <v>122</v>
      </c>
      <c r="PNK108" s="1" t="s">
        <v>122</v>
      </c>
      <c r="PNL108" s="1" t="s">
        <v>122</v>
      </c>
      <c r="PNM108" s="1" t="s">
        <v>122</v>
      </c>
      <c r="PNN108" s="1" t="s">
        <v>122</v>
      </c>
      <c r="PNO108" s="1" t="s">
        <v>122</v>
      </c>
      <c r="PNP108" s="1" t="s">
        <v>122</v>
      </c>
      <c r="PNQ108" s="1" t="s">
        <v>122</v>
      </c>
      <c r="PNR108" s="1" t="s">
        <v>122</v>
      </c>
      <c r="PNS108" s="1" t="s">
        <v>122</v>
      </c>
      <c r="PNT108" s="1" t="s">
        <v>122</v>
      </c>
      <c r="PNU108" s="1" t="s">
        <v>122</v>
      </c>
      <c r="PNV108" s="1" t="s">
        <v>122</v>
      </c>
      <c r="PNW108" s="1" t="s">
        <v>122</v>
      </c>
      <c r="PNX108" s="1" t="s">
        <v>122</v>
      </c>
      <c r="PNY108" s="1" t="s">
        <v>122</v>
      </c>
      <c r="PNZ108" s="1" t="s">
        <v>122</v>
      </c>
      <c r="POA108" s="1" t="s">
        <v>122</v>
      </c>
      <c r="POB108" s="1" t="s">
        <v>122</v>
      </c>
      <c r="POC108" s="1" t="s">
        <v>122</v>
      </c>
      <c r="POD108" s="1" t="s">
        <v>122</v>
      </c>
      <c r="POE108" s="1" t="s">
        <v>122</v>
      </c>
      <c r="POF108" s="1" t="s">
        <v>122</v>
      </c>
      <c r="POG108" s="1" t="s">
        <v>122</v>
      </c>
      <c r="POH108" s="1" t="s">
        <v>122</v>
      </c>
      <c r="POI108" s="1" t="s">
        <v>122</v>
      </c>
      <c r="POJ108" s="1" t="s">
        <v>122</v>
      </c>
      <c r="POK108" s="1" t="s">
        <v>122</v>
      </c>
      <c r="POL108" s="1" t="s">
        <v>122</v>
      </c>
      <c r="POM108" s="1" t="s">
        <v>122</v>
      </c>
      <c r="PON108" s="1" t="s">
        <v>122</v>
      </c>
      <c r="POO108" s="1" t="s">
        <v>122</v>
      </c>
      <c r="POP108" s="1" t="s">
        <v>122</v>
      </c>
      <c r="POQ108" s="1" t="s">
        <v>122</v>
      </c>
      <c r="POR108" s="1" t="s">
        <v>122</v>
      </c>
      <c r="POS108" s="1" t="s">
        <v>122</v>
      </c>
      <c r="POT108" s="1" t="s">
        <v>122</v>
      </c>
      <c r="POU108" s="1" t="s">
        <v>122</v>
      </c>
      <c r="POV108" s="1" t="s">
        <v>122</v>
      </c>
      <c r="POW108" s="1" t="s">
        <v>122</v>
      </c>
      <c r="POX108" s="1" t="s">
        <v>122</v>
      </c>
      <c r="POY108" s="1" t="s">
        <v>122</v>
      </c>
      <c r="POZ108" s="1" t="s">
        <v>122</v>
      </c>
      <c r="PPA108" s="1" t="s">
        <v>122</v>
      </c>
      <c r="PPB108" s="1" t="s">
        <v>122</v>
      </c>
      <c r="PPC108" s="1" t="s">
        <v>122</v>
      </c>
      <c r="PPD108" s="1" t="s">
        <v>122</v>
      </c>
      <c r="PPE108" s="1" t="s">
        <v>122</v>
      </c>
      <c r="PPF108" s="1" t="s">
        <v>122</v>
      </c>
      <c r="PPG108" s="1" t="s">
        <v>122</v>
      </c>
      <c r="PPH108" s="1" t="s">
        <v>122</v>
      </c>
      <c r="PPI108" s="1" t="s">
        <v>122</v>
      </c>
      <c r="PPJ108" s="1" t="s">
        <v>122</v>
      </c>
      <c r="PPK108" s="1" t="s">
        <v>122</v>
      </c>
      <c r="PPL108" s="1" t="s">
        <v>122</v>
      </c>
      <c r="PPM108" s="1" t="s">
        <v>122</v>
      </c>
      <c r="PPN108" s="1" t="s">
        <v>122</v>
      </c>
      <c r="PPO108" s="1" t="s">
        <v>122</v>
      </c>
      <c r="PPP108" s="1" t="s">
        <v>122</v>
      </c>
      <c r="PPQ108" s="1" t="s">
        <v>122</v>
      </c>
      <c r="PPR108" s="1" t="s">
        <v>122</v>
      </c>
      <c r="PPS108" s="1" t="s">
        <v>122</v>
      </c>
      <c r="PPT108" s="1" t="s">
        <v>122</v>
      </c>
      <c r="PPU108" s="1" t="s">
        <v>122</v>
      </c>
      <c r="PPV108" s="1" t="s">
        <v>122</v>
      </c>
      <c r="PPW108" s="1" t="s">
        <v>122</v>
      </c>
      <c r="PPX108" s="1" t="s">
        <v>122</v>
      </c>
      <c r="PPY108" s="1" t="s">
        <v>122</v>
      </c>
      <c r="PPZ108" s="1" t="s">
        <v>122</v>
      </c>
      <c r="PQA108" s="1" t="s">
        <v>122</v>
      </c>
      <c r="PQB108" s="1" t="s">
        <v>122</v>
      </c>
      <c r="PQC108" s="1" t="s">
        <v>122</v>
      </c>
      <c r="PQD108" s="1" t="s">
        <v>122</v>
      </c>
      <c r="PQE108" s="1" t="s">
        <v>122</v>
      </c>
      <c r="PQF108" s="1" t="s">
        <v>122</v>
      </c>
      <c r="PQG108" s="1" t="s">
        <v>122</v>
      </c>
      <c r="PQH108" s="1" t="s">
        <v>122</v>
      </c>
      <c r="PQI108" s="1" t="s">
        <v>122</v>
      </c>
      <c r="PQJ108" s="1" t="s">
        <v>122</v>
      </c>
      <c r="PQK108" s="1" t="s">
        <v>122</v>
      </c>
      <c r="PQL108" s="1" t="s">
        <v>122</v>
      </c>
      <c r="PQM108" s="1" t="s">
        <v>122</v>
      </c>
      <c r="PQN108" s="1" t="s">
        <v>122</v>
      </c>
      <c r="PQO108" s="1" t="s">
        <v>122</v>
      </c>
      <c r="PQP108" s="1" t="s">
        <v>122</v>
      </c>
      <c r="PQQ108" s="1" t="s">
        <v>122</v>
      </c>
      <c r="PQR108" s="1" t="s">
        <v>122</v>
      </c>
      <c r="PQS108" s="1" t="s">
        <v>122</v>
      </c>
      <c r="PQT108" s="1" t="s">
        <v>122</v>
      </c>
      <c r="PQU108" s="1" t="s">
        <v>122</v>
      </c>
      <c r="PQV108" s="1" t="s">
        <v>122</v>
      </c>
      <c r="PQW108" s="1" t="s">
        <v>122</v>
      </c>
      <c r="PQX108" s="1" t="s">
        <v>122</v>
      </c>
      <c r="PQY108" s="1" t="s">
        <v>122</v>
      </c>
      <c r="PQZ108" s="1" t="s">
        <v>122</v>
      </c>
      <c r="PRA108" s="1" t="s">
        <v>122</v>
      </c>
      <c r="PRB108" s="1" t="s">
        <v>122</v>
      </c>
      <c r="PRC108" s="1" t="s">
        <v>122</v>
      </c>
      <c r="PRD108" s="1" t="s">
        <v>122</v>
      </c>
      <c r="PRE108" s="1" t="s">
        <v>122</v>
      </c>
      <c r="PRF108" s="1" t="s">
        <v>122</v>
      </c>
      <c r="PRG108" s="1" t="s">
        <v>122</v>
      </c>
      <c r="PRH108" s="1" t="s">
        <v>122</v>
      </c>
      <c r="PRI108" s="1" t="s">
        <v>122</v>
      </c>
      <c r="PRJ108" s="1" t="s">
        <v>122</v>
      </c>
      <c r="PRK108" s="1" t="s">
        <v>122</v>
      </c>
      <c r="PRL108" s="1" t="s">
        <v>122</v>
      </c>
      <c r="PRM108" s="1" t="s">
        <v>122</v>
      </c>
      <c r="PRN108" s="1" t="s">
        <v>122</v>
      </c>
      <c r="PRO108" s="1" t="s">
        <v>122</v>
      </c>
      <c r="PRP108" s="1" t="s">
        <v>122</v>
      </c>
      <c r="PRQ108" s="1" t="s">
        <v>122</v>
      </c>
      <c r="PRR108" s="1" t="s">
        <v>122</v>
      </c>
      <c r="PRS108" s="1" t="s">
        <v>122</v>
      </c>
      <c r="PRT108" s="1" t="s">
        <v>122</v>
      </c>
      <c r="PRU108" s="1" t="s">
        <v>122</v>
      </c>
      <c r="PRV108" s="1" t="s">
        <v>122</v>
      </c>
      <c r="PRW108" s="1" t="s">
        <v>122</v>
      </c>
      <c r="PRX108" s="1" t="s">
        <v>122</v>
      </c>
      <c r="PRY108" s="1" t="s">
        <v>122</v>
      </c>
      <c r="PRZ108" s="1" t="s">
        <v>122</v>
      </c>
      <c r="PSA108" s="1" t="s">
        <v>122</v>
      </c>
      <c r="PSB108" s="1" t="s">
        <v>122</v>
      </c>
      <c r="PSC108" s="1" t="s">
        <v>122</v>
      </c>
      <c r="PSD108" s="1" t="s">
        <v>122</v>
      </c>
      <c r="PSE108" s="1" t="s">
        <v>122</v>
      </c>
      <c r="PSF108" s="1" t="s">
        <v>122</v>
      </c>
      <c r="PSG108" s="1" t="s">
        <v>122</v>
      </c>
      <c r="PSH108" s="1" t="s">
        <v>122</v>
      </c>
      <c r="PSI108" s="1" t="s">
        <v>122</v>
      </c>
      <c r="PSJ108" s="1" t="s">
        <v>122</v>
      </c>
      <c r="PSK108" s="1" t="s">
        <v>122</v>
      </c>
      <c r="PSL108" s="1" t="s">
        <v>122</v>
      </c>
      <c r="PSM108" s="1" t="s">
        <v>122</v>
      </c>
      <c r="PSN108" s="1" t="s">
        <v>122</v>
      </c>
      <c r="PSO108" s="1" t="s">
        <v>122</v>
      </c>
      <c r="PSP108" s="1" t="s">
        <v>122</v>
      </c>
      <c r="PSQ108" s="1" t="s">
        <v>122</v>
      </c>
      <c r="PSR108" s="1" t="s">
        <v>122</v>
      </c>
      <c r="PSS108" s="1" t="s">
        <v>122</v>
      </c>
      <c r="PST108" s="1" t="s">
        <v>122</v>
      </c>
      <c r="PSU108" s="1" t="s">
        <v>122</v>
      </c>
      <c r="PSV108" s="1" t="s">
        <v>122</v>
      </c>
      <c r="PSW108" s="1" t="s">
        <v>122</v>
      </c>
      <c r="PSX108" s="1" t="s">
        <v>122</v>
      </c>
      <c r="PSY108" s="1" t="s">
        <v>122</v>
      </c>
      <c r="PSZ108" s="1" t="s">
        <v>122</v>
      </c>
      <c r="PTA108" s="1" t="s">
        <v>122</v>
      </c>
      <c r="PTB108" s="1" t="s">
        <v>122</v>
      </c>
      <c r="PTC108" s="1" t="s">
        <v>122</v>
      </c>
      <c r="PTD108" s="1" t="s">
        <v>122</v>
      </c>
      <c r="PTE108" s="1" t="s">
        <v>122</v>
      </c>
      <c r="PTF108" s="1" t="s">
        <v>122</v>
      </c>
      <c r="PTG108" s="1" t="s">
        <v>122</v>
      </c>
      <c r="PTH108" s="1" t="s">
        <v>122</v>
      </c>
      <c r="PTI108" s="1" t="s">
        <v>122</v>
      </c>
      <c r="PTJ108" s="1" t="s">
        <v>122</v>
      </c>
      <c r="PTK108" s="1" t="s">
        <v>122</v>
      </c>
      <c r="PTL108" s="1" t="s">
        <v>122</v>
      </c>
      <c r="PTM108" s="1" t="s">
        <v>122</v>
      </c>
      <c r="PTN108" s="1" t="s">
        <v>122</v>
      </c>
      <c r="PTO108" s="1" t="s">
        <v>122</v>
      </c>
      <c r="PTP108" s="1" t="s">
        <v>122</v>
      </c>
      <c r="PTQ108" s="1" t="s">
        <v>122</v>
      </c>
      <c r="PTR108" s="1" t="s">
        <v>122</v>
      </c>
      <c r="PTS108" s="1" t="s">
        <v>122</v>
      </c>
      <c r="PTT108" s="1" t="s">
        <v>122</v>
      </c>
      <c r="PTU108" s="1" t="s">
        <v>122</v>
      </c>
      <c r="PTV108" s="1" t="s">
        <v>122</v>
      </c>
      <c r="PTW108" s="1" t="s">
        <v>122</v>
      </c>
      <c r="PTX108" s="1" t="s">
        <v>122</v>
      </c>
      <c r="PTY108" s="1" t="s">
        <v>122</v>
      </c>
      <c r="PTZ108" s="1" t="s">
        <v>122</v>
      </c>
      <c r="PUA108" s="1" t="s">
        <v>122</v>
      </c>
      <c r="PUB108" s="1" t="s">
        <v>122</v>
      </c>
      <c r="PUC108" s="1" t="s">
        <v>122</v>
      </c>
      <c r="PUD108" s="1" t="s">
        <v>122</v>
      </c>
      <c r="PUE108" s="1" t="s">
        <v>122</v>
      </c>
      <c r="PUF108" s="1" t="s">
        <v>122</v>
      </c>
      <c r="PUG108" s="1" t="s">
        <v>122</v>
      </c>
      <c r="PUH108" s="1" t="s">
        <v>122</v>
      </c>
      <c r="PUI108" s="1" t="s">
        <v>122</v>
      </c>
      <c r="PUJ108" s="1" t="s">
        <v>122</v>
      </c>
      <c r="PUK108" s="1" t="s">
        <v>122</v>
      </c>
      <c r="PUL108" s="1" t="s">
        <v>122</v>
      </c>
      <c r="PUM108" s="1" t="s">
        <v>122</v>
      </c>
      <c r="PUN108" s="1" t="s">
        <v>122</v>
      </c>
      <c r="PUO108" s="1" t="s">
        <v>122</v>
      </c>
      <c r="PUP108" s="1" t="s">
        <v>122</v>
      </c>
      <c r="PUQ108" s="1" t="s">
        <v>122</v>
      </c>
      <c r="PUR108" s="1" t="s">
        <v>122</v>
      </c>
      <c r="PUS108" s="1" t="s">
        <v>122</v>
      </c>
      <c r="PUT108" s="1" t="s">
        <v>122</v>
      </c>
      <c r="PUU108" s="1" t="s">
        <v>122</v>
      </c>
      <c r="PUV108" s="1" t="s">
        <v>122</v>
      </c>
      <c r="PUW108" s="1" t="s">
        <v>122</v>
      </c>
      <c r="PUX108" s="1" t="s">
        <v>122</v>
      </c>
      <c r="PUY108" s="1" t="s">
        <v>122</v>
      </c>
      <c r="PUZ108" s="1" t="s">
        <v>122</v>
      </c>
      <c r="PVA108" s="1" t="s">
        <v>122</v>
      </c>
      <c r="PVB108" s="1" t="s">
        <v>122</v>
      </c>
      <c r="PVC108" s="1" t="s">
        <v>122</v>
      </c>
      <c r="PVD108" s="1" t="s">
        <v>122</v>
      </c>
      <c r="PVE108" s="1" t="s">
        <v>122</v>
      </c>
      <c r="PVF108" s="1" t="s">
        <v>122</v>
      </c>
      <c r="PVG108" s="1" t="s">
        <v>122</v>
      </c>
      <c r="PVH108" s="1" t="s">
        <v>122</v>
      </c>
      <c r="PVI108" s="1" t="s">
        <v>122</v>
      </c>
      <c r="PVJ108" s="1" t="s">
        <v>122</v>
      </c>
      <c r="PVK108" s="1" t="s">
        <v>122</v>
      </c>
      <c r="PVL108" s="1" t="s">
        <v>122</v>
      </c>
      <c r="PVM108" s="1" t="s">
        <v>122</v>
      </c>
      <c r="PVN108" s="1" t="s">
        <v>122</v>
      </c>
      <c r="PVO108" s="1" t="s">
        <v>122</v>
      </c>
      <c r="PVP108" s="1" t="s">
        <v>122</v>
      </c>
      <c r="PVQ108" s="1" t="s">
        <v>122</v>
      </c>
      <c r="PVR108" s="1" t="s">
        <v>122</v>
      </c>
      <c r="PVS108" s="1" t="s">
        <v>122</v>
      </c>
      <c r="PVT108" s="1" t="s">
        <v>122</v>
      </c>
      <c r="PVU108" s="1" t="s">
        <v>122</v>
      </c>
      <c r="PVV108" s="1" t="s">
        <v>122</v>
      </c>
      <c r="PVW108" s="1" t="s">
        <v>122</v>
      </c>
      <c r="PVX108" s="1" t="s">
        <v>122</v>
      </c>
      <c r="PVY108" s="1" t="s">
        <v>122</v>
      </c>
      <c r="PVZ108" s="1" t="s">
        <v>122</v>
      </c>
      <c r="PWA108" s="1" t="s">
        <v>122</v>
      </c>
      <c r="PWB108" s="1" t="s">
        <v>122</v>
      </c>
      <c r="PWC108" s="1" t="s">
        <v>122</v>
      </c>
      <c r="PWD108" s="1" t="s">
        <v>122</v>
      </c>
      <c r="PWE108" s="1" t="s">
        <v>122</v>
      </c>
      <c r="PWF108" s="1" t="s">
        <v>122</v>
      </c>
      <c r="PWG108" s="1" t="s">
        <v>122</v>
      </c>
      <c r="PWH108" s="1" t="s">
        <v>122</v>
      </c>
      <c r="PWI108" s="1" t="s">
        <v>122</v>
      </c>
      <c r="PWJ108" s="1" t="s">
        <v>122</v>
      </c>
      <c r="PWK108" s="1" t="s">
        <v>122</v>
      </c>
      <c r="PWL108" s="1" t="s">
        <v>122</v>
      </c>
      <c r="PWM108" s="1" t="s">
        <v>122</v>
      </c>
      <c r="PWN108" s="1" t="s">
        <v>122</v>
      </c>
      <c r="PWO108" s="1" t="s">
        <v>122</v>
      </c>
      <c r="PWP108" s="1" t="s">
        <v>122</v>
      </c>
      <c r="PWQ108" s="1" t="s">
        <v>122</v>
      </c>
      <c r="PWR108" s="1" t="s">
        <v>122</v>
      </c>
      <c r="PWS108" s="1" t="s">
        <v>122</v>
      </c>
      <c r="PWT108" s="1" t="s">
        <v>122</v>
      </c>
      <c r="PWU108" s="1" t="s">
        <v>122</v>
      </c>
      <c r="PWV108" s="1" t="s">
        <v>122</v>
      </c>
      <c r="PWW108" s="1" t="s">
        <v>122</v>
      </c>
      <c r="PWX108" s="1" t="s">
        <v>122</v>
      </c>
      <c r="PWY108" s="1" t="s">
        <v>122</v>
      </c>
      <c r="PWZ108" s="1" t="s">
        <v>122</v>
      </c>
      <c r="PXA108" s="1" t="s">
        <v>122</v>
      </c>
      <c r="PXB108" s="1" t="s">
        <v>122</v>
      </c>
      <c r="PXC108" s="1" t="s">
        <v>122</v>
      </c>
      <c r="PXD108" s="1" t="s">
        <v>122</v>
      </c>
      <c r="PXE108" s="1" t="s">
        <v>122</v>
      </c>
      <c r="PXF108" s="1" t="s">
        <v>122</v>
      </c>
      <c r="PXG108" s="1" t="s">
        <v>122</v>
      </c>
      <c r="PXH108" s="1" t="s">
        <v>122</v>
      </c>
      <c r="PXI108" s="1" t="s">
        <v>122</v>
      </c>
      <c r="PXJ108" s="1" t="s">
        <v>122</v>
      </c>
      <c r="PXK108" s="1" t="s">
        <v>122</v>
      </c>
      <c r="PXL108" s="1" t="s">
        <v>122</v>
      </c>
      <c r="PXM108" s="1" t="s">
        <v>122</v>
      </c>
      <c r="PXN108" s="1" t="s">
        <v>122</v>
      </c>
      <c r="PXO108" s="1" t="s">
        <v>122</v>
      </c>
      <c r="PXP108" s="1" t="s">
        <v>122</v>
      </c>
      <c r="PXQ108" s="1" t="s">
        <v>122</v>
      </c>
      <c r="PXR108" s="1" t="s">
        <v>122</v>
      </c>
      <c r="PXS108" s="1" t="s">
        <v>122</v>
      </c>
      <c r="PXT108" s="1" t="s">
        <v>122</v>
      </c>
      <c r="PXU108" s="1" t="s">
        <v>122</v>
      </c>
      <c r="PXV108" s="1" t="s">
        <v>122</v>
      </c>
      <c r="PXW108" s="1" t="s">
        <v>122</v>
      </c>
      <c r="PXX108" s="1" t="s">
        <v>122</v>
      </c>
      <c r="PXY108" s="1" t="s">
        <v>122</v>
      </c>
      <c r="PXZ108" s="1" t="s">
        <v>122</v>
      </c>
      <c r="PYA108" s="1" t="s">
        <v>122</v>
      </c>
      <c r="PYB108" s="1" t="s">
        <v>122</v>
      </c>
      <c r="PYC108" s="1" t="s">
        <v>122</v>
      </c>
      <c r="PYD108" s="1" t="s">
        <v>122</v>
      </c>
      <c r="PYE108" s="1" t="s">
        <v>122</v>
      </c>
      <c r="PYF108" s="1" t="s">
        <v>122</v>
      </c>
      <c r="PYG108" s="1" t="s">
        <v>122</v>
      </c>
      <c r="PYH108" s="1" t="s">
        <v>122</v>
      </c>
      <c r="PYI108" s="1" t="s">
        <v>122</v>
      </c>
      <c r="PYJ108" s="1" t="s">
        <v>122</v>
      </c>
      <c r="PYK108" s="1" t="s">
        <v>122</v>
      </c>
      <c r="PYL108" s="1" t="s">
        <v>122</v>
      </c>
      <c r="PYM108" s="1" t="s">
        <v>122</v>
      </c>
      <c r="PYN108" s="1" t="s">
        <v>122</v>
      </c>
      <c r="PYO108" s="1" t="s">
        <v>122</v>
      </c>
      <c r="PYP108" s="1" t="s">
        <v>122</v>
      </c>
      <c r="PYQ108" s="1" t="s">
        <v>122</v>
      </c>
      <c r="PYR108" s="1" t="s">
        <v>122</v>
      </c>
      <c r="PYS108" s="1" t="s">
        <v>122</v>
      </c>
      <c r="PYT108" s="1" t="s">
        <v>122</v>
      </c>
      <c r="PYU108" s="1" t="s">
        <v>122</v>
      </c>
      <c r="PYV108" s="1" t="s">
        <v>122</v>
      </c>
      <c r="PYW108" s="1" t="s">
        <v>122</v>
      </c>
      <c r="PYX108" s="1" t="s">
        <v>122</v>
      </c>
      <c r="PYY108" s="1" t="s">
        <v>122</v>
      </c>
      <c r="PYZ108" s="1" t="s">
        <v>122</v>
      </c>
      <c r="PZA108" s="1" t="s">
        <v>122</v>
      </c>
      <c r="PZB108" s="1" t="s">
        <v>122</v>
      </c>
      <c r="PZC108" s="1" t="s">
        <v>122</v>
      </c>
      <c r="PZD108" s="1" t="s">
        <v>122</v>
      </c>
      <c r="PZE108" s="1" t="s">
        <v>122</v>
      </c>
      <c r="PZF108" s="1" t="s">
        <v>122</v>
      </c>
      <c r="PZG108" s="1" t="s">
        <v>122</v>
      </c>
      <c r="PZH108" s="1" t="s">
        <v>122</v>
      </c>
      <c r="PZI108" s="1" t="s">
        <v>122</v>
      </c>
      <c r="PZJ108" s="1" t="s">
        <v>122</v>
      </c>
      <c r="PZK108" s="1" t="s">
        <v>122</v>
      </c>
      <c r="PZL108" s="1" t="s">
        <v>122</v>
      </c>
      <c r="PZM108" s="1" t="s">
        <v>122</v>
      </c>
      <c r="PZN108" s="1" t="s">
        <v>122</v>
      </c>
      <c r="PZO108" s="1" t="s">
        <v>122</v>
      </c>
      <c r="PZP108" s="1" t="s">
        <v>122</v>
      </c>
      <c r="PZQ108" s="1" t="s">
        <v>122</v>
      </c>
      <c r="PZR108" s="1" t="s">
        <v>122</v>
      </c>
      <c r="PZS108" s="1" t="s">
        <v>122</v>
      </c>
      <c r="PZT108" s="1" t="s">
        <v>122</v>
      </c>
      <c r="PZU108" s="1" t="s">
        <v>122</v>
      </c>
      <c r="PZV108" s="1" t="s">
        <v>122</v>
      </c>
      <c r="PZW108" s="1" t="s">
        <v>122</v>
      </c>
      <c r="PZX108" s="1" t="s">
        <v>122</v>
      </c>
      <c r="PZY108" s="1" t="s">
        <v>122</v>
      </c>
      <c r="PZZ108" s="1" t="s">
        <v>122</v>
      </c>
      <c r="QAA108" s="1" t="s">
        <v>122</v>
      </c>
      <c r="QAB108" s="1" t="s">
        <v>122</v>
      </c>
      <c r="QAC108" s="1" t="s">
        <v>122</v>
      </c>
      <c r="QAD108" s="1" t="s">
        <v>122</v>
      </c>
      <c r="QAE108" s="1" t="s">
        <v>122</v>
      </c>
      <c r="QAF108" s="1" t="s">
        <v>122</v>
      </c>
      <c r="QAG108" s="1" t="s">
        <v>122</v>
      </c>
      <c r="QAH108" s="1" t="s">
        <v>122</v>
      </c>
      <c r="QAI108" s="1" t="s">
        <v>122</v>
      </c>
      <c r="QAJ108" s="1" t="s">
        <v>122</v>
      </c>
      <c r="QAK108" s="1" t="s">
        <v>122</v>
      </c>
      <c r="QAL108" s="1" t="s">
        <v>122</v>
      </c>
      <c r="QAM108" s="1" t="s">
        <v>122</v>
      </c>
      <c r="QAN108" s="1" t="s">
        <v>122</v>
      </c>
      <c r="QAO108" s="1" t="s">
        <v>122</v>
      </c>
      <c r="QAP108" s="1" t="s">
        <v>122</v>
      </c>
      <c r="QAQ108" s="1" t="s">
        <v>122</v>
      </c>
      <c r="QAR108" s="1" t="s">
        <v>122</v>
      </c>
      <c r="QAS108" s="1" t="s">
        <v>122</v>
      </c>
      <c r="QAT108" s="1" t="s">
        <v>122</v>
      </c>
      <c r="QAU108" s="1" t="s">
        <v>122</v>
      </c>
      <c r="QAV108" s="1" t="s">
        <v>122</v>
      </c>
      <c r="QAW108" s="1" t="s">
        <v>122</v>
      </c>
      <c r="QAX108" s="1" t="s">
        <v>122</v>
      </c>
      <c r="QAY108" s="1" t="s">
        <v>122</v>
      </c>
      <c r="QAZ108" s="1" t="s">
        <v>122</v>
      </c>
      <c r="QBA108" s="1" t="s">
        <v>122</v>
      </c>
      <c r="QBB108" s="1" t="s">
        <v>122</v>
      </c>
      <c r="QBC108" s="1" t="s">
        <v>122</v>
      </c>
      <c r="QBD108" s="1" t="s">
        <v>122</v>
      </c>
      <c r="QBE108" s="1" t="s">
        <v>122</v>
      </c>
      <c r="QBF108" s="1" t="s">
        <v>122</v>
      </c>
      <c r="QBG108" s="1" t="s">
        <v>122</v>
      </c>
      <c r="QBH108" s="1" t="s">
        <v>122</v>
      </c>
      <c r="QBI108" s="1" t="s">
        <v>122</v>
      </c>
      <c r="QBJ108" s="1" t="s">
        <v>122</v>
      </c>
      <c r="QBK108" s="1" t="s">
        <v>122</v>
      </c>
      <c r="QBL108" s="1" t="s">
        <v>122</v>
      </c>
      <c r="QBM108" s="1" t="s">
        <v>122</v>
      </c>
      <c r="QBN108" s="1" t="s">
        <v>122</v>
      </c>
      <c r="QBO108" s="1" t="s">
        <v>122</v>
      </c>
      <c r="QBP108" s="1" t="s">
        <v>122</v>
      </c>
      <c r="QBQ108" s="1" t="s">
        <v>122</v>
      </c>
      <c r="QBR108" s="1" t="s">
        <v>122</v>
      </c>
      <c r="QBS108" s="1" t="s">
        <v>122</v>
      </c>
      <c r="QBT108" s="1" t="s">
        <v>122</v>
      </c>
      <c r="QBU108" s="1" t="s">
        <v>122</v>
      </c>
      <c r="QBV108" s="1" t="s">
        <v>122</v>
      </c>
      <c r="QBW108" s="1" t="s">
        <v>122</v>
      </c>
      <c r="QBX108" s="1" t="s">
        <v>122</v>
      </c>
      <c r="QBY108" s="1" t="s">
        <v>122</v>
      </c>
      <c r="QBZ108" s="1" t="s">
        <v>122</v>
      </c>
      <c r="QCA108" s="1" t="s">
        <v>122</v>
      </c>
      <c r="QCB108" s="1" t="s">
        <v>122</v>
      </c>
      <c r="QCC108" s="1" t="s">
        <v>122</v>
      </c>
      <c r="QCD108" s="1" t="s">
        <v>122</v>
      </c>
      <c r="QCE108" s="1" t="s">
        <v>122</v>
      </c>
      <c r="QCF108" s="1" t="s">
        <v>122</v>
      </c>
      <c r="QCG108" s="1" t="s">
        <v>122</v>
      </c>
      <c r="QCH108" s="1" t="s">
        <v>122</v>
      </c>
      <c r="QCI108" s="1" t="s">
        <v>122</v>
      </c>
      <c r="QCJ108" s="1" t="s">
        <v>122</v>
      </c>
      <c r="QCK108" s="1" t="s">
        <v>122</v>
      </c>
      <c r="QCL108" s="1" t="s">
        <v>122</v>
      </c>
      <c r="QCM108" s="1" t="s">
        <v>122</v>
      </c>
      <c r="QCN108" s="1" t="s">
        <v>122</v>
      </c>
      <c r="QCO108" s="1" t="s">
        <v>122</v>
      </c>
      <c r="QCP108" s="1" t="s">
        <v>122</v>
      </c>
      <c r="QCQ108" s="1" t="s">
        <v>122</v>
      </c>
      <c r="QCR108" s="1" t="s">
        <v>122</v>
      </c>
      <c r="QCS108" s="1" t="s">
        <v>122</v>
      </c>
      <c r="QCT108" s="1" t="s">
        <v>122</v>
      </c>
      <c r="QCU108" s="1" t="s">
        <v>122</v>
      </c>
      <c r="QCV108" s="1" t="s">
        <v>122</v>
      </c>
      <c r="QCW108" s="1" t="s">
        <v>122</v>
      </c>
      <c r="QCX108" s="1" t="s">
        <v>122</v>
      </c>
      <c r="QCY108" s="1" t="s">
        <v>122</v>
      </c>
      <c r="QCZ108" s="1" t="s">
        <v>122</v>
      </c>
      <c r="QDA108" s="1" t="s">
        <v>122</v>
      </c>
      <c r="QDB108" s="1" t="s">
        <v>122</v>
      </c>
      <c r="QDC108" s="1" t="s">
        <v>122</v>
      </c>
      <c r="QDD108" s="1" t="s">
        <v>122</v>
      </c>
      <c r="QDE108" s="1" t="s">
        <v>122</v>
      </c>
      <c r="QDF108" s="1" t="s">
        <v>122</v>
      </c>
      <c r="QDG108" s="1" t="s">
        <v>122</v>
      </c>
      <c r="QDH108" s="1" t="s">
        <v>122</v>
      </c>
      <c r="QDI108" s="1" t="s">
        <v>122</v>
      </c>
      <c r="QDJ108" s="1" t="s">
        <v>122</v>
      </c>
      <c r="QDK108" s="1" t="s">
        <v>122</v>
      </c>
      <c r="QDL108" s="1" t="s">
        <v>122</v>
      </c>
      <c r="QDM108" s="1" t="s">
        <v>122</v>
      </c>
      <c r="QDN108" s="1" t="s">
        <v>122</v>
      </c>
      <c r="QDO108" s="1" t="s">
        <v>122</v>
      </c>
      <c r="QDP108" s="1" t="s">
        <v>122</v>
      </c>
      <c r="QDQ108" s="1" t="s">
        <v>122</v>
      </c>
      <c r="QDR108" s="1" t="s">
        <v>122</v>
      </c>
      <c r="QDS108" s="1" t="s">
        <v>122</v>
      </c>
      <c r="QDT108" s="1" t="s">
        <v>122</v>
      </c>
      <c r="QDU108" s="1" t="s">
        <v>122</v>
      </c>
      <c r="QDV108" s="1" t="s">
        <v>122</v>
      </c>
      <c r="QDW108" s="1" t="s">
        <v>122</v>
      </c>
      <c r="QDX108" s="1" t="s">
        <v>122</v>
      </c>
      <c r="QDY108" s="1" t="s">
        <v>122</v>
      </c>
      <c r="QDZ108" s="1" t="s">
        <v>122</v>
      </c>
      <c r="QEA108" s="1" t="s">
        <v>122</v>
      </c>
      <c r="QEB108" s="1" t="s">
        <v>122</v>
      </c>
      <c r="QEC108" s="1" t="s">
        <v>122</v>
      </c>
      <c r="QED108" s="1" t="s">
        <v>122</v>
      </c>
      <c r="QEE108" s="1" t="s">
        <v>122</v>
      </c>
      <c r="QEF108" s="1" t="s">
        <v>122</v>
      </c>
      <c r="QEG108" s="1" t="s">
        <v>122</v>
      </c>
      <c r="QEH108" s="1" t="s">
        <v>122</v>
      </c>
      <c r="QEI108" s="1" t="s">
        <v>122</v>
      </c>
      <c r="QEJ108" s="1" t="s">
        <v>122</v>
      </c>
      <c r="QEK108" s="1" t="s">
        <v>122</v>
      </c>
      <c r="QEL108" s="1" t="s">
        <v>122</v>
      </c>
      <c r="QEM108" s="1" t="s">
        <v>122</v>
      </c>
      <c r="QEN108" s="1" t="s">
        <v>122</v>
      </c>
      <c r="QEO108" s="1" t="s">
        <v>122</v>
      </c>
      <c r="QEP108" s="1" t="s">
        <v>122</v>
      </c>
      <c r="QEQ108" s="1" t="s">
        <v>122</v>
      </c>
      <c r="QER108" s="1" t="s">
        <v>122</v>
      </c>
      <c r="QES108" s="1" t="s">
        <v>122</v>
      </c>
      <c r="QET108" s="1" t="s">
        <v>122</v>
      </c>
      <c r="QEU108" s="1" t="s">
        <v>122</v>
      </c>
      <c r="QEV108" s="1" t="s">
        <v>122</v>
      </c>
      <c r="QEW108" s="1" t="s">
        <v>122</v>
      </c>
      <c r="QEX108" s="1" t="s">
        <v>122</v>
      </c>
      <c r="QEY108" s="1" t="s">
        <v>122</v>
      </c>
      <c r="QEZ108" s="1" t="s">
        <v>122</v>
      </c>
      <c r="QFA108" s="1" t="s">
        <v>122</v>
      </c>
      <c r="QFB108" s="1" t="s">
        <v>122</v>
      </c>
      <c r="QFC108" s="1" t="s">
        <v>122</v>
      </c>
      <c r="QFD108" s="1" t="s">
        <v>122</v>
      </c>
      <c r="QFE108" s="1" t="s">
        <v>122</v>
      </c>
      <c r="QFF108" s="1" t="s">
        <v>122</v>
      </c>
      <c r="QFG108" s="1" t="s">
        <v>122</v>
      </c>
      <c r="QFH108" s="1" t="s">
        <v>122</v>
      </c>
      <c r="QFI108" s="1" t="s">
        <v>122</v>
      </c>
      <c r="QFJ108" s="1" t="s">
        <v>122</v>
      </c>
      <c r="QFK108" s="1" t="s">
        <v>122</v>
      </c>
      <c r="QFL108" s="1" t="s">
        <v>122</v>
      </c>
      <c r="QFM108" s="1" t="s">
        <v>122</v>
      </c>
      <c r="QFN108" s="1" t="s">
        <v>122</v>
      </c>
      <c r="QFO108" s="1" t="s">
        <v>122</v>
      </c>
      <c r="QFP108" s="1" t="s">
        <v>122</v>
      </c>
      <c r="QFQ108" s="1" t="s">
        <v>122</v>
      </c>
      <c r="QFR108" s="1" t="s">
        <v>122</v>
      </c>
      <c r="QFS108" s="1" t="s">
        <v>122</v>
      </c>
      <c r="QFT108" s="1" t="s">
        <v>122</v>
      </c>
      <c r="QFU108" s="1" t="s">
        <v>122</v>
      </c>
      <c r="QFV108" s="1" t="s">
        <v>122</v>
      </c>
      <c r="QFW108" s="1" t="s">
        <v>122</v>
      </c>
      <c r="QFX108" s="1" t="s">
        <v>122</v>
      </c>
      <c r="QFY108" s="1" t="s">
        <v>122</v>
      </c>
      <c r="QFZ108" s="1" t="s">
        <v>122</v>
      </c>
      <c r="QGA108" s="1" t="s">
        <v>122</v>
      </c>
      <c r="QGB108" s="1" t="s">
        <v>122</v>
      </c>
      <c r="QGC108" s="1" t="s">
        <v>122</v>
      </c>
      <c r="QGD108" s="1" t="s">
        <v>122</v>
      </c>
      <c r="QGE108" s="1" t="s">
        <v>122</v>
      </c>
      <c r="QGF108" s="1" t="s">
        <v>122</v>
      </c>
      <c r="QGG108" s="1" t="s">
        <v>122</v>
      </c>
      <c r="QGH108" s="1" t="s">
        <v>122</v>
      </c>
      <c r="QGI108" s="1" t="s">
        <v>122</v>
      </c>
      <c r="QGJ108" s="1" t="s">
        <v>122</v>
      </c>
      <c r="QGK108" s="1" t="s">
        <v>122</v>
      </c>
      <c r="QGL108" s="1" t="s">
        <v>122</v>
      </c>
      <c r="QGM108" s="1" t="s">
        <v>122</v>
      </c>
      <c r="QGN108" s="1" t="s">
        <v>122</v>
      </c>
      <c r="QGO108" s="1" t="s">
        <v>122</v>
      </c>
      <c r="QGP108" s="1" t="s">
        <v>122</v>
      </c>
      <c r="QGQ108" s="1" t="s">
        <v>122</v>
      </c>
      <c r="QGR108" s="1" t="s">
        <v>122</v>
      </c>
      <c r="QGS108" s="1" t="s">
        <v>122</v>
      </c>
      <c r="QGT108" s="1" t="s">
        <v>122</v>
      </c>
      <c r="QGU108" s="1" t="s">
        <v>122</v>
      </c>
      <c r="QGV108" s="1" t="s">
        <v>122</v>
      </c>
      <c r="QGW108" s="1" t="s">
        <v>122</v>
      </c>
      <c r="QGX108" s="1" t="s">
        <v>122</v>
      </c>
      <c r="QGY108" s="1" t="s">
        <v>122</v>
      </c>
      <c r="QGZ108" s="1" t="s">
        <v>122</v>
      </c>
      <c r="QHA108" s="1" t="s">
        <v>122</v>
      </c>
      <c r="QHB108" s="1" t="s">
        <v>122</v>
      </c>
      <c r="QHC108" s="1" t="s">
        <v>122</v>
      </c>
      <c r="QHD108" s="1" t="s">
        <v>122</v>
      </c>
      <c r="QHE108" s="1" t="s">
        <v>122</v>
      </c>
      <c r="QHF108" s="1" t="s">
        <v>122</v>
      </c>
      <c r="QHG108" s="1" t="s">
        <v>122</v>
      </c>
      <c r="QHH108" s="1" t="s">
        <v>122</v>
      </c>
      <c r="QHI108" s="1" t="s">
        <v>122</v>
      </c>
      <c r="QHJ108" s="1" t="s">
        <v>122</v>
      </c>
      <c r="QHK108" s="1" t="s">
        <v>122</v>
      </c>
      <c r="QHL108" s="1" t="s">
        <v>122</v>
      </c>
      <c r="QHM108" s="1" t="s">
        <v>122</v>
      </c>
      <c r="QHN108" s="1" t="s">
        <v>122</v>
      </c>
      <c r="QHO108" s="1" t="s">
        <v>122</v>
      </c>
      <c r="QHP108" s="1" t="s">
        <v>122</v>
      </c>
      <c r="QHQ108" s="1" t="s">
        <v>122</v>
      </c>
      <c r="QHR108" s="1" t="s">
        <v>122</v>
      </c>
      <c r="QHS108" s="1" t="s">
        <v>122</v>
      </c>
      <c r="QHT108" s="1" t="s">
        <v>122</v>
      </c>
      <c r="QHU108" s="1" t="s">
        <v>122</v>
      </c>
      <c r="QHV108" s="1" t="s">
        <v>122</v>
      </c>
      <c r="QHW108" s="1" t="s">
        <v>122</v>
      </c>
      <c r="QHX108" s="1" t="s">
        <v>122</v>
      </c>
      <c r="QHY108" s="1" t="s">
        <v>122</v>
      </c>
      <c r="QHZ108" s="1" t="s">
        <v>122</v>
      </c>
      <c r="QIA108" s="1" t="s">
        <v>122</v>
      </c>
      <c r="QIB108" s="1" t="s">
        <v>122</v>
      </c>
      <c r="QIC108" s="1" t="s">
        <v>122</v>
      </c>
      <c r="QID108" s="1" t="s">
        <v>122</v>
      </c>
      <c r="QIE108" s="1" t="s">
        <v>122</v>
      </c>
      <c r="QIF108" s="1" t="s">
        <v>122</v>
      </c>
      <c r="QIG108" s="1" t="s">
        <v>122</v>
      </c>
      <c r="QIH108" s="1" t="s">
        <v>122</v>
      </c>
      <c r="QII108" s="1" t="s">
        <v>122</v>
      </c>
      <c r="QIJ108" s="1" t="s">
        <v>122</v>
      </c>
      <c r="QIK108" s="1" t="s">
        <v>122</v>
      </c>
      <c r="QIL108" s="1" t="s">
        <v>122</v>
      </c>
      <c r="QIM108" s="1" t="s">
        <v>122</v>
      </c>
      <c r="QIN108" s="1" t="s">
        <v>122</v>
      </c>
      <c r="QIO108" s="1" t="s">
        <v>122</v>
      </c>
      <c r="QIP108" s="1" t="s">
        <v>122</v>
      </c>
      <c r="QIQ108" s="1" t="s">
        <v>122</v>
      </c>
      <c r="QIR108" s="1" t="s">
        <v>122</v>
      </c>
      <c r="QIS108" s="1" t="s">
        <v>122</v>
      </c>
      <c r="QIT108" s="1" t="s">
        <v>122</v>
      </c>
      <c r="QIU108" s="1" t="s">
        <v>122</v>
      </c>
      <c r="QIV108" s="1" t="s">
        <v>122</v>
      </c>
      <c r="QIW108" s="1" t="s">
        <v>122</v>
      </c>
      <c r="QIX108" s="1" t="s">
        <v>122</v>
      </c>
      <c r="QIY108" s="1" t="s">
        <v>122</v>
      </c>
      <c r="QIZ108" s="1" t="s">
        <v>122</v>
      </c>
      <c r="QJA108" s="1" t="s">
        <v>122</v>
      </c>
      <c r="QJB108" s="1" t="s">
        <v>122</v>
      </c>
      <c r="QJC108" s="1" t="s">
        <v>122</v>
      </c>
      <c r="QJD108" s="1" t="s">
        <v>122</v>
      </c>
      <c r="QJE108" s="1" t="s">
        <v>122</v>
      </c>
      <c r="QJF108" s="1" t="s">
        <v>122</v>
      </c>
      <c r="QJG108" s="1" t="s">
        <v>122</v>
      </c>
      <c r="QJH108" s="1" t="s">
        <v>122</v>
      </c>
      <c r="QJI108" s="1" t="s">
        <v>122</v>
      </c>
      <c r="QJJ108" s="1" t="s">
        <v>122</v>
      </c>
      <c r="QJK108" s="1" t="s">
        <v>122</v>
      </c>
      <c r="QJL108" s="1" t="s">
        <v>122</v>
      </c>
      <c r="QJM108" s="1" t="s">
        <v>122</v>
      </c>
      <c r="QJN108" s="1" t="s">
        <v>122</v>
      </c>
      <c r="QJO108" s="1" t="s">
        <v>122</v>
      </c>
      <c r="QJP108" s="1" t="s">
        <v>122</v>
      </c>
      <c r="QJQ108" s="1" t="s">
        <v>122</v>
      </c>
      <c r="QJR108" s="1" t="s">
        <v>122</v>
      </c>
      <c r="QJS108" s="1" t="s">
        <v>122</v>
      </c>
      <c r="QJT108" s="1" t="s">
        <v>122</v>
      </c>
      <c r="QJU108" s="1" t="s">
        <v>122</v>
      </c>
      <c r="QJV108" s="1" t="s">
        <v>122</v>
      </c>
      <c r="QJW108" s="1" t="s">
        <v>122</v>
      </c>
      <c r="QJX108" s="1" t="s">
        <v>122</v>
      </c>
      <c r="QJY108" s="1" t="s">
        <v>122</v>
      </c>
      <c r="QJZ108" s="1" t="s">
        <v>122</v>
      </c>
      <c r="QKA108" s="1" t="s">
        <v>122</v>
      </c>
      <c r="QKB108" s="1" t="s">
        <v>122</v>
      </c>
      <c r="QKC108" s="1" t="s">
        <v>122</v>
      </c>
      <c r="QKD108" s="1" t="s">
        <v>122</v>
      </c>
      <c r="QKE108" s="1" t="s">
        <v>122</v>
      </c>
      <c r="QKF108" s="1" t="s">
        <v>122</v>
      </c>
      <c r="QKG108" s="1" t="s">
        <v>122</v>
      </c>
      <c r="QKH108" s="1" t="s">
        <v>122</v>
      </c>
      <c r="QKI108" s="1" t="s">
        <v>122</v>
      </c>
      <c r="QKJ108" s="1" t="s">
        <v>122</v>
      </c>
      <c r="QKK108" s="1" t="s">
        <v>122</v>
      </c>
      <c r="QKL108" s="1" t="s">
        <v>122</v>
      </c>
      <c r="QKM108" s="1" t="s">
        <v>122</v>
      </c>
      <c r="QKN108" s="1" t="s">
        <v>122</v>
      </c>
      <c r="QKO108" s="1" t="s">
        <v>122</v>
      </c>
      <c r="QKP108" s="1" t="s">
        <v>122</v>
      </c>
      <c r="QKQ108" s="1" t="s">
        <v>122</v>
      </c>
      <c r="QKR108" s="1" t="s">
        <v>122</v>
      </c>
      <c r="QKS108" s="1" t="s">
        <v>122</v>
      </c>
      <c r="QKT108" s="1" t="s">
        <v>122</v>
      </c>
      <c r="QKU108" s="1" t="s">
        <v>122</v>
      </c>
      <c r="QKV108" s="1" t="s">
        <v>122</v>
      </c>
      <c r="QKW108" s="1" t="s">
        <v>122</v>
      </c>
      <c r="QKX108" s="1" t="s">
        <v>122</v>
      </c>
      <c r="QKY108" s="1" t="s">
        <v>122</v>
      </c>
      <c r="QKZ108" s="1" t="s">
        <v>122</v>
      </c>
      <c r="QLA108" s="1" t="s">
        <v>122</v>
      </c>
      <c r="QLB108" s="1" t="s">
        <v>122</v>
      </c>
      <c r="QLC108" s="1" t="s">
        <v>122</v>
      </c>
      <c r="QLD108" s="1" t="s">
        <v>122</v>
      </c>
      <c r="QLE108" s="1" t="s">
        <v>122</v>
      </c>
      <c r="QLF108" s="1" t="s">
        <v>122</v>
      </c>
      <c r="QLG108" s="1" t="s">
        <v>122</v>
      </c>
      <c r="QLH108" s="1" t="s">
        <v>122</v>
      </c>
      <c r="QLI108" s="1" t="s">
        <v>122</v>
      </c>
      <c r="QLJ108" s="1" t="s">
        <v>122</v>
      </c>
      <c r="QLK108" s="1" t="s">
        <v>122</v>
      </c>
      <c r="QLL108" s="1" t="s">
        <v>122</v>
      </c>
      <c r="QLM108" s="1" t="s">
        <v>122</v>
      </c>
      <c r="QLN108" s="1" t="s">
        <v>122</v>
      </c>
      <c r="QLO108" s="1" t="s">
        <v>122</v>
      </c>
      <c r="QLP108" s="1" t="s">
        <v>122</v>
      </c>
      <c r="QLQ108" s="1" t="s">
        <v>122</v>
      </c>
      <c r="QLR108" s="1" t="s">
        <v>122</v>
      </c>
      <c r="QLS108" s="1" t="s">
        <v>122</v>
      </c>
      <c r="QLT108" s="1" t="s">
        <v>122</v>
      </c>
      <c r="QLU108" s="1" t="s">
        <v>122</v>
      </c>
      <c r="QLV108" s="1" t="s">
        <v>122</v>
      </c>
      <c r="QLW108" s="1" t="s">
        <v>122</v>
      </c>
      <c r="QLX108" s="1" t="s">
        <v>122</v>
      </c>
      <c r="QLY108" s="1" t="s">
        <v>122</v>
      </c>
      <c r="QLZ108" s="1" t="s">
        <v>122</v>
      </c>
      <c r="QMA108" s="1" t="s">
        <v>122</v>
      </c>
      <c r="QMB108" s="1" t="s">
        <v>122</v>
      </c>
      <c r="QMC108" s="1" t="s">
        <v>122</v>
      </c>
      <c r="QMD108" s="1" t="s">
        <v>122</v>
      </c>
      <c r="QME108" s="1" t="s">
        <v>122</v>
      </c>
      <c r="QMF108" s="1" t="s">
        <v>122</v>
      </c>
      <c r="QMG108" s="1" t="s">
        <v>122</v>
      </c>
      <c r="QMH108" s="1" t="s">
        <v>122</v>
      </c>
      <c r="QMI108" s="1" t="s">
        <v>122</v>
      </c>
      <c r="QMJ108" s="1" t="s">
        <v>122</v>
      </c>
      <c r="QMK108" s="1" t="s">
        <v>122</v>
      </c>
      <c r="QML108" s="1" t="s">
        <v>122</v>
      </c>
      <c r="QMM108" s="1" t="s">
        <v>122</v>
      </c>
      <c r="QMN108" s="1" t="s">
        <v>122</v>
      </c>
      <c r="QMO108" s="1" t="s">
        <v>122</v>
      </c>
      <c r="QMP108" s="1" t="s">
        <v>122</v>
      </c>
      <c r="QMQ108" s="1" t="s">
        <v>122</v>
      </c>
      <c r="QMR108" s="1" t="s">
        <v>122</v>
      </c>
      <c r="QMS108" s="1" t="s">
        <v>122</v>
      </c>
      <c r="QMT108" s="1" t="s">
        <v>122</v>
      </c>
      <c r="QMU108" s="1" t="s">
        <v>122</v>
      </c>
      <c r="QMV108" s="1" t="s">
        <v>122</v>
      </c>
      <c r="QMW108" s="1" t="s">
        <v>122</v>
      </c>
      <c r="QMX108" s="1" t="s">
        <v>122</v>
      </c>
      <c r="QMY108" s="1" t="s">
        <v>122</v>
      </c>
      <c r="QMZ108" s="1" t="s">
        <v>122</v>
      </c>
      <c r="QNA108" s="1" t="s">
        <v>122</v>
      </c>
      <c r="QNB108" s="1" t="s">
        <v>122</v>
      </c>
      <c r="QNC108" s="1" t="s">
        <v>122</v>
      </c>
      <c r="QND108" s="1" t="s">
        <v>122</v>
      </c>
      <c r="QNE108" s="1" t="s">
        <v>122</v>
      </c>
      <c r="QNF108" s="1" t="s">
        <v>122</v>
      </c>
      <c r="QNG108" s="1" t="s">
        <v>122</v>
      </c>
      <c r="QNH108" s="1" t="s">
        <v>122</v>
      </c>
      <c r="QNI108" s="1" t="s">
        <v>122</v>
      </c>
      <c r="QNJ108" s="1" t="s">
        <v>122</v>
      </c>
      <c r="QNK108" s="1" t="s">
        <v>122</v>
      </c>
      <c r="QNL108" s="1" t="s">
        <v>122</v>
      </c>
      <c r="QNM108" s="1" t="s">
        <v>122</v>
      </c>
      <c r="QNN108" s="1" t="s">
        <v>122</v>
      </c>
      <c r="QNO108" s="1" t="s">
        <v>122</v>
      </c>
      <c r="QNP108" s="1" t="s">
        <v>122</v>
      </c>
      <c r="QNQ108" s="1" t="s">
        <v>122</v>
      </c>
      <c r="QNR108" s="1" t="s">
        <v>122</v>
      </c>
      <c r="QNS108" s="1" t="s">
        <v>122</v>
      </c>
      <c r="QNT108" s="1" t="s">
        <v>122</v>
      </c>
      <c r="QNU108" s="1" t="s">
        <v>122</v>
      </c>
      <c r="QNV108" s="1" t="s">
        <v>122</v>
      </c>
      <c r="QNW108" s="1" t="s">
        <v>122</v>
      </c>
      <c r="QNX108" s="1" t="s">
        <v>122</v>
      </c>
      <c r="QNY108" s="1" t="s">
        <v>122</v>
      </c>
      <c r="QNZ108" s="1" t="s">
        <v>122</v>
      </c>
      <c r="QOA108" s="1" t="s">
        <v>122</v>
      </c>
      <c r="QOB108" s="1" t="s">
        <v>122</v>
      </c>
      <c r="QOC108" s="1" t="s">
        <v>122</v>
      </c>
      <c r="QOD108" s="1" t="s">
        <v>122</v>
      </c>
      <c r="QOE108" s="1" t="s">
        <v>122</v>
      </c>
      <c r="QOF108" s="1" t="s">
        <v>122</v>
      </c>
      <c r="QOG108" s="1" t="s">
        <v>122</v>
      </c>
      <c r="QOH108" s="1" t="s">
        <v>122</v>
      </c>
      <c r="QOI108" s="1" t="s">
        <v>122</v>
      </c>
      <c r="QOJ108" s="1" t="s">
        <v>122</v>
      </c>
      <c r="QOK108" s="1" t="s">
        <v>122</v>
      </c>
      <c r="QOL108" s="1" t="s">
        <v>122</v>
      </c>
      <c r="QOM108" s="1" t="s">
        <v>122</v>
      </c>
      <c r="QON108" s="1" t="s">
        <v>122</v>
      </c>
      <c r="QOO108" s="1" t="s">
        <v>122</v>
      </c>
      <c r="QOP108" s="1" t="s">
        <v>122</v>
      </c>
      <c r="QOQ108" s="1" t="s">
        <v>122</v>
      </c>
      <c r="QOR108" s="1" t="s">
        <v>122</v>
      </c>
      <c r="QOS108" s="1" t="s">
        <v>122</v>
      </c>
      <c r="QOT108" s="1" t="s">
        <v>122</v>
      </c>
      <c r="QOU108" s="1" t="s">
        <v>122</v>
      </c>
      <c r="QOV108" s="1" t="s">
        <v>122</v>
      </c>
      <c r="QOW108" s="1" t="s">
        <v>122</v>
      </c>
      <c r="QOX108" s="1" t="s">
        <v>122</v>
      </c>
      <c r="QOY108" s="1" t="s">
        <v>122</v>
      </c>
      <c r="QOZ108" s="1" t="s">
        <v>122</v>
      </c>
      <c r="QPA108" s="1" t="s">
        <v>122</v>
      </c>
      <c r="QPB108" s="1" t="s">
        <v>122</v>
      </c>
      <c r="QPC108" s="1" t="s">
        <v>122</v>
      </c>
      <c r="QPD108" s="1" t="s">
        <v>122</v>
      </c>
      <c r="QPE108" s="1" t="s">
        <v>122</v>
      </c>
      <c r="QPF108" s="1" t="s">
        <v>122</v>
      </c>
      <c r="QPG108" s="1" t="s">
        <v>122</v>
      </c>
      <c r="QPH108" s="1" t="s">
        <v>122</v>
      </c>
      <c r="QPI108" s="1" t="s">
        <v>122</v>
      </c>
      <c r="QPJ108" s="1" t="s">
        <v>122</v>
      </c>
      <c r="QPK108" s="1" t="s">
        <v>122</v>
      </c>
      <c r="QPL108" s="1" t="s">
        <v>122</v>
      </c>
      <c r="QPM108" s="1" t="s">
        <v>122</v>
      </c>
      <c r="QPN108" s="1" t="s">
        <v>122</v>
      </c>
      <c r="QPO108" s="1" t="s">
        <v>122</v>
      </c>
      <c r="QPP108" s="1" t="s">
        <v>122</v>
      </c>
      <c r="QPQ108" s="1" t="s">
        <v>122</v>
      </c>
      <c r="QPR108" s="1" t="s">
        <v>122</v>
      </c>
      <c r="QPS108" s="1" t="s">
        <v>122</v>
      </c>
      <c r="QPT108" s="1" t="s">
        <v>122</v>
      </c>
      <c r="QPU108" s="1" t="s">
        <v>122</v>
      </c>
      <c r="QPV108" s="1" t="s">
        <v>122</v>
      </c>
      <c r="QPW108" s="1" t="s">
        <v>122</v>
      </c>
      <c r="QPX108" s="1" t="s">
        <v>122</v>
      </c>
      <c r="QPY108" s="1" t="s">
        <v>122</v>
      </c>
      <c r="QPZ108" s="1" t="s">
        <v>122</v>
      </c>
      <c r="QQA108" s="1" t="s">
        <v>122</v>
      </c>
      <c r="QQB108" s="1" t="s">
        <v>122</v>
      </c>
      <c r="QQC108" s="1" t="s">
        <v>122</v>
      </c>
      <c r="QQD108" s="1" t="s">
        <v>122</v>
      </c>
      <c r="QQE108" s="1" t="s">
        <v>122</v>
      </c>
      <c r="QQF108" s="1" t="s">
        <v>122</v>
      </c>
      <c r="QQG108" s="1" t="s">
        <v>122</v>
      </c>
      <c r="QQH108" s="1" t="s">
        <v>122</v>
      </c>
      <c r="QQI108" s="1" t="s">
        <v>122</v>
      </c>
      <c r="QQJ108" s="1" t="s">
        <v>122</v>
      </c>
      <c r="QQK108" s="1" t="s">
        <v>122</v>
      </c>
      <c r="QQL108" s="1" t="s">
        <v>122</v>
      </c>
      <c r="QQM108" s="1" t="s">
        <v>122</v>
      </c>
      <c r="QQN108" s="1" t="s">
        <v>122</v>
      </c>
      <c r="QQO108" s="1" t="s">
        <v>122</v>
      </c>
      <c r="QQP108" s="1" t="s">
        <v>122</v>
      </c>
      <c r="QQQ108" s="1" t="s">
        <v>122</v>
      </c>
      <c r="QQR108" s="1" t="s">
        <v>122</v>
      </c>
      <c r="QQS108" s="1" t="s">
        <v>122</v>
      </c>
      <c r="QQT108" s="1" t="s">
        <v>122</v>
      </c>
      <c r="QQU108" s="1" t="s">
        <v>122</v>
      </c>
      <c r="QQV108" s="1" t="s">
        <v>122</v>
      </c>
      <c r="QQW108" s="1" t="s">
        <v>122</v>
      </c>
      <c r="QQX108" s="1" t="s">
        <v>122</v>
      </c>
      <c r="QQY108" s="1" t="s">
        <v>122</v>
      </c>
      <c r="QQZ108" s="1" t="s">
        <v>122</v>
      </c>
      <c r="QRA108" s="1" t="s">
        <v>122</v>
      </c>
      <c r="QRB108" s="1" t="s">
        <v>122</v>
      </c>
      <c r="QRC108" s="1" t="s">
        <v>122</v>
      </c>
      <c r="QRD108" s="1" t="s">
        <v>122</v>
      </c>
      <c r="QRE108" s="1" t="s">
        <v>122</v>
      </c>
      <c r="QRF108" s="1" t="s">
        <v>122</v>
      </c>
      <c r="QRG108" s="1" t="s">
        <v>122</v>
      </c>
      <c r="QRH108" s="1" t="s">
        <v>122</v>
      </c>
      <c r="QRI108" s="1" t="s">
        <v>122</v>
      </c>
      <c r="QRJ108" s="1" t="s">
        <v>122</v>
      </c>
      <c r="QRK108" s="1" t="s">
        <v>122</v>
      </c>
      <c r="QRL108" s="1" t="s">
        <v>122</v>
      </c>
      <c r="QRM108" s="1" t="s">
        <v>122</v>
      </c>
      <c r="QRN108" s="1" t="s">
        <v>122</v>
      </c>
      <c r="QRO108" s="1" t="s">
        <v>122</v>
      </c>
      <c r="QRP108" s="1" t="s">
        <v>122</v>
      </c>
      <c r="QRQ108" s="1" t="s">
        <v>122</v>
      </c>
      <c r="QRR108" s="1" t="s">
        <v>122</v>
      </c>
      <c r="QRS108" s="1" t="s">
        <v>122</v>
      </c>
      <c r="QRT108" s="1" t="s">
        <v>122</v>
      </c>
      <c r="QRU108" s="1" t="s">
        <v>122</v>
      </c>
      <c r="QRV108" s="1" t="s">
        <v>122</v>
      </c>
      <c r="QRW108" s="1" t="s">
        <v>122</v>
      </c>
      <c r="QRX108" s="1" t="s">
        <v>122</v>
      </c>
      <c r="QRY108" s="1" t="s">
        <v>122</v>
      </c>
      <c r="QRZ108" s="1" t="s">
        <v>122</v>
      </c>
      <c r="QSA108" s="1" t="s">
        <v>122</v>
      </c>
      <c r="QSB108" s="1" t="s">
        <v>122</v>
      </c>
      <c r="QSC108" s="1" t="s">
        <v>122</v>
      </c>
      <c r="QSD108" s="1" t="s">
        <v>122</v>
      </c>
      <c r="QSE108" s="1" t="s">
        <v>122</v>
      </c>
      <c r="QSF108" s="1" t="s">
        <v>122</v>
      </c>
      <c r="QSG108" s="1" t="s">
        <v>122</v>
      </c>
      <c r="QSH108" s="1" t="s">
        <v>122</v>
      </c>
      <c r="QSI108" s="1" t="s">
        <v>122</v>
      </c>
      <c r="QSJ108" s="1" t="s">
        <v>122</v>
      </c>
      <c r="QSK108" s="1" t="s">
        <v>122</v>
      </c>
      <c r="QSL108" s="1" t="s">
        <v>122</v>
      </c>
      <c r="QSM108" s="1" t="s">
        <v>122</v>
      </c>
      <c r="QSN108" s="1" t="s">
        <v>122</v>
      </c>
      <c r="QSO108" s="1" t="s">
        <v>122</v>
      </c>
      <c r="QSP108" s="1" t="s">
        <v>122</v>
      </c>
      <c r="QSQ108" s="1" t="s">
        <v>122</v>
      </c>
      <c r="QSR108" s="1" t="s">
        <v>122</v>
      </c>
      <c r="QSS108" s="1" t="s">
        <v>122</v>
      </c>
      <c r="QST108" s="1" t="s">
        <v>122</v>
      </c>
      <c r="QSU108" s="1" t="s">
        <v>122</v>
      </c>
      <c r="QSV108" s="1" t="s">
        <v>122</v>
      </c>
      <c r="QSW108" s="1" t="s">
        <v>122</v>
      </c>
      <c r="QSX108" s="1" t="s">
        <v>122</v>
      </c>
      <c r="QSY108" s="1" t="s">
        <v>122</v>
      </c>
      <c r="QSZ108" s="1" t="s">
        <v>122</v>
      </c>
      <c r="QTA108" s="1" t="s">
        <v>122</v>
      </c>
      <c r="QTB108" s="1" t="s">
        <v>122</v>
      </c>
      <c r="QTC108" s="1" t="s">
        <v>122</v>
      </c>
      <c r="QTD108" s="1" t="s">
        <v>122</v>
      </c>
      <c r="QTE108" s="1" t="s">
        <v>122</v>
      </c>
      <c r="QTF108" s="1" t="s">
        <v>122</v>
      </c>
      <c r="QTG108" s="1" t="s">
        <v>122</v>
      </c>
      <c r="QTH108" s="1" t="s">
        <v>122</v>
      </c>
      <c r="QTI108" s="1" t="s">
        <v>122</v>
      </c>
      <c r="QTJ108" s="1" t="s">
        <v>122</v>
      </c>
      <c r="QTK108" s="1" t="s">
        <v>122</v>
      </c>
      <c r="QTL108" s="1" t="s">
        <v>122</v>
      </c>
      <c r="QTM108" s="1" t="s">
        <v>122</v>
      </c>
      <c r="QTN108" s="1" t="s">
        <v>122</v>
      </c>
      <c r="QTO108" s="1" t="s">
        <v>122</v>
      </c>
      <c r="QTP108" s="1" t="s">
        <v>122</v>
      </c>
      <c r="QTQ108" s="1" t="s">
        <v>122</v>
      </c>
      <c r="QTR108" s="1" t="s">
        <v>122</v>
      </c>
      <c r="QTS108" s="1" t="s">
        <v>122</v>
      </c>
      <c r="QTT108" s="1" t="s">
        <v>122</v>
      </c>
      <c r="QTU108" s="1" t="s">
        <v>122</v>
      </c>
      <c r="QTV108" s="1" t="s">
        <v>122</v>
      </c>
      <c r="QTW108" s="1" t="s">
        <v>122</v>
      </c>
      <c r="QTX108" s="1" t="s">
        <v>122</v>
      </c>
      <c r="QTY108" s="1" t="s">
        <v>122</v>
      </c>
      <c r="QTZ108" s="1" t="s">
        <v>122</v>
      </c>
      <c r="QUA108" s="1" t="s">
        <v>122</v>
      </c>
      <c r="QUB108" s="1" t="s">
        <v>122</v>
      </c>
      <c r="QUC108" s="1" t="s">
        <v>122</v>
      </c>
      <c r="QUD108" s="1" t="s">
        <v>122</v>
      </c>
      <c r="QUE108" s="1" t="s">
        <v>122</v>
      </c>
      <c r="QUF108" s="1" t="s">
        <v>122</v>
      </c>
      <c r="QUG108" s="1" t="s">
        <v>122</v>
      </c>
      <c r="QUH108" s="1" t="s">
        <v>122</v>
      </c>
      <c r="QUI108" s="1" t="s">
        <v>122</v>
      </c>
      <c r="QUJ108" s="1" t="s">
        <v>122</v>
      </c>
      <c r="QUK108" s="1" t="s">
        <v>122</v>
      </c>
      <c r="QUL108" s="1" t="s">
        <v>122</v>
      </c>
      <c r="QUM108" s="1" t="s">
        <v>122</v>
      </c>
      <c r="QUN108" s="1" t="s">
        <v>122</v>
      </c>
      <c r="QUO108" s="1" t="s">
        <v>122</v>
      </c>
      <c r="QUP108" s="1" t="s">
        <v>122</v>
      </c>
      <c r="QUQ108" s="1" t="s">
        <v>122</v>
      </c>
      <c r="QUR108" s="1" t="s">
        <v>122</v>
      </c>
      <c r="QUS108" s="1" t="s">
        <v>122</v>
      </c>
      <c r="QUT108" s="1" t="s">
        <v>122</v>
      </c>
      <c r="QUU108" s="1" t="s">
        <v>122</v>
      </c>
      <c r="QUV108" s="1" t="s">
        <v>122</v>
      </c>
      <c r="QUW108" s="1" t="s">
        <v>122</v>
      </c>
      <c r="QUX108" s="1" t="s">
        <v>122</v>
      </c>
      <c r="QUY108" s="1" t="s">
        <v>122</v>
      </c>
      <c r="QUZ108" s="1" t="s">
        <v>122</v>
      </c>
      <c r="QVA108" s="1" t="s">
        <v>122</v>
      </c>
      <c r="QVB108" s="1" t="s">
        <v>122</v>
      </c>
      <c r="QVC108" s="1" t="s">
        <v>122</v>
      </c>
      <c r="QVD108" s="1" t="s">
        <v>122</v>
      </c>
      <c r="QVE108" s="1" t="s">
        <v>122</v>
      </c>
      <c r="QVF108" s="1" t="s">
        <v>122</v>
      </c>
      <c r="QVG108" s="1" t="s">
        <v>122</v>
      </c>
      <c r="QVH108" s="1" t="s">
        <v>122</v>
      </c>
      <c r="QVI108" s="1" t="s">
        <v>122</v>
      </c>
      <c r="QVJ108" s="1" t="s">
        <v>122</v>
      </c>
      <c r="QVK108" s="1" t="s">
        <v>122</v>
      </c>
      <c r="QVL108" s="1" t="s">
        <v>122</v>
      </c>
      <c r="QVM108" s="1" t="s">
        <v>122</v>
      </c>
      <c r="QVN108" s="1" t="s">
        <v>122</v>
      </c>
      <c r="QVO108" s="1" t="s">
        <v>122</v>
      </c>
      <c r="QVP108" s="1" t="s">
        <v>122</v>
      </c>
      <c r="QVQ108" s="1" t="s">
        <v>122</v>
      </c>
      <c r="QVR108" s="1" t="s">
        <v>122</v>
      </c>
      <c r="QVS108" s="1" t="s">
        <v>122</v>
      </c>
      <c r="QVT108" s="1" t="s">
        <v>122</v>
      </c>
      <c r="QVU108" s="1" t="s">
        <v>122</v>
      </c>
      <c r="QVV108" s="1" t="s">
        <v>122</v>
      </c>
      <c r="QVW108" s="1" t="s">
        <v>122</v>
      </c>
      <c r="QVX108" s="1" t="s">
        <v>122</v>
      </c>
      <c r="QVY108" s="1" t="s">
        <v>122</v>
      </c>
      <c r="QVZ108" s="1" t="s">
        <v>122</v>
      </c>
      <c r="QWA108" s="1" t="s">
        <v>122</v>
      </c>
      <c r="QWB108" s="1" t="s">
        <v>122</v>
      </c>
      <c r="QWC108" s="1" t="s">
        <v>122</v>
      </c>
      <c r="QWD108" s="1" t="s">
        <v>122</v>
      </c>
      <c r="QWE108" s="1" t="s">
        <v>122</v>
      </c>
      <c r="QWF108" s="1" t="s">
        <v>122</v>
      </c>
      <c r="QWG108" s="1" t="s">
        <v>122</v>
      </c>
      <c r="QWH108" s="1" t="s">
        <v>122</v>
      </c>
      <c r="QWI108" s="1" t="s">
        <v>122</v>
      </c>
      <c r="QWJ108" s="1" t="s">
        <v>122</v>
      </c>
      <c r="QWK108" s="1" t="s">
        <v>122</v>
      </c>
      <c r="QWL108" s="1" t="s">
        <v>122</v>
      </c>
      <c r="QWM108" s="1" t="s">
        <v>122</v>
      </c>
      <c r="QWN108" s="1" t="s">
        <v>122</v>
      </c>
      <c r="QWO108" s="1" t="s">
        <v>122</v>
      </c>
      <c r="QWP108" s="1" t="s">
        <v>122</v>
      </c>
      <c r="QWQ108" s="1" t="s">
        <v>122</v>
      </c>
      <c r="QWR108" s="1" t="s">
        <v>122</v>
      </c>
      <c r="QWS108" s="1" t="s">
        <v>122</v>
      </c>
      <c r="QWT108" s="1" t="s">
        <v>122</v>
      </c>
      <c r="QWU108" s="1" t="s">
        <v>122</v>
      </c>
      <c r="QWV108" s="1" t="s">
        <v>122</v>
      </c>
      <c r="QWW108" s="1" t="s">
        <v>122</v>
      </c>
      <c r="QWX108" s="1" t="s">
        <v>122</v>
      </c>
      <c r="QWY108" s="1" t="s">
        <v>122</v>
      </c>
      <c r="QWZ108" s="1" t="s">
        <v>122</v>
      </c>
      <c r="QXA108" s="1" t="s">
        <v>122</v>
      </c>
      <c r="QXB108" s="1" t="s">
        <v>122</v>
      </c>
      <c r="QXC108" s="1" t="s">
        <v>122</v>
      </c>
      <c r="QXD108" s="1" t="s">
        <v>122</v>
      </c>
      <c r="QXE108" s="1" t="s">
        <v>122</v>
      </c>
      <c r="QXF108" s="1" t="s">
        <v>122</v>
      </c>
      <c r="QXG108" s="1" t="s">
        <v>122</v>
      </c>
      <c r="QXH108" s="1" t="s">
        <v>122</v>
      </c>
      <c r="QXI108" s="1" t="s">
        <v>122</v>
      </c>
      <c r="QXJ108" s="1" t="s">
        <v>122</v>
      </c>
      <c r="QXK108" s="1" t="s">
        <v>122</v>
      </c>
      <c r="QXL108" s="1" t="s">
        <v>122</v>
      </c>
      <c r="QXM108" s="1" t="s">
        <v>122</v>
      </c>
      <c r="QXN108" s="1" t="s">
        <v>122</v>
      </c>
      <c r="QXO108" s="1" t="s">
        <v>122</v>
      </c>
      <c r="QXP108" s="1" t="s">
        <v>122</v>
      </c>
      <c r="QXQ108" s="1" t="s">
        <v>122</v>
      </c>
      <c r="QXR108" s="1" t="s">
        <v>122</v>
      </c>
      <c r="QXS108" s="1" t="s">
        <v>122</v>
      </c>
      <c r="QXT108" s="1" t="s">
        <v>122</v>
      </c>
      <c r="QXU108" s="1" t="s">
        <v>122</v>
      </c>
      <c r="QXV108" s="1" t="s">
        <v>122</v>
      </c>
      <c r="QXW108" s="1" t="s">
        <v>122</v>
      </c>
      <c r="QXX108" s="1" t="s">
        <v>122</v>
      </c>
      <c r="QXY108" s="1" t="s">
        <v>122</v>
      </c>
      <c r="QXZ108" s="1" t="s">
        <v>122</v>
      </c>
      <c r="QYA108" s="1" t="s">
        <v>122</v>
      </c>
      <c r="QYB108" s="1" t="s">
        <v>122</v>
      </c>
      <c r="QYC108" s="1" t="s">
        <v>122</v>
      </c>
      <c r="QYD108" s="1" t="s">
        <v>122</v>
      </c>
      <c r="QYE108" s="1" t="s">
        <v>122</v>
      </c>
      <c r="QYF108" s="1" t="s">
        <v>122</v>
      </c>
      <c r="QYG108" s="1" t="s">
        <v>122</v>
      </c>
      <c r="QYH108" s="1" t="s">
        <v>122</v>
      </c>
      <c r="QYI108" s="1" t="s">
        <v>122</v>
      </c>
      <c r="QYJ108" s="1" t="s">
        <v>122</v>
      </c>
      <c r="QYK108" s="1" t="s">
        <v>122</v>
      </c>
      <c r="QYL108" s="1" t="s">
        <v>122</v>
      </c>
      <c r="QYM108" s="1" t="s">
        <v>122</v>
      </c>
      <c r="QYN108" s="1" t="s">
        <v>122</v>
      </c>
      <c r="QYO108" s="1" t="s">
        <v>122</v>
      </c>
      <c r="QYP108" s="1" t="s">
        <v>122</v>
      </c>
      <c r="QYQ108" s="1" t="s">
        <v>122</v>
      </c>
      <c r="QYR108" s="1" t="s">
        <v>122</v>
      </c>
      <c r="QYS108" s="1" t="s">
        <v>122</v>
      </c>
      <c r="QYT108" s="1" t="s">
        <v>122</v>
      </c>
      <c r="QYU108" s="1" t="s">
        <v>122</v>
      </c>
      <c r="QYV108" s="1" t="s">
        <v>122</v>
      </c>
      <c r="QYW108" s="1" t="s">
        <v>122</v>
      </c>
      <c r="QYX108" s="1" t="s">
        <v>122</v>
      </c>
      <c r="QYY108" s="1" t="s">
        <v>122</v>
      </c>
      <c r="QYZ108" s="1" t="s">
        <v>122</v>
      </c>
      <c r="QZA108" s="1" t="s">
        <v>122</v>
      </c>
      <c r="QZB108" s="1" t="s">
        <v>122</v>
      </c>
      <c r="QZC108" s="1" t="s">
        <v>122</v>
      </c>
      <c r="QZD108" s="1" t="s">
        <v>122</v>
      </c>
      <c r="QZE108" s="1" t="s">
        <v>122</v>
      </c>
      <c r="QZF108" s="1" t="s">
        <v>122</v>
      </c>
      <c r="QZG108" s="1" t="s">
        <v>122</v>
      </c>
      <c r="QZH108" s="1" t="s">
        <v>122</v>
      </c>
      <c r="QZI108" s="1" t="s">
        <v>122</v>
      </c>
      <c r="QZJ108" s="1" t="s">
        <v>122</v>
      </c>
      <c r="QZK108" s="1" t="s">
        <v>122</v>
      </c>
      <c r="QZL108" s="1" t="s">
        <v>122</v>
      </c>
      <c r="QZM108" s="1" t="s">
        <v>122</v>
      </c>
      <c r="QZN108" s="1" t="s">
        <v>122</v>
      </c>
      <c r="QZO108" s="1" t="s">
        <v>122</v>
      </c>
      <c r="QZP108" s="1" t="s">
        <v>122</v>
      </c>
      <c r="QZQ108" s="1" t="s">
        <v>122</v>
      </c>
      <c r="QZR108" s="1" t="s">
        <v>122</v>
      </c>
      <c r="QZS108" s="1" t="s">
        <v>122</v>
      </c>
      <c r="QZT108" s="1" t="s">
        <v>122</v>
      </c>
      <c r="QZU108" s="1" t="s">
        <v>122</v>
      </c>
      <c r="QZV108" s="1" t="s">
        <v>122</v>
      </c>
      <c r="QZW108" s="1" t="s">
        <v>122</v>
      </c>
      <c r="QZX108" s="1" t="s">
        <v>122</v>
      </c>
      <c r="QZY108" s="1" t="s">
        <v>122</v>
      </c>
      <c r="QZZ108" s="1" t="s">
        <v>122</v>
      </c>
      <c r="RAA108" s="1" t="s">
        <v>122</v>
      </c>
      <c r="RAB108" s="1" t="s">
        <v>122</v>
      </c>
      <c r="RAC108" s="1" t="s">
        <v>122</v>
      </c>
      <c r="RAD108" s="1" t="s">
        <v>122</v>
      </c>
      <c r="RAE108" s="1" t="s">
        <v>122</v>
      </c>
      <c r="RAF108" s="1" t="s">
        <v>122</v>
      </c>
      <c r="RAG108" s="1" t="s">
        <v>122</v>
      </c>
      <c r="RAH108" s="1" t="s">
        <v>122</v>
      </c>
      <c r="RAI108" s="1" t="s">
        <v>122</v>
      </c>
      <c r="RAJ108" s="1" t="s">
        <v>122</v>
      </c>
      <c r="RAK108" s="1" t="s">
        <v>122</v>
      </c>
      <c r="RAL108" s="1" t="s">
        <v>122</v>
      </c>
      <c r="RAM108" s="1" t="s">
        <v>122</v>
      </c>
      <c r="RAN108" s="1" t="s">
        <v>122</v>
      </c>
      <c r="RAO108" s="1" t="s">
        <v>122</v>
      </c>
      <c r="RAP108" s="1" t="s">
        <v>122</v>
      </c>
      <c r="RAQ108" s="1" t="s">
        <v>122</v>
      </c>
      <c r="RAR108" s="1" t="s">
        <v>122</v>
      </c>
      <c r="RAS108" s="1" t="s">
        <v>122</v>
      </c>
      <c r="RAT108" s="1" t="s">
        <v>122</v>
      </c>
      <c r="RAU108" s="1" t="s">
        <v>122</v>
      </c>
      <c r="RAV108" s="1" t="s">
        <v>122</v>
      </c>
      <c r="RAW108" s="1" t="s">
        <v>122</v>
      </c>
      <c r="RAX108" s="1" t="s">
        <v>122</v>
      </c>
      <c r="RAY108" s="1" t="s">
        <v>122</v>
      </c>
      <c r="RAZ108" s="1" t="s">
        <v>122</v>
      </c>
      <c r="RBA108" s="1" t="s">
        <v>122</v>
      </c>
      <c r="RBB108" s="1" t="s">
        <v>122</v>
      </c>
      <c r="RBC108" s="1" t="s">
        <v>122</v>
      </c>
      <c r="RBD108" s="1" t="s">
        <v>122</v>
      </c>
      <c r="RBE108" s="1" t="s">
        <v>122</v>
      </c>
      <c r="RBF108" s="1" t="s">
        <v>122</v>
      </c>
      <c r="RBG108" s="1" t="s">
        <v>122</v>
      </c>
      <c r="RBH108" s="1" t="s">
        <v>122</v>
      </c>
      <c r="RBI108" s="1" t="s">
        <v>122</v>
      </c>
      <c r="RBJ108" s="1" t="s">
        <v>122</v>
      </c>
      <c r="RBK108" s="1" t="s">
        <v>122</v>
      </c>
      <c r="RBL108" s="1" t="s">
        <v>122</v>
      </c>
      <c r="RBM108" s="1" t="s">
        <v>122</v>
      </c>
      <c r="RBN108" s="1" t="s">
        <v>122</v>
      </c>
      <c r="RBO108" s="1" t="s">
        <v>122</v>
      </c>
      <c r="RBP108" s="1" t="s">
        <v>122</v>
      </c>
      <c r="RBQ108" s="1" t="s">
        <v>122</v>
      </c>
      <c r="RBR108" s="1" t="s">
        <v>122</v>
      </c>
      <c r="RBS108" s="1" t="s">
        <v>122</v>
      </c>
      <c r="RBT108" s="1" t="s">
        <v>122</v>
      </c>
      <c r="RBU108" s="1" t="s">
        <v>122</v>
      </c>
      <c r="RBV108" s="1" t="s">
        <v>122</v>
      </c>
      <c r="RBW108" s="1" t="s">
        <v>122</v>
      </c>
      <c r="RBX108" s="1" t="s">
        <v>122</v>
      </c>
      <c r="RBY108" s="1" t="s">
        <v>122</v>
      </c>
      <c r="RBZ108" s="1" t="s">
        <v>122</v>
      </c>
      <c r="RCA108" s="1" t="s">
        <v>122</v>
      </c>
      <c r="RCB108" s="1" t="s">
        <v>122</v>
      </c>
      <c r="RCC108" s="1" t="s">
        <v>122</v>
      </c>
      <c r="RCD108" s="1" t="s">
        <v>122</v>
      </c>
      <c r="RCE108" s="1" t="s">
        <v>122</v>
      </c>
      <c r="RCF108" s="1" t="s">
        <v>122</v>
      </c>
      <c r="RCG108" s="1" t="s">
        <v>122</v>
      </c>
      <c r="RCH108" s="1" t="s">
        <v>122</v>
      </c>
      <c r="RCI108" s="1" t="s">
        <v>122</v>
      </c>
      <c r="RCJ108" s="1" t="s">
        <v>122</v>
      </c>
      <c r="RCK108" s="1" t="s">
        <v>122</v>
      </c>
      <c r="RCL108" s="1" t="s">
        <v>122</v>
      </c>
      <c r="RCM108" s="1" t="s">
        <v>122</v>
      </c>
      <c r="RCN108" s="1" t="s">
        <v>122</v>
      </c>
      <c r="RCO108" s="1" t="s">
        <v>122</v>
      </c>
      <c r="RCP108" s="1" t="s">
        <v>122</v>
      </c>
      <c r="RCQ108" s="1" t="s">
        <v>122</v>
      </c>
      <c r="RCR108" s="1" t="s">
        <v>122</v>
      </c>
      <c r="RCS108" s="1" t="s">
        <v>122</v>
      </c>
      <c r="RCT108" s="1" t="s">
        <v>122</v>
      </c>
      <c r="RCU108" s="1" t="s">
        <v>122</v>
      </c>
      <c r="RCV108" s="1" t="s">
        <v>122</v>
      </c>
      <c r="RCW108" s="1" t="s">
        <v>122</v>
      </c>
      <c r="RCX108" s="1" t="s">
        <v>122</v>
      </c>
      <c r="RCY108" s="1" t="s">
        <v>122</v>
      </c>
      <c r="RCZ108" s="1" t="s">
        <v>122</v>
      </c>
      <c r="RDA108" s="1" t="s">
        <v>122</v>
      </c>
      <c r="RDB108" s="1" t="s">
        <v>122</v>
      </c>
      <c r="RDC108" s="1" t="s">
        <v>122</v>
      </c>
      <c r="RDD108" s="1" t="s">
        <v>122</v>
      </c>
      <c r="RDE108" s="1" t="s">
        <v>122</v>
      </c>
      <c r="RDF108" s="1" t="s">
        <v>122</v>
      </c>
      <c r="RDG108" s="1" t="s">
        <v>122</v>
      </c>
      <c r="RDH108" s="1" t="s">
        <v>122</v>
      </c>
      <c r="RDI108" s="1" t="s">
        <v>122</v>
      </c>
      <c r="RDJ108" s="1" t="s">
        <v>122</v>
      </c>
      <c r="RDK108" s="1" t="s">
        <v>122</v>
      </c>
      <c r="RDL108" s="1" t="s">
        <v>122</v>
      </c>
      <c r="RDM108" s="1" t="s">
        <v>122</v>
      </c>
      <c r="RDN108" s="1" t="s">
        <v>122</v>
      </c>
      <c r="RDO108" s="1" t="s">
        <v>122</v>
      </c>
      <c r="RDP108" s="1" t="s">
        <v>122</v>
      </c>
      <c r="RDQ108" s="1" t="s">
        <v>122</v>
      </c>
      <c r="RDR108" s="1" t="s">
        <v>122</v>
      </c>
      <c r="RDS108" s="1" t="s">
        <v>122</v>
      </c>
      <c r="RDT108" s="1" t="s">
        <v>122</v>
      </c>
      <c r="RDU108" s="1" t="s">
        <v>122</v>
      </c>
      <c r="RDV108" s="1" t="s">
        <v>122</v>
      </c>
      <c r="RDW108" s="1" t="s">
        <v>122</v>
      </c>
      <c r="RDX108" s="1" t="s">
        <v>122</v>
      </c>
      <c r="RDY108" s="1" t="s">
        <v>122</v>
      </c>
      <c r="RDZ108" s="1" t="s">
        <v>122</v>
      </c>
      <c r="REA108" s="1" t="s">
        <v>122</v>
      </c>
      <c r="REB108" s="1" t="s">
        <v>122</v>
      </c>
      <c r="REC108" s="1" t="s">
        <v>122</v>
      </c>
      <c r="RED108" s="1" t="s">
        <v>122</v>
      </c>
      <c r="REE108" s="1" t="s">
        <v>122</v>
      </c>
      <c r="REF108" s="1" t="s">
        <v>122</v>
      </c>
      <c r="REG108" s="1" t="s">
        <v>122</v>
      </c>
      <c r="REH108" s="1" t="s">
        <v>122</v>
      </c>
      <c r="REI108" s="1" t="s">
        <v>122</v>
      </c>
      <c r="REJ108" s="1" t="s">
        <v>122</v>
      </c>
      <c r="REK108" s="1" t="s">
        <v>122</v>
      </c>
      <c r="REL108" s="1" t="s">
        <v>122</v>
      </c>
      <c r="REM108" s="1" t="s">
        <v>122</v>
      </c>
      <c r="REN108" s="1" t="s">
        <v>122</v>
      </c>
      <c r="REO108" s="1" t="s">
        <v>122</v>
      </c>
      <c r="REP108" s="1" t="s">
        <v>122</v>
      </c>
      <c r="REQ108" s="1" t="s">
        <v>122</v>
      </c>
      <c r="RER108" s="1" t="s">
        <v>122</v>
      </c>
      <c r="RES108" s="1" t="s">
        <v>122</v>
      </c>
      <c r="RET108" s="1" t="s">
        <v>122</v>
      </c>
      <c r="REU108" s="1" t="s">
        <v>122</v>
      </c>
      <c r="REV108" s="1" t="s">
        <v>122</v>
      </c>
      <c r="REW108" s="1" t="s">
        <v>122</v>
      </c>
      <c r="REX108" s="1" t="s">
        <v>122</v>
      </c>
      <c r="REY108" s="1" t="s">
        <v>122</v>
      </c>
      <c r="REZ108" s="1" t="s">
        <v>122</v>
      </c>
      <c r="RFA108" s="1" t="s">
        <v>122</v>
      </c>
      <c r="RFB108" s="1" t="s">
        <v>122</v>
      </c>
      <c r="RFC108" s="1" t="s">
        <v>122</v>
      </c>
      <c r="RFD108" s="1" t="s">
        <v>122</v>
      </c>
      <c r="RFE108" s="1" t="s">
        <v>122</v>
      </c>
      <c r="RFF108" s="1" t="s">
        <v>122</v>
      </c>
      <c r="RFG108" s="1" t="s">
        <v>122</v>
      </c>
      <c r="RFH108" s="1" t="s">
        <v>122</v>
      </c>
      <c r="RFI108" s="1" t="s">
        <v>122</v>
      </c>
      <c r="RFJ108" s="1" t="s">
        <v>122</v>
      </c>
      <c r="RFK108" s="1" t="s">
        <v>122</v>
      </c>
      <c r="RFL108" s="1" t="s">
        <v>122</v>
      </c>
      <c r="RFM108" s="1" t="s">
        <v>122</v>
      </c>
      <c r="RFN108" s="1" t="s">
        <v>122</v>
      </c>
      <c r="RFO108" s="1" t="s">
        <v>122</v>
      </c>
      <c r="RFP108" s="1" t="s">
        <v>122</v>
      </c>
      <c r="RFQ108" s="1" t="s">
        <v>122</v>
      </c>
      <c r="RFR108" s="1" t="s">
        <v>122</v>
      </c>
      <c r="RFS108" s="1" t="s">
        <v>122</v>
      </c>
      <c r="RFT108" s="1" t="s">
        <v>122</v>
      </c>
      <c r="RFU108" s="1" t="s">
        <v>122</v>
      </c>
      <c r="RFV108" s="1" t="s">
        <v>122</v>
      </c>
      <c r="RFW108" s="1" t="s">
        <v>122</v>
      </c>
      <c r="RFX108" s="1" t="s">
        <v>122</v>
      </c>
      <c r="RFY108" s="1" t="s">
        <v>122</v>
      </c>
      <c r="RFZ108" s="1" t="s">
        <v>122</v>
      </c>
      <c r="RGA108" s="1" t="s">
        <v>122</v>
      </c>
      <c r="RGB108" s="1" t="s">
        <v>122</v>
      </c>
      <c r="RGC108" s="1" t="s">
        <v>122</v>
      </c>
      <c r="RGD108" s="1" t="s">
        <v>122</v>
      </c>
      <c r="RGE108" s="1" t="s">
        <v>122</v>
      </c>
      <c r="RGF108" s="1" t="s">
        <v>122</v>
      </c>
      <c r="RGG108" s="1" t="s">
        <v>122</v>
      </c>
      <c r="RGH108" s="1" t="s">
        <v>122</v>
      </c>
      <c r="RGI108" s="1" t="s">
        <v>122</v>
      </c>
      <c r="RGJ108" s="1" t="s">
        <v>122</v>
      </c>
      <c r="RGK108" s="1" t="s">
        <v>122</v>
      </c>
      <c r="RGL108" s="1" t="s">
        <v>122</v>
      </c>
      <c r="RGM108" s="1" t="s">
        <v>122</v>
      </c>
      <c r="RGN108" s="1" t="s">
        <v>122</v>
      </c>
      <c r="RGO108" s="1" t="s">
        <v>122</v>
      </c>
      <c r="RGP108" s="1" t="s">
        <v>122</v>
      </c>
      <c r="RGQ108" s="1" t="s">
        <v>122</v>
      </c>
      <c r="RGR108" s="1" t="s">
        <v>122</v>
      </c>
      <c r="RGS108" s="1" t="s">
        <v>122</v>
      </c>
      <c r="RGT108" s="1" t="s">
        <v>122</v>
      </c>
      <c r="RGU108" s="1" t="s">
        <v>122</v>
      </c>
      <c r="RGV108" s="1" t="s">
        <v>122</v>
      </c>
      <c r="RGW108" s="1" t="s">
        <v>122</v>
      </c>
      <c r="RGX108" s="1" t="s">
        <v>122</v>
      </c>
      <c r="RGY108" s="1" t="s">
        <v>122</v>
      </c>
      <c r="RGZ108" s="1" t="s">
        <v>122</v>
      </c>
      <c r="RHA108" s="1" t="s">
        <v>122</v>
      </c>
      <c r="RHB108" s="1" t="s">
        <v>122</v>
      </c>
      <c r="RHC108" s="1" t="s">
        <v>122</v>
      </c>
      <c r="RHD108" s="1" t="s">
        <v>122</v>
      </c>
      <c r="RHE108" s="1" t="s">
        <v>122</v>
      </c>
      <c r="RHF108" s="1" t="s">
        <v>122</v>
      </c>
      <c r="RHG108" s="1" t="s">
        <v>122</v>
      </c>
      <c r="RHH108" s="1" t="s">
        <v>122</v>
      </c>
      <c r="RHI108" s="1" t="s">
        <v>122</v>
      </c>
      <c r="RHJ108" s="1" t="s">
        <v>122</v>
      </c>
      <c r="RHK108" s="1" t="s">
        <v>122</v>
      </c>
      <c r="RHL108" s="1" t="s">
        <v>122</v>
      </c>
      <c r="RHM108" s="1" t="s">
        <v>122</v>
      </c>
      <c r="RHN108" s="1" t="s">
        <v>122</v>
      </c>
      <c r="RHO108" s="1" t="s">
        <v>122</v>
      </c>
      <c r="RHP108" s="1" t="s">
        <v>122</v>
      </c>
      <c r="RHQ108" s="1" t="s">
        <v>122</v>
      </c>
      <c r="RHR108" s="1" t="s">
        <v>122</v>
      </c>
      <c r="RHS108" s="1" t="s">
        <v>122</v>
      </c>
      <c r="RHT108" s="1" t="s">
        <v>122</v>
      </c>
      <c r="RHU108" s="1" t="s">
        <v>122</v>
      </c>
      <c r="RHV108" s="1" t="s">
        <v>122</v>
      </c>
      <c r="RHW108" s="1" t="s">
        <v>122</v>
      </c>
      <c r="RHX108" s="1" t="s">
        <v>122</v>
      </c>
      <c r="RHY108" s="1" t="s">
        <v>122</v>
      </c>
      <c r="RHZ108" s="1" t="s">
        <v>122</v>
      </c>
      <c r="RIA108" s="1" t="s">
        <v>122</v>
      </c>
      <c r="RIB108" s="1" t="s">
        <v>122</v>
      </c>
      <c r="RIC108" s="1" t="s">
        <v>122</v>
      </c>
      <c r="RID108" s="1" t="s">
        <v>122</v>
      </c>
      <c r="RIE108" s="1" t="s">
        <v>122</v>
      </c>
      <c r="RIF108" s="1" t="s">
        <v>122</v>
      </c>
      <c r="RIG108" s="1" t="s">
        <v>122</v>
      </c>
      <c r="RIH108" s="1" t="s">
        <v>122</v>
      </c>
      <c r="RII108" s="1" t="s">
        <v>122</v>
      </c>
      <c r="RIJ108" s="1" t="s">
        <v>122</v>
      </c>
      <c r="RIK108" s="1" t="s">
        <v>122</v>
      </c>
      <c r="RIL108" s="1" t="s">
        <v>122</v>
      </c>
      <c r="RIM108" s="1" t="s">
        <v>122</v>
      </c>
      <c r="RIN108" s="1" t="s">
        <v>122</v>
      </c>
      <c r="RIO108" s="1" t="s">
        <v>122</v>
      </c>
      <c r="RIP108" s="1" t="s">
        <v>122</v>
      </c>
      <c r="RIQ108" s="1" t="s">
        <v>122</v>
      </c>
      <c r="RIR108" s="1" t="s">
        <v>122</v>
      </c>
      <c r="RIS108" s="1" t="s">
        <v>122</v>
      </c>
      <c r="RIT108" s="1" t="s">
        <v>122</v>
      </c>
      <c r="RIU108" s="1" t="s">
        <v>122</v>
      </c>
      <c r="RIV108" s="1" t="s">
        <v>122</v>
      </c>
      <c r="RIW108" s="1" t="s">
        <v>122</v>
      </c>
      <c r="RIX108" s="1" t="s">
        <v>122</v>
      </c>
      <c r="RIY108" s="1" t="s">
        <v>122</v>
      </c>
      <c r="RIZ108" s="1" t="s">
        <v>122</v>
      </c>
      <c r="RJA108" s="1" t="s">
        <v>122</v>
      </c>
      <c r="RJB108" s="1" t="s">
        <v>122</v>
      </c>
      <c r="RJC108" s="1" t="s">
        <v>122</v>
      </c>
      <c r="RJD108" s="1" t="s">
        <v>122</v>
      </c>
      <c r="RJE108" s="1" t="s">
        <v>122</v>
      </c>
      <c r="RJF108" s="1" t="s">
        <v>122</v>
      </c>
      <c r="RJG108" s="1" t="s">
        <v>122</v>
      </c>
      <c r="RJH108" s="1" t="s">
        <v>122</v>
      </c>
      <c r="RJI108" s="1" t="s">
        <v>122</v>
      </c>
      <c r="RJJ108" s="1" t="s">
        <v>122</v>
      </c>
      <c r="RJK108" s="1" t="s">
        <v>122</v>
      </c>
      <c r="RJL108" s="1" t="s">
        <v>122</v>
      </c>
      <c r="RJM108" s="1" t="s">
        <v>122</v>
      </c>
      <c r="RJN108" s="1" t="s">
        <v>122</v>
      </c>
      <c r="RJO108" s="1" t="s">
        <v>122</v>
      </c>
      <c r="RJP108" s="1" t="s">
        <v>122</v>
      </c>
      <c r="RJQ108" s="1" t="s">
        <v>122</v>
      </c>
      <c r="RJR108" s="1" t="s">
        <v>122</v>
      </c>
      <c r="RJS108" s="1" t="s">
        <v>122</v>
      </c>
      <c r="RJT108" s="1" t="s">
        <v>122</v>
      </c>
      <c r="RJU108" s="1" t="s">
        <v>122</v>
      </c>
      <c r="RJV108" s="1" t="s">
        <v>122</v>
      </c>
      <c r="RJW108" s="1" t="s">
        <v>122</v>
      </c>
      <c r="RJX108" s="1" t="s">
        <v>122</v>
      </c>
      <c r="RJY108" s="1" t="s">
        <v>122</v>
      </c>
      <c r="RJZ108" s="1" t="s">
        <v>122</v>
      </c>
      <c r="RKA108" s="1" t="s">
        <v>122</v>
      </c>
      <c r="RKB108" s="1" t="s">
        <v>122</v>
      </c>
      <c r="RKC108" s="1" t="s">
        <v>122</v>
      </c>
      <c r="RKD108" s="1" t="s">
        <v>122</v>
      </c>
      <c r="RKE108" s="1" t="s">
        <v>122</v>
      </c>
      <c r="RKF108" s="1" t="s">
        <v>122</v>
      </c>
      <c r="RKG108" s="1" t="s">
        <v>122</v>
      </c>
      <c r="RKH108" s="1" t="s">
        <v>122</v>
      </c>
      <c r="RKI108" s="1" t="s">
        <v>122</v>
      </c>
      <c r="RKJ108" s="1" t="s">
        <v>122</v>
      </c>
      <c r="RKK108" s="1" t="s">
        <v>122</v>
      </c>
      <c r="RKL108" s="1" t="s">
        <v>122</v>
      </c>
      <c r="RKM108" s="1" t="s">
        <v>122</v>
      </c>
      <c r="RKN108" s="1" t="s">
        <v>122</v>
      </c>
      <c r="RKO108" s="1" t="s">
        <v>122</v>
      </c>
      <c r="RKP108" s="1" t="s">
        <v>122</v>
      </c>
      <c r="RKQ108" s="1" t="s">
        <v>122</v>
      </c>
      <c r="RKR108" s="1" t="s">
        <v>122</v>
      </c>
      <c r="RKS108" s="1" t="s">
        <v>122</v>
      </c>
      <c r="RKT108" s="1" t="s">
        <v>122</v>
      </c>
      <c r="RKU108" s="1" t="s">
        <v>122</v>
      </c>
      <c r="RKV108" s="1" t="s">
        <v>122</v>
      </c>
      <c r="RKW108" s="1" t="s">
        <v>122</v>
      </c>
      <c r="RKX108" s="1" t="s">
        <v>122</v>
      </c>
      <c r="RKY108" s="1" t="s">
        <v>122</v>
      </c>
      <c r="RKZ108" s="1" t="s">
        <v>122</v>
      </c>
      <c r="RLA108" s="1" t="s">
        <v>122</v>
      </c>
      <c r="RLB108" s="1" t="s">
        <v>122</v>
      </c>
      <c r="RLC108" s="1" t="s">
        <v>122</v>
      </c>
      <c r="RLD108" s="1" t="s">
        <v>122</v>
      </c>
      <c r="RLE108" s="1" t="s">
        <v>122</v>
      </c>
      <c r="RLF108" s="1" t="s">
        <v>122</v>
      </c>
      <c r="RLG108" s="1" t="s">
        <v>122</v>
      </c>
      <c r="RLH108" s="1" t="s">
        <v>122</v>
      </c>
      <c r="RLI108" s="1" t="s">
        <v>122</v>
      </c>
      <c r="RLJ108" s="1" t="s">
        <v>122</v>
      </c>
      <c r="RLK108" s="1" t="s">
        <v>122</v>
      </c>
      <c r="RLL108" s="1" t="s">
        <v>122</v>
      </c>
      <c r="RLM108" s="1" t="s">
        <v>122</v>
      </c>
      <c r="RLN108" s="1" t="s">
        <v>122</v>
      </c>
      <c r="RLO108" s="1" t="s">
        <v>122</v>
      </c>
      <c r="RLP108" s="1" t="s">
        <v>122</v>
      </c>
      <c r="RLQ108" s="1" t="s">
        <v>122</v>
      </c>
      <c r="RLR108" s="1" t="s">
        <v>122</v>
      </c>
      <c r="RLS108" s="1" t="s">
        <v>122</v>
      </c>
      <c r="RLT108" s="1" t="s">
        <v>122</v>
      </c>
      <c r="RLU108" s="1" t="s">
        <v>122</v>
      </c>
      <c r="RLV108" s="1" t="s">
        <v>122</v>
      </c>
      <c r="RLW108" s="1" t="s">
        <v>122</v>
      </c>
      <c r="RLX108" s="1" t="s">
        <v>122</v>
      </c>
      <c r="RLY108" s="1" t="s">
        <v>122</v>
      </c>
      <c r="RLZ108" s="1" t="s">
        <v>122</v>
      </c>
      <c r="RMA108" s="1" t="s">
        <v>122</v>
      </c>
      <c r="RMB108" s="1" t="s">
        <v>122</v>
      </c>
      <c r="RMC108" s="1" t="s">
        <v>122</v>
      </c>
      <c r="RMD108" s="1" t="s">
        <v>122</v>
      </c>
      <c r="RME108" s="1" t="s">
        <v>122</v>
      </c>
      <c r="RMF108" s="1" t="s">
        <v>122</v>
      </c>
      <c r="RMG108" s="1" t="s">
        <v>122</v>
      </c>
      <c r="RMH108" s="1" t="s">
        <v>122</v>
      </c>
      <c r="RMI108" s="1" t="s">
        <v>122</v>
      </c>
      <c r="RMJ108" s="1" t="s">
        <v>122</v>
      </c>
      <c r="RMK108" s="1" t="s">
        <v>122</v>
      </c>
      <c r="RML108" s="1" t="s">
        <v>122</v>
      </c>
      <c r="RMM108" s="1" t="s">
        <v>122</v>
      </c>
      <c r="RMN108" s="1" t="s">
        <v>122</v>
      </c>
      <c r="RMO108" s="1" t="s">
        <v>122</v>
      </c>
      <c r="RMP108" s="1" t="s">
        <v>122</v>
      </c>
      <c r="RMQ108" s="1" t="s">
        <v>122</v>
      </c>
      <c r="RMR108" s="1" t="s">
        <v>122</v>
      </c>
      <c r="RMS108" s="1" t="s">
        <v>122</v>
      </c>
      <c r="RMT108" s="1" t="s">
        <v>122</v>
      </c>
      <c r="RMU108" s="1" t="s">
        <v>122</v>
      </c>
      <c r="RMV108" s="1" t="s">
        <v>122</v>
      </c>
      <c r="RMW108" s="1" t="s">
        <v>122</v>
      </c>
      <c r="RMX108" s="1" t="s">
        <v>122</v>
      </c>
      <c r="RMY108" s="1" t="s">
        <v>122</v>
      </c>
      <c r="RMZ108" s="1" t="s">
        <v>122</v>
      </c>
      <c r="RNA108" s="1" t="s">
        <v>122</v>
      </c>
      <c r="RNB108" s="1" t="s">
        <v>122</v>
      </c>
      <c r="RNC108" s="1" t="s">
        <v>122</v>
      </c>
      <c r="RND108" s="1" t="s">
        <v>122</v>
      </c>
      <c r="RNE108" s="1" t="s">
        <v>122</v>
      </c>
      <c r="RNF108" s="1" t="s">
        <v>122</v>
      </c>
      <c r="RNG108" s="1" t="s">
        <v>122</v>
      </c>
      <c r="RNH108" s="1" t="s">
        <v>122</v>
      </c>
      <c r="RNI108" s="1" t="s">
        <v>122</v>
      </c>
      <c r="RNJ108" s="1" t="s">
        <v>122</v>
      </c>
      <c r="RNK108" s="1" t="s">
        <v>122</v>
      </c>
      <c r="RNL108" s="1" t="s">
        <v>122</v>
      </c>
      <c r="RNM108" s="1" t="s">
        <v>122</v>
      </c>
      <c r="RNN108" s="1" t="s">
        <v>122</v>
      </c>
      <c r="RNO108" s="1" t="s">
        <v>122</v>
      </c>
      <c r="RNP108" s="1" t="s">
        <v>122</v>
      </c>
      <c r="RNQ108" s="1" t="s">
        <v>122</v>
      </c>
      <c r="RNR108" s="1" t="s">
        <v>122</v>
      </c>
      <c r="RNS108" s="1" t="s">
        <v>122</v>
      </c>
      <c r="RNT108" s="1" t="s">
        <v>122</v>
      </c>
      <c r="RNU108" s="1" t="s">
        <v>122</v>
      </c>
      <c r="RNV108" s="1" t="s">
        <v>122</v>
      </c>
      <c r="RNW108" s="1" t="s">
        <v>122</v>
      </c>
      <c r="RNX108" s="1" t="s">
        <v>122</v>
      </c>
      <c r="RNY108" s="1" t="s">
        <v>122</v>
      </c>
      <c r="RNZ108" s="1" t="s">
        <v>122</v>
      </c>
      <c r="ROA108" s="1" t="s">
        <v>122</v>
      </c>
      <c r="ROB108" s="1" t="s">
        <v>122</v>
      </c>
      <c r="ROC108" s="1" t="s">
        <v>122</v>
      </c>
      <c r="ROD108" s="1" t="s">
        <v>122</v>
      </c>
      <c r="ROE108" s="1" t="s">
        <v>122</v>
      </c>
      <c r="ROF108" s="1" t="s">
        <v>122</v>
      </c>
      <c r="ROG108" s="1" t="s">
        <v>122</v>
      </c>
      <c r="ROH108" s="1" t="s">
        <v>122</v>
      </c>
      <c r="ROI108" s="1" t="s">
        <v>122</v>
      </c>
      <c r="ROJ108" s="1" t="s">
        <v>122</v>
      </c>
      <c r="ROK108" s="1" t="s">
        <v>122</v>
      </c>
      <c r="ROL108" s="1" t="s">
        <v>122</v>
      </c>
      <c r="ROM108" s="1" t="s">
        <v>122</v>
      </c>
      <c r="RON108" s="1" t="s">
        <v>122</v>
      </c>
      <c r="ROO108" s="1" t="s">
        <v>122</v>
      </c>
      <c r="ROP108" s="1" t="s">
        <v>122</v>
      </c>
      <c r="ROQ108" s="1" t="s">
        <v>122</v>
      </c>
      <c r="ROR108" s="1" t="s">
        <v>122</v>
      </c>
      <c r="ROS108" s="1" t="s">
        <v>122</v>
      </c>
      <c r="ROT108" s="1" t="s">
        <v>122</v>
      </c>
      <c r="ROU108" s="1" t="s">
        <v>122</v>
      </c>
      <c r="ROV108" s="1" t="s">
        <v>122</v>
      </c>
      <c r="ROW108" s="1" t="s">
        <v>122</v>
      </c>
      <c r="ROX108" s="1" t="s">
        <v>122</v>
      </c>
      <c r="ROY108" s="1" t="s">
        <v>122</v>
      </c>
      <c r="ROZ108" s="1" t="s">
        <v>122</v>
      </c>
      <c r="RPA108" s="1" t="s">
        <v>122</v>
      </c>
      <c r="RPB108" s="1" t="s">
        <v>122</v>
      </c>
      <c r="RPC108" s="1" t="s">
        <v>122</v>
      </c>
      <c r="RPD108" s="1" t="s">
        <v>122</v>
      </c>
      <c r="RPE108" s="1" t="s">
        <v>122</v>
      </c>
      <c r="RPF108" s="1" t="s">
        <v>122</v>
      </c>
      <c r="RPG108" s="1" t="s">
        <v>122</v>
      </c>
      <c r="RPH108" s="1" t="s">
        <v>122</v>
      </c>
      <c r="RPI108" s="1" t="s">
        <v>122</v>
      </c>
      <c r="RPJ108" s="1" t="s">
        <v>122</v>
      </c>
      <c r="RPK108" s="1" t="s">
        <v>122</v>
      </c>
      <c r="RPL108" s="1" t="s">
        <v>122</v>
      </c>
      <c r="RPM108" s="1" t="s">
        <v>122</v>
      </c>
      <c r="RPN108" s="1" t="s">
        <v>122</v>
      </c>
      <c r="RPO108" s="1" t="s">
        <v>122</v>
      </c>
      <c r="RPP108" s="1" t="s">
        <v>122</v>
      </c>
      <c r="RPQ108" s="1" t="s">
        <v>122</v>
      </c>
      <c r="RPR108" s="1" t="s">
        <v>122</v>
      </c>
      <c r="RPS108" s="1" t="s">
        <v>122</v>
      </c>
      <c r="RPT108" s="1" t="s">
        <v>122</v>
      </c>
      <c r="RPU108" s="1" t="s">
        <v>122</v>
      </c>
      <c r="RPV108" s="1" t="s">
        <v>122</v>
      </c>
      <c r="RPW108" s="1" t="s">
        <v>122</v>
      </c>
      <c r="RPX108" s="1" t="s">
        <v>122</v>
      </c>
      <c r="RPY108" s="1" t="s">
        <v>122</v>
      </c>
      <c r="RPZ108" s="1" t="s">
        <v>122</v>
      </c>
      <c r="RQA108" s="1" t="s">
        <v>122</v>
      </c>
      <c r="RQB108" s="1" t="s">
        <v>122</v>
      </c>
      <c r="RQC108" s="1" t="s">
        <v>122</v>
      </c>
      <c r="RQD108" s="1" t="s">
        <v>122</v>
      </c>
      <c r="RQE108" s="1" t="s">
        <v>122</v>
      </c>
      <c r="RQF108" s="1" t="s">
        <v>122</v>
      </c>
      <c r="RQG108" s="1" t="s">
        <v>122</v>
      </c>
      <c r="RQH108" s="1" t="s">
        <v>122</v>
      </c>
      <c r="RQI108" s="1" t="s">
        <v>122</v>
      </c>
      <c r="RQJ108" s="1" t="s">
        <v>122</v>
      </c>
      <c r="RQK108" s="1" t="s">
        <v>122</v>
      </c>
      <c r="RQL108" s="1" t="s">
        <v>122</v>
      </c>
      <c r="RQM108" s="1" t="s">
        <v>122</v>
      </c>
      <c r="RQN108" s="1" t="s">
        <v>122</v>
      </c>
      <c r="RQO108" s="1" t="s">
        <v>122</v>
      </c>
      <c r="RQP108" s="1" t="s">
        <v>122</v>
      </c>
      <c r="RQQ108" s="1" t="s">
        <v>122</v>
      </c>
      <c r="RQR108" s="1" t="s">
        <v>122</v>
      </c>
      <c r="RQS108" s="1" t="s">
        <v>122</v>
      </c>
      <c r="RQT108" s="1" t="s">
        <v>122</v>
      </c>
      <c r="RQU108" s="1" t="s">
        <v>122</v>
      </c>
      <c r="RQV108" s="1" t="s">
        <v>122</v>
      </c>
      <c r="RQW108" s="1" t="s">
        <v>122</v>
      </c>
      <c r="RQX108" s="1" t="s">
        <v>122</v>
      </c>
      <c r="RQY108" s="1" t="s">
        <v>122</v>
      </c>
      <c r="RQZ108" s="1" t="s">
        <v>122</v>
      </c>
      <c r="RRA108" s="1" t="s">
        <v>122</v>
      </c>
      <c r="RRB108" s="1" t="s">
        <v>122</v>
      </c>
      <c r="RRC108" s="1" t="s">
        <v>122</v>
      </c>
      <c r="RRD108" s="1" t="s">
        <v>122</v>
      </c>
      <c r="RRE108" s="1" t="s">
        <v>122</v>
      </c>
      <c r="RRF108" s="1" t="s">
        <v>122</v>
      </c>
      <c r="RRG108" s="1" t="s">
        <v>122</v>
      </c>
      <c r="RRH108" s="1" t="s">
        <v>122</v>
      </c>
      <c r="RRI108" s="1" t="s">
        <v>122</v>
      </c>
      <c r="RRJ108" s="1" t="s">
        <v>122</v>
      </c>
      <c r="RRK108" s="1" t="s">
        <v>122</v>
      </c>
      <c r="RRL108" s="1" t="s">
        <v>122</v>
      </c>
      <c r="RRM108" s="1" t="s">
        <v>122</v>
      </c>
      <c r="RRN108" s="1" t="s">
        <v>122</v>
      </c>
      <c r="RRO108" s="1" t="s">
        <v>122</v>
      </c>
      <c r="RRP108" s="1" t="s">
        <v>122</v>
      </c>
      <c r="RRQ108" s="1" t="s">
        <v>122</v>
      </c>
      <c r="RRR108" s="1" t="s">
        <v>122</v>
      </c>
      <c r="RRS108" s="1" t="s">
        <v>122</v>
      </c>
      <c r="RRT108" s="1" t="s">
        <v>122</v>
      </c>
      <c r="RRU108" s="1" t="s">
        <v>122</v>
      </c>
      <c r="RRV108" s="1" t="s">
        <v>122</v>
      </c>
      <c r="RRW108" s="1" t="s">
        <v>122</v>
      </c>
      <c r="RRX108" s="1" t="s">
        <v>122</v>
      </c>
      <c r="RRY108" s="1" t="s">
        <v>122</v>
      </c>
      <c r="RRZ108" s="1" t="s">
        <v>122</v>
      </c>
      <c r="RSA108" s="1" t="s">
        <v>122</v>
      </c>
      <c r="RSB108" s="1" t="s">
        <v>122</v>
      </c>
      <c r="RSC108" s="1" t="s">
        <v>122</v>
      </c>
      <c r="RSD108" s="1" t="s">
        <v>122</v>
      </c>
      <c r="RSE108" s="1" t="s">
        <v>122</v>
      </c>
      <c r="RSF108" s="1" t="s">
        <v>122</v>
      </c>
      <c r="RSG108" s="1" t="s">
        <v>122</v>
      </c>
      <c r="RSH108" s="1" t="s">
        <v>122</v>
      </c>
      <c r="RSI108" s="1" t="s">
        <v>122</v>
      </c>
      <c r="RSJ108" s="1" t="s">
        <v>122</v>
      </c>
      <c r="RSK108" s="1" t="s">
        <v>122</v>
      </c>
      <c r="RSL108" s="1" t="s">
        <v>122</v>
      </c>
      <c r="RSM108" s="1" t="s">
        <v>122</v>
      </c>
      <c r="RSN108" s="1" t="s">
        <v>122</v>
      </c>
      <c r="RSO108" s="1" t="s">
        <v>122</v>
      </c>
      <c r="RSP108" s="1" t="s">
        <v>122</v>
      </c>
      <c r="RSQ108" s="1" t="s">
        <v>122</v>
      </c>
      <c r="RSR108" s="1" t="s">
        <v>122</v>
      </c>
      <c r="RSS108" s="1" t="s">
        <v>122</v>
      </c>
      <c r="RST108" s="1" t="s">
        <v>122</v>
      </c>
      <c r="RSU108" s="1" t="s">
        <v>122</v>
      </c>
      <c r="RSV108" s="1" t="s">
        <v>122</v>
      </c>
      <c r="RSW108" s="1" t="s">
        <v>122</v>
      </c>
      <c r="RSX108" s="1" t="s">
        <v>122</v>
      </c>
      <c r="RSY108" s="1" t="s">
        <v>122</v>
      </c>
      <c r="RSZ108" s="1" t="s">
        <v>122</v>
      </c>
      <c r="RTA108" s="1" t="s">
        <v>122</v>
      </c>
      <c r="RTB108" s="1" t="s">
        <v>122</v>
      </c>
      <c r="RTC108" s="1" t="s">
        <v>122</v>
      </c>
      <c r="RTD108" s="1" t="s">
        <v>122</v>
      </c>
      <c r="RTE108" s="1" t="s">
        <v>122</v>
      </c>
      <c r="RTF108" s="1" t="s">
        <v>122</v>
      </c>
      <c r="RTG108" s="1" t="s">
        <v>122</v>
      </c>
      <c r="RTH108" s="1" t="s">
        <v>122</v>
      </c>
      <c r="RTI108" s="1" t="s">
        <v>122</v>
      </c>
      <c r="RTJ108" s="1" t="s">
        <v>122</v>
      </c>
      <c r="RTK108" s="1" t="s">
        <v>122</v>
      </c>
      <c r="RTL108" s="1" t="s">
        <v>122</v>
      </c>
      <c r="RTM108" s="1" t="s">
        <v>122</v>
      </c>
      <c r="RTN108" s="1" t="s">
        <v>122</v>
      </c>
      <c r="RTO108" s="1" t="s">
        <v>122</v>
      </c>
      <c r="RTP108" s="1" t="s">
        <v>122</v>
      </c>
      <c r="RTQ108" s="1" t="s">
        <v>122</v>
      </c>
      <c r="RTR108" s="1" t="s">
        <v>122</v>
      </c>
      <c r="RTS108" s="1" t="s">
        <v>122</v>
      </c>
      <c r="RTT108" s="1" t="s">
        <v>122</v>
      </c>
      <c r="RTU108" s="1" t="s">
        <v>122</v>
      </c>
      <c r="RTV108" s="1" t="s">
        <v>122</v>
      </c>
      <c r="RTW108" s="1" t="s">
        <v>122</v>
      </c>
      <c r="RTX108" s="1" t="s">
        <v>122</v>
      </c>
      <c r="RTY108" s="1" t="s">
        <v>122</v>
      </c>
      <c r="RTZ108" s="1" t="s">
        <v>122</v>
      </c>
      <c r="RUA108" s="1" t="s">
        <v>122</v>
      </c>
      <c r="RUB108" s="1" t="s">
        <v>122</v>
      </c>
      <c r="RUC108" s="1" t="s">
        <v>122</v>
      </c>
      <c r="RUD108" s="1" t="s">
        <v>122</v>
      </c>
      <c r="RUE108" s="1" t="s">
        <v>122</v>
      </c>
      <c r="RUF108" s="1" t="s">
        <v>122</v>
      </c>
      <c r="RUG108" s="1" t="s">
        <v>122</v>
      </c>
      <c r="RUH108" s="1" t="s">
        <v>122</v>
      </c>
      <c r="RUI108" s="1" t="s">
        <v>122</v>
      </c>
      <c r="RUJ108" s="1" t="s">
        <v>122</v>
      </c>
      <c r="RUK108" s="1" t="s">
        <v>122</v>
      </c>
      <c r="RUL108" s="1" t="s">
        <v>122</v>
      </c>
      <c r="RUM108" s="1" t="s">
        <v>122</v>
      </c>
      <c r="RUN108" s="1" t="s">
        <v>122</v>
      </c>
      <c r="RUO108" s="1" t="s">
        <v>122</v>
      </c>
      <c r="RUP108" s="1" t="s">
        <v>122</v>
      </c>
      <c r="RUQ108" s="1" t="s">
        <v>122</v>
      </c>
      <c r="RUR108" s="1" t="s">
        <v>122</v>
      </c>
      <c r="RUS108" s="1" t="s">
        <v>122</v>
      </c>
      <c r="RUT108" s="1" t="s">
        <v>122</v>
      </c>
      <c r="RUU108" s="1" t="s">
        <v>122</v>
      </c>
      <c r="RUV108" s="1" t="s">
        <v>122</v>
      </c>
      <c r="RUW108" s="1" t="s">
        <v>122</v>
      </c>
      <c r="RUX108" s="1" t="s">
        <v>122</v>
      </c>
      <c r="RUY108" s="1" t="s">
        <v>122</v>
      </c>
      <c r="RUZ108" s="1" t="s">
        <v>122</v>
      </c>
      <c r="RVA108" s="1" t="s">
        <v>122</v>
      </c>
      <c r="RVB108" s="1" t="s">
        <v>122</v>
      </c>
      <c r="RVC108" s="1" t="s">
        <v>122</v>
      </c>
      <c r="RVD108" s="1" t="s">
        <v>122</v>
      </c>
      <c r="RVE108" s="1" t="s">
        <v>122</v>
      </c>
      <c r="RVF108" s="1" t="s">
        <v>122</v>
      </c>
      <c r="RVG108" s="1" t="s">
        <v>122</v>
      </c>
      <c r="RVH108" s="1" t="s">
        <v>122</v>
      </c>
      <c r="RVI108" s="1" t="s">
        <v>122</v>
      </c>
      <c r="RVJ108" s="1" t="s">
        <v>122</v>
      </c>
      <c r="RVK108" s="1" t="s">
        <v>122</v>
      </c>
      <c r="RVL108" s="1" t="s">
        <v>122</v>
      </c>
      <c r="RVM108" s="1" t="s">
        <v>122</v>
      </c>
      <c r="RVN108" s="1" t="s">
        <v>122</v>
      </c>
      <c r="RVO108" s="1" t="s">
        <v>122</v>
      </c>
      <c r="RVP108" s="1" t="s">
        <v>122</v>
      </c>
      <c r="RVQ108" s="1" t="s">
        <v>122</v>
      </c>
      <c r="RVR108" s="1" t="s">
        <v>122</v>
      </c>
      <c r="RVS108" s="1" t="s">
        <v>122</v>
      </c>
      <c r="RVT108" s="1" t="s">
        <v>122</v>
      </c>
      <c r="RVU108" s="1" t="s">
        <v>122</v>
      </c>
      <c r="RVV108" s="1" t="s">
        <v>122</v>
      </c>
      <c r="RVW108" s="1" t="s">
        <v>122</v>
      </c>
      <c r="RVX108" s="1" t="s">
        <v>122</v>
      </c>
      <c r="RVY108" s="1" t="s">
        <v>122</v>
      </c>
      <c r="RVZ108" s="1" t="s">
        <v>122</v>
      </c>
      <c r="RWA108" s="1" t="s">
        <v>122</v>
      </c>
      <c r="RWB108" s="1" t="s">
        <v>122</v>
      </c>
      <c r="RWC108" s="1" t="s">
        <v>122</v>
      </c>
      <c r="RWD108" s="1" t="s">
        <v>122</v>
      </c>
      <c r="RWE108" s="1" t="s">
        <v>122</v>
      </c>
      <c r="RWF108" s="1" t="s">
        <v>122</v>
      </c>
      <c r="RWG108" s="1" t="s">
        <v>122</v>
      </c>
      <c r="RWH108" s="1" t="s">
        <v>122</v>
      </c>
      <c r="RWI108" s="1" t="s">
        <v>122</v>
      </c>
      <c r="RWJ108" s="1" t="s">
        <v>122</v>
      </c>
      <c r="RWK108" s="1" t="s">
        <v>122</v>
      </c>
      <c r="RWL108" s="1" t="s">
        <v>122</v>
      </c>
      <c r="RWM108" s="1" t="s">
        <v>122</v>
      </c>
      <c r="RWN108" s="1" t="s">
        <v>122</v>
      </c>
      <c r="RWO108" s="1" t="s">
        <v>122</v>
      </c>
      <c r="RWP108" s="1" t="s">
        <v>122</v>
      </c>
      <c r="RWQ108" s="1" t="s">
        <v>122</v>
      </c>
      <c r="RWR108" s="1" t="s">
        <v>122</v>
      </c>
      <c r="RWS108" s="1" t="s">
        <v>122</v>
      </c>
      <c r="RWT108" s="1" t="s">
        <v>122</v>
      </c>
      <c r="RWU108" s="1" t="s">
        <v>122</v>
      </c>
      <c r="RWV108" s="1" t="s">
        <v>122</v>
      </c>
      <c r="RWW108" s="1" t="s">
        <v>122</v>
      </c>
      <c r="RWX108" s="1" t="s">
        <v>122</v>
      </c>
      <c r="RWY108" s="1" t="s">
        <v>122</v>
      </c>
      <c r="RWZ108" s="1" t="s">
        <v>122</v>
      </c>
      <c r="RXA108" s="1" t="s">
        <v>122</v>
      </c>
      <c r="RXB108" s="1" t="s">
        <v>122</v>
      </c>
      <c r="RXC108" s="1" t="s">
        <v>122</v>
      </c>
      <c r="RXD108" s="1" t="s">
        <v>122</v>
      </c>
      <c r="RXE108" s="1" t="s">
        <v>122</v>
      </c>
      <c r="RXF108" s="1" t="s">
        <v>122</v>
      </c>
      <c r="RXG108" s="1" t="s">
        <v>122</v>
      </c>
      <c r="RXH108" s="1" t="s">
        <v>122</v>
      </c>
      <c r="RXI108" s="1" t="s">
        <v>122</v>
      </c>
      <c r="RXJ108" s="1" t="s">
        <v>122</v>
      </c>
      <c r="RXK108" s="1" t="s">
        <v>122</v>
      </c>
      <c r="RXL108" s="1" t="s">
        <v>122</v>
      </c>
      <c r="RXM108" s="1" t="s">
        <v>122</v>
      </c>
      <c r="RXN108" s="1" t="s">
        <v>122</v>
      </c>
      <c r="RXO108" s="1" t="s">
        <v>122</v>
      </c>
      <c r="RXP108" s="1" t="s">
        <v>122</v>
      </c>
      <c r="RXQ108" s="1" t="s">
        <v>122</v>
      </c>
      <c r="RXR108" s="1" t="s">
        <v>122</v>
      </c>
      <c r="RXS108" s="1" t="s">
        <v>122</v>
      </c>
      <c r="RXT108" s="1" t="s">
        <v>122</v>
      </c>
      <c r="RXU108" s="1" t="s">
        <v>122</v>
      </c>
      <c r="RXV108" s="1" t="s">
        <v>122</v>
      </c>
      <c r="RXW108" s="1" t="s">
        <v>122</v>
      </c>
      <c r="RXX108" s="1" t="s">
        <v>122</v>
      </c>
      <c r="RXY108" s="1" t="s">
        <v>122</v>
      </c>
      <c r="RXZ108" s="1" t="s">
        <v>122</v>
      </c>
      <c r="RYA108" s="1" t="s">
        <v>122</v>
      </c>
      <c r="RYB108" s="1" t="s">
        <v>122</v>
      </c>
      <c r="RYC108" s="1" t="s">
        <v>122</v>
      </c>
      <c r="RYD108" s="1" t="s">
        <v>122</v>
      </c>
      <c r="RYE108" s="1" t="s">
        <v>122</v>
      </c>
      <c r="RYF108" s="1" t="s">
        <v>122</v>
      </c>
      <c r="RYG108" s="1" t="s">
        <v>122</v>
      </c>
      <c r="RYH108" s="1" t="s">
        <v>122</v>
      </c>
      <c r="RYI108" s="1" t="s">
        <v>122</v>
      </c>
      <c r="RYJ108" s="1" t="s">
        <v>122</v>
      </c>
      <c r="RYK108" s="1" t="s">
        <v>122</v>
      </c>
      <c r="RYL108" s="1" t="s">
        <v>122</v>
      </c>
      <c r="RYM108" s="1" t="s">
        <v>122</v>
      </c>
      <c r="RYN108" s="1" t="s">
        <v>122</v>
      </c>
      <c r="RYO108" s="1" t="s">
        <v>122</v>
      </c>
      <c r="RYP108" s="1" t="s">
        <v>122</v>
      </c>
      <c r="RYQ108" s="1" t="s">
        <v>122</v>
      </c>
      <c r="RYR108" s="1" t="s">
        <v>122</v>
      </c>
      <c r="RYS108" s="1" t="s">
        <v>122</v>
      </c>
      <c r="RYT108" s="1" t="s">
        <v>122</v>
      </c>
      <c r="RYU108" s="1" t="s">
        <v>122</v>
      </c>
      <c r="RYV108" s="1" t="s">
        <v>122</v>
      </c>
      <c r="RYW108" s="1" t="s">
        <v>122</v>
      </c>
      <c r="RYX108" s="1" t="s">
        <v>122</v>
      </c>
      <c r="RYY108" s="1" t="s">
        <v>122</v>
      </c>
      <c r="RYZ108" s="1" t="s">
        <v>122</v>
      </c>
      <c r="RZA108" s="1" t="s">
        <v>122</v>
      </c>
      <c r="RZB108" s="1" t="s">
        <v>122</v>
      </c>
      <c r="RZC108" s="1" t="s">
        <v>122</v>
      </c>
      <c r="RZD108" s="1" t="s">
        <v>122</v>
      </c>
      <c r="RZE108" s="1" t="s">
        <v>122</v>
      </c>
      <c r="RZF108" s="1" t="s">
        <v>122</v>
      </c>
      <c r="RZG108" s="1" t="s">
        <v>122</v>
      </c>
      <c r="RZH108" s="1" t="s">
        <v>122</v>
      </c>
      <c r="RZI108" s="1" t="s">
        <v>122</v>
      </c>
      <c r="RZJ108" s="1" t="s">
        <v>122</v>
      </c>
      <c r="RZK108" s="1" t="s">
        <v>122</v>
      </c>
      <c r="RZL108" s="1" t="s">
        <v>122</v>
      </c>
      <c r="RZM108" s="1" t="s">
        <v>122</v>
      </c>
      <c r="RZN108" s="1" t="s">
        <v>122</v>
      </c>
      <c r="RZO108" s="1" t="s">
        <v>122</v>
      </c>
      <c r="RZP108" s="1" t="s">
        <v>122</v>
      </c>
      <c r="RZQ108" s="1" t="s">
        <v>122</v>
      </c>
      <c r="RZR108" s="1" t="s">
        <v>122</v>
      </c>
      <c r="RZS108" s="1" t="s">
        <v>122</v>
      </c>
      <c r="RZT108" s="1" t="s">
        <v>122</v>
      </c>
      <c r="RZU108" s="1" t="s">
        <v>122</v>
      </c>
      <c r="RZV108" s="1" t="s">
        <v>122</v>
      </c>
      <c r="RZW108" s="1" t="s">
        <v>122</v>
      </c>
      <c r="RZX108" s="1" t="s">
        <v>122</v>
      </c>
      <c r="RZY108" s="1" t="s">
        <v>122</v>
      </c>
      <c r="RZZ108" s="1" t="s">
        <v>122</v>
      </c>
      <c r="SAA108" s="1" t="s">
        <v>122</v>
      </c>
      <c r="SAB108" s="1" t="s">
        <v>122</v>
      </c>
      <c r="SAC108" s="1" t="s">
        <v>122</v>
      </c>
      <c r="SAD108" s="1" t="s">
        <v>122</v>
      </c>
      <c r="SAE108" s="1" t="s">
        <v>122</v>
      </c>
      <c r="SAF108" s="1" t="s">
        <v>122</v>
      </c>
      <c r="SAG108" s="1" t="s">
        <v>122</v>
      </c>
      <c r="SAH108" s="1" t="s">
        <v>122</v>
      </c>
      <c r="SAI108" s="1" t="s">
        <v>122</v>
      </c>
      <c r="SAJ108" s="1" t="s">
        <v>122</v>
      </c>
      <c r="SAK108" s="1" t="s">
        <v>122</v>
      </c>
      <c r="SAL108" s="1" t="s">
        <v>122</v>
      </c>
      <c r="SAM108" s="1" t="s">
        <v>122</v>
      </c>
      <c r="SAN108" s="1" t="s">
        <v>122</v>
      </c>
      <c r="SAO108" s="1" t="s">
        <v>122</v>
      </c>
      <c r="SAP108" s="1" t="s">
        <v>122</v>
      </c>
      <c r="SAQ108" s="1" t="s">
        <v>122</v>
      </c>
      <c r="SAR108" s="1" t="s">
        <v>122</v>
      </c>
      <c r="SAS108" s="1" t="s">
        <v>122</v>
      </c>
      <c r="SAT108" s="1" t="s">
        <v>122</v>
      </c>
      <c r="SAU108" s="1" t="s">
        <v>122</v>
      </c>
      <c r="SAV108" s="1" t="s">
        <v>122</v>
      </c>
      <c r="SAW108" s="1" t="s">
        <v>122</v>
      </c>
      <c r="SAX108" s="1" t="s">
        <v>122</v>
      </c>
      <c r="SAY108" s="1" t="s">
        <v>122</v>
      </c>
      <c r="SAZ108" s="1" t="s">
        <v>122</v>
      </c>
      <c r="SBA108" s="1" t="s">
        <v>122</v>
      </c>
      <c r="SBB108" s="1" t="s">
        <v>122</v>
      </c>
      <c r="SBC108" s="1" t="s">
        <v>122</v>
      </c>
      <c r="SBD108" s="1" t="s">
        <v>122</v>
      </c>
      <c r="SBE108" s="1" t="s">
        <v>122</v>
      </c>
      <c r="SBF108" s="1" t="s">
        <v>122</v>
      </c>
      <c r="SBG108" s="1" t="s">
        <v>122</v>
      </c>
      <c r="SBH108" s="1" t="s">
        <v>122</v>
      </c>
      <c r="SBI108" s="1" t="s">
        <v>122</v>
      </c>
      <c r="SBJ108" s="1" t="s">
        <v>122</v>
      </c>
      <c r="SBK108" s="1" t="s">
        <v>122</v>
      </c>
      <c r="SBL108" s="1" t="s">
        <v>122</v>
      </c>
      <c r="SBM108" s="1" t="s">
        <v>122</v>
      </c>
      <c r="SBN108" s="1" t="s">
        <v>122</v>
      </c>
      <c r="SBO108" s="1" t="s">
        <v>122</v>
      </c>
      <c r="SBP108" s="1" t="s">
        <v>122</v>
      </c>
      <c r="SBQ108" s="1" t="s">
        <v>122</v>
      </c>
      <c r="SBR108" s="1" t="s">
        <v>122</v>
      </c>
      <c r="SBS108" s="1" t="s">
        <v>122</v>
      </c>
      <c r="SBT108" s="1" t="s">
        <v>122</v>
      </c>
      <c r="SBU108" s="1" t="s">
        <v>122</v>
      </c>
      <c r="SBV108" s="1" t="s">
        <v>122</v>
      </c>
      <c r="SBW108" s="1" t="s">
        <v>122</v>
      </c>
      <c r="SBX108" s="1" t="s">
        <v>122</v>
      </c>
      <c r="SBY108" s="1" t="s">
        <v>122</v>
      </c>
      <c r="SBZ108" s="1" t="s">
        <v>122</v>
      </c>
      <c r="SCA108" s="1" t="s">
        <v>122</v>
      </c>
      <c r="SCB108" s="1" t="s">
        <v>122</v>
      </c>
      <c r="SCC108" s="1" t="s">
        <v>122</v>
      </c>
      <c r="SCD108" s="1" t="s">
        <v>122</v>
      </c>
      <c r="SCE108" s="1" t="s">
        <v>122</v>
      </c>
      <c r="SCF108" s="1" t="s">
        <v>122</v>
      </c>
      <c r="SCG108" s="1" t="s">
        <v>122</v>
      </c>
      <c r="SCH108" s="1" t="s">
        <v>122</v>
      </c>
      <c r="SCI108" s="1" t="s">
        <v>122</v>
      </c>
      <c r="SCJ108" s="1" t="s">
        <v>122</v>
      </c>
      <c r="SCK108" s="1" t="s">
        <v>122</v>
      </c>
      <c r="SCL108" s="1" t="s">
        <v>122</v>
      </c>
      <c r="SCM108" s="1" t="s">
        <v>122</v>
      </c>
      <c r="SCN108" s="1" t="s">
        <v>122</v>
      </c>
      <c r="SCO108" s="1" t="s">
        <v>122</v>
      </c>
      <c r="SCP108" s="1" t="s">
        <v>122</v>
      </c>
      <c r="SCQ108" s="1" t="s">
        <v>122</v>
      </c>
      <c r="SCR108" s="1" t="s">
        <v>122</v>
      </c>
      <c r="SCS108" s="1" t="s">
        <v>122</v>
      </c>
      <c r="SCT108" s="1" t="s">
        <v>122</v>
      </c>
      <c r="SCU108" s="1" t="s">
        <v>122</v>
      </c>
      <c r="SCV108" s="1" t="s">
        <v>122</v>
      </c>
      <c r="SCW108" s="1" t="s">
        <v>122</v>
      </c>
      <c r="SCX108" s="1" t="s">
        <v>122</v>
      </c>
      <c r="SCY108" s="1" t="s">
        <v>122</v>
      </c>
      <c r="SCZ108" s="1" t="s">
        <v>122</v>
      </c>
      <c r="SDA108" s="1" t="s">
        <v>122</v>
      </c>
      <c r="SDB108" s="1" t="s">
        <v>122</v>
      </c>
      <c r="SDC108" s="1" t="s">
        <v>122</v>
      </c>
      <c r="SDD108" s="1" t="s">
        <v>122</v>
      </c>
      <c r="SDE108" s="1" t="s">
        <v>122</v>
      </c>
      <c r="SDF108" s="1" t="s">
        <v>122</v>
      </c>
      <c r="SDG108" s="1" t="s">
        <v>122</v>
      </c>
      <c r="SDH108" s="1" t="s">
        <v>122</v>
      </c>
      <c r="SDI108" s="1" t="s">
        <v>122</v>
      </c>
      <c r="SDJ108" s="1" t="s">
        <v>122</v>
      </c>
      <c r="SDK108" s="1" t="s">
        <v>122</v>
      </c>
      <c r="SDL108" s="1" t="s">
        <v>122</v>
      </c>
      <c r="SDM108" s="1" t="s">
        <v>122</v>
      </c>
      <c r="SDN108" s="1" t="s">
        <v>122</v>
      </c>
      <c r="SDO108" s="1" t="s">
        <v>122</v>
      </c>
      <c r="SDP108" s="1" t="s">
        <v>122</v>
      </c>
      <c r="SDQ108" s="1" t="s">
        <v>122</v>
      </c>
      <c r="SDR108" s="1" t="s">
        <v>122</v>
      </c>
      <c r="SDS108" s="1" t="s">
        <v>122</v>
      </c>
      <c r="SDT108" s="1" t="s">
        <v>122</v>
      </c>
      <c r="SDU108" s="1" t="s">
        <v>122</v>
      </c>
      <c r="SDV108" s="1" t="s">
        <v>122</v>
      </c>
      <c r="SDW108" s="1" t="s">
        <v>122</v>
      </c>
      <c r="SDX108" s="1" t="s">
        <v>122</v>
      </c>
      <c r="SDY108" s="1" t="s">
        <v>122</v>
      </c>
      <c r="SDZ108" s="1" t="s">
        <v>122</v>
      </c>
      <c r="SEA108" s="1" t="s">
        <v>122</v>
      </c>
      <c r="SEB108" s="1" t="s">
        <v>122</v>
      </c>
      <c r="SEC108" s="1" t="s">
        <v>122</v>
      </c>
      <c r="SED108" s="1" t="s">
        <v>122</v>
      </c>
      <c r="SEE108" s="1" t="s">
        <v>122</v>
      </c>
      <c r="SEF108" s="1" t="s">
        <v>122</v>
      </c>
      <c r="SEG108" s="1" t="s">
        <v>122</v>
      </c>
      <c r="SEH108" s="1" t="s">
        <v>122</v>
      </c>
      <c r="SEI108" s="1" t="s">
        <v>122</v>
      </c>
      <c r="SEJ108" s="1" t="s">
        <v>122</v>
      </c>
      <c r="SEK108" s="1" t="s">
        <v>122</v>
      </c>
      <c r="SEL108" s="1" t="s">
        <v>122</v>
      </c>
      <c r="SEM108" s="1" t="s">
        <v>122</v>
      </c>
      <c r="SEN108" s="1" t="s">
        <v>122</v>
      </c>
      <c r="SEO108" s="1" t="s">
        <v>122</v>
      </c>
      <c r="SEP108" s="1" t="s">
        <v>122</v>
      </c>
      <c r="SEQ108" s="1" t="s">
        <v>122</v>
      </c>
      <c r="SER108" s="1" t="s">
        <v>122</v>
      </c>
      <c r="SES108" s="1" t="s">
        <v>122</v>
      </c>
      <c r="SET108" s="1" t="s">
        <v>122</v>
      </c>
      <c r="SEU108" s="1" t="s">
        <v>122</v>
      </c>
      <c r="SEV108" s="1" t="s">
        <v>122</v>
      </c>
      <c r="SEW108" s="1" t="s">
        <v>122</v>
      </c>
      <c r="SEX108" s="1" t="s">
        <v>122</v>
      </c>
      <c r="SEY108" s="1" t="s">
        <v>122</v>
      </c>
      <c r="SEZ108" s="1" t="s">
        <v>122</v>
      </c>
      <c r="SFA108" s="1" t="s">
        <v>122</v>
      </c>
      <c r="SFB108" s="1" t="s">
        <v>122</v>
      </c>
      <c r="SFC108" s="1" t="s">
        <v>122</v>
      </c>
      <c r="SFD108" s="1" t="s">
        <v>122</v>
      </c>
      <c r="SFE108" s="1" t="s">
        <v>122</v>
      </c>
      <c r="SFF108" s="1" t="s">
        <v>122</v>
      </c>
      <c r="SFG108" s="1" t="s">
        <v>122</v>
      </c>
      <c r="SFH108" s="1" t="s">
        <v>122</v>
      </c>
      <c r="SFI108" s="1" t="s">
        <v>122</v>
      </c>
      <c r="SFJ108" s="1" t="s">
        <v>122</v>
      </c>
      <c r="SFK108" s="1" t="s">
        <v>122</v>
      </c>
      <c r="SFL108" s="1" t="s">
        <v>122</v>
      </c>
      <c r="SFM108" s="1" t="s">
        <v>122</v>
      </c>
      <c r="SFN108" s="1" t="s">
        <v>122</v>
      </c>
      <c r="SFO108" s="1" t="s">
        <v>122</v>
      </c>
      <c r="SFP108" s="1" t="s">
        <v>122</v>
      </c>
      <c r="SFQ108" s="1" t="s">
        <v>122</v>
      </c>
      <c r="SFR108" s="1" t="s">
        <v>122</v>
      </c>
      <c r="SFS108" s="1" t="s">
        <v>122</v>
      </c>
      <c r="SFT108" s="1" t="s">
        <v>122</v>
      </c>
      <c r="SFU108" s="1" t="s">
        <v>122</v>
      </c>
      <c r="SFV108" s="1" t="s">
        <v>122</v>
      </c>
      <c r="SFW108" s="1" t="s">
        <v>122</v>
      </c>
      <c r="SFX108" s="1" t="s">
        <v>122</v>
      </c>
      <c r="SFY108" s="1" t="s">
        <v>122</v>
      </c>
      <c r="SFZ108" s="1" t="s">
        <v>122</v>
      </c>
      <c r="SGA108" s="1" t="s">
        <v>122</v>
      </c>
      <c r="SGB108" s="1" t="s">
        <v>122</v>
      </c>
      <c r="SGC108" s="1" t="s">
        <v>122</v>
      </c>
      <c r="SGD108" s="1" t="s">
        <v>122</v>
      </c>
      <c r="SGE108" s="1" t="s">
        <v>122</v>
      </c>
      <c r="SGF108" s="1" t="s">
        <v>122</v>
      </c>
      <c r="SGG108" s="1" t="s">
        <v>122</v>
      </c>
      <c r="SGH108" s="1" t="s">
        <v>122</v>
      </c>
      <c r="SGI108" s="1" t="s">
        <v>122</v>
      </c>
      <c r="SGJ108" s="1" t="s">
        <v>122</v>
      </c>
      <c r="SGK108" s="1" t="s">
        <v>122</v>
      </c>
      <c r="SGL108" s="1" t="s">
        <v>122</v>
      </c>
      <c r="SGM108" s="1" t="s">
        <v>122</v>
      </c>
      <c r="SGN108" s="1" t="s">
        <v>122</v>
      </c>
      <c r="SGO108" s="1" t="s">
        <v>122</v>
      </c>
      <c r="SGP108" s="1" t="s">
        <v>122</v>
      </c>
      <c r="SGQ108" s="1" t="s">
        <v>122</v>
      </c>
      <c r="SGR108" s="1" t="s">
        <v>122</v>
      </c>
      <c r="SGS108" s="1" t="s">
        <v>122</v>
      </c>
      <c r="SGT108" s="1" t="s">
        <v>122</v>
      </c>
      <c r="SGU108" s="1" t="s">
        <v>122</v>
      </c>
      <c r="SGV108" s="1" t="s">
        <v>122</v>
      </c>
      <c r="SGW108" s="1" t="s">
        <v>122</v>
      </c>
      <c r="SGX108" s="1" t="s">
        <v>122</v>
      </c>
      <c r="SGY108" s="1" t="s">
        <v>122</v>
      </c>
      <c r="SGZ108" s="1" t="s">
        <v>122</v>
      </c>
      <c r="SHA108" s="1" t="s">
        <v>122</v>
      </c>
      <c r="SHB108" s="1" t="s">
        <v>122</v>
      </c>
      <c r="SHC108" s="1" t="s">
        <v>122</v>
      </c>
      <c r="SHD108" s="1" t="s">
        <v>122</v>
      </c>
      <c r="SHE108" s="1" t="s">
        <v>122</v>
      </c>
      <c r="SHF108" s="1" t="s">
        <v>122</v>
      </c>
      <c r="SHG108" s="1" t="s">
        <v>122</v>
      </c>
      <c r="SHH108" s="1" t="s">
        <v>122</v>
      </c>
      <c r="SHI108" s="1" t="s">
        <v>122</v>
      </c>
      <c r="SHJ108" s="1" t="s">
        <v>122</v>
      </c>
      <c r="SHK108" s="1" t="s">
        <v>122</v>
      </c>
      <c r="SHL108" s="1" t="s">
        <v>122</v>
      </c>
      <c r="SHM108" s="1" t="s">
        <v>122</v>
      </c>
      <c r="SHN108" s="1" t="s">
        <v>122</v>
      </c>
      <c r="SHO108" s="1" t="s">
        <v>122</v>
      </c>
      <c r="SHP108" s="1" t="s">
        <v>122</v>
      </c>
      <c r="SHQ108" s="1" t="s">
        <v>122</v>
      </c>
      <c r="SHR108" s="1" t="s">
        <v>122</v>
      </c>
      <c r="SHS108" s="1" t="s">
        <v>122</v>
      </c>
      <c r="SHT108" s="1" t="s">
        <v>122</v>
      </c>
      <c r="SHU108" s="1" t="s">
        <v>122</v>
      </c>
      <c r="SHV108" s="1" t="s">
        <v>122</v>
      </c>
      <c r="SHW108" s="1" t="s">
        <v>122</v>
      </c>
      <c r="SHX108" s="1" t="s">
        <v>122</v>
      </c>
      <c r="SHY108" s="1" t="s">
        <v>122</v>
      </c>
      <c r="SHZ108" s="1" t="s">
        <v>122</v>
      </c>
      <c r="SIA108" s="1" t="s">
        <v>122</v>
      </c>
      <c r="SIB108" s="1" t="s">
        <v>122</v>
      </c>
      <c r="SIC108" s="1" t="s">
        <v>122</v>
      </c>
      <c r="SID108" s="1" t="s">
        <v>122</v>
      </c>
      <c r="SIE108" s="1" t="s">
        <v>122</v>
      </c>
      <c r="SIF108" s="1" t="s">
        <v>122</v>
      </c>
      <c r="SIG108" s="1" t="s">
        <v>122</v>
      </c>
      <c r="SIH108" s="1" t="s">
        <v>122</v>
      </c>
      <c r="SII108" s="1" t="s">
        <v>122</v>
      </c>
      <c r="SIJ108" s="1" t="s">
        <v>122</v>
      </c>
      <c r="SIK108" s="1" t="s">
        <v>122</v>
      </c>
      <c r="SIL108" s="1" t="s">
        <v>122</v>
      </c>
      <c r="SIM108" s="1" t="s">
        <v>122</v>
      </c>
      <c r="SIN108" s="1" t="s">
        <v>122</v>
      </c>
      <c r="SIO108" s="1" t="s">
        <v>122</v>
      </c>
      <c r="SIP108" s="1" t="s">
        <v>122</v>
      </c>
      <c r="SIQ108" s="1" t="s">
        <v>122</v>
      </c>
      <c r="SIR108" s="1" t="s">
        <v>122</v>
      </c>
      <c r="SIS108" s="1" t="s">
        <v>122</v>
      </c>
      <c r="SIT108" s="1" t="s">
        <v>122</v>
      </c>
      <c r="SIU108" s="1" t="s">
        <v>122</v>
      </c>
      <c r="SIV108" s="1" t="s">
        <v>122</v>
      </c>
      <c r="SIW108" s="1" t="s">
        <v>122</v>
      </c>
      <c r="SIX108" s="1" t="s">
        <v>122</v>
      </c>
      <c r="SIY108" s="1" t="s">
        <v>122</v>
      </c>
      <c r="SIZ108" s="1" t="s">
        <v>122</v>
      </c>
      <c r="SJA108" s="1" t="s">
        <v>122</v>
      </c>
      <c r="SJB108" s="1" t="s">
        <v>122</v>
      </c>
      <c r="SJC108" s="1" t="s">
        <v>122</v>
      </c>
      <c r="SJD108" s="1" t="s">
        <v>122</v>
      </c>
      <c r="SJE108" s="1" t="s">
        <v>122</v>
      </c>
      <c r="SJF108" s="1" t="s">
        <v>122</v>
      </c>
      <c r="SJG108" s="1" t="s">
        <v>122</v>
      </c>
      <c r="SJH108" s="1" t="s">
        <v>122</v>
      </c>
      <c r="SJI108" s="1" t="s">
        <v>122</v>
      </c>
      <c r="SJJ108" s="1" t="s">
        <v>122</v>
      </c>
      <c r="SJK108" s="1" t="s">
        <v>122</v>
      </c>
      <c r="SJL108" s="1" t="s">
        <v>122</v>
      </c>
      <c r="SJM108" s="1" t="s">
        <v>122</v>
      </c>
      <c r="SJN108" s="1" t="s">
        <v>122</v>
      </c>
      <c r="SJO108" s="1" t="s">
        <v>122</v>
      </c>
      <c r="SJP108" s="1" t="s">
        <v>122</v>
      </c>
      <c r="SJQ108" s="1" t="s">
        <v>122</v>
      </c>
      <c r="SJR108" s="1" t="s">
        <v>122</v>
      </c>
      <c r="SJS108" s="1" t="s">
        <v>122</v>
      </c>
      <c r="SJT108" s="1" t="s">
        <v>122</v>
      </c>
      <c r="SJU108" s="1" t="s">
        <v>122</v>
      </c>
      <c r="SJV108" s="1" t="s">
        <v>122</v>
      </c>
      <c r="SJW108" s="1" t="s">
        <v>122</v>
      </c>
      <c r="SJX108" s="1" t="s">
        <v>122</v>
      </c>
      <c r="SJY108" s="1" t="s">
        <v>122</v>
      </c>
      <c r="SJZ108" s="1" t="s">
        <v>122</v>
      </c>
      <c r="SKA108" s="1" t="s">
        <v>122</v>
      </c>
      <c r="SKB108" s="1" t="s">
        <v>122</v>
      </c>
      <c r="SKC108" s="1" t="s">
        <v>122</v>
      </c>
      <c r="SKD108" s="1" t="s">
        <v>122</v>
      </c>
      <c r="SKE108" s="1" t="s">
        <v>122</v>
      </c>
      <c r="SKF108" s="1" t="s">
        <v>122</v>
      </c>
      <c r="SKG108" s="1" t="s">
        <v>122</v>
      </c>
      <c r="SKH108" s="1" t="s">
        <v>122</v>
      </c>
      <c r="SKI108" s="1" t="s">
        <v>122</v>
      </c>
      <c r="SKJ108" s="1" t="s">
        <v>122</v>
      </c>
      <c r="SKK108" s="1" t="s">
        <v>122</v>
      </c>
      <c r="SKL108" s="1" t="s">
        <v>122</v>
      </c>
      <c r="SKM108" s="1" t="s">
        <v>122</v>
      </c>
      <c r="SKN108" s="1" t="s">
        <v>122</v>
      </c>
      <c r="SKO108" s="1" t="s">
        <v>122</v>
      </c>
      <c r="SKP108" s="1" t="s">
        <v>122</v>
      </c>
      <c r="SKQ108" s="1" t="s">
        <v>122</v>
      </c>
      <c r="SKR108" s="1" t="s">
        <v>122</v>
      </c>
      <c r="SKS108" s="1" t="s">
        <v>122</v>
      </c>
      <c r="SKT108" s="1" t="s">
        <v>122</v>
      </c>
      <c r="SKU108" s="1" t="s">
        <v>122</v>
      </c>
      <c r="SKV108" s="1" t="s">
        <v>122</v>
      </c>
      <c r="SKW108" s="1" t="s">
        <v>122</v>
      </c>
      <c r="SKX108" s="1" t="s">
        <v>122</v>
      </c>
      <c r="SKY108" s="1" t="s">
        <v>122</v>
      </c>
      <c r="SKZ108" s="1" t="s">
        <v>122</v>
      </c>
      <c r="SLA108" s="1" t="s">
        <v>122</v>
      </c>
      <c r="SLB108" s="1" t="s">
        <v>122</v>
      </c>
      <c r="SLC108" s="1" t="s">
        <v>122</v>
      </c>
      <c r="SLD108" s="1" t="s">
        <v>122</v>
      </c>
      <c r="SLE108" s="1" t="s">
        <v>122</v>
      </c>
      <c r="SLF108" s="1" t="s">
        <v>122</v>
      </c>
      <c r="SLG108" s="1" t="s">
        <v>122</v>
      </c>
      <c r="SLH108" s="1" t="s">
        <v>122</v>
      </c>
      <c r="SLI108" s="1" t="s">
        <v>122</v>
      </c>
      <c r="SLJ108" s="1" t="s">
        <v>122</v>
      </c>
      <c r="SLK108" s="1" t="s">
        <v>122</v>
      </c>
      <c r="SLL108" s="1" t="s">
        <v>122</v>
      </c>
      <c r="SLM108" s="1" t="s">
        <v>122</v>
      </c>
      <c r="SLN108" s="1" t="s">
        <v>122</v>
      </c>
      <c r="SLO108" s="1" t="s">
        <v>122</v>
      </c>
      <c r="SLP108" s="1" t="s">
        <v>122</v>
      </c>
      <c r="SLQ108" s="1" t="s">
        <v>122</v>
      </c>
      <c r="SLR108" s="1" t="s">
        <v>122</v>
      </c>
      <c r="SLS108" s="1" t="s">
        <v>122</v>
      </c>
      <c r="SLT108" s="1" t="s">
        <v>122</v>
      </c>
      <c r="SLU108" s="1" t="s">
        <v>122</v>
      </c>
      <c r="SLV108" s="1" t="s">
        <v>122</v>
      </c>
      <c r="SLW108" s="1" t="s">
        <v>122</v>
      </c>
      <c r="SLX108" s="1" t="s">
        <v>122</v>
      </c>
      <c r="SLY108" s="1" t="s">
        <v>122</v>
      </c>
      <c r="SLZ108" s="1" t="s">
        <v>122</v>
      </c>
      <c r="SMA108" s="1" t="s">
        <v>122</v>
      </c>
      <c r="SMB108" s="1" t="s">
        <v>122</v>
      </c>
      <c r="SMC108" s="1" t="s">
        <v>122</v>
      </c>
      <c r="SMD108" s="1" t="s">
        <v>122</v>
      </c>
      <c r="SME108" s="1" t="s">
        <v>122</v>
      </c>
      <c r="SMF108" s="1" t="s">
        <v>122</v>
      </c>
      <c r="SMG108" s="1" t="s">
        <v>122</v>
      </c>
      <c r="SMH108" s="1" t="s">
        <v>122</v>
      </c>
      <c r="SMI108" s="1" t="s">
        <v>122</v>
      </c>
      <c r="SMJ108" s="1" t="s">
        <v>122</v>
      </c>
      <c r="SMK108" s="1" t="s">
        <v>122</v>
      </c>
      <c r="SML108" s="1" t="s">
        <v>122</v>
      </c>
      <c r="SMM108" s="1" t="s">
        <v>122</v>
      </c>
      <c r="SMN108" s="1" t="s">
        <v>122</v>
      </c>
      <c r="SMO108" s="1" t="s">
        <v>122</v>
      </c>
      <c r="SMP108" s="1" t="s">
        <v>122</v>
      </c>
      <c r="SMQ108" s="1" t="s">
        <v>122</v>
      </c>
      <c r="SMR108" s="1" t="s">
        <v>122</v>
      </c>
      <c r="SMS108" s="1" t="s">
        <v>122</v>
      </c>
      <c r="SMT108" s="1" t="s">
        <v>122</v>
      </c>
      <c r="SMU108" s="1" t="s">
        <v>122</v>
      </c>
      <c r="SMV108" s="1" t="s">
        <v>122</v>
      </c>
      <c r="SMW108" s="1" t="s">
        <v>122</v>
      </c>
      <c r="SMX108" s="1" t="s">
        <v>122</v>
      </c>
      <c r="SMY108" s="1" t="s">
        <v>122</v>
      </c>
      <c r="SMZ108" s="1" t="s">
        <v>122</v>
      </c>
      <c r="SNA108" s="1" t="s">
        <v>122</v>
      </c>
      <c r="SNB108" s="1" t="s">
        <v>122</v>
      </c>
      <c r="SNC108" s="1" t="s">
        <v>122</v>
      </c>
      <c r="SND108" s="1" t="s">
        <v>122</v>
      </c>
      <c r="SNE108" s="1" t="s">
        <v>122</v>
      </c>
      <c r="SNF108" s="1" t="s">
        <v>122</v>
      </c>
      <c r="SNG108" s="1" t="s">
        <v>122</v>
      </c>
      <c r="SNH108" s="1" t="s">
        <v>122</v>
      </c>
      <c r="SNI108" s="1" t="s">
        <v>122</v>
      </c>
      <c r="SNJ108" s="1" t="s">
        <v>122</v>
      </c>
      <c r="SNK108" s="1" t="s">
        <v>122</v>
      </c>
      <c r="SNL108" s="1" t="s">
        <v>122</v>
      </c>
      <c r="SNM108" s="1" t="s">
        <v>122</v>
      </c>
      <c r="SNN108" s="1" t="s">
        <v>122</v>
      </c>
      <c r="SNO108" s="1" t="s">
        <v>122</v>
      </c>
      <c r="SNP108" s="1" t="s">
        <v>122</v>
      </c>
      <c r="SNQ108" s="1" t="s">
        <v>122</v>
      </c>
      <c r="SNR108" s="1" t="s">
        <v>122</v>
      </c>
      <c r="SNS108" s="1" t="s">
        <v>122</v>
      </c>
      <c r="SNT108" s="1" t="s">
        <v>122</v>
      </c>
      <c r="SNU108" s="1" t="s">
        <v>122</v>
      </c>
      <c r="SNV108" s="1" t="s">
        <v>122</v>
      </c>
      <c r="SNW108" s="1" t="s">
        <v>122</v>
      </c>
      <c r="SNX108" s="1" t="s">
        <v>122</v>
      </c>
      <c r="SNY108" s="1" t="s">
        <v>122</v>
      </c>
      <c r="SNZ108" s="1" t="s">
        <v>122</v>
      </c>
      <c r="SOA108" s="1" t="s">
        <v>122</v>
      </c>
      <c r="SOB108" s="1" t="s">
        <v>122</v>
      </c>
      <c r="SOC108" s="1" t="s">
        <v>122</v>
      </c>
      <c r="SOD108" s="1" t="s">
        <v>122</v>
      </c>
      <c r="SOE108" s="1" t="s">
        <v>122</v>
      </c>
      <c r="SOF108" s="1" t="s">
        <v>122</v>
      </c>
      <c r="SOG108" s="1" t="s">
        <v>122</v>
      </c>
      <c r="SOH108" s="1" t="s">
        <v>122</v>
      </c>
      <c r="SOI108" s="1" t="s">
        <v>122</v>
      </c>
      <c r="SOJ108" s="1" t="s">
        <v>122</v>
      </c>
      <c r="SOK108" s="1" t="s">
        <v>122</v>
      </c>
      <c r="SOL108" s="1" t="s">
        <v>122</v>
      </c>
      <c r="SOM108" s="1" t="s">
        <v>122</v>
      </c>
      <c r="SON108" s="1" t="s">
        <v>122</v>
      </c>
      <c r="SOO108" s="1" t="s">
        <v>122</v>
      </c>
      <c r="SOP108" s="1" t="s">
        <v>122</v>
      </c>
      <c r="SOQ108" s="1" t="s">
        <v>122</v>
      </c>
      <c r="SOR108" s="1" t="s">
        <v>122</v>
      </c>
      <c r="SOS108" s="1" t="s">
        <v>122</v>
      </c>
      <c r="SOT108" s="1" t="s">
        <v>122</v>
      </c>
      <c r="SOU108" s="1" t="s">
        <v>122</v>
      </c>
      <c r="SOV108" s="1" t="s">
        <v>122</v>
      </c>
      <c r="SOW108" s="1" t="s">
        <v>122</v>
      </c>
      <c r="SOX108" s="1" t="s">
        <v>122</v>
      </c>
      <c r="SOY108" s="1" t="s">
        <v>122</v>
      </c>
      <c r="SOZ108" s="1" t="s">
        <v>122</v>
      </c>
      <c r="SPA108" s="1" t="s">
        <v>122</v>
      </c>
      <c r="SPB108" s="1" t="s">
        <v>122</v>
      </c>
      <c r="SPC108" s="1" t="s">
        <v>122</v>
      </c>
      <c r="SPD108" s="1" t="s">
        <v>122</v>
      </c>
      <c r="SPE108" s="1" t="s">
        <v>122</v>
      </c>
      <c r="SPF108" s="1" t="s">
        <v>122</v>
      </c>
      <c r="SPG108" s="1" t="s">
        <v>122</v>
      </c>
      <c r="SPH108" s="1" t="s">
        <v>122</v>
      </c>
      <c r="SPI108" s="1" t="s">
        <v>122</v>
      </c>
      <c r="SPJ108" s="1" t="s">
        <v>122</v>
      </c>
      <c r="SPK108" s="1" t="s">
        <v>122</v>
      </c>
      <c r="SPL108" s="1" t="s">
        <v>122</v>
      </c>
      <c r="SPM108" s="1" t="s">
        <v>122</v>
      </c>
      <c r="SPN108" s="1" t="s">
        <v>122</v>
      </c>
      <c r="SPO108" s="1" t="s">
        <v>122</v>
      </c>
      <c r="SPP108" s="1" t="s">
        <v>122</v>
      </c>
      <c r="SPQ108" s="1" t="s">
        <v>122</v>
      </c>
      <c r="SPR108" s="1" t="s">
        <v>122</v>
      </c>
      <c r="SPS108" s="1" t="s">
        <v>122</v>
      </c>
      <c r="SPT108" s="1" t="s">
        <v>122</v>
      </c>
      <c r="SPU108" s="1" t="s">
        <v>122</v>
      </c>
      <c r="SPV108" s="1" t="s">
        <v>122</v>
      </c>
      <c r="SPW108" s="1" t="s">
        <v>122</v>
      </c>
      <c r="SPX108" s="1" t="s">
        <v>122</v>
      </c>
      <c r="SPY108" s="1" t="s">
        <v>122</v>
      </c>
      <c r="SPZ108" s="1" t="s">
        <v>122</v>
      </c>
      <c r="SQA108" s="1" t="s">
        <v>122</v>
      </c>
      <c r="SQB108" s="1" t="s">
        <v>122</v>
      </c>
      <c r="SQC108" s="1" t="s">
        <v>122</v>
      </c>
      <c r="SQD108" s="1" t="s">
        <v>122</v>
      </c>
      <c r="SQE108" s="1" t="s">
        <v>122</v>
      </c>
      <c r="SQF108" s="1" t="s">
        <v>122</v>
      </c>
      <c r="SQG108" s="1" t="s">
        <v>122</v>
      </c>
      <c r="SQH108" s="1" t="s">
        <v>122</v>
      </c>
      <c r="SQI108" s="1" t="s">
        <v>122</v>
      </c>
      <c r="SQJ108" s="1" t="s">
        <v>122</v>
      </c>
      <c r="SQK108" s="1" t="s">
        <v>122</v>
      </c>
      <c r="SQL108" s="1" t="s">
        <v>122</v>
      </c>
      <c r="SQM108" s="1" t="s">
        <v>122</v>
      </c>
      <c r="SQN108" s="1" t="s">
        <v>122</v>
      </c>
      <c r="SQO108" s="1" t="s">
        <v>122</v>
      </c>
      <c r="SQP108" s="1" t="s">
        <v>122</v>
      </c>
      <c r="SQQ108" s="1" t="s">
        <v>122</v>
      </c>
      <c r="SQR108" s="1" t="s">
        <v>122</v>
      </c>
      <c r="SQS108" s="1" t="s">
        <v>122</v>
      </c>
      <c r="SQT108" s="1" t="s">
        <v>122</v>
      </c>
      <c r="SQU108" s="1" t="s">
        <v>122</v>
      </c>
      <c r="SQV108" s="1" t="s">
        <v>122</v>
      </c>
      <c r="SQW108" s="1" t="s">
        <v>122</v>
      </c>
      <c r="SQX108" s="1" t="s">
        <v>122</v>
      </c>
      <c r="SQY108" s="1" t="s">
        <v>122</v>
      </c>
      <c r="SQZ108" s="1" t="s">
        <v>122</v>
      </c>
      <c r="SRA108" s="1" t="s">
        <v>122</v>
      </c>
      <c r="SRB108" s="1" t="s">
        <v>122</v>
      </c>
      <c r="SRC108" s="1" t="s">
        <v>122</v>
      </c>
      <c r="SRD108" s="1" t="s">
        <v>122</v>
      </c>
      <c r="SRE108" s="1" t="s">
        <v>122</v>
      </c>
      <c r="SRF108" s="1" t="s">
        <v>122</v>
      </c>
      <c r="SRG108" s="1" t="s">
        <v>122</v>
      </c>
      <c r="SRH108" s="1" t="s">
        <v>122</v>
      </c>
      <c r="SRI108" s="1" t="s">
        <v>122</v>
      </c>
      <c r="SRJ108" s="1" t="s">
        <v>122</v>
      </c>
      <c r="SRK108" s="1" t="s">
        <v>122</v>
      </c>
      <c r="SRL108" s="1" t="s">
        <v>122</v>
      </c>
      <c r="SRM108" s="1" t="s">
        <v>122</v>
      </c>
      <c r="SRN108" s="1" t="s">
        <v>122</v>
      </c>
      <c r="SRO108" s="1" t="s">
        <v>122</v>
      </c>
      <c r="SRP108" s="1" t="s">
        <v>122</v>
      </c>
      <c r="SRQ108" s="1" t="s">
        <v>122</v>
      </c>
      <c r="SRR108" s="1" t="s">
        <v>122</v>
      </c>
      <c r="SRS108" s="1" t="s">
        <v>122</v>
      </c>
      <c r="SRT108" s="1" t="s">
        <v>122</v>
      </c>
      <c r="SRU108" s="1" t="s">
        <v>122</v>
      </c>
      <c r="SRV108" s="1" t="s">
        <v>122</v>
      </c>
      <c r="SRW108" s="1" t="s">
        <v>122</v>
      </c>
      <c r="SRX108" s="1" t="s">
        <v>122</v>
      </c>
      <c r="SRY108" s="1" t="s">
        <v>122</v>
      </c>
      <c r="SRZ108" s="1" t="s">
        <v>122</v>
      </c>
      <c r="SSA108" s="1" t="s">
        <v>122</v>
      </c>
      <c r="SSB108" s="1" t="s">
        <v>122</v>
      </c>
      <c r="SSC108" s="1" t="s">
        <v>122</v>
      </c>
      <c r="SSD108" s="1" t="s">
        <v>122</v>
      </c>
      <c r="SSE108" s="1" t="s">
        <v>122</v>
      </c>
      <c r="SSF108" s="1" t="s">
        <v>122</v>
      </c>
      <c r="SSG108" s="1" t="s">
        <v>122</v>
      </c>
      <c r="SSH108" s="1" t="s">
        <v>122</v>
      </c>
      <c r="SSI108" s="1" t="s">
        <v>122</v>
      </c>
      <c r="SSJ108" s="1" t="s">
        <v>122</v>
      </c>
      <c r="SSK108" s="1" t="s">
        <v>122</v>
      </c>
      <c r="SSL108" s="1" t="s">
        <v>122</v>
      </c>
      <c r="SSM108" s="1" t="s">
        <v>122</v>
      </c>
      <c r="SSN108" s="1" t="s">
        <v>122</v>
      </c>
      <c r="SSO108" s="1" t="s">
        <v>122</v>
      </c>
      <c r="SSP108" s="1" t="s">
        <v>122</v>
      </c>
      <c r="SSQ108" s="1" t="s">
        <v>122</v>
      </c>
      <c r="SSR108" s="1" t="s">
        <v>122</v>
      </c>
      <c r="SSS108" s="1" t="s">
        <v>122</v>
      </c>
      <c r="SST108" s="1" t="s">
        <v>122</v>
      </c>
      <c r="SSU108" s="1" t="s">
        <v>122</v>
      </c>
      <c r="SSV108" s="1" t="s">
        <v>122</v>
      </c>
      <c r="SSW108" s="1" t="s">
        <v>122</v>
      </c>
      <c r="SSX108" s="1" t="s">
        <v>122</v>
      </c>
      <c r="SSY108" s="1" t="s">
        <v>122</v>
      </c>
      <c r="SSZ108" s="1" t="s">
        <v>122</v>
      </c>
      <c r="STA108" s="1" t="s">
        <v>122</v>
      </c>
      <c r="STB108" s="1" t="s">
        <v>122</v>
      </c>
      <c r="STC108" s="1" t="s">
        <v>122</v>
      </c>
      <c r="STD108" s="1" t="s">
        <v>122</v>
      </c>
      <c r="STE108" s="1" t="s">
        <v>122</v>
      </c>
      <c r="STF108" s="1" t="s">
        <v>122</v>
      </c>
      <c r="STG108" s="1" t="s">
        <v>122</v>
      </c>
      <c r="STH108" s="1" t="s">
        <v>122</v>
      </c>
      <c r="STI108" s="1" t="s">
        <v>122</v>
      </c>
      <c r="STJ108" s="1" t="s">
        <v>122</v>
      </c>
      <c r="STK108" s="1" t="s">
        <v>122</v>
      </c>
      <c r="STL108" s="1" t="s">
        <v>122</v>
      </c>
      <c r="STM108" s="1" t="s">
        <v>122</v>
      </c>
      <c r="STN108" s="1" t="s">
        <v>122</v>
      </c>
      <c r="STO108" s="1" t="s">
        <v>122</v>
      </c>
      <c r="STP108" s="1" t="s">
        <v>122</v>
      </c>
      <c r="STQ108" s="1" t="s">
        <v>122</v>
      </c>
      <c r="STR108" s="1" t="s">
        <v>122</v>
      </c>
      <c r="STS108" s="1" t="s">
        <v>122</v>
      </c>
      <c r="STT108" s="1" t="s">
        <v>122</v>
      </c>
      <c r="STU108" s="1" t="s">
        <v>122</v>
      </c>
      <c r="STV108" s="1" t="s">
        <v>122</v>
      </c>
      <c r="STW108" s="1" t="s">
        <v>122</v>
      </c>
      <c r="STX108" s="1" t="s">
        <v>122</v>
      </c>
      <c r="STY108" s="1" t="s">
        <v>122</v>
      </c>
      <c r="STZ108" s="1" t="s">
        <v>122</v>
      </c>
      <c r="SUA108" s="1" t="s">
        <v>122</v>
      </c>
      <c r="SUB108" s="1" t="s">
        <v>122</v>
      </c>
      <c r="SUC108" s="1" t="s">
        <v>122</v>
      </c>
      <c r="SUD108" s="1" t="s">
        <v>122</v>
      </c>
      <c r="SUE108" s="1" t="s">
        <v>122</v>
      </c>
      <c r="SUF108" s="1" t="s">
        <v>122</v>
      </c>
      <c r="SUG108" s="1" t="s">
        <v>122</v>
      </c>
      <c r="SUH108" s="1" t="s">
        <v>122</v>
      </c>
      <c r="SUI108" s="1" t="s">
        <v>122</v>
      </c>
      <c r="SUJ108" s="1" t="s">
        <v>122</v>
      </c>
      <c r="SUK108" s="1" t="s">
        <v>122</v>
      </c>
      <c r="SUL108" s="1" t="s">
        <v>122</v>
      </c>
      <c r="SUM108" s="1" t="s">
        <v>122</v>
      </c>
      <c r="SUN108" s="1" t="s">
        <v>122</v>
      </c>
      <c r="SUO108" s="1" t="s">
        <v>122</v>
      </c>
      <c r="SUP108" s="1" t="s">
        <v>122</v>
      </c>
      <c r="SUQ108" s="1" t="s">
        <v>122</v>
      </c>
      <c r="SUR108" s="1" t="s">
        <v>122</v>
      </c>
      <c r="SUS108" s="1" t="s">
        <v>122</v>
      </c>
      <c r="SUT108" s="1" t="s">
        <v>122</v>
      </c>
      <c r="SUU108" s="1" t="s">
        <v>122</v>
      </c>
      <c r="SUV108" s="1" t="s">
        <v>122</v>
      </c>
      <c r="SUW108" s="1" t="s">
        <v>122</v>
      </c>
      <c r="SUX108" s="1" t="s">
        <v>122</v>
      </c>
      <c r="SUY108" s="1" t="s">
        <v>122</v>
      </c>
      <c r="SUZ108" s="1" t="s">
        <v>122</v>
      </c>
      <c r="SVA108" s="1" t="s">
        <v>122</v>
      </c>
      <c r="SVB108" s="1" t="s">
        <v>122</v>
      </c>
      <c r="SVC108" s="1" t="s">
        <v>122</v>
      </c>
      <c r="SVD108" s="1" t="s">
        <v>122</v>
      </c>
      <c r="SVE108" s="1" t="s">
        <v>122</v>
      </c>
      <c r="SVF108" s="1" t="s">
        <v>122</v>
      </c>
      <c r="SVG108" s="1" t="s">
        <v>122</v>
      </c>
      <c r="SVH108" s="1" t="s">
        <v>122</v>
      </c>
      <c r="SVI108" s="1" t="s">
        <v>122</v>
      </c>
      <c r="SVJ108" s="1" t="s">
        <v>122</v>
      </c>
      <c r="SVK108" s="1" t="s">
        <v>122</v>
      </c>
      <c r="SVL108" s="1" t="s">
        <v>122</v>
      </c>
      <c r="SVM108" s="1" t="s">
        <v>122</v>
      </c>
      <c r="SVN108" s="1" t="s">
        <v>122</v>
      </c>
      <c r="SVO108" s="1" t="s">
        <v>122</v>
      </c>
      <c r="SVP108" s="1" t="s">
        <v>122</v>
      </c>
      <c r="SVQ108" s="1" t="s">
        <v>122</v>
      </c>
      <c r="SVR108" s="1" t="s">
        <v>122</v>
      </c>
      <c r="SVS108" s="1" t="s">
        <v>122</v>
      </c>
      <c r="SVT108" s="1" t="s">
        <v>122</v>
      </c>
      <c r="SVU108" s="1" t="s">
        <v>122</v>
      </c>
      <c r="SVV108" s="1" t="s">
        <v>122</v>
      </c>
      <c r="SVW108" s="1" t="s">
        <v>122</v>
      </c>
      <c r="SVX108" s="1" t="s">
        <v>122</v>
      </c>
      <c r="SVY108" s="1" t="s">
        <v>122</v>
      </c>
      <c r="SVZ108" s="1" t="s">
        <v>122</v>
      </c>
      <c r="SWA108" s="1" t="s">
        <v>122</v>
      </c>
      <c r="SWB108" s="1" t="s">
        <v>122</v>
      </c>
      <c r="SWC108" s="1" t="s">
        <v>122</v>
      </c>
      <c r="SWD108" s="1" t="s">
        <v>122</v>
      </c>
      <c r="SWE108" s="1" t="s">
        <v>122</v>
      </c>
      <c r="SWF108" s="1" t="s">
        <v>122</v>
      </c>
      <c r="SWG108" s="1" t="s">
        <v>122</v>
      </c>
      <c r="SWH108" s="1" t="s">
        <v>122</v>
      </c>
      <c r="SWI108" s="1" t="s">
        <v>122</v>
      </c>
      <c r="SWJ108" s="1" t="s">
        <v>122</v>
      </c>
      <c r="SWK108" s="1" t="s">
        <v>122</v>
      </c>
      <c r="SWL108" s="1" t="s">
        <v>122</v>
      </c>
      <c r="SWM108" s="1" t="s">
        <v>122</v>
      </c>
      <c r="SWN108" s="1" t="s">
        <v>122</v>
      </c>
      <c r="SWO108" s="1" t="s">
        <v>122</v>
      </c>
      <c r="SWP108" s="1" t="s">
        <v>122</v>
      </c>
      <c r="SWQ108" s="1" t="s">
        <v>122</v>
      </c>
      <c r="SWR108" s="1" t="s">
        <v>122</v>
      </c>
      <c r="SWS108" s="1" t="s">
        <v>122</v>
      </c>
      <c r="SWT108" s="1" t="s">
        <v>122</v>
      </c>
      <c r="SWU108" s="1" t="s">
        <v>122</v>
      </c>
      <c r="SWV108" s="1" t="s">
        <v>122</v>
      </c>
      <c r="SWW108" s="1" t="s">
        <v>122</v>
      </c>
      <c r="SWX108" s="1" t="s">
        <v>122</v>
      </c>
      <c r="SWY108" s="1" t="s">
        <v>122</v>
      </c>
      <c r="SWZ108" s="1" t="s">
        <v>122</v>
      </c>
      <c r="SXA108" s="1" t="s">
        <v>122</v>
      </c>
      <c r="SXB108" s="1" t="s">
        <v>122</v>
      </c>
      <c r="SXC108" s="1" t="s">
        <v>122</v>
      </c>
      <c r="SXD108" s="1" t="s">
        <v>122</v>
      </c>
      <c r="SXE108" s="1" t="s">
        <v>122</v>
      </c>
      <c r="SXF108" s="1" t="s">
        <v>122</v>
      </c>
      <c r="SXG108" s="1" t="s">
        <v>122</v>
      </c>
      <c r="SXH108" s="1" t="s">
        <v>122</v>
      </c>
      <c r="SXI108" s="1" t="s">
        <v>122</v>
      </c>
      <c r="SXJ108" s="1" t="s">
        <v>122</v>
      </c>
      <c r="SXK108" s="1" t="s">
        <v>122</v>
      </c>
      <c r="SXL108" s="1" t="s">
        <v>122</v>
      </c>
      <c r="SXM108" s="1" t="s">
        <v>122</v>
      </c>
      <c r="SXN108" s="1" t="s">
        <v>122</v>
      </c>
      <c r="SXO108" s="1" t="s">
        <v>122</v>
      </c>
      <c r="SXP108" s="1" t="s">
        <v>122</v>
      </c>
      <c r="SXQ108" s="1" t="s">
        <v>122</v>
      </c>
      <c r="SXR108" s="1" t="s">
        <v>122</v>
      </c>
      <c r="SXS108" s="1" t="s">
        <v>122</v>
      </c>
      <c r="SXT108" s="1" t="s">
        <v>122</v>
      </c>
      <c r="SXU108" s="1" t="s">
        <v>122</v>
      </c>
      <c r="SXV108" s="1" t="s">
        <v>122</v>
      </c>
      <c r="SXW108" s="1" t="s">
        <v>122</v>
      </c>
      <c r="SXX108" s="1" t="s">
        <v>122</v>
      </c>
      <c r="SXY108" s="1" t="s">
        <v>122</v>
      </c>
      <c r="SXZ108" s="1" t="s">
        <v>122</v>
      </c>
      <c r="SYA108" s="1" t="s">
        <v>122</v>
      </c>
      <c r="SYB108" s="1" t="s">
        <v>122</v>
      </c>
      <c r="SYC108" s="1" t="s">
        <v>122</v>
      </c>
      <c r="SYD108" s="1" t="s">
        <v>122</v>
      </c>
      <c r="SYE108" s="1" t="s">
        <v>122</v>
      </c>
      <c r="SYF108" s="1" t="s">
        <v>122</v>
      </c>
      <c r="SYG108" s="1" t="s">
        <v>122</v>
      </c>
      <c r="SYH108" s="1" t="s">
        <v>122</v>
      </c>
      <c r="SYI108" s="1" t="s">
        <v>122</v>
      </c>
      <c r="SYJ108" s="1" t="s">
        <v>122</v>
      </c>
      <c r="SYK108" s="1" t="s">
        <v>122</v>
      </c>
      <c r="SYL108" s="1" t="s">
        <v>122</v>
      </c>
      <c r="SYM108" s="1" t="s">
        <v>122</v>
      </c>
      <c r="SYN108" s="1" t="s">
        <v>122</v>
      </c>
      <c r="SYO108" s="1" t="s">
        <v>122</v>
      </c>
      <c r="SYP108" s="1" t="s">
        <v>122</v>
      </c>
      <c r="SYQ108" s="1" t="s">
        <v>122</v>
      </c>
      <c r="SYR108" s="1" t="s">
        <v>122</v>
      </c>
      <c r="SYS108" s="1" t="s">
        <v>122</v>
      </c>
      <c r="SYT108" s="1" t="s">
        <v>122</v>
      </c>
      <c r="SYU108" s="1" t="s">
        <v>122</v>
      </c>
      <c r="SYV108" s="1" t="s">
        <v>122</v>
      </c>
      <c r="SYW108" s="1" t="s">
        <v>122</v>
      </c>
      <c r="SYX108" s="1" t="s">
        <v>122</v>
      </c>
      <c r="SYY108" s="1" t="s">
        <v>122</v>
      </c>
      <c r="SYZ108" s="1" t="s">
        <v>122</v>
      </c>
      <c r="SZA108" s="1" t="s">
        <v>122</v>
      </c>
      <c r="SZB108" s="1" t="s">
        <v>122</v>
      </c>
      <c r="SZC108" s="1" t="s">
        <v>122</v>
      </c>
      <c r="SZD108" s="1" t="s">
        <v>122</v>
      </c>
      <c r="SZE108" s="1" t="s">
        <v>122</v>
      </c>
      <c r="SZF108" s="1" t="s">
        <v>122</v>
      </c>
      <c r="SZG108" s="1" t="s">
        <v>122</v>
      </c>
      <c r="SZH108" s="1" t="s">
        <v>122</v>
      </c>
      <c r="SZI108" s="1" t="s">
        <v>122</v>
      </c>
      <c r="SZJ108" s="1" t="s">
        <v>122</v>
      </c>
      <c r="SZK108" s="1" t="s">
        <v>122</v>
      </c>
      <c r="SZL108" s="1" t="s">
        <v>122</v>
      </c>
      <c r="SZM108" s="1" t="s">
        <v>122</v>
      </c>
      <c r="SZN108" s="1" t="s">
        <v>122</v>
      </c>
      <c r="SZO108" s="1" t="s">
        <v>122</v>
      </c>
      <c r="SZP108" s="1" t="s">
        <v>122</v>
      </c>
      <c r="SZQ108" s="1" t="s">
        <v>122</v>
      </c>
      <c r="SZR108" s="1" t="s">
        <v>122</v>
      </c>
      <c r="SZS108" s="1" t="s">
        <v>122</v>
      </c>
      <c r="SZT108" s="1" t="s">
        <v>122</v>
      </c>
      <c r="SZU108" s="1" t="s">
        <v>122</v>
      </c>
      <c r="SZV108" s="1" t="s">
        <v>122</v>
      </c>
      <c r="SZW108" s="1" t="s">
        <v>122</v>
      </c>
      <c r="SZX108" s="1" t="s">
        <v>122</v>
      </c>
      <c r="SZY108" s="1" t="s">
        <v>122</v>
      </c>
      <c r="SZZ108" s="1" t="s">
        <v>122</v>
      </c>
      <c r="TAA108" s="1" t="s">
        <v>122</v>
      </c>
      <c r="TAB108" s="1" t="s">
        <v>122</v>
      </c>
      <c r="TAC108" s="1" t="s">
        <v>122</v>
      </c>
      <c r="TAD108" s="1" t="s">
        <v>122</v>
      </c>
      <c r="TAE108" s="1" t="s">
        <v>122</v>
      </c>
      <c r="TAF108" s="1" t="s">
        <v>122</v>
      </c>
      <c r="TAG108" s="1" t="s">
        <v>122</v>
      </c>
      <c r="TAH108" s="1" t="s">
        <v>122</v>
      </c>
      <c r="TAI108" s="1" t="s">
        <v>122</v>
      </c>
      <c r="TAJ108" s="1" t="s">
        <v>122</v>
      </c>
      <c r="TAK108" s="1" t="s">
        <v>122</v>
      </c>
      <c r="TAL108" s="1" t="s">
        <v>122</v>
      </c>
      <c r="TAM108" s="1" t="s">
        <v>122</v>
      </c>
      <c r="TAN108" s="1" t="s">
        <v>122</v>
      </c>
      <c r="TAO108" s="1" t="s">
        <v>122</v>
      </c>
      <c r="TAP108" s="1" t="s">
        <v>122</v>
      </c>
      <c r="TAQ108" s="1" t="s">
        <v>122</v>
      </c>
      <c r="TAR108" s="1" t="s">
        <v>122</v>
      </c>
      <c r="TAS108" s="1" t="s">
        <v>122</v>
      </c>
      <c r="TAT108" s="1" t="s">
        <v>122</v>
      </c>
      <c r="TAU108" s="1" t="s">
        <v>122</v>
      </c>
      <c r="TAV108" s="1" t="s">
        <v>122</v>
      </c>
      <c r="TAW108" s="1" t="s">
        <v>122</v>
      </c>
      <c r="TAX108" s="1" t="s">
        <v>122</v>
      </c>
      <c r="TAY108" s="1" t="s">
        <v>122</v>
      </c>
      <c r="TAZ108" s="1" t="s">
        <v>122</v>
      </c>
      <c r="TBA108" s="1" t="s">
        <v>122</v>
      </c>
      <c r="TBB108" s="1" t="s">
        <v>122</v>
      </c>
      <c r="TBC108" s="1" t="s">
        <v>122</v>
      </c>
      <c r="TBD108" s="1" t="s">
        <v>122</v>
      </c>
      <c r="TBE108" s="1" t="s">
        <v>122</v>
      </c>
      <c r="TBF108" s="1" t="s">
        <v>122</v>
      </c>
      <c r="TBG108" s="1" t="s">
        <v>122</v>
      </c>
      <c r="TBH108" s="1" t="s">
        <v>122</v>
      </c>
      <c r="TBI108" s="1" t="s">
        <v>122</v>
      </c>
      <c r="TBJ108" s="1" t="s">
        <v>122</v>
      </c>
      <c r="TBK108" s="1" t="s">
        <v>122</v>
      </c>
      <c r="TBL108" s="1" t="s">
        <v>122</v>
      </c>
      <c r="TBM108" s="1" t="s">
        <v>122</v>
      </c>
      <c r="TBN108" s="1" t="s">
        <v>122</v>
      </c>
      <c r="TBO108" s="1" t="s">
        <v>122</v>
      </c>
      <c r="TBP108" s="1" t="s">
        <v>122</v>
      </c>
      <c r="TBQ108" s="1" t="s">
        <v>122</v>
      </c>
      <c r="TBR108" s="1" t="s">
        <v>122</v>
      </c>
      <c r="TBS108" s="1" t="s">
        <v>122</v>
      </c>
      <c r="TBT108" s="1" t="s">
        <v>122</v>
      </c>
      <c r="TBU108" s="1" t="s">
        <v>122</v>
      </c>
      <c r="TBV108" s="1" t="s">
        <v>122</v>
      </c>
      <c r="TBW108" s="1" t="s">
        <v>122</v>
      </c>
      <c r="TBX108" s="1" t="s">
        <v>122</v>
      </c>
      <c r="TBY108" s="1" t="s">
        <v>122</v>
      </c>
      <c r="TBZ108" s="1" t="s">
        <v>122</v>
      </c>
      <c r="TCA108" s="1" t="s">
        <v>122</v>
      </c>
      <c r="TCB108" s="1" t="s">
        <v>122</v>
      </c>
      <c r="TCC108" s="1" t="s">
        <v>122</v>
      </c>
      <c r="TCD108" s="1" t="s">
        <v>122</v>
      </c>
      <c r="TCE108" s="1" t="s">
        <v>122</v>
      </c>
      <c r="TCF108" s="1" t="s">
        <v>122</v>
      </c>
      <c r="TCG108" s="1" t="s">
        <v>122</v>
      </c>
      <c r="TCH108" s="1" t="s">
        <v>122</v>
      </c>
      <c r="TCI108" s="1" t="s">
        <v>122</v>
      </c>
      <c r="TCJ108" s="1" t="s">
        <v>122</v>
      </c>
      <c r="TCK108" s="1" t="s">
        <v>122</v>
      </c>
      <c r="TCL108" s="1" t="s">
        <v>122</v>
      </c>
      <c r="TCM108" s="1" t="s">
        <v>122</v>
      </c>
      <c r="TCN108" s="1" t="s">
        <v>122</v>
      </c>
      <c r="TCO108" s="1" t="s">
        <v>122</v>
      </c>
      <c r="TCP108" s="1" t="s">
        <v>122</v>
      </c>
      <c r="TCQ108" s="1" t="s">
        <v>122</v>
      </c>
      <c r="TCR108" s="1" t="s">
        <v>122</v>
      </c>
      <c r="TCS108" s="1" t="s">
        <v>122</v>
      </c>
      <c r="TCT108" s="1" t="s">
        <v>122</v>
      </c>
      <c r="TCU108" s="1" t="s">
        <v>122</v>
      </c>
      <c r="TCV108" s="1" t="s">
        <v>122</v>
      </c>
      <c r="TCW108" s="1" t="s">
        <v>122</v>
      </c>
      <c r="TCX108" s="1" t="s">
        <v>122</v>
      </c>
      <c r="TCY108" s="1" t="s">
        <v>122</v>
      </c>
      <c r="TCZ108" s="1" t="s">
        <v>122</v>
      </c>
      <c r="TDA108" s="1" t="s">
        <v>122</v>
      </c>
      <c r="TDB108" s="1" t="s">
        <v>122</v>
      </c>
      <c r="TDC108" s="1" t="s">
        <v>122</v>
      </c>
      <c r="TDD108" s="1" t="s">
        <v>122</v>
      </c>
      <c r="TDE108" s="1" t="s">
        <v>122</v>
      </c>
      <c r="TDF108" s="1" t="s">
        <v>122</v>
      </c>
      <c r="TDG108" s="1" t="s">
        <v>122</v>
      </c>
      <c r="TDH108" s="1" t="s">
        <v>122</v>
      </c>
      <c r="TDI108" s="1" t="s">
        <v>122</v>
      </c>
      <c r="TDJ108" s="1" t="s">
        <v>122</v>
      </c>
      <c r="TDK108" s="1" t="s">
        <v>122</v>
      </c>
      <c r="TDL108" s="1" t="s">
        <v>122</v>
      </c>
      <c r="TDM108" s="1" t="s">
        <v>122</v>
      </c>
      <c r="TDN108" s="1" t="s">
        <v>122</v>
      </c>
      <c r="TDO108" s="1" t="s">
        <v>122</v>
      </c>
      <c r="TDP108" s="1" t="s">
        <v>122</v>
      </c>
      <c r="TDQ108" s="1" t="s">
        <v>122</v>
      </c>
      <c r="TDR108" s="1" t="s">
        <v>122</v>
      </c>
      <c r="TDS108" s="1" t="s">
        <v>122</v>
      </c>
      <c r="TDT108" s="1" t="s">
        <v>122</v>
      </c>
      <c r="TDU108" s="1" t="s">
        <v>122</v>
      </c>
      <c r="TDV108" s="1" t="s">
        <v>122</v>
      </c>
      <c r="TDW108" s="1" t="s">
        <v>122</v>
      </c>
      <c r="TDX108" s="1" t="s">
        <v>122</v>
      </c>
      <c r="TDY108" s="1" t="s">
        <v>122</v>
      </c>
      <c r="TDZ108" s="1" t="s">
        <v>122</v>
      </c>
      <c r="TEA108" s="1" t="s">
        <v>122</v>
      </c>
      <c r="TEB108" s="1" t="s">
        <v>122</v>
      </c>
      <c r="TEC108" s="1" t="s">
        <v>122</v>
      </c>
      <c r="TED108" s="1" t="s">
        <v>122</v>
      </c>
      <c r="TEE108" s="1" t="s">
        <v>122</v>
      </c>
      <c r="TEF108" s="1" t="s">
        <v>122</v>
      </c>
      <c r="TEG108" s="1" t="s">
        <v>122</v>
      </c>
      <c r="TEH108" s="1" t="s">
        <v>122</v>
      </c>
      <c r="TEI108" s="1" t="s">
        <v>122</v>
      </c>
      <c r="TEJ108" s="1" t="s">
        <v>122</v>
      </c>
      <c r="TEK108" s="1" t="s">
        <v>122</v>
      </c>
      <c r="TEL108" s="1" t="s">
        <v>122</v>
      </c>
      <c r="TEM108" s="1" t="s">
        <v>122</v>
      </c>
      <c r="TEN108" s="1" t="s">
        <v>122</v>
      </c>
      <c r="TEO108" s="1" t="s">
        <v>122</v>
      </c>
      <c r="TEP108" s="1" t="s">
        <v>122</v>
      </c>
      <c r="TEQ108" s="1" t="s">
        <v>122</v>
      </c>
      <c r="TER108" s="1" t="s">
        <v>122</v>
      </c>
      <c r="TES108" s="1" t="s">
        <v>122</v>
      </c>
      <c r="TET108" s="1" t="s">
        <v>122</v>
      </c>
      <c r="TEU108" s="1" t="s">
        <v>122</v>
      </c>
      <c r="TEV108" s="1" t="s">
        <v>122</v>
      </c>
      <c r="TEW108" s="1" t="s">
        <v>122</v>
      </c>
      <c r="TEX108" s="1" t="s">
        <v>122</v>
      </c>
      <c r="TEY108" s="1" t="s">
        <v>122</v>
      </c>
      <c r="TEZ108" s="1" t="s">
        <v>122</v>
      </c>
      <c r="TFA108" s="1" t="s">
        <v>122</v>
      </c>
      <c r="TFB108" s="1" t="s">
        <v>122</v>
      </c>
      <c r="TFC108" s="1" t="s">
        <v>122</v>
      </c>
      <c r="TFD108" s="1" t="s">
        <v>122</v>
      </c>
      <c r="TFE108" s="1" t="s">
        <v>122</v>
      </c>
      <c r="TFF108" s="1" t="s">
        <v>122</v>
      </c>
      <c r="TFG108" s="1" t="s">
        <v>122</v>
      </c>
      <c r="TFH108" s="1" t="s">
        <v>122</v>
      </c>
      <c r="TFI108" s="1" t="s">
        <v>122</v>
      </c>
      <c r="TFJ108" s="1" t="s">
        <v>122</v>
      </c>
      <c r="TFK108" s="1" t="s">
        <v>122</v>
      </c>
      <c r="TFL108" s="1" t="s">
        <v>122</v>
      </c>
      <c r="TFM108" s="1" t="s">
        <v>122</v>
      </c>
      <c r="TFN108" s="1" t="s">
        <v>122</v>
      </c>
      <c r="TFO108" s="1" t="s">
        <v>122</v>
      </c>
      <c r="TFP108" s="1" t="s">
        <v>122</v>
      </c>
      <c r="TFQ108" s="1" t="s">
        <v>122</v>
      </c>
      <c r="TFR108" s="1" t="s">
        <v>122</v>
      </c>
      <c r="TFS108" s="1" t="s">
        <v>122</v>
      </c>
      <c r="TFT108" s="1" t="s">
        <v>122</v>
      </c>
      <c r="TFU108" s="1" t="s">
        <v>122</v>
      </c>
      <c r="TFV108" s="1" t="s">
        <v>122</v>
      </c>
      <c r="TFW108" s="1" t="s">
        <v>122</v>
      </c>
      <c r="TFX108" s="1" t="s">
        <v>122</v>
      </c>
      <c r="TFY108" s="1" t="s">
        <v>122</v>
      </c>
      <c r="TFZ108" s="1" t="s">
        <v>122</v>
      </c>
      <c r="TGA108" s="1" t="s">
        <v>122</v>
      </c>
      <c r="TGB108" s="1" t="s">
        <v>122</v>
      </c>
      <c r="TGC108" s="1" t="s">
        <v>122</v>
      </c>
      <c r="TGD108" s="1" t="s">
        <v>122</v>
      </c>
      <c r="TGE108" s="1" t="s">
        <v>122</v>
      </c>
      <c r="TGF108" s="1" t="s">
        <v>122</v>
      </c>
      <c r="TGG108" s="1" t="s">
        <v>122</v>
      </c>
      <c r="TGH108" s="1" t="s">
        <v>122</v>
      </c>
      <c r="TGI108" s="1" t="s">
        <v>122</v>
      </c>
      <c r="TGJ108" s="1" t="s">
        <v>122</v>
      </c>
      <c r="TGK108" s="1" t="s">
        <v>122</v>
      </c>
      <c r="TGL108" s="1" t="s">
        <v>122</v>
      </c>
      <c r="TGM108" s="1" t="s">
        <v>122</v>
      </c>
      <c r="TGN108" s="1" t="s">
        <v>122</v>
      </c>
      <c r="TGO108" s="1" t="s">
        <v>122</v>
      </c>
      <c r="TGP108" s="1" t="s">
        <v>122</v>
      </c>
      <c r="TGQ108" s="1" t="s">
        <v>122</v>
      </c>
      <c r="TGR108" s="1" t="s">
        <v>122</v>
      </c>
      <c r="TGS108" s="1" t="s">
        <v>122</v>
      </c>
      <c r="TGT108" s="1" t="s">
        <v>122</v>
      </c>
      <c r="TGU108" s="1" t="s">
        <v>122</v>
      </c>
      <c r="TGV108" s="1" t="s">
        <v>122</v>
      </c>
      <c r="TGW108" s="1" t="s">
        <v>122</v>
      </c>
      <c r="TGX108" s="1" t="s">
        <v>122</v>
      </c>
      <c r="TGY108" s="1" t="s">
        <v>122</v>
      </c>
      <c r="TGZ108" s="1" t="s">
        <v>122</v>
      </c>
      <c r="THA108" s="1" t="s">
        <v>122</v>
      </c>
      <c r="THB108" s="1" t="s">
        <v>122</v>
      </c>
      <c r="THC108" s="1" t="s">
        <v>122</v>
      </c>
      <c r="THD108" s="1" t="s">
        <v>122</v>
      </c>
      <c r="THE108" s="1" t="s">
        <v>122</v>
      </c>
      <c r="THF108" s="1" t="s">
        <v>122</v>
      </c>
      <c r="THG108" s="1" t="s">
        <v>122</v>
      </c>
      <c r="THH108" s="1" t="s">
        <v>122</v>
      </c>
      <c r="THI108" s="1" t="s">
        <v>122</v>
      </c>
      <c r="THJ108" s="1" t="s">
        <v>122</v>
      </c>
      <c r="THK108" s="1" t="s">
        <v>122</v>
      </c>
      <c r="THL108" s="1" t="s">
        <v>122</v>
      </c>
      <c r="THM108" s="1" t="s">
        <v>122</v>
      </c>
      <c r="THN108" s="1" t="s">
        <v>122</v>
      </c>
      <c r="THO108" s="1" t="s">
        <v>122</v>
      </c>
      <c r="THP108" s="1" t="s">
        <v>122</v>
      </c>
      <c r="THQ108" s="1" t="s">
        <v>122</v>
      </c>
      <c r="THR108" s="1" t="s">
        <v>122</v>
      </c>
      <c r="THS108" s="1" t="s">
        <v>122</v>
      </c>
      <c r="THT108" s="1" t="s">
        <v>122</v>
      </c>
      <c r="THU108" s="1" t="s">
        <v>122</v>
      </c>
      <c r="THV108" s="1" t="s">
        <v>122</v>
      </c>
      <c r="THW108" s="1" t="s">
        <v>122</v>
      </c>
      <c r="THX108" s="1" t="s">
        <v>122</v>
      </c>
      <c r="THY108" s="1" t="s">
        <v>122</v>
      </c>
      <c r="THZ108" s="1" t="s">
        <v>122</v>
      </c>
      <c r="TIA108" s="1" t="s">
        <v>122</v>
      </c>
      <c r="TIB108" s="1" t="s">
        <v>122</v>
      </c>
      <c r="TIC108" s="1" t="s">
        <v>122</v>
      </c>
      <c r="TID108" s="1" t="s">
        <v>122</v>
      </c>
      <c r="TIE108" s="1" t="s">
        <v>122</v>
      </c>
      <c r="TIF108" s="1" t="s">
        <v>122</v>
      </c>
      <c r="TIG108" s="1" t="s">
        <v>122</v>
      </c>
      <c r="TIH108" s="1" t="s">
        <v>122</v>
      </c>
      <c r="TII108" s="1" t="s">
        <v>122</v>
      </c>
      <c r="TIJ108" s="1" t="s">
        <v>122</v>
      </c>
      <c r="TIK108" s="1" t="s">
        <v>122</v>
      </c>
      <c r="TIL108" s="1" t="s">
        <v>122</v>
      </c>
      <c r="TIM108" s="1" t="s">
        <v>122</v>
      </c>
      <c r="TIN108" s="1" t="s">
        <v>122</v>
      </c>
      <c r="TIO108" s="1" t="s">
        <v>122</v>
      </c>
      <c r="TIP108" s="1" t="s">
        <v>122</v>
      </c>
      <c r="TIQ108" s="1" t="s">
        <v>122</v>
      </c>
      <c r="TIR108" s="1" t="s">
        <v>122</v>
      </c>
      <c r="TIS108" s="1" t="s">
        <v>122</v>
      </c>
      <c r="TIT108" s="1" t="s">
        <v>122</v>
      </c>
      <c r="TIU108" s="1" t="s">
        <v>122</v>
      </c>
      <c r="TIV108" s="1" t="s">
        <v>122</v>
      </c>
      <c r="TIW108" s="1" t="s">
        <v>122</v>
      </c>
      <c r="TIX108" s="1" t="s">
        <v>122</v>
      </c>
      <c r="TIY108" s="1" t="s">
        <v>122</v>
      </c>
      <c r="TIZ108" s="1" t="s">
        <v>122</v>
      </c>
      <c r="TJA108" s="1" t="s">
        <v>122</v>
      </c>
      <c r="TJB108" s="1" t="s">
        <v>122</v>
      </c>
      <c r="TJC108" s="1" t="s">
        <v>122</v>
      </c>
      <c r="TJD108" s="1" t="s">
        <v>122</v>
      </c>
      <c r="TJE108" s="1" t="s">
        <v>122</v>
      </c>
      <c r="TJF108" s="1" t="s">
        <v>122</v>
      </c>
      <c r="TJG108" s="1" t="s">
        <v>122</v>
      </c>
      <c r="TJH108" s="1" t="s">
        <v>122</v>
      </c>
      <c r="TJI108" s="1" t="s">
        <v>122</v>
      </c>
      <c r="TJJ108" s="1" t="s">
        <v>122</v>
      </c>
      <c r="TJK108" s="1" t="s">
        <v>122</v>
      </c>
      <c r="TJL108" s="1" t="s">
        <v>122</v>
      </c>
      <c r="TJM108" s="1" t="s">
        <v>122</v>
      </c>
      <c r="TJN108" s="1" t="s">
        <v>122</v>
      </c>
      <c r="TJO108" s="1" t="s">
        <v>122</v>
      </c>
      <c r="TJP108" s="1" t="s">
        <v>122</v>
      </c>
      <c r="TJQ108" s="1" t="s">
        <v>122</v>
      </c>
      <c r="TJR108" s="1" t="s">
        <v>122</v>
      </c>
      <c r="TJS108" s="1" t="s">
        <v>122</v>
      </c>
      <c r="TJT108" s="1" t="s">
        <v>122</v>
      </c>
      <c r="TJU108" s="1" t="s">
        <v>122</v>
      </c>
      <c r="TJV108" s="1" t="s">
        <v>122</v>
      </c>
      <c r="TJW108" s="1" t="s">
        <v>122</v>
      </c>
      <c r="TJX108" s="1" t="s">
        <v>122</v>
      </c>
      <c r="TJY108" s="1" t="s">
        <v>122</v>
      </c>
      <c r="TJZ108" s="1" t="s">
        <v>122</v>
      </c>
      <c r="TKA108" s="1" t="s">
        <v>122</v>
      </c>
      <c r="TKB108" s="1" t="s">
        <v>122</v>
      </c>
      <c r="TKC108" s="1" t="s">
        <v>122</v>
      </c>
      <c r="TKD108" s="1" t="s">
        <v>122</v>
      </c>
      <c r="TKE108" s="1" t="s">
        <v>122</v>
      </c>
      <c r="TKF108" s="1" t="s">
        <v>122</v>
      </c>
      <c r="TKG108" s="1" t="s">
        <v>122</v>
      </c>
      <c r="TKH108" s="1" t="s">
        <v>122</v>
      </c>
      <c r="TKI108" s="1" t="s">
        <v>122</v>
      </c>
      <c r="TKJ108" s="1" t="s">
        <v>122</v>
      </c>
      <c r="TKK108" s="1" t="s">
        <v>122</v>
      </c>
      <c r="TKL108" s="1" t="s">
        <v>122</v>
      </c>
      <c r="TKM108" s="1" t="s">
        <v>122</v>
      </c>
      <c r="TKN108" s="1" t="s">
        <v>122</v>
      </c>
      <c r="TKO108" s="1" t="s">
        <v>122</v>
      </c>
      <c r="TKP108" s="1" t="s">
        <v>122</v>
      </c>
      <c r="TKQ108" s="1" t="s">
        <v>122</v>
      </c>
      <c r="TKR108" s="1" t="s">
        <v>122</v>
      </c>
      <c r="TKS108" s="1" t="s">
        <v>122</v>
      </c>
      <c r="TKT108" s="1" t="s">
        <v>122</v>
      </c>
      <c r="TKU108" s="1" t="s">
        <v>122</v>
      </c>
      <c r="TKV108" s="1" t="s">
        <v>122</v>
      </c>
      <c r="TKW108" s="1" t="s">
        <v>122</v>
      </c>
      <c r="TKX108" s="1" t="s">
        <v>122</v>
      </c>
      <c r="TKY108" s="1" t="s">
        <v>122</v>
      </c>
      <c r="TKZ108" s="1" t="s">
        <v>122</v>
      </c>
      <c r="TLA108" s="1" t="s">
        <v>122</v>
      </c>
      <c r="TLB108" s="1" t="s">
        <v>122</v>
      </c>
      <c r="TLC108" s="1" t="s">
        <v>122</v>
      </c>
      <c r="TLD108" s="1" t="s">
        <v>122</v>
      </c>
      <c r="TLE108" s="1" t="s">
        <v>122</v>
      </c>
      <c r="TLF108" s="1" t="s">
        <v>122</v>
      </c>
      <c r="TLG108" s="1" t="s">
        <v>122</v>
      </c>
      <c r="TLH108" s="1" t="s">
        <v>122</v>
      </c>
      <c r="TLI108" s="1" t="s">
        <v>122</v>
      </c>
      <c r="TLJ108" s="1" t="s">
        <v>122</v>
      </c>
      <c r="TLK108" s="1" t="s">
        <v>122</v>
      </c>
      <c r="TLL108" s="1" t="s">
        <v>122</v>
      </c>
      <c r="TLM108" s="1" t="s">
        <v>122</v>
      </c>
      <c r="TLN108" s="1" t="s">
        <v>122</v>
      </c>
      <c r="TLO108" s="1" t="s">
        <v>122</v>
      </c>
      <c r="TLP108" s="1" t="s">
        <v>122</v>
      </c>
      <c r="TLQ108" s="1" t="s">
        <v>122</v>
      </c>
      <c r="TLR108" s="1" t="s">
        <v>122</v>
      </c>
      <c r="TLS108" s="1" t="s">
        <v>122</v>
      </c>
      <c r="TLT108" s="1" t="s">
        <v>122</v>
      </c>
      <c r="TLU108" s="1" t="s">
        <v>122</v>
      </c>
      <c r="TLV108" s="1" t="s">
        <v>122</v>
      </c>
      <c r="TLW108" s="1" t="s">
        <v>122</v>
      </c>
      <c r="TLX108" s="1" t="s">
        <v>122</v>
      </c>
      <c r="TLY108" s="1" t="s">
        <v>122</v>
      </c>
      <c r="TLZ108" s="1" t="s">
        <v>122</v>
      </c>
      <c r="TMA108" s="1" t="s">
        <v>122</v>
      </c>
      <c r="TMB108" s="1" t="s">
        <v>122</v>
      </c>
      <c r="TMC108" s="1" t="s">
        <v>122</v>
      </c>
      <c r="TMD108" s="1" t="s">
        <v>122</v>
      </c>
      <c r="TME108" s="1" t="s">
        <v>122</v>
      </c>
      <c r="TMF108" s="1" t="s">
        <v>122</v>
      </c>
      <c r="TMG108" s="1" t="s">
        <v>122</v>
      </c>
      <c r="TMH108" s="1" t="s">
        <v>122</v>
      </c>
      <c r="TMI108" s="1" t="s">
        <v>122</v>
      </c>
      <c r="TMJ108" s="1" t="s">
        <v>122</v>
      </c>
      <c r="TMK108" s="1" t="s">
        <v>122</v>
      </c>
      <c r="TML108" s="1" t="s">
        <v>122</v>
      </c>
      <c r="TMM108" s="1" t="s">
        <v>122</v>
      </c>
      <c r="TMN108" s="1" t="s">
        <v>122</v>
      </c>
      <c r="TMO108" s="1" t="s">
        <v>122</v>
      </c>
      <c r="TMP108" s="1" t="s">
        <v>122</v>
      </c>
      <c r="TMQ108" s="1" t="s">
        <v>122</v>
      </c>
      <c r="TMR108" s="1" t="s">
        <v>122</v>
      </c>
      <c r="TMS108" s="1" t="s">
        <v>122</v>
      </c>
      <c r="TMT108" s="1" t="s">
        <v>122</v>
      </c>
      <c r="TMU108" s="1" t="s">
        <v>122</v>
      </c>
      <c r="TMV108" s="1" t="s">
        <v>122</v>
      </c>
      <c r="TMW108" s="1" t="s">
        <v>122</v>
      </c>
      <c r="TMX108" s="1" t="s">
        <v>122</v>
      </c>
      <c r="TMY108" s="1" t="s">
        <v>122</v>
      </c>
      <c r="TMZ108" s="1" t="s">
        <v>122</v>
      </c>
      <c r="TNA108" s="1" t="s">
        <v>122</v>
      </c>
      <c r="TNB108" s="1" t="s">
        <v>122</v>
      </c>
      <c r="TNC108" s="1" t="s">
        <v>122</v>
      </c>
      <c r="TND108" s="1" t="s">
        <v>122</v>
      </c>
      <c r="TNE108" s="1" t="s">
        <v>122</v>
      </c>
      <c r="TNF108" s="1" t="s">
        <v>122</v>
      </c>
      <c r="TNG108" s="1" t="s">
        <v>122</v>
      </c>
      <c r="TNH108" s="1" t="s">
        <v>122</v>
      </c>
      <c r="TNI108" s="1" t="s">
        <v>122</v>
      </c>
      <c r="TNJ108" s="1" t="s">
        <v>122</v>
      </c>
      <c r="TNK108" s="1" t="s">
        <v>122</v>
      </c>
      <c r="TNL108" s="1" t="s">
        <v>122</v>
      </c>
      <c r="TNM108" s="1" t="s">
        <v>122</v>
      </c>
      <c r="TNN108" s="1" t="s">
        <v>122</v>
      </c>
      <c r="TNO108" s="1" t="s">
        <v>122</v>
      </c>
      <c r="TNP108" s="1" t="s">
        <v>122</v>
      </c>
      <c r="TNQ108" s="1" t="s">
        <v>122</v>
      </c>
      <c r="TNR108" s="1" t="s">
        <v>122</v>
      </c>
      <c r="TNS108" s="1" t="s">
        <v>122</v>
      </c>
      <c r="TNT108" s="1" t="s">
        <v>122</v>
      </c>
      <c r="TNU108" s="1" t="s">
        <v>122</v>
      </c>
      <c r="TNV108" s="1" t="s">
        <v>122</v>
      </c>
      <c r="TNW108" s="1" t="s">
        <v>122</v>
      </c>
      <c r="TNX108" s="1" t="s">
        <v>122</v>
      </c>
      <c r="TNY108" s="1" t="s">
        <v>122</v>
      </c>
      <c r="TNZ108" s="1" t="s">
        <v>122</v>
      </c>
      <c r="TOA108" s="1" t="s">
        <v>122</v>
      </c>
      <c r="TOB108" s="1" t="s">
        <v>122</v>
      </c>
      <c r="TOC108" s="1" t="s">
        <v>122</v>
      </c>
      <c r="TOD108" s="1" t="s">
        <v>122</v>
      </c>
      <c r="TOE108" s="1" t="s">
        <v>122</v>
      </c>
      <c r="TOF108" s="1" t="s">
        <v>122</v>
      </c>
      <c r="TOG108" s="1" t="s">
        <v>122</v>
      </c>
      <c r="TOH108" s="1" t="s">
        <v>122</v>
      </c>
      <c r="TOI108" s="1" t="s">
        <v>122</v>
      </c>
      <c r="TOJ108" s="1" t="s">
        <v>122</v>
      </c>
      <c r="TOK108" s="1" t="s">
        <v>122</v>
      </c>
      <c r="TOL108" s="1" t="s">
        <v>122</v>
      </c>
      <c r="TOM108" s="1" t="s">
        <v>122</v>
      </c>
      <c r="TON108" s="1" t="s">
        <v>122</v>
      </c>
      <c r="TOO108" s="1" t="s">
        <v>122</v>
      </c>
      <c r="TOP108" s="1" t="s">
        <v>122</v>
      </c>
      <c r="TOQ108" s="1" t="s">
        <v>122</v>
      </c>
      <c r="TOR108" s="1" t="s">
        <v>122</v>
      </c>
      <c r="TOS108" s="1" t="s">
        <v>122</v>
      </c>
      <c r="TOT108" s="1" t="s">
        <v>122</v>
      </c>
      <c r="TOU108" s="1" t="s">
        <v>122</v>
      </c>
      <c r="TOV108" s="1" t="s">
        <v>122</v>
      </c>
      <c r="TOW108" s="1" t="s">
        <v>122</v>
      </c>
      <c r="TOX108" s="1" t="s">
        <v>122</v>
      </c>
      <c r="TOY108" s="1" t="s">
        <v>122</v>
      </c>
      <c r="TOZ108" s="1" t="s">
        <v>122</v>
      </c>
      <c r="TPA108" s="1" t="s">
        <v>122</v>
      </c>
      <c r="TPB108" s="1" t="s">
        <v>122</v>
      </c>
      <c r="TPC108" s="1" t="s">
        <v>122</v>
      </c>
      <c r="TPD108" s="1" t="s">
        <v>122</v>
      </c>
      <c r="TPE108" s="1" t="s">
        <v>122</v>
      </c>
      <c r="TPF108" s="1" t="s">
        <v>122</v>
      </c>
      <c r="TPG108" s="1" t="s">
        <v>122</v>
      </c>
      <c r="TPH108" s="1" t="s">
        <v>122</v>
      </c>
      <c r="TPI108" s="1" t="s">
        <v>122</v>
      </c>
      <c r="TPJ108" s="1" t="s">
        <v>122</v>
      </c>
      <c r="TPK108" s="1" t="s">
        <v>122</v>
      </c>
      <c r="TPL108" s="1" t="s">
        <v>122</v>
      </c>
      <c r="TPM108" s="1" t="s">
        <v>122</v>
      </c>
      <c r="TPN108" s="1" t="s">
        <v>122</v>
      </c>
      <c r="TPO108" s="1" t="s">
        <v>122</v>
      </c>
      <c r="TPP108" s="1" t="s">
        <v>122</v>
      </c>
      <c r="TPQ108" s="1" t="s">
        <v>122</v>
      </c>
      <c r="TPR108" s="1" t="s">
        <v>122</v>
      </c>
      <c r="TPS108" s="1" t="s">
        <v>122</v>
      </c>
      <c r="TPT108" s="1" t="s">
        <v>122</v>
      </c>
      <c r="TPU108" s="1" t="s">
        <v>122</v>
      </c>
      <c r="TPV108" s="1" t="s">
        <v>122</v>
      </c>
      <c r="TPW108" s="1" t="s">
        <v>122</v>
      </c>
      <c r="TPX108" s="1" t="s">
        <v>122</v>
      </c>
      <c r="TPY108" s="1" t="s">
        <v>122</v>
      </c>
      <c r="TPZ108" s="1" t="s">
        <v>122</v>
      </c>
      <c r="TQA108" s="1" t="s">
        <v>122</v>
      </c>
      <c r="TQB108" s="1" t="s">
        <v>122</v>
      </c>
      <c r="TQC108" s="1" t="s">
        <v>122</v>
      </c>
      <c r="TQD108" s="1" t="s">
        <v>122</v>
      </c>
      <c r="TQE108" s="1" t="s">
        <v>122</v>
      </c>
      <c r="TQF108" s="1" t="s">
        <v>122</v>
      </c>
      <c r="TQG108" s="1" t="s">
        <v>122</v>
      </c>
      <c r="TQH108" s="1" t="s">
        <v>122</v>
      </c>
      <c r="TQI108" s="1" t="s">
        <v>122</v>
      </c>
      <c r="TQJ108" s="1" t="s">
        <v>122</v>
      </c>
      <c r="TQK108" s="1" t="s">
        <v>122</v>
      </c>
      <c r="TQL108" s="1" t="s">
        <v>122</v>
      </c>
      <c r="TQM108" s="1" t="s">
        <v>122</v>
      </c>
      <c r="TQN108" s="1" t="s">
        <v>122</v>
      </c>
      <c r="TQO108" s="1" t="s">
        <v>122</v>
      </c>
      <c r="TQP108" s="1" t="s">
        <v>122</v>
      </c>
      <c r="TQQ108" s="1" t="s">
        <v>122</v>
      </c>
      <c r="TQR108" s="1" t="s">
        <v>122</v>
      </c>
      <c r="TQS108" s="1" t="s">
        <v>122</v>
      </c>
      <c r="TQT108" s="1" t="s">
        <v>122</v>
      </c>
      <c r="TQU108" s="1" t="s">
        <v>122</v>
      </c>
      <c r="TQV108" s="1" t="s">
        <v>122</v>
      </c>
      <c r="TQW108" s="1" t="s">
        <v>122</v>
      </c>
      <c r="TQX108" s="1" t="s">
        <v>122</v>
      </c>
      <c r="TQY108" s="1" t="s">
        <v>122</v>
      </c>
      <c r="TQZ108" s="1" t="s">
        <v>122</v>
      </c>
      <c r="TRA108" s="1" t="s">
        <v>122</v>
      </c>
      <c r="TRB108" s="1" t="s">
        <v>122</v>
      </c>
      <c r="TRC108" s="1" t="s">
        <v>122</v>
      </c>
      <c r="TRD108" s="1" t="s">
        <v>122</v>
      </c>
      <c r="TRE108" s="1" t="s">
        <v>122</v>
      </c>
      <c r="TRF108" s="1" t="s">
        <v>122</v>
      </c>
      <c r="TRG108" s="1" t="s">
        <v>122</v>
      </c>
      <c r="TRH108" s="1" t="s">
        <v>122</v>
      </c>
      <c r="TRI108" s="1" t="s">
        <v>122</v>
      </c>
      <c r="TRJ108" s="1" t="s">
        <v>122</v>
      </c>
      <c r="TRK108" s="1" t="s">
        <v>122</v>
      </c>
      <c r="TRL108" s="1" t="s">
        <v>122</v>
      </c>
      <c r="TRM108" s="1" t="s">
        <v>122</v>
      </c>
      <c r="TRN108" s="1" t="s">
        <v>122</v>
      </c>
      <c r="TRO108" s="1" t="s">
        <v>122</v>
      </c>
      <c r="TRP108" s="1" t="s">
        <v>122</v>
      </c>
      <c r="TRQ108" s="1" t="s">
        <v>122</v>
      </c>
      <c r="TRR108" s="1" t="s">
        <v>122</v>
      </c>
      <c r="TRS108" s="1" t="s">
        <v>122</v>
      </c>
      <c r="TRT108" s="1" t="s">
        <v>122</v>
      </c>
      <c r="TRU108" s="1" t="s">
        <v>122</v>
      </c>
      <c r="TRV108" s="1" t="s">
        <v>122</v>
      </c>
      <c r="TRW108" s="1" t="s">
        <v>122</v>
      </c>
      <c r="TRX108" s="1" t="s">
        <v>122</v>
      </c>
      <c r="TRY108" s="1" t="s">
        <v>122</v>
      </c>
      <c r="TRZ108" s="1" t="s">
        <v>122</v>
      </c>
      <c r="TSA108" s="1" t="s">
        <v>122</v>
      </c>
      <c r="TSB108" s="1" t="s">
        <v>122</v>
      </c>
      <c r="TSC108" s="1" t="s">
        <v>122</v>
      </c>
      <c r="TSD108" s="1" t="s">
        <v>122</v>
      </c>
      <c r="TSE108" s="1" t="s">
        <v>122</v>
      </c>
      <c r="TSF108" s="1" t="s">
        <v>122</v>
      </c>
      <c r="TSG108" s="1" t="s">
        <v>122</v>
      </c>
      <c r="TSH108" s="1" t="s">
        <v>122</v>
      </c>
      <c r="TSI108" s="1" t="s">
        <v>122</v>
      </c>
      <c r="TSJ108" s="1" t="s">
        <v>122</v>
      </c>
      <c r="TSK108" s="1" t="s">
        <v>122</v>
      </c>
      <c r="TSL108" s="1" t="s">
        <v>122</v>
      </c>
      <c r="TSM108" s="1" t="s">
        <v>122</v>
      </c>
      <c r="TSN108" s="1" t="s">
        <v>122</v>
      </c>
      <c r="TSO108" s="1" t="s">
        <v>122</v>
      </c>
      <c r="TSP108" s="1" t="s">
        <v>122</v>
      </c>
      <c r="TSQ108" s="1" t="s">
        <v>122</v>
      </c>
      <c r="TSR108" s="1" t="s">
        <v>122</v>
      </c>
      <c r="TSS108" s="1" t="s">
        <v>122</v>
      </c>
      <c r="TST108" s="1" t="s">
        <v>122</v>
      </c>
      <c r="TSU108" s="1" t="s">
        <v>122</v>
      </c>
      <c r="TSV108" s="1" t="s">
        <v>122</v>
      </c>
      <c r="TSW108" s="1" t="s">
        <v>122</v>
      </c>
      <c r="TSX108" s="1" t="s">
        <v>122</v>
      </c>
      <c r="TSY108" s="1" t="s">
        <v>122</v>
      </c>
      <c r="TSZ108" s="1" t="s">
        <v>122</v>
      </c>
      <c r="TTA108" s="1" t="s">
        <v>122</v>
      </c>
      <c r="TTB108" s="1" t="s">
        <v>122</v>
      </c>
      <c r="TTC108" s="1" t="s">
        <v>122</v>
      </c>
      <c r="TTD108" s="1" t="s">
        <v>122</v>
      </c>
      <c r="TTE108" s="1" t="s">
        <v>122</v>
      </c>
      <c r="TTF108" s="1" t="s">
        <v>122</v>
      </c>
      <c r="TTG108" s="1" t="s">
        <v>122</v>
      </c>
      <c r="TTH108" s="1" t="s">
        <v>122</v>
      </c>
      <c r="TTI108" s="1" t="s">
        <v>122</v>
      </c>
      <c r="TTJ108" s="1" t="s">
        <v>122</v>
      </c>
      <c r="TTK108" s="1" t="s">
        <v>122</v>
      </c>
      <c r="TTL108" s="1" t="s">
        <v>122</v>
      </c>
      <c r="TTM108" s="1" t="s">
        <v>122</v>
      </c>
      <c r="TTN108" s="1" t="s">
        <v>122</v>
      </c>
      <c r="TTO108" s="1" t="s">
        <v>122</v>
      </c>
      <c r="TTP108" s="1" t="s">
        <v>122</v>
      </c>
      <c r="TTQ108" s="1" t="s">
        <v>122</v>
      </c>
      <c r="TTR108" s="1" t="s">
        <v>122</v>
      </c>
      <c r="TTS108" s="1" t="s">
        <v>122</v>
      </c>
      <c r="TTT108" s="1" t="s">
        <v>122</v>
      </c>
      <c r="TTU108" s="1" t="s">
        <v>122</v>
      </c>
      <c r="TTV108" s="1" t="s">
        <v>122</v>
      </c>
      <c r="TTW108" s="1" t="s">
        <v>122</v>
      </c>
      <c r="TTX108" s="1" t="s">
        <v>122</v>
      </c>
      <c r="TTY108" s="1" t="s">
        <v>122</v>
      </c>
      <c r="TTZ108" s="1" t="s">
        <v>122</v>
      </c>
      <c r="TUA108" s="1" t="s">
        <v>122</v>
      </c>
      <c r="TUB108" s="1" t="s">
        <v>122</v>
      </c>
      <c r="TUC108" s="1" t="s">
        <v>122</v>
      </c>
      <c r="TUD108" s="1" t="s">
        <v>122</v>
      </c>
      <c r="TUE108" s="1" t="s">
        <v>122</v>
      </c>
      <c r="TUF108" s="1" t="s">
        <v>122</v>
      </c>
      <c r="TUG108" s="1" t="s">
        <v>122</v>
      </c>
      <c r="TUH108" s="1" t="s">
        <v>122</v>
      </c>
      <c r="TUI108" s="1" t="s">
        <v>122</v>
      </c>
      <c r="TUJ108" s="1" t="s">
        <v>122</v>
      </c>
      <c r="TUK108" s="1" t="s">
        <v>122</v>
      </c>
      <c r="TUL108" s="1" t="s">
        <v>122</v>
      </c>
      <c r="TUM108" s="1" t="s">
        <v>122</v>
      </c>
      <c r="TUN108" s="1" t="s">
        <v>122</v>
      </c>
      <c r="TUO108" s="1" t="s">
        <v>122</v>
      </c>
      <c r="TUP108" s="1" t="s">
        <v>122</v>
      </c>
      <c r="TUQ108" s="1" t="s">
        <v>122</v>
      </c>
      <c r="TUR108" s="1" t="s">
        <v>122</v>
      </c>
      <c r="TUS108" s="1" t="s">
        <v>122</v>
      </c>
      <c r="TUT108" s="1" t="s">
        <v>122</v>
      </c>
      <c r="TUU108" s="1" t="s">
        <v>122</v>
      </c>
      <c r="TUV108" s="1" t="s">
        <v>122</v>
      </c>
      <c r="TUW108" s="1" t="s">
        <v>122</v>
      </c>
      <c r="TUX108" s="1" t="s">
        <v>122</v>
      </c>
      <c r="TUY108" s="1" t="s">
        <v>122</v>
      </c>
      <c r="TUZ108" s="1" t="s">
        <v>122</v>
      </c>
      <c r="TVA108" s="1" t="s">
        <v>122</v>
      </c>
      <c r="TVB108" s="1" t="s">
        <v>122</v>
      </c>
      <c r="TVC108" s="1" t="s">
        <v>122</v>
      </c>
      <c r="TVD108" s="1" t="s">
        <v>122</v>
      </c>
      <c r="TVE108" s="1" t="s">
        <v>122</v>
      </c>
      <c r="TVF108" s="1" t="s">
        <v>122</v>
      </c>
      <c r="TVG108" s="1" t="s">
        <v>122</v>
      </c>
      <c r="TVH108" s="1" t="s">
        <v>122</v>
      </c>
      <c r="TVI108" s="1" t="s">
        <v>122</v>
      </c>
      <c r="TVJ108" s="1" t="s">
        <v>122</v>
      </c>
      <c r="TVK108" s="1" t="s">
        <v>122</v>
      </c>
      <c r="TVL108" s="1" t="s">
        <v>122</v>
      </c>
      <c r="TVM108" s="1" t="s">
        <v>122</v>
      </c>
      <c r="TVN108" s="1" t="s">
        <v>122</v>
      </c>
      <c r="TVO108" s="1" t="s">
        <v>122</v>
      </c>
      <c r="TVP108" s="1" t="s">
        <v>122</v>
      </c>
      <c r="TVQ108" s="1" t="s">
        <v>122</v>
      </c>
      <c r="TVR108" s="1" t="s">
        <v>122</v>
      </c>
      <c r="TVS108" s="1" t="s">
        <v>122</v>
      </c>
      <c r="TVT108" s="1" t="s">
        <v>122</v>
      </c>
      <c r="TVU108" s="1" t="s">
        <v>122</v>
      </c>
      <c r="TVV108" s="1" t="s">
        <v>122</v>
      </c>
      <c r="TVW108" s="1" t="s">
        <v>122</v>
      </c>
      <c r="TVX108" s="1" t="s">
        <v>122</v>
      </c>
      <c r="TVY108" s="1" t="s">
        <v>122</v>
      </c>
      <c r="TVZ108" s="1" t="s">
        <v>122</v>
      </c>
      <c r="TWA108" s="1" t="s">
        <v>122</v>
      </c>
      <c r="TWB108" s="1" t="s">
        <v>122</v>
      </c>
      <c r="TWC108" s="1" t="s">
        <v>122</v>
      </c>
      <c r="TWD108" s="1" t="s">
        <v>122</v>
      </c>
      <c r="TWE108" s="1" t="s">
        <v>122</v>
      </c>
      <c r="TWF108" s="1" t="s">
        <v>122</v>
      </c>
      <c r="TWG108" s="1" t="s">
        <v>122</v>
      </c>
      <c r="TWH108" s="1" t="s">
        <v>122</v>
      </c>
      <c r="TWI108" s="1" t="s">
        <v>122</v>
      </c>
      <c r="TWJ108" s="1" t="s">
        <v>122</v>
      </c>
      <c r="TWK108" s="1" t="s">
        <v>122</v>
      </c>
      <c r="TWL108" s="1" t="s">
        <v>122</v>
      </c>
      <c r="TWM108" s="1" t="s">
        <v>122</v>
      </c>
      <c r="TWN108" s="1" t="s">
        <v>122</v>
      </c>
      <c r="TWO108" s="1" t="s">
        <v>122</v>
      </c>
      <c r="TWP108" s="1" t="s">
        <v>122</v>
      </c>
      <c r="TWQ108" s="1" t="s">
        <v>122</v>
      </c>
      <c r="TWR108" s="1" t="s">
        <v>122</v>
      </c>
      <c r="TWS108" s="1" t="s">
        <v>122</v>
      </c>
      <c r="TWT108" s="1" t="s">
        <v>122</v>
      </c>
      <c r="TWU108" s="1" t="s">
        <v>122</v>
      </c>
      <c r="TWV108" s="1" t="s">
        <v>122</v>
      </c>
      <c r="TWW108" s="1" t="s">
        <v>122</v>
      </c>
      <c r="TWX108" s="1" t="s">
        <v>122</v>
      </c>
      <c r="TWY108" s="1" t="s">
        <v>122</v>
      </c>
      <c r="TWZ108" s="1" t="s">
        <v>122</v>
      </c>
      <c r="TXA108" s="1" t="s">
        <v>122</v>
      </c>
      <c r="TXB108" s="1" t="s">
        <v>122</v>
      </c>
      <c r="TXC108" s="1" t="s">
        <v>122</v>
      </c>
      <c r="TXD108" s="1" t="s">
        <v>122</v>
      </c>
      <c r="TXE108" s="1" t="s">
        <v>122</v>
      </c>
      <c r="TXF108" s="1" t="s">
        <v>122</v>
      </c>
      <c r="TXG108" s="1" t="s">
        <v>122</v>
      </c>
      <c r="TXH108" s="1" t="s">
        <v>122</v>
      </c>
      <c r="TXI108" s="1" t="s">
        <v>122</v>
      </c>
      <c r="TXJ108" s="1" t="s">
        <v>122</v>
      </c>
      <c r="TXK108" s="1" t="s">
        <v>122</v>
      </c>
      <c r="TXL108" s="1" t="s">
        <v>122</v>
      </c>
      <c r="TXM108" s="1" t="s">
        <v>122</v>
      </c>
      <c r="TXN108" s="1" t="s">
        <v>122</v>
      </c>
      <c r="TXO108" s="1" t="s">
        <v>122</v>
      </c>
      <c r="TXP108" s="1" t="s">
        <v>122</v>
      </c>
      <c r="TXQ108" s="1" t="s">
        <v>122</v>
      </c>
      <c r="TXR108" s="1" t="s">
        <v>122</v>
      </c>
      <c r="TXS108" s="1" t="s">
        <v>122</v>
      </c>
      <c r="TXT108" s="1" t="s">
        <v>122</v>
      </c>
      <c r="TXU108" s="1" t="s">
        <v>122</v>
      </c>
      <c r="TXV108" s="1" t="s">
        <v>122</v>
      </c>
      <c r="TXW108" s="1" t="s">
        <v>122</v>
      </c>
      <c r="TXX108" s="1" t="s">
        <v>122</v>
      </c>
      <c r="TXY108" s="1" t="s">
        <v>122</v>
      </c>
      <c r="TXZ108" s="1" t="s">
        <v>122</v>
      </c>
      <c r="TYA108" s="1" t="s">
        <v>122</v>
      </c>
      <c r="TYB108" s="1" t="s">
        <v>122</v>
      </c>
      <c r="TYC108" s="1" t="s">
        <v>122</v>
      </c>
      <c r="TYD108" s="1" t="s">
        <v>122</v>
      </c>
      <c r="TYE108" s="1" t="s">
        <v>122</v>
      </c>
      <c r="TYF108" s="1" t="s">
        <v>122</v>
      </c>
      <c r="TYG108" s="1" t="s">
        <v>122</v>
      </c>
      <c r="TYH108" s="1" t="s">
        <v>122</v>
      </c>
      <c r="TYI108" s="1" t="s">
        <v>122</v>
      </c>
      <c r="TYJ108" s="1" t="s">
        <v>122</v>
      </c>
      <c r="TYK108" s="1" t="s">
        <v>122</v>
      </c>
      <c r="TYL108" s="1" t="s">
        <v>122</v>
      </c>
      <c r="TYM108" s="1" t="s">
        <v>122</v>
      </c>
      <c r="TYN108" s="1" t="s">
        <v>122</v>
      </c>
      <c r="TYO108" s="1" t="s">
        <v>122</v>
      </c>
      <c r="TYP108" s="1" t="s">
        <v>122</v>
      </c>
      <c r="TYQ108" s="1" t="s">
        <v>122</v>
      </c>
      <c r="TYR108" s="1" t="s">
        <v>122</v>
      </c>
      <c r="TYS108" s="1" t="s">
        <v>122</v>
      </c>
      <c r="TYT108" s="1" t="s">
        <v>122</v>
      </c>
      <c r="TYU108" s="1" t="s">
        <v>122</v>
      </c>
      <c r="TYV108" s="1" t="s">
        <v>122</v>
      </c>
      <c r="TYW108" s="1" t="s">
        <v>122</v>
      </c>
      <c r="TYX108" s="1" t="s">
        <v>122</v>
      </c>
      <c r="TYY108" s="1" t="s">
        <v>122</v>
      </c>
      <c r="TYZ108" s="1" t="s">
        <v>122</v>
      </c>
      <c r="TZA108" s="1" t="s">
        <v>122</v>
      </c>
      <c r="TZB108" s="1" t="s">
        <v>122</v>
      </c>
      <c r="TZC108" s="1" t="s">
        <v>122</v>
      </c>
      <c r="TZD108" s="1" t="s">
        <v>122</v>
      </c>
      <c r="TZE108" s="1" t="s">
        <v>122</v>
      </c>
      <c r="TZF108" s="1" t="s">
        <v>122</v>
      </c>
      <c r="TZG108" s="1" t="s">
        <v>122</v>
      </c>
      <c r="TZH108" s="1" t="s">
        <v>122</v>
      </c>
      <c r="TZI108" s="1" t="s">
        <v>122</v>
      </c>
      <c r="TZJ108" s="1" t="s">
        <v>122</v>
      </c>
      <c r="TZK108" s="1" t="s">
        <v>122</v>
      </c>
      <c r="TZL108" s="1" t="s">
        <v>122</v>
      </c>
      <c r="TZM108" s="1" t="s">
        <v>122</v>
      </c>
      <c r="TZN108" s="1" t="s">
        <v>122</v>
      </c>
      <c r="TZO108" s="1" t="s">
        <v>122</v>
      </c>
      <c r="TZP108" s="1" t="s">
        <v>122</v>
      </c>
      <c r="TZQ108" s="1" t="s">
        <v>122</v>
      </c>
      <c r="TZR108" s="1" t="s">
        <v>122</v>
      </c>
      <c r="TZS108" s="1" t="s">
        <v>122</v>
      </c>
      <c r="TZT108" s="1" t="s">
        <v>122</v>
      </c>
      <c r="TZU108" s="1" t="s">
        <v>122</v>
      </c>
      <c r="TZV108" s="1" t="s">
        <v>122</v>
      </c>
      <c r="TZW108" s="1" t="s">
        <v>122</v>
      </c>
      <c r="TZX108" s="1" t="s">
        <v>122</v>
      </c>
      <c r="TZY108" s="1" t="s">
        <v>122</v>
      </c>
      <c r="TZZ108" s="1" t="s">
        <v>122</v>
      </c>
      <c r="UAA108" s="1" t="s">
        <v>122</v>
      </c>
      <c r="UAB108" s="1" t="s">
        <v>122</v>
      </c>
      <c r="UAC108" s="1" t="s">
        <v>122</v>
      </c>
      <c r="UAD108" s="1" t="s">
        <v>122</v>
      </c>
      <c r="UAE108" s="1" t="s">
        <v>122</v>
      </c>
      <c r="UAF108" s="1" t="s">
        <v>122</v>
      </c>
      <c r="UAG108" s="1" t="s">
        <v>122</v>
      </c>
      <c r="UAH108" s="1" t="s">
        <v>122</v>
      </c>
      <c r="UAI108" s="1" t="s">
        <v>122</v>
      </c>
      <c r="UAJ108" s="1" t="s">
        <v>122</v>
      </c>
      <c r="UAK108" s="1" t="s">
        <v>122</v>
      </c>
      <c r="UAL108" s="1" t="s">
        <v>122</v>
      </c>
      <c r="UAM108" s="1" t="s">
        <v>122</v>
      </c>
      <c r="UAN108" s="1" t="s">
        <v>122</v>
      </c>
      <c r="UAO108" s="1" t="s">
        <v>122</v>
      </c>
      <c r="UAP108" s="1" t="s">
        <v>122</v>
      </c>
      <c r="UAQ108" s="1" t="s">
        <v>122</v>
      </c>
      <c r="UAR108" s="1" t="s">
        <v>122</v>
      </c>
      <c r="UAS108" s="1" t="s">
        <v>122</v>
      </c>
      <c r="UAT108" s="1" t="s">
        <v>122</v>
      </c>
      <c r="UAU108" s="1" t="s">
        <v>122</v>
      </c>
      <c r="UAV108" s="1" t="s">
        <v>122</v>
      </c>
      <c r="UAW108" s="1" t="s">
        <v>122</v>
      </c>
      <c r="UAX108" s="1" t="s">
        <v>122</v>
      </c>
      <c r="UAY108" s="1" t="s">
        <v>122</v>
      </c>
      <c r="UAZ108" s="1" t="s">
        <v>122</v>
      </c>
      <c r="UBA108" s="1" t="s">
        <v>122</v>
      </c>
      <c r="UBB108" s="1" t="s">
        <v>122</v>
      </c>
      <c r="UBC108" s="1" t="s">
        <v>122</v>
      </c>
      <c r="UBD108" s="1" t="s">
        <v>122</v>
      </c>
      <c r="UBE108" s="1" t="s">
        <v>122</v>
      </c>
      <c r="UBF108" s="1" t="s">
        <v>122</v>
      </c>
      <c r="UBG108" s="1" t="s">
        <v>122</v>
      </c>
      <c r="UBH108" s="1" t="s">
        <v>122</v>
      </c>
      <c r="UBI108" s="1" t="s">
        <v>122</v>
      </c>
      <c r="UBJ108" s="1" t="s">
        <v>122</v>
      </c>
      <c r="UBK108" s="1" t="s">
        <v>122</v>
      </c>
      <c r="UBL108" s="1" t="s">
        <v>122</v>
      </c>
      <c r="UBM108" s="1" t="s">
        <v>122</v>
      </c>
      <c r="UBN108" s="1" t="s">
        <v>122</v>
      </c>
      <c r="UBO108" s="1" t="s">
        <v>122</v>
      </c>
      <c r="UBP108" s="1" t="s">
        <v>122</v>
      </c>
      <c r="UBQ108" s="1" t="s">
        <v>122</v>
      </c>
      <c r="UBR108" s="1" t="s">
        <v>122</v>
      </c>
      <c r="UBS108" s="1" t="s">
        <v>122</v>
      </c>
      <c r="UBT108" s="1" t="s">
        <v>122</v>
      </c>
      <c r="UBU108" s="1" t="s">
        <v>122</v>
      </c>
      <c r="UBV108" s="1" t="s">
        <v>122</v>
      </c>
      <c r="UBW108" s="1" t="s">
        <v>122</v>
      </c>
      <c r="UBX108" s="1" t="s">
        <v>122</v>
      </c>
      <c r="UBY108" s="1" t="s">
        <v>122</v>
      </c>
      <c r="UBZ108" s="1" t="s">
        <v>122</v>
      </c>
      <c r="UCA108" s="1" t="s">
        <v>122</v>
      </c>
      <c r="UCB108" s="1" t="s">
        <v>122</v>
      </c>
      <c r="UCC108" s="1" t="s">
        <v>122</v>
      </c>
      <c r="UCD108" s="1" t="s">
        <v>122</v>
      </c>
      <c r="UCE108" s="1" t="s">
        <v>122</v>
      </c>
      <c r="UCF108" s="1" t="s">
        <v>122</v>
      </c>
      <c r="UCG108" s="1" t="s">
        <v>122</v>
      </c>
      <c r="UCH108" s="1" t="s">
        <v>122</v>
      </c>
      <c r="UCI108" s="1" t="s">
        <v>122</v>
      </c>
      <c r="UCJ108" s="1" t="s">
        <v>122</v>
      </c>
      <c r="UCK108" s="1" t="s">
        <v>122</v>
      </c>
      <c r="UCL108" s="1" t="s">
        <v>122</v>
      </c>
      <c r="UCM108" s="1" t="s">
        <v>122</v>
      </c>
      <c r="UCN108" s="1" t="s">
        <v>122</v>
      </c>
      <c r="UCO108" s="1" t="s">
        <v>122</v>
      </c>
      <c r="UCP108" s="1" t="s">
        <v>122</v>
      </c>
      <c r="UCQ108" s="1" t="s">
        <v>122</v>
      </c>
      <c r="UCR108" s="1" t="s">
        <v>122</v>
      </c>
      <c r="UCS108" s="1" t="s">
        <v>122</v>
      </c>
      <c r="UCT108" s="1" t="s">
        <v>122</v>
      </c>
      <c r="UCU108" s="1" t="s">
        <v>122</v>
      </c>
      <c r="UCV108" s="1" t="s">
        <v>122</v>
      </c>
      <c r="UCW108" s="1" t="s">
        <v>122</v>
      </c>
      <c r="UCX108" s="1" t="s">
        <v>122</v>
      </c>
      <c r="UCY108" s="1" t="s">
        <v>122</v>
      </c>
      <c r="UCZ108" s="1" t="s">
        <v>122</v>
      </c>
      <c r="UDA108" s="1" t="s">
        <v>122</v>
      </c>
      <c r="UDB108" s="1" t="s">
        <v>122</v>
      </c>
      <c r="UDC108" s="1" t="s">
        <v>122</v>
      </c>
      <c r="UDD108" s="1" t="s">
        <v>122</v>
      </c>
      <c r="UDE108" s="1" t="s">
        <v>122</v>
      </c>
      <c r="UDF108" s="1" t="s">
        <v>122</v>
      </c>
      <c r="UDG108" s="1" t="s">
        <v>122</v>
      </c>
      <c r="UDH108" s="1" t="s">
        <v>122</v>
      </c>
      <c r="UDI108" s="1" t="s">
        <v>122</v>
      </c>
      <c r="UDJ108" s="1" t="s">
        <v>122</v>
      </c>
      <c r="UDK108" s="1" t="s">
        <v>122</v>
      </c>
      <c r="UDL108" s="1" t="s">
        <v>122</v>
      </c>
      <c r="UDM108" s="1" t="s">
        <v>122</v>
      </c>
      <c r="UDN108" s="1" t="s">
        <v>122</v>
      </c>
      <c r="UDO108" s="1" t="s">
        <v>122</v>
      </c>
      <c r="UDP108" s="1" t="s">
        <v>122</v>
      </c>
      <c r="UDQ108" s="1" t="s">
        <v>122</v>
      </c>
      <c r="UDR108" s="1" t="s">
        <v>122</v>
      </c>
      <c r="UDS108" s="1" t="s">
        <v>122</v>
      </c>
      <c r="UDT108" s="1" t="s">
        <v>122</v>
      </c>
      <c r="UDU108" s="1" t="s">
        <v>122</v>
      </c>
      <c r="UDV108" s="1" t="s">
        <v>122</v>
      </c>
      <c r="UDW108" s="1" t="s">
        <v>122</v>
      </c>
      <c r="UDX108" s="1" t="s">
        <v>122</v>
      </c>
      <c r="UDY108" s="1" t="s">
        <v>122</v>
      </c>
      <c r="UDZ108" s="1" t="s">
        <v>122</v>
      </c>
      <c r="UEA108" s="1" t="s">
        <v>122</v>
      </c>
      <c r="UEB108" s="1" t="s">
        <v>122</v>
      </c>
      <c r="UEC108" s="1" t="s">
        <v>122</v>
      </c>
      <c r="UED108" s="1" t="s">
        <v>122</v>
      </c>
      <c r="UEE108" s="1" t="s">
        <v>122</v>
      </c>
      <c r="UEF108" s="1" t="s">
        <v>122</v>
      </c>
      <c r="UEG108" s="1" t="s">
        <v>122</v>
      </c>
      <c r="UEH108" s="1" t="s">
        <v>122</v>
      </c>
      <c r="UEI108" s="1" t="s">
        <v>122</v>
      </c>
      <c r="UEJ108" s="1" t="s">
        <v>122</v>
      </c>
      <c r="UEK108" s="1" t="s">
        <v>122</v>
      </c>
      <c r="UEL108" s="1" t="s">
        <v>122</v>
      </c>
      <c r="UEM108" s="1" t="s">
        <v>122</v>
      </c>
      <c r="UEN108" s="1" t="s">
        <v>122</v>
      </c>
      <c r="UEO108" s="1" t="s">
        <v>122</v>
      </c>
      <c r="UEP108" s="1" t="s">
        <v>122</v>
      </c>
      <c r="UEQ108" s="1" t="s">
        <v>122</v>
      </c>
      <c r="UER108" s="1" t="s">
        <v>122</v>
      </c>
      <c r="UES108" s="1" t="s">
        <v>122</v>
      </c>
      <c r="UET108" s="1" t="s">
        <v>122</v>
      </c>
      <c r="UEU108" s="1" t="s">
        <v>122</v>
      </c>
      <c r="UEV108" s="1" t="s">
        <v>122</v>
      </c>
      <c r="UEW108" s="1" t="s">
        <v>122</v>
      </c>
      <c r="UEX108" s="1" t="s">
        <v>122</v>
      </c>
      <c r="UEY108" s="1" t="s">
        <v>122</v>
      </c>
      <c r="UEZ108" s="1" t="s">
        <v>122</v>
      </c>
      <c r="UFA108" s="1" t="s">
        <v>122</v>
      </c>
      <c r="UFB108" s="1" t="s">
        <v>122</v>
      </c>
      <c r="UFC108" s="1" t="s">
        <v>122</v>
      </c>
      <c r="UFD108" s="1" t="s">
        <v>122</v>
      </c>
      <c r="UFE108" s="1" t="s">
        <v>122</v>
      </c>
      <c r="UFF108" s="1" t="s">
        <v>122</v>
      </c>
      <c r="UFG108" s="1" t="s">
        <v>122</v>
      </c>
      <c r="UFH108" s="1" t="s">
        <v>122</v>
      </c>
      <c r="UFI108" s="1" t="s">
        <v>122</v>
      </c>
      <c r="UFJ108" s="1" t="s">
        <v>122</v>
      </c>
      <c r="UFK108" s="1" t="s">
        <v>122</v>
      </c>
      <c r="UFL108" s="1" t="s">
        <v>122</v>
      </c>
      <c r="UFM108" s="1" t="s">
        <v>122</v>
      </c>
      <c r="UFN108" s="1" t="s">
        <v>122</v>
      </c>
      <c r="UFO108" s="1" t="s">
        <v>122</v>
      </c>
      <c r="UFP108" s="1" t="s">
        <v>122</v>
      </c>
      <c r="UFQ108" s="1" t="s">
        <v>122</v>
      </c>
      <c r="UFR108" s="1" t="s">
        <v>122</v>
      </c>
      <c r="UFS108" s="1" t="s">
        <v>122</v>
      </c>
      <c r="UFT108" s="1" t="s">
        <v>122</v>
      </c>
      <c r="UFU108" s="1" t="s">
        <v>122</v>
      </c>
      <c r="UFV108" s="1" t="s">
        <v>122</v>
      </c>
      <c r="UFW108" s="1" t="s">
        <v>122</v>
      </c>
      <c r="UFX108" s="1" t="s">
        <v>122</v>
      </c>
      <c r="UFY108" s="1" t="s">
        <v>122</v>
      </c>
      <c r="UFZ108" s="1" t="s">
        <v>122</v>
      </c>
      <c r="UGA108" s="1" t="s">
        <v>122</v>
      </c>
      <c r="UGB108" s="1" t="s">
        <v>122</v>
      </c>
      <c r="UGC108" s="1" t="s">
        <v>122</v>
      </c>
      <c r="UGD108" s="1" t="s">
        <v>122</v>
      </c>
      <c r="UGE108" s="1" t="s">
        <v>122</v>
      </c>
      <c r="UGF108" s="1" t="s">
        <v>122</v>
      </c>
      <c r="UGG108" s="1" t="s">
        <v>122</v>
      </c>
      <c r="UGH108" s="1" t="s">
        <v>122</v>
      </c>
      <c r="UGI108" s="1" t="s">
        <v>122</v>
      </c>
      <c r="UGJ108" s="1" t="s">
        <v>122</v>
      </c>
      <c r="UGK108" s="1" t="s">
        <v>122</v>
      </c>
      <c r="UGL108" s="1" t="s">
        <v>122</v>
      </c>
      <c r="UGM108" s="1" t="s">
        <v>122</v>
      </c>
      <c r="UGN108" s="1" t="s">
        <v>122</v>
      </c>
      <c r="UGO108" s="1" t="s">
        <v>122</v>
      </c>
      <c r="UGP108" s="1" t="s">
        <v>122</v>
      </c>
      <c r="UGQ108" s="1" t="s">
        <v>122</v>
      </c>
      <c r="UGR108" s="1" t="s">
        <v>122</v>
      </c>
      <c r="UGS108" s="1" t="s">
        <v>122</v>
      </c>
      <c r="UGT108" s="1" t="s">
        <v>122</v>
      </c>
      <c r="UGU108" s="1" t="s">
        <v>122</v>
      </c>
      <c r="UGV108" s="1" t="s">
        <v>122</v>
      </c>
      <c r="UGW108" s="1" t="s">
        <v>122</v>
      </c>
      <c r="UGX108" s="1" t="s">
        <v>122</v>
      </c>
      <c r="UGY108" s="1" t="s">
        <v>122</v>
      </c>
      <c r="UGZ108" s="1" t="s">
        <v>122</v>
      </c>
      <c r="UHA108" s="1" t="s">
        <v>122</v>
      </c>
      <c r="UHB108" s="1" t="s">
        <v>122</v>
      </c>
      <c r="UHC108" s="1" t="s">
        <v>122</v>
      </c>
      <c r="UHD108" s="1" t="s">
        <v>122</v>
      </c>
      <c r="UHE108" s="1" t="s">
        <v>122</v>
      </c>
      <c r="UHF108" s="1" t="s">
        <v>122</v>
      </c>
      <c r="UHG108" s="1" t="s">
        <v>122</v>
      </c>
      <c r="UHH108" s="1" t="s">
        <v>122</v>
      </c>
      <c r="UHI108" s="1" t="s">
        <v>122</v>
      </c>
      <c r="UHJ108" s="1" t="s">
        <v>122</v>
      </c>
      <c r="UHK108" s="1" t="s">
        <v>122</v>
      </c>
      <c r="UHL108" s="1" t="s">
        <v>122</v>
      </c>
      <c r="UHM108" s="1" t="s">
        <v>122</v>
      </c>
      <c r="UHN108" s="1" t="s">
        <v>122</v>
      </c>
      <c r="UHO108" s="1" t="s">
        <v>122</v>
      </c>
      <c r="UHP108" s="1" t="s">
        <v>122</v>
      </c>
      <c r="UHQ108" s="1" t="s">
        <v>122</v>
      </c>
      <c r="UHR108" s="1" t="s">
        <v>122</v>
      </c>
      <c r="UHS108" s="1" t="s">
        <v>122</v>
      </c>
      <c r="UHT108" s="1" t="s">
        <v>122</v>
      </c>
      <c r="UHU108" s="1" t="s">
        <v>122</v>
      </c>
      <c r="UHV108" s="1" t="s">
        <v>122</v>
      </c>
      <c r="UHW108" s="1" t="s">
        <v>122</v>
      </c>
      <c r="UHX108" s="1" t="s">
        <v>122</v>
      </c>
      <c r="UHY108" s="1" t="s">
        <v>122</v>
      </c>
      <c r="UHZ108" s="1" t="s">
        <v>122</v>
      </c>
      <c r="UIA108" s="1" t="s">
        <v>122</v>
      </c>
      <c r="UIB108" s="1" t="s">
        <v>122</v>
      </c>
      <c r="UIC108" s="1" t="s">
        <v>122</v>
      </c>
      <c r="UID108" s="1" t="s">
        <v>122</v>
      </c>
      <c r="UIE108" s="1" t="s">
        <v>122</v>
      </c>
      <c r="UIF108" s="1" t="s">
        <v>122</v>
      </c>
      <c r="UIG108" s="1" t="s">
        <v>122</v>
      </c>
      <c r="UIH108" s="1" t="s">
        <v>122</v>
      </c>
      <c r="UII108" s="1" t="s">
        <v>122</v>
      </c>
      <c r="UIJ108" s="1" t="s">
        <v>122</v>
      </c>
      <c r="UIK108" s="1" t="s">
        <v>122</v>
      </c>
      <c r="UIL108" s="1" t="s">
        <v>122</v>
      </c>
      <c r="UIM108" s="1" t="s">
        <v>122</v>
      </c>
      <c r="UIN108" s="1" t="s">
        <v>122</v>
      </c>
      <c r="UIO108" s="1" t="s">
        <v>122</v>
      </c>
      <c r="UIP108" s="1" t="s">
        <v>122</v>
      </c>
      <c r="UIQ108" s="1" t="s">
        <v>122</v>
      </c>
      <c r="UIR108" s="1" t="s">
        <v>122</v>
      </c>
      <c r="UIS108" s="1" t="s">
        <v>122</v>
      </c>
      <c r="UIT108" s="1" t="s">
        <v>122</v>
      </c>
      <c r="UIU108" s="1" t="s">
        <v>122</v>
      </c>
      <c r="UIV108" s="1" t="s">
        <v>122</v>
      </c>
      <c r="UIW108" s="1" t="s">
        <v>122</v>
      </c>
      <c r="UIX108" s="1" t="s">
        <v>122</v>
      </c>
      <c r="UIY108" s="1" t="s">
        <v>122</v>
      </c>
      <c r="UIZ108" s="1" t="s">
        <v>122</v>
      </c>
      <c r="UJA108" s="1" t="s">
        <v>122</v>
      </c>
      <c r="UJB108" s="1" t="s">
        <v>122</v>
      </c>
      <c r="UJC108" s="1" t="s">
        <v>122</v>
      </c>
      <c r="UJD108" s="1" t="s">
        <v>122</v>
      </c>
      <c r="UJE108" s="1" t="s">
        <v>122</v>
      </c>
      <c r="UJF108" s="1" t="s">
        <v>122</v>
      </c>
      <c r="UJG108" s="1" t="s">
        <v>122</v>
      </c>
      <c r="UJH108" s="1" t="s">
        <v>122</v>
      </c>
      <c r="UJI108" s="1" t="s">
        <v>122</v>
      </c>
      <c r="UJJ108" s="1" t="s">
        <v>122</v>
      </c>
      <c r="UJK108" s="1" t="s">
        <v>122</v>
      </c>
      <c r="UJL108" s="1" t="s">
        <v>122</v>
      </c>
      <c r="UJM108" s="1" t="s">
        <v>122</v>
      </c>
      <c r="UJN108" s="1" t="s">
        <v>122</v>
      </c>
      <c r="UJO108" s="1" t="s">
        <v>122</v>
      </c>
      <c r="UJP108" s="1" t="s">
        <v>122</v>
      </c>
      <c r="UJQ108" s="1" t="s">
        <v>122</v>
      </c>
      <c r="UJR108" s="1" t="s">
        <v>122</v>
      </c>
      <c r="UJS108" s="1" t="s">
        <v>122</v>
      </c>
      <c r="UJT108" s="1" t="s">
        <v>122</v>
      </c>
      <c r="UJU108" s="1" t="s">
        <v>122</v>
      </c>
      <c r="UJV108" s="1" t="s">
        <v>122</v>
      </c>
      <c r="UJW108" s="1" t="s">
        <v>122</v>
      </c>
      <c r="UJX108" s="1" t="s">
        <v>122</v>
      </c>
      <c r="UJY108" s="1" t="s">
        <v>122</v>
      </c>
      <c r="UJZ108" s="1" t="s">
        <v>122</v>
      </c>
      <c r="UKA108" s="1" t="s">
        <v>122</v>
      </c>
      <c r="UKB108" s="1" t="s">
        <v>122</v>
      </c>
      <c r="UKC108" s="1" t="s">
        <v>122</v>
      </c>
      <c r="UKD108" s="1" t="s">
        <v>122</v>
      </c>
      <c r="UKE108" s="1" t="s">
        <v>122</v>
      </c>
      <c r="UKF108" s="1" t="s">
        <v>122</v>
      </c>
      <c r="UKG108" s="1" t="s">
        <v>122</v>
      </c>
      <c r="UKH108" s="1" t="s">
        <v>122</v>
      </c>
      <c r="UKI108" s="1" t="s">
        <v>122</v>
      </c>
      <c r="UKJ108" s="1" t="s">
        <v>122</v>
      </c>
      <c r="UKK108" s="1" t="s">
        <v>122</v>
      </c>
      <c r="UKL108" s="1" t="s">
        <v>122</v>
      </c>
      <c r="UKM108" s="1" t="s">
        <v>122</v>
      </c>
      <c r="UKN108" s="1" t="s">
        <v>122</v>
      </c>
      <c r="UKO108" s="1" t="s">
        <v>122</v>
      </c>
      <c r="UKP108" s="1" t="s">
        <v>122</v>
      </c>
      <c r="UKQ108" s="1" t="s">
        <v>122</v>
      </c>
      <c r="UKR108" s="1" t="s">
        <v>122</v>
      </c>
      <c r="UKS108" s="1" t="s">
        <v>122</v>
      </c>
      <c r="UKT108" s="1" t="s">
        <v>122</v>
      </c>
      <c r="UKU108" s="1" t="s">
        <v>122</v>
      </c>
      <c r="UKV108" s="1" t="s">
        <v>122</v>
      </c>
      <c r="UKW108" s="1" t="s">
        <v>122</v>
      </c>
      <c r="UKX108" s="1" t="s">
        <v>122</v>
      </c>
      <c r="UKY108" s="1" t="s">
        <v>122</v>
      </c>
      <c r="UKZ108" s="1" t="s">
        <v>122</v>
      </c>
      <c r="ULA108" s="1" t="s">
        <v>122</v>
      </c>
      <c r="ULB108" s="1" t="s">
        <v>122</v>
      </c>
      <c r="ULC108" s="1" t="s">
        <v>122</v>
      </c>
      <c r="ULD108" s="1" t="s">
        <v>122</v>
      </c>
      <c r="ULE108" s="1" t="s">
        <v>122</v>
      </c>
      <c r="ULF108" s="1" t="s">
        <v>122</v>
      </c>
      <c r="ULG108" s="1" t="s">
        <v>122</v>
      </c>
      <c r="ULH108" s="1" t="s">
        <v>122</v>
      </c>
      <c r="ULI108" s="1" t="s">
        <v>122</v>
      </c>
      <c r="ULJ108" s="1" t="s">
        <v>122</v>
      </c>
      <c r="ULK108" s="1" t="s">
        <v>122</v>
      </c>
      <c r="ULL108" s="1" t="s">
        <v>122</v>
      </c>
      <c r="ULM108" s="1" t="s">
        <v>122</v>
      </c>
      <c r="ULN108" s="1" t="s">
        <v>122</v>
      </c>
      <c r="ULO108" s="1" t="s">
        <v>122</v>
      </c>
      <c r="ULP108" s="1" t="s">
        <v>122</v>
      </c>
      <c r="ULQ108" s="1" t="s">
        <v>122</v>
      </c>
      <c r="ULR108" s="1" t="s">
        <v>122</v>
      </c>
      <c r="ULS108" s="1" t="s">
        <v>122</v>
      </c>
      <c r="ULT108" s="1" t="s">
        <v>122</v>
      </c>
      <c r="ULU108" s="1" t="s">
        <v>122</v>
      </c>
      <c r="ULV108" s="1" t="s">
        <v>122</v>
      </c>
      <c r="ULW108" s="1" t="s">
        <v>122</v>
      </c>
      <c r="ULX108" s="1" t="s">
        <v>122</v>
      </c>
      <c r="ULY108" s="1" t="s">
        <v>122</v>
      </c>
      <c r="ULZ108" s="1" t="s">
        <v>122</v>
      </c>
      <c r="UMA108" s="1" t="s">
        <v>122</v>
      </c>
      <c r="UMB108" s="1" t="s">
        <v>122</v>
      </c>
      <c r="UMC108" s="1" t="s">
        <v>122</v>
      </c>
      <c r="UMD108" s="1" t="s">
        <v>122</v>
      </c>
      <c r="UME108" s="1" t="s">
        <v>122</v>
      </c>
      <c r="UMF108" s="1" t="s">
        <v>122</v>
      </c>
      <c r="UMG108" s="1" t="s">
        <v>122</v>
      </c>
      <c r="UMH108" s="1" t="s">
        <v>122</v>
      </c>
      <c r="UMI108" s="1" t="s">
        <v>122</v>
      </c>
      <c r="UMJ108" s="1" t="s">
        <v>122</v>
      </c>
      <c r="UMK108" s="1" t="s">
        <v>122</v>
      </c>
      <c r="UML108" s="1" t="s">
        <v>122</v>
      </c>
      <c r="UMM108" s="1" t="s">
        <v>122</v>
      </c>
      <c r="UMN108" s="1" t="s">
        <v>122</v>
      </c>
      <c r="UMO108" s="1" t="s">
        <v>122</v>
      </c>
      <c r="UMP108" s="1" t="s">
        <v>122</v>
      </c>
      <c r="UMQ108" s="1" t="s">
        <v>122</v>
      </c>
      <c r="UMR108" s="1" t="s">
        <v>122</v>
      </c>
      <c r="UMS108" s="1" t="s">
        <v>122</v>
      </c>
      <c r="UMT108" s="1" t="s">
        <v>122</v>
      </c>
      <c r="UMU108" s="1" t="s">
        <v>122</v>
      </c>
      <c r="UMV108" s="1" t="s">
        <v>122</v>
      </c>
      <c r="UMW108" s="1" t="s">
        <v>122</v>
      </c>
      <c r="UMX108" s="1" t="s">
        <v>122</v>
      </c>
      <c r="UMY108" s="1" t="s">
        <v>122</v>
      </c>
      <c r="UMZ108" s="1" t="s">
        <v>122</v>
      </c>
      <c r="UNA108" s="1" t="s">
        <v>122</v>
      </c>
      <c r="UNB108" s="1" t="s">
        <v>122</v>
      </c>
      <c r="UNC108" s="1" t="s">
        <v>122</v>
      </c>
      <c r="UND108" s="1" t="s">
        <v>122</v>
      </c>
      <c r="UNE108" s="1" t="s">
        <v>122</v>
      </c>
      <c r="UNF108" s="1" t="s">
        <v>122</v>
      </c>
      <c r="UNG108" s="1" t="s">
        <v>122</v>
      </c>
      <c r="UNH108" s="1" t="s">
        <v>122</v>
      </c>
      <c r="UNI108" s="1" t="s">
        <v>122</v>
      </c>
      <c r="UNJ108" s="1" t="s">
        <v>122</v>
      </c>
      <c r="UNK108" s="1" t="s">
        <v>122</v>
      </c>
      <c r="UNL108" s="1" t="s">
        <v>122</v>
      </c>
      <c r="UNM108" s="1" t="s">
        <v>122</v>
      </c>
      <c r="UNN108" s="1" t="s">
        <v>122</v>
      </c>
      <c r="UNO108" s="1" t="s">
        <v>122</v>
      </c>
      <c r="UNP108" s="1" t="s">
        <v>122</v>
      </c>
      <c r="UNQ108" s="1" t="s">
        <v>122</v>
      </c>
      <c r="UNR108" s="1" t="s">
        <v>122</v>
      </c>
      <c r="UNS108" s="1" t="s">
        <v>122</v>
      </c>
      <c r="UNT108" s="1" t="s">
        <v>122</v>
      </c>
      <c r="UNU108" s="1" t="s">
        <v>122</v>
      </c>
      <c r="UNV108" s="1" t="s">
        <v>122</v>
      </c>
      <c r="UNW108" s="1" t="s">
        <v>122</v>
      </c>
      <c r="UNX108" s="1" t="s">
        <v>122</v>
      </c>
      <c r="UNY108" s="1" t="s">
        <v>122</v>
      </c>
      <c r="UNZ108" s="1" t="s">
        <v>122</v>
      </c>
      <c r="UOA108" s="1" t="s">
        <v>122</v>
      </c>
      <c r="UOB108" s="1" t="s">
        <v>122</v>
      </c>
      <c r="UOC108" s="1" t="s">
        <v>122</v>
      </c>
      <c r="UOD108" s="1" t="s">
        <v>122</v>
      </c>
      <c r="UOE108" s="1" t="s">
        <v>122</v>
      </c>
      <c r="UOF108" s="1" t="s">
        <v>122</v>
      </c>
      <c r="UOG108" s="1" t="s">
        <v>122</v>
      </c>
      <c r="UOH108" s="1" t="s">
        <v>122</v>
      </c>
      <c r="UOI108" s="1" t="s">
        <v>122</v>
      </c>
      <c r="UOJ108" s="1" t="s">
        <v>122</v>
      </c>
      <c r="UOK108" s="1" t="s">
        <v>122</v>
      </c>
      <c r="UOL108" s="1" t="s">
        <v>122</v>
      </c>
      <c r="UOM108" s="1" t="s">
        <v>122</v>
      </c>
      <c r="UON108" s="1" t="s">
        <v>122</v>
      </c>
      <c r="UOO108" s="1" t="s">
        <v>122</v>
      </c>
      <c r="UOP108" s="1" t="s">
        <v>122</v>
      </c>
      <c r="UOQ108" s="1" t="s">
        <v>122</v>
      </c>
      <c r="UOR108" s="1" t="s">
        <v>122</v>
      </c>
      <c r="UOS108" s="1" t="s">
        <v>122</v>
      </c>
      <c r="UOT108" s="1" t="s">
        <v>122</v>
      </c>
      <c r="UOU108" s="1" t="s">
        <v>122</v>
      </c>
      <c r="UOV108" s="1" t="s">
        <v>122</v>
      </c>
      <c r="UOW108" s="1" t="s">
        <v>122</v>
      </c>
      <c r="UOX108" s="1" t="s">
        <v>122</v>
      </c>
      <c r="UOY108" s="1" t="s">
        <v>122</v>
      </c>
      <c r="UOZ108" s="1" t="s">
        <v>122</v>
      </c>
      <c r="UPA108" s="1" t="s">
        <v>122</v>
      </c>
      <c r="UPB108" s="1" t="s">
        <v>122</v>
      </c>
      <c r="UPC108" s="1" t="s">
        <v>122</v>
      </c>
      <c r="UPD108" s="1" t="s">
        <v>122</v>
      </c>
      <c r="UPE108" s="1" t="s">
        <v>122</v>
      </c>
      <c r="UPF108" s="1" t="s">
        <v>122</v>
      </c>
      <c r="UPG108" s="1" t="s">
        <v>122</v>
      </c>
      <c r="UPH108" s="1" t="s">
        <v>122</v>
      </c>
      <c r="UPI108" s="1" t="s">
        <v>122</v>
      </c>
      <c r="UPJ108" s="1" t="s">
        <v>122</v>
      </c>
      <c r="UPK108" s="1" t="s">
        <v>122</v>
      </c>
      <c r="UPL108" s="1" t="s">
        <v>122</v>
      </c>
      <c r="UPM108" s="1" t="s">
        <v>122</v>
      </c>
      <c r="UPN108" s="1" t="s">
        <v>122</v>
      </c>
      <c r="UPO108" s="1" t="s">
        <v>122</v>
      </c>
      <c r="UPP108" s="1" t="s">
        <v>122</v>
      </c>
      <c r="UPQ108" s="1" t="s">
        <v>122</v>
      </c>
      <c r="UPR108" s="1" t="s">
        <v>122</v>
      </c>
      <c r="UPS108" s="1" t="s">
        <v>122</v>
      </c>
      <c r="UPT108" s="1" t="s">
        <v>122</v>
      </c>
      <c r="UPU108" s="1" t="s">
        <v>122</v>
      </c>
      <c r="UPV108" s="1" t="s">
        <v>122</v>
      </c>
      <c r="UPW108" s="1" t="s">
        <v>122</v>
      </c>
      <c r="UPX108" s="1" t="s">
        <v>122</v>
      </c>
      <c r="UPY108" s="1" t="s">
        <v>122</v>
      </c>
      <c r="UPZ108" s="1" t="s">
        <v>122</v>
      </c>
      <c r="UQA108" s="1" t="s">
        <v>122</v>
      </c>
      <c r="UQB108" s="1" t="s">
        <v>122</v>
      </c>
      <c r="UQC108" s="1" t="s">
        <v>122</v>
      </c>
      <c r="UQD108" s="1" t="s">
        <v>122</v>
      </c>
      <c r="UQE108" s="1" t="s">
        <v>122</v>
      </c>
      <c r="UQF108" s="1" t="s">
        <v>122</v>
      </c>
      <c r="UQG108" s="1" t="s">
        <v>122</v>
      </c>
      <c r="UQH108" s="1" t="s">
        <v>122</v>
      </c>
      <c r="UQI108" s="1" t="s">
        <v>122</v>
      </c>
      <c r="UQJ108" s="1" t="s">
        <v>122</v>
      </c>
      <c r="UQK108" s="1" t="s">
        <v>122</v>
      </c>
      <c r="UQL108" s="1" t="s">
        <v>122</v>
      </c>
      <c r="UQM108" s="1" t="s">
        <v>122</v>
      </c>
      <c r="UQN108" s="1" t="s">
        <v>122</v>
      </c>
      <c r="UQO108" s="1" t="s">
        <v>122</v>
      </c>
      <c r="UQP108" s="1" t="s">
        <v>122</v>
      </c>
      <c r="UQQ108" s="1" t="s">
        <v>122</v>
      </c>
      <c r="UQR108" s="1" t="s">
        <v>122</v>
      </c>
      <c r="UQS108" s="1" t="s">
        <v>122</v>
      </c>
      <c r="UQT108" s="1" t="s">
        <v>122</v>
      </c>
      <c r="UQU108" s="1" t="s">
        <v>122</v>
      </c>
      <c r="UQV108" s="1" t="s">
        <v>122</v>
      </c>
      <c r="UQW108" s="1" t="s">
        <v>122</v>
      </c>
      <c r="UQX108" s="1" t="s">
        <v>122</v>
      </c>
      <c r="UQY108" s="1" t="s">
        <v>122</v>
      </c>
      <c r="UQZ108" s="1" t="s">
        <v>122</v>
      </c>
      <c r="URA108" s="1" t="s">
        <v>122</v>
      </c>
      <c r="URB108" s="1" t="s">
        <v>122</v>
      </c>
      <c r="URC108" s="1" t="s">
        <v>122</v>
      </c>
      <c r="URD108" s="1" t="s">
        <v>122</v>
      </c>
      <c r="URE108" s="1" t="s">
        <v>122</v>
      </c>
      <c r="URF108" s="1" t="s">
        <v>122</v>
      </c>
      <c r="URG108" s="1" t="s">
        <v>122</v>
      </c>
      <c r="URH108" s="1" t="s">
        <v>122</v>
      </c>
      <c r="URI108" s="1" t="s">
        <v>122</v>
      </c>
      <c r="URJ108" s="1" t="s">
        <v>122</v>
      </c>
      <c r="URK108" s="1" t="s">
        <v>122</v>
      </c>
      <c r="URL108" s="1" t="s">
        <v>122</v>
      </c>
      <c r="URM108" s="1" t="s">
        <v>122</v>
      </c>
      <c r="URN108" s="1" t="s">
        <v>122</v>
      </c>
      <c r="URO108" s="1" t="s">
        <v>122</v>
      </c>
      <c r="URP108" s="1" t="s">
        <v>122</v>
      </c>
      <c r="URQ108" s="1" t="s">
        <v>122</v>
      </c>
      <c r="URR108" s="1" t="s">
        <v>122</v>
      </c>
      <c r="URS108" s="1" t="s">
        <v>122</v>
      </c>
      <c r="URT108" s="1" t="s">
        <v>122</v>
      </c>
      <c r="URU108" s="1" t="s">
        <v>122</v>
      </c>
      <c r="URV108" s="1" t="s">
        <v>122</v>
      </c>
      <c r="URW108" s="1" t="s">
        <v>122</v>
      </c>
      <c r="URX108" s="1" t="s">
        <v>122</v>
      </c>
      <c r="URY108" s="1" t="s">
        <v>122</v>
      </c>
      <c r="URZ108" s="1" t="s">
        <v>122</v>
      </c>
      <c r="USA108" s="1" t="s">
        <v>122</v>
      </c>
      <c r="USB108" s="1" t="s">
        <v>122</v>
      </c>
      <c r="USC108" s="1" t="s">
        <v>122</v>
      </c>
      <c r="USD108" s="1" t="s">
        <v>122</v>
      </c>
      <c r="USE108" s="1" t="s">
        <v>122</v>
      </c>
      <c r="USF108" s="1" t="s">
        <v>122</v>
      </c>
      <c r="USG108" s="1" t="s">
        <v>122</v>
      </c>
      <c r="USH108" s="1" t="s">
        <v>122</v>
      </c>
      <c r="USI108" s="1" t="s">
        <v>122</v>
      </c>
      <c r="USJ108" s="1" t="s">
        <v>122</v>
      </c>
      <c r="USK108" s="1" t="s">
        <v>122</v>
      </c>
      <c r="USL108" s="1" t="s">
        <v>122</v>
      </c>
      <c r="USM108" s="1" t="s">
        <v>122</v>
      </c>
      <c r="USN108" s="1" t="s">
        <v>122</v>
      </c>
      <c r="USO108" s="1" t="s">
        <v>122</v>
      </c>
      <c r="USP108" s="1" t="s">
        <v>122</v>
      </c>
      <c r="USQ108" s="1" t="s">
        <v>122</v>
      </c>
      <c r="USR108" s="1" t="s">
        <v>122</v>
      </c>
      <c r="USS108" s="1" t="s">
        <v>122</v>
      </c>
      <c r="UST108" s="1" t="s">
        <v>122</v>
      </c>
      <c r="USU108" s="1" t="s">
        <v>122</v>
      </c>
      <c r="USV108" s="1" t="s">
        <v>122</v>
      </c>
      <c r="USW108" s="1" t="s">
        <v>122</v>
      </c>
      <c r="USX108" s="1" t="s">
        <v>122</v>
      </c>
      <c r="USY108" s="1" t="s">
        <v>122</v>
      </c>
      <c r="USZ108" s="1" t="s">
        <v>122</v>
      </c>
      <c r="UTA108" s="1" t="s">
        <v>122</v>
      </c>
      <c r="UTB108" s="1" t="s">
        <v>122</v>
      </c>
      <c r="UTC108" s="1" t="s">
        <v>122</v>
      </c>
      <c r="UTD108" s="1" t="s">
        <v>122</v>
      </c>
      <c r="UTE108" s="1" t="s">
        <v>122</v>
      </c>
      <c r="UTF108" s="1" t="s">
        <v>122</v>
      </c>
      <c r="UTG108" s="1" t="s">
        <v>122</v>
      </c>
      <c r="UTH108" s="1" t="s">
        <v>122</v>
      </c>
      <c r="UTI108" s="1" t="s">
        <v>122</v>
      </c>
      <c r="UTJ108" s="1" t="s">
        <v>122</v>
      </c>
      <c r="UTK108" s="1" t="s">
        <v>122</v>
      </c>
      <c r="UTL108" s="1" t="s">
        <v>122</v>
      </c>
      <c r="UTM108" s="1" t="s">
        <v>122</v>
      </c>
      <c r="UTN108" s="1" t="s">
        <v>122</v>
      </c>
      <c r="UTO108" s="1" t="s">
        <v>122</v>
      </c>
      <c r="UTP108" s="1" t="s">
        <v>122</v>
      </c>
      <c r="UTQ108" s="1" t="s">
        <v>122</v>
      </c>
      <c r="UTR108" s="1" t="s">
        <v>122</v>
      </c>
      <c r="UTS108" s="1" t="s">
        <v>122</v>
      </c>
      <c r="UTT108" s="1" t="s">
        <v>122</v>
      </c>
      <c r="UTU108" s="1" t="s">
        <v>122</v>
      </c>
      <c r="UTV108" s="1" t="s">
        <v>122</v>
      </c>
      <c r="UTW108" s="1" t="s">
        <v>122</v>
      </c>
      <c r="UTX108" s="1" t="s">
        <v>122</v>
      </c>
      <c r="UTY108" s="1" t="s">
        <v>122</v>
      </c>
      <c r="UTZ108" s="1" t="s">
        <v>122</v>
      </c>
      <c r="UUA108" s="1" t="s">
        <v>122</v>
      </c>
      <c r="UUB108" s="1" t="s">
        <v>122</v>
      </c>
      <c r="UUC108" s="1" t="s">
        <v>122</v>
      </c>
      <c r="UUD108" s="1" t="s">
        <v>122</v>
      </c>
      <c r="UUE108" s="1" t="s">
        <v>122</v>
      </c>
      <c r="UUF108" s="1" t="s">
        <v>122</v>
      </c>
      <c r="UUG108" s="1" t="s">
        <v>122</v>
      </c>
      <c r="UUH108" s="1" t="s">
        <v>122</v>
      </c>
      <c r="UUI108" s="1" t="s">
        <v>122</v>
      </c>
      <c r="UUJ108" s="1" t="s">
        <v>122</v>
      </c>
      <c r="UUK108" s="1" t="s">
        <v>122</v>
      </c>
      <c r="UUL108" s="1" t="s">
        <v>122</v>
      </c>
      <c r="UUM108" s="1" t="s">
        <v>122</v>
      </c>
      <c r="UUN108" s="1" t="s">
        <v>122</v>
      </c>
      <c r="UUO108" s="1" t="s">
        <v>122</v>
      </c>
      <c r="UUP108" s="1" t="s">
        <v>122</v>
      </c>
      <c r="UUQ108" s="1" t="s">
        <v>122</v>
      </c>
      <c r="UUR108" s="1" t="s">
        <v>122</v>
      </c>
      <c r="UUS108" s="1" t="s">
        <v>122</v>
      </c>
      <c r="UUT108" s="1" t="s">
        <v>122</v>
      </c>
      <c r="UUU108" s="1" t="s">
        <v>122</v>
      </c>
      <c r="UUV108" s="1" t="s">
        <v>122</v>
      </c>
      <c r="UUW108" s="1" t="s">
        <v>122</v>
      </c>
      <c r="UUX108" s="1" t="s">
        <v>122</v>
      </c>
      <c r="UUY108" s="1" t="s">
        <v>122</v>
      </c>
      <c r="UUZ108" s="1" t="s">
        <v>122</v>
      </c>
      <c r="UVA108" s="1" t="s">
        <v>122</v>
      </c>
      <c r="UVB108" s="1" t="s">
        <v>122</v>
      </c>
      <c r="UVC108" s="1" t="s">
        <v>122</v>
      </c>
      <c r="UVD108" s="1" t="s">
        <v>122</v>
      </c>
      <c r="UVE108" s="1" t="s">
        <v>122</v>
      </c>
      <c r="UVF108" s="1" t="s">
        <v>122</v>
      </c>
      <c r="UVG108" s="1" t="s">
        <v>122</v>
      </c>
      <c r="UVH108" s="1" t="s">
        <v>122</v>
      </c>
      <c r="UVI108" s="1" t="s">
        <v>122</v>
      </c>
      <c r="UVJ108" s="1" t="s">
        <v>122</v>
      </c>
      <c r="UVK108" s="1" t="s">
        <v>122</v>
      </c>
      <c r="UVL108" s="1" t="s">
        <v>122</v>
      </c>
      <c r="UVM108" s="1" t="s">
        <v>122</v>
      </c>
      <c r="UVN108" s="1" t="s">
        <v>122</v>
      </c>
      <c r="UVO108" s="1" t="s">
        <v>122</v>
      </c>
      <c r="UVP108" s="1" t="s">
        <v>122</v>
      </c>
      <c r="UVQ108" s="1" t="s">
        <v>122</v>
      </c>
      <c r="UVR108" s="1" t="s">
        <v>122</v>
      </c>
      <c r="UVS108" s="1" t="s">
        <v>122</v>
      </c>
      <c r="UVT108" s="1" t="s">
        <v>122</v>
      </c>
      <c r="UVU108" s="1" t="s">
        <v>122</v>
      </c>
      <c r="UVV108" s="1" t="s">
        <v>122</v>
      </c>
      <c r="UVW108" s="1" t="s">
        <v>122</v>
      </c>
      <c r="UVX108" s="1" t="s">
        <v>122</v>
      </c>
      <c r="UVY108" s="1" t="s">
        <v>122</v>
      </c>
      <c r="UVZ108" s="1" t="s">
        <v>122</v>
      </c>
      <c r="UWA108" s="1" t="s">
        <v>122</v>
      </c>
      <c r="UWB108" s="1" t="s">
        <v>122</v>
      </c>
      <c r="UWC108" s="1" t="s">
        <v>122</v>
      </c>
      <c r="UWD108" s="1" t="s">
        <v>122</v>
      </c>
      <c r="UWE108" s="1" t="s">
        <v>122</v>
      </c>
      <c r="UWF108" s="1" t="s">
        <v>122</v>
      </c>
      <c r="UWG108" s="1" t="s">
        <v>122</v>
      </c>
      <c r="UWH108" s="1" t="s">
        <v>122</v>
      </c>
      <c r="UWI108" s="1" t="s">
        <v>122</v>
      </c>
      <c r="UWJ108" s="1" t="s">
        <v>122</v>
      </c>
      <c r="UWK108" s="1" t="s">
        <v>122</v>
      </c>
      <c r="UWL108" s="1" t="s">
        <v>122</v>
      </c>
      <c r="UWM108" s="1" t="s">
        <v>122</v>
      </c>
      <c r="UWN108" s="1" t="s">
        <v>122</v>
      </c>
      <c r="UWO108" s="1" t="s">
        <v>122</v>
      </c>
      <c r="UWP108" s="1" t="s">
        <v>122</v>
      </c>
      <c r="UWQ108" s="1" t="s">
        <v>122</v>
      </c>
      <c r="UWR108" s="1" t="s">
        <v>122</v>
      </c>
      <c r="UWS108" s="1" t="s">
        <v>122</v>
      </c>
      <c r="UWT108" s="1" t="s">
        <v>122</v>
      </c>
      <c r="UWU108" s="1" t="s">
        <v>122</v>
      </c>
      <c r="UWV108" s="1" t="s">
        <v>122</v>
      </c>
      <c r="UWW108" s="1" t="s">
        <v>122</v>
      </c>
      <c r="UWX108" s="1" t="s">
        <v>122</v>
      </c>
      <c r="UWY108" s="1" t="s">
        <v>122</v>
      </c>
      <c r="UWZ108" s="1" t="s">
        <v>122</v>
      </c>
      <c r="UXA108" s="1" t="s">
        <v>122</v>
      </c>
      <c r="UXB108" s="1" t="s">
        <v>122</v>
      </c>
      <c r="UXC108" s="1" t="s">
        <v>122</v>
      </c>
      <c r="UXD108" s="1" t="s">
        <v>122</v>
      </c>
      <c r="UXE108" s="1" t="s">
        <v>122</v>
      </c>
      <c r="UXF108" s="1" t="s">
        <v>122</v>
      </c>
      <c r="UXG108" s="1" t="s">
        <v>122</v>
      </c>
      <c r="UXH108" s="1" t="s">
        <v>122</v>
      </c>
      <c r="UXI108" s="1" t="s">
        <v>122</v>
      </c>
      <c r="UXJ108" s="1" t="s">
        <v>122</v>
      </c>
      <c r="UXK108" s="1" t="s">
        <v>122</v>
      </c>
      <c r="UXL108" s="1" t="s">
        <v>122</v>
      </c>
      <c r="UXM108" s="1" t="s">
        <v>122</v>
      </c>
      <c r="UXN108" s="1" t="s">
        <v>122</v>
      </c>
      <c r="UXO108" s="1" t="s">
        <v>122</v>
      </c>
      <c r="UXP108" s="1" t="s">
        <v>122</v>
      </c>
      <c r="UXQ108" s="1" t="s">
        <v>122</v>
      </c>
      <c r="UXR108" s="1" t="s">
        <v>122</v>
      </c>
      <c r="UXS108" s="1" t="s">
        <v>122</v>
      </c>
      <c r="UXT108" s="1" t="s">
        <v>122</v>
      </c>
      <c r="UXU108" s="1" t="s">
        <v>122</v>
      </c>
      <c r="UXV108" s="1" t="s">
        <v>122</v>
      </c>
      <c r="UXW108" s="1" t="s">
        <v>122</v>
      </c>
      <c r="UXX108" s="1" t="s">
        <v>122</v>
      </c>
      <c r="UXY108" s="1" t="s">
        <v>122</v>
      </c>
      <c r="UXZ108" s="1" t="s">
        <v>122</v>
      </c>
      <c r="UYA108" s="1" t="s">
        <v>122</v>
      </c>
      <c r="UYB108" s="1" t="s">
        <v>122</v>
      </c>
      <c r="UYC108" s="1" t="s">
        <v>122</v>
      </c>
      <c r="UYD108" s="1" t="s">
        <v>122</v>
      </c>
      <c r="UYE108" s="1" t="s">
        <v>122</v>
      </c>
      <c r="UYF108" s="1" t="s">
        <v>122</v>
      </c>
      <c r="UYG108" s="1" t="s">
        <v>122</v>
      </c>
      <c r="UYH108" s="1" t="s">
        <v>122</v>
      </c>
      <c r="UYI108" s="1" t="s">
        <v>122</v>
      </c>
      <c r="UYJ108" s="1" t="s">
        <v>122</v>
      </c>
      <c r="UYK108" s="1" t="s">
        <v>122</v>
      </c>
      <c r="UYL108" s="1" t="s">
        <v>122</v>
      </c>
      <c r="UYM108" s="1" t="s">
        <v>122</v>
      </c>
      <c r="UYN108" s="1" t="s">
        <v>122</v>
      </c>
      <c r="UYO108" s="1" t="s">
        <v>122</v>
      </c>
      <c r="UYP108" s="1" t="s">
        <v>122</v>
      </c>
      <c r="UYQ108" s="1" t="s">
        <v>122</v>
      </c>
      <c r="UYR108" s="1" t="s">
        <v>122</v>
      </c>
      <c r="UYS108" s="1" t="s">
        <v>122</v>
      </c>
      <c r="UYT108" s="1" t="s">
        <v>122</v>
      </c>
      <c r="UYU108" s="1" t="s">
        <v>122</v>
      </c>
      <c r="UYV108" s="1" t="s">
        <v>122</v>
      </c>
      <c r="UYW108" s="1" t="s">
        <v>122</v>
      </c>
      <c r="UYX108" s="1" t="s">
        <v>122</v>
      </c>
      <c r="UYY108" s="1" t="s">
        <v>122</v>
      </c>
      <c r="UYZ108" s="1" t="s">
        <v>122</v>
      </c>
      <c r="UZA108" s="1" t="s">
        <v>122</v>
      </c>
      <c r="UZB108" s="1" t="s">
        <v>122</v>
      </c>
      <c r="UZC108" s="1" t="s">
        <v>122</v>
      </c>
      <c r="UZD108" s="1" t="s">
        <v>122</v>
      </c>
      <c r="UZE108" s="1" t="s">
        <v>122</v>
      </c>
      <c r="UZF108" s="1" t="s">
        <v>122</v>
      </c>
      <c r="UZG108" s="1" t="s">
        <v>122</v>
      </c>
      <c r="UZH108" s="1" t="s">
        <v>122</v>
      </c>
      <c r="UZI108" s="1" t="s">
        <v>122</v>
      </c>
      <c r="UZJ108" s="1" t="s">
        <v>122</v>
      </c>
      <c r="UZK108" s="1" t="s">
        <v>122</v>
      </c>
      <c r="UZL108" s="1" t="s">
        <v>122</v>
      </c>
      <c r="UZM108" s="1" t="s">
        <v>122</v>
      </c>
      <c r="UZN108" s="1" t="s">
        <v>122</v>
      </c>
      <c r="UZO108" s="1" t="s">
        <v>122</v>
      </c>
      <c r="UZP108" s="1" t="s">
        <v>122</v>
      </c>
      <c r="UZQ108" s="1" t="s">
        <v>122</v>
      </c>
      <c r="UZR108" s="1" t="s">
        <v>122</v>
      </c>
      <c r="UZS108" s="1" t="s">
        <v>122</v>
      </c>
      <c r="UZT108" s="1" t="s">
        <v>122</v>
      </c>
      <c r="UZU108" s="1" t="s">
        <v>122</v>
      </c>
      <c r="UZV108" s="1" t="s">
        <v>122</v>
      </c>
      <c r="UZW108" s="1" t="s">
        <v>122</v>
      </c>
      <c r="UZX108" s="1" t="s">
        <v>122</v>
      </c>
      <c r="UZY108" s="1" t="s">
        <v>122</v>
      </c>
      <c r="UZZ108" s="1" t="s">
        <v>122</v>
      </c>
      <c r="VAA108" s="1" t="s">
        <v>122</v>
      </c>
      <c r="VAB108" s="1" t="s">
        <v>122</v>
      </c>
      <c r="VAC108" s="1" t="s">
        <v>122</v>
      </c>
      <c r="VAD108" s="1" t="s">
        <v>122</v>
      </c>
      <c r="VAE108" s="1" t="s">
        <v>122</v>
      </c>
      <c r="VAF108" s="1" t="s">
        <v>122</v>
      </c>
      <c r="VAG108" s="1" t="s">
        <v>122</v>
      </c>
      <c r="VAH108" s="1" t="s">
        <v>122</v>
      </c>
      <c r="VAI108" s="1" t="s">
        <v>122</v>
      </c>
      <c r="VAJ108" s="1" t="s">
        <v>122</v>
      </c>
      <c r="VAK108" s="1" t="s">
        <v>122</v>
      </c>
      <c r="VAL108" s="1" t="s">
        <v>122</v>
      </c>
      <c r="VAM108" s="1" t="s">
        <v>122</v>
      </c>
      <c r="VAN108" s="1" t="s">
        <v>122</v>
      </c>
      <c r="VAO108" s="1" t="s">
        <v>122</v>
      </c>
      <c r="VAP108" s="1" t="s">
        <v>122</v>
      </c>
      <c r="VAQ108" s="1" t="s">
        <v>122</v>
      </c>
      <c r="VAR108" s="1" t="s">
        <v>122</v>
      </c>
      <c r="VAS108" s="1" t="s">
        <v>122</v>
      </c>
      <c r="VAT108" s="1" t="s">
        <v>122</v>
      </c>
      <c r="VAU108" s="1" t="s">
        <v>122</v>
      </c>
      <c r="VAV108" s="1" t="s">
        <v>122</v>
      </c>
      <c r="VAW108" s="1" t="s">
        <v>122</v>
      </c>
      <c r="VAX108" s="1" t="s">
        <v>122</v>
      </c>
      <c r="VAY108" s="1" t="s">
        <v>122</v>
      </c>
      <c r="VAZ108" s="1" t="s">
        <v>122</v>
      </c>
      <c r="VBA108" s="1" t="s">
        <v>122</v>
      </c>
      <c r="VBB108" s="1" t="s">
        <v>122</v>
      </c>
      <c r="VBC108" s="1" t="s">
        <v>122</v>
      </c>
      <c r="VBD108" s="1" t="s">
        <v>122</v>
      </c>
      <c r="VBE108" s="1" t="s">
        <v>122</v>
      </c>
      <c r="VBF108" s="1" t="s">
        <v>122</v>
      </c>
      <c r="VBG108" s="1" t="s">
        <v>122</v>
      </c>
      <c r="VBH108" s="1" t="s">
        <v>122</v>
      </c>
      <c r="VBI108" s="1" t="s">
        <v>122</v>
      </c>
      <c r="VBJ108" s="1" t="s">
        <v>122</v>
      </c>
      <c r="VBK108" s="1" t="s">
        <v>122</v>
      </c>
      <c r="VBL108" s="1" t="s">
        <v>122</v>
      </c>
      <c r="VBM108" s="1" t="s">
        <v>122</v>
      </c>
      <c r="VBN108" s="1" t="s">
        <v>122</v>
      </c>
      <c r="VBO108" s="1" t="s">
        <v>122</v>
      </c>
      <c r="VBP108" s="1" t="s">
        <v>122</v>
      </c>
      <c r="VBQ108" s="1" t="s">
        <v>122</v>
      </c>
      <c r="VBR108" s="1" t="s">
        <v>122</v>
      </c>
      <c r="VBS108" s="1" t="s">
        <v>122</v>
      </c>
      <c r="VBT108" s="1" t="s">
        <v>122</v>
      </c>
      <c r="VBU108" s="1" t="s">
        <v>122</v>
      </c>
      <c r="VBV108" s="1" t="s">
        <v>122</v>
      </c>
      <c r="VBW108" s="1" t="s">
        <v>122</v>
      </c>
      <c r="VBX108" s="1" t="s">
        <v>122</v>
      </c>
      <c r="VBY108" s="1" t="s">
        <v>122</v>
      </c>
      <c r="VBZ108" s="1" t="s">
        <v>122</v>
      </c>
      <c r="VCA108" s="1" t="s">
        <v>122</v>
      </c>
      <c r="VCB108" s="1" t="s">
        <v>122</v>
      </c>
      <c r="VCC108" s="1" t="s">
        <v>122</v>
      </c>
      <c r="VCD108" s="1" t="s">
        <v>122</v>
      </c>
      <c r="VCE108" s="1" t="s">
        <v>122</v>
      </c>
      <c r="VCF108" s="1" t="s">
        <v>122</v>
      </c>
      <c r="VCG108" s="1" t="s">
        <v>122</v>
      </c>
      <c r="VCH108" s="1" t="s">
        <v>122</v>
      </c>
      <c r="VCI108" s="1" t="s">
        <v>122</v>
      </c>
      <c r="VCJ108" s="1" t="s">
        <v>122</v>
      </c>
      <c r="VCK108" s="1" t="s">
        <v>122</v>
      </c>
      <c r="VCL108" s="1" t="s">
        <v>122</v>
      </c>
      <c r="VCM108" s="1" t="s">
        <v>122</v>
      </c>
      <c r="VCN108" s="1" t="s">
        <v>122</v>
      </c>
      <c r="VCO108" s="1" t="s">
        <v>122</v>
      </c>
      <c r="VCP108" s="1" t="s">
        <v>122</v>
      </c>
      <c r="VCQ108" s="1" t="s">
        <v>122</v>
      </c>
      <c r="VCR108" s="1" t="s">
        <v>122</v>
      </c>
      <c r="VCS108" s="1" t="s">
        <v>122</v>
      </c>
      <c r="VCT108" s="1" t="s">
        <v>122</v>
      </c>
      <c r="VCU108" s="1" t="s">
        <v>122</v>
      </c>
      <c r="VCV108" s="1" t="s">
        <v>122</v>
      </c>
      <c r="VCW108" s="1" t="s">
        <v>122</v>
      </c>
      <c r="VCX108" s="1" t="s">
        <v>122</v>
      </c>
      <c r="VCY108" s="1" t="s">
        <v>122</v>
      </c>
      <c r="VCZ108" s="1" t="s">
        <v>122</v>
      </c>
      <c r="VDA108" s="1" t="s">
        <v>122</v>
      </c>
      <c r="VDB108" s="1" t="s">
        <v>122</v>
      </c>
      <c r="VDC108" s="1" t="s">
        <v>122</v>
      </c>
      <c r="VDD108" s="1" t="s">
        <v>122</v>
      </c>
      <c r="VDE108" s="1" t="s">
        <v>122</v>
      </c>
      <c r="VDF108" s="1" t="s">
        <v>122</v>
      </c>
      <c r="VDG108" s="1" t="s">
        <v>122</v>
      </c>
      <c r="VDH108" s="1" t="s">
        <v>122</v>
      </c>
      <c r="VDI108" s="1" t="s">
        <v>122</v>
      </c>
      <c r="VDJ108" s="1" t="s">
        <v>122</v>
      </c>
      <c r="VDK108" s="1" t="s">
        <v>122</v>
      </c>
      <c r="VDL108" s="1" t="s">
        <v>122</v>
      </c>
      <c r="VDM108" s="1" t="s">
        <v>122</v>
      </c>
      <c r="VDN108" s="1" t="s">
        <v>122</v>
      </c>
      <c r="VDO108" s="1" t="s">
        <v>122</v>
      </c>
      <c r="VDP108" s="1" t="s">
        <v>122</v>
      </c>
      <c r="VDQ108" s="1" t="s">
        <v>122</v>
      </c>
      <c r="VDR108" s="1" t="s">
        <v>122</v>
      </c>
      <c r="VDS108" s="1" t="s">
        <v>122</v>
      </c>
      <c r="VDT108" s="1" t="s">
        <v>122</v>
      </c>
      <c r="VDU108" s="1" t="s">
        <v>122</v>
      </c>
      <c r="VDV108" s="1" t="s">
        <v>122</v>
      </c>
      <c r="VDW108" s="1" t="s">
        <v>122</v>
      </c>
      <c r="VDX108" s="1" t="s">
        <v>122</v>
      </c>
      <c r="VDY108" s="1" t="s">
        <v>122</v>
      </c>
      <c r="VDZ108" s="1" t="s">
        <v>122</v>
      </c>
      <c r="VEA108" s="1" t="s">
        <v>122</v>
      </c>
      <c r="VEB108" s="1" t="s">
        <v>122</v>
      </c>
      <c r="VEC108" s="1" t="s">
        <v>122</v>
      </c>
      <c r="VED108" s="1" t="s">
        <v>122</v>
      </c>
      <c r="VEE108" s="1" t="s">
        <v>122</v>
      </c>
      <c r="VEF108" s="1" t="s">
        <v>122</v>
      </c>
      <c r="VEG108" s="1" t="s">
        <v>122</v>
      </c>
      <c r="VEH108" s="1" t="s">
        <v>122</v>
      </c>
      <c r="VEI108" s="1" t="s">
        <v>122</v>
      </c>
      <c r="VEJ108" s="1" t="s">
        <v>122</v>
      </c>
      <c r="VEK108" s="1" t="s">
        <v>122</v>
      </c>
      <c r="VEL108" s="1" t="s">
        <v>122</v>
      </c>
      <c r="VEM108" s="1" t="s">
        <v>122</v>
      </c>
      <c r="VEN108" s="1" t="s">
        <v>122</v>
      </c>
      <c r="VEO108" s="1" t="s">
        <v>122</v>
      </c>
      <c r="VEP108" s="1" t="s">
        <v>122</v>
      </c>
      <c r="VEQ108" s="1" t="s">
        <v>122</v>
      </c>
      <c r="VER108" s="1" t="s">
        <v>122</v>
      </c>
      <c r="VES108" s="1" t="s">
        <v>122</v>
      </c>
      <c r="VET108" s="1" t="s">
        <v>122</v>
      </c>
      <c r="VEU108" s="1" t="s">
        <v>122</v>
      </c>
      <c r="VEV108" s="1" t="s">
        <v>122</v>
      </c>
      <c r="VEW108" s="1" t="s">
        <v>122</v>
      </c>
      <c r="VEX108" s="1" t="s">
        <v>122</v>
      </c>
      <c r="VEY108" s="1" t="s">
        <v>122</v>
      </c>
      <c r="VEZ108" s="1" t="s">
        <v>122</v>
      </c>
      <c r="VFA108" s="1" t="s">
        <v>122</v>
      </c>
      <c r="VFB108" s="1" t="s">
        <v>122</v>
      </c>
      <c r="VFC108" s="1" t="s">
        <v>122</v>
      </c>
      <c r="VFD108" s="1" t="s">
        <v>122</v>
      </c>
      <c r="VFE108" s="1" t="s">
        <v>122</v>
      </c>
      <c r="VFF108" s="1" t="s">
        <v>122</v>
      </c>
      <c r="VFG108" s="1" t="s">
        <v>122</v>
      </c>
      <c r="VFH108" s="1" t="s">
        <v>122</v>
      </c>
      <c r="VFI108" s="1" t="s">
        <v>122</v>
      </c>
      <c r="VFJ108" s="1" t="s">
        <v>122</v>
      </c>
      <c r="VFK108" s="1" t="s">
        <v>122</v>
      </c>
      <c r="VFL108" s="1" t="s">
        <v>122</v>
      </c>
      <c r="VFM108" s="1" t="s">
        <v>122</v>
      </c>
      <c r="VFN108" s="1" t="s">
        <v>122</v>
      </c>
      <c r="VFO108" s="1" t="s">
        <v>122</v>
      </c>
      <c r="VFP108" s="1" t="s">
        <v>122</v>
      </c>
      <c r="VFQ108" s="1" t="s">
        <v>122</v>
      </c>
      <c r="VFR108" s="1" t="s">
        <v>122</v>
      </c>
      <c r="VFS108" s="1" t="s">
        <v>122</v>
      </c>
      <c r="VFT108" s="1" t="s">
        <v>122</v>
      </c>
      <c r="VFU108" s="1" t="s">
        <v>122</v>
      </c>
      <c r="VFV108" s="1" t="s">
        <v>122</v>
      </c>
      <c r="VFW108" s="1" t="s">
        <v>122</v>
      </c>
      <c r="VFX108" s="1" t="s">
        <v>122</v>
      </c>
      <c r="VFY108" s="1" t="s">
        <v>122</v>
      </c>
      <c r="VFZ108" s="1" t="s">
        <v>122</v>
      </c>
      <c r="VGA108" s="1" t="s">
        <v>122</v>
      </c>
      <c r="VGB108" s="1" t="s">
        <v>122</v>
      </c>
      <c r="VGC108" s="1" t="s">
        <v>122</v>
      </c>
      <c r="VGD108" s="1" t="s">
        <v>122</v>
      </c>
      <c r="VGE108" s="1" t="s">
        <v>122</v>
      </c>
      <c r="VGF108" s="1" t="s">
        <v>122</v>
      </c>
      <c r="VGG108" s="1" t="s">
        <v>122</v>
      </c>
      <c r="VGH108" s="1" t="s">
        <v>122</v>
      </c>
      <c r="VGI108" s="1" t="s">
        <v>122</v>
      </c>
      <c r="VGJ108" s="1" t="s">
        <v>122</v>
      </c>
      <c r="VGK108" s="1" t="s">
        <v>122</v>
      </c>
      <c r="VGL108" s="1" t="s">
        <v>122</v>
      </c>
      <c r="VGM108" s="1" t="s">
        <v>122</v>
      </c>
      <c r="VGN108" s="1" t="s">
        <v>122</v>
      </c>
      <c r="VGO108" s="1" t="s">
        <v>122</v>
      </c>
      <c r="VGP108" s="1" t="s">
        <v>122</v>
      </c>
      <c r="VGQ108" s="1" t="s">
        <v>122</v>
      </c>
      <c r="VGR108" s="1" t="s">
        <v>122</v>
      </c>
      <c r="VGS108" s="1" t="s">
        <v>122</v>
      </c>
      <c r="VGT108" s="1" t="s">
        <v>122</v>
      </c>
      <c r="VGU108" s="1" t="s">
        <v>122</v>
      </c>
      <c r="VGV108" s="1" t="s">
        <v>122</v>
      </c>
      <c r="VGW108" s="1" t="s">
        <v>122</v>
      </c>
      <c r="VGX108" s="1" t="s">
        <v>122</v>
      </c>
      <c r="VGY108" s="1" t="s">
        <v>122</v>
      </c>
      <c r="VGZ108" s="1" t="s">
        <v>122</v>
      </c>
      <c r="VHA108" s="1" t="s">
        <v>122</v>
      </c>
      <c r="VHB108" s="1" t="s">
        <v>122</v>
      </c>
      <c r="VHC108" s="1" t="s">
        <v>122</v>
      </c>
      <c r="VHD108" s="1" t="s">
        <v>122</v>
      </c>
      <c r="VHE108" s="1" t="s">
        <v>122</v>
      </c>
      <c r="VHF108" s="1" t="s">
        <v>122</v>
      </c>
      <c r="VHG108" s="1" t="s">
        <v>122</v>
      </c>
      <c r="VHH108" s="1" t="s">
        <v>122</v>
      </c>
      <c r="VHI108" s="1" t="s">
        <v>122</v>
      </c>
      <c r="VHJ108" s="1" t="s">
        <v>122</v>
      </c>
      <c r="VHK108" s="1" t="s">
        <v>122</v>
      </c>
      <c r="VHL108" s="1" t="s">
        <v>122</v>
      </c>
      <c r="VHM108" s="1" t="s">
        <v>122</v>
      </c>
      <c r="VHN108" s="1" t="s">
        <v>122</v>
      </c>
      <c r="VHO108" s="1" t="s">
        <v>122</v>
      </c>
      <c r="VHP108" s="1" t="s">
        <v>122</v>
      </c>
      <c r="VHQ108" s="1" t="s">
        <v>122</v>
      </c>
      <c r="VHR108" s="1" t="s">
        <v>122</v>
      </c>
      <c r="VHS108" s="1" t="s">
        <v>122</v>
      </c>
      <c r="VHT108" s="1" t="s">
        <v>122</v>
      </c>
      <c r="VHU108" s="1" t="s">
        <v>122</v>
      </c>
      <c r="VHV108" s="1" t="s">
        <v>122</v>
      </c>
      <c r="VHW108" s="1" t="s">
        <v>122</v>
      </c>
      <c r="VHX108" s="1" t="s">
        <v>122</v>
      </c>
      <c r="VHY108" s="1" t="s">
        <v>122</v>
      </c>
      <c r="VHZ108" s="1" t="s">
        <v>122</v>
      </c>
      <c r="VIA108" s="1" t="s">
        <v>122</v>
      </c>
      <c r="VIB108" s="1" t="s">
        <v>122</v>
      </c>
      <c r="VIC108" s="1" t="s">
        <v>122</v>
      </c>
      <c r="VID108" s="1" t="s">
        <v>122</v>
      </c>
      <c r="VIE108" s="1" t="s">
        <v>122</v>
      </c>
      <c r="VIF108" s="1" t="s">
        <v>122</v>
      </c>
      <c r="VIG108" s="1" t="s">
        <v>122</v>
      </c>
      <c r="VIH108" s="1" t="s">
        <v>122</v>
      </c>
      <c r="VII108" s="1" t="s">
        <v>122</v>
      </c>
      <c r="VIJ108" s="1" t="s">
        <v>122</v>
      </c>
      <c r="VIK108" s="1" t="s">
        <v>122</v>
      </c>
      <c r="VIL108" s="1" t="s">
        <v>122</v>
      </c>
      <c r="VIM108" s="1" t="s">
        <v>122</v>
      </c>
      <c r="VIN108" s="1" t="s">
        <v>122</v>
      </c>
      <c r="VIO108" s="1" t="s">
        <v>122</v>
      </c>
      <c r="VIP108" s="1" t="s">
        <v>122</v>
      </c>
      <c r="VIQ108" s="1" t="s">
        <v>122</v>
      </c>
      <c r="VIR108" s="1" t="s">
        <v>122</v>
      </c>
      <c r="VIS108" s="1" t="s">
        <v>122</v>
      </c>
      <c r="VIT108" s="1" t="s">
        <v>122</v>
      </c>
      <c r="VIU108" s="1" t="s">
        <v>122</v>
      </c>
      <c r="VIV108" s="1" t="s">
        <v>122</v>
      </c>
      <c r="VIW108" s="1" t="s">
        <v>122</v>
      </c>
      <c r="VIX108" s="1" t="s">
        <v>122</v>
      </c>
      <c r="VIY108" s="1" t="s">
        <v>122</v>
      </c>
      <c r="VIZ108" s="1" t="s">
        <v>122</v>
      </c>
      <c r="VJA108" s="1" t="s">
        <v>122</v>
      </c>
      <c r="VJB108" s="1" t="s">
        <v>122</v>
      </c>
      <c r="VJC108" s="1" t="s">
        <v>122</v>
      </c>
      <c r="VJD108" s="1" t="s">
        <v>122</v>
      </c>
      <c r="VJE108" s="1" t="s">
        <v>122</v>
      </c>
      <c r="VJF108" s="1" t="s">
        <v>122</v>
      </c>
      <c r="VJG108" s="1" t="s">
        <v>122</v>
      </c>
      <c r="VJH108" s="1" t="s">
        <v>122</v>
      </c>
      <c r="VJI108" s="1" t="s">
        <v>122</v>
      </c>
      <c r="VJJ108" s="1" t="s">
        <v>122</v>
      </c>
      <c r="VJK108" s="1" t="s">
        <v>122</v>
      </c>
      <c r="VJL108" s="1" t="s">
        <v>122</v>
      </c>
      <c r="VJM108" s="1" t="s">
        <v>122</v>
      </c>
      <c r="VJN108" s="1" t="s">
        <v>122</v>
      </c>
      <c r="VJO108" s="1" t="s">
        <v>122</v>
      </c>
      <c r="VJP108" s="1" t="s">
        <v>122</v>
      </c>
      <c r="VJQ108" s="1" t="s">
        <v>122</v>
      </c>
      <c r="VJR108" s="1" t="s">
        <v>122</v>
      </c>
      <c r="VJS108" s="1" t="s">
        <v>122</v>
      </c>
      <c r="VJT108" s="1" t="s">
        <v>122</v>
      </c>
      <c r="VJU108" s="1" t="s">
        <v>122</v>
      </c>
      <c r="VJV108" s="1" t="s">
        <v>122</v>
      </c>
      <c r="VJW108" s="1" t="s">
        <v>122</v>
      </c>
      <c r="VJX108" s="1" t="s">
        <v>122</v>
      </c>
      <c r="VJY108" s="1" t="s">
        <v>122</v>
      </c>
      <c r="VJZ108" s="1" t="s">
        <v>122</v>
      </c>
      <c r="VKA108" s="1" t="s">
        <v>122</v>
      </c>
      <c r="VKB108" s="1" t="s">
        <v>122</v>
      </c>
      <c r="VKC108" s="1" t="s">
        <v>122</v>
      </c>
      <c r="VKD108" s="1" t="s">
        <v>122</v>
      </c>
      <c r="VKE108" s="1" t="s">
        <v>122</v>
      </c>
      <c r="VKF108" s="1" t="s">
        <v>122</v>
      </c>
      <c r="VKG108" s="1" t="s">
        <v>122</v>
      </c>
      <c r="VKH108" s="1" t="s">
        <v>122</v>
      </c>
      <c r="VKI108" s="1" t="s">
        <v>122</v>
      </c>
      <c r="VKJ108" s="1" t="s">
        <v>122</v>
      </c>
      <c r="VKK108" s="1" t="s">
        <v>122</v>
      </c>
      <c r="VKL108" s="1" t="s">
        <v>122</v>
      </c>
      <c r="VKM108" s="1" t="s">
        <v>122</v>
      </c>
      <c r="VKN108" s="1" t="s">
        <v>122</v>
      </c>
      <c r="VKO108" s="1" t="s">
        <v>122</v>
      </c>
      <c r="VKP108" s="1" t="s">
        <v>122</v>
      </c>
      <c r="VKQ108" s="1" t="s">
        <v>122</v>
      </c>
      <c r="VKR108" s="1" t="s">
        <v>122</v>
      </c>
      <c r="VKS108" s="1" t="s">
        <v>122</v>
      </c>
      <c r="VKT108" s="1" t="s">
        <v>122</v>
      </c>
      <c r="VKU108" s="1" t="s">
        <v>122</v>
      </c>
      <c r="VKV108" s="1" t="s">
        <v>122</v>
      </c>
      <c r="VKW108" s="1" t="s">
        <v>122</v>
      </c>
      <c r="VKX108" s="1" t="s">
        <v>122</v>
      </c>
      <c r="VKY108" s="1" t="s">
        <v>122</v>
      </c>
      <c r="VKZ108" s="1" t="s">
        <v>122</v>
      </c>
      <c r="VLA108" s="1" t="s">
        <v>122</v>
      </c>
      <c r="VLB108" s="1" t="s">
        <v>122</v>
      </c>
      <c r="VLC108" s="1" t="s">
        <v>122</v>
      </c>
      <c r="VLD108" s="1" t="s">
        <v>122</v>
      </c>
      <c r="VLE108" s="1" t="s">
        <v>122</v>
      </c>
      <c r="VLF108" s="1" t="s">
        <v>122</v>
      </c>
      <c r="VLG108" s="1" t="s">
        <v>122</v>
      </c>
      <c r="VLH108" s="1" t="s">
        <v>122</v>
      </c>
      <c r="VLI108" s="1" t="s">
        <v>122</v>
      </c>
      <c r="VLJ108" s="1" t="s">
        <v>122</v>
      </c>
      <c r="VLK108" s="1" t="s">
        <v>122</v>
      </c>
      <c r="VLL108" s="1" t="s">
        <v>122</v>
      </c>
      <c r="VLM108" s="1" t="s">
        <v>122</v>
      </c>
      <c r="VLN108" s="1" t="s">
        <v>122</v>
      </c>
      <c r="VLO108" s="1" t="s">
        <v>122</v>
      </c>
      <c r="VLP108" s="1" t="s">
        <v>122</v>
      </c>
      <c r="VLQ108" s="1" t="s">
        <v>122</v>
      </c>
      <c r="VLR108" s="1" t="s">
        <v>122</v>
      </c>
      <c r="VLS108" s="1" t="s">
        <v>122</v>
      </c>
      <c r="VLT108" s="1" t="s">
        <v>122</v>
      </c>
      <c r="VLU108" s="1" t="s">
        <v>122</v>
      </c>
      <c r="VLV108" s="1" t="s">
        <v>122</v>
      </c>
      <c r="VLW108" s="1" t="s">
        <v>122</v>
      </c>
      <c r="VLX108" s="1" t="s">
        <v>122</v>
      </c>
      <c r="VLY108" s="1" t="s">
        <v>122</v>
      </c>
      <c r="VLZ108" s="1" t="s">
        <v>122</v>
      </c>
      <c r="VMA108" s="1" t="s">
        <v>122</v>
      </c>
      <c r="VMB108" s="1" t="s">
        <v>122</v>
      </c>
      <c r="VMC108" s="1" t="s">
        <v>122</v>
      </c>
      <c r="VMD108" s="1" t="s">
        <v>122</v>
      </c>
      <c r="VME108" s="1" t="s">
        <v>122</v>
      </c>
      <c r="VMF108" s="1" t="s">
        <v>122</v>
      </c>
      <c r="VMG108" s="1" t="s">
        <v>122</v>
      </c>
      <c r="VMH108" s="1" t="s">
        <v>122</v>
      </c>
      <c r="VMI108" s="1" t="s">
        <v>122</v>
      </c>
      <c r="VMJ108" s="1" t="s">
        <v>122</v>
      </c>
      <c r="VMK108" s="1" t="s">
        <v>122</v>
      </c>
      <c r="VML108" s="1" t="s">
        <v>122</v>
      </c>
      <c r="VMM108" s="1" t="s">
        <v>122</v>
      </c>
      <c r="VMN108" s="1" t="s">
        <v>122</v>
      </c>
      <c r="VMO108" s="1" t="s">
        <v>122</v>
      </c>
      <c r="VMP108" s="1" t="s">
        <v>122</v>
      </c>
      <c r="VMQ108" s="1" t="s">
        <v>122</v>
      </c>
      <c r="VMR108" s="1" t="s">
        <v>122</v>
      </c>
      <c r="VMS108" s="1" t="s">
        <v>122</v>
      </c>
      <c r="VMT108" s="1" t="s">
        <v>122</v>
      </c>
      <c r="VMU108" s="1" t="s">
        <v>122</v>
      </c>
      <c r="VMV108" s="1" t="s">
        <v>122</v>
      </c>
      <c r="VMW108" s="1" t="s">
        <v>122</v>
      </c>
      <c r="VMX108" s="1" t="s">
        <v>122</v>
      </c>
      <c r="VMY108" s="1" t="s">
        <v>122</v>
      </c>
      <c r="VMZ108" s="1" t="s">
        <v>122</v>
      </c>
      <c r="VNA108" s="1" t="s">
        <v>122</v>
      </c>
      <c r="VNB108" s="1" t="s">
        <v>122</v>
      </c>
      <c r="VNC108" s="1" t="s">
        <v>122</v>
      </c>
      <c r="VND108" s="1" t="s">
        <v>122</v>
      </c>
      <c r="VNE108" s="1" t="s">
        <v>122</v>
      </c>
      <c r="VNF108" s="1" t="s">
        <v>122</v>
      </c>
      <c r="VNG108" s="1" t="s">
        <v>122</v>
      </c>
      <c r="VNH108" s="1" t="s">
        <v>122</v>
      </c>
      <c r="VNI108" s="1" t="s">
        <v>122</v>
      </c>
      <c r="VNJ108" s="1" t="s">
        <v>122</v>
      </c>
      <c r="VNK108" s="1" t="s">
        <v>122</v>
      </c>
      <c r="VNL108" s="1" t="s">
        <v>122</v>
      </c>
      <c r="VNM108" s="1" t="s">
        <v>122</v>
      </c>
      <c r="VNN108" s="1" t="s">
        <v>122</v>
      </c>
      <c r="VNO108" s="1" t="s">
        <v>122</v>
      </c>
      <c r="VNP108" s="1" t="s">
        <v>122</v>
      </c>
      <c r="VNQ108" s="1" t="s">
        <v>122</v>
      </c>
      <c r="VNR108" s="1" t="s">
        <v>122</v>
      </c>
      <c r="VNS108" s="1" t="s">
        <v>122</v>
      </c>
      <c r="VNT108" s="1" t="s">
        <v>122</v>
      </c>
      <c r="VNU108" s="1" t="s">
        <v>122</v>
      </c>
      <c r="VNV108" s="1" t="s">
        <v>122</v>
      </c>
      <c r="VNW108" s="1" t="s">
        <v>122</v>
      </c>
      <c r="VNX108" s="1" t="s">
        <v>122</v>
      </c>
      <c r="VNY108" s="1" t="s">
        <v>122</v>
      </c>
      <c r="VNZ108" s="1" t="s">
        <v>122</v>
      </c>
      <c r="VOA108" s="1" t="s">
        <v>122</v>
      </c>
      <c r="VOB108" s="1" t="s">
        <v>122</v>
      </c>
      <c r="VOC108" s="1" t="s">
        <v>122</v>
      </c>
      <c r="VOD108" s="1" t="s">
        <v>122</v>
      </c>
      <c r="VOE108" s="1" t="s">
        <v>122</v>
      </c>
      <c r="VOF108" s="1" t="s">
        <v>122</v>
      </c>
      <c r="VOG108" s="1" t="s">
        <v>122</v>
      </c>
      <c r="VOH108" s="1" t="s">
        <v>122</v>
      </c>
      <c r="VOI108" s="1" t="s">
        <v>122</v>
      </c>
      <c r="VOJ108" s="1" t="s">
        <v>122</v>
      </c>
      <c r="VOK108" s="1" t="s">
        <v>122</v>
      </c>
      <c r="VOL108" s="1" t="s">
        <v>122</v>
      </c>
      <c r="VOM108" s="1" t="s">
        <v>122</v>
      </c>
      <c r="VON108" s="1" t="s">
        <v>122</v>
      </c>
      <c r="VOO108" s="1" t="s">
        <v>122</v>
      </c>
      <c r="VOP108" s="1" t="s">
        <v>122</v>
      </c>
      <c r="VOQ108" s="1" t="s">
        <v>122</v>
      </c>
      <c r="VOR108" s="1" t="s">
        <v>122</v>
      </c>
      <c r="VOS108" s="1" t="s">
        <v>122</v>
      </c>
      <c r="VOT108" s="1" t="s">
        <v>122</v>
      </c>
      <c r="VOU108" s="1" t="s">
        <v>122</v>
      </c>
      <c r="VOV108" s="1" t="s">
        <v>122</v>
      </c>
      <c r="VOW108" s="1" t="s">
        <v>122</v>
      </c>
      <c r="VOX108" s="1" t="s">
        <v>122</v>
      </c>
      <c r="VOY108" s="1" t="s">
        <v>122</v>
      </c>
      <c r="VOZ108" s="1" t="s">
        <v>122</v>
      </c>
      <c r="VPA108" s="1" t="s">
        <v>122</v>
      </c>
      <c r="VPB108" s="1" t="s">
        <v>122</v>
      </c>
      <c r="VPC108" s="1" t="s">
        <v>122</v>
      </c>
      <c r="VPD108" s="1" t="s">
        <v>122</v>
      </c>
      <c r="VPE108" s="1" t="s">
        <v>122</v>
      </c>
      <c r="VPF108" s="1" t="s">
        <v>122</v>
      </c>
      <c r="VPG108" s="1" t="s">
        <v>122</v>
      </c>
      <c r="VPH108" s="1" t="s">
        <v>122</v>
      </c>
      <c r="VPI108" s="1" t="s">
        <v>122</v>
      </c>
      <c r="VPJ108" s="1" t="s">
        <v>122</v>
      </c>
      <c r="VPK108" s="1" t="s">
        <v>122</v>
      </c>
      <c r="VPL108" s="1" t="s">
        <v>122</v>
      </c>
      <c r="VPM108" s="1" t="s">
        <v>122</v>
      </c>
      <c r="VPN108" s="1" t="s">
        <v>122</v>
      </c>
      <c r="VPO108" s="1" t="s">
        <v>122</v>
      </c>
      <c r="VPP108" s="1" t="s">
        <v>122</v>
      </c>
      <c r="VPQ108" s="1" t="s">
        <v>122</v>
      </c>
      <c r="VPR108" s="1" t="s">
        <v>122</v>
      </c>
      <c r="VPS108" s="1" t="s">
        <v>122</v>
      </c>
      <c r="VPT108" s="1" t="s">
        <v>122</v>
      </c>
      <c r="VPU108" s="1" t="s">
        <v>122</v>
      </c>
      <c r="VPV108" s="1" t="s">
        <v>122</v>
      </c>
      <c r="VPW108" s="1" t="s">
        <v>122</v>
      </c>
      <c r="VPX108" s="1" t="s">
        <v>122</v>
      </c>
      <c r="VPY108" s="1" t="s">
        <v>122</v>
      </c>
      <c r="VPZ108" s="1" t="s">
        <v>122</v>
      </c>
      <c r="VQA108" s="1" t="s">
        <v>122</v>
      </c>
      <c r="VQB108" s="1" t="s">
        <v>122</v>
      </c>
      <c r="VQC108" s="1" t="s">
        <v>122</v>
      </c>
      <c r="VQD108" s="1" t="s">
        <v>122</v>
      </c>
      <c r="VQE108" s="1" t="s">
        <v>122</v>
      </c>
      <c r="VQF108" s="1" t="s">
        <v>122</v>
      </c>
      <c r="VQG108" s="1" t="s">
        <v>122</v>
      </c>
      <c r="VQH108" s="1" t="s">
        <v>122</v>
      </c>
      <c r="VQI108" s="1" t="s">
        <v>122</v>
      </c>
      <c r="VQJ108" s="1" t="s">
        <v>122</v>
      </c>
      <c r="VQK108" s="1" t="s">
        <v>122</v>
      </c>
      <c r="VQL108" s="1" t="s">
        <v>122</v>
      </c>
      <c r="VQM108" s="1" t="s">
        <v>122</v>
      </c>
      <c r="VQN108" s="1" t="s">
        <v>122</v>
      </c>
      <c r="VQO108" s="1" t="s">
        <v>122</v>
      </c>
      <c r="VQP108" s="1" t="s">
        <v>122</v>
      </c>
      <c r="VQQ108" s="1" t="s">
        <v>122</v>
      </c>
      <c r="VQR108" s="1" t="s">
        <v>122</v>
      </c>
      <c r="VQS108" s="1" t="s">
        <v>122</v>
      </c>
      <c r="VQT108" s="1" t="s">
        <v>122</v>
      </c>
      <c r="VQU108" s="1" t="s">
        <v>122</v>
      </c>
      <c r="VQV108" s="1" t="s">
        <v>122</v>
      </c>
      <c r="VQW108" s="1" t="s">
        <v>122</v>
      </c>
      <c r="VQX108" s="1" t="s">
        <v>122</v>
      </c>
      <c r="VQY108" s="1" t="s">
        <v>122</v>
      </c>
      <c r="VQZ108" s="1" t="s">
        <v>122</v>
      </c>
      <c r="VRA108" s="1" t="s">
        <v>122</v>
      </c>
      <c r="VRB108" s="1" t="s">
        <v>122</v>
      </c>
      <c r="VRC108" s="1" t="s">
        <v>122</v>
      </c>
      <c r="VRD108" s="1" t="s">
        <v>122</v>
      </c>
      <c r="VRE108" s="1" t="s">
        <v>122</v>
      </c>
      <c r="VRF108" s="1" t="s">
        <v>122</v>
      </c>
      <c r="VRG108" s="1" t="s">
        <v>122</v>
      </c>
      <c r="VRH108" s="1" t="s">
        <v>122</v>
      </c>
      <c r="VRI108" s="1" t="s">
        <v>122</v>
      </c>
      <c r="VRJ108" s="1" t="s">
        <v>122</v>
      </c>
      <c r="VRK108" s="1" t="s">
        <v>122</v>
      </c>
      <c r="VRL108" s="1" t="s">
        <v>122</v>
      </c>
      <c r="VRM108" s="1" t="s">
        <v>122</v>
      </c>
      <c r="VRN108" s="1" t="s">
        <v>122</v>
      </c>
      <c r="VRO108" s="1" t="s">
        <v>122</v>
      </c>
      <c r="VRP108" s="1" t="s">
        <v>122</v>
      </c>
      <c r="VRQ108" s="1" t="s">
        <v>122</v>
      </c>
      <c r="VRR108" s="1" t="s">
        <v>122</v>
      </c>
      <c r="VRS108" s="1" t="s">
        <v>122</v>
      </c>
      <c r="VRT108" s="1" t="s">
        <v>122</v>
      </c>
      <c r="VRU108" s="1" t="s">
        <v>122</v>
      </c>
      <c r="VRV108" s="1" t="s">
        <v>122</v>
      </c>
      <c r="VRW108" s="1" t="s">
        <v>122</v>
      </c>
      <c r="VRX108" s="1" t="s">
        <v>122</v>
      </c>
      <c r="VRY108" s="1" t="s">
        <v>122</v>
      </c>
      <c r="VRZ108" s="1" t="s">
        <v>122</v>
      </c>
      <c r="VSA108" s="1" t="s">
        <v>122</v>
      </c>
      <c r="VSB108" s="1" t="s">
        <v>122</v>
      </c>
      <c r="VSC108" s="1" t="s">
        <v>122</v>
      </c>
      <c r="VSD108" s="1" t="s">
        <v>122</v>
      </c>
      <c r="VSE108" s="1" t="s">
        <v>122</v>
      </c>
      <c r="VSF108" s="1" t="s">
        <v>122</v>
      </c>
      <c r="VSG108" s="1" t="s">
        <v>122</v>
      </c>
      <c r="VSH108" s="1" t="s">
        <v>122</v>
      </c>
      <c r="VSI108" s="1" t="s">
        <v>122</v>
      </c>
      <c r="VSJ108" s="1" t="s">
        <v>122</v>
      </c>
      <c r="VSK108" s="1" t="s">
        <v>122</v>
      </c>
      <c r="VSL108" s="1" t="s">
        <v>122</v>
      </c>
      <c r="VSM108" s="1" t="s">
        <v>122</v>
      </c>
      <c r="VSN108" s="1" t="s">
        <v>122</v>
      </c>
      <c r="VSO108" s="1" t="s">
        <v>122</v>
      </c>
      <c r="VSP108" s="1" t="s">
        <v>122</v>
      </c>
      <c r="VSQ108" s="1" t="s">
        <v>122</v>
      </c>
      <c r="VSR108" s="1" t="s">
        <v>122</v>
      </c>
      <c r="VSS108" s="1" t="s">
        <v>122</v>
      </c>
      <c r="VST108" s="1" t="s">
        <v>122</v>
      </c>
      <c r="VSU108" s="1" t="s">
        <v>122</v>
      </c>
      <c r="VSV108" s="1" t="s">
        <v>122</v>
      </c>
      <c r="VSW108" s="1" t="s">
        <v>122</v>
      </c>
      <c r="VSX108" s="1" t="s">
        <v>122</v>
      </c>
      <c r="VSY108" s="1" t="s">
        <v>122</v>
      </c>
      <c r="VSZ108" s="1" t="s">
        <v>122</v>
      </c>
      <c r="VTA108" s="1" t="s">
        <v>122</v>
      </c>
      <c r="VTB108" s="1" t="s">
        <v>122</v>
      </c>
      <c r="VTC108" s="1" t="s">
        <v>122</v>
      </c>
      <c r="VTD108" s="1" t="s">
        <v>122</v>
      </c>
      <c r="VTE108" s="1" t="s">
        <v>122</v>
      </c>
      <c r="VTF108" s="1" t="s">
        <v>122</v>
      </c>
      <c r="VTG108" s="1" t="s">
        <v>122</v>
      </c>
      <c r="VTH108" s="1" t="s">
        <v>122</v>
      </c>
      <c r="VTI108" s="1" t="s">
        <v>122</v>
      </c>
      <c r="VTJ108" s="1" t="s">
        <v>122</v>
      </c>
      <c r="VTK108" s="1" t="s">
        <v>122</v>
      </c>
      <c r="VTL108" s="1" t="s">
        <v>122</v>
      </c>
      <c r="VTM108" s="1" t="s">
        <v>122</v>
      </c>
      <c r="VTN108" s="1" t="s">
        <v>122</v>
      </c>
      <c r="VTO108" s="1" t="s">
        <v>122</v>
      </c>
      <c r="VTP108" s="1" t="s">
        <v>122</v>
      </c>
      <c r="VTQ108" s="1" t="s">
        <v>122</v>
      </c>
      <c r="VTR108" s="1" t="s">
        <v>122</v>
      </c>
      <c r="VTS108" s="1" t="s">
        <v>122</v>
      </c>
      <c r="VTT108" s="1" t="s">
        <v>122</v>
      </c>
      <c r="VTU108" s="1" t="s">
        <v>122</v>
      </c>
      <c r="VTV108" s="1" t="s">
        <v>122</v>
      </c>
      <c r="VTW108" s="1" t="s">
        <v>122</v>
      </c>
      <c r="VTX108" s="1" t="s">
        <v>122</v>
      </c>
      <c r="VTY108" s="1" t="s">
        <v>122</v>
      </c>
      <c r="VTZ108" s="1" t="s">
        <v>122</v>
      </c>
      <c r="VUA108" s="1" t="s">
        <v>122</v>
      </c>
      <c r="VUB108" s="1" t="s">
        <v>122</v>
      </c>
      <c r="VUC108" s="1" t="s">
        <v>122</v>
      </c>
      <c r="VUD108" s="1" t="s">
        <v>122</v>
      </c>
      <c r="VUE108" s="1" t="s">
        <v>122</v>
      </c>
      <c r="VUF108" s="1" t="s">
        <v>122</v>
      </c>
      <c r="VUG108" s="1" t="s">
        <v>122</v>
      </c>
      <c r="VUH108" s="1" t="s">
        <v>122</v>
      </c>
      <c r="VUI108" s="1" t="s">
        <v>122</v>
      </c>
      <c r="VUJ108" s="1" t="s">
        <v>122</v>
      </c>
      <c r="VUK108" s="1" t="s">
        <v>122</v>
      </c>
      <c r="VUL108" s="1" t="s">
        <v>122</v>
      </c>
      <c r="VUM108" s="1" t="s">
        <v>122</v>
      </c>
      <c r="VUN108" s="1" t="s">
        <v>122</v>
      </c>
      <c r="VUO108" s="1" t="s">
        <v>122</v>
      </c>
      <c r="VUP108" s="1" t="s">
        <v>122</v>
      </c>
      <c r="VUQ108" s="1" t="s">
        <v>122</v>
      </c>
      <c r="VUR108" s="1" t="s">
        <v>122</v>
      </c>
      <c r="VUS108" s="1" t="s">
        <v>122</v>
      </c>
      <c r="VUT108" s="1" t="s">
        <v>122</v>
      </c>
      <c r="VUU108" s="1" t="s">
        <v>122</v>
      </c>
      <c r="VUV108" s="1" t="s">
        <v>122</v>
      </c>
      <c r="VUW108" s="1" t="s">
        <v>122</v>
      </c>
      <c r="VUX108" s="1" t="s">
        <v>122</v>
      </c>
      <c r="VUY108" s="1" t="s">
        <v>122</v>
      </c>
      <c r="VUZ108" s="1" t="s">
        <v>122</v>
      </c>
      <c r="VVA108" s="1" t="s">
        <v>122</v>
      </c>
      <c r="VVB108" s="1" t="s">
        <v>122</v>
      </c>
      <c r="VVC108" s="1" t="s">
        <v>122</v>
      </c>
      <c r="VVD108" s="1" t="s">
        <v>122</v>
      </c>
      <c r="VVE108" s="1" t="s">
        <v>122</v>
      </c>
      <c r="VVF108" s="1" t="s">
        <v>122</v>
      </c>
      <c r="VVG108" s="1" t="s">
        <v>122</v>
      </c>
      <c r="VVH108" s="1" t="s">
        <v>122</v>
      </c>
      <c r="VVI108" s="1" t="s">
        <v>122</v>
      </c>
      <c r="VVJ108" s="1" t="s">
        <v>122</v>
      </c>
      <c r="VVK108" s="1" t="s">
        <v>122</v>
      </c>
      <c r="VVL108" s="1" t="s">
        <v>122</v>
      </c>
      <c r="VVM108" s="1" t="s">
        <v>122</v>
      </c>
      <c r="VVN108" s="1" t="s">
        <v>122</v>
      </c>
      <c r="VVO108" s="1" t="s">
        <v>122</v>
      </c>
      <c r="VVP108" s="1" t="s">
        <v>122</v>
      </c>
      <c r="VVQ108" s="1" t="s">
        <v>122</v>
      </c>
      <c r="VVR108" s="1" t="s">
        <v>122</v>
      </c>
      <c r="VVS108" s="1" t="s">
        <v>122</v>
      </c>
      <c r="VVT108" s="1" t="s">
        <v>122</v>
      </c>
      <c r="VVU108" s="1" t="s">
        <v>122</v>
      </c>
      <c r="VVV108" s="1" t="s">
        <v>122</v>
      </c>
      <c r="VVW108" s="1" t="s">
        <v>122</v>
      </c>
      <c r="VVX108" s="1" t="s">
        <v>122</v>
      </c>
      <c r="VVY108" s="1" t="s">
        <v>122</v>
      </c>
      <c r="VVZ108" s="1" t="s">
        <v>122</v>
      </c>
      <c r="VWA108" s="1" t="s">
        <v>122</v>
      </c>
      <c r="VWB108" s="1" t="s">
        <v>122</v>
      </c>
      <c r="VWC108" s="1" t="s">
        <v>122</v>
      </c>
      <c r="VWD108" s="1" t="s">
        <v>122</v>
      </c>
      <c r="VWE108" s="1" t="s">
        <v>122</v>
      </c>
      <c r="VWF108" s="1" t="s">
        <v>122</v>
      </c>
      <c r="VWG108" s="1" t="s">
        <v>122</v>
      </c>
      <c r="VWH108" s="1" t="s">
        <v>122</v>
      </c>
      <c r="VWI108" s="1" t="s">
        <v>122</v>
      </c>
      <c r="VWJ108" s="1" t="s">
        <v>122</v>
      </c>
      <c r="VWK108" s="1" t="s">
        <v>122</v>
      </c>
      <c r="VWL108" s="1" t="s">
        <v>122</v>
      </c>
      <c r="VWM108" s="1" t="s">
        <v>122</v>
      </c>
      <c r="VWN108" s="1" t="s">
        <v>122</v>
      </c>
      <c r="VWO108" s="1" t="s">
        <v>122</v>
      </c>
      <c r="VWP108" s="1" t="s">
        <v>122</v>
      </c>
      <c r="VWQ108" s="1" t="s">
        <v>122</v>
      </c>
      <c r="VWR108" s="1" t="s">
        <v>122</v>
      </c>
      <c r="VWS108" s="1" t="s">
        <v>122</v>
      </c>
      <c r="VWT108" s="1" t="s">
        <v>122</v>
      </c>
      <c r="VWU108" s="1" t="s">
        <v>122</v>
      </c>
      <c r="VWV108" s="1" t="s">
        <v>122</v>
      </c>
      <c r="VWW108" s="1" t="s">
        <v>122</v>
      </c>
      <c r="VWX108" s="1" t="s">
        <v>122</v>
      </c>
      <c r="VWY108" s="1" t="s">
        <v>122</v>
      </c>
      <c r="VWZ108" s="1" t="s">
        <v>122</v>
      </c>
      <c r="VXA108" s="1" t="s">
        <v>122</v>
      </c>
      <c r="VXB108" s="1" t="s">
        <v>122</v>
      </c>
      <c r="VXC108" s="1" t="s">
        <v>122</v>
      </c>
      <c r="VXD108" s="1" t="s">
        <v>122</v>
      </c>
      <c r="VXE108" s="1" t="s">
        <v>122</v>
      </c>
      <c r="VXF108" s="1" t="s">
        <v>122</v>
      </c>
      <c r="VXG108" s="1" t="s">
        <v>122</v>
      </c>
      <c r="VXH108" s="1" t="s">
        <v>122</v>
      </c>
      <c r="VXI108" s="1" t="s">
        <v>122</v>
      </c>
      <c r="VXJ108" s="1" t="s">
        <v>122</v>
      </c>
      <c r="VXK108" s="1" t="s">
        <v>122</v>
      </c>
      <c r="VXL108" s="1" t="s">
        <v>122</v>
      </c>
      <c r="VXM108" s="1" t="s">
        <v>122</v>
      </c>
      <c r="VXN108" s="1" t="s">
        <v>122</v>
      </c>
      <c r="VXO108" s="1" t="s">
        <v>122</v>
      </c>
      <c r="VXP108" s="1" t="s">
        <v>122</v>
      </c>
      <c r="VXQ108" s="1" t="s">
        <v>122</v>
      </c>
      <c r="VXR108" s="1" t="s">
        <v>122</v>
      </c>
      <c r="VXS108" s="1" t="s">
        <v>122</v>
      </c>
      <c r="VXT108" s="1" t="s">
        <v>122</v>
      </c>
      <c r="VXU108" s="1" t="s">
        <v>122</v>
      </c>
      <c r="VXV108" s="1" t="s">
        <v>122</v>
      </c>
      <c r="VXW108" s="1" t="s">
        <v>122</v>
      </c>
      <c r="VXX108" s="1" t="s">
        <v>122</v>
      </c>
      <c r="VXY108" s="1" t="s">
        <v>122</v>
      </c>
      <c r="VXZ108" s="1" t="s">
        <v>122</v>
      </c>
      <c r="VYA108" s="1" t="s">
        <v>122</v>
      </c>
      <c r="VYB108" s="1" t="s">
        <v>122</v>
      </c>
      <c r="VYC108" s="1" t="s">
        <v>122</v>
      </c>
      <c r="VYD108" s="1" t="s">
        <v>122</v>
      </c>
      <c r="VYE108" s="1" t="s">
        <v>122</v>
      </c>
      <c r="VYF108" s="1" t="s">
        <v>122</v>
      </c>
      <c r="VYG108" s="1" t="s">
        <v>122</v>
      </c>
      <c r="VYH108" s="1" t="s">
        <v>122</v>
      </c>
      <c r="VYI108" s="1" t="s">
        <v>122</v>
      </c>
      <c r="VYJ108" s="1" t="s">
        <v>122</v>
      </c>
      <c r="VYK108" s="1" t="s">
        <v>122</v>
      </c>
      <c r="VYL108" s="1" t="s">
        <v>122</v>
      </c>
      <c r="VYM108" s="1" t="s">
        <v>122</v>
      </c>
      <c r="VYN108" s="1" t="s">
        <v>122</v>
      </c>
      <c r="VYO108" s="1" t="s">
        <v>122</v>
      </c>
      <c r="VYP108" s="1" t="s">
        <v>122</v>
      </c>
      <c r="VYQ108" s="1" t="s">
        <v>122</v>
      </c>
      <c r="VYR108" s="1" t="s">
        <v>122</v>
      </c>
      <c r="VYS108" s="1" t="s">
        <v>122</v>
      </c>
      <c r="VYT108" s="1" t="s">
        <v>122</v>
      </c>
      <c r="VYU108" s="1" t="s">
        <v>122</v>
      </c>
      <c r="VYV108" s="1" t="s">
        <v>122</v>
      </c>
      <c r="VYW108" s="1" t="s">
        <v>122</v>
      </c>
      <c r="VYX108" s="1" t="s">
        <v>122</v>
      </c>
      <c r="VYY108" s="1" t="s">
        <v>122</v>
      </c>
      <c r="VYZ108" s="1" t="s">
        <v>122</v>
      </c>
      <c r="VZA108" s="1" t="s">
        <v>122</v>
      </c>
      <c r="VZB108" s="1" t="s">
        <v>122</v>
      </c>
      <c r="VZC108" s="1" t="s">
        <v>122</v>
      </c>
      <c r="VZD108" s="1" t="s">
        <v>122</v>
      </c>
      <c r="VZE108" s="1" t="s">
        <v>122</v>
      </c>
      <c r="VZF108" s="1" t="s">
        <v>122</v>
      </c>
      <c r="VZG108" s="1" t="s">
        <v>122</v>
      </c>
      <c r="VZH108" s="1" t="s">
        <v>122</v>
      </c>
      <c r="VZI108" s="1" t="s">
        <v>122</v>
      </c>
      <c r="VZJ108" s="1" t="s">
        <v>122</v>
      </c>
      <c r="VZK108" s="1" t="s">
        <v>122</v>
      </c>
      <c r="VZL108" s="1" t="s">
        <v>122</v>
      </c>
      <c r="VZM108" s="1" t="s">
        <v>122</v>
      </c>
      <c r="VZN108" s="1" t="s">
        <v>122</v>
      </c>
      <c r="VZO108" s="1" t="s">
        <v>122</v>
      </c>
      <c r="VZP108" s="1" t="s">
        <v>122</v>
      </c>
      <c r="VZQ108" s="1" t="s">
        <v>122</v>
      </c>
      <c r="VZR108" s="1" t="s">
        <v>122</v>
      </c>
      <c r="VZS108" s="1" t="s">
        <v>122</v>
      </c>
      <c r="VZT108" s="1" t="s">
        <v>122</v>
      </c>
      <c r="VZU108" s="1" t="s">
        <v>122</v>
      </c>
      <c r="VZV108" s="1" t="s">
        <v>122</v>
      </c>
      <c r="VZW108" s="1" t="s">
        <v>122</v>
      </c>
      <c r="VZX108" s="1" t="s">
        <v>122</v>
      </c>
      <c r="VZY108" s="1" t="s">
        <v>122</v>
      </c>
      <c r="VZZ108" s="1" t="s">
        <v>122</v>
      </c>
      <c r="WAA108" s="1" t="s">
        <v>122</v>
      </c>
      <c r="WAB108" s="1" t="s">
        <v>122</v>
      </c>
      <c r="WAC108" s="1" t="s">
        <v>122</v>
      </c>
      <c r="WAD108" s="1" t="s">
        <v>122</v>
      </c>
      <c r="WAE108" s="1" t="s">
        <v>122</v>
      </c>
      <c r="WAF108" s="1" t="s">
        <v>122</v>
      </c>
      <c r="WAG108" s="1" t="s">
        <v>122</v>
      </c>
      <c r="WAH108" s="1" t="s">
        <v>122</v>
      </c>
      <c r="WAI108" s="1" t="s">
        <v>122</v>
      </c>
      <c r="WAJ108" s="1" t="s">
        <v>122</v>
      </c>
      <c r="WAK108" s="1" t="s">
        <v>122</v>
      </c>
      <c r="WAL108" s="1" t="s">
        <v>122</v>
      </c>
      <c r="WAM108" s="1" t="s">
        <v>122</v>
      </c>
      <c r="WAN108" s="1" t="s">
        <v>122</v>
      </c>
      <c r="WAO108" s="1" t="s">
        <v>122</v>
      </c>
      <c r="WAP108" s="1" t="s">
        <v>122</v>
      </c>
      <c r="WAQ108" s="1" t="s">
        <v>122</v>
      </c>
      <c r="WAR108" s="1" t="s">
        <v>122</v>
      </c>
      <c r="WAS108" s="1" t="s">
        <v>122</v>
      </c>
      <c r="WAT108" s="1" t="s">
        <v>122</v>
      </c>
      <c r="WAU108" s="1" t="s">
        <v>122</v>
      </c>
      <c r="WAV108" s="1" t="s">
        <v>122</v>
      </c>
      <c r="WAW108" s="1" t="s">
        <v>122</v>
      </c>
      <c r="WAX108" s="1" t="s">
        <v>122</v>
      </c>
      <c r="WAY108" s="1" t="s">
        <v>122</v>
      </c>
      <c r="WAZ108" s="1" t="s">
        <v>122</v>
      </c>
      <c r="WBA108" s="1" t="s">
        <v>122</v>
      </c>
      <c r="WBB108" s="1" t="s">
        <v>122</v>
      </c>
      <c r="WBC108" s="1" t="s">
        <v>122</v>
      </c>
      <c r="WBD108" s="1" t="s">
        <v>122</v>
      </c>
      <c r="WBE108" s="1" t="s">
        <v>122</v>
      </c>
      <c r="WBF108" s="1" t="s">
        <v>122</v>
      </c>
      <c r="WBG108" s="1" t="s">
        <v>122</v>
      </c>
      <c r="WBH108" s="1" t="s">
        <v>122</v>
      </c>
      <c r="WBI108" s="1" t="s">
        <v>122</v>
      </c>
      <c r="WBJ108" s="1" t="s">
        <v>122</v>
      </c>
      <c r="WBK108" s="1" t="s">
        <v>122</v>
      </c>
      <c r="WBL108" s="1" t="s">
        <v>122</v>
      </c>
      <c r="WBM108" s="1" t="s">
        <v>122</v>
      </c>
      <c r="WBN108" s="1" t="s">
        <v>122</v>
      </c>
      <c r="WBO108" s="1" t="s">
        <v>122</v>
      </c>
      <c r="WBP108" s="1" t="s">
        <v>122</v>
      </c>
      <c r="WBQ108" s="1" t="s">
        <v>122</v>
      </c>
      <c r="WBR108" s="1" t="s">
        <v>122</v>
      </c>
      <c r="WBS108" s="1" t="s">
        <v>122</v>
      </c>
      <c r="WBT108" s="1" t="s">
        <v>122</v>
      </c>
      <c r="WBU108" s="1" t="s">
        <v>122</v>
      </c>
      <c r="WBV108" s="1" t="s">
        <v>122</v>
      </c>
      <c r="WBW108" s="1" t="s">
        <v>122</v>
      </c>
      <c r="WBX108" s="1" t="s">
        <v>122</v>
      </c>
      <c r="WBY108" s="1" t="s">
        <v>122</v>
      </c>
      <c r="WBZ108" s="1" t="s">
        <v>122</v>
      </c>
      <c r="WCA108" s="1" t="s">
        <v>122</v>
      </c>
      <c r="WCB108" s="1" t="s">
        <v>122</v>
      </c>
      <c r="WCC108" s="1" t="s">
        <v>122</v>
      </c>
      <c r="WCD108" s="1" t="s">
        <v>122</v>
      </c>
      <c r="WCE108" s="1" t="s">
        <v>122</v>
      </c>
      <c r="WCF108" s="1" t="s">
        <v>122</v>
      </c>
      <c r="WCG108" s="1" t="s">
        <v>122</v>
      </c>
      <c r="WCH108" s="1" t="s">
        <v>122</v>
      </c>
      <c r="WCI108" s="1" t="s">
        <v>122</v>
      </c>
      <c r="WCJ108" s="1" t="s">
        <v>122</v>
      </c>
      <c r="WCK108" s="1" t="s">
        <v>122</v>
      </c>
      <c r="WCL108" s="1" t="s">
        <v>122</v>
      </c>
      <c r="WCM108" s="1" t="s">
        <v>122</v>
      </c>
      <c r="WCN108" s="1" t="s">
        <v>122</v>
      </c>
      <c r="WCO108" s="1" t="s">
        <v>122</v>
      </c>
      <c r="WCP108" s="1" t="s">
        <v>122</v>
      </c>
      <c r="WCQ108" s="1" t="s">
        <v>122</v>
      </c>
      <c r="WCR108" s="1" t="s">
        <v>122</v>
      </c>
      <c r="WCS108" s="1" t="s">
        <v>122</v>
      </c>
      <c r="WCT108" s="1" t="s">
        <v>122</v>
      </c>
      <c r="WCU108" s="1" t="s">
        <v>122</v>
      </c>
      <c r="WCV108" s="1" t="s">
        <v>122</v>
      </c>
      <c r="WCW108" s="1" t="s">
        <v>122</v>
      </c>
      <c r="WCX108" s="1" t="s">
        <v>122</v>
      </c>
      <c r="WCY108" s="1" t="s">
        <v>122</v>
      </c>
      <c r="WCZ108" s="1" t="s">
        <v>122</v>
      </c>
      <c r="WDA108" s="1" t="s">
        <v>122</v>
      </c>
      <c r="WDB108" s="1" t="s">
        <v>122</v>
      </c>
      <c r="WDC108" s="1" t="s">
        <v>122</v>
      </c>
      <c r="WDD108" s="1" t="s">
        <v>122</v>
      </c>
      <c r="WDE108" s="1" t="s">
        <v>122</v>
      </c>
      <c r="WDF108" s="1" t="s">
        <v>122</v>
      </c>
      <c r="WDG108" s="1" t="s">
        <v>122</v>
      </c>
      <c r="WDH108" s="1" t="s">
        <v>122</v>
      </c>
      <c r="WDI108" s="1" t="s">
        <v>122</v>
      </c>
      <c r="WDJ108" s="1" t="s">
        <v>122</v>
      </c>
      <c r="WDK108" s="1" t="s">
        <v>122</v>
      </c>
      <c r="WDL108" s="1" t="s">
        <v>122</v>
      </c>
      <c r="WDM108" s="1" t="s">
        <v>122</v>
      </c>
      <c r="WDN108" s="1" t="s">
        <v>122</v>
      </c>
      <c r="WDO108" s="1" t="s">
        <v>122</v>
      </c>
      <c r="WDP108" s="1" t="s">
        <v>122</v>
      </c>
      <c r="WDQ108" s="1" t="s">
        <v>122</v>
      </c>
      <c r="WDR108" s="1" t="s">
        <v>122</v>
      </c>
      <c r="WDS108" s="1" t="s">
        <v>122</v>
      </c>
      <c r="WDT108" s="1" t="s">
        <v>122</v>
      </c>
      <c r="WDU108" s="1" t="s">
        <v>122</v>
      </c>
      <c r="WDV108" s="1" t="s">
        <v>122</v>
      </c>
      <c r="WDW108" s="1" t="s">
        <v>122</v>
      </c>
      <c r="WDX108" s="1" t="s">
        <v>122</v>
      </c>
      <c r="WDY108" s="1" t="s">
        <v>122</v>
      </c>
      <c r="WDZ108" s="1" t="s">
        <v>122</v>
      </c>
      <c r="WEA108" s="1" t="s">
        <v>122</v>
      </c>
      <c r="WEB108" s="1" t="s">
        <v>122</v>
      </c>
      <c r="WEC108" s="1" t="s">
        <v>122</v>
      </c>
      <c r="WED108" s="1" t="s">
        <v>122</v>
      </c>
      <c r="WEE108" s="1" t="s">
        <v>122</v>
      </c>
      <c r="WEF108" s="1" t="s">
        <v>122</v>
      </c>
      <c r="WEG108" s="1" t="s">
        <v>122</v>
      </c>
      <c r="WEH108" s="1" t="s">
        <v>122</v>
      </c>
      <c r="WEI108" s="1" t="s">
        <v>122</v>
      </c>
      <c r="WEJ108" s="1" t="s">
        <v>122</v>
      </c>
      <c r="WEK108" s="1" t="s">
        <v>122</v>
      </c>
      <c r="WEL108" s="1" t="s">
        <v>122</v>
      </c>
      <c r="WEM108" s="1" t="s">
        <v>122</v>
      </c>
      <c r="WEN108" s="1" t="s">
        <v>122</v>
      </c>
      <c r="WEO108" s="1" t="s">
        <v>122</v>
      </c>
      <c r="WEP108" s="1" t="s">
        <v>122</v>
      </c>
      <c r="WEQ108" s="1" t="s">
        <v>122</v>
      </c>
      <c r="WER108" s="1" t="s">
        <v>122</v>
      </c>
      <c r="WES108" s="1" t="s">
        <v>122</v>
      </c>
      <c r="WET108" s="1" t="s">
        <v>122</v>
      </c>
      <c r="WEU108" s="1" t="s">
        <v>122</v>
      </c>
      <c r="WEV108" s="1" t="s">
        <v>122</v>
      </c>
      <c r="WEW108" s="1" t="s">
        <v>122</v>
      </c>
      <c r="WEX108" s="1" t="s">
        <v>122</v>
      </c>
      <c r="WEY108" s="1" t="s">
        <v>122</v>
      </c>
      <c r="WEZ108" s="1" t="s">
        <v>122</v>
      </c>
      <c r="WFA108" s="1" t="s">
        <v>122</v>
      </c>
      <c r="WFB108" s="1" t="s">
        <v>122</v>
      </c>
      <c r="WFC108" s="1" t="s">
        <v>122</v>
      </c>
      <c r="WFD108" s="1" t="s">
        <v>122</v>
      </c>
      <c r="WFE108" s="1" t="s">
        <v>122</v>
      </c>
      <c r="WFF108" s="1" t="s">
        <v>122</v>
      </c>
      <c r="WFG108" s="1" t="s">
        <v>122</v>
      </c>
      <c r="WFH108" s="1" t="s">
        <v>122</v>
      </c>
      <c r="WFI108" s="1" t="s">
        <v>122</v>
      </c>
      <c r="WFJ108" s="1" t="s">
        <v>122</v>
      </c>
      <c r="WFK108" s="1" t="s">
        <v>122</v>
      </c>
      <c r="WFL108" s="1" t="s">
        <v>122</v>
      </c>
      <c r="WFM108" s="1" t="s">
        <v>122</v>
      </c>
      <c r="WFN108" s="1" t="s">
        <v>122</v>
      </c>
      <c r="WFO108" s="1" t="s">
        <v>122</v>
      </c>
      <c r="WFP108" s="1" t="s">
        <v>122</v>
      </c>
      <c r="WFQ108" s="1" t="s">
        <v>122</v>
      </c>
      <c r="WFR108" s="1" t="s">
        <v>122</v>
      </c>
      <c r="WFS108" s="1" t="s">
        <v>122</v>
      </c>
      <c r="WFT108" s="1" t="s">
        <v>122</v>
      </c>
      <c r="WFU108" s="1" t="s">
        <v>122</v>
      </c>
      <c r="WFV108" s="1" t="s">
        <v>122</v>
      </c>
      <c r="WFW108" s="1" t="s">
        <v>122</v>
      </c>
      <c r="WFX108" s="1" t="s">
        <v>122</v>
      </c>
      <c r="WFY108" s="1" t="s">
        <v>122</v>
      </c>
      <c r="WFZ108" s="1" t="s">
        <v>122</v>
      </c>
      <c r="WGA108" s="1" t="s">
        <v>122</v>
      </c>
      <c r="WGB108" s="1" t="s">
        <v>122</v>
      </c>
      <c r="WGC108" s="1" t="s">
        <v>122</v>
      </c>
      <c r="WGD108" s="1" t="s">
        <v>122</v>
      </c>
      <c r="WGE108" s="1" t="s">
        <v>122</v>
      </c>
      <c r="WGF108" s="1" t="s">
        <v>122</v>
      </c>
      <c r="WGG108" s="1" t="s">
        <v>122</v>
      </c>
      <c r="WGH108" s="1" t="s">
        <v>122</v>
      </c>
      <c r="WGI108" s="1" t="s">
        <v>122</v>
      </c>
      <c r="WGJ108" s="1" t="s">
        <v>122</v>
      </c>
      <c r="WGK108" s="1" t="s">
        <v>122</v>
      </c>
      <c r="WGL108" s="1" t="s">
        <v>122</v>
      </c>
      <c r="WGM108" s="1" t="s">
        <v>122</v>
      </c>
      <c r="WGN108" s="1" t="s">
        <v>122</v>
      </c>
      <c r="WGO108" s="1" t="s">
        <v>122</v>
      </c>
      <c r="WGP108" s="1" t="s">
        <v>122</v>
      </c>
      <c r="WGQ108" s="1" t="s">
        <v>122</v>
      </c>
      <c r="WGR108" s="1" t="s">
        <v>122</v>
      </c>
      <c r="WGS108" s="1" t="s">
        <v>122</v>
      </c>
      <c r="WGT108" s="1" t="s">
        <v>122</v>
      </c>
      <c r="WGU108" s="1" t="s">
        <v>122</v>
      </c>
      <c r="WGV108" s="1" t="s">
        <v>122</v>
      </c>
      <c r="WGW108" s="1" t="s">
        <v>122</v>
      </c>
      <c r="WGX108" s="1" t="s">
        <v>122</v>
      </c>
      <c r="WGY108" s="1" t="s">
        <v>122</v>
      </c>
      <c r="WGZ108" s="1" t="s">
        <v>122</v>
      </c>
      <c r="WHA108" s="1" t="s">
        <v>122</v>
      </c>
      <c r="WHB108" s="1" t="s">
        <v>122</v>
      </c>
      <c r="WHC108" s="1" t="s">
        <v>122</v>
      </c>
      <c r="WHD108" s="1" t="s">
        <v>122</v>
      </c>
      <c r="WHE108" s="1" t="s">
        <v>122</v>
      </c>
      <c r="WHF108" s="1" t="s">
        <v>122</v>
      </c>
      <c r="WHG108" s="1" t="s">
        <v>122</v>
      </c>
      <c r="WHH108" s="1" t="s">
        <v>122</v>
      </c>
      <c r="WHI108" s="1" t="s">
        <v>122</v>
      </c>
      <c r="WHJ108" s="1" t="s">
        <v>122</v>
      </c>
      <c r="WHK108" s="1" t="s">
        <v>122</v>
      </c>
      <c r="WHL108" s="1" t="s">
        <v>122</v>
      </c>
      <c r="WHM108" s="1" t="s">
        <v>122</v>
      </c>
      <c r="WHN108" s="1" t="s">
        <v>122</v>
      </c>
      <c r="WHO108" s="1" t="s">
        <v>122</v>
      </c>
      <c r="WHP108" s="1" t="s">
        <v>122</v>
      </c>
      <c r="WHQ108" s="1" t="s">
        <v>122</v>
      </c>
      <c r="WHR108" s="1" t="s">
        <v>122</v>
      </c>
      <c r="WHS108" s="1" t="s">
        <v>122</v>
      </c>
      <c r="WHT108" s="1" t="s">
        <v>122</v>
      </c>
      <c r="WHU108" s="1" t="s">
        <v>122</v>
      </c>
      <c r="WHV108" s="1" t="s">
        <v>122</v>
      </c>
      <c r="WHW108" s="1" t="s">
        <v>122</v>
      </c>
      <c r="WHX108" s="1" t="s">
        <v>122</v>
      </c>
      <c r="WHY108" s="1" t="s">
        <v>122</v>
      </c>
      <c r="WHZ108" s="1" t="s">
        <v>122</v>
      </c>
      <c r="WIA108" s="1" t="s">
        <v>122</v>
      </c>
      <c r="WIB108" s="1" t="s">
        <v>122</v>
      </c>
      <c r="WIC108" s="1" t="s">
        <v>122</v>
      </c>
      <c r="WID108" s="1" t="s">
        <v>122</v>
      </c>
      <c r="WIE108" s="1" t="s">
        <v>122</v>
      </c>
      <c r="WIF108" s="1" t="s">
        <v>122</v>
      </c>
      <c r="WIG108" s="1" t="s">
        <v>122</v>
      </c>
      <c r="WIH108" s="1" t="s">
        <v>122</v>
      </c>
      <c r="WII108" s="1" t="s">
        <v>122</v>
      </c>
      <c r="WIJ108" s="1" t="s">
        <v>122</v>
      </c>
      <c r="WIK108" s="1" t="s">
        <v>122</v>
      </c>
      <c r="WIL108" s="1" t="s">
        <v>122</v>
      </c>
      <c r="WIM108" s="1" t="s">
        <v>122</v>
      </c>
      <c r="WIN108" s="1" t="s">
        <v>122</v>
      </c>
      <c r="WIO108" s="1" t="s">
        <v>122</v>
      </c>
      <c r="WIP108" s="1" t="s">
        <v>122</v>
      </c>
      <c r="WIQ108" s="1" t="s">
        <v>122</v>
      </c>
      <c r="WIR108" s="1" t="s">
        <v>122</v>
      </c>
      <c r="WIS108" s="1" t="s">
        <v>122</v>
      </c>
      <c r="WIT108" s="1" t="s">
        <v>122</v>
      </c>
      <c r="WIU108" s="1" t="s">
        <v>122</v>
      </c>
      <c r="WIV108" s="1" t="s">
        <v>122</v>
      </c>
      <c r="WIW108" s="1" t="s">
        <v>122</v>
      </c>
      <c r="WIX108" s="1" t="s">
        <v>122</v>
      </c>
      <c r="WIY108" s="1" t="s">
        <v>122</v>
      </c>
      <c r="WIZ108" s="1" t="s">
        <v>122</v>
      </c>
      <c r="WJA108" s="1" t="s">
        <v>122</v>
      </c>
      <c r="WJB108" s="1" t="s">
        <v>122</v>
      </c>
      <c r="WJC108" s="1" t="s">
        <v>122</v>
      </c>
      <c r="WJD108" s="1" t="s">
        <v>122</v>
      </c>
      <c r="WJE108" s="1" t="s">
        <v>122</v>
      </c>
      <c r="WJF108" s="1" t="s">
        <v>122</v>
      </c>
      <c r="WJG108" s="1" t="s">
        <v>122</v>
      </c>
      <c r="WJH108" s="1" t="s">
        <v>122</v>
      </c>
      <c r="WJI108" s="1" t="s">
        <v>122</v>
      </c>
      <c r="WJJ108" s="1" t="s">
        <v>122</v>
      </c>
      <c r="WJK108" s="1" t="s">
        <v>122</v>
      </c>
      <c r="WJL108" s="1" t="s">
        <v>122</v>
      </c>
      <c r="WJM108" s="1" t="s">
        <v>122</v>
      </c>
      <c r="WJN108" s="1" t="s">
        <v>122</v>
      </c>
      <c r="WJO108" s="1" t="s">
        <v>122</v>
      </c>
      <c r="WJP108" s="1" t="s">
        <v>122</v>
      </c>
      <c r="WJQ108" s="1" t="s">
        <v>122</v>
      </c>
      <c r="WJR108" s="1" t="s">
        <v>122</v>
      </c>
      <c r="WJS108" s="1" t="s">
        <v>122</v>
      </c>
      <c r="WJT108" s="1" t="s">
        <v>122</v>
      </c>
      <c r="WJU108" s="1" t="s">
        <v>122</v>
      </c>
      <c r="WJV108" s="1" t="s">
        <v>122</v>
      </c>
      <c r="WJW108" s="1" t="s">
        <v>122</v>
      </c>
      <c r="WJX108" s="1" t="s">
        <v>122</v>
      </c>
      <c r="WJY108" s="1" t="s">
        <v>122</v>
      </c>
      <c r="WJZ108" s="1" t="s">
        <v>122</v>
      </c>
      <c r="WKA108" s="1" t="s">
        <v>122</v>
      </c>
      <c r="WKB108" s="1" t="s">
        <v>122</v>
      </c>
      <c r="WKC108" s="1" t="s">
        <v>122</v>
      </c>
      <c r="WKD108" s="1" t="s">
        <v>122</v>
      </c>
      <c r="WKE108" s="1" t="s">
        <v>122</v>
      </c>
      <c r="WKF108" s="1" t="s">
        <v>122</v>
      </c>
      <c r="WKG108" s="1" t="s">
        <v>122</v>
      </c>
      <c r="WKH108" s="1" t="s">
        <v>122</v>
      </c>
      <c r="WKI108" s="1" t="s">
        <v>122</v>
      </c>
      <c r="WKJ108" s="1" t="s">
        <v>122</v>
      </c>
      <c r="WKK108" s="1" t="s">
        <v>122</v>
      </c>
      <c r="WKL108" s="1" t="s">
        <v>122</v>
      </c>
      <c r="WKM108" s="1" t="s">
        <v>122</v>
      </c>
      <c r="WKN108" s="1" t="s">
        <v>122</v>
      </c>
      <c r="WKO108" s="1" t="s">
        <v>122</v>
      </c>
      <c r="WKP108" s="1" t="s">
        <v>122</v>
      </c>
      <c r="WKQ108" s="1" t="s">
        <v>122</v>
      </c>
      <c r="WKR108" s="1" t="s">
        <v>122</v>
      </c>
      <c r="WKS108" s="1" t="s">
        <v>122</v>
      </c>
      <c r="WKT108" s="1" t="s">
        <v>122</v>
      </c>
      <c r="WKU108" s="1" t="s">
        <v>122</v>
      </c>
      <c r="WKV108" s="1" t="s">
        <v>122</v>
      </c>
      <c r="WKW108" s="1" t="s">
        <v>122</v>
      </c>
      <c r="WKX108" s="1" t="s">
        <v>122</v>
      </c>
      <c r="WKY108" s="1" t="s">
        <v>122</v>
      </c>
      <c r="WKZ108" s="1" t="s">
        <v>122</v>
      </c>
      <c r="WLA108" s="1" t="s">
        <v>122</v>
      </c>
      <c r="WLB108" s="1" t="s">
        <v>122</v>
      </c>
      <c r="WLC108" s="1" t="s">
        <v>122</v>
      </c>
      <c r="WLD108" s="1" t="s">
        <v>122</v>
      </c>
      <c r="WLE108" s="1" t="s">
        <v>122</v>
      </c>
      <c r="WLF108" s="1" t="s">
        <v>122</v>
      </c>
      <c r="WLG108" s="1" t="s">
        <v>122</v>
      </c>
      <c r="WLH108" s="1" t="s">
        <v>122</v>
      </c>
      <c r="WLI108" s="1" t="s">
        <v>122</v>
      </c>
      <c r="WLJ108" s="1" t="s">
        <v>122</v>
      </c>
      <c r="WLK108" s="1" t="s">
        <v>122</v>
      </c>
      <c r="WLL108" s="1" t="s">
        <v>122</v>
      </c>
      <c r="WLM108" s="1" t="s">
        <v>122</v>
      </c>
      <c r="WLN108" s="1" t="s">
        <v>122</v>
      </c>
      <c r="WLO108" s="1" t="s">
        <v>122</v>
      </c>
      <c r="WLP108" s="1" t="s">
        <v>122</v>
      </c>
      <c r="WLQ108" s="1" t="s">
        <v>122</v>
      </c>
      <c r="WLR108" s="1" t="s">
        <v>122</v>
      </c>
      <c r="WLS108" s="1" t="s">
        <v>122</v>
      </c>
      <c r="WLT108" s="1" t="s">
        <v>122</v>
      </c>
      <c r="WLU108" s="1" t="s">
        <v>122</v>
      </c>
      <c r="WLV108" s="1" t="s">
        <v>122</v>
      </c>
      <c r="WLW108" s="1" t="s">
        <v>122</v>
      </c>
      <c r="WLX108" s="1" t="s">
        <v>122</v>
      </c>
      <c r="WLY108" s="1" t="s">
        <v>122</v>
      </c>
      <c r="WLZ108" s="1" t="s">
        <v>122</v>
      </c>
      <c r="WMA108" s="1" t="s">
        <v>122</v>
      </c>
      <c r="WMB108" s="1" t="s">
        <v>122</v>
      </c>
      <c r="WMC108" s="1" t="s">
        <v>122</v>
      </c>
      <c r="WMD108" s="1" t="s">
        <v>122</v>
      </c>
      <c r="WME108" s="1" t="s">
        <v>122</v>
      </c>
      <c r="WMF108" s="1" t="s">
        <v>122</v>
      </c>
      <c r="WMG108" s="1" t="s">
        <v>122</v>
      </c>
      <c r="WMH108" s="1" t="s">
        <v>122</v>
      </c>
      <c r="WMI108" s="1" t="s">
        <v>122</v>
      </c>
      <c r="WMJ108" s="1" t="s">
        <v>122</v>
      </c>
      <c r="WMK108" s="1" t="s">
        <v>122</v>
      </c>
      <c r="WML108" s="1" t="s">
        <v>122</v>
      </c>
      <c r="WMM108" s="1" t="s">
        <v>122</v>
      </c>
      <c r="WMN108" s="1" t="s">
        <v>122</v>
      </c>
      <c r="WMO108" s="1" t="s">
        <v>122</v>
      </c>
      <c r="WMP108" s="1" t="s">
        <v>122</v>
      </c>
      <c r="WMQ108" s="1" t="s">
        <v>122</v>
      </c>
      <c r="WMR108" s="1" t="s">
        <v>122</v>
      </c>
      <c r="WMS108" s="1" t="s">
        <v>122</v>
      </c>
      <c r="WMT108" s="1" t="s">
        <v>122</v>
      </c>
      <c r="WMU108" s="1" t="s">
        <v>122</v>
      </c>
      <c r="WMV108" s="1" t="s">
        <v>122</v>
      </c>
      <c r="WMW108" s="1" t="s">
        <v>122</v>
      </c>
      <c r="WMX108" s="1" t="s">
        <v>122</v>
      </c>
      <c r="WMY108" s="1" t="s">
        <v>122</v>
      </c>
      <c r="WMZ108" s="1" t="s">
        <v>122</v>
      </c>
      <c r="WNA108" s="1" t="s">
        <v>122</v>
      </c>
      <c r="WNB108" s="1" t="s">
        <v>122</v>
      </c>
      <c r="WNC108" s="1" t="s">
        <v>122</v>
      </c>
      <c r="WND108" s="1" t="s">
        <v>122</v>
      </c>
      <c r="WNE108" s="1" t="s">
        <v>122</v>
      </c>
      <c r="WNF108" s="1" t="s">
        <v>122</v>
      </c>
      <c r="WNG108" s="1" t="s">
        <v>122</v>
      </c>
      <c r="WNH108" s="1" t="s">
        <v>122</v>
      </c>
      <c r="WNI108" s="1" t="s">
        <v>122</v>
      </c>
      <c r="WNJ108" s="1" t="s">
        <v>122</v>
      </c>
      <c r="WNK108" s="1" t="s">
        <v>122</v>
      </c>
      <c r="WNL108" s="1" t="s">
        <v>122</v>
      </c>
      <c r="WNM108" s="1" t="s">
        <v>122</v>
      </c>
      <c r="WNN108" s="1" t="s">
        <v>122</v>
      </c>
      <c r="WNO108" s="1" t="s">
        <v>122</v>
      </c>
      <c r="WNP108" s="1" t="s">
        <v>122</v>
      </c>
      <c r="WNQ108" s="1" t="s">
        <v>122</v>
      </c>
      <c r="WNR108" s="1" t="s">
        <v>122</v>
      </c>
      <c r="WNS108" s="1" t="s">
        <v>122</v>
      </c>
      <c r="WNT108" s="1" t="s">
        <v>122</v>
      </c>
      <c r="WNU108" s="1" t="s">
        <v>122</v>
      </c>
      <c r="WNV108" s="1" t="s">
        <v>122</v>
      </c>
      <c r="WNW108" s="1" t="s">
        <v>122</v>
      </c>
      <c r="WNX108" s="1" t="s">
        <v>122</v>
      </c>
      <c r="WNY108" s="1" t="s">
        <v>122</v>
      </c>
      <c r="WNZ108" s="1" t="s">
        <v>122</v>
      </c>
      <c r="WOA108" s="1" t="s">
        <v>122</v>
      </c>
      <c r="WOB108" s="1" t="s">
        <v>122</v>
      </c>
      <c r="WOC108" s="1" t="s">
        <v>122</v>
      </c>
      <c r="WOD108" s="1" t="s">
        <v>122</v>
      </c>
      <c r="WOE108" s="1" t="s">
        <v>122</v>
      </c>
      <c r="WOF108" s="1" t="s">
        <v>122</v>
      </c>
      <c r="WOG108" s="1" t="s">
        <v>122</v>
      </c>
      <c r="WOH108" s="1" t="s">
        <v>122</v>
      </c>
      <c r="WOI108" s="1" t="s">
        <v>122</v>
      </c>
      <c r="WOJ108" s="1" t="s">
        <v>122</v>
      </c>
      <c r="WOK108" s="1" t="s">
        <v>122</v>
      </c>
      <c r="WOL108" s="1" t="s">
        <v>122</v>
      </c>
      <c r="WOM108" s="1" t="s">
        <v>122</v>
      </c>
      <c r="WON108" s="1" t="s">
        <v>122</v>
      </c>
      <c r="WOO108" s="1" t="s">
        <v>122</v>
      </c>
      <c r="WOP108" s="1" t="s">
        <v>122</v>
      </c>
      <c r="WOQ108" s="1" t="s">
        <v>122</v>
      </c>
      <c r="WOR108" s="1" t="s">
        <v>122</v>
      </c>
      <c r="WOS108" s="1" t="s">
        <v>122</v>
      </c>
      <c r="WOT108" s="1" t="s">
        <v>122</v>
      </c>
      <c r="WOU108" s="1" t="s">
        <v>122</v>
      </c>
      <c r="WOV108" s="1" t="s">
        <v>122</v>
      </c>
      <c r="WOW108" s="1" t="s">
        <v>122</v>
      </c>
      <c r="WOX108" s="1" t="s">
        <v>122</v>
      </c>
      <c r="WOY108" s="1" t="s">
        <v>122</v>
      </c>
      <c r="WOZ108" s="1" t="s">
        <v>122</v>
      </c>
      <c r="WPA108" s="1" t="s">
        <v>122</v>
      </c>
      <c r="WPB108" s="1" t="s">
        <v>122</v>
      </c>
      <c r="WPC108" s="1" t="s">
        <v>122</v>
      </c>
      <c r="WPD108" s="1" t="s">
        <v>122</v>
      </c>
      <c r="WPE108" s="1" t="s">
        <v>122</v>
      </c>
      <c r="WPF108" s="1" t="s">
        <v>122</v>
      </c>
      <c r="WPG108" s="1" t="s">
        <v>122</v>
      </c>
      <c r="WPH108" s="1" t="s">
        <v>122</v>
      </c>
      <c r="WPI108" s="1" t="s">
        <v>122</v>
      </c>
      <c r="WPJ108" s="1" t="s">
        <v>122</v>
      </c>
      <c r="WPK108" s="1" t="s">
        <v>122</v>
      </c>
      <c r="WPL108" s="1" t="s">
        <v>122</v>
      </c>
      <c r="WPM108" s="1" t="s">
        <v>122</v>
      </c>
      <c r="WPN108" s="1" t="s">
        <v>122</v>
      </c>
      <c r="WPO108" s="1" t="s">
        <v>122</v>
      </c>
      <c r="WPP108" s="1" t="s">
        <v>122</v>
      </c>
      <c r="WPQ108" s="1" t="s">
        <v>122</v>
      </c>
      <c r="WPR108" s="1" t="s">
        <v>122</v>
      </c>
      <c r="WPS108" s="1" t="s">
        <v>122</v>
      </c>
      <c r="WPT108" s="1" t="s">
        <v>122</v>
      </c>
      <c r="WPU108" s="1" t="s">
        <v>122</v>
      </c>
      <c r="WPV108" s="1" t="s">
        <v>122</v>
      </c>
      <c r="WPW108" s="1" t="s">
        <v>122</v>
      </c>
      <c r="WPX108" s="1" t="s">
        <v>122</v>
      </c>
      <c r="WPY108" s="1" t="s">
        <v>122</v>
      </c>
      <c r="WPZ108" s="1" t="s">
        <v>122</v>
      </c>
      <c r="WQA108" s="1" t="s">
        <v>122</v>
      </c>
      <c r="WQB108" s="1" t="s">
        <v>122</v>
      </c>
      <c r="WQC108" s="1" t="s">
        <v>122</v>
      </c>
      <c r="WQD108" s="1" t="s">
        <v>122</v>
      </c>
      <c r="WQE108" s="1" t="s">
        <v>122</v>
      </c>
      <c r="WQF108" s="1" t="s">
        <v>122</v>
      </c>
      <c r="WQG108" s="1" t="s">
        <v>122</v>
      </c>
      <c r="WQH108" s="1" t="s">
        <v>122</v>
      </c>
      <c r="WQI108" s="1" t="s">
        <v>122</v>
      </c>
      <c r="WQJ108" s="1" t="s">
        <v>122</v>
      </c>
      <c r="WQK108" s="1" t="s">
        <v>122</v>
      </c>
      <c r="WQL108" s="1" t="s">
        <v>122</v>
      </c>
      <c r="WQM108" s="1" t="s">
        <v>122</v>
      </c>
      <c r="WQN108" s="1" t="s">
        <v>122</v>
      </c>
      <c r="WQO108" s="1" t="s">
        <v>122</v>
      </c>
      <c r="WQP108" s="1" t="s">
        <v>122</v>
      </c>
      <c r="WQQ108" s="1" t="s">
        <v>122</v>
      </c>
      <c r="WQR108" s="1" t="s">
        <v>122</v>
      </c>
      <c r="WQS108" s="1" t="s">
        <v>122</v>
      </c>
      <c r="WQT108" s="1" t="s">
        <v>122</v>
      </c>
      <c r="WQU108" s="1" t="s">
        <v>122</v>
      </c>
      <c r="WQV108" s="1" t="s">
        <v>122</v>
      </c>
      <c r="WQW108" s="1" t="s">
        <v>122</v>
      </c>
      <c r="WQX108" s="1" t="s">
        <v>122</v>
      </c>
      <c r="WQY108" s="1" t="s">
        <v>122</v>
      </c>
      <c r="WQZ108" s="1" t="s">
        <v>122</v>
      </c>
      <c r="WRA108" s="1" t="s">
        <v>122</v>
      </c>
      <c r="WRB108" s="1" t="s">
        <v>122</v>
      </c>
      <c r="WRC108" s="1" t="s">
        <v>122</v>
      </c>
      <c r="WRD108" s="1" t="s">
        <v>122</v>
      </c>
      <c r="WRE108" s="1" t="s">
        <v>122</v>
      </c>
      <c r="WRF108" s="1" t="s">
        <v>122</v>
      </c>
      <c r="WRG108" s="1" t="s">
        <v>122</v>
      </c>
      <c r="WRH108" s="1" t="s">
        <v>122</v>
      </c>
      <c r="WRI108" s="1" t="s">
        <v>122</v>
      </c>
      <c r="WRJ108" s="1" t="s">
        <v>122</v>
      </c>
      <c r="WRK108" s="1" t="s">
        <v>122</v>
      </c>
      <c r="WRL108" s="1" t="s">
        <v>122</v>
      </c>
      <c r="WRM108" s="1" t="s">
        <v>122</v>
      </c>
      <c r="WRN108" s="1" t="s">
        <v>122</v>
      </c>
      <c r="WRO108" s="1" t="s">
        <v>122</v>
      </c>
      <c r="WRP108" s="1" t="s">
        <v>122</v>
      </c>
      <c r="WRQ108" s="1" t="s">
        <v>122</v>
      </c>
      <c r="WRR108" s="1" t="s">
        <v>122</v>
      </c>
      <c r="WRS108" s="1" t="s">
        <v>122</v>
      </c>
      <c r="WRT108" s="1" t="s">
        <v>122</v>
      </c>
      <c r="WRU108" s="1" t="s">
        <v>122</v>
      </c>
      <c r="WRV108" s="1" t="s">
        <v>122</v>
      </c>
      <c r="WRW108" s="1" t="s">
        <v>122</v>
      </c>
      <c r="WRX108" s="1" t="s">
        <v>122</v>
      </c>
      <c r="WRY108" s="1" t="s">
        <v>122</v>
      </c>
      <c r="WRZ108" s="1" t="s">
        <v>122</v>
      </c>
      <c r="WSA108" s="1" t="s">
        <v>122</v>
      </c>
      <c r="WSB108" s="1" t="s">
        <v>122</v>
      </c>
      <c r="WSC108" s="1" t="s">
        <v>122</v>
      </c>
      <c r="WSD108" s="1" t="s">
        <v>122</v>
      </c>
      <c r="WSE108" s="1" t="s">
        <v>122</v>
      </c>
      <c r="WSF108" s="1" t="s">
        <v>122</v>
      </c>
      <c r="WSG108" s="1" t="s">
        <v>122</v>
      </c>
      <c r="WSH108" s="1" t="s">
        <v>122</v>
      </c>
      <c r="WSI108" s="1" t="s">
        <v>122</v>
      </c>
      <c r="WSJ108" s="1" t="s">
        <v>122</v>
      </c>
      <c r="WSK108" s="1" t="s">
        <v>122</v>
      </c>
      <c r="WSL108" s="1" t="s">
        <v>122</v>
      </c>
      <c r="WSM108" s="1" t="s">
        <v>122</v>
      </c>
      <c r="WSN108" s="1" t="s">
        <v>122</v>
      </c>
      <c r="WSO108" s="1" t="s">
        <v>122</v>
      </c>
      <c r="WSP108" s="1" t="s">
        <v>122</v>
      </c>
      <c r="WSQ108" s="1" t="s">
        <v>122</v>
      </c>
      <c r="WSR108" s="1" t="s">
        <v>122</v>
      </c>
      <c r="WSS108" s="1" t="s">
        <v>122</v>
      </c>
      <c r="WST108" s="1" t="s">
        <v>122</v>
      </c>
      <c r="WSU108" s="1" t="s">
        <v>122</v>
      </c>
      <c r="WSV108" s="1" t="s">
        <v>122</v>
      </c>
      <c r="WSW108" s="1" t="s">
        <v>122</v>
      </c>
      <c r="WSX108" s="1" t="s">
        <v>122</v>
      </c>
      <c r="WSY108" s="1" t="s">
        <v>122</v>
      </c>
      <c r="WSZ108" s="1" t="s">
        <v>122</v>
      </c>
      <c r="WTA108" s="1" t="s">
        <v>122</v>
      </c>
      <c r="WTB108" s="1" t="s">
        <v>122</v>
      </c>
      <c r="WTC108" s="1" t="s">
        <v>122</v>
      </c>
      <c r="WTD108" s="1" t="s">
        <v>122</v>
      </c>
      <c r="WTE108" s="1" t="s">
        <v>122</v>
      </c>
      <c r="WTF108" s="1" t="s">
        <v>122</v>
      </c>
      <c r="WTG108" s="1" t="s">
        <v>122</v>
      </c>
      <c r="WTH108" s="1" t="s">
        <v>122</v>
      </c>
      <c r="WTI108" s="1" t="s">
        <v>122</v>
      </c>
      <c r="WTJ108" s="1" t="s">
        <v>122</v>
      </c>
      <c r="WTK108" s="1" t="s">
        <v>122</v>
      </c>
      <c r="WTL108" s="1" t="s">
        <v>122</v>
      </c>
      <c r="WTM108" s="1" t="s">
        <v>122</v>
      </c>
      <c r="WTN108" s="1" t="s">
        <v>122</v>
      </c>
      <c r="WTO108" s="1" t="s">
        <v>122</v>
      </c>
      <c r="WTP108" s="1" t="s">
        <v>122</v>
      </c>
      <c r="WTQ108" s="1" t="s">
        <v>122</v>
      </c>
      <c r="WTR108" s="1" t="s">
        <v>122</v>
      </c>
      <c r="WTS108" s="1" t="s">
        <v>122</v>
      </c>
      <c r="WTT108" s="1" t="s">
        <v>122</v>
      </c>
      <c r="WTU108" s="1" t="s">
        <v>122</v>
      </c>
      <c r="WTV108" s="1" t="s">
        <v>122</v>
      </c>
      <c r="WTW108" s="1" t="s">
        <v>122</v>
      </c>
      <c r="WTX108" s="1" t="s">
        <v>122</v>
      </c>
      <c r="WTY108" s="1" t="s">
        <v>122</v>
      </c>
      <c r="WTZ108" s="1" t="s">
        <v>122</v>
      </c>
      <c r="WUA108" s="1" t="s">
        <v>122</v>
      </c>
      <c r="WUB108" s="1" t="s">
        <v>122</v>
      </c>
      <c r="WUC108" s="1" t="s">
        <v>122</v>
      </c>
      <c r="WUD108" s="1" t="s">
        <v>122</v>
      </c>
      <c r="WUE108" s="1" t="s">
        <v>122</v>
      </c>
      <c r="WUF108" s="1" t="s">
        <v>122</v>
      </c>
      <c r="WUG108" s="1" t="s">
        <v>122</v>
      </c>
      <c r="WUH108" s="1" t="s">
        <v>122</v>
      </c>
      <c r="WUI108" s="1" t="s">
        <v>122</v>
      </c>
      <c r="WUJ108" s="1" t="s">
        <v>122</v>
      </c>
      <c r="WUK108" s="1" t="s">
        <v>122</v>
      </c>
      <c r="WUL108" s="1" t="s">
        <v>122</v>
      </c>
      <c r="WUM108" s="1" t="s">
        <v>122</v>
      </c>
      <c r="WUN108" s="1" t="s">
        <v>122</v>
      </c>
      <c r="WUO108" s="1" t="s">
        <v>122</v>
      </c>
      <c r="WUP108" s="1" t="s">
        <v>122</v>
      </c>
      <c r="WUQ108" s="1" t="s">
        <v>122</v>
      </c>
      <c r="WUR108" s="1" t="s">
        <v>122</v>
      </c>
      <c r="WUS108" s="1" t="s">
        <v>122</v>
      </c>
      <c r="WUT108" s="1" t="s">
        <v>122</v>
      </c>
      <c r="WUU108" s="1" t="s">
        <v>122</v>
      </c>
      <c r="WUV108" s="1" t="s">
        <v>122</v>
      </c>
      <c r="WUW108" s="1" t="s">
        <v>122</v>
      </c>
      <c r="WUX108" s="1" t="s">
        <v>122</v>
      </c>
      <c r="WUY108" s="1" t="s">
        <v>122</v>
      </c>
      <c r="WUZ108" s="1" t="s">
        <v>122</v>
      </c>
      <c r="WVA108" s="1" t="s">
        <v>122</v>
      </c>
      <c r="WVB108" s="1" t="s">
        <v>122</v>
      </c>
      <c r="WVC108" s="1" t="s">
        <v>122</v>
      </c>
      <c r="WVD108" s="1" t="s">
        <v>122</v>
      </c>
      <c r="WVE108" s="1" t="s">
        <v>122</v>
      </c>
      <c r="WVF108" s="1" t="s">
        <v>122</v>
      </c>
      <c r="WVG108" s="1" t="s">
        <v>122</v>
      </c>
      <c r="WVH108" s="1" t="s">
        <v>122</v>
      </c>
      <c r="WVI108" s="1" t="s">
        <v>122</v>
      </c>
      <c r="WVJ108" s="1" t="s">
        <v>122</v>
      </c>
      <c r="WVK108" s="1" t="s">
        <v>122</v>
      </c>
      <c r="WVL108" s="1" t="s">
        <v>122</v>
      </c>
      <c r="WVM108" s="1" t="s">
        <v>122</v>
      </c>
      <c r="WVN108" s="1" t="s">
        <v>122</v>
      </c>
      <c r="WVO108" s="1" t="s">
        <v>122</v>
      </c>
      <c r="WVP108" s="1" t="s">
        <v>122</v>
      </c>
      <c r="WVQ108" s="1" t="s">
        <v>122</v>
      </c>
      <c r="WVR108" s="1" t="s">
        <v>122</v>
      </c>
      <c r="WVS108" s="1" t="s">
        <v>122</v>
      </c>
      <c r="WVT108" s="1" t="s">
        <v>122</v>
      </c>
      <c r="WVU108" s="1" t="s">
        <v>122</v>
      </c>
      <c r="WVV108" s="1" t="s">
        <v>122</v>
      </c>
      <c r="WVW108" s="1" t="s">
        <v>122</v>
      </c>
      <c r="WVX108" s="1" t="s">
        <v>122</v>
      </c>
      <c r="WVY108" s="1" t="s">
        <v>122</v>
      </c>
      <c r="WVZ108" s="1" t="s">
        <v>122</v>
      </c>
      <c r="WWA108" s="1" t="s">
        <v>122</v>
      </c>
      <c r="WWB108" s="1" t="s">
        <v>122</v>
      </c>
      <c r="WWC108" s="1" t="s">
        <v>122</v>
      </c>
      <c r="WWD108" s="1" t="s">
        <v>122</v>
      </c>
      <c r="WWE108" s="1" t="s">
        <v>122</v>
      </c>
      <c r="WWF108" s="1" t="s">
        <v>122</v>
      </c>
      <c r="WWG108" s="1" t="s">
        <v>122</v>
      </c>
      <c r="WWH108" s="1" t="s">
        <v>122</v>
      </c>
      <c r="WWI108" s="1" t="s">
        <v>122</v>
      </c>
      <c r="WWJ108" s="1" t="s">
        <v>122</v>
      </c>
      <c r="WWK108" s="1" t="s">
        <v>122</v>
      </c>
      <c r="WWL108" s="1" t="s">
        <v>122</v>
      </c>
      <c r="WWM108" s="1" t="s">
        <v>122</v>
      </c>
      <c r="WWN108" s="1" t="s">
        <v>122</v>
      </c>
      <c r="WWO108" s="1" t="s">
        <v>122</v>
      </c>
      <c r="WWP108" s="1" t="s">
        <v>122</v>
      </c>
      <c r="WWQ108" s="1" t="s">
        <v>122</v>
      </c>
      <c r="WWR108" s="1" t="s">
        <v>122</v>
      </c>
      <c r="WWS108" s="1" t="s">
        <v>122</v>
      </c>
      <c r="WWT108" s="1" t="s">
        <v>122</v>
      </c>
      <c r="WWU108" s="1" t="s">
        <v>122</v>
      </c>
      <c r="WWV108" s="1" t="s">
        <v>122</v>
      </c>
      <c r="WWW108" s="1" t="s">
        <v>122</v>
      </c>
      <c r="WWX108" s="1" t="s">
        <v>122</v>
      </c>
      <c r="WWY108" s="1" t="s">
        <v>122</v>
      </c>
      <c r="WWZ108" s="1" t="s">
        <v>122</v>
      </c>
      <c r="WXA108" s="1" t="s">
        <v>122</v>
      </c>
      <c r="WXB108" s="1" t="s">
        <v>122</v>
      </c>
      <c r="WXC108" s="1" t="s">
        <v>122</v>
      </c>
      <c r="WXD108" s="1" t="s">
        <v>122</v>
      </c>
      <c r="WXE108" s="1" t="s">
        <v>122</v>
      </c>
      <c r="WXF108" s="1" t="s">
        <v>122</v>
      </c>
      <c r="WXG108" s="1" t="s">
        <v>122</v>
      </c>
      <c r="WXH108" s="1" t="s">
        <v>122</v>
      </c>
      <c r="WXI108" s="1" t="s">
        <v>122</v>
      </c>
      <c r="WXJ108" s="1" t="s">
        <v>122</v>
      </c>
      <c r="WXK108" s="1" t="s">
        <v>122</v>
      </c>
      <c r="WXL108" s="1" t="s">
        <v>122</v>
      </c>
      <c r="WXM108" s="1" t="s">
        <v>122</v>
      </c>
      <c r="WXN108" s="1" t="s">
        <v>122</v>
      </c>
      <c r="WXO108" s="1" t="s">
        <v>122</v>
      </c>
      <c r="WXP108" s="1" t="s">
        <v>122</v>
      </c>
      <c r="WXQ108" s="1" t="s">
        <v>122</v>
      </c>
      <c r="WXR108" s="1" t="s">
        <v>122</v>
      </c>
      <c r="WXS108" s="1" t="s">
        <v>122</v>
      </c>
      <c r="WXT108" s="1" t="s">
        <v>122</v>
      </c>
      <c r="WXU108" s="1" t="s">
        <v>122</v>
      </c>
      <c r="WXV108" s="1" t="s">
        <v>122</v>
      </c>
      <c r="WXW108" s="1" t="s">
        <v>122</v>
      </c>
      <c r="WXX108" s="1" t="s">
        <v>122</v>
      </c>
      <c r="WXY108" s="1" t="s">
        <v>122</v>
      </c>
      <c r="WXZ108" s="1" t="s">
        <v>122</v>
      </c>
      <c r="WYA108" s="1" t="s">
        <v>122</v>
      </c>
      <c r="WYB108" s="1" t="s">
        <v>122</v>
      </c>
      <c r="WYC108" s="1" t="s">
        <v>122</v>
      </c>
      <c r="WYD108" s="1" t="s">
        <v>122</v>
      </c>
      <c r="WYE108" s="1" t="s">
        <v>122</v>
      </c>
      <c r="WYF108" s="1" t="s">
        <v>122</v>
      </c>
      <c r="WYG108" s="1" t="s">
        <v>122</v>
      </c>
      <c r="WYH108" s="1" t="s">
        <v>122</v>
      </c>
      <c r="WYI108" s="1" t="s">
        <v>122</v>
      </c>
      <c r="WYJ108" s="1" t="s">
        <v>122</v>
      </c>
      <c r="WYK108" s="1" t="s">
        <v>122</v>
      </c>
      <c r="WYL108" s="1" t="s">
        <v>122</v>
      </c>
      <c r="WYM108" s="1" t="s">
        <v>122</v>
      </c>
      <c r="WYN108" s="1" t="s">
        <v>122</v>
      </c>
      <c r="WYO108" s="1" t="s">
        <v>122</v>
      </c>
      <c r="WYP108" s="1" t="s">
        <v>122</v>
      </c>
      <c r="WYQ108" s="1" t="s">
        <v>122</v>
      </c>
      <c r="WYR108" s="1" t="s">
        <v>122</v>
      </c>
      <c r="WYS108" s="1" t="s">
        <v>122</v>
      </c>
      <c r="WYT108" s="1" t="s">
        <v>122</v>
      </c>
      <c r="WYU108" s="1" t="s">
        <v>122</v>
      </c>
      <c r="WYV108" s="1" t="s">
        <v>122</v>
      </c>
      <c r="WYW108" s="1" t="s">
        <v>122</v>
      </c>
      <c r="WYX108" s="1" t="s">
        <v>122</v>
      </c>
      <c r="WYY108" s="1" t="s">
        <v>122</v>
      </c>
      <c r="WYZ108" s="1" t="s">
        <v>122</v>
      </c>
      <c r="WZA108" s="1" t="s">
        <v>122</v>
      </c>
      <c r="WZB108" s="1" t="s">
        <v>122</v>
      </c>
      <c r="WZC108" s="1" t="s">
        <v>122</v>
      </c>
      <c r="WZD108" s="1" t="s">
        <v>122</v>
      </c>
      <c r="WZE108" s="1" t="s">
        <v>122</v>
      </c>
      <c r="WZF108" s="1" t="s">
        <v>122</v>
      </c>
      <c r="WZG108" s="1" t="s">
        <v>122</v>
      </c>
      <c r="WZH108" s="1" t="s">
        <v>122</v>
      </c>
      <c r="WZI108" s="1" t="s">
        <v>122</v>
      </c>
      <c r="WZJ108" s="1" t="s">
        <v>122</v>
      </c>
      <c r="WZK108" s="1" t="s">
        <v>122</v>
      </c>
      <c r="WZL108" s="1" t="s">
        <v>122</v>
      </c>
      <c r="WZM108" s="1" t="s">
        <v>122</v>
      </c>
      <c r="WZN108" s="1" t="s">
        <v>122</v>
      </c>
      <c r="WZO108" s="1" t="s">
        <v>122</v>
      </c>
      <c r="WZP108" s="1" t="s">
        <v>122</v>
      </c>
      <c r="WZQ108" s="1" t="s">
        <v>122</v>
      </c>
      <c r="WZR108" s="1" t="s">
        <v>122</v>
      </c>
      <c r="WZS108" s="1" t="s">
        <v>122</v>
      </c>
      <c r="WZT108" s="1" t="s">
        <v>122</v>
      </c>
      <c r="WZU108" s="1" t="s">
        <v>122</v>
      </c>
      <c r="WZV108" s="1" t="s">
        <v>122</v>
      </c>
      <c r="WZW108" s="1" t="s">
        <v>122</v>
      </c>
      <c r="WZX108" s="1" t="s">
        <v>122</v>
      </c>
      <c r="WZY108" s="1" t="s">
        <v>122</v>
      </c>
      <c r="WZZ108" s="1" t="s">
        <v>122</v>
      </c>
      <c r="XAA108" s="1" t="s">
        <v>122</v>
      </c>
      <c r="XAB108" s="1" t="s">
        <v>122</v>
      </c>
      <c r="XAC108" s="1" t="s">
        <v>122</v>
      </c>
      <c r="XAD108" s="1" t="s">
        <v>122</v>
      </c>
      <c r="XAE108" s="1" t="s">
        <v>122</v>
      </c>
      <c r="XAF108" s="1" t="s">
        <v>122</v>
      </c>
      <c r="XAG108" s="1" t="s">
        <v>122</v>
      </c>
      <c r="XAH108" s="1" t="s">
        <v>122</v>
      </c>
      <c r="XAI108" s="1" t="s">
        <v>122</v>
      </c>
      <c r="XAJ108" s="1" t="s">
        <v>122</v>
      </c>
      <c r="XAK108" s="1" t="s">
        <v>122</v>
      </c>
      <c r="XAL108" s="1" t="s">
        <v>122</v>
      </c>
      <c r="XAM108" s="1" t="s">
        <v>122</v>
      </c>
      <c r="XAN108" s="1" t="s">
        <v>122</v>
      </c>
      <c r="XAO108" s="1" t="s">
        <v>122</v>
      </c>
      <c r="XAP108" s="1" t="s">
        <v>122</v>
      </c>
      <c r="XAQ108" s="1" t="s">
        <v>122</v>
      </c>
      <c r="XAR108" s="1" t="s">
        <v>122</v>
      </c>
      <c r="XAS108" s="1" t="s">
        <v>122</v>
      </c>
      <c r="XAT108" s="1" t="s">
        <v>122</v>
      </c>
      <c r="XAU108" s="1" t="s">
        <v>122</v>
      </c>
      <c r="XAV108" s="1" t="s">
        <v>122</v>
      </c>
      <c r="XAW108" s="1" t="s">
        <v>122</v>
      </c>
      <c r="XAX108" s="1" t="s">
        <v>122</v>
      </c>
      <c r="XAY108" s="1" t="s">
        <v>122</v>
      </c>
      <c r="XAZ108" s="1" t="s">
        <v>122</v>
      </c>
      <c r="XBA108" s="1" t="s">
        <v>122</v>
      </c>
      <c r="XBB108" s="1" t="s">
        <v>122</v>
      </c>
      <c r="XBC108" s="1" t="s">
        <v>122</v>
      </c>
      <c r="XBD108" s="1" t="s">
        <v>122</v>
      </c>
      <c r="XBE108" s="1" t="s">
        <v>122</v>
      </c>
      <c r="XBF108" s="1" t="s">
        <v>122</v>
      </c>
      <c r="XBG108" s="1" t="s">
        <v>122</v>
      </c>
      <c r="XBH108" s="1" t="s">
        <v>122</v>
      </c>
      <c r="XBI108" s="1" t="s">
        <v>122</v>
      </c>
      <c r="XBJ108" s="1" t="s">
        <v>122</v>
      </c>
      <c r="XBK108" s="1" t="s">
        <v>122</v>
      </c>
      <c r="XBL108" s="1" t="s">
        <v>122</v>
      </c>
      <c r="XBM108" s="1" t="s">
        <v>122</v>
      </c>
      <c r="XBN108" s="1" t="s">
        <v>122</v>
      </c>
      <c r="XBO108" s="1" t="s">
        <v>122</v>
      </c>
      <c r="XBP108" s="1" t="s">
        <v>122</v>
      </c>
      <c r="XBQ108" s="1" t="s">
        <v>122</v>
      </c>
      <c r="XBR108" s="1" t="s">
        <v>122</v>
      </c>
      <c r="XBS108" s="1" t="s">
        <v>122</v>
      </c>
      <c r="XBT108" s="1" t="s">
        <v>122</v>
      </c>
      <c r="XBU108" s="1" t="s">
        <v>122</v>
      </c>
      <c r="XBV108" s="1" t="s">
        <v>122</v>
      </c>
      <c r="XBW108" s="1" t="s">
        <v>122</v>
      </c>
      <c r="XBX108" s="1" t="s">
        <v>122</v>
      </c>
      <c r="XBY108" s="1" t="s">
        <v>122</v>
      </c>
      <c r="XBZ108" s="1" t="s">
        <v>122</v>
      </c>
      <c r="XCA108" s="1" t="s">
        <v>122</v>
      </c>
      <c r="XCB108" s="1" t="s">
        <v>122</v>
      </c>
      <c r="XCC108" s="1" t="s">
        <v>122</v>
      </c>
      <c r="XCD108" s="1" t="s">
        <v>122</v>
      </c>
      <c r="XCE108" s="1" t="s">
        <v>122</v>
      </c>
      <c r="XCF108" s="1" t="s">
        <v>122</v>
      </c>
      <c r="XCG108" s="1" t="s">
        <v>122</v>
      </c>
      <c r="XCH108" s="1" t="s">
        <v>122</v>
      </c>
      <c r="XCI108" s="1" t="s">
        <v>122</v>
      </c>
      <c r="XCJ108" s="1" t="s">
        <v>122</v>
      </c>
      <c r="XCK108" s="1" t="s">
        <v>122</v>
      </c>
      <c r="XCL108" s="1" t="s">
        <v>122</v>
      </c>
      <c r="XCM108" s="1" t="s">
        <v>122</v>
      </c>
      <c r="XCN108" s="1" t="s">
        <v>122</v>
      </c>
      <c r="XCO108" s="1" t="s">
        <v>122</v>
      </c>
      <c r="XCP108" s="1" t="s">
        <v>122</v>
      </c>
      <c r="XCQ108" s="1" t="s">
        <v>122</v>
      </c>
      <c r="XCR108" s="1" t="s">
        <v>122</v>
      </c>
      <c r="XCS108" s="1" t="s">
        <v>122</v>
      </c>
      <c r="XCT108" s="1" t="s">
        <v>122</v>
      </c>
      <c r="XCU108" s="1" t="s">
        <v>122</v>
      </c>
      <c r="XCV108" s="1" t="s">
        <v>122</v>
      </c>
      <c r="XCW108" s="1" t="s">
        <v>122</v>
      </c>
      <c r="XCX108" s="1" t="s">
        <v>122</v>
      </c>
      <c r="XCY108" s="1" t="s">
        <v>122</v>
      </c>
      <c r="XCZ108" s="1" t="s">
        <v>122</v>
      </c>
      <c r="XDA108" s="1" t="s">
        <v>122</v>
      </c>
      <c r="XDB108" s="1" t="s">
        <v>122</v>
      </c>
      <c r="XDC108" s="1" t="s">
        <v>122</v>
      </c>
      <c r="XDD108" s="1" t="s">
        <v>122</v>
      </c>
      <c r="XDE108" s="1" t="s">
        <v>122</v>
      </c>
      <c r="XDF108" s="1" t="s">
        <v>122</v>
      </c>
      <c r="XDG108" s="1" t="s">
        <v>122</v>
      </c>
      <c r="XDH108" s="1" t="s">
        <v>122</v>
      </c>
      <c r="XDI108" s="1" t="s">
        <v>122</v>
      </c>
      <c r="XDJ108" s="1" t="s">
        <v>122</v>
      </c>
      <c r="XDK108" s="1" t="s">
        <v>122</v>
      </c>
      <c r="XDL108" s="1" t="s">
        <v>122</v>
      </c>
      <c r="XDM108" s="1" t="s">
        <v>122</v>
      </c>
      <c r="XDN108" s="1" t="s">
        <v>122</v>
      </c>
      <c r="XDO108" s="1" t="s">
        <v>122</v>
      </c>
      <c r="XDP108" s="1" t="s">
        <v>122</v>
      </c>
      <c r="XDQ108" s="1" t="s">
        <v>122</v>
      </c>
      <c r="XDR108" s="1" t="s">
        <v>122</v>
      </c>
      <c r="XDS108" s="1" t="s">
        <v>122</v>
      </c>
      <c r="XDT108" s="1" t="s">
        <v>122</v>
      </c>
      <c r="XDU108" s="1" t="s">
        <v>122</v>
      </c>
      <c r="XDV108" s="1" t="s">
        <v>122</v>
      </c>
      <c r="XDW108" s="1" t="s">
        <v>122</v>
      </c>
      <c r="XDX108" s="1" t="s">
        <v>122</v>
      </c>
      <c r="XDY108" s="1" t="s">
        <v>122</v>
      </c>
      <c r="XDZ108" s="1" t="s">
        <v>122</v>
      </c>
      <c r="XEA108" s="1" t="s">
        <v>122</v>
      </c>
      <c r="XEB108" s="1" t="s">
        <v>122</v>
      </c>
      <c r="XEC108" s="1" t="s">
        <v>122</v>
      </c>
      <c r="XED108" s="1" t="s">
        <v>122</v>
      </c>
      <c r="XEE108" s="1" t="s">
        <v>122</v>
      </c>
      <c r="XEF108" s="1" t="s">
        <v>122</v>
      </c>
      <c r="XEG108" s="1" t="s">
        <v>122</v>
      </c>
      <c r="XEH108" s="1" t="s">
        <v>122</v>
      </c>
      <c r="XEI108" s="1" t="s">
        <v>122</v>
      </c>
      <c r="XEJ108" s="1" t="s">
        <v>122</v>
      </c>
      <c r="XEK108" s="1" t="s">
        <v>122</v>
      </c>
      <c r="XEL108" s="1" t="s">
        <v>122</v>
      </c>
      <c r="XEM108" s="1" t="s">
        <v>122</v>
      </c>
      <c r="XEN108" s="1" t="s">
        <v>122</v>
      </c>
      <c r="XEO108" s="1" t="s">
        <v>122</v>
      </c>
      <c r="XEP108" s="1" t="s">
        <v>122</v>
      </c>
      <c r="XEQ108" s="1" t="s">
        <v>122</v>
      </c>
      <c r="XER108" s="1" t="s">
        <v>122</v>
      </c>
      <c r="XES108" s="1" t="s">
        <v>122</v>
      </c>
      <c r="XET108" s="1" t="s">
        <v>122</v>
      </c>
      <c r="XEU108" s="1" t="s">
        <v>122</v>
      </c>
      <c r="XEV108" s="1" t="s">
        <v>122</v>
      </c>
      <c r="XEW108" s="1" t="s">
        <v>122</v>
      </c>
      <c r="XEX108" s="1" t="s">
        <v>122</v>
      </c>
      <c r="XEY108" s="1" t="s">
        <v>122</v>
      </c>
      <c r="XEZ108" s="1" t="s">
        <v>122</v>
      </c>
      <c r="XFA108" s="1" t="s">
        <v>122</v>
      </c>
      <c r="XFB108" s="1" t="s">
        <v>122</v>
      </c>
      <c r="XFC108" s="1" t="s">
        <v>122</v>
      </c>
      <c r="XFD108" s="1" t="s">
        <v>122</v>
      </c>
    </row>
  </sheetData>
  <sortState ref="AQ3:BK107">
    <sortCondition ref="AQ3:AQ107"/>
  </sortState>
  <mergeCells count="15">
    <mergeCell ref="AZ1:BC1"/>
    <mergeCell ref="BD1:BG1"/>
    <mergeCell ref="BH1:BK1"/>
    <mergeCell ref="AA1:AD1"/>
    <mergeCell ref="AE1:AH1"/>
    <mergeCell ref="AI1:AL1"/>
    <mergeCell ref="AM1:AP1"/>
    <mergeCell ref="AR1:AU1"/>
    <mergeCell ref="AV1:AY1"/>
    <mergeCell ref="W1:Z1"/>
    <mergeCell ref="B1:E1"/>
    <mergeCell ref="F1:I1"/>
    <mergeCell ref="J1:M1"/>
    <mergeCell ref="N1:Q1"/>
    <mergeCell ref="R1:U1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K108"/>
  <sheetViews>
    <sheetView topLeftCell="B1" workbookViewId="0">
      <pane ySplit="2" topLeftCell="A3" activePane="bottomLeft" state="frozen"/>
      <selection pane="bottomLeft" activeCell="AQ1" sqref="AQ1:AQ1048576"/>
    </sheetView>
  </sheetViews>
  <sheetFormatPr baseColWidth="10" defaultRowHeight="15" x14ac:dyDescent="0"/>
  <cols>
    <col min="22" max="22" width="10.83203125" hidden="1" customWidth="1"/>
    <col min="43" max="43" width="10.83203125" hidden="1" customWidth="1"/>
  </cols>
  <sheetData>
    <row r="1" spans="1:63">
      <c r="B1" s="12" t="s">
        <v>227</v>
      </c>
      <c r="C1" s="12"/>
      <c r="D1" s="12"/>
      <c r="E1" s="12"/>
      <c r="F1" s="12" t="s">
        <v>226</v>
      </c>
      <c r="G1" s="12"/>
      <c r="H1" s="12"/>
      <c r="I1" s="12"/>
      <c r="J1" s="12" t="s">
        <v>228</v>
      </c>
      <c r="K1" s="12"/>
      <c r="L1" s="12"/>
      <c r="M1" s="12"/>
      <c r="N1" s="12" t="s">
        <v>229</v>
      </c>
      <c r="O1" s="12"/>
      <c r="P1" s="12"/>
      <c r="Q1" s="12"/>
      <c r="R1" s="12" t="s">
        <v>230</v>
      </c>
      <c r="S1" s="12"/>
      <c r="T1" s="12"/>
      <c r="U1" s="12"/>
      <c r="W1" s="12" t="s">
        <v>227</v>
      </c>
      <c r="X1" s="12"/>
      <c r="Y1" s="12"/>
      <c r="Z1" s="12"/>
      <c r="AA1" s="12" t="s">
        <v>231</v>
      </c>
      <c r="AB1" s="12"/>
      <c r="AC1" s="12"/>
      <c r="AD1" s="12"/>
      <c r="AE1" s="12" t="s">
        <v>232</v>
      </c>
      <c r="AF1" s="12"/>
      <c r="AG1" s="12"/>
      <c r="AH1" s="12"/>
      <c r="AI1" s="12" t="s">
        <v>233</v>
      </c>
      <c r="AJ1" s="12"/>
      <c r="AK1" s="12"/>
      <c r="AL1" s="12"/>
      <c r="AM1" s="12" t="s">
        <v>234</v>
      </c>
      <c r="AN1" s="12"/>
      <c r="AO1" s="12"/>
      <c r="AP1" s="12"/>
      <c r="AR1" s="12" t="s">
        <v>226</v>
      </c>
      <c r="AS1" s="12"/>
      <c r="AT1" s="12"/>
      <c r="AU1" s="12"/>
      <c r="AV1" s="12" t="s">
        <v>231</v>
      </c>
      <c r="AW1" s="12"/>
      <c r="AX1" s="12"/>
      <c r="AY1" s="12"/>
      <c r="AZ1" s="12" t="s">
        <v>235</v>
      </c>
      <c r="BA1" s="12"/>
      <c r="BB1" s="12"/>
      <c r="BC1" s="12"/>
      <c r="BD1" s="12" t="s">
        <v>236</v>
      </c>
      <c r="BE1" s="12"/>
      <c r="BF1" s="12"/>
      <c r="BG1" s="12"/>
      <c r="BH1" s="12" t="s">
        <v>237</v>
      </c>
      <c r="BI1" s="12"/>
      <c r="BJ1" s="12"/>
      <c r="BK1" s="12"/>
    </row>
    <row r="2" spans="1:63">
      <c r="A2" t="s">
        <v>114</v>
      </c>
      <c r="B2" t="s">
        <v>105</v>
      </c>
      <c r="C2" t="s">
        <v>106</v>
      </c>
      <c r="D2" t="s">
        <v>107</v>
      </c>
      <c r="E2" t="s">
        <v>108</v>
      </c>
      <c r="F2" t="s">
        <v>105</v>
      </c>
      <c r="G2" t="s">
        <v>106</v>
      </c>
      <c r="H2" t="s">
        <v>107</v>
      </c>
      <c r="I2" t="s">
        <v>108</v>
      </c>
      <c r="J2" t="s">
        <v>105</v>
      </c>
      <c r="K2" t="s">
        <v>106</v>
      </c>
      <c r="L2" t="s">
        <v>107</v>
      </c>
      <c r="M2" t="s">
        <v>108</v>
      </c>
      <c r="N2" t="s">
        <v>105</v>
      </c>
      <c r="O2" t="s">
        <v>106</v>
      </c>
      <c r="P2" t="s">
        <v>107</v>
      </c>
      <c r="Q2" t="s">
        <v>108</v>
      </c>
      <c r="R2" t="s">
        <v>105</v>
      </c>
      <c r="S2" t="s">
        <v>106</v>
      </c>
      <c r="T2" t="s">
        <v>107</v>
      </c>
      <c r="U2" t="s">
        <v>108</v>
      </c>
      <c r="V2" t="s">
        <v>114</v>
      </c>
      <c r="W2" t="s">
        <v>105</v>
      </c>
      <c r="X2" t="s">
        <v>106</v>
      </c>
      <c r="Y2" t="s">
        <v>107</v>
      </c>
      <c r="Z2" t="s">
        <v>108</v>
      </c>
      <c r="AA2" t="s">
        <v>105</v>
      </c>
      <c r="AB2" t="s">
        <v>106</v>
      </c>
      <c r="AC2" t="s">
        <v>107</v>
      </c>
      <c r="AD2" t="s">
        <v>108</v>
      </c>
      <c r="AE2" t="s">
        <v>105</v>
      </c>
      <c r="AF2" t="s">
        <v>106</v>
      </c>
      <c r="AG2" t="s">
        <v>107</v>
      </c>
      <c r="AH2" t="s">
        <v>108</v>
      </c>
      <c r="AI2" t="s">
        <v>105</v>
      </c>
      <c r="AJ2" t="s">
        <v>106</v>
      </c>
      <c r="AK2" t="s">
        <v>107</v>
      </c>
      <c r="AL2" t="s">
        <v>108</v>
      </c>
      <c r="AM2" t="s">
        <v>105</v>
      </c>
      <c r="AN2" t="s">
        <v>106</v>
      </c>
      <c r="AO2" t="s">
        <v>107</v>
      </c>
      <c r="AP2" t="s">
        <v>108</v>
      </c>
      <c r="AQ2" t="s">
        <v>114</v>
      </c>
      <c r="AR2" t="s">
        <v>105</v>
      </c>
      <c r="AS2" t="s">
        <v>106</v>
      </c>
      <c r="AT2" t="s">
        <v>107</v>
      </c>
      <c r="AU2" t="s">
        <v>108</v>
      </c>
      <c r="AV2" t="s">
        <v>105</v>
      </c>
      <c r="AW2" t="s">
        <v>106</v>
      </c>
      <c r="AX2" t="s">
        <v>107</v>
      </c>
      <c r="AY2" t="s">
        <v>108</v>
      </c>
      <c r="AZ2" t="s">
        <v>105</v>
      </c>
      <c r="BA2" t="s">
        <v>106</v>
      </c>
      <c r="BB2" t="s">
        <v>107</v>
      </c>
      <c r="BC2" t="s">
        <v>108</v>
      </c>
      <c r="BD2" t="s">
        <v>105</v>
      </c>
      <c r="BE2" t="s">
        <v>106</v>
      </c>
      <c r="BF2" t="s">
        <v>107</v>
      </c>
      <c r="BG2" t="s">
        <v>108</v>
      </c>
      <c r="BH2" t="s">
        <v>105</v>
      </c>
      <c r="BI2" t="s">
        <v>106</v>
      </c>
      <c r="BJ2" t="s">
        <v>107</v>
      </c>
      <c r="BK2" t="s">
        <v>108</v>
      </c>
    </row>
    <row r="3" spans="1:63">
      <c r="A3" t="s">
        <v>32</v>
      </c>
      <c r="B3">
        <v>14</v>
      </c>
      <c r="C3">
        <v>0</v>
      </c>
      <c r="D3">
        <v>0</v>
      </c>
      <c r="E3">
        <v>0</v>
      </c>
      <c r="F3">
        <v>14</v>
      </c>
      <c r="G3">
        <v>0</v>
      </c>
      <c r="H3">
        <v>0</v>
      </c>
      <c r="I3">
        <v>0</v>
      </c>
      <c r="J3">
        <v>14</v>
      </c>
      <c r="K3">
        <v>0</v>
      </c>
      <c r="L3">
        <v>0</v>
      </c>
      <c r="M3">
        <v>0</v>
      </c>
      <c r="N3">
        <v>14</v>
      </c>
      <c r="O3">
        <v>0</v>
      </c>
      <c r="P3">
        <v>0</v>
      </c>
      <c r="Q3">
        <v>0</v>
      </c>
      <c r="R3">
        <v>14</v>
      </c>
      <c r="S3">
        <v>0</v>
      </c>
      <c r="T3">
        <v>0</v>
      </c>
      <c r="U3">
        <v>0</v>
      </c>
      <c r="V3" t="s">
        <v>32</v>
      </c>
      <c r="W3">
        <v>14</v>
      </c>
      <c r="X3">
        <v>0</v>
      </c>
      <c r="Y3">
        <v>0</v>
      </c>
      <c r="Z3">
        <v>0</v>
      </c>
      <c r="AA3">
        <v>14</v>
      </c>
      <c r="AB3">
        <v>0</v>
      </c>
      <c r="AC3">
        <v>0</v>
      </c>
      <c r="AD3">
        <v>0</v>
      </c>
      <c r="AE3">
        <v>14</v>
      </c>
      <c r="AF3">
        <v>0</v>
      </c>
      <c r="AG3">
        <v>0</v>
      </c>
      <c r="AH3">
        <v>0</v>
      </c>
      <c r="AI3">
        <v>14</v>
      </c>
      <c r="AJ3">
        <v>0</v>
      </c>
      <c r="AK3">
        <v>0</v>
      </c>
      <c r="AL3">
        <v>0</v>
      </c>
      <c r="AM3">
        <v>14</v>
      </c>
      <c r="AN3">
        <v>0</v>
      </c>
      <c r="AO3">
        <v>0</v>
      </c>
      <c r="AP3">
        <v>0</v>
      </c>
      <c r="AQ3" t="s">
        <v>32</v>
      </c>
      <c r="AR3">
        <v>14</v>
      </c>
      <c r="AS3">
        <v>0</v>
      </c>
      <c r="AT3">
        <v>0</v>
      </c>
      <c r="AU3">
        <v>0</v>
      </c>
      <c r="AV3">
        <v>14</v>
      </c>
      <c r="AW3">
        <v>0</v>
      </c>
      <c r="AX3">
        <v>0</v>
      </c>
      <c r="AY3">
        <v>0</v>
      </c>
      <c r="AZ3">
        <v>14</v>
      </c>
      <c r="BA3">
        <v>0</v>
      </c>
      <c r="BB3">
        <v>0</v>
      </c>
      <c r="BC3">
        <v>0</v>
      </c>
      <c r="BD3">
        <v>14</v>
      </c>
      <c r="BE3">
        <v>0</v>
      </c>
      <c r="BF3">
        <v>0</v>
      </c>
      <c r="BG3">
        <v>0</v>
      </c>
      <c r="BH3">
        <v>14</v>
      </c>
      <c r="BI3">
        <v>0</v>
      </c>
      <c r="BJ3">
        <v>0</v>
      </c>
      <c r="BK3">
        <v>0</v>
      </c>
    </row>
    <row r="4" spans="1:63">
      <c r="A4" t="s">
        <v>58</v>
      </c>
      <c r="B4">
        <v>14</v>
      </c>
      <c r="C4">
        <v>0</v>
      </c>
      <c r="D4">
        <v>0</v>
      </c>
      <c r="E4">
        <v>0</v>
      </c>
      <c r="F4">
        <v>14</v>
      </c>
      <c r="G4">
        <v>0</v>
      </c>
      <c r="H4">
        <v>0</v>
      </c>
      <c r="I4">
        <v>0</v>
      </c>
      <c r="J4">
        <v>14</v>
      </c>
      <c r="K4">
        <v>0</v>
      </c>
      <c r="L4">
        <v>0</v>
      </c>
      <c r="M4">
        <v>0</v>
      </c>
      <c r="N4">
        <v>14</v>
      </c>
      <c r="O4">
        <v>0</v>
      </c>
      <c r="P4">
        <v>0</v>
      </c>
      <c r="Q4">
        <v>0</v>
      </c>
      <c r="R4">
        <v>14</v>
      </c>
      <c r="S4">
        <v>0</v>
      </c>
      <c r="T4">
        <v>0</v>
      </c>
      <c r="U4">
        <v>0</v>
      </c>
      <c r="V4" t="s">
        <v>58</v>
      </c>
      <c r="W4">
        <v>14</v>
      </c>
      <c r="X4">
        <v>0</v>
      </c>
      <c r="Y4">
        <v>0</v>
      </c>
      <c r="Z4">
        <v>0</v>
      </c>
      <c r="AA4">
        <v>14</v>
      </c>
      <c r="AB4">
        <v>0</v>
      </c>
      <c r="AC4">
        <v>0</v>
      </c>
      <c r="AD4">
        <v>0</v>
      </c>
      <c r="AE4">
        <v>14</v>
      </c>
      <c r="AF4">
        <v>0</v>
      </c>
      <c r="AG4">
        <v>0</v>
      </c>
      <c r="AH4">
        <v>0</v>
      </c>
      <c r="AI4">
        <v>14</v>
      </c>
      <c r="AJ4">
        <v>0</v>
      </c>
      <c r="AK4">
        <v>0</v>
      </c>
      <c r="AL4">
        <v>0</v>
      </c>
      <c r="AM4">
        <v>14</v>
      </c>
      <c r="AN4">
        <v>0</v>
      </c>
      <c r="AO4">
        <v>0</v>
      </c>
      <c r="AP4">
        <v>0</v>
      </c>
      <c r="AQ4" t="s">
        <v>58</v>
      </c>
      <c r="AR4">
        <v>14</v>
      </c>
      <c r="AS4">
        <v>0</v>
      </c>
      <c r="AT4">
        <v>0</v>
      </c>
      <c r="AU4">
        <v>0</v>
      </c>
      <c r="AV4">
        <v>14</v>
      </c>
      <c r="AW4">
        <v>0</v>
      </c>
      <c r="AX4">
        <v>0</v>
      </c>
      <c r="AY4">
        <v>0</v>
      </c>
      <c r="AZ4">
        <v>14</v>
      </c>
      <c r="BA4">
        <v>0</v>
      </c>
      <c r="BB4">
        <v>0</v>
      </c>
      <c r="BC4">
        <v>0</v>
      </c>
      <c r="BD4">
        <v>14</v>
      </c>
      <c r="BE4">
        <v>0</v>
      </c>
      <c r="BF4">
        <v>0</v>
      </c>
      <c r="BG4">
        <v>0</v>
      </c>
      <c r="BH4">
        <v>14</v>
      </c>
      <c r="BI4">
        <v>0</v>
      </c>
      <c r="BJ4">
        <v>0</v>
      </c>
      <c r="BK4">
        <v>0</v>
      </c>
    </row>
    <row r="5" spans="1:63">
      <c r="A5" t="s">
        <v>14</v>
      </c>
      <c r="B5">
        <v>18</v>
      </c>
      <c r="C5">
        <v>0</v>
      </c>
      <c r="D5">
        <v>0</v>
      </c>
      <c r="E5">
        <v>0</v>
      </c>
      <c r="F5">
        <v>18</v>
      </c>
      <c r="G5">
        <v>0</v>
      </c>
      <c r="H5">
        <v>0</v>
      </c>
      <c r="I5">
        <v>0</v>
      </c>
      <c r="J5">
        <v>18</v>
      </c>
      <c r="K5">
        <v>0</v>
      </c>
      <c r="L5">
        <v>0</v>
      </c>
      <c r="M5">
        <v>0</v>
      </c>
      <c r="N5">
        <v>18</v>
      </c>
      <c r="O5">
        <v>0</v>
      </c>
      <c r="P5">
        <v>0</v>
      </c>
      <c r="Q5">
        <v>0</v>
      </c>
      <c r="R5">
        <v>18</v>
      </c>
      <c r="S5">
        <v>0</v>
      </c>
      <c r="T5">
        <v>0</v>
      </c>
      <c r="U5">
        <v>0</v>
      </c>
      <c r="V5" t="s">
        <v>14</v>
      </c>
      <c r="W5">
        <v>18</v>
      </c>
      <c r="X5">
        <v>0</v>
      </c>
      <c r="Y5">
        <v>0</v>
      </c>
      <c r="Z5">
        <v>0</v>
      </c>
      <c r="AA5">
        <v>18</v>
      </c>
      <c r="AB5">
        <v>0</v>
      </c>
      <c r="AC5">
        <v>0</v>
      </c>
      <c r="AD5">
        <v>0</v>
      </c>
      <c r="AE5">
        <v>18</v>
      </c>
      <c r="AF5">
        <v>0</v>
      </c>
      <c r="AG5">
        <v>0</v>
      </c>
      <c r="AH5">
        <v>0</v>
      </c>
      <c r="AI5">
        <v>18</v>
      </c>
      <c r="AJ5">
        <v>0</v>
      </c>
      <c r="AK5">
        <v>0</v>
      </c>
      <c r="AL5">
        <v>0</v>
      </c>
      <c r="AM5">
        <v>18</v>
      </c>
      <c r="AN5">
        <v>0</v>
      </c>
      <c r="AO5">
        <v>0</v>
      </c>
      <c r="AP5">
        <v>0</v>
      </c>
      <c r="AQ5" t="s">
        <v>14</v>
      </c>
      <c r="AR5">
        <v>18</v>
      </c>
      <c r="AS5">
        <v>0</v>
      </c>
      <c r="AT5">
        <v>0</v>
      </c>
      <c r="AU5">
        <v>0</v>
      </c>
      <c r="AV5">
        <v>18</v>
      </c>
      <c r="AW5">
        <v>0</v>
      </c>
      <c r="AX5">
        <v>0</v>
      </c>
      <c r="AY5">
        <v>0</v>
      </c>
      <c r="AZ5">
        <v>18</v>
      </c>
      <c r="BA5">
        <v>0</v>
      </c>
      <c r="BB5">
        <v>0</v>
      </c>
      <c r="BC5">
        <v>0</v>
      </c>
      <c r="BD5">
        <v>18</v>
      </c>
      <c r="BE5">
        <v>0</v>
      </c>
      <c r="BF5">
        <v>0</v>
      </c>
      <c r="BG5">
        <v>0</v>
      </c>
      <c r="BH5">
        <v>18</v>
      </c>
      <c r="BI5">
        <v>0</v>
      </c>
      <c r="BJ5">
        <v>0</v>
      </c>
      <c r="BK5">
        <v>0</v>
      </c>
    </row>
    <row r="6" spans="1:63">
      <c r="A6" t="s">
        <v>39</v>
      </c>
      <c r="B6">
        <v>60</v>
      </c>
      <c r="C6">
        <v>0</v>
      </c>
      <c r="D6">
        <v>0</v>
      </c>
      <c r="E6">
        <v>0</v>
      </c>
      <c r="F6">
        <v>60</v>
      </c>
      <c r="G6">
        <v>0</v>
      </c>
      <c r="H6">
        <v>0</v>
      </c>
      <c r="I6">
        <v>0</v>
      </c>
      <c r="J6">
        <v>60</v>
      </c>
      <c r="K6">
        <v>0</v>
      </c>
      <c r="L6">
        <v>0</v>
      </c>
      <c r="M6">
        <v>0</v>
      </c>
      <c r="N6">
        <v>60</v>
      </c>
      <c r="O6">
        <v>0</v>
      </c>
      <c r="P6">
        <v>0</v>
      </c>
      <c r="Q6">
        <v>0</v>
      </c>
      <c r="R6">
        <v>60</v>
      </c>
      <c r="S6">
        <v>0</v>
      </c>
      <c r="T6">
        <v>0</v>
      </c>
      <c r="U6">
        <v>0</v>
      </c>
      <c r="V6" t="s">
        <v>39</v>
      </c>
      <c r="W6">
        <v>60</v>
      </c>
      <c r="X6">
        <v>0</v>
      </c>
      <c r="Y6">
        <v>0</v>
      </c>
      <c r="Z6">
        <v>0</v>
      </c>
      <c r="AA6">
        <v>60</v>
      </c>
      <c r="AB6">
        <v>0</v>
      </c>
      <c r="AC6">
        <v>0</v>
      </c>
      <c r="AD6">
        <v>0</v>
      </c>
      <c r="AE6">
        <v>60</v>
      </c>
      <c r="AF6">
        <v>0</v>
      </c>
      <c r="AG6">
        <v>0</v>
      </c>
      <c r="AH6">
        <v>0</v>
      </c>
      <c r="AI6">
        <v>60</v>
      </c>
      <c r="AJ6">
        <v>0</v>
      </c>
      <c r="AK6">
        <v>0</v>
      </c>
      <c r="AL6">
        <v>0</v>
      </c>
      <c r="AM6">
        <v>60</v>
      </c>
      <c r="AN6">
        <v>0</v>
      </c>
      <c r="AO6">
        <v>0</v>
      </c>
      <c r="AP6">
        <v>0</v>
      </c>
      <c r="AQ6" t="s">
        <v>39</v>
      </c>
      <c r="AR6">
        <v>60</v>
      </c>
      <c r="AS6">
        <v>0</v>
      </c>
      <c r="AT6">
        <v>0</v>
      </c>
      <c r="AU6">
        <v>0</v>
      </c>
      <c r="AV6">
        <v>60</v>
      </c>
      <c r="AW6">
        <v>0</v>
      </c>
      <c r="AX6">
        <v>0</v>
      </c>
      <c r="AY6">
        <v>0</v>
      </c>
      <c r="AZ6">
        <v>60</v>
      </c>
      <c r="BA6">
        <v>0</v>
      </c>
      <c r="BB6">
        <v>0</v>
      </c>
      <c r="BC6">
        <v>0</v>
      </c>
      <c r="BD6">
        <v>60</v>
      </c>
      <c r="BE6">
        <v>0</v>
      </c>
      <c r="BF6">
        <v>0</v>
      </c>
      <c r="BG6">
        <v>0</v>
      </c>
      <c r="BH6">
        <v>60</v>
      </c>
      <c r="BI6">
        <v>0</v>
      </c>
      <c r="BJ6">
        <v>0</v>
      </c>
      <c r="BK6">
        <v>0</v>
      </c>
    </row>
    <row r="7" spans="1:63">
      <c r="A7" t="s">
        <v>51</v>
      </c>
      <c r="B7">
        <v>9</v>
      </c>
      <c r="C7">
        <v>2</v>
      </c>
      <c r="D7">
        <v>0</v>
      </c>
      <c r="E7">
        <v>0</v>
      </c>
      <c r="F7">
        <v>9</v>
      </c>
      <c r="G7">
        <v>2</v>
      </c>
      <c r="H7">
        <v>0</v>
      </c>
      <c r="I7">
        <v>0</v>
      </c>
      <c r="J7">
        <v>11</v>
      </c>
      <c r="K7">
        <v>0</v>
      </c>
      <c r="L7">
        <v>0</v>
      </c>
      <c r="M7">
        <v>0</v>
      </c>
      <c r="N7">
        <v>9</v>
      </c>
      <c r="O7">
        <v>0</v>
      </c>
      <c r="P7">
        <v>2</v>
      </c>
      <c r="Q7">
        <v>0</v>
      </c>
      <c r="R7">
        <v>11</v>
      </c>
      <c r="S7">
        <v>0</v>
      </c>
      <c r="T7">
        <v>0</v>
      </c>
      <c r="U7">
        <v>0</v>
      </c>
      <c r="V7" t="s">
        <v>51</v>
      </c>
      <c r="W7">
        <v>9</v>
      </c>
      <c r="X7">
        <v>2</v>
      </c>
      <c r="Y7">
        <v>0</v>
      </c>
      <c r="Z7">
        <v>0</v>
      </c>
      <c r="AA7">
        <v>9</v>
      </c>
      <c r="AB7">
        <v>2</v>
      </c>
      <c r="AC7">
        <v>0</v>
      </c>
      <c r="AD7">
        <v>0</v>
      </c>
      <c r="AE7">
        <v>11</v>
      </c>
      <c r="AF7">
        <v>0</v>
      </c>
      <c r="AG7">
        <v>0</v>
      </c>
      <c r="AH7">
        <v>0</v>
      </c>
      <c r="AI7">
        <v>9</v>
      </c>
      <c r="AJ7">
        <v>0</v>
      </c>
      <c r="AK7">
        <v>2</v>
      </c>
      <c r="AL7">
        <v>0</v>
      </c>
      <c r="AM7">
        <v>11</v>
      </c>
      <c r="AN7">
        <v>0</v>
      </c>
      <c r="AO7">
        <v>0</v>
      </c>
      <c r="AP7">
        <v>0</v>
      </c>
      <c r="AQ7" t="s">
        <v>51</v>
      </c>
      <c r="AR7">
        <v>9</v>
      </c>
      <c r="AS7">
        <v>2</v>
      </c>
      <c r="AT7">
        <v>0</v>
      </c>
      <c r="AU7">
        <v>0</v>
      </c>
      <c r="AV7">
        <v>9</v>
      </c>
      <c r="AW7">
        <v>2</v>
      </c>
      <c r="AX7">
        <v>0</v>
      </c>
      <c r="AY7">
        <v>0</v>
      </c>
      <c r="AZ7">
        <v>11</v>
      </c>
      <c r="BA7">
        <v>0</v>
      </c>
      <c r="BB7">
        <v>0</v>
      </c>
      <c r="BC7">
        <v>0</v>
      </c>
      <c r="BD7">
        <v>9</v>
      </c>
      <c r="BE7">
        <v>0</v>
      </c>
      <c r="BF7">
        <v>2</v>
      </c>
      <c r="BG7">
        <v>0</v>
      </c>
      <c r="BH7">
        <v>11</v>
      </c>
      <c r="BI7">
        <v>0</v>
      </c>
      <c r="BJ7">
        <v>0</v>
      </c>
      <c r="BK7">
        <v>0</v>
      </c>
    </row>
    <row r="8" spans="1:63">
      <c r="A8" t="s">
        <v>55</v>
      </c>
      <c r="B8">
        <v>33</v>
      </c>
      <c r="C8">
        <v>0</v>
      </c>
      <c r="D8">
        <v>0</v>
      </c>
      <c r="E8">
        <v>0</v>
      </c>
      <c r="F8">
        <v>33</v>
      </c>
      <c r="G8">
        <v>0</v>
      </c>
      <c r="H8">
        <v>0</v>
      </c>
      <c r="I8">
        <v>0</v>
      </c>
      <c r="J8">
        <v>33</v>
      </c>
      <c r="K8">
        <v>0</v>
      </c>
      <c r="L8">
        <v>0</v>
      </c>
      <c r="M8">
        <v>0</v>
      </c>
      <c r="N8">
        <v>33</v>
      </c>
      <c r="O8">
        <v>0</v>
      </c>
      <c r="P8">
        <v>0</v>
      </c>
      <c r="Q8">
        <v>0</v>
      </c>
      <c r="R8">
        <v>33</v>
      </c>
      <c r="S8">
        <v>0</v>
      </c>
      <c r="T8">
        <v>0</v>
      </c>
      <c r="U8">
        <v>0</v>
      </c>
      <c r="V8" t="s">
        <v>55</v>
      </c>
      <c r="W8">
        <v>33</v>
      </c>
      <c r="X8">
        <v>0</v>
      </c>
      <c r="Y8">
        <v>0</v>
      </c>
      <c r="Z8">
        <v>0</v>
      </c>
      <c r="AA8">
        <v>33</v>
      </c>
      <c r="AB8">
        <v>0</v>
      </c>
      <c r="AC8">
        <v>0</v>
      </c>
      <c r="AD8">
        <v>0</v>
      </c>
      <c r="AE8">
        <v>33</v>
      </c>
      <c r="AF8">
        <v>0</v>
      </c>
      <c r="AG8">
        <v>0</v>
      </c>
      <c r="AH8">
        <v>0</v>
      </c>
      <c r="AI8">
        <v>33</v>
      </c>
      <c r="AJ8">
        <v>0</v>
      </c>
      <c r="AK8">
        <v>0</v>
      </c>
      <c r="AL8">
        <v>0</v>
      </c>
      <c r="AM8">
        <v>33</v>
      </c>
      <c r="AN8">
        <v>0</v>
      </c>
      <c r="AO8">
        <v>0</v>
      </c>
      <c r="AP8">
        <v>0</v>
      </c>
      <c r="AQ8" t="s">
        <v>55</v>
      </c>
      <c r="AR8">
        <v>33</v>
      </c>
      <c r="AS8">
        <v>0</v>
      </c>
      <c r="AT8">
        <v>0</v>
      </c>
      <c r="AU8">
        <v>0</v>
      </c>
      <c r="AV8">
        <v>33</v>
      </c>
      <c r="AW8">
        <v>0</v>
      </c>
      <c r="AX8">
        <v>0</v>
      </c>
      <c r="AY8">
        <v>0</v>
      </c>
      <c r="AZ8">
        <v>33</v>
      </c>
      <c r="BA8">
        <v>0</v>
      </c>
      <c r="BB8">
        <v>0</v>
      </c>
      <c r="BC8">
        <v>0</v>
      </c>
      <c r="BD8">
        <v>33</v>
      </c>
      <c r="BE8">
        <v>0</v>
      </c>
      <c r="BF8">
        <v>0</v>
      </c>
      <c r="BG8">
        <v>0</v>
      </c>
      <c r="BH8">
        <v>33</v>
      </c>
      <c r="BI8">
        <v>0</v>
      </c>
      <c r="BJ8">
        <v>0</v>
      </c>
      <c r="BK8">
        <v>0</v>
      </c>
    </row>
    <row r="9" spans="1:63">
      <c r="A9" t="s">
        <v>85</v>
      </c>
      <c r="B9">
        <v>132</v>
      </c>
      <c r="C9">
        <v>0</v>
      </c>
      <c r="D9">
        <v>0</v>
      </c>
      <c r="E9">
        <v>0</v>
      </c>
      <c r="F9">
        <v>132</v>
      </c>
      <c r="G9">
        <v>0</v>
      </c>
      <c r="H9">
        <v>0</v>
      </c>
      <c r="I9">
        <v>0</v>
      </c>
      <c r="J9">
        <v>132</v>
      </c>
      <c r="K9">
        <v>0</v>
      </c>
      <c r="L9">
        <v>0</v>
      </c>
      <c r="M9">
        <v>0</v>
      </c>
      <c r="N9">
        <v>132</v>
      </c>
      <c r="O9">
        <v>0</v>
      </c>
      <c r="P9">
        <v>0</v>
      </c>
      <c r="Q9">
        <v>0</v>
      </c>
      <c r="R9">
        <v>132</v>
      </c>
      <c r="S9">
        <v>0</v>
      </c>
      <c r="T9">
        <v>0</v>
      </c>
      <c r="U9">
        <v>0</v>
      </c>
      <c r="V9" t="s">
        <v>85</v>
      </c>
      <c r="W9">
        <v>132</v>
      </c>
      <c r="X9">
        <v>0</v>
      </c>
      <c r="Y9">
        <v>0</v>
      </c>
      <c r="Z9">
        <v>0</v>
      </c>
      <c r="AA9">
        <v>132</v>
      </c>
      <c r="AB9">
        <v>0</v>
      </c>
      <c r="AC9">
        <v>0</v>
      </c>
      <c r="AD9">
        <v>0</v>
      </c>
      <c r="AE9">
        <v>132</v>
      </c>
      <c r="AF9">
        <v>0</v>
      </c>
      <c r="AG9">
        <v>0</v>
      </c>
      <c r="AH9">
        <v>0</v>
      </c>
      <c r="AI9">
        <v>132</v>
      </c>
      <c r="AJ9">
        <v>0</v>
      </c>
      <c r="AK9">
        <v>0</v>
      </c>
      <c r="AL9">
        <v>0</v>
      </c>
      <c r="AM9">
        <v>132</v>
      </c>
      <c r="AN9">
        <v>0</v>
      </c>
      <c r="AO9">
        <v>0</v>
      </c>
      <c r="AP9">
        <v>0</v>
      </c>
      <c r="AQ9" t="s">
        <v>85</v>
      </c>
      <c r="AR9">
        <v>132</v>
      </c>
      <c r="AS9">
        <v>0</v>
      </c>
      <c r="AT9">
        <v>0</v>
      </c>
      <c r="AU9">
        <v>0</v>
      </c>
      <c r="AV9">
        <v>132</v>
      </c>
      <c r="AW9">
        <v>0</v>
      </c>
      <c r="AX9">
        <v>0</v>
      </c>
      <c r="AY9">
        <v>0</v>
      </c>
      <c r="AZ9">
        <v>132</v>
      </c>
      <c r="BA9">
        <v>0</v>
      </c>
      <c r="BB9">
        <v>0</v>
      </c>
      <c r="BC9">
        <v>0</v>
      </c>
      <c r="BD9">
        <v>132</v>
      </c>
      <c r="BE9">
        <v>0</v>
      </c>
      <c r="BF9">
        <v>0</v>
      </c>
      <c r="BG9">
        <v>0</v>
      </c>
      <c r="BH9">
        <v>132</v>
      </c>
      <c r="BI9">
        <v>0</v>
      </c>
      <c r="BJ9">
        <v>0</v>
      </c>
      <c r="BK9">
        <v>0</v>
      </c>
    </row>
    <row r="10" spans="1:63">
      <c r="A10" t="s">
        <v>30</v>
      </c>
      <c r="B10">
        <v>50</v>
      </c>
      <c r="C10">
        <v>4</v>
      </c>
      <c r="D10">
        <v>0</v>
      </c>
      <c r="E10">
        <v>0</v>
      </c>
      <c r="F10">
        <v>50</v>
      </c>
      <c r="G10">
        <v>4</v>
      </c>
      <c r="H10">
        <v>0</v>
      </c>
      <c r="I10">
        <v>0</v>
      </c>
      <c r="J10">
        <v>54</v>
      </c>
      <c r="K10">
        <v>0</v>
      </c>
      <c r="L10">
        <v>0</v>
      </c>
      <c r="M10">
        <v>0</v>
      </c>
      <c r="N10">
        <v>50</v>
      </c>
      <c r="O10">
        <v>0</v>
      </c>
      <c r="P10">
        <v>4</v>
      </c>
      <c r="Q10">
        <v>0</v>
      </c>
      <c r="R10">
        <v>54</v>
      </c>
      <c r="S10">
        <v>0</v>
      </c>
      <c r="T10">
        <v>0</v>
      </c>
      <c r="U10">
        <v>0</v>
      </c>
      <c r="V10" t="s">
        <v>30</v>
      </c>
      <c r="W10">
        <v>50</v>
      </c>
      <c r="X10">
        <v>4</v>
      </c>
      <c r="Y10">
        <v>0</v>
      </c>
      <c r="Z10">
        <v>0</v>
      </c>
      <c r="AA10">
        <v>50</v>
      </c>
      <c r="AB10">
        <v>4</v>
      </c>
      <c r="AC10">
        <v>0</v>
      </c>
      <c r="AD10">
        <v>0</v>
      </c>
      <c r="AE10">
        <v>54</v>
      </c>
      <c r="AF10">
        <v>0</v>
      </c>
      <c r="AG10">
        <v>0</v>
      </c>
      <c r="AH10">
        <v>0</v>
      </c>
      <c r="AI10">
        <v>50</v>
      </c>
      <c r="AJ10">
        <v>0</v>
      </c>
      <c r="AK10">
        <v>4</v>
      </c>
      <c r="AL10">
        <v>0</v>
      </c>
      <c r="AM10">
        <v>54</v>
      </c>
      <c r="AN10">
        <v>0</v>
      </c>
      <c r="AO10">
        <v>0</v>
      </c>
      <c r="AP10">
        <v>0</v>
      </c>
      <c r="AQ10" t="s">
        <v>30</v>
      </c>
      <c r="AR10">
        <v>50</v>
      </c>
      <c r="AS10">
        <v>4</v>
      </c>
      <c r="AT10">
        <v>0</v>
      </c>
      <c r="AU10">
        <v>0</v>
      </c>
      <c r="AV10">
        <v>50</v>
      </c>
      <c r="AW10">
        <v>4</v>
      </c>
      <c r="AX10">
        <v>0</v>
      </c>
      <c r="AY10">
        <v>0</v>
      </c>
      <c r="AZ10">
        <v>54</v>
      </c>
      <c r="BA10">
        <v>0</v>
      </c>
      <c r="BB10">
        <v>0</v>
      </c>
      <c r="BC10">
        <v>0</v>
      </c>
      <c r="BD10">
        <v>50</v>
      </c>
      <c r="BE10">
        <v>0</v>
      </c>
      <c r="BF10">
        <v>4</v>
      </c>
      <c r="BG10">
        <v>0</v>
      </c>
      <c r="BH10">
        <v>54</v>
      </c>
      <c r="BI10">
        <v>0</v>
      </c>
      <c r="BJ10">
        <v>0</v>
      </c>
      <c r="BK10">
        <v>0</v>
      </c>
    </row>
    <row r="11" spans="1:63">
      <c r="A11" t="s">
        <v>89</v>
      </c>
      <c r="B11">
        <v>51</v>
      </c>
      <c r="C11">
        <v>0</v>
      </c>
      <c r="D11">
        <v>0</v>
      </c>
      <c r="E11">
        <v>0</v>
      </c>
      <c r="F11">
        <v>51</v>
      </c>
      <c r="G11">
        <v>0</v>
      </c>
      <c r="H11">
        <v>0</v>
      </c>
      <c r="I11">
        <v>0</v>
      </c>
      <c r="J11">
        <v>51</v>
      </c>
      <c r="K11">
        <v>0</v>
      </c>
      <c r="L11">
        <v>0</v>
      </c>
      <c r="M11">
        <v>0</v>
      </c>
      <c r="N11">
        <v>51</v>
      </c>
      <c r="O11">
        <v>0</v>
      </c>
      <c r="P11">
        <v>0</v>
      </c>
      <c r="Q11">
        <v>0</v>
      </c>
      <c r="R11">
        <v>51</v>
      </c>
      <c r="S11">
        <v>0</v>
      </c>
      <c r="T11">
        <v>0</v>
      </c>
      <c r="U11">
        <v>0</v>
      </c>
      <c r="V11" t="s">
        <v>89</v>
      </c>
      <c r="W11">
        <v>51</v>
      </c>
      <c r="X11">
        <v>0</v>
      </c>
      <c r="Y11">
        <v>0</v>
      </c>
      <c r="Z11">
        <v>0</v>
      </c>
      <c r="AA11">
        <v>51</v>
      </c>
      <c r="AB11">
        <v>0</v>
      </c>
      <c r="AC11">
        <v>0</v>
      </c>
      <c r="AD11">
        <v>0</v>
      </c>
      <c r="AE11">
        <v>51</v>
      </c>
      <c r="AF11">
        <v>0</v>
      </c>
      <c r="AG11">
        <v>0</v>
      </c>
      <c r="AH11">
        <v>0</v>
      </c>
      <c r="AI11">
        <v>51</v>
      </c>
      <c r="AJ11">
        <v>0</v>
      </c>
      <c r="AK11">
        <v>0</v>
      </c>
      <c r="AL11">
        <v>0</v>
      </c>
      <c r="AM11">
        <v>51</v>
      </c>
      <c r="AN11">
        <v>0</v>
      </c>
      <c r="AO11">
        <v>0</v>
      </c>
      <c r="AP11">
        <v>0</v>
      </c>
      <c r="AQ11" t="s">
        <v>89</v>
      </c>
      <c r="AR11">
        <v>51</v>
      </c>
      <c r="AS11">
        <v>0</v>
      </c>
      <c r="AT11">
        <v>0</v>
      </c>
      <c r="AU11">
        <v>0</v>
      </c>
      <c r="AV11">
        <v>51</v>
      </c>
      <c r="AW11">
        <v>0</v>
      </c>
      <c r="AX11">
        <v>0</v>
      </c>
      <c r="AY11">
        <v>0</v>
      </c>
      <c r="AZ11">
        <v>51</v>
      </c>
      <c r="BA11">
        <v>0</v>
      </c>
      <c r="BB11">
        <v>0</v>
      </c>
      <c r="BC11">
        <v>0</v>
      </c>
      <c r="BD11">
        <v>51</v>
      </c>
      <c r="BE11">
        <v>0</v>
      </c>
      <c r="BF11">
        <v>0</v>
      </c>
      <c r="BG11">
        <v>0</v>
      </c>
      <c r="BH11">
        <v>51</v>
      </c>
      <c r="BI11">
        <v>0</v>
      </c>
      <c r="BJ11">
        <v>0</v>
      </c>
      <c r="BK11">
        <v>0</v>
      </c>
    </row>
    <row r="12" spans="1:63">
      <c r="A12" t="s">
        <v>2</v>
      </c>
      <c r="B12">
        <v>3</v>
      </c>
      <c r="C12">
        <v>0</v>
      </c>
      <c r="D12">
        <v>0</v>
      </c>
      <c r="E12">
        <v>0</v>
      </c>
      <c r="F12">
        <v>3</v>
      </c>
      <c r="G12">
        <v>0</v>
      </c>
      <c r="H12">
        <v>0</v>
      </c>
      <c r="I12">
        <v>0</v>
      </c>
      <c r="J12">
        <v>3</v>
      </c>
      <c r="K12">
        <v>0</v>
      </c>
      <c r="L12">
        <v>0</v>
      </c>
      <c r="M12">
        <v>0</v>
      </c>
      <c r="N12">
        <v>3</v>
      </c>
      <c r="O12">
        <v>0</v>
      </c>
      <c r="P12">
        <v>0</v>
      </c>
      <c r="Q12">
        <v>0</v>
      </c>
      <c r="R12">
        <v>3</v>
      </c>
      <c r="S12">
        <v>0</v>
      </c>
      <c r="T12">
        <v>0</v>
      </c>
      <c r="U12">
        <v>0</v>
      </c>
      <c r="V12" t="s">
        <v>2</v>
      </c>
      <c r="W12">
        <v>3</v>
      </c>
      <c r="X12">
        <v>0</v>
      </c>
      <c r="Y12">
        <v>0</v>
      </c>
      <c r="Z12">
        <v>0</v>
      </c>
      <c r="AA12">
        <v>3</v>
      </c>
      <c r="AB12">
        <v>0</v>
      </c>
      <c r="AC12">
        <v>0</v>
      </c>
      <c r="AD12">
        <v>0</v>
      </c>
      <c r="AE12">
        <v>3</v>
      </c>
      <c r="AF12">
        <v>0</v>
      </c>
      <c r="AG12">
        <v>0</v>
      </c>
      <c r="AH12">
        <v>0</v>
      </c>
      <c r="AI12">
        <v>3</v>
      </c>
      <c r="AJ12">
        <v>0</v>
      </c>
      <c r="AK12">
        <v>0</v>
      </c>
      <c r="AL12">
        <v>0</v>
      </c>
      <c r="AM12">
        <v>3</v>
      </c>
      <c r="AN12">
        <v>0</v>
      </c>
      <c r="AO12">
        <v>0</v>
      </c>
      <c r="AP12">
        <v>0</v>
      </c>
      <c r="AQ12" t="s">
        <v>2</v>
      </c>
      <c r="AR12">
        <v>3</v>
      </c>
      <c r="AS12">
        <v>0</v>
      </c>
      <c r="AT12">
        <v>0</v>
      </c>
      <c r="AU12">
        <v>0</v>
      </c>
      <c r="AV12">
        <v>3</v>
      </c>
      <c r="AW12">
        <v>0</v>
      </c>
      <c r="AX12">
        <v>0</v>
      </c>
      <c r="AY12">
        <v>0</v>
      </c>
      <c r="AZ12">
        <v>3</v>
      </c>
      <c r="BA12">
        <v>0</v>
      </c>
      <c r="BB12">
        <v>0</v>
      </c>
      <c r="BC12">
        <v>0</v>
      </c>
      <c r="BD12">
        <v>3</v>
      </c>
      <c r="BE12">
        <v>0</v>
      </c>
      <c r="BF12">
        <v>0</v>
      </c>
      <c r="BG12">
        <v>0</v>
      </c>
      <c r="BH12">
        <v>3</v>
      </c>
      <c r="BI12">
        <v>0</v>
      </c>
      <c r="BJ12">
        <v>0</v>
      </c>
      <c r="BK12">
        <v>0</v>
      </c>
    </row>
    <row r="13" spans="1:63">
      <c r="A13" t="s">
        <v>37</v>
      </c>
      <c r="B13">
        <v>2</v>
      </c>
      <c r="C13">
        <v>0</v>
      </c>
      <c r="D13">
        <v>0</v>
      </c>
      <c r="E13">
        <v>0</v>
      </c>
      <c r="F13">
        <v>2</v>
      </c>
      <c r="G13">
        <v>0</v>
      </c>
      <c r="H13">
        <v>0</v>
      </c>
      <c r="I13">
        <v>0</v>
      </c>
      <c r="J13">
        <v>2</v>
      </c>
      <c r="K13">
        <v>0</v>
      </c>
      <c r="L13">
        <v>0</v>
      </c>
      <c r="M13">
        <v>0</v>
      </c>
      <c r="N13">
        <v>2</v>
      </c>
      <c r="O13">
        <v>0</v>
      </c>
      <c r="P13">
        <v>0</v>
      </c>
      <c r="Q13">
        <v>0</v>
      </c>
      <c r="R13">
        <v>2</v>
      </c>
      <c r="S13">
        <v>0</v>
      </c>
      <c r="T13">
        <v>0</v>
      </c>
      <c r="U13">
        <v>0</v>
      </c>
      <c r="V13" t="s">
        <v>37</v>
      </c>
      <c r="W13">
        <v>2</v>
      </c>
      <c r="X13">
        <v>0</v>
      </c>
      <c r="Y13">
        <v>0</v>
      </c>
      <c r="Z13">
        <v>0</v>
      </c>
      <c r="AA13">
        <v>2</v>
      </c>
      <c r="AB13">
        <v>0</v>
      </c>
      <c r="AC13">
        <v>0</v>
      </c>
      <c r="AD13">
        <v>0</v>
      </c>
      <c r="AE13">
        <v>2</v>
      </c>
      <c r="AF13">
        <v>0</v>
      </c>
      <c r="AG13">
        <v>0</v>
      </c>
      <c r="AH13">
        <v>0</v>
      </c>
      <c r="AI13">
        <v>2</v>
      </c>
      <c r="AJ13">
        <v>0</v>
      </c>
      <c r="AK13">
        <v>0</v>
      </c>
      <c r="AL13">
        <v>0</v>
      </c>
      <c r="AM13">
        <v>2</v>
      </c>
      <c r="AN13">
        <v>0</v>
      </c>
      <c r="AO13">
        <v>0</v>
      </c>
      <c r="AP13">
        <v>0</v>
      </c>
      <c r="AQ13" t="s">
        <v>37</v>
      </c>
      <c r="AR13">
        <v>2</v>
      </c>
      <c r="AS13">
        <v>0</v>
      </c>
      <c r="AT13">
        <v>0</v>
      </c>
      <c r="AU13">
        <v>0</v>
      </c>
      <c r="AV13">
        <v>2</v>
      </c>
      <c r="AW13">
        <v>0</v>
      </c>
      <c r="AX13">
        <v>0</v>
      </c>
      <c r="AY13">
        <v>0</v>
      </c>
      <c r="AZ13">
        <v>2</v>
      </c>
      <c r="BA13">
        <v>0</v>
      </c>
      <c r="BB13">
        <v>0</v>
      </c>
      <c r="BC13">
        <v>0</v>
      </c>
      <c r="BD13">
        <v>2</v>
      </c>
      <c r="BE13">
        <v>0</v>
      </c>
      <c r="BF13">
        <v>0</v>
      </c>
      <c r="BG13">
        <v>0</v>
      </c>
      <c r="BH13">
        <v>2</v>
      </c>
      <c r="BI13">
        <v>0</v>
      </c>
      <c r="BJ13">
        <v>0</v>
      </c>
      <c r="BK13">
        <v>0</v>
      </c>
    </row>
    <row r="14" spans="1:63">
      <c r="A14" t="s">
        <v>72</v>
      </c>
      <c r="B14">
        <v>8</v>
      </c>
      <c r="C14">
        <v>0</v>
      </c>
      <c r="D14">
        <v>0</v>
      </c>
      <c r="E14">
        <v>0</v>
      </c>
      <c r="F14">
        <v>8</v>
      </c>
      <c r="G14">
        <v>0</v>
      </c>
      <c r="H14">
        <v>0</v>
      </c>
      <c r="I14">
        <v>0</v>
      </c>
      <c r="J14">
        <v>8</v>
      </c>
      <c r="K14">
        <v>0</v>
      </c>
      <c r="L14">
        <v>0</v>
      </c>
      <c r="M14">
        <v>0</v>
      </c>
      <c r="N14">
        <v>8</v>
      </c>
      <c r="O14">
        <v>0</v>
      </c>
      <c r="P14">
        <v>0</v>
      </c>
      <c r="Q14">
        <v>0</v>
      </c>
      <c r="R14">
        <v>8</v>
      </c>
      <c r="S14">
        <v>0</v>
      </c>
      <c r="T14">
        <v>0</v>
      </c>
      <c r="U14">
        <v>0</v>
      </c>
      <c r="V14" t="s">
        <v>72</v>
      </c>
      <c r="W14">
        <v>8</v>
      </c>
      <c r="X14">
        <v>0</v>
      </c>
      <c r="Y14">
        <v>0</v>
      </c>
      <c r="Z14">
        <v>0</v>
      </c>
      <c r="AA14">
        <v>8</v>
      </c>
      <c r="AB14">
        <v>0</v>
      </c>
      <c r="AC14">
        <v>0</v>
      </c>
      <c r="AD14">
        <v>0</v>
      </c>
      <c r="AE14">
        <v>8</v>
      </c>
      <c r="AF14">
        <v>0</v>
      </c>
      <c r="AG14">
        <v>0</v>
      </c>
      <c r="AH14">
        <v>0</v>
      </c>
      <c r="AI14">
        <v>8</v>
      </c>
      <c r="AJ14">
        <v>0</v>
      </c>
      <c r="AK14">
        <v>0</v>
      </c>
      <c r="AL14">
        <v>0</v>
      </c>
      <c r="AM14">
        <v>8</v>
      </c>
      <c r="AN14">
        <v>0</v>
      </c>
      <c r="AO14">
        <v>0</v>
      </c>
      <c r="AP14">
        <v>0</v>
      </c>
      <c r="AQ14" t="s">
        <v>72</v>
      </c>
      <c r="AR14">
        <v>8</v>
      </c>
      <c r="AS14">
        <v>0</v>
      </c>
      <c r="AT14">
        <v>0</v>
      </c>
      <c r="AU14">
        <v>0</v>
      </c>
      <c r="AV14">
        <v>8</v>
      </c>
      <c r="AW14">
        <v>0</v>
      </c>
      <c r="AX14">
        <v>0</v>
      </c>
      <c r="AY14">
        <v>0</v>
      </c>
      <c r="AZ14">
        <v>8</v>
      </c>
      <c r="BA14">
        <v>0</v>
      </c>
      <c r="BB14">
        <v>0</v>
      </c>
      <c r="BC14">
        <v>0</v>
      </c>
      <c r="BD14">
        <v>8</v>
      </c>
      <c r="BE14">
        <v>0</v>
      </c>
      <c r="BF14">
        <v>0</v>
      </c>
      <c r="BG14">
        <v>0</v>
      </c>
      <c r="BH14">
        <v>8</v>
      </c>
      <c r="BI14">
        <v>0</v>
      </c>
      <c r="BJ14">
        <v>0</v>
      </c>
      <c r="BK14">
        <v>0</v>
      </c>
    </row>
    <row r="15" spans="1:63">
      <c r="A15" t="s">
        <v>8</v>
      </c>
      <c r="B15">
        <v>3</v>
      </c>
      <c r="C15">
        <v>0</v>
      </c>
      <c r="D15">
        <v>0</v>
      </c>
      <c r="E15">
        <v>0</v>
      </c>
      <c r="F15">
        <v>3</v>
      </c>
      <c r="G15">
        <v>0</v>
      </c>
      <c r="H15">
        <v>0</v>
      </c>
      <c r="I15">
        <v>0</v>
      </c>
      <c r="J15">
        <v>3</v>
      </c>
      <c r="K15">
        <v>0</v>
      </c>
      <c r="L15">
        <v>0</v>
      </c>
      <c r="M15">
        <v>0</v>
      </c>
      <c r="N15">
        <v>3</v>
      </c>
      <c r="O15">
        <v>0</v>
      </c>
      <c r="P15">
        <v>0</v>
      </c>
      <c r="Q15">
        <v>0</v>
      </c>
      <c r="R15">
        <v>3</v>
      </c>
      <c r="S15">
        <v>0</v>
      </c>
      <c r="T15">
        <v>0</v>
      </c>
      <c r="U15">
        <v>0</v>
      </c>
      <c r="V15" t="s">
        <v>8</v>
      </c>
      <c r="W15">
        <v>3</v>
      </c>
      <c r="X15">
        <v>0</v>
      </c>
      <c r="Y15">
        <v>0</v>
      </c>
      <c r="Z15">
        <v>0</v>
      </c>
      <c r="AA15">
        <v>3</v>
      </c>
      <c r="AB15">
        <v>0</v>
      </c>
      <c r="AC15">
        <v>0</v>
      </c>
      <c r="AD15">
        <v>0</v>
      </c>
      <c r="AE15">
        <v>3</v>
      </c>
      <c r="AF15">
        <v>0</v>
      </c>
      <c r="AG15">
        <v>0</v>
      </c>
      <c r="AH15">
        <v>0</v>
      </c>
      <c r="AI15">
        <v>3</v>
      </c>
      <c r="AJ15">
        <v>0</v>
      </c>
      <c r="AK15">
        <v>0</v>
      </c>
      <c r="AL15">
        <v>0</v>
      </c>
      <c r="AM15">
        <v>3</v>
      </c>
      <c r="AN15">
        <v>0</v>
      </c>
      <c r="AO15">
        <v>0</v>
      </c>
      <c r="AP15">
        <v>0</v>
      </c>
      <c r="AQ15" t="s">
        <v>8</v>
      </c>
      <c r="AR15">
        <v>3</v>
      </c>
      <c r="AS15">
        <v>0</v>
      </c>
      <c r="AT15">
        <v>0</v>
      </c>
      <c r="AU15">
        <v>0</v>
      </c>
      <c r="AV15">
        <v>3</v>
      </c>
      <c r="AW15">
        <v>0</v>
      </c>
      <c r="AX15">
        <v>0</v>
      </c>
      <c r="AY15">
        <v>0</v>
      </c>
      <c r="AZ15">
        <v>3</v>
      </c>
      <c r="BA15">
        <v>0</v>
      </c>
      <c r="BB15">
        <v>0</v>
      </c>
      <c r="BC15">
        <v>0</v>
      </c>
      <c r="BD15">
        <v>3</v>
      </c>
      <c r="BE15">
        <v>0</v>
      </c>
      <c r="BF15">
        <v>0</v>
      </c>
      <c r="BG15">
        <v>0</v>
      </c>
      <c r="BH15">
        <v>3</v>
      </c>
      <c r="BI15">
        <v>0</v>
      </c>
      <c r="BJ15">
        <v>0</v>
      </c>
      <c r="BK15">
        <v>0</v>
      </c>
    </row>
    <row r="16" spans="1:63">
      <c r="A16" t="s">
        <v>101</v>
      </c>
      <c r="B16">
        <v>132</v>
      </c>
      <c r="C16">
        <v>9</v>
      </c>
      <c r="D16">
        <v>0</v>
      </c>
      <c r="E16">
        <v>0</v>
      </c>
      <c r="F16">
        <v>132</v>
      </c>
      <c r="G16">
        <v>9</v>
      </c>
      <c r="H16">
        <v>0</v>
      </c>
      <c r="I16">
        <v>0</v>
      </c>
      <c r="J16">
        <v>137</v>
      </c>
      <c r="K16">
        <v>4</v>
      </c>
      <c r="L16">
        <v>0</v>
      </c>
      <c r="M16">
        <v>0</v>
      </c>
      <c r="N16">
        <v>128</v>
      </c>
      <c r="O16">
        <v>4</v>
      </c>
      <c r="P16">
        <v>9</v>
      </c>
      <c r="Q16">
        <v>0</v>
      </c>
      <c r="R16">
        <v>134</v>
      </c>
      <c r="S16">
        <v>7</v>
      </c>
      <c r="T16">
        <v>0</v>
      </c>
      <c r="U16">
        <v>0</v>
      </c>
      <c r="V16" t="s">
        <v>101</v>
      </c>
      <c r="W16">
        <v>132</v>
      </c>
      <c r="X16">
        <v>9</v>
      </c>
      <c r="Y16">
        <v>0</v>
      </c>
      <c r="Z16">
        <v>0</v>
      </c>
      <c r="AA16">
        <v>132</v>
      </c>
      <c r="AB16">
        <v>9</v>
      </c>
      <c r="AC16">
        <v>0</v>
      </c>
      <c r="AD16">
        <v>0</v>
      </c>
      <c r="AE16">
        <v>137</v>
      </c>
      <c r="AF16">
        <v>4</v>
      </c>
      <c r="AG16">
        <v>0</v>
      </c>
      <c r="AH16">
        <v>0</v>
      </c>
      <c r="AI16">
        <v>128</v>
      </c>
      <c r="AJ16">
        <v>4</v>
      </c>
      <c r="AK16">
        <v>9</v>
      </c>
      <c r="AL16">
        <v>0</v>
      </c>
      <c r="AM16">
        <v>134</v>
      </c>
      <c r="AN16">
        <v>7</v>
      </c>
      <c r="AO16">
        <v>0</v>
      </c>
      <c r="AP16">
        <v>0</v>
      </c>
      <c r="AQ16" t="s">
        <v>101</v>
      </c>
      <c r="AR16">
        <v>132</v>
      </c>
      <c r="AS16">
        <v>9</v>
      </c>
      <c r="AT16">
        <v>0</v>
      </c>
      <c r="AU16">
        <v>0</v>
      </c>
      <c r="AV16">
        <v>132</v>
      </c>
      <c r="AW16">
        <v>9</v>
      </c>
      <c r="AX16">
        <v>0</v>
      </c>
      <c r="AY16">
        <v>0</v>
      </c>
      <c r="AZ16">
        <v>141</v>
      </c>
      <c r="BA16">
        <v>0</v>
      </c>
      <c r="BB16">
        <v>0</v>
      </c>
      <c r="BC16">
        <v>0</v>
      </c>
      <c r="BD16">
        <v>132</v>
      </c>
      <c r="BE16">
        <v>0</v>
      </c>
      <c r="BF16">
        <v>9</v>
      </c>
      <c r="BG16">
        <v>0</v>
      </c>
      <c r="BH16">
        <v>141</v>
      </c>
      <c r="BI16">
        <v>0</v>
      </c>
      <c r="BJ16">
        <v>0</v>
      </c>
      <c r="BK16">
        <v>0</v>
      </c>
    </row>
    <row r="17" spans="1:63">
      <c r="A17" t="s">
        <v>3</v>
      </c>
      <c r="B17">
        <v>31</v>
      </c>
      <c r="C17">
        <v>0</v>
      </c>
      <c r="D17">
        <v>0</v>
      </c>
      <c r="E17">
        <v>0</v>
      </c>
      <c r="F17">
        <v>31</v>
      </c>
      <c r="G17">
        <v>0</v>
      </c>
      <c r="H17">
        <v>0</v>
      </c>
      <c r="I17">
        <v>0</v>
      </c>
      <c r="J17">
        <v>31</v>
      </c>
      <c r="K17">
        <v>0</v>
      </c>
      <c r="L17">
        <v>0</v>
      </c>
      <c r="M17">
        <v>0</v>
      </c>
      <c r="N17">
        <v>31</v>
      </c>
      <c r="O17">
        <v>0</v>
      </c>
      <c r="P17">
        <v>0</v>
      </c>
      <c r="Q17">
        <v>0</v>
      </c>
      <c r="R17">
        <v>31</v>
      </c>
      <c r="S17">
        <v>0</v>
      </c>
      <c r="T17">
        <v>0</v>
      </c>
      <c r="U17">
        <v>0</v>
      </c>
      <c r="V17" t="s">
        <v>3</v>
      </c>
      <c r="W17">
        <v>31</v>
      </c>
      <c r="X17">
        <v>0</v>
      </c>
      <c r="Y17">
        <v>0</v>
      </c>
      <c r="Z17">
        <v>0</v>
      </c>
      <c r="AA17">
        <v>31</v>
      </c>
      <c r="AB17">
        <v>0</v>
      </c>
      <c r="AC17">
        <v>0</v>
      </c>
      <c r="AD17">
        <v>0</v>
      </c>
      <c r="AE17">
        <v>31</v>
      </c>
      <c r="AF17">
        <v>0</v>
      </c>
      <c r="AG17">
        <v>0</v>
      </c>
      <c r="AH17">
        <v>0</v>
      </c>
      <c r="AI17">
        <v>31</v>
      </c>
      <c r="AJ17">
        <v>0</v>
      </c>
      <c r="AK17">
        <v>0</v>
      </c>
      <c r="AL17">
        <v>0</v>
      </c>
      <c r="AM17">
        <v>31</v>
      </c>
      <c r="AN17">
        <v>0</v>
      </c>
      <c r="AO17">
        <v>0</v>
      </c>
      <c r="AP17">
        <v>0</v>
      </c>
      <c r="AQ17" t="s">
        <v>3</v>
      </c>
      <c r="AR17">
        <v>31</v>
      </c>
      <c r="AS17">
        <v>0</v>
      </c>
      <c r="AT17">
        <v>0</v>
      </c>
      <c r="AU17">
        <v>0</v>
      </c>
      <c r="AV17">
        <v>31</v>
      </c>
      <c r="AW17">
        <v>0</v>
      </c>
      <c r="AX17">
        <v>0</v>
      </c>
      <c r="AY17">
        <v>0</v>
      </c>
      <c r="AZ17">
        <v>31</v>
      </c>
      <c r="BA17">
        <v>0</v>
      </c>
      <c r="BB17">
        <v>0</v>
      </c>
      <c r="BC17">
        <v>0</v>
      </c>
      <c r="BD17">
        <v>31</v>
      </c>
      <c r="BE17">
        <v>0</v>
      </c>
      <c r="BF17">
        <v>0</v>
      </c>
      <c r="BG17">
        <v>0</v>
      </c>
      <c r="BH17">
        <v>31</v>
      </c>
      <c r="BI17">
        <v>0</v>
      </c>
      <c r="BJ17">
        <v>0</v>
      </c>
      <c r="BK17">
        <v>0</v>
      </c>
    </row>
    <row r="18" spans="1:63">
      <c r="A18" t="s">
        <v>76</v>
      </c>
      <c r="B18">
        <v>31</v>
      </c>
      <c r="C18">
        <v>0</v>
      </c>
      <c r="D18">
        <v>0</v>
      </c>
      <c r="E18">
        <v>0</v>
      </c>
      <c r="F18">
        <v>31</v>
      </c>
      <c r="G18">
        <v>0</v>
      </c>
      <c r="H18">
        <v>0</v>
      </c>
      <c r="I18">
        <v>0</v>
      </c>
      <c r="J18">
        <v>31</v>
      </c>
      <c r="K18">
        <v>0</v>
      </c>
      <c r="L18">
        <v>0</v>
      </c>
      <c r="M18">
        <v>0</v>
      </c>
      <c r="N18">
        <v>31</v>
      </c>
      <c r="O18">
        <v>0</v>
      </c>
      <c r="P18">
        <v>0</v>
      </c>
      <c r="Q18">
        <v>0</v>
      </c>
      <c r="R18">
        <v>31</v>
      </c>
      <c r="S18">
        <v>0</v>
      </c>
      <c r="T18">
        <v>0</v>
      </c>
      <c r="U18">
        <v>0</v>
      </c>
      <c r="V18" t="s">
        <v>76</v>
      </c>
      <c r="W18">
        <v>31</v>
      </c>
      <c r="X18">
        <v>0</v>
      </c>
      <c r="Y18">
        <v>0</v>
      </c>
      <c r="Z18">
        <v>0</v>
      </c>
      <c r="AA18">
        <v>31</v>
      </c>
      <c r="AB18">
        <v>0</v>
      </c>
      <c r="AC18">
        <v>0</v>
      </c>
      <c r="AD18">
        <v>0</v>
      </c>
      <c r="AE18">
        <v>31</v>
      </c>
      <c r="AF18">
        <v>0</v>
      </c>
      <c r="AG18">
        <v>0</v>
      </c>
      <c r="AH18">
        <v>0</v>
      </c>
      <c r="AI18">
        <v>31</v>
      </c>
      <c r="AJ18">
        <v>0</v>
      </c>
      <c r="AK18">
        <v>0</v>
      </c>
      <c r="AL18">
        <v>0</v>
      </c>
      <c r="AM18">
        <v>31</v>
      </c>
      <c r="AN18">
        <v>0</v>
      </c>
      <c r="AO18">
        <v>0</v>
      </c>
      <c r="AP18">
        <v>0</v>
      </c>
      <c r="AQ18" t="s">
        <v>76</v>
      </c>
      <c r="AR18">
        <v>31</v>
      </c>
      <c r="AS18">
        <v>0</v>
      </c>
      <c r="AT18">
        <v>0</v>
      </c>
      <c r="AU18">
        <v>0</v>
      </c>
      <c r="AV18">
        <v>31</v>
      </c>
      <c r="AW18">
        <v>0</v>
      </c>
      <c r="AX18">
        <v>0</v>
      </c>
      <c r="AY18">
        <v>0</v>
      </c>
      <c r="AZ18">
        <v>31</v>
      </c>
      <c r="BA18">
        <v>0</v>
      </c>
      <c r="BB18">
        <v>0</v>
      </c>
      <c r="BC18">
        <v>0</v>
      </c>
      <c r="BD18">
        <v>31</v>
      </c>
      <c r="BE18">
        <v>0</v>
      </c>
      <c r="BF18">
        <v>0</v>
      </c>
      <c r="BG18">
        <v>0</v>
      </c>
      <c r="BH18">
        <v>31</v>
      </c>
      <c r="BI18">
        <v>0</v>
      </c>
      <c r="BJ18">
        <v>0</v>
      </c>
      <c r="BK18">
        <v>0</v>
      </c>
    </row>
    <row r="19" spans="1:63">
      <c r="A19" t="s">
        <v>29</v>
      </c>
      <c r="B19">
        <v>14</v>
      </c>
      <c r="C19">
        <v>0</v>
      </c>
      <c r="D19">
        <v>0</v>
      </c>
      <c r="E19">
        <v>0</v>
      </c>
      <c r="F19">
        <v>14</v>
      </c>
      <c r="G19">
        <v>0</v>
      </c>
      <c r="H19">
        <v>0</v>
      </c>
      <c r="I19">
        <v>0</v>
      </c>
      <c r="J19">
        <v>14</v>
      </c>
      <c r="K19">
        <v>0</v>
      </c>
      <c r="L19">
        <v>0</v>
      </c>
      <c r="M19">
        <v>0</v>
      </c>
      <c r="N19">
        <v>14</v>
      </c>
      <c r="O19">
        <v>0</v>
      </c>
      <c r="P19">
        <v>0</v>
      </c>
      <c r="Q19">
        <v>0</v>
      </c>
      <c r="R19">
        <v>14</v>
      </c>
      <c r="S19">
        <v>0</v>
      </c>
      <c r="T19">
        <v>0</v>
      </c>
      <c r="U19">
        <v>0</v>
      </c>
      <c r="V19" t="s">
        <v>29</v>
      </c>
      <c r="W19">
        <v>14</v>
      </c>
      <c r="X19">
        <v>0</v>
      </c>
      <c r="Y19">
        <v>0</v>
      </c>
      <c r="Z19">
        <v>0</v>
      </c>
      <c r="AA19">
        <v>14</v>
      </c>
      <c r="AB19">
        <v>0</v>
      </c>
      <c r="AC19">
        <v>0</v>
      </c>
      <c r="AD19">
        <v>0</v>
      </c>
      <c r="AE19">
        <v>14</v>
      </c>
      <c r="AF19">
        <v>0</v>
      </c>
      <c r="AG19">
        <v>0</v>
      </c>
      <c r="AH19">
        <v>0</v>
      </c>
      <c r="AI19">
        <v>14</v>
      </c>
      <c r="AJ19">
        <v>0</v>
      </c>
      <c r="AK19">
        <v>0</v>
      </c>
      <c r="AL19">
        <v>0</v>
      </c>
      <c r="AM19">
        <v>14</v>
      </c>
      <c r="AN19">
        <v>0</v>
      </c>
      <c r="AO19">
        <v>0</v>
      </c>
      <c r="AP19">
        <v>0</v>
      </c>
      <c r="AQ19" t="s">
        <v>29</v>
      </c>
      <c r="AR19">
        <v>14</v>
      </c>
      <c r="AS19">
        <v>0</v>
      </c>
      <c r="AT19">
        <v>0</v>
      </c>
      <c r="AU19">
        <v>0</v>
      </c>
      <c r="AV19">
        <v>14</v>
      </c>
      <c r="AW19">
        <v>0</v>
      </c>
      <c r="AX19">
        <v>0</v>
      </c>
      <c r="AY19">
        <v>0</v>
      </c>
      <c r="AZ19">
        <v>14</v>
      </c>
      <c r="BA19">
        <v>0</v>
      </c>
      <c r="BB19">
        <v>0</v>
      </c>
      <c r="BC19">
        <v>0</v>
      </c>
      <c r="BD19">
        <v>14</v>
      </c>
      <c r="BE19">
        <v>0</v>
      </c>
      <c r="BF19">
        <v>0</v>
      </c>
      <c r="BG19">
        <v>0</v>
      </c>
      <c r="BH19">
        <v>14</v>
      </c>
      <c r="BI19">
        <v>0</v>
      </c>
      <c r="BJ19">
        <v>0</v>
      </c>
      <c r="BK19">
        <v>0</v>
      </c>
    </row>
    <row r="20" spans="1:63">
      <c r="A20" t="s">
        <v>98</v>
      </c>
      <c r="B20">
        <v>176</v>
      </c>
      <c r="C20">
        <v>7</v>
      </c>
      <c r="D20">
        <v>0</v>
      </c>
      <c r="E20">
        <v>0</v>
      </c>
      <c r="F20">
        <v>176</v>
      </c>
      <c r="G20">
        <v>7</v>
      </c>
      <c r="H20">
        <v>0</v>
      </c>
      <c r="I20">
        <v>0</v>
      </c>
      <c r="J20">
        <v>179</v>
      </c>
      <c r="K20">
        <v>4</v>
      </c>
      <c r="L20">
        <v>0</v>
      </c>
      <c r="M20">
        <v>0</v>
      </c>
      <c r="N20">
        <v>172</v>
      </c>
      <c r="O20">
        <v>4</v>
      </c>
      <c r="P20">
        <v>7</v>
      </c>
      <c r="Q20">
        <v>0</v>
      </c>
      <c r="R20">
        <v>179</v>
      </c>
      <c r="S20">
        <v>4</v>
      </c>
      <c r="T20">
        <v>0</v>
      </c>
      <c r="U20">
        <v>0</v>
      </c>
      <c r="V20" t="s">
        <v>98</v>
      </c>
      <c r="W20">
        <v>176</v>
      </c>
      <c r="X20">
        <v>7</v>
      </c>
      <c r="Y20">
        <v>0</v>
      </c>
      <c r="Z20">
        <v>0</v>
      </c>
      <c r="AA20">
        <v>176</v>
      </c>
      <c r="AB20">
        <v>7</v>
      </c>
      <c r="AC20">
        <v>0</v>
      </c>
      <c r="AD20">
        <v>0</v>
      </c>
      <c r="AE20">
        <v>179</v>
      </c>
      <c r="AF20">
        <v>4</v>
      </c>
      <c r="AG20">
        <v>0</v>
      </c>
      <c r="AH20">
        <v>0</v>
      </c>
      <c r="AI20">
        <v>172</v>
      </c>
      <c r="AJ20">
        <v>4</v>
      </c>
      <c r="AK20">
        <v>7</v>
      </c>
      <c r="AL20">
        <v>0</v>
      </c>
      <c r="AM20">
        <v>179</v>
      </c>
      <c r="AN20">
        <v>4</v>
      </c>
      <c r="AO20">
        <v>0</v>
      </c>
      <c r="AP20">
        <v>0</v>
      </c>
      <c r="AQ20" t="s">
        <v>98</v>
      </c>
      <c r="AR20">
        <v>176</v>
      </c>
      <c r="AS20">
        <v>7</v>
      </c>
      <c r="AT20">
        <v>0</v>
      </c>
      <c r="AU20">
        <v>0</v>
      </c>
      <c r="AV20">
        <v>176</v>
      </c>
      <c r="AW20">
        <v>7</v>
      </c>
      <c r="AX20">
        <v>0</v>
      </c>
      <c r="AY20">
        <v>0</v>
      </c>
      <c r="AZ20">
        <v>183</v>
      </c>
      <c r="BA20">
        <v>0</v>
      </c>
      <c r="BB20">
        <v>0</v>
      </c>
      <c r="BC20">
        <v>0</v>
      </c>
      <c r="BD20">
        <v>176</v>
      </c>
      <c r="BE20">
        <v>0</v>
      </c>
      <c r="BF20">
        <v>7</v>
      </c>
      <c r="BG20">
        <v>0</v>
      </c>
      <c r="BH20">
        <v>183</v>
      </c>
      <c r="BI20">
        <v>0</v>
      </c>
      <c r="BJ20">
        <v>0</v>
      </c>
      <c r="BK20">
        <v>0</v>
      </c>
    </row>
    <row r="21" spans="1:63">
      <c r="A21" t="s">
        <v>43</v>
      </c>
      <c r="B21">
        <v>127</v>
      </c>
      <c r="C21">
        <v>0</v>
      </c>
      <c r="D21">
        <v>0</v>
      </c>
      <c r="E21">
        <v>0</v>
      </c>
      <c r="F21">
        <v>127</v>
      </c>
      <c r="G21">
        <v>0</v>
      </c>
      <c r="H21">
        <v>0</v>
      </c>
      <c r="I21">
        <v>0</v>
      </c>
      <c r="J21">
        <v>124</v>
      </c>
      <c r="K21">
        <v>3</v>
      </c>
      <c r="L21">
        <v>0</v>
      </c>
      <c r="M21">
        <v>0</v>
      </c>
      <c r="N21">
        <v>124</v>
      </c>
      <c r="O21">
        <v>3</v>
      </c>
      <c r="P21">
        <v>0</v>
      </c>
      <c r="Q21">
        <v>0</v>
      </c>
      <c r="R21">
        <v>124</v>
      </c>
      <c r="S21">
        <v>3</v>
      </c>
      <c r="T21">
        <v>0</v>
      </c>
      <c r="U21">
        <v>0</v>
      </c>
      <c r="V21" t="s">
        <v>43</v>
      </c>
      <c r="W21">
        <v>127</v>
      </c>
      <c r="X21">
        <v>0</v>
      </c>
      <c r="Y21">
        <v>0</v>
      </c>
      <c r="Z21">
        <v>0</v>
      </c>
      <c r="AA21">
        <v>127</v>
      </c>
      <c r="AB21">
        <v>0</v>
      </c>
      <c r="AC21">
        <v>0</v>
      </c>
      <c r="AD21">
        <v>0</v>
      </c>
      <c r="AE21">
        <v>124</v>
      </c>
      <c r="AF21">
        <v>3</v>
      </c>
      <c r="AG21">
        <v>0</v>
      </c>
      <c r="AH21">
        <v>0</v>
      </c>
      <c r="AI21">
        <v>124</v>
      </c>
      <c r="AJ21">
        <v>3</v>
      </c>
      <c r="AK21">
        <v>0</v>
      </c>
      <c r="AL21">
        <v>0</v>
      </c>
      <c r="AM21">
        <v>124</v>
      </c>
      <c r="AN21">
        <v>3</v>
      </c>
      <c r="AO21">
        <v>0</v>
      </c>
      <c r="AP21">
        <v>0</v>
      </c>
      <c r="AQ21" t="s">
        <v>43</v>
      </c>
      <c r="AR21">
        <v>127</v>
      </c>
      <c r="AS21">
        <v>0</v>
      </c>
      <c r="AT21">
        <v>0</v>
      </c>
      <c r="AU21">
        <v>0</v>
      </c>
      <c r="AV21">
        <v>127</v>
      </c>
      <c r="AW21">
        <v>0</v>
      </c>
      <c r="AX21">
        <v>0</v>
      </c>
      <c r="AY21">
        <v>0</v>
      </c>
      <c r="AZ21">
        <v>127</v>
      </c>
      <c r="BA21">
        <v>0</v>
      </c>
      <c r="BB21">
        <v>0</v>
      </c>
      <c r="BC21">
        <v>0</v>
      </c>
      <c r="BD21">
        <v>127</v>
      </c>
      <c r="BE21">
        <v>0</v>
      </c>
      <c r="BF21">
        <v>0</v>
      </c>
      <c r="BG21">
        <v>0</v>
      </c>
      <c r="BH21">
        <v>127</v>
      </c>
      <c r="BI21">
        <v>0</v>
      </c>
      <c r="BJ21">
        <v>0</v>
      </c>
      <c r="BK21">
        <v>0</v>
      </c>
    </row>
    <row r="22" spans="1:63">
      <c r="A22" t="s">
        <v>28</v>
      </c>
      <c r="B22">
        <v>106</v>
      </c>
      <c r="C22">
        <v>0</v>
      </c>
      <c r="D22">
        <v>0</v>
      </c>
      <c r="E22">
        <v>0</v>
      </c>
      <c r="F22">
        <v>106</v>
      </c>
      <c r="G22">
        <v>0</v>
      </c>
      <c r="H22">
        <v>0</v>
      </c>
      <c r="I22">
        <v>0</v>
      </c>
      <c r="J22">
        <v>103</v>
      </c>
      <c r="K22">
        <v>3</v>
      </c>
      <c r="L22">
        <v>0</v>
      </c>
      <c r="M22">
        <v>0</v>
      </c>
      <c r="N22">
        <v>103</v>
      </c>
      <c r="O22">
        <v>3</v>
      </c>
      <c r="P22">
        <v>0</v>
      </c>
      <c r="Q22">
        <v>0</v>
      </c>
      <c r="R22">
        <v>103</v>
      </c>
      <c r="S22">
        <v>3</v>
      </c>
      <c r="T22">
        <v>0</v>
      </c>
      <c r="U22">
        <v>0</v>
      </c>
      <c r="V22" t="s">
        <v>28</v>
      </c>
      <c r="W22">
        <v>106</v>
      </c>
      <c r="X22">
        <v>0</v>
      </c>
      <c r="Y22">
        <v>0</v>
      </c>
      <c r="Z22">
        <v>0</v>
      </c>
      <c r="AA22">
        <v>106</v>
      </c>
      <c r="AB22">
        <v>0</v>
      </c>
      <c r="AC22">
        <v>0</v>
      </c>
      <c r="AD22">
        <v>0</v>
      </c>
      <c r="AE22">
        <v>103</v>
      </c>
      <c r="AF22">
        <v>3</v>
      </c>
      <c r="AG22">
        <v>0</v>
      </c>
      <c r="AH22">
        <v>0</v>
      </c>
      <c r="AI22">
        <v>103</v>
      </c>
      <c r="AJ22">
        <v>3</v>
      </c>
      <c r="AK22">
        <v>0</v>
      </c>
      <c r="AL22">
        <v>0</v>
      </c>
      <c r="AM22">
        <v>103</v>
      </c>
      <c r="AN22">
        <v>3</v>
      </c>
      <c r="AO22">
        <v>0</v>
      </c>
      <c r="AP22">
        <v>0</v>
      </c>
      <c r="AQ22" t="s">
        <v>28</v>
      </c>
      <c r="AR22">
        <v>106</v>
      </c>
      <c r="AS22">
        <v>0</v>
      </c>
      <c r="AT22">
        <v>0</v>
      </c>
      <c r="AU22">
        <v>0</v>
      </c>
      <c r="AV22">
        <v>106</v>
      </c>
      <c r="AW22">
        <v>0</v>
      </c>
      <c r="AX22">
        <v>0</v>
      </c>
      <c r="AY22">
        <v>0</v>
      </c>
      <c r="AZ22">
        <v>106</v>
      </c>
      <c r="BA22">
        <v>0</v>
      </c>
      <c r="BB22">
        <v>0</v>
      </c>
      <c r="BC22">
        <v>0</v>
      </c>
      <c r="BD22">
        <v>106</v>
      </c>
      <c r="BE22">
        <v>0</v>
      </c>
      <c r="BF22">
        <v>0</v>
      </c>
      <c r="BG22">
        <v>0</v>
      </c>
      <c r="BH22">
        <v>106</v>
      </c>
      <c r="BI22">
        <v>0</v>
      </c>
      <c r="BJ22">
        <v>0</v>
      </c>
      <c r="BK22">
        <v>0</v>
      </c>
    </row>
    <row r="23" spans="1:63">
      <c r="A23" t="s">
        <v>40</v>
      </c>
      <c r="B23">
        <v>3</v>
      </c>
      <c r="C23">
        <v>0</v>
      </c>
      <c r="D23">
        <v>0</v>
      </c>
      <c r="E23">
        <v>0</v>
      </c>
      <c r="F23">
        <v>3</v>
      </c>
      <c r="G23">
        <v>0</v>
      </c>
      <c r="H23">
        <v>0</v>
      </c>
      <c r="I23">
        <v>0</v>
      </c>
      <c r="J23">
        <v>3</v>
      </c>
      <c r="K23">
        <v>0</v>
      </c>
      <c r="L23">
        <v>0</v>
      </c>
      <c r="M23">
        <v>0</v>
      </c>
      <c r="N23">
        <v>3</v>
      </c>
      <c r="O23">
        <v>0</v>
      </c>
      <c r="P23">
        <v>0</v>
      </c>
      <c r="Q23">
        <v>0</v>
      </c>
      <c r="R23">
        <v>3</v>
      </c>
      <c r="S23">
        <v>0</v>
      </c>
      <c r="T23">
        <v>0</v>
      </c>
      <c r="U23">
        <v>0</v>
      </c>
      <c r="V23" t="s">
        <v>40</v>
      </c>
      <c r="W23">
        <v>3</v>
      </c>
      <c r="X23">
        <v>0</v>
      </c>
      <c r="Y23">
        <v>0</v>
      </c>
      <c r="Z23">
        <v>0</v>
      </c>
      <c r="AA23">
        <v>3</v>
      </c>
      <c r="AB23">
        <v>0</v>
      </c>
      <c r="AC23">
        <v>0</v>
      </c>
      <c r="AD23">
        <v>0</v>
      </c>
      <c r="AE23">
        <v>3</v>
      </c>
      <c r="AF23">
        <v>0</v>
      </c>
      <c r="AG23">
        <v>0</v>
      </c>
      <c r="AH23">
        <v>0</v>
      </c>
      <c r="AI23">
        <v>3</v>
      </c>
      <c r="AJ23">
        <v>0</v>
      </c>
      <c r="AK23">
        <v>0</v>
      </c>
      <c r="AL23">
        <v>0</v>
      </c>
      <c r="AM23">
        <v>3</v>
      </c>
      <c r="AN23">
        <v>0</v>
      </c>
      <c r="AO23">
        <v>0</v>
      </c>
      <c r="AP23">
        <v>0</v>
      </c>
      <c r="AQ23" t="s">
        <v>40</v>
      </c>
      <c r="AR23">
        <v>3</v>
      </c>
      <c r="AS23">
        <v>0</v>
      </c>
      <c r="AT23">
        <v>0</v>
      </c>
      <c r="AU23">
        <v>0</v>
      </c>
      <c r="AV23">
        <v>3</v>
      </c>
      <c r="AW23">
        <v>0</v>
      </c>
      <c r="AX23">
        <v>0</v>
      </c>
      <c r="AY23">
        <v>0</v>
      </c>
      <c r="AZ23">
        <v>3</v>
      </c>
      <c r="BA23">
        <v>0</v>
      </c>
      <c r="BB23">
        <v>0</v>
      </c>
      <c r="BC23">
        <v>0</v>
      </c>
      <c r="BD23">
        <v>3</v>
      </c>
      <c r="BE23">
        <v>0</v>
      </c>
      <c r="BF23">
        <v>0</v>
      </c>
      <c r="BG23">
        <v>0</v>
      </c>
      <c r="BH23">
        <v>3</v>
      </c>
      <c r="BI23">
        <v>0</v>
      </c>
      <c r="BJ23">
        <v>0</v>
      </c>
      <c r="BK23">
        <v>0</v>
      </c>
    </row>
    <row r="24" spans="1:63">
      <c r="A24" t="s">
        <v>56</v>
      </c>
      <c r="B24">
        <v>406</v>
      </c>
      <c r="C24">
        <v>0</v>
      </c>
      <c r="D24">
        <v>0</v>
      </c>
      <c r="E24">
        <v>0</v>
      </c>
      <c r="F24">
        <v>406</v>
      </c>
      <c r="G24">
        <v>0</v>
      </c>
      <c r="H24">
        <v>0</v>
      </c>
      <c r="I24">
        <v>0</v>
      </c>
      <c r="J24">
        <v>406</v>
      </c>
      <c r="K24">
        <v>0</v>
      </c>
      <c r="L24">
        <v>0</v>
      </c>
      <c r="M24">
        <v>0</v>
      </c>
      <c r="N24">
        <v>406</v>
      </c>
      <c r="O24">
        <v>0</v>
      </c>
      <c r="P24">
        <v>0</v>
      </c>
      <c r="Q24">
        <v>0</v>
      </c>
      <c r="R24">
        <v>406</v>
      </c>
      <c r="S24">
        <v>0</v>
      </c>
      <c r="T24">
        <v>0</v>
      </c>
      <c r="U24">
        <v>0</v>
      </c>
      <c r="V24" t="s">
        <v>56</v>
      </c>
      <c r="W24">
        <v>406</v>
      </c>
      <c r="X24">
        <v>0</v>
      </c>
      <c r="Y24">
        <v>0</v>
      </c>
      <c r="Z24">
        <v>0</v>
      </c>
      <c r="AA24">
        <v>406</v>
      </c>
      <c r="AB24">
        <v>0</v>
      </c>
      <c r="AC24">
        <v>0</v>
      </c>
      <c r="AD24">
        <v>0</v>
      </c>
      <c r="AE24">
        <v>406</v>
      </c>
      <c r="AF24">
        <v>0</v>
      </c>
      <c r="AG24">
        <v>0</v>
      </c>
      <c r="AH24">
        <v>0</v>
      </c>
      <c r="AI24">
        <v>406</v>
      </c>
      <c r="AJ24">
        <v>0</v>
      </c>
      <c r="AK24">
        <v>0</v>
      </c>
      <c r="AL24">
        <v>0</v>
      </c>
      <c r="AM24">
        <v>406</v>
      </c>
      <c r="AN24">
        <v>0</v>
      </c>
      <c r="AO24">
        <v>0</v>
      </c>
      <c r="AP24">
        <v>0</v>
      </c>
      <c r="AQ24" t="s">
        <v>56</v>
      </c>
      <c r="AR24">
        <v>406</v>
      </c>
      <c r="AS24">
        <v>0</v>
      </c>
      <c r="AT24">
        <v>0</v>
      </c>
      <c r="AU24">
        <v>0</v>
      </c>
      <c r="AV24">
        <v>406</v>
      </c>
      <c r="AW24">
        <v>0</v>
      </c>
      <c r="AX24">
        <v>0</v>
      </c>
      <c r="AY24">
        <v>0</v>
      </c>
      <c r="AZ24">
        <v>406</v>
      </c>
      <c r="BA24">
        <v>0</v>
      </c>
      <c r="BB24">
        <v>0</v>
      </c>
      <c r="BC24">
        <v>0</v>
      </c>
      <c r="BD24">
        <v>406</v>
      </c>
      <c r="BE24">
        <v>0</v>
      </c>
      <c r="BF24">
        <v>0</v>
      </c>
      <c r="BG24">
        <v>0</v>
      </c>
      <c r="BH24">
        <v>406</v>
      </c>
      <c r="BI24">
        <v>0</v>
      </c>
      <c r="BJ24">
        <v>0</v>
      </c>
      <c r="BK24">
        <v>0</v>
      </c>
    </row>
    <row r="25" spans="1:63">
      <c r="A25" t="s">
        <v>18</v>
      </c>
      <c r="B25">
        <v>192</v>
      </c>
      <c r="C25">
        <v>0</v>
      </c>
      <c r="D25">
        <v>0</v>
      </c>
      <c r="E25">
        <v>0</v>
      </c>
      <c r="F25">
        <v>192</v>
      </c>
      <c r="G25">
        <v>0</v>
      </c>
      <c r="H25">
        <v>0</v>
      </c>
      <c r="I25">
        <v>0</v>
      </c>
      <c r="J25">
        <v>192</v>
      </c>
      <c r="K25">
        <v>0</v>
      </c>
      <c r="L25">
        <v>0</v>
      </c>
      <c r="M25">
        <v>0</v>
      </c>
      <c r="N25">
        <v>192</v>
      </c>
      <c r="O25">
        <v>0</v>
      </c>
      <c r="P25">
        <v>0</v>
      </c>
      <c r="Q25">
        <v>0</v>
      </c>
      <c r="R25">
        <v>192</v>
      </c>
      <c r="S25">
        <v>0</v>
      </c>
      <c r="T25">
        <v>0</v>
      </c>
      <c r="U25">
        <v>0</v>
      </c>
      <c r="V25" t="s">
        <v>18</v>
      </c>
      <c r="W25">
        <v>192</v>
      </c>
      <c r="X25">
        <v>0</v>
      </c>
      <c r="Y25">
        <v>0</v>
      </c>
      <c r="Z25">
        <v>0</v>
      </c>
      <c r="AA25">
        <v>192</v>
      </c>
      <c r="AB25">
        <v>0</v>
      </c>
      <c r="AC25">
        <v>0</v>
      </c>
      <c r="AD25">
        <v>0</v>
      </c>
      <c r="AE25">
        <v>192</v>
      </c>
      <c r="AF25">
        <v>0</v>
      </c>
      <c r="AG25">
        <v>0</v>
      </c>
      <c r="AH25">
        <v>0</v>
      </c>
      <c r="AI25">
        <v>192</v>
      </c>
      <c r="AJ25">
        <v>0</v>
      </c>
      <c r="AK25">
        <v>0</v>
      </c>
      <c r="AL25">
        <v>0</v>
      </c>
      <c r="AM25">
        <v>192</v>
      </c>
      <c r="AN25">
        <v>0</v>
      </c>
      <c r="AO25">
        <v>0</v>
      </c>
      <c r="AP25">
        <v>0</v>
      </c>
      <c r="AQ25" t="s">
        <v>18</v>
      </c>
      <c r="AR25">
        <v>192</v>
      </c>
      <c r="AS25">
        <v>0</v>
      </c>
      <c r="AT25">
        <v>0</v>
      </c>
      <c r="AU25">
        <v>0</v>
      </c>
      <c r="AV25">
        <v>192</v>
      </c>
      <c r="AW25">
        <v>0</v>
      </c>
      <c r="AX25">
        <v>0</v>
      </c>
      <c r="AY25">
        <v>0</v>
      </c>
      <c r="AZ25">
        <v>192</v>
      </c>
      <c r="BA25">
        <v>0</v>
      </c>
      <c r="BB25">
        <v>0</v>
      </c>
      <c r="BC25">
        <v>0</v>
      </c>
      <c r="BD25">
        <v>192</v>
      </c>
      <c r="BE25">
        <v>0</v>
      </c>
      <c r="BF25">
        <v>0</v>
      </c>
      <c r="BG25">
        <v>0</v>
      </c>
      <c r="BH25">
        <v>192</v>
      </c>
      <c r="BI25">
        <v>0</v>
      </c>
      <c r="BJ25">
        <v>0</v>
      </c>
      <c r="BK25">
        <v>0</v>
      </c>
    </row>
    <row r="26" spans="1:63">
      <c r="A26" t="s">
        <v>27</v>
      </c>
      <c r="B26">
        <v>118</v>
      </c>
      <c r="C26">
        <v>0</v>
      </c>
      <c r="D26">
        <v>0</v>
      </c>
      <c r="E26">
        <v>0</v>
      </c>
      <c r="F26">
        <v>118</v>
      </c>
      <c r="G26">
        <v>0</v>
      </c>
      <c r="H26">
        <v>0</v>
      </c>
      <c r="I26">
        <v>0</v>
      </c>
      <c r="J26">
        <v>118</v>
      </c>
      <c r="K26">
        <v>0</v>
      </c>
      <c r="L26">
        <v>0</v>
      </c>
      <c r="M26">
        <v>0</v>
      </c>
      <c r="N26">
        <v>118</v>
      </c>
      <c r="O26">
        <v>0</v>
      </c>
      <c r="P26">
        <v>0</v>
      </c>
      <c r="Q26">
        <v>0</v>
      </c>
      <c r="R26">
        <v>118</v>
      </c>
      <c r="S26">
        <v>0</v>
      </c>
      <c r="T26">
        <v>0</v>
      </c>
      <c r="U26">
        <v>0</v>
      </c>
      <c r="V26" t="s">
        <v>27</v>
      </c>
      <c r="W26">
        <v>118</v>
      </c>
      <c r="X26">
        <v>0</v>
      </c>
      <c r="Y26">
        <v>0</v>
      </c>
      <c r="Z26">
        <v>0</v>
      </c>
      <c r="AA26">
        <v>118</v>
      </c>
      <c r="AB26">
        <v>0</v>
      </c>
      <c r="AC26">
        <v>0</v>
      </c>
      <c r="AD26">
        <v>0</v>
      </c>
      <c r="AE26">
        <v>118</v>
      </c>
      <c r="AF26">
        <v>0</v>
      </c>
      <c r="AG26">
        <v>0</v>
      </c>
      <c r="AH26">
        <v>0</v>
      </c>
      <c r="AI26">
        <v>118</v>
      </c>
      <c r="AJ26">
        <v>0</v>
      </c>
      <c r="AK26">
        <v>0</v>
      </c>
      <c r="AL26">
        <v>0</v>
      </c>
      <c r="AM26">
        <v>118</v>
      </c>
      <c r="AN26">
        <v>0</v>
      </c>
      <c r="AO26">
        <v>0</v>
      </c>
      <c r="AP26">
        <v>0</v>
      </c>
      <c r="AQ26" t="s">
        <v>27</v>
      </c>
      <c r="AR26">
        <v>118</v>
      </c>
      <c r="AS26">
        <v>0</v>
      </c>
      <c r="AT26">
        <v>0</v>
      </c>
      <c r="AU26">
        <v>0</v>
      </c>
      <c r="AV26">
        <v>118</v>
      </c>
      <c r="AW26">
        <v>0</v>
      </c>
      <c r="AX26">
        <v>0</v>
      </c>
      <c r="AY26">
        <v>0</v>
      </c>
      <c r="AZ26">
        <v>118</v>
      </c>
      <c r="BA26">
        <v>0</v>
      </c>
      <c r="BB26">
        <v>0</v>
      </c>
      <c r="BC26">
        <v>0</v>
      </c>
      <c r="BD26">
        <v>118</v>
      </c>
      <c r="BE26">
        <v>0</v>
      </c>
      <c r="BF26">
        <v>0</v>
      </c>
      <c r="BG26">
        <v>0</v>
      </c>
      <c r="BH26">
        <v>118</v>
      </c>
      <c r="BI26">
        <v>0</v>
      </c>
      <c r="BJ26">
        <v>0</v>
      </c>
      <c r="BK26">
        <v>0</v>
      </c>
    </row>
    <row r="27" spans="1:63">
      <c r="A27" t="s">
        <v>69</v>
      </c>
      <c r="B27">
        <v>30</v>
      </c>
      <c r="C27">
        <v>0</v>
      </c>
      <c r="D27">
        <v>0</v>
      </c>
      <c r="E27">
        <v>0</v>
      </c>
      <c r="F27">
        <v>30</v>
      </c>
      <c r="G27">
        <v>0</v>
      </c>
      <c r="H27">
        <v>0</v>
      </c>
      <c r="I27">
        <v>0</v>
      </c>
      <c r="J27">
        <v>30</v>
      </c>
      <c r="K27">
        <v>0</v>
      </c>
      <c r="L27">
        <v>0</v>
      </c>
      <c r="M27">
        <v>0</v>
      </c>
      <c r="N27">
        <v>30</v>
      </c>
      <c r="O27">
        <v>0</v>
      </c>
      <c r="P27">
        <v>0</v>
      </c>
      <c r="Q27">
        <v>0</v>
      </c>
      <c r="R27">
        <v>30</v>
      </c>
      <c r="S27">
        <v>0</v>
      </c>
      <c r="T27">
        <v>0</v>
      </c>
      <c r="U27">
        <v>0</v>
      </c>
      <c r="V27" t="s">
        <v>69</v>
      </c>
      <c r="W27">
        <v>30</v>
      </c>
      <c r="X27">
        <v>0</v>
      </c>
      <c r="Y27">
        <v>0</v>
      </c>
      <c r="Z27">
        <v>0</v>
      </c>
      <c r="AA27">
        <v>30</v>
      </c>
      <c r="AB27">
        <v>0</v>
      </c>
      <c r="AC27">
        <v>0</v>
      </c>
      <c r="AD27">
        <v>0</v>
      </c>
      <c r="AE27">
        <v>30</v>
      </c>
      <c r="AF27">
        <v>0</v>
      </c>
      <c r="AG27">
        <v>0</v>
      </c>
      <c r="AH27">
        <v>0</v>
      </c>
      <c r="AI27">
        <v>30</v>
      </c>
      <c r="AJ27">
        <v>0</v>
      </c>
      <c r="AK27">
        <v>0</v>
      </c>
      <c r="AL27">
        <v>0</v>
      </c>
      <c r="AM27">
        <v>30</v>
      </c>
      <c r="AN27">
        <v>0</v>
      </c>
      <c r="AO27">
        <v>0</v>
      </c>
      <c r="AP27">
        <v>0</v>
      </c>
      <c r="AQ27" t="s">
        <v>69</v>
      </c>
      <c r="AR27">
        <v>30</v>
      </c>
      <c r="AS27">
        <v>0</v>
      </c>
      <c r="AT27">
        <v>0</v>
      </c>
      <c r="AU27">
        <v>0</v>
      </c>
      <c r="AV27">
        <v>30</v>
      </c>
      <c r="AW27">
        <v>0</v>
      </c>
      <c r="AX27">
        <v>0</v>
      </c>
      <c r="AY27">
        <v>0</v>
      </c>
      <c r="AZ27">
        <v>30</v>
      </c>
      <c r="BA27">
        <v>0</v>
      </c>
      <c r="BB27">
        <v>0</v>
      </c>
      <c r="BC27">
        <v>0</v>
      </c>
      <c r="BD27">
        <v>30</v>
      </c>
      <c r="BE27">
        <v>0</v>
      </c>
      <c r="BF27">
        <v>0</v>
      </c>
      <c r="BG27">
        <v>0</v>
      </c>
      <c r="BH27">
        <v>30</v>
      </c>
      <c r="BI27">
        <v>0</v>
      </c>
      <c r="BJ27">
        <v>0</v>
      </c>
      <c r="BK27">
        <v>0</v>
      </c>
    </row>
    <row r="28" spans="1:63">
      <c r="A28" t="s">
        <v>71</v>
      </c>
      <c r="B28">
        <v>112</v>
      </c>
      <c r="C28">
        <v>0</v>
      </c>
      <c r="D28">
        <v>0</v>
      </c>
      <c r="E28">
        <v>0</v>
      </c>
      <c r="F28">
        <v>112</v>
      </c>
      <c r="G28">
        <v>0</v>
      </c>
      <c r="H28">
        <v>0</v>
      </c>
      <c r="I28">
        <v>0</v>
      </c>
      <c r="J28">
        <v>112</v>
      </c>
      <c r="K28">
        <v>0</v>
      </c>
      <c r="L28">
        <v>0</v>
      </c>
      <c r="M28">
        <v>0</v>
      </c>
      <c r="N28">
        <v>112</v>
      </c>
      <c r="O28">
        <v>0</v>
      </c>
      <c r="P28">
        <v>0</v>
      </c>
      <c r="Q28">
        <v>0</v>
      </c>
      <c r="R28">
        <v>112</v>
      </c>
      <c r="S28">
        <v>0</v>
      </c>
      <c r="T28">
        <v>0</v>
      </c>
      <c r="U28">
        <v>0</v>
      </c>
      <c r="V28" t="s">
        <v>71</v>
      </c>
      <c r="W28">
        <v>112</v>
      </c>
      <c r="X28">
        <v>0</v>
      </c>
      <c r="Y28">
        <v>0</v>
      </c>
      <c r="Z28">
        <v>0</v>
      </c>
      <c r="AA28">
        <v>112</v>
      </c>
      <c r="AB28">
        <v>0</v>
      </c>
      <c r="AC28">
        <v>0</v>
      </c>
      <c r="AD28">
        <v>0</v>
      </c>
      <c r="AE28">
        <v>112</v>
      </c>
      <c r="AF28">
        <v>0</v>
      </c>
      <c r="AG28">
        <v>0</v>
      </c>
      <c r="AH28">
        <v>0</v>
      </c>
      <c r="AI28">
        <v>112</v>
      </c>
      <c r="AJ28">
        <v>0</v>
      </c>
      <c r="AK28">
        <v>0</v>
      </c>
      <c r="AL28">
        <v>0</v>
      </c>
      <c r="AM28">
        <v>112</v>
      </c>
      <c r="AN28">
        <v>0</v>
      </c>
      <c r="AO28">
        <v>0</v>
      </c>
      <c r="AP28">
        <v>0</v>
      </c>
      <c r="AQ28" t="s">
        <v>71</v>
      </c>
      <c r="AR28">
        <v>112</v>
      </c>
      <c r="AS28">
        <v>0</v>
      </c>
      <c r="AT28">
        <v>0</v>
      </c>
      <c r="AU28">
        <v>0</v>
      </c>
      <c r="AV28">
        <v>112</v>
      </c>
      <c r="AW28">
        <v>0</v>
      </c>
      <c r="AX28">
        <v>0</v>
      </c>
      <c r="AY28">
        <v>0</v>
      </c>
      <c r="AZ28">
        <v>112</v>
      </c>
      <c r="BA28">
        <v>0</v>
      </c>
      <c r="BB28">
        <v>0</v>
      </c>
      <c r="BC28">
        <v>0</v>
      </c>
      <c r="BD28">
        <v>112</v>
      </c>
      <c r="BE28">
        <v>0</v>
      </c>
      <c r="BF28">
        <v>0</v>
      </c>
      <c r="BG28">
        <v>0</v>
      </c>
      <c r="BH28">
        <v>112</v>
      </c>
      <c r="BI28">
        <v>0</v>
      </c>
      <c r="BJ28">
        <v>0</v>
      </c>
      <c r="BK28">
        <v>0</v>
      </c>
    </row>
    <row r="29" spans="1:63">
      <c r="A29" t="s">
        <v>22</v>
      </c>
      <c r="B29">
        <v>44</v>
      </c>
      <c r="C29">
        <v>0</v>
      </c>
      <c r="D29">
        <v>0</v>
      </c>
      <c r="E29">
        <v>0</v>
      </c>
      <c r="F29">
        <v>44</v>
      </c>
      <c r="G29">
        <v>0</v>
      </c>
      <c r="H29">
        <v>0</v>
      </c>
      <c r="I29">
        <v>0</v>
      </c>
      <c r="J29">
        <v>44</v>
      </c>
      <c r="K29">
        <v>0</v>
      </c>
      <c r="L29">
        <v>0</v>
      </c>
      <c r="M29">
        <v>0</v>
      </c>
      <c r="N29">
        <v>44</v>
      </c>
      <c r="O29">
        <v>0</v>
      </c>
      <c r="P29">
        <v>0</v>
      </c>
      <c r="Q29">
        <v>0</v>
      </c>
      <c r="R29">
        <v>44</v>
      </c>
      <c r="S29">
        <v>0</v>
      </c>
      <c r="T29">
        <v>0</v>
      </c>
      <c r="U29">
        <v>0</v>
      </c>
      <c r="V29" t="s">
        <v>22</v>
      </c>
      <c r="W29">
        <v>44</v>
      </c>
      <c r="X29">
        <v>0</v>
      </c>
      <c r="Y29">
        <v>0</v>
      </c>
      <c r="Z29">
        <v>0</v>
      </c>
      <c r="AA29">
        <v>44</v>
      </c>
      <c r="AB29">
        <v>0</v>
      </c>
      <c r="AC29">
        <v>0</v>
      </c>
      <c r="AD29">
        <v>0</v>
      </c>
      <c r="AE29">
        <v>44</v>
      </c>
      <c r="AF29">
        <v>0</v>
      </c>
      <c r="AG29">
        <v>0</v>
      </c>
      <c r="AH29">
        <v>0</v>
      </c>
      <c r="AI29">
        <v>44</v>
      </c>
      <c r="AJ29">
        <v>0</v>
      </c>
      <c r="AK29">
        <v>0</v>
      </c>
      <c r="AL29">
        <v>0</v>
      </c>
      <c r="AM29">
        <v>44</v>
      </c>
      <c r="AN29">
        <v>0</v>
      </c>
      <c r="AO29">
        <v>0</v>
      </c>
      <c r="AP29">
        <v>0</v>
      </c>
      <c r="AQ29" t="s">
        <v>22</v>
      </c>
      <c r="AR29">
        <v>44</v>
      </c>
      <c r="AS29">
        <v>0</v>
      </c>
      <c r="AT29">
        <v>0</v>
      </c>
      <c r="AU29">
        <v>0</v>
      </c>
      <c r="AV29">
        <v>44</v>
      </c>
      <c r="AW29">
        <v>0</v>
      </c>
      <c r="AX29">
        <v>0</v>
      </c>
      <c r="AY29">
        <v>0</v>
      </c>
      <c r="AZ29">
        <v>44</v>
      </c>
      <c r="BA29">
        <v>0</v>
      </c>
      <c r="BB29">
        <v>0</v>
      </c>
      <c r="BC29">
        <v>0</v>
      </c>
      <c r="BD29">
        <v>44</v>
      </c>
      <c r="BE29">
        <v>0</v>
      </c>
      <c r="BF29">
        <v>0</v>
      </c>
      <c r="BG29">
        <v>0</v>
      </c>
      <c r="BH29">
        <v>44</v>
      </c>
      <c r="BI29">
        <v>0</v>
      </c>
      <c r="BJ29">
        <v>0</v>
      </c>
      <c r="BK29">
        <v>0</v>
      </c>
    </row>
    <row r="30" spans="1:63">
      <c r="A30" t="s">
        <v>94</v>
      </c>
      <c r="B30">
        <v>6</v>
      </c>
      <c r="C30">
        <v>0</v>
      </c>
      <c r="D30">
        <v>0</v>
      </c>
      <c r="E30">
        <v>0</v>
      </c>
      <c r="F30">
        <v>6</v>
      </c>
      <c r="G30">
        <v>0</v>
      </c>
      <c r="H30">
        <v>0</v>
      </c>
      <c r="I30">
        <v>0</v>
      </c>
      <c r="J30">
        <v>6</v>
      </c>
      <c r="K30">
        <v>0</v>
      </c>
      <c r="L30">
        <v>0</v>
      </c>
      <c r="M30">
        <v>0</v>
      </c>
      <c r="N30">
        <v>6</v>
      </c>
      <c r="O30">
        <v>0</v>
      </c>
      <c r="P30">
        <v>0</v>
      </c>
      <c r="Q30">
        <v>0</v>
      </c>
      <c r="R30">
        <v>6</v>
      </c>
      <c r="S30">
        <v>0</v>
      </c>
      <c r="T30">
        <v>0</v>
      </c>
      <c r="U30">
        <v>0</v>
      </c>
      <c r="V30" t="s">
        <v>94</v>
      </c>
      <c r="W30">
        <v>6</v>
      </c>
      <c r="X30">
        <v>0</v>
      </c>
      <c r="Y30">
        <v>0</v>
      </c>
      <c r="Z30">
        <v>0</v>
      </c>
      <c r="AA30">
        <v>6</v>
      </c>
      <c r="AB30">
        <v>0</v>
      </c>
      <c r="AC30">
        <v>0</v>
      </c>
      <c r="AD30">
        <v>0</v>
      </c>
      <c r="AE30">
        <v>6</v>
      </c>
      <c r="AF30">
        <v>0</v>
      </c>
      <c r="AG30">
        <v>0</v>
      </c>
      <c r="AH30">
        <v>0</v>
      </c>
      <c r="AI30">
        <v>6</v>
      </c>
      <c r="AJ30">
        <v>0</v>
      </c>
      <c r="AK30">
        <v>0</v>
      </c>
      <c r="AL30">
        <v>0</v>
      </c>
      <c r="AM30">
        <v>6</v>
      </c>
      <c r="AN30">
        <v>0</v>
      </c>
      <c r="AO30">
        <v>0</v>
      </c>
      <c r="AP30">
        <v>0</v>
      </c>
      <c r="AQ30" t="s">
        <v>94</v>
      </c>
      <c r="AR30">
        <v>6</v>
      </c>
      <c r="AS30">
        <v>0</v>
      </c>
      <c r="AT30">
        <v>0</v>
      </c>
      <c r="AU30">
        <v>0</v>
      </c>
      <c r="AV30">
        <v>6</v>
      </c>
      <c r="AW30">
        <v>0</v>
      </c>
      <c r="AX30">
        <v>0</v>
      </c>
      <c r="AY30">
        <v>0</v>
      </c>
      <c r="AZ30">
        <v>6</v>
      </c>
      <c r="BA30">
        <v>0</v>
      </c>
      <c r="BB30">
        <v>0</v>
      </c>
      <c r="BC30">
        <v>0</v>
      </c>
      <c r="BD30">
        <v>6</v>
      </c>
      <c r="BE30">
        <v>0</v>
      </c>
      <c r="BF30">
        <v>0</v>
      </c>
      <c r="BG30">
        <v>0</v>
      </c>
      <c r="BH30">
        <v>6</v>
      </c>
      <c r="BI30">
        <v>0</v>
      </c>
      <c r="BJ30">
        <v>0</v>
      </c>
      <c r="BK30">
        <v>0</v>
      </c>
    </row>
    <row r="31" spans="1:63">
      <c r="A31" t="s">
        <v>20</v>
      </c>
      <c r="B31">
        <v>112</v>
      </c>
      <c r="C31">
        <v>0</v>
      </c>
      <c r="D31">
        <v>0</v>
      </c>
      <c r="E31">
        <v>0</v>
      </c>
      <c r="F31">
        <v>112</v>
      </c>
      <c r="G31">
        <v>0</v>
      </c>
      <c r="H31">
        <v>0</v>
      </c>
      <c r="I31">
        <v>0</v>
      </c>
      <c r="J31">
        <v>112</v>
      </c>
      <c r="K31">
        <v>0</v>
      </c>
      <c r="L31">
        <v>0</v>
      </c>
      <c r="M31">
        <v>0</v>
      </c>
      <c r="N31">
        <v>112</v>
      </c>
      <c r="O31">
        <v>0</v>
      </c>
      <c r="P31">
        <v>0</v>
      </c>
      <c r="Q31">
        <v>0</v>
      </c>
      <c r="R31">
        <v>112</v>
      </c>
      <c r="S31">
        <v>0</v>
      </c>
      <c r="T31">
        <v>0</v>
      </c>
      <c r="U31">
        <v>0</v>
      </c>
      <c r="V31" t="s">
        <v>20</v>
      </c>
      <c r="W31">
        <v>112</v>
      </c>
      <c r="X31">
        <v>0</v>
      </c>
      <c r="Y31">
        <v>0</v>
      </c>
      <c r="Z31">
        <v>0</v>
      </c>
      <c r="AA31">
        <v>112</v>
      </c>
      <c r="AB31">
        <v>0</v>
      </c>
      <c r="AC31">
        <v>0</v>
      </c>
      <c r="AD31">
        <v>0</v>
      </c>
      <c r="AE31">
        <v>112</v>
      </c>
      <c r="AF31">
        <v>0</v>
      </c>
      <c r="AG31">
        <v>0</v>
      </c>
      <c r="AH31">
        <v>0</v>
      </c>
      <c r="AI31">
        <v>112</v>
      </c>
      <c r="AJ31">
        <v>0</v>
      </c>
      <c r="AK31">
        <v>0</v>
      </c>
      <c r="AL31">
        <v>0</v>
      </c>
      <c r="AM31">
        <v>112</v>
      </c>
      <c r="AN31">
        <v>0</v>
      </c>
      <c r="AO31">
        <v>0</v>
      </c>
      <c r="AP31">
        <v>0</v>
      </c>
      <c r="AQ31" t="s">
        <v>20</v>
      </c>
      <c r="AR31">
        <v>112</v>
      </c>
      <c r="AS31">
        <v>0</v>
      </c>
      <c r="AT31">
        <v>0</v>
      </c>
      <c r="AU31">
        <v>0</v>
      </c>
      <c r="AV31">
        <v>112</v>
      </c>
      <c r="AW31">
        <v>0</v>
      </c>
      <c r="AX31">
        <v>0</v>
      </c>
      <c r="AY31">
        <v>0</v>
      </c>
      <c r="AZ31">
        <v>112</v>
      </c>
      <c r="BA31">
        <v>0</v>
      </c>
      <c r="BB31">
        <v>0</v>
      </c>
      <c r="BC31">
        <v>0</v>
      </c>
      <c r="BD31">
        <v>112</v>
      </c>
      <c r="BE31">
        <v>0</v>
      </c>
      <c r="BF31">
        <v>0</v>
      </c>
      <c r="BG31">
        <v>0</v>
      </c>
      <c r="BH31">
        <v>112</v>
      </c>
      <c r="BI31">
        <v>0</v>
      </c>
      <c r="BJ31">
        <v>0</v>
      </c>
      <c r="BK31">
        <v>0</v>
      </c>
    </row>
    <row r="32" spans="1:63">
      <c r="A32" t="s">
        <v>24</v>
      </c>
      <c r="B32">
        <v>43</v>
      </c>
      <c r="C32">
        <v>0</v>
      </c>
      <c r="D32">
        <v>0</v>
      </c>
      <c r="E32">
        <v>0</v>
      </c>
      <c r="F32">
        <v>43</v>
      </c>
      <c r="G32">
        <v>0</v>
      </c>
      <c r="H32">
        <v>0</v>
      </c>
      <c r="I32">
        <v>0</v>
      </c>
      <c r="J32">
        <v>43</v>
      </c>
      <c r="K32">
        <v>0</v>
      </c>
      <c r="L32">
        <v>0</v>
      </c>
      <c r="M32">
        <v>0</v>
      </c>
      <c r="N32">
        <v>43</v>
      </c>
      <c r="O32">
        <v>0</v>
      </c>
      <c r="P32">
        <v>0</v>
      </c>
      <c r="Q32">
        <v>0</v>
      </c>
      <c r="R32">
        <v>43</v>
      </c>
      <c r="S32">
        <v>0</v>
      </c>
      <c r="T32">
        <v>0</v>
      </c>
      <c r="U32">
        <v>0</v>
      </c>
      <c r="V32" t="s">
        <v>24</v>
      </c>
      <c r="W32">
        <v>43</v>
      </c>
      <c r="X32">
        <v>0</v>
      </c>
      <c r="Y32">
        <v>0</v>
      </c>
      <c r="Z32">
        <v>0</v>
      </c>
      <c r="AA32">
        <v>43</v>
      </c>
      <c r="AB32">
        <v>0</v>
      </c>
      <c r="AC32">
        <v>0</v>
      </c>
      <c r="AD32">
        <v>0</v>
      </c>
      <c r="AE32">
        <v>43</v>
      </c>
      <c r="AF32">
        <v>0</v>
      </c>
      <c r="AG32">
        <v>0</v>
      </c>
      <c r="AH32">
        <v>0</v>
      </c>
      <c r="AI32">
        <v>43</v>
      </c>
      <c r="AJ32">
        <v>0</v>
      </c>
      <c r="AK32">
        <v>0</v>
      </c>
      <c r="AL32">
        <v>0</v>
      </c>
      <c r="AM32">
        <v>43</v>
      </c>
      <c r="AN32">
        <v>0</v>
      </c>
      <c r="AO32">
        <v>0</v>
      </c>
      <c r="AP32">
        <v>0</v>
      </c>
      <c r="AQ32" t="s">
        <v>24</v>
      </c>
      <c r="AR32">
        <v>43</v>
      </c>
      <c r="AS32">
        <v>0</v>
      </c>
      <c r="AT32">
        <v>0</v>
      </c>
      <c r="AU32">
        <v>0</v>
      </c>
      <c r="AV32">
        <v>43</v>
      </c>
      <c r="AW32">
        <v>0</v>
      </c>
      <c r="AX32">
        <v>0</v>
      </c>
      <c r="AY32">
        <v>0</v>
      </c>
      <c r="AZ32">
        <v>43</v>
      </c>
      <c r="BA32">
        <v>0</v>
      </c>
      <c r="BB32">
        <v>0</v>
      </c>
      <c r="BC32">
        <v>0</v>
      </c>
      <c r="BD32">
        <v>43</v>
      </c>
      <c r="BE32">
        <v>0</v>
      </c>
      <c r="BF32">
        <v>0</v>
      </c>
      <c r="BG32">
        <v>0</v>
      </c>
      <c r="BH32">
        <v>43</v>
      </c>
      <c r="BI32">
        <v>0</v>
      </c>
      <c r="BJ32">
        <v>0</v>
      </c>
      <c r="BK32">
        <v>0</v>
      </c>
    </row>
    <row r="33" spans="1:63">
      <c r="A33" t="s">
        <v>26</v>
      </c>
      <c r="B33">
        <v>4</v>
      </c>
      <c r="C33">
        <v>0</v>
      </c>
      <c r="D33">
        <v>0</v>
      </c>
      <c r="E33">
        <v>0</v>
      </c>
      <c r="F33">
        <v>4</v>
      </c>
      <c r="G33">
        <v>0</v>
      </c>
      <c r="H33">
        <v>0</v>
      </c>
      <c r="I33">
        <v>0</v>
      </c>
      <c r="J33">
        <v>4</v>
      </c>
      <c r="K33">
        <v>0</v>
      </c>
      <c r="L33">
        <v>0</v>
      </c>
      <c r="M33">
        <v>0</v>
      </c>
      <c r="N33">
        <v>4</v>
      </c>
      <c r="O33">
        <v>0</v>
      </c>
      <c r="P33">
        <v>0</v>
      </c>
      <c r="Q33">
        <v>0</v>
      </c>
      <c r="R33">
        <v>4</v>
      </c>
      <c r="S33">
        <v>0</v>
      </c>
      <c r="T33">
        <v>0</v>
      </c>
      <c r="U33">
        <v>0</v>
      </c>
      <c r="V33" t="s">
        <v>26</v>
      </c>
      <c r="W33">
        <v>4</v>
      </c>
      <c r="X33">
        <v>0</v>
      </c>
      <c r="Y33">
        <v>0</v>
      </c>
      <c r="Z33">
        <v>0</v>
      </c>
      <c r="AA33">
        <v>4</v>
      </c>
      <c r="AB33">
        <v>0</v>
      </c>
      <c r="AC33">
        <v>0</v>
      </c>
      <c r="AD33">
        <v>0</v>
      </c>
      <c r="AE33">
        <v>4</v>
      </c>
      <c r="AF33">
        <v>0</v>
      </c>
      <c r="AG33">
        <v>0</v>
      </c>
      <c r="AH33">
        <v>0</v>
      </c>
      <c r="AI33">
        <v>4</v>
      </c>
      <c r="AJ33">
        <v>0</v>
      </c>
      <c r="AK33">
        <v>0</v>
      </c>
      <c r="AL33">
        <v>0</v>
      </c>
      <c r="AM33">
        <v>4</v>
      </c>
      <c r="AN33">
        <v>0</v>
      </c>
      <c r="AO33">
        <v>0</v>
      </c>
      <c r="AP33">
        <v>0</v>
      </c>
      <c r="AQ33" t="s">
        <v>26</v>
      </c>
      <c r="AR33">
        <v>4</v>
      </c>
      <c r="AS33">
        <v>0</v>
      </c>
      <c r="AT33">
        <v>0</v>
      </c>
      <c r="AU33">
        <v>0</v>
      </c>
      <c r="AV33">
        <v>4</v>
      </c>
      <c r="AW33">
        <v>0</v>
      </c>
      <c r="AX33">
        <v>0</v>
      </c>
      <c r="AY33">
        <v>0</v>
      </c>
      <c r="AZ33">
        <v>4</v>
      </c>
      <c r="BA33">
        <v>0</v>
      </c>
      <c r="BB33">
        <v>0</v>
      </c>
      <c r="BC33">
        <v>0</v>
      </c>
      <c r="BD33">
        <v>4</v>
      </c>
      <c r="BE33">
        <v>0</v>
      </c>
      <c r="BF33">
        <v>0</v>
      </c>
      <c r="BG33">
        <v>0</v>
      </c>
      <c r="BH33">
        <v>4</v>
      </c>
      <c r="BI33">
        <v>0</v>
      </c>
      <c r="BJ33">
        <v>0</v>
      </c>
      <c r="BK33">
        <v>0</v>
      </c>
    </row>
    <row r="34" spans="1:63">
      <c r="A34" t="s">
        <v>104</v>
      </c>
      <c r="B34">
        <v>7</v>
      </c>
      <c r="C34">
        <v>0</v>
      </c>
      <c r="D34">
        <v>0</v>
      </c>
      <c r="E34">
        <v>0</v>
      </c>
      <c r="F34">
        <v>7</v>
      </c>
      <c r="G34">
        <v>0</v>
      </c>
      <c r="H34">
        <v>0</v>
      </c>
      <c r="I34">
        <v>0</v>
      </c>
      <c r="J34">
        <v>7</v>
      </c>
      <c r="K34">
        <v>0</v>
      </c>
      <c r="L34">
        <v>0</v>
      </c>
      <c r="M34">
        <v>0</v>
      </c>
      <c r="N34">
        <v>7</v>
      </c>
      <c r="O34">
        <v>0</v>
      </c>
      <c r="P34">
        <v>0</v>
      </c>
      <c r="Q34">
        <v>0</v>
      </c>
      <c r="R34">
        <v>7</v>
      </c>
      <c r="S34">
        <v>0</v>
      </c>
      <c r="T34">
        <v>0</v>
      </c>
      <c r="U34">
        <v>0</v>
      </c>
      <c r="V34" t="s">
        <v>104</v>
      </c>
      <c r="W34">
        <v>7</v>
      </c>
      <c r="X34">
        <v>0</v>
      </c>
      <c r="Y34">
        <v>0</v>
      </c>
      <c r="Z34">
        <v>0</v>
      </c>
      <c r="AA34">
        <v>7</v>
      </c>
      <c r="AB34">
        <v>0</v>
      </c>
      <c r="AC34">
        <v>0</v>
      </c>
      <c r="AD34">
        <v>0</v>
      </c>
      <c r="AE34">
        <v>7</v>
      </c>
      <c r="AF34">
        <v>0</v>
      </c>
      <c r="AG34">
        <v>0</v>
      </c>
      <c r="AH34">
        <v>0</v>
      </c>
      <c r="AI34">
        <v>7</v>
      </c>
      <c r="AJ34">
        <v>0</v>
      </c>
      <c r="AK34">
        <v>0</v>
      </c>
      <c r="AL34">
        <v>0</v>
      </c>
      <c r="AM34">
        <v>7</v>
      </c>
      <c r="AN34">
        <v>0</v>
      </c>
      <c r="AO34">
        <v>0</v>
      </c>
      <c r="AP34">
        <v>0</v>
      </c>
      <c r="AQ34" t="s">
        <v>104</v>
      </c>
      <c r="AR34">
        <v>7</v>
      </c>
      <c r="AS34">
        <v>0</v>
      </c>
      <c r="AT34">
        <v>0</v>
      </c>
      <c r="AU34">
        <v>0</v>
      </c>
      <c r="AV34">
        <v>7</v>
      </c>
      <c r="AW34">
        <v>0</v>
      </c>
      <c r="AX34">
        <v>0</v>
      </c>
      <c r="AY34">
        <v>0</v>
      </c>
      <c r="AZ34">
        <v>7</v>
      </c>
      <c r="BA34">
        <v>0</v>
      </c>
      <c r="BB34">
        <v>0</v>
      </c>
      <c r="BC34">
        <v>0</v>
      </c>
      <c r="BD34">
        <v>7</v>
      </c>
      <c r="BE34">
        <v>0</v>
      </c>
      <c r="BF34">
        <v>0</v>
      </c>
      <c r="BG34">
        <v>0</v>
      </c>
      <c r="BH34">
        <v>7</v>
      </c>
      <c r="BI34">
        <v>0</v>
      </c>
      <c r="BJ34">
        <v>0</v>
      </c>
      <c r="BK34">
        <v>0</v>
      </c>
    </row>
    <row r="35" spans="1:63">
      <c r="A35" t="s">
        <v>16</v>
      </c>
      <c r="B35">
        <v>88</v>
      </c>
      <c r="C35">
        <v>0</v>
      </c>
      <c r="D35">
        <v>0</v>
      </c>
      <c r="E35">
        <v>0</v>
      </c>
      <c r="F35">
        <v>88</v>
      </c>
      <c r="G35">
        <v>0</v>
      </c>
      <c r="H35">
        <v>0</v>
      </c>
      <c r="I35">
        <v>0</v>
      </c>
      <c r="J35">
        <v>88</v>
      </c>
      <c r="K35">
        <v>0</v>
      </c>
      <c r="L35">
        <v>0</v>
      </c>
      <c r="M35">
        <v>0</v>
      </c>
      <c r="N35">
        <v>88</v>
      </c>
      <c r="O35">
        <v>0</v>
      </c>
      <c r="P35">
        <v>0</v>
      </c>
      <c r="Q35">
        <v>0</v>
      </c>
      <c r="R35">
        <v>88</v>
      </c>
      <c r="S35">
        <v>0</v>
      </c>
      <c r="T35">
        <v>0</v>
      </c>
      <c r="U35">
        <v>0</v>
      </c>
      <c r="V35" t="s">
        <v>16</v>
      </c>
      <c r="W35">
        <v>88</v>
      </c>
      <c r="X35">
        <v>0</v>
      </c>
      <c r="Y35">
        <v>0</v>
      </c>
      <c r="Z35">
        <v>0</v>
      </c>
      <c r="AA35">
        <v>88</v>
      </c>
      <c r="AB35">
        <v>0</v>
      </c>
      <c r="AC35">
        <v>0</v>
      </c>
      <c r="AD35">
        <v>0</v>
      </c>
      <c r="AE35">
        <v>88</v>
      </c>
      <c r="AF35">
        <v>0</v>
      </c>
      <c r="AG35">
        <v>0</v>
      </c>
      <c r="AH35">
        <v>0</v>
      </c>
      <c r="AI35">
        <v>88</v>
      </c>
      <c r="AJ35">
        <v>0</v>
      </c>
      <c r="AK35">
        <v>0</v>
      </c>
      <c r="AL35">
        <v>0</v>
      </c>
      <c r="AM35">
        <v>88</v>
      </c>
      <c r="AN35">
        <v>0</v>
      </c>
      <c r="AO35">
        <v>0</v>
      </c>
      <c r="AP35">
        <v>0</v>
      </c>
      <c r="AQ35" t="s">
        <v>16</v>
      </c>
      <c r="AR35">
        <v>88</v>
      </c>
      <c r="AS35">
        <v>0</v>
      </c>
      <c r="AT35">
        <v>0</v>
      </c>
      <c r="AU35">
        <v>0</v>
      </c>
      <c r="AV35">
        <v>88</v>
      </c>
      <c r="AW35">
        <v>0</v>
      </c>
      <c r="AX35">
        <v>0</v>
      </c>
      <c r="AY35">
        <v>0</v>
      </c>
      <c r="AZ35">
        <v>88</v>
      </c>
      <c r="BA35">
        <v>0</v>
      </c>
      <c r="BB35">
        <v>0</v>
      </c>
      <c r="BC35">
        <v>0</v>
      </c>
      <c r="BD35">
        <v>88</v>
      </c>
      <c r="BE35">
        <v>0</v>
      </c>
      <c r="BF35">
        <v>0</v>
      </c>
      <c r="BG35">
        <v>0</v>
      </c>
      <c r="BH35">
        <v>88</v>
      </c>
      <c r="BI35">
        <v>0</v>
      </c>
      <c r="BJ35">
        <v>0</v>
      </c>
      <c r="BK35">
        <v>0</v>
      </c>
    </row>
    <row r="36" spans="1:63">
      <c r="A36" t="s">
        <v>91</v>
      </c>
      <c r="B36">
        <v>65</v>
      </c>
      <c r="C36">
        <v>6</v>
      </c>
      <c r="D36">
        <v>0</v>
      </c>
      <c r="E36">
        <v>0</v>
      </c>
      <c r="F36">
        <v>65</v>
      </c>
      <c r="G36">
        <v>6</v>
      </c>
      <c r="H36">
        <v>0</v>
      </c>
      <c r="I36">
        <v>0</v>
      </c>
      <c r="J36">
        <v>71</v>
      </c>
      <c r="K36">
        <v>0</v>
      </c>
      <c r="L36">
        <v>0</v>
      </c>
      <c r="M36">
        <v>0</v>
      </c>
      <c r="N36">
        <v>65</v>
      </c>
      <c r="O36">
        <v>0</v>
      </c>
      <c r="P36">
        <v>6</v>
      </c>
      <c r="Q36">
        <v>0</v>
      </c>
      <c r="R36">
        <v>71</v>
      </c>
      <c r="S36">
        <v>0</v>
      </c>
      <c r="T36">
        <v>0</v>
      </c>
      <c r="U36">
        <v>0</v>
      </c>
      <c r="V36" t="s">
        <v>91</v>
      </c>
      <c r="W36">
        <v>65</v>
      </c>
      <c r="X36">
        <v>6</v>
      </c>
      <c r="Y36">
        <v>0</v>
      </c>
      <c r="Z36">
        <v>0</v>
      </c>
      <c r="AA36">
        <v>65</v>
      </c>
      <c r="AB36">
        <v>6</v>
      </c>
      <c r="AC36">
        <v>0</v>
      </c>
      <c r="AD36">
        <v>0</v>
      </c>
      <c r="AE36">
        <v>71</v>
      </c>
      <c r="AF36">
        <v>0</v>
      </c>
      <c r="AG36">
        <v>0</v>
      </c>
      <c r="AH36">
        <v>0</v>
      </c>
      <c r="AI36">
        <v>65</v>
      </c>
      <c r="AJ36">
        <v>0</v>
      </c>
      <c r="AK36">
        <v>6</v>
      </c>
      <c r="AL36">
        <v>0</v>
      </c>
      <c r="AM36">
        <v>71</v>
      </c>
      <c r="AN36">
        <v>0</v>
      </c>
      <c r="AO36">
        <v>0</v>
      </c>
      <c r="AP36">
        <v>0</v>
      </c>
      <c r="AQ36" t="s">
        <v>91</v>
      </c>
      <c r="AR36">
        <v>65</v>
      </c>
      <c r="AS36">
        <v>6</v>
      </c>
      <c r="AT36">
        <v>0</v>
      </c>
      <c r="AU36">
        <v>0</v>
      </c>
      <c r="AV36">
        <v>65</v>
      </c>
      <c r="AW36">
        <v>6</v>
      </c>
      <c r="AX36">
        <v>0</v>
      </c>
      <c r="AY36">
        <v>0</v>
      </c>
      <c r="AZ36">
        <v>71</v>
      </c>
      <c r="BA36">
        <v>0</v>
      </c>
      <c r="BB36">
        <v>0</v>
      </c>
      <c r="BC36">
        <v>0</v>
      </c>
      <c r="BD36">
        <v>65</v>
      </c>
      <c r="BE36">
        <v>0</v>
      </c>
      <c r="BF36">
        <v>6</v>
      </c>
      <c r="BG36">
        <v>0</v>
      </c>
      <c r="BH36">
        <v>71</v>
      </c>
      <c r="BI36">
        <v>0</v>
      </c>
      <c r="BJ36">
        <v>0</v>
      </c>
      <c r="BK36">
        <v>0</v>
      </c>
    </row>
    <row r="37" spans="1:63">
      <c r="A37" t="s">
        <v>64</v>
      </c>
      <c r="B37">
        <v>336</v>
      </c>
      <c r="C37">
        <v>0</v>
      </c>
      <c r="D37">
        <v>0</v>
      </c>
      <c r="E37">
        <v>0</v>
      </c>
      <c r="F37">
        <v>336</v>
      </c>
      <c r="G37">
        <v>0</v>
      </c>
      <c r="H37">
        <v>0</v>
      </c>
      <c r="I37">
        <v>0</v>
      </c>
      <c r="J37">
        <v>336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336</v>
      </c>
      <c r="S37">
        <v>0</v>
      </c>
      <c r="T37">
        <v>0</v>
      </c>
      <c r="U37">
        <v>0</v>
      </c>
      <c r="V37" t="s">
        <v>64</v>
      </c>
      <c r="W37">
        <v>336</v>
      </c>
      <c r="X37">
        <v>0</v>
      </c>
      <c r="Y37">
        <v>0</v>
      </c>
      <c r="Z37">
        <v>0</v>
      </c>
      <c r="AA37">
        <v>336</v>
      </c>
      <c r="AB37">
        <v>0</v>
      </c>
      <c r="AC37">
        <v>0</v>
      </c>
      <c r="AD37">
        <v>0</v>
      </c>
      <c r="AE37">
        <v>336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336</v>
      </c>
      <c r="AN37">
        <v>0</v>
      </c>
      <c r="AO37">
        <v>0</v>
      </c>
      <c r="AP37">
        <v>0</v>
      </c>
      <c r="AQ37" t="s">
        <v>64</v>
      </c>
      <c r="AR37">
        <v>336</v>
      </c>
      <c r="AS37">
        <v>0</v>
      </c>
      <c r="AT37">
        <v>0</v>
      </c>
      <c r="AU37">
        <v>0</v>
      </c>
      <c r="AV37">
        <v>336</v>
      </c>
      <c r="AW37">
        <v>0</v>
      </c>
      <c r="AX37">
        <v>0</v>
      </c>
      <c r="AY37">
        <v>0</v>
      </c>
      <c r="AZ37">
        <v>336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336</v>
      </c>
      <c r="BI37">
        <v>0</v>
      </c>
      <c r="BJ37">
        <v>0</v>
      </c>
      <c r="BK37">
        <v>0</v>
      </c>
    </row>
    <row r="38" spans="1:63">
      <c r="A38" t="s">
        <v>25</v>
      </c>
      <c r="B38">
        <v>152</v>
      </c>
      <c r="C38">
        <v>2</v>
      </c>
      <c r="D38">
        <v>0</v>
      </c>
      <c r="E38">
        <v>0</v>
      </c>
      <c r="F38">
        <v>152</v>
      </c>
      <c r="G38">
        <v>2</v>
      </c>
      <c r="H38">
        <v>0</v>
      </c>
      <c r="I38">
        <v>0</v>
      </c>
      <c r="J38">
        <v>164</v>
      </c>
      <c r="K38">
        <v>1</v>
      </c>
      <c r="L38">
        <v>0</v>
      </c>
      <c r="M38">
        <v>0</v>
      </c>
      <c r="N38">
        <v>141</v>
      </c>
      <c r="O38">
        <v>0</v>
      </c>
      <c r="P38">
        <v>2</v>
      </c>
      <c r="Q38">
        <v>0</v>
      </c>
      <c r="R38">
        <v>154</v>
      </c>
      <c r="S38">
        <v>0</v>
      </c>
      <c r="T38">
        <v>0</v>
      </c>
      <c r="U38">
        <v>0</v>
      </c>
      <c r="V38" t="s">
        <v>25</v>
      </c>
      <c r="W38">
        <v>152</v>
      </c>
      <c r="X38">
        <v>2</v>
      </c>
      <c r="Y38">
        <v>0</v>
      </c>
      <c r="Z38">
        <v>0</v>
      </c>
      <c r="AA38">
        <v>152</v>
      </c>
      <c r="AB38">
        <v>2</v>
      </c>
      <c r="AC38">
        <v>0</v>
      </c>
      <c r="AD38">
        <v>0</v>
      </c>
      <c r="AE38">
        <v>164</v>
      </c>
      <c r="AF38">
        <v>1</v>
      </c>
      <c r="AG38">
        <v>0</v>
      </c>
      <c r="AH38">
        <v>0</v>
      </c>
      <c r="AI38">
        <v>141</v>
      </c>
      <c r="AJ38">
        <v>0</v>
      </c>
      <c r="AK38">
        <v>2</v>
      </c>
      <c r="AL38">
        <v>0</v>
      </c>
      <c r="AM38">
        <v>154</v>
      </c>
      <c r="AN38">
        <v>0</v>
      </c>
      <c r="AO38">
        <v>0</v>
      </c>
      <c r="AP38">
        <v>0</v>
      </c>
      <c r="AQ38" t="s">
        <v>25</v>
      </c>
      <c r="AR38">
        <v>152</v>
      </c>
      <c r="AS38">
        <v>2</v>
      </c>
      <c r="AT38">
        <v>0</v>
      </c>
      <c r="AU38">
        <v>0</v>
      </c>
      <c r="AV38">
        <v>152</v>
      </c>
      <c r="AW38">
        <v>2</v>
      </c>
      <c r="AX38">
        <v>0</v>
      </c>
      <c r="AY38">
        <v>0</v>
      </c>
      <c r="AZ38">
        <v>165</v>
      </c>
      <c r="BA38">
        <v>0</v>
      </c>
      <c r="BB38">
        <v>0</v>
      </c>
      <c r="BC38">
        <v>0</v>
      </c>
      <c r="BD38">
        <v>141</v>
      </c>
      <c r="BE38">
        <v>0</v>
      </c>
      <c r="BF38">
        <v>2</v>
      </c>
      <c r="BG38">
        <v>0</v>
      </c>
      <c r="BH38">
        <v>154</v>
      </c>
      <c r="BI38">
        <v>0</v>
      </c>
      <c r="BJ38">
        <v>0</v>
      </c>
      <c r="BK38">
        <v>0</v>
      </c>
    </row>
    <row r="39" spans="1:63">
      <c r="A39" t="s">
        <v>36</v>
      </c>
      <c r="B39">
        <v>102</v>
      </c>
      <c r="C39">
        <v>15</v>
      </c>
      <c r="D39">
        <v>0</v>
      </c>
      <c r="E39">
        <v>0</v>
      </c>
      <c r="F39">
        <v>102</v>
      </c>
      <c r="G39">
        <v>15</v>
      </c>
      <c r="H39">
        <v>0</v>
      </c>
      <c r="I39">
        <v>0</v>
      </c>
      <c r="J39">
        <v>121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117</v>
      </c>
      <c r="S39">
        <v>0</v>
      </c>
      <c r="T39">
        <v>0</v>
      </c>
      <c r="U39">
        <v>0</v>
      </c>
      <c r="V39" t="s">
        <v>36</v>
      </c>
      <c r="W39">
        <v>102</v>
      </c>
      <c r="X39">
        <v>15</v>
      </c>
      <c r="Y39">
        <v>0</v>
      </c>
      <c r="Z39">
        <v>0</v>
      </c>
      <c r="AA39">
        <v>102</v>
      </c>
      <c r="AB39">
        <v>15</v>
      </c>
      <c r="AC39">
        <v>0</v>
      </c>
      <c r="AD39">
        <v>0</v>
      </c>
      <c r="AE39">
        <v>121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117</v>
      </c>
      <c r="AN39">
        <v>0</v>
      </c>
      <c r="AO39">
        <v>0</v>
      </c>
      <c r="AP39">
        <v>0</v>
      </c>
      <c r="AQ39" t="s">
        <v>36</v>
      </c>
      <c r="AR39">
        <v>102</v>
      </c>
      <c r="AS39">
        <v>15</v>
      </c>
      <c r="AT39">
        <v>0</v>
      </c>
      <c r="AU39">
        <v>0</v>
      </c>
      <c r="AV39">
        <v>102</v>
      </c>
      <c r="AW39">
        <v>15</v>
      </c>
      <c r="AX39">
        <v>0</v>
      </c>
      <c r="AY39">
        <v>0</v>
      </c>
      <c r="AZ39">
        <v>121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117</v>
      </c>
      <c r="BI39">
        <v>0</v>
      </c>
      <c r="BJ39">
        <v>0</v>
      </c>
      <c r="BK39">
        <v>0</v>
      </c>
    </row>
    <row r="40" spans="1:63">
      <c r="A40" t="s">
        <v>100</v>
      </c>
      <c r="B40">
        <v>142</v>
      </c>
      <c r="C40">
        <v>32</v>
      </c>
      <c r="D40">
        <v>0</v>
      </c>
      <c r="E40">
        <v>0</v>
      </c>
      <c r="F40">
        <v>142</v>
      </c>
      <c r="G40">
        <v>32</v>
      </c>
      <c r="H40">
        <v>0</v>
      </c>
      <c r="I40">
        <v>0</v>
      </c>
      <c r="J40">
        <v>172</v>
      </c>
      <c r="K40">
        <v>2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172</v>
      </c>
      <c r="S40">
        <v>2</v>
      </c>
      <c r="T40">
        <v>0</v>
      </c>
      <c r="U40">
        <v>0</v>
      </c>
      <c r="V40" t="s">
        <v>100</v>
      </c>
      <c r="W40">
        <v>142</v>
      </c>
      <c r="X40">
        <v>32</v>
      </c>
      <c r="Y40">
        <v>0</v>
      </c>
      <c r="Z40">
        <v>0</v>
      </c>
      <c r="AA40">
        <v>142</v>
      </c>
      <c r="AB40">
        <v>32</v>
      </c>
      <c r="AC40">
        <v>0</v>
      </c>
      <c r="AD40">
        <v>0</v>
      </c>
      <c r="AE40">
        <v>172</v>
      </c>
      <c r="AF40">
        <v>2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172</v>
      </c>
      <c r="AN40">
        <v>2</v>
      </c>
      <c r="AO40">
        <v>0</v>
      </c>
      <c r="AP40">
        <v>0</v>
      </c>
      <c r="AQ40" t="s">
        <v>100</v>
      </c>
      <c r="AR40">
        <v>142</v>
      </c>
      <c r="AS40">
        <v>32</v>
      </c>
      <c r="AT40">
        <v>0</v>
      </c>
      <c r="AU40">
        <v>0</v>
      </c>
      <c r="AV40">
        <v>142</v>
      </c>
      <c r="AW40">
        <v>32</v>
      </c>
      <c r="AX40">
        <v>0</v>
      </c>
      <c r="AY40">
        <v>0</v>
      </c>
      <c r="AZ40">
        <v>174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174</v>
      </c>
      <c r="BI40">
        <v>0</v>
      </c>
      <c r="BJ40">
        <v>0</v>
      </c>
      <c r="BK40">
        <v>0</v>
      </c>
    </row>
    <row r="41" spans="1:63">
      <c r="A41" t="s">
        <v>66</v>
      </c>
      <c r="B41">
        <v>130</v>
      </c>
      <c r="C41">
        <v>13</v>
      </c>
      <c r="D41">
        <v>0</v>
      </c>
      <c r="E41">
        <v>0</v>
      </c>
      <c r="F41">
        <v>130</v>
      </c>
      <c r="G41">
        <v>13</v>
      </c>
      <c r="H41">
        <v>0</v>
      </c>
      <c r="I41">
        <v>0</v>
      </c>
      <c r="J41">
        <v>147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141</v>
      </c>
      <c r="S41">
        <v>2</v>
      </c>
      <c r="T41">
        <v>0</v>
      </c>
      <c r="U41">
        <v>0</v>
      </c>
      <c r="V41" t="s">
        <v>66</v>
      </c>
      <c r="W41">
        <v>130</v>
      </c>
      <c r="X41">
        <v>13</v>
      </c>
      <c r="Y41">
        <v>0</v>
      </c>
      <c r="Z41">
        <v>0</v>
      </c>
      <c r="AA41">
        <v>130</v>
      </c>
      <c r="AB41">
        <v>13</v>
      </c>
      <c r="AC41">
        <v>0</v>
      </c>
      <c r="AD41">
        <v>0</v>
      </c>
      <c r="AE41">
        <v>147</v>
      </c>
      <c r="AF41">
        <v>1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141</v>
      </c>
      <c r="AN41">
        <v>2</v>
      </c>
      <c r="AO41">
        <v>0</v>
      </c>
      <c r="AP41">
        <v>0</v>
      </c>
      <c r="AQ41" t="s">
        <v>66</v>
      </c>
      <c r="AR41">
        <v>130</v>
      </c>
      <c r="AS41">
        <v>13</v>
      </c>
      <c r="AT41">
        <v>0</v>
      </c>
      <c r="AU41">
        <v>0</v>
      </c>
      <c r="AV41">
        <v>130</v>
      </c>
      <c r="AW41">
        <v>13</v>
      </c>
      <c r="AX41">
        <v>0</v>
      </c>
      <c r="AY41">
        <v>0</v>
      </c>
      <c r="AZ41">
        <v>148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143</v>
      </c>
      <c r="BI41">
        <v>0</v>
      </c>
      <c r="BJ41">
        <v>0</v>
      </c>
      <c r="BK41">
        <v>0</v>
      </c>
    </row>
    <row r="42" spans="1:63">
      <c r="A42" t="s">
        <v>60</v>
      </c>
      <c r="B42">
        <v>108</v>
      </c>
      <c r="C42">
        <v>21</v>
      </c>
      <c r="D42">
        <v>0</v>
      </c>
      <c r="E42">
        <v>0</v>
      </c>
      <c r="F42">
        <v>108</v>
      </c>
      <c r="G42">
        <v>21</v>
      </c>
      <c r="H42">
        <v>0</v>
      </c>
      <c r="I42">
        <v>0</v>
      </c>
      <c r="J42">
        <v>129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129</v>
      </c>
      <c r="S42">
        <v>0</v>
      </c>
      <c r="T42">
        <v>0</v>
      </c>
      <c r="U42">
        <v>0</v>
      </c>
      <c r="V42" t="s">
        <v>60</v>
      </c>
      <c r="W42">
        <v>108</v>
      </c>
      <c r="X42">
        <v>21</v>
      </c>
      <c r="Y42">
        <v>0</v>
      </c>
      <c r="Z42">
        <v>0</v>
      </c>
      <c r="AA42">
        <v>108</v>
      </c>
      <c r="AB42">
        <v>21</v>
      </c>
      <c r="AC42">
        <v>0</v>
      </c>
      <c r="AD42">
        <v>0</v>
      </c>
      <c r="AE42">
        <v>129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129</v>
      </c>
      <c r="AN42">
        <v>0</v>
      </c>
      <c r="AO42">
        <v>0</v>
      </c>
      <c r="AP42">
        <v>0</v>
      </c>
      <c r="AQ42" t="s">
        <v>60</v>
      </c>
      <c r="AR42">
        <v>108</v>
      </c>
      <c r="AS42">
        <v>21</v>
      </c>
      <c r="AT42">
        <v>0</v>
      </c>
      <c r="AU42">
        <v>0</v>
      </c>
      <c r="AV42">
        <v>108</v>
      </c>
      <c r="AW42">
        <v>21</v>
      </c>
      <c r="AX42">
        <v>0</v>
      </c>
      <c r="AY42">
        <v>0</v>
      </c>
      <c r="AZ42">
        <v>129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129</v>
      </c>
      <c r="BI42">
        <v>0</v>
      </c>
      <c r="BJ42">
        <v>0</v>
      </c>
      <c r="BK42">
        <v>0</v>
      </c>
    </row>
    <row r="43" spans="1:63">
      <c r="A43" t="s">
        <v>12</v>
      </c>
      <c r="B43">
        <v>43</v>
      </c>
      <c r="C43">
        <v>0</v>
      </c>
      <c r="D43">
        <v>0</v>
      </c>
      <c r="E43">
        <v>0</v>
      </c>
      <c r="F43">
        <v>43</v>
      </c>
      <c r="G43">
        <v>0</v>
      </c>
      <c r="H43">
        <v>0</v>
      </c>
      <c r="I43">
        <v>0</v>
      </c>
      <c r="J43">
        <v>43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43</v>
      </c>
      <c r="S43">
        <v>0</v>
      </c>
      <c r="T43">
        <v>0</v>
      </c>
      <c r="U43">
        <v>0</v>
      </c>
      <c r="V43" t="s">
        <v>12</v>
      </c>
      <c r="W43">
        <v>43</v>
      </c>
      <c r="X43">
        <v>0</v>
      </c>
      <c r="Y43">
        <v>0</v>
      </c>
      <c r="Z43">
        <v>0</v>
      </c>
      <c r="AA43">
        <v>43</v>
      </c>
      <c r="AB43">
        <v>0</v>
      </c>
      <c r="AC43">
        <v>0</v>
      </c>
      <c r="AD43">
        <v>0</v>
      </c>
      <c r="AE43">
        <v>43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43</v>
      </c>
      <c r="AN43">
        <v>0</v>
      </c>
      <c r="AO43">
        <v>0</v>
      </c>
      <c r="AP43">
        <v>0</v>
      </c>
      <c r="AQ43" t="s">
        <v>12</v>
      </c>
      <c r="AR43">
        <v>43</v>
      </c>
      <c r="AS43">
        <v>0</v>
      </c>
      <c r="AT43">
        <v>0</v>
      </c>
      <c r="AU43">
        <v>0</v>
      </c>
      <c r="AV43">
        <v>43</v>
      </c>
      <c r="AW43">
        <v>0</v>
      </c>
      <c r="AX43">
        <v>0</v>
      </c>
      <c r="AY43">
        <v>0</v>
      </c>
      <c r="AZ43">
        <v>43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43</v>
      </c>
      <c r="BI43">
        <v>0</v>
      </c>
      <c r="BJ43">
        <v>0</v>
      </c>
      <c r="BK43">
        <v>0</v>
      </c>
    </row>
    <row r="44" spans="1:63">
      <c r="A44" t="s">
        <v>21</v>
      </c>
      <c r="B44">
        <v>137</v>
      </c>
      <c r="C44">
        <v>2</v>
      </c>
      <c r="D44">
        <v>0</v>
      </c>
      <c r="E44">
        <v>0</v>
      </c>
      <c r="F44">
        <v>137</v>
      </c>
      <c r="G44">
        <v>2</v>
      </c>
      <c r="H44">
        <v>0</v>
      </c>
      <c r="I44">
        <v>0</v>
      </c>
      <c r="J44">
        <v>139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139</v>
      </c>
      <c r="S44">
        <v>0</v>
      </c>
      <c r="T44">
        <v>0</v>
      </c>
      <c r="U44">
        <v>0</v>
      </c>
      <c r="V44" t="s">
        <v>21</v>
      </c>
      <c r="W44">
        <v>137</v>
      </c>
      <c r="X44">
        <v>2</v>
      </c>
      <c r="Y44">
        <v>0</v>
      </c>
      <c r="Z44">
        <v>0</v>
      </c>
      <c r="AA44">
        <v>137</v>
      </c>
      <c r="AB44">
        <v>2</v>
      </c>
      <c r="AC44">
        <v>0</v>
      </c>
      <c r="AD44">
        <v>0</v>
      </c>
      <c r="AE44">
        <v>139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139</v>
      </c>
      <c r="AN44">
        <v>0</v>
      </c>
      <c r="AO44">
        <v>0</v>
      </c>
      <c r="AP44">
        <v>0</v>
      </c>
      <c r="AQ44" t="s">
        <v>21</v>
      </c>
      <c r="AR44">
        <v>137</v>
      </c>
      <c r="AS44">
        <v>2</v>
      </c>
      <c r="AT44">
        <v>0</v>
      </c>
      <c r="AU44">
        <v>0</v>
      </c>
      <c r="AV44">
        <v>137</v>
      </c>
      <c r="AW44">
        <v>2</v>
      </c>
      <c r="AX44">
        <v>0</v>
      </c>
      <c r="AY44">
        <v>0</v>
      </c>
      <c r="AZ44">
        <v>139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139</v>
      </c>
      <c r="BI44">
        <v>0</v>
      </c>
      <c r="BJ44">
        <v>0</v>
      </c>
      <c r="BK44">
        <v>0</v>
      </c>
    </row>
    <row r="45" spans="1:63">
      <c r="A45" t="s">
        <v>44</v>
      </c>
      <c r="B45">
        <v>50</v>
      </c>
      <c r="C45">
        <v>12</v>
      </c>
      <c r="D45">
        <v>0</v>
      </c>
      <c r="E45">
        <v>0</v>
      </c>
      <c r="F45">
        <v>50</v>
      </c>
      <c r="G45">
        <v>12</v>
      </c>
      <c r="H45">
        <v>0</v>
      </c>
      <c r="I45">
        <v>0</v>
      </c>
      <c r="J45">
        <v>62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62</v>
      </c>
      <c r="S45">
        <v>0</v>
      </c>
      <c r="T45">
        <v>0</v>
      </c>
      <c r="U45">
        <v>0</v>
      </c>
      <c r="V45" t="s">
        <v>44</v>
      </c>
      <c r="W45">
        <v>50</v>
      </c>
      <c r="X45">
        <v>12</v>
      </c>
      <c r="Y45">
        <v>0</v>
      </c>
      <c r="Z45">
        <v>0</v>
      </c>
      <c r="AA45">
        <v>50</v>
      </c>
      <c r="AB45">
        <v>12</v>
      </c>
      <c r="AC45">
        <v>0</v>
      </c>
      <c r="AD45">
        <v>0</v>
      </c>
      <c r="AE45">
        <v>62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62</v>
      </c>
      <c r="AN45">
        <v>0</v>
      </c>
      <c r="AO45">
        <v>0</v>
      </c>
      <c r="AP45">
        <v>0</v>
      </c>
      <c r="AQ45" t="s">
        <v>44</v>
      </c>
      <c r="AR45">
        <v>50</v>
      </c>
      <c r="AS45">
        <v>12</v>
      </c>
      <c r="AT45">
        <v>0</v>
      </c>
      <c r="AU45">
        <v>0</v>
      </c>
      <c r="AV45">
        <v>50</v>
      </c>
      <c r="AW45">
        <v>12</v>
      </c>
      <c r="AX45">
        <v>0</v>
      </c>
      <c r="AY45">
        <v>0</v>
      </c>
      <c r="AZ45">
        <v>62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62</v>
      </c>
      <c r="BI45">
        <v>0</v>
      </c>
      <c r="BJ45">
        <v>0</v>
      </c>
      <c r="BK45">
        <v>0</v>
      </c>
    </row>
    <row r="46" spans="1:63">
      <c r="A46" t="s">
        <v>5</v>
      </c>
      <c r="B46">
        <v>30</v>
      </c>
      <c r="C46">
        <v>0</v>
      </c>
      <c r="D46">
        <v>0</v>
      </c>
      <c r="E46">
        <v>0</v>
      </c>
      <c r="F46">
        <v>30</v>
      </c>
      <c r="G46">
        <v>0</v>
      </c>
      <c r="H46">
        <v>0</v>
      </c>
      <c r="I46">
        <v>0</v>
      </c>
      <c r="J46">
        <v>30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30</v>
      </c>
      <c r="S46">
        <v>0</v>
      </c>
      <c r="T46">
        <v>0</v>
      </c>
      <c r="U46">
        <v>0</v>
      </c>
      <c r="V46" t="s">
        <v>5</v>
      </c>
      <c r="W46">
        <v>30</v>
      </c>
      <c r="X46">
        <v>0</v>
      </c>
      <c r="Y46">
        <v>0</v>
      </c>
      <c r="Z46">
        <v>0</v>
      </c>
      <c r="AA46">
        <v>30</v>
      </c>
      <c r="AB46">
        <v>0</v>
      </c>
      <c r="AC46">
        <v>0</v>
      </c>
      <c r="AD46">
        <v>0</v>
      </c>
      <c r="AE46">
        <v>30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30</v>
      </c>
      <c r="AN46">
        <v>0</v>
      </c>
      <c r="AO46">
        <v>0</v>
      </c>
      <c r="AP46">
        <v>0</v>
      </c>
      <c r="AQ46" t="s">
        <v>5</v>
      </c>
      <c r="AR46">
        <v>30</v>
      </c>
      <c r="AS46">
        <v>0</v>
      </c>
      <c r="AT46">
        <v>0</v>
      </c>
      <c r="AU46">
        <v>0</v>
      </c>
      <c r="AV46">
        <v>30</v>
      </c>
      <c r="AW46">
        <v>0</v>
      </c>
      <c r="AX46">
        <v>0</v>
      </c>
      <c r="AY46">
        <v>0</v>
      </c>
      <c r="AZ46">
        <v>30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30</v>
      </c>
      <c r="BI46">
        <v>0</v>
      </c>
      <c r="BJ46">
        <v>0</v>
      </c>
      <c r="BK46">
        <v>0</v>
      </c>
    </row>
    <row r="47" spans="1:63">
      <c r="A47" t="s">
        <v>62</v>
      </c>
      <c r="B47">
        <v>71</v>
      </c>
      <c r="C47">
        <v>15</v>
      </c>
      <c r="D47">
        <v>0</v>
      </c>
      <c r="E47">
        <v>0</v>
      </c>
      <c r="F47">
        <v>71</v>
      </c>
      <c r="G47">
        <v>15</v>
      </c>
      <c r="H47">
        <v>0</v>
      </c>
      <c r="I47">
        <v>0</v>
      </c>
      <c r="J47">
        <v>86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 t="s">
        <v>62</v>
      </c>
      <c r="W47">
        <v>71</v>
      </c>
      <c r="X47">
        <v>15</v>
      </c>
      <c r="Y47">
        <v>0</v>
      </c>
      <c r="Z47">
        <v>0</v>
      </c>
      <c r="AA47">
        <v>71</v>
      </c>
      <c r="AB47">
        <v>15</v>
      </c>
      <c r="AC47">
        <v>0</v>
      </c>
      <c r="AD47">
        <v>0</v>
      </c>
      <c r="AE47">
        <v>86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 t="s">
        <v>62</v>
      </c>
      <c r="AR47">
        <v>71</v>
      </c>
      <c r="AS47">
        <v>15</v>
      </c>
      <c r="AT47">
        <v>0</v>
      </c>
      <c r="AU47">
        <v>0</v>
      </c>
      <c r="AV47">
        <v>71</v>
      </c>
      <c r="AW47">
        <v>15</v>
      </c>
      <c r="AX47">
        <v>0</v>
      </c>
      <c r="AY47">
        <v>0</v>
      </c>
      <c r="AZ47">
        <v>86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86</v>
      </c>
      <c r="BI47">
        <v>0</v>
      </c>
      <c r="BJ47">
        <v>0</v>
      </c>
      <c r="BK47">
        <v>0</v>
      </c>
    </row>
    <row r="48" spans="1:63">
      <c r="A48" t="s">
        <v>6</v>
      </c>
      <c r="B48">
        <v>0</v>
      </c>
      <c r="C48">
        <v>0</v>
      </c>
      <c r="D48">
        <v>0</v>
      </c>
      <c r="E48">
        <v>0</v>
      </c>
      <c r="F48">
        <v>50</v>
      </c>
      <c r="G48">
        <v>6</v>
      </c>
      <c r="H48">
        <v>0</v>
      </c>
      <c r="I48">
        <v>0</v>
      </c>
      <c r="J48">
        <v>56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 t="s">
        <v>6</v>
      </c>
      <c r="W48">
        <v>0</v>
      </c>
      <c r="X48">
        <v>0</v>
      </c>
      <c r="Y48">
        <v>0</v>
      </c>
      <c r="Z48">
        <v>0</v>
      </c>
      <c r="AA48">
        <v>50</v>
      </c>
      <c r="AB48">
        <v>6</v>
      </c>
      <c r="AC48">
        <v>0</v>
      </c>
      <c r="AD48">
        <v>0</v>
      </c>
      <c r="AE48">
        <v>56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 t="s">
        <v>6</v>
      </c>
      <c r="AR48">
        <v>50</v>
      </c>
      <c r="AS48">
        <v>6</v>
      </c>
      <c r="AT48">
        <v>0</v>
      </c>
      <c r="AU48">
        <v>0</v>
      </c>
      <c r="AV48">
        <v>50</v>
      </c>
      <c r="AW48">
        <v>6</v>
      </c>
      <c r="AX48">
        <v>0</v>
      </c>
      <c r="AY48">
        <v>0</v>
      </c>
      <c r="AZ48">
        <v>56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56</v>
      </c>
      <c r="BI48">
        <v>0</v>
      </c>
      <c r="BJ48">
        <v>0</v>
      </c>
      <c r="BK48">
        <v>0</v>
      </c>
    </row>
    <row r="49" spans="1:63">
      <c r="A49" t="s">
        <v>82</v>
      </c>
      <c r="B49">
        <v>2</v>
      </c>
      <c r="C49">
        <v>0</v>
      </c>
      <c r="D49">
        <v>0</v>
      </c>
      <c r="E49">
        <v>0</v>
      </c>
      <c r="F49">
        <v>2</v>
      </c>
      <c r="G49">
        <v>0</v>
      </c>
      <c r="H49">
        <v>0</v>
      </c>
      <c r="I49">
        <v>0</v>
      </c>
      <c r="J49">
        <v>2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2</v>
      </c>
      <c r="S49">
        <v>0</v>
      </c>
      <c r="T49">
        <v>0</v>
      </c>
      <c r="U49">
        <v>0</v>
      </c>
      <c r="V49" t="s">
        <v>82</v>
      </c>
      <c r="W49">
        <v>2</v>
      </c>
      <c r="X49">
        <v>0</v>
      </c>
      <c r="Y49">
        <v>0</v>
      </c>
      <c r="Z49">
        <v>0</v>
      </c>
      <c r="AA49">
        <v>2</v>
      </c>
      <c r="AB49">
        <v>0</v>
      </c>
      <c r="AC49">
        <v>0</v>
      </c>
      <c r="AD49">
        <v>0</v>
      </c>
      <c r="AE49">
        <v>2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2</v>
      </c>
      <c r="AN49">
        <v>0</v>
      </c>
      <c r="AO49">
        <v>0</v>
      </c>
      <c r="AP49">
        <v>0</v>
      </c>
      <c r="AQ49" t="s">
        <v>82</v>
      </c>
      <c r="AR49">
        <v>2</v>
      </c>
      <c r="AS49">
        <v>0</v>
      </c>
      <c r="AT49">
        <v>0</v>
      </c>
      <c r="AU49">
        <v>0</v>
      </c>
      <c r="AV49">
        <v>2</v>
      </c>
      <c r="AW49">
        <v>0</v>
      </c>
      <c r="AX49">
        <v>0</v>
      </c>
      <c r="AY49">
        <v>0</v>
      </c>
      <c r="AZ49">
        <v>2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2</v>
      </c>
      <c r="BI49">
        <v>0</v>
      </c>
      <c r="BJ49">
        <v>0</v>
      </c>
      <c r="BK49">
        <v>0</v>
      </c>
    </row>
    <row r="50" spans="1:63">
      <c r="A50" t="s">
        <v>92</v>
      </c>
      <c r="B50">
        <v>1</v>
      </c>
      <c r="C50">
        <v>0</v>
      </c>
      <c r="D50">
        <v>0</v>
      </c>
      <c r="E50">
        <v>0</v>
      </c>
      <c r="F50">
        <v>1</v>
      </c>
      <c r="G50">
        <v>0</v>
      </c>
      <c r="H50">
        <v>0</v>
      </c>
      <c r="I50">
        <v>0</v>
      </c>
      <c r="J50">
        <v>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1</v>
      </c>
      <c r="S50">
        <v>0</v>
      </c>
      <c r="T50">
        <v>0</v>
      </c>
      <c r="U50">
        <v>0</v>
      </c>
      <c r="V50" t="s">
        <v>92</v>
      </c>
      <c r="W50">
        <v>1</v>
      </c>
      <c r="X50">
        <v>0</v>
      </c>
      <c r="Y50">
        <v>0</v>
      </c>
      <c r="Z50">
        <v>0</v>
      </c>
      <c r="AA50">
        <v>1</v>
      </c>
      <c r="AB50">
        <v>0</v>
      </c>
      <c r="AC50">
        <v>0</v>
      </c>
      <c r="AD50">
        <v>0</v>
      </c>
      <c r="AE50">
        <v>1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1</v>
      </c>
      <c r="AN50">
        <v>0</v>
      </c>
      <c r="AO50">
        <v>0</v>
      </c>
      <c r="AP50">
        <v>0</v>
      </c>
      <c r="AQ50" t="s">
        <v>92</v>
      </c>
      <c r="AR50">
        <v>1</v>
      </c>
      <c r="AS50">
        <v>0</v>
      </c>
      <c r="AT50">
        <v>0</v>
      </c>
      <c r="AU50">
        <v>0</v>
      </c>
      <c r="AV50">
        <v>1</v>
      </c>
      <c r="AW50">
        <v>0</v>
      </c>
      <c r="AX50">
        <v>0</v>
      </c>
      <c r="AY50">
        <v>0</v>
      </c>
      <c r="AZ50">
        <v>1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1</v>
      </c>
      <c r="BI50">
        <v>0</v>
      </c>
      <c r="BJ50">
        <v>0</v>
      </c>
      <c r="BK50">
        <v>0</v>
      </c>
    </row>
    <row r="51" spans="1:63">
      <c r="A51" t="s">
        <v>53</v>
      </c>
      <c r="B51">
        <v>60</v>
      </c>
      <c r="C51">
        <v>2</v>
      </c>
      <c r="D51">
        <v>0</v>
      </c>
      <c r="E51">
        <v>0</v>
      </c>
      <c r="F51">
        <v>60</v>
      </c>
      <c r="G51">
        <v>2</v>
      </c>
      <c r="H51">
        <v>0</v>
      </c>
      <c r="I51">
        <v>0</v>
      </c>
      <c r="J51">
        <v>60</v>
      </c>
      <c r="K51">
        <v>2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60</v>
      </c>
      <c r="S51">
        <v>2</v>
      </c>
      <c r="T51">
        <v>0</v>
      </c>
      <c r="U51">
        <v>0</v>
      </c>
      <c r="V51" t="s">
        <v>53</v>
      </c>
      <c r="W51">
        <v>60</v>
      </c>
      <c r="X51">
        <v>2</v>
      </c>
      <c r="Y51">
        <v>0</v>
      </c>
      <c r="Z51">
        <v>0</v>
      </c>
      <c r="AA51">
        <v>60</v>
      </c>
      <c r="AB51">
        <v>2</v>
      </c>
      <c r="AC51">
        <v>0</v>
      </c>
      <c r="AD51">
        <v>0</v>
      </c>
      <c r="AE51">
        <v>60</v>
      </c>
      <c r="AF51">
        <v>2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60</v>
      </c>
      <c r="AN51">
        <v>2</v>
      </c>
      <c r="AO51">
        <v>0</v>
      </c>
      <c r="AP51">
        <v>0</v>
      </c>
      <c r="AQ51" t="s">
        <v>53</v>
      </c>
      <c r="AR51">
        <v>60</v>
      </c>
      <c r="AS51">
        <v>2</v>
      </c>
      <c r="AT51">
        <v>0</v>
      </c>
      <c r="AU51">
        <v>0</v>
      </c>
      <c r="AV51">
        <v>60</v>
      </c>
      <c r="AW51">
        <v>2</v>
      </c>
      <c r="AX51">
        <v>0</v>
      </c>
      <c r="AY51">
        <v>0</v>
      </c>
      <c r="AZ51">
        <v>62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62</v>
      </c>
      <c r="BI51">
        <v>0</v>
      </c>
      <c r="BJ51">
        <v>0</v>
      </c>
      <c r="BK51">
        <v>0</v>
      </c>
    </row>
    <row r="52" spans="1:63">
      <c r="A52" t="s">
        <v>11</v>
      </c>
      <c r="B52">
        <v>7</v>
      </c>
      <c r="C52">
        <v>0</v>
      </c>
      <c r="D52">
        <v>0</v>
      </c>
      <c r="E52">
        <v>0</v>
      </c>
      <c r="F52">
        <v>7</v>
      </c>
      <c r="G52">
        <v>0</v>
      </c>
      <c r="H52">
        <v>0</v>
      </c>
      <c r="I52">
        <v>0</v>
      </c>
      <c r="J52">
        <v>7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7</v>
      </c>
      <c r="S52">
        <v>0</v>
      </c>
      <c r="T52">
        <v>0</v>
      </c>
      <c r="U52">
        <v>0</v>
      </c>
      <c r="V52" t="s">
        <v>11</v>
      </c>
      <c r="W52">
        <v>7</v>
      </c>
      <c r="X52">
        <v>0</v>
      </c>
      <c r="Y52">
        <v>0</v>
      </c>
      <c r="Z52">
        <v>0</v>
      </c>
      <c r="AA52">
        <v>7</v>
      </c>
      <c r="AB52">
        <v>0</v>
      </c>
      <c r="AC52">
        <v>0</v>
      </c>
      <c r="AD52">
        <v>0</v>
      </c>
      <c r="AE52">
        <v>7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7</v>
      </c>
      <c r="AN52">
        <v>0</v>
      </c>
      <c r="AO52">
        <v>0</v>
      </c>
      <c r="AP52">
        <v>0</v>
      </c>
      <c r="AQ52" t="s">
        <v>11</v>
      </c>
      <c r="AR52">
        <v>7</v>
      </c>
      <c r="AS52">
        <v>0</v>
      </c>
      <c r="AT52">
        <v>0</v>
      </c>
      <c r="AU52">
        <v>0</v>
      </c>
      <c r="AV52">
        <v>7</v>
      </c>
      <c r="AW52">
        <v>0</v>
      </c>
      <c r="AX52">
        <v>0</v>
      </c>
      <c r="AY52">
        <v>0</v>
      </c>
      <c r="AZ52">
        <v>7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7</v>
      </c>
      <c r="BI52">
        <v>0</v>
      </c>
      <c r="BJ52">
        <v>0</v>
      </c>
      <c r="BK52">
        <v>0</v>
      </c>
    </row>
    <row r="53" spans="1:63">
      <c r="A53" t="s">
        <v>84</v>
      </c>
      <c r="B53">
        <v>36</v>
      </c>
      <c r="C53">
        <v>10</v>
      </c>
      <c r="D53">
        <v>0</v>
      </c>
      <c r="E53">
        <v>0</v>
      </c>
      <c r="F53">
        <v>36</v>
      </c>
      <c r="G53">
        <v>10</v>
      </c>
      <c r="H53">
        <v>0</v>
      </c>
      <c r="I53">
        <v>0</v>
      </c>
      <c r="J53">
        <v>46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 t="s">
        <v>84</v>
      </c>
      <c r="W53">
        <v>36</v>
      </c>
      <c r="X53">
        <v>10</v>
      </c>
      <c r="Y53">
        <v>0</v>
      </c>
      <c r="Z53">
        <v>0</v>
      </c>
      <c r="AA53">
        <v>36</v>
      </c>
      <c r="AB53">
        <v>10</v>
      </c>
      <c r="AC53">
        <v>0</v>
      </c>
      <c r="AD53">
        <v>0</v>
      </c>
      <c r="AE53">
        <v>46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 t="s">
        <v>84</v>
      </c>
      <c r="AR53">
        <v>36</v>
      </c>
      <c r="AS53">
        <v>10</v>
      </c>
      <c r="AT53">
        <v>0</v>
      </c>
      <c r="AU53">
        <v>0</v>
      </c>
      <c r="AV53">
        <v>36</v>
      </c>
      <c r="AW53">
        <v>10</v>
      </c>
      <c r="AX53">
        <v>0</v>
      </c>
      <c r="AY53">
        <v>0</v>
      </c>
      <c r="AZ53">
        <v>46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46</v>
      </c>
      <c r="BI53">
        <v>0</v>
      </c>
      <c r="BJ53">
        <v>0</v>
      </c>
      <c r="BK53">
        <v>0</v>
      </c>
    </row>
    <row r="54" spans="1:63">
      <c r="A54" t="s">
        <v>50</v>
      </c>
      <c r="B54">
        <v>26</v>
      </c>
      <c r="C54">
        <v>0</v>
      </c>
      <c r="D54">
        <v>0</v>
      </c>
      <c r="E54">
        <v>0</v>
      </c>
      <c r="F54">
        <v>26</v>
      </c>
      <c r="G54">
        <v>0</v>
      </c>
      <c r="H54">
        <v>0</v>
      </c>
      <c r="I54">
        <v>0</v>
      </c>
      <c r="J54">
        <v>26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 t="s">
        <v>50</v>
      </c>
      <c r="W54">
        <v>26</v>
      </c>
      <c r="X54">
        <v>0</v>
      </c>
      <c r="Y54">
        <v>0</v>
      </c>
      <c r="Z54">
        <v>0</v>
      </c>
      <c r="AA54">
        <v>26</v>
      </c>
      <c r="AB54">
        <v>0</v>
      </c>
      <c r="AC54">
        <v>0</v>
      </c>
      <c r="AD54">
        <v>0</v>
      </c>
      <c r="AE54">
        <v>26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 t="s">
        <v>50</v>
      </c>
      <c r="AR54">
        <v>26</v>
      </c>
      <c r="AS54">
        <v>0</v>
      </c>
      <c r="AT54">
        <v>0</v>
      </c>
      <c r="AU54">
        <v>0</v>
      </c>
      <c r="AV54">
        <v>26</v>
      </c>
      <c r="AW54">
        <v>0</v>
      </c>
      <c r="AX54">
        <v>0</v>
      </c>
      <c r="AY54">
        <v>0</v>
      </c>
      <c r="AZ54">
        <v>26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26</v>
      </c>
      <c r="BI54">
        <v>0</v>
      </c>
      <c r="BJ54">
        <v>0</v>
      </c>
      <c r="BK54">
        <v>0</v>
      </c>
    </row>
    <row r="55" spans="1:63">
      <c r="A55" t="s">
        <v>47</v>
      </c>
      <c r="B55">
        <v>53</v>
      </c>
      <c r="C55">
        <v>0</v>
      </c>
      <c r="D55">
        <v>0</v>
      </c>
      <c r="E55">
        <v>0</v>
      </c>
      <c r="F55">
        <v>53</v>
      </c>
      <c r="G55">
        <v>0</v>
      </c>
      <c r="H55">
        <v>0</v>
      </c>
      <c r="I55">
        <v>0</v>
      </c>
      <c r="J55">
        <v>50</v>
      </c>
      <c r="K55">
        <v>3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 t="s">
        <v>47</v>
      </c>
      <c r="W55">
        <v>53</v>
      </c>
      <c r="X55">
        <v>0</v>
      </c>
      <c r="Y55">
        <v>0</v>
      </c>
      <c r="Z55">
        <v>0</v>
      </c>
      <c r="AA55">
        <v>53</v>
      </c>
      <c r="AB55">
        <v>0</v>
      </c>
      <c r="AC55">
        <v>0</v>
      </c>
      <c r="AD55">
        <v>0</v>
      </c>
      <c r="AE55">
        <v>50</v>
      </c>
      <c r="AF55">
        <v>3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 t="s">
        <v>47</v>
      </c>
      <c r="AR55">
        <v>53</v>
      </c>
      <c r="AS55">
        <v>0</v>
      </c>
      <c r="AT55">
        <v>0</v>
      </c>
      <c r="AU55">
        <v>0</v>
      </c>
      <c r="AV55">
        <v>53</v>
      </c>
      <c r="AW55">
        <v>0</v>
      </c>
      <c r="AX55">
        <v>0</v>
      </c>
      <c r="AY55">
        <v>0</v>
      </c>
      <c r="AZ55">
        <v>53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53</v>
      </c>
      <c r="BI55">
        <v>0</v>
      </c>
      <c r="BJ55">
        <v>0</v>
      </c>
      <c r="BK55">
        <v>0</v>
      </c>
    </row>
    <row r="56" spans="1:63">
      <c r="A56" t="s">
        <v>57</v>
      </c>
      <c r="B56">
        <v>8</v>
      </c>
      <c r="C56">
        <v>2</v>
      </c>
      <c r="D56">
        <v>0</v>
      </c>
      <c r="E56">
        <v>0</v>
      </c>
      <c r="F56">
        <v>8</v>
      </c>
      <c r="G56">
        <v>2</v>
      </c>
      <c r="H56">
        <v>0</v>
      </c>
      <c r="I56">
        <v>0</v>
      </c>
      <c r="J56">
        <v>10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 t="s">
        <v>57</v>
      </c>
      <c r="W56">
        <v>8</v>
      </c>
      <c r="X56">
        <v>2</v>
      </c>
      <c r="Y56">
        <v>0</v>
      </c>
      <c r="Z56">
        <v>0</v>
      </c>
      <c r="AA56">
        <v>8</v>
      </c>
      <c r="AB56">
        <v>2</v>
      </c>
      <c r="AC56">
        <v>0</v>
      </c>
      <c r="AD56">
        <v>0</v>
      </c>
      <c r="AE56">
        <v>10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 t="s">
        <v>57</v>
      </c>
      <c r="AR56">
        <v>8</v>
      </c>
      <c r="AS56">
        <v>2</v>
      </c>
      <c r="AT56">
        <v>0</v>
      </c>
      <c r="AU56">
        <v>0</v>
      </c>
      <c r="AV56">
        <v>8</v>
      </c>
      <c r="AW56">
        <v>2</v>
      </c>
      <c r="AX56">
        <v>0</v>
      </c>
      <c r="AY56">
        <v>0</v>
      </c>
      <c r="AZ56">
        <v>10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10</v>
      </c>
      <c r="BI56">
        <v>0</v>
      </c>
      <c r="BJ56">
        <v>0</v>
      </c>
      <c r="BK56">
        <v>0</v>
      </c>
    </row>
    <row r="57" spans="1:63">
      <c r="A57" t="s">
        <v>95</v>
      </c>
      <c r="B57">
        <v>11</v>
      </c>
      <c r="C57">
        <v>1</v>
      </c>
      <c r="D57">
        <v>0</v>
      </c>
      <c r="E57">
        <v>0</v>
      </c>
      <c r="F57">
        <v>11</v>
      </c>
      <c r="G57">
        <v>1</v>
      </c>
      <c r="H57">
        <v>0</v>
      </c>
      <c r="I57">
        <v>0</v>
      </c>
      <c r="J57">
        <v>12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 t="s">
        <v>95</v>
      </c>
      <c r="W57">
        <v>11</v>
      </c>
      <c r="X57">
        <v>1</v>
      </c>
      <c r="Y57">
        <v>0</v>
      </c>
      <c r="Z57">
        <v>0</v>
      </c>
      <c r="AA57">
        <v>11</v>
      </c>
      <c r="AB57">
        <v>1</v>
      </c>
      <c r="AC57">
        <v>0</v>
      </c>
      <c r="AD57">
        <v>0</v>
      </c>
      <c r="AE57">
        <v>12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 t="s">
        <v>95</v>
      </c>
      <c r="AR57">
        <v>11</v>
      </c>
      <c r="AS57">
        <v>1</v>
      </c>
      <c r="AT57">
        <v>0</v>
      </c>
      <c r="AU57">
        <v>0</v>
      </c>
      <c r="AV57">
        <v>11</v>
      </c>
      <c r="AW57">
        <v>1</v>
      </c>
      <c r="AX57">
        <v>0</v>
      </c>
      <c r="AY57">
        <v>0</v>
      </c>
      <c r="AZ57">
        <v>12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12</v>
      </c>
      <c r="BI57">
        <v>0</v>
      </c>
      <c r="BJ57">
        <v>0</v>
      </c>
      <c r="BK57">
        <v>0</v>
      </c>
    </row>
    <row r="58" spans="1:63">
      <c r="A58" t="s">
        <v>41</v>
      </c>
      <c r="B58">
        <v>9</v>
      </c>
      <c r="C58">
        <v>0</v>
      </c>
      <c r="D58">
        <v>0</v>
      </c>
      <c r="E58">
        <v>0</v>
      </c>
      <c r="F58">
        <v>9</v>
      </c>
      <c r="G58">
        <v>0</v>
      </c>
      <c r="H58">
        <v>0</v>
      </c>
      <c r="I58">
        <v>0</v>
      </c>
      <c r="J58">
        <v>9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 t="s">
        <v>41</v>
      </c>
      <c r="W58">
        <v>9</v>
      </c>
      <c r="X58">
        <v>0</v>
      </c>
      <c r="Y58">
        <v>0</v>
      </c>
      <c r="Z58">
        <v>0</v>
      </c>
      <c r="AA58">
        <v>9</v>
      </c>
      <c r="AB58">
        <v>0</v>
      </c>
      <c r="AC58">
        <v>0</v>
      </c>
      <c r="AD58">
        <v>0</v>
      </c>
      <c r="AE58">
        <v>9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 t="s">
        <v>41</v>
      </c>
      <c r="AR58">
        <v>9</v>
      </c>
      <c r="AS58">
        <v>0</v>
      </c>
      <c r="AT58">
        <v>0</v>
      </c>
      <c r="AU58">
        <v>0</v>
      </c>
      <c r="AV58">
        <v>9</v>
      </c>
      <c r="AW58">
        <v>0</v>
      </c>
      <c r="AX58">
        <v>0</v>
      </c>
      <c r="AY58">
        <v>0</v>
      </c>
      <c r="AZ58">
        <v>9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9</v>
      </c>
      <c r="BI58">
        <v>0</v>
      </c>
      <c r="BJ58">
        <v>0</v>
      </c>
      <c r="BK58">
        <v>0</v>
      </c>
    </row>
    <row r="59" spans="1:63">
      <c r="A59" t="s">
        <v>81</v>
      </c>
      <c r="B59">
        <v>106</v>
      </c>
      <c r="C59">
        <v>6</v>
      </c>
      <c r="D59">
        <v>0</v>
      </c>
      <c r="E59">
        <v>0</v>
      </c>
      <c r="F59">
        <v>106</v>
      </c>
      <c r="G59">
        <v>6</v>
      </c>
      <c r="H59">
        <v>0</v>
      </c>
      <c r="I59">
        <v>0</v>
      </c>
      <c r="J59">
        <v>111</v>
      </c>
      <c r="K59">
        <v>1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 t="s">
        <v>81</v>
      </c>
      <c r="W59">
        <v>106</v>
      </c>
      <c r="X59">
        <v>6</v>
      </c>
      <c r="Y59">
        <v>0</v>
      </c>
      <c r="Z59">
        <v>0</v>
      </c>
      <c r="AA59">
        <v>106</v>
      </c>
      <c r="AB59">
        <v>6</v>
      </c>
      <c r="AC59">
        <v>0</v>
      </c>
      <c r="AD59">
        <v>0</v>
      </c>
      <c r="AE59">
        <v>111</v>
      </c>
      <c r="AF59">
        <v>1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 t="s">
        <v>81</v>
      </c>
      <c r="AR59">
        <v>106</v>
      </c>
      <c r="AS59">
        <v>6</v>
      </c>
      <c r="AT59">
        <v>0</v>
      </c>
      <c r="AU59">
        <v>0</v>
      </c>
      <c r="AV59">
        <v>106</v>
      </c>
      <c r="AW59">
        <v>6</v>
      </c>
      <c r="AX59">
        <v>0</v>
      </c>
      <c r="AY59">
        <v>0</v>
      </c>
      <c r="AZ59">
        <v>112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112</v>
      </c>
      <c r="BI59">
        <v>0</v>
      </c>
      <c r="BJ59">
        <v>0</v>
      </c>
      <c r="BK59">
        <v>0</v>
      </c>
    </row>
    <row r="60" spans="1:63">
      <c r="A60" t="s">
        <v>45</v>
      </c>
      <c r="B60">
        <v>926</v>
      </c>
      <c r="C60">
        <v>32</v>
      </c>
      <c r="D60">
        <v>0</v>
      </c>
      <c r="E60">
        <v>0</v>
      </c>
      <c r="F60">
        <v>926</v>
      </c>
      <c r="G60">
        <v>32</v>
      </c>
      <c r="H60">
        <v>0</v>
      </c>
      <c r="I60">
        <v>0</v>
      </c>
      <c r="J60">
        <v>950</v>
      </c>
      <c r="K60">
        <v>8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 t="s">
        <v>45</v>
      </c>
      <c r="W60">
        <v>926</v>
      </c>
      <c r="X60">
        <v>32</v>
      </c>
      <c r="Y60">
        <v>0</v>
      </c>
      <c r="Z60">
        <v>0</v>
      </c>
      <c r="AA60">
        <v>926</v>
      </c>
      <c r="AB60">
        <v>32</v>
      </c>
      <c r="AC60">
        <v>0</v>
      </c>
      <c r="AD60">
        <v>0</v>
      </c>
      <c r="AE60">
        <v>950</v>
      </c>
      <c r="AF60">
        <v>8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 t="s">
        <v>45</v>
      </c>
      <c r="AR60">
        <v>926</v>
      </c>
      <c r="AS60">
        <v>32</v>
      </c>
      <c r="AT60">
        <v>0</v>
      </c>
      <c r="AU60">
        <v>0</v>
      </c>
      <c r="AV60">
        <v>926</v>
      </c>
      <c r="AW60">
        <v>32</v>
      </c>
      <c r="AX60">
        <v>0</v>
      </c>
      <c r="AY60">
        <v>0</v>
      </c>
      <c r="AZ60">
        <v>958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958</v>
      </c>
      <c r="BI60">
        <v>0</v>
      </c>
      <c r="BJ60">
        <v>0</v>
      </c>
      <c r="BK60">
        <v>0</v>
      </c>
    </row>
    <row r="61" spans="1:63">
      <c r="A61" t="s">
        <v>54</v>
      </c>
      <c r="B61">
        <v>472</v>
      </c>
      <c r="C61">
        <v>4</v>
      </c>
      <c r="D61">
        <v>0</v>
      </c>
      <c r="E61">
        <v>0</v>
      </c>
      <c r="F61">
        <v>472</v>
      </c>
      <c r="G61">
        <v>4</v>
      </c>
      <c r="H61">
        <v>0</v>
      </c>
      <c r="I61">
        <v>0</v>
      </c>
      <c r="J61">
        <v>476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 t="s">
        <v>54</v>
      </c>
      <c r="W61">
        <v>472</v>
      </c>
      <c r="X61">
        <v>4</v>
      </c>
      <c r="Y61">
        <v>0</v>
      </c>
      <c r="Z61">
        <v>0</v>
      </c>
      <c r="AA61">
        <v>472</v>
      </c>
      <c r="AB61">
        <v>4</v>
      </c>
      <c r="AC61">
        <v>0</v>
      </c>
      <c r="AD61">
        <v>0</v>
      </c>
      <c r="AE61">
        <v>476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 t="s">
        <v>54</v>
      </c>
      <c r="AR61">
        <v>472</v>
      </c>
      <c r="AS61">
        <v>4</v>
      </c>
      <c r="AT61">
        <v>0</v>
      </c>
      <c r="AU61">
        <v>0</v>
      </c>
      <c r="AV61">
        <v>472</v>
      </c>
      <c r="AW61">
        <v>4</v>
      </c>
      <c r="AX61">
        <v>0</v>
      </c>
      <c r="AY61">
        <v>0</v>
      </c>
      <c r="AZ61">
        <v>476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476</v>
      </c>
      <c r="BI61">
        <v>0</v>
      </c>
      <c r="BJ61">
        <v>0</v>
      </c>
      <c r="BK61">
        <v>0</v>
      </c>
    </row>
    <row r="62" spans="1:63">
      <c r="A62" t="s">
        <v>79</v>
      </c>
      <c r="B62">
        <v>580</v>
      </c>
      <c r="C62">
        <v>27</v>
      </c>
      <c r="D62">
        <v>0</v>
      </c>
      <c r="E62">
        <v>0</v>
      </c>
      <c r="F62">
        <v>580</v>
      </c>
      <c r="G62">
        <v>27</v>
      </c>
      <c r="H62">
        <v>0</v>
      </c>
      <c r="I62">
        <v>0</v>
      </c>
      <c r="J62">
        <v>603</v>
      </c>
      <c r="K62">
        <v>4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 t="s">
        <v>79</v>
      </c>
      <c r="W62">
        <v>580</v>
      </c>
      <c r="X62">
        <v>27</v>
      </c>
      <c r="Y62">
        <v>0</v>
      </c>
      <c r="Z62">
        <v>0</v>
      </c>
      <c r="AA62">
        <v>580</v>
      </c>
      <c r="AB62">
        <v>27</v>
      </c>
      <c r="AC62">
        <v>0</v>
      </c>
      <c r="AD62">
        <v>0</v>
      </c>
      <c r="AE62">
        <v>603</v>
      </c>
      <c r="AF62">
        <v>4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 t="s">
        <v>79</v>
      </c>
      <c r="AR62">
        <v>580</v>
      </c>
      <c r="AS62">
        <v>27</v>
      </c>
      <c r="AT62">
        <v>0</v>
      </c>
      <c r="AU62">
        <v>0</v>
      </c>
      <c r="AV62">
        <v>580</v>
      </c>
      <c r="AW62">
        <v>27</v>
      </c>
      <c r="AX62">
        <v>0</v>
      </c>
      <c r="AY62">
        <v>0</v>
      </c>
      <c r="AZ62">
        <v>607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607</v>
      </c>
      <c r="BI62">
        <v>0</v>
      </c>
      <c r="BJ62">
        <v>0</v>
      </c>
      <c r="BK62">
        <v>0</v>
      </c>
    </row>
    <row r="63" spans="1:63">
      <c r="A63" t="s">
        <v>9</v>
      </c>
      <c r="B63">
        <v>732</v>
      </c>
      <c r="C63">
        <v>5</v>
      </c>
      <c r="D63">
        <v>0</v>
      </c>
      <c r="E63">
        <v>0</v>
      </c>
      <c r="F63">
        <v>732</v>
      </c>
      <c r="G63">
        <v>5</v>
      </c>
      <c r="H63">
        <v>0</v>
      </c>
      <c r="I63">
        <v>0</v>
      </c>
      <c r="J63">
        <v>735</v>
      </c>
      <c r="K63">
        <v>2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 t="s">
        <v>9</v>
      </c>
      <c r="W63">
        <v>732</v>
      </c>
      <c r="X63">
        <v>5</v>
      </c>
      <c r="Y63">
        <v>0</v>
      </c>
      <c r="Z63">
        <v>0</v>
      </c>
      <c r="AA63">
        <v>732</v>
      </c>
      <c r="AB63">
        <v>5</v>
      </c>
      <c r="AC63">
        <v>0</v>
      </c>
      <c r="AD63">
        <v>0</v>
      </c>
      <c r="AE63">
        <v>735</v>
      </c>
      <c r="AF63">
        <v>2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 t="s">
        <v>9</v>
      </c>
      <c r="AR63">
        <v>732</v>
      </c>
      <c r="AS63">
        <v>5</v>
      </c>
      <c r="AT63">
        <v>0</v>
      </c>
      <c r="AU63">
        <v>0</v>
      </c>
      <c r="AV63">
        <v>732</v>
      </c>
      <c r="AW63">
        <v>5</v>
      </c>
      <c r="AX63">
        <v>0</v>
      </c>
      <c r="AY63">
        <v>0</v>
      </c>
      <c r="AZ63">
        <v>737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737</v>
      </c>
      <c r="BI63">
        <v>0</v>
      </c>
      <c r="BJ63">
        <v>0</v>
      </c>
      <c r="BK63">
        <v>0</v>
      </c>
    </row>
    <row r="64" spans="1:63">
      <c r="A64" t="s">
        <v>7</v>
      </c>
      <c r="B64">
        <v>56</v>
      </c>
      <c r="C64">
        <v>1</v>
      </c>
      <c r="D64">
        <v>0</v>
      </c>
      <c r="E64">
        <v>0</v>
      </c>
      <c r="F64">
        <v>56</v>
      </c>
      <c r="G64">
        <v>1</v>
      </c>
      <c r="H64">
        <v>0</v>
      </c>
      <c r="I64">
        <v>0</v>
      </c>
      <c r="J64">
        <v>57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 t="s">
        <v>7</v>
      </c>
      <c r="W64">
        <v>56</v>
      </c>
      <c r="X64">
        <v>1</v>
      </c>
      <c r="Y64">
        <v>0</v>
      </c>
      <c r="Z64">
        <v>0</v>
      </c>
      <c r="AA64">
        <v>56</v>
      </c>
      <c r="AB64">
        <v>1</v>
      </c>
      <c r="AC64">
        <v>0</v>
      </c>
      <c r="AD64">
        <v>0</v>
      </c>
      <c r="AE64">
        <v>57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 t="s">
        <v>7</v>
      </c>
      <c r="AR64">
        <v>56</v>
      </c>
      <c r="AS64">
        <v>1</v>
      </c>
      <c r="AT64">
        <v>0</v>
      </c>
      <c r="AU64">
        <v>0</v>
      </c>
      <c r="AV64">
        <v>56</v>
      </c>
      <c r="AW64">
        <v>1</v>
      </c>
      <c r="AX64">
        <v>0</v>
      </c>
      <c r="AY64">
        <v>0</v>
      </c>
      <c r="AZ64">
        <v>57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57</v>
      </c>
      <c r="BI64">
        <v>0</v>
      </c>
      <c r="BJ64">
        <v>0</v>
      </c>
      <c r="BK64">
        <v>0</v>
      </c>
    </row>
    <row r="65" spans="1:63">
      <c r="A65" t="s">
        <v>46</v>
      </c>
      <c r="B65">
        <v>26</v>
      </c>
      <c r="C65">
        <v>1</v>
      </c>
      <c r="D65">
        <v>0</v>
      </c>
      <c r="E65">
        <v>0</v>
      </c>
      <c r="F65">
        <v>26</v>
      </c>
      <c r="G65">
        <v>1</v>
      </c>
      <c r="H65">
        <v>0</v>
      </c>
      <c r="I65">
        <v>0</v>
      </c>
      <c r="J65">
        <v>27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 t="s">
        <v>46</v>
      </c>
      <c r="W65">
        <v>26</v>
      </c>
      <c r="X65">
        <v>1</v>
      </c>
      <c r="Y65">
        <v>0</v>
      </c>
      <c r="Z65">
        <v>0</v>
      </c>
      <c r="AA65">
        <v>26</v>
      </c>
      <c r="AB65">
        <v>1</v>
      </c>
      <c r="AC65">
        <v>0</v>
      </c>
      <c r="AD65">
        <v>0</v>
      </c>
      <c r="AE65">
        <v>27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 t="s">
        <v>46</v>
      </c>
      <c r="AR65">
        <v>26</v>
      </c>
      <c r="AS65">
        <v>1</v>
      </c>
      <c r="AT65">
        <v>0</v>
      </c>
      <c r="AU65">
        <v>0</v>
      </c>
      <c r="AV65">
        <v>26</v>
      </c>
      <c r="AW65">
        <v>1</v>
      </c>
      <c r="AX65">
        <v>0</v>
      </c>
      <c r="AY65">
        <v>0</v>
      </c>
      <c r="AZ65">
        <v>27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27</v>
      </c>
      <c r="BI65">
        <v>0</v>
      </c>
      <c r="BJ65">
        <v>0</v>
      </c>
      <c r="BK65">
        <v>0</v>
      </c>
    </row>
    <row r="66" spans="1:63">
      <c r="A66" t="s">
        <v>99</v>
      </c>
      <c r="B66">
        <v>171</v>
      </c>
      <c r="C66">
        <v>4</v>
      </c>
      <c r="D66">
        <v>0</v>
      </c>
      <c r="E66">
        <v>0</v>
      </c>
      <c r="F66">
        <v>171</v>
      </c>
      <c r="G66">
        <v>4</v>
      </c>
      <c r="H66">
        <v>0</v>
      </c>
      <c r="I66">
        <v>0</v>
      </c>
      <c r="J66">
        <v>175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 t="s">
        <v>99</v>
      </c>
      <c r="W66">
        <v>171</v>
      </c>
      <c r="X66">
        <v>4</v>
      </c>
      <c r="Y66">
        <v>0</v>
      </c>
      <c r="Z66">
        <v>0</v>
      </c>
      <c r="AA66">
        <v>171</v>
      </c>
      <c r="AB66">
        <v>4</v>
      </c>
      <c r="AC66">
        <v>0</v>
      </c>
      <c r="AD66">
        <v>0</v>
      </c>
      <c r="AE66">
        <v>175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 t="s">
        <v>99</v>
      </c>
      <c r="AR66">
        <v>171</v>
      </c>
      <c r="AS66">
        <v>4</v>
      </c>
      <c r="AT66">
        <v>0</v>
      </c>
      <c r="AU66">
        <v>0</v>
      </c>
      <c r="AV66">
        <v>171</v>
      </c>
      <c r="AW66">
        <v>4</v>
      </c>
      <c r="AX66">
        <v>0</v>
      </c>
      <c r="AY66">
        <v>0</v>
      </c>
      <c r="AZ66">
        <v>175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175</v>
      </c>
      <c r="BI66">
        <v>0</v>
      </c>
      <c r="BJ66">
        <v>0</v>
      </c>
      <c r="BK66">
        <v>0</v>
      </c>
    </row>
    <row r="67" spans="1:63">
      <c r="A67" t="s">
        <v>96</v>
      </c>
      <c r="B67">
        <v>268</v>
      </c>
      <c r="C67">
        <v>4</v>
      </c>
      <c r="D67">
        <v>0</v>
      </c>
      <c r="E67">
        <v>0</v>
      </c>
      <c r="F67">
        <v>268</v>
      </c>
      <c r="G67">
        <v>4</v>
      </c>
      <c r="H67">
        <v>0</v>
      </c>
      <c r="I67">
        <v>0</v>
      </c>
      <c r="J67">
        <v>271</v>
      </c>
      <c r="K67">
        <v>1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 t="s">
        <v>96</v>
      </c>
      <c r="W67">
        <v>268</v>
      </c>
      <c r="X67">
        <v>4</v>
      </c>
      <c r="Y67">
        <v>0</v>
      </c>
      <c r="Z67">
        <v>0</v>
      </c>
      <c r="AA67">
        <v>268</v>
      </c>
      <c r="AB67">
        <v>4</v>
      </c>
      <c r="AC67">
        <v>0</v>
      </c>
      <c r="AD67">
        <v>0</v>
      </c>
      <c r="AE67">
        <v>271</v>
      </c>
      <c r="AF67">
        <v>1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 t="s">
        <v>96</v>
      </c>
      <c r="AR67">
        <v>268</v>
      </c>
      <c r="AS67">
        <v>4</v>
      </c>
      <c r="AT67">
        <v>0</v>
      </c>
      <c r="AU67">
        <v>0</v>
      </c>
      <c r="AV67">
        <v>268</v>
      </c>
      <c r="AW67">
        <v>4</v>
      </c>
      <c r="AX67">
        <v>0</v>
      </c>
      <c r="AY67">
        <v>0</v>
      </c>
      <c r="AZ67">
        <v>272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272</v>
      </c>
      <c r="BI67">
        <v>0</v>
      </c>
      <c r="BJ67">
        <v>0</v>
      </c>
      <c r="BK67">
        <v>0</v>
      </c>
    </row>
    <row r="68" spans="1:63">
      <c r="A68" t="s">
        <v>13</v>
      </c>
      <c r="B68">
        <v>22</v>
      </c>
      <c r="C68">
        <v>0</v>
      </c>
      <c r="D68">
        <v>0</v>
      </c>
      <c r="E68">
        <v>0</v>
      </c>
      <c r="F68">
        <v>22</v>
      </c>
      <c r="G68">
        <v>0</v>
      </c>
      <c r="H68">
        <v>0</v>
      </c>
      <c r="I68">
        <v>0</v>
      </c>
      <c r="J68">
        <v>22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 t="s">
        <v>13</v>
      </c>
      <c r="W68">
        <v>22</v>
      </c>
      <c r="X68">
        <v>0</v>
      </c>
      <c r="Y68">
        <v>0</v>
      </c>
      <c r="Z68">
        <v>0</v>
      </c>
      <c r="AA68">
        <v>22</v>
      </c>
      <c r="AB68">
        <v>0</v>
      </c>
      <c r="AC68">
        <v>0</v>
      </c>
      <c r="AD68">
        <v>0</v>
      </c>
      <c r="AE68">
        <v>22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 t="s">
        <v>13</v>
      </c>
      <c r="AR68">
        <v>22</v>
      </c>
      <c r="AS68">
        <v>0</v>
      </c>
      <c r="AT68">
        <v>0</v>
      </c>
      <c r="AU68">
        <v>0</v>
      </c>
      <c r="AV68">
        <v>22</v>
      </c>
      <c r="AW68">
        <v>0</v>
      </c>
      <c r="AX68">
        <v>0</v>
      </c>
      <c r="AY68">
        <v>0</v>
      </c>
      <c r="AZ68">
        <v>22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22</v>
      </c>
      <c r="BI68">
        <v>0</v>
      </c>
      <c r="BJ68">
        <v>0</v>
      </c>
      <c r="BK68">
        <v>0</v>
      </c>
    </row>
    <row r="69" spans="1:63">
      <c r="A69" t="s">
        <v>93</v>
      </c>
      <c r="B69">
        <v>21</v>
      </c>
      <c r="C69">
        <v>0</v>
      </c>
      <c r="D69">
        <v>0</v>
      </c>
      <c r="E69">
        <v>0</v>
      </c>
      <c r="F69">
        <v>21</v>
      </c>
      <c r="G69">
        <v>0</v>
      </c>
      <c r="H69">
        <v>0</v>
      </c>
      <c r="I69">
        <v>0</v>
      </c>
      <c r="J69">
        <v>21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 t="s">
        <v>93</v>
      </c>
      <c r="W69">
        <v>21</v>
      </c>
      <c r="X69">
        <v>0</v>
      </c>
      <c r="Y69">
        <v>0</v>
      </c>
      <c r="Z69">
        <v>0</v>
      </c>
      <c r="AA69">
        <v>21</v>
      </c>
      <c r="AB69">
        <v>0</v>
      </c>
      <c r="AC69">
        <v>0</v>
      </c>
      <c r="AD69">
        <v>0</v>
      </c>
      <c r="AE69">
        <v>21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 t="s">
        <v>93</v>
      </c>
      <c r="AR69">
        <v>21</v>
      </c>
      <c r="AS69">
        <v>0</v>
      </c>
      <c r="AT69">
        <v>0</v>
      </c>
      <c r="AU69">
        <v>0</v>
      </c>
      <c r="AV69">
        <v>21</v>
      </c>
      <c r="AW69">
        <v>0</v>
      </c>
      <c r="AX69">
        <v>0</v>
      </c>
      <c r="AY69">
        <v>0</v>
      </c>
      <c r="AZ69">
        <v>21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21</v>
      </c>
      <c r="BI69">
        <v>0</v>
      </c>
      <c r="BJ69">
        <v>0</v>
      </c>
      <c r="BK69">
        <v>0</v>
      </c>
    </row>
    <row r="70" spans="1:63">
      <c r="A70" t="s">
        <v>48</v>
      </c>
      <c r="B70">
        <v>117</v>
      </c>
      <c r="C70">
        <v>3</v>
      </c>
      <c r="D70">
        <v>0</v>
      </c>
      <c r="E70">
        <v>0</v>
      </c>
      <c r="F70">
        <v>117</v>
      </c>
      <c r="G70">
        <v>3</v>
      </c>
      <c r="H70">
        <v>0</v>
      </c>
      <c r="I70">
        <v>0</v>
      </c>
      <c r="J70">
        <v>118</v>
      </c>
      <c r="K70">
        <v>2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 t="s">
        <v>48</v>
      </c>
      <c r="W70">
        <v>117</v>
      </c>
      <c r="X70">
        <v>3</v>
      </c>
      <c r="Y70">
        <v>0</v>
      </c>
      <c r="Z70">
        <v>0</v>
      </c>
      <c r="AA70">
        <v>117</v>
      </c>
      <c r="AB70">
        <v>3</v>
      </c>
      <c r="AC70">
        <v>0</v>
      </c>
      <c r="AD70">
        <v>0</v>
      </c>
      <c r="AE70">
        <v>118</v>
      </c>
      <c r="AF70">
        <v>2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 t="s">
        <v>48</v>
      </c>
      <c r="AR70">
        <v>117</v>
      </c>
      <c r="AS70">
        <v>3</v>
      </c>
      <c r="AT70">
        <v>0</v>
      </c>
      <c r="AU70">
        <v>0</v>
      </c>
      <c r="AV70">
        <v>117</v>
      </c>
      <c r="AW70">
        <v>3</v>
      </c>
      <c r="AX70">
        <v>0</v>
      </c>
      <c r="AY70">
        <v>0</v>
      </c>
      <c r="AZ70">
        <v>120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120</v>
      </c>
      <c r="BI70">
        <v>0</v>
      </c>
      <c r="BJ70">
        <v>0</v>
      </c>
      <c r="BK70">
        <v>0</v>
      </c>
    </row>
    <row r="71" spans="1:63">
      <c r="A71" t="s">
        <v>103</v>
      </c>
      <c r="B71">
        <v>158</v>
      </c>
      <c r="C71">
        <v>4</v>
      </c>
      <c r="D71">
        <v>0</v>
      </c>
      <c r="E71">
        <v>0</v>
      </c>
      <c r="F71">
        <v>158</v>
      </c>
      <c r="G71">
        <v>4</v>
      </c>
      <c r="H71">
        <v>0</v>
      </c>
      <c r="I71">
        <v>0</v>
      </c>
      <c r="J71">
        <v>161</v>
      </c>
      <c r="K71">
        <v>1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 t="s">
        <v>103</v>
      </c>
      <c r="W71">
        <v>158</v>
      </c>
      <c r="X71">
        <v>4</v>
      </c>
      <c r="Y71">
        <v>0</v>
      </c>
      <c r="Z71">
        <v>0</v>
      </c>
      <c r="AA71">
        <v>158</v>
      </c>
      <c r="AB71">
        <v>4</v>
      </c>
      <c r="AC71">
        <v>0</v>
      </c>
      <c r="AD71">
        <v>0</v>
      </c>
      <c r="AE71">
        <v>161</v>
      </c>
      <c r="AF71">
        <v>1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 t="s">
        <v>103</v>
      </c>
      <c r="AR71">
        <v>158</v>
      </c>
      <c r="AS71">
        <v>4</v>
      </c>
      <c r="AT71">
        <v>0</v>
      </c>
      <c r="AU71">
        <v>0</v>
      </c>
      <c r="AV71">
        <v>158</v>
      </c>
      <c r="AW71">
        <v>4</v>
      </c>
      <c r="AX71">
        <v>0</v>
      </c>
      <c r="AY71">
        <v>0</v>
      </c>
      <c r="AZ71">
        <v>162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162</v>
      </c>
      <c r="BI71">
        <v>0</v>
      </c>
      <c r="BJ71">
        <v>0</v>
      </c>
      <c r="BK71">
        <v>0</v>
      </c>
    </row>
    <row r="72" spans="1:63">
      <c r="A72" t="s">
        <v>31</v>
      </c>
      <c r="B72">
        <v>254</v>
      </c>
      <c r="C72">
        <v>4</v>
      </c>
      <c r="D72">
        <v>0</v>
      </c>
      <c r="E72">
        <v>0</v>
      </c>
      <c r="F72">
        <v>254</v>
      </c>
      <c r="G72">
        <v>4</v>
      </c>
      <c r="H72">
        <v>0</v>
      </c>
      <c r="I72">
        <v>0</v>
      </c>
      <c r="J72">
        <v>256</v>
      </c>
      <c r="K72">
        <v>2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 t="s">
        <v>31</v>
      </c>
      <c r="W72">
        <v>254</v>
      </c>
      <c r="X72">
        <v>4</v>
      </c>
      <c r="Y72">
        <v>0</v>
      </c>
      <c r="Z72">
        <v>0</v>
      </c>
      <c r="AA72">
        <v>254</v>
      </c>
      <c r="AB72">
        <v>4</v>
      </c>
      <c r="AC72">
        <v>0</v>
      </c>
      <c r="AD72">
        <v>0</v>
      </c>
      <c r="AE72">
        <v>256</v>
      </c>
      <c r="AF72">
        <v>2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 t="s">
        <v>31</v>
      </c>
      <c r="AR72">
        <v>254</v>
      </c>
      <c r="AS72">
        <v>4</v>
      </c>
      <c r="AT72">
        <v>0</v>
      </c>
      <c r="AU72">
        <v>0</v>
      </c>
      <c r="AV72">
        <v>254</v>
      </c>
      <c r="AW72">
        <v>4</v>
      </c>
      <c r="AX72">
        <v>0</v>
      </c>
      <c r="AY72">
        <v>0</v>
      </c>
      <c r="AZ72">
        <v>258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258</v>
      </c>
      <c r="BI72">
        <v>0</v>
      </c>
      <c r="BJ72">
        <v>0</v>
      </c>
      <c r="BK72">
        <v>0</v>
      </c>
    </row>
    <row r="73" spans="1:63">
      <c r="A73" t="s">
        <v>33</v>
      </c>
      <c r="B73">
        <v>296</v>
      </c>
      <c r="C73">
        <v>18</v>
      </c>
      <c r="D73">
        <v>0</v>
      </c>
      <c r="E73">
        <v>0</v>
      </c>
      <c r="F73">
        <v>296</v>
      </c>
      <c r="G73">
        <v>18</v>
      </c>
      <c r="H73">
        <v>0</v>
      </c>
      <c r="I73">
        <v>0</v>
      </c>
      <c r="J73">
        <v>311</v>
      </c>
      <c r="K73">
        <v>3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 t="s">
        <v>33</v>
      </c>
      <c r="W73">
        <v>296</v>
      </c>
      <c r="X73">
        <v>18</v>
      </c>
      <c r="Y73">
        <v>0</v>
      </c>
      <c r="Z73">
        <v>0</v>
      </c>
      <c r="AA73">
        <v>296</v>
      </c>
      <c r="AB73">
        <v>18</v>
      </c>
      <c r="AC73">
        <v>0</v>
      </c>
      <c r="AD73">
        <v>0</v>
      </c>
      <c r="AE73">
        <v>311</v>
      </c>
      <c r="AF73">
        <v>3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 t="s">
        <v>33</v>
      </c>
      <c r="AR73">
        <v>296</v>
      </c>
      <c r="AS73">
        <v>18</v>
      </c>
      <c r="AT73">
        <v>0</v>
      </c>
      <c r="AU73">
        <v>0</v>
      </c>
      <c r="AV73">
        <v>296</v>
      </c>
      <c r="AW73">
        <v>18</v>
      </c>
      <c r="AX73">
        <v>0</v>
      </c>
      <c r="AY73">
        <v>0</v>
      </c>
      <c r="AZ73">
        <v>314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314</v>
      </c>
      <c r="BI73">
        <v>0</v>
      </c>
      <c r="BJ73">
        <v>0</v>
      </c>
      <c r="BK73">
        <v>0</v>
      </c>
    </row>
    <row r="74" spans="1:63">
      <c r="A74" t="s">
        <v>75</v>
      </c>
      <c r="B74">
        <v>300</v>
      </c>
      <c r="C74">
        <v>12</v>
      </c>
      <c r="D74">
        <v>0</v>
      </c>
      <c r="E74">
        <v>0</v>
      </c>
      <c r="F74">
        <v>300</v>
      </c>
      <c r="G74">
        <v>12</v>
      </c>
      <c r="H74">
        <v>0</v>
      </c>
      <c r="I74">
        <v>0</v>
      </c>
      <c r="J74">
        <v>310</v>
      </c>
      <c r="K74">
        <v>2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 t="s">
        <v>75</v>
      </c>
      <c r="W74">
        <v>300</v>
      </c>
      <c r="X74">
        <v>12</v>
      </c>
      <c r="Y74">
        <v>0</v>
      </c>
      <c r="Z74">
        <v>0</v>
      </c>
      <c r="AA74">
        <v>300</v>
      </c>
      <c r="AB74">
        <v>12</v>
      </c>
      <c r="AC74">
        <v>0</v>
      </c>
      <c r="AD74">
        <v>0</v>
      </c>
      <c r="AE74">
        <v>310</v>
      </c>
      <c r="AF74">
        <v>2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 t="s">
        <v>75</v>
      </c>
      <c r="AR74">
        <v>300</v>
      </c>
      <c r="AS74">
        <v>12</v>
      </c>
      <c r="AT74">
        <v>0</v>
      </c>
      <c r="AU74">
        <v>0</v>
      </c>
      <c r="AV74">
        <v>300</v>
      </c>
      <c r="AW74">
        <v>12</v>
      </c>
      <c r="AX74">
        <v>0</v>
      </c>
      <c r="AY74">
        <v>0</v>
      </c>
      <c r="AZ74">
        <v>312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312</v>
      </c>
      <c r="BI74">
        <v>0</v>
      </c>
      <c r="BJ74">
        <v>0</v>
      </c>
      <c r="BK74">
        <v>0</v>
      </c>
    </row>
    <row r="75" spans="1:63">
      <c r="A75" t="s">
        <v>23</v>
      </c>
      <c r="B75">
        <v>89</v>
      </c>
      <c r="C75">
        <v>12</v>
      </c>
      <c r="D75">
        <v>0</v>
      </c>
      <c r="E75">
        <v>0</v>
      </c>
      <c r="F75">
        <v>89</v>
      </c>
      <c r="G75">
        <v>12</v>
      </c>
      <c r="H75">
        <v>0</v>
      </c>
      <c r="I75">
        <v>0</v>
      </c>
      <c r="J75">
        <v>238</v>
      </c>
      <c r="K75">
        <v>2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 t="s">
        <v>23</v>
      </c>
      <c r="W75">
        <v>89</v>
      </c>
      <c r="X75">
        <v>12</v>
      </c>
      <c r="Y75">
        <v>0</v>
      </c>
      <c r="Z75">
        <v>0</v>
      </c>
      <c r="AA75">
        <v>89</v>
      </c>
      <c r="AB75">
        <v>12</v>
      </c>
      <c r="AC75">
        <v>0</v>
      </c>
      <c r="AD75">
        <v>0</v>
      </c>
      <c r="AE75">
        <v>238</v>
      </c>
      <c r="AF75">
        <v>2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 t="s">
        <v>23</v>
      </c>
      <c r="AR75">
        <v>89</v>
      </c>
      <c r="AS75">
        <v>12</v>
      </c>
      <c r="AT75">
        <v>0</v>
      </c>
      <c r="AU75">
        <v>0</v>
      </c>
      <c r="AV75">
        <v>89</v>
      </c>
      <c r="AW75">
        <v>12</v>
      </c>
      <c r="AX75">
        <v>0</v>
      </c>
      <c r="AY75">
        <v>0</v>
      </c>
      <c r="AZ75">
        <v>240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101</v>
      </c>
      <c r="BI75">
        <v>0</v>
      </c>
      <c r="BJ75">
        <v>0</v>
      </c>
      <c r="BK75">
        <v>0</v>
      </c>
    </row>
    <row r="76" spans="1:63">
      <c r="A76" t="s">
        <v>102</v>
      </c>
      <c r="B76">
        <v>62</v>
      </c>
      <c r="C76">
        <v>8</v>
      </c>
      <c r="D76">
        <v>0</v>
      </c>
      <c r="E76">
        <v>0</v>
      </c>
      <c r="F76">
        <v>62</v>
      </c>
      <c r="G76">
        <v>8</v>
      </c>
      <c r="H76">
        <v>0</v>
      </c>
      <c r="I76">
        <v>0</v>
      </c>
      <c r="J76">
        <v>68</v>
      </c>
      <c r="K76">
        <v>2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 t="s">
        <v>102</v>
      </c>
      <c r="W76">
        <v>62</v>
      </c>
      <c r="X76">
        <v>8</v>
      </c>
      <c r="Y76">
        <v>0</v>
      </c>
      <c r="Z76">
        <v>0</v>
      </c>
      <c r="AA76">
        <v>61</v>
      </c>
      <c r="AB76">
        <v>9</v>
      </c>
      <c r="AC76">
        <v>0</v>
      </c>
      <c r="AD76">
        <v>0</v>
      </c>
      <c r="AE76">
        <v>68</v>
      </c>
      <c r="AF76">
        <v>2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 t="s">
        <v>102</v>
      </c>
      <c r="AR76">
        <v>62</v>
      </c>
      <c r="AS76">
        <v>8</v>
      </c>
      <c r="AT76">
        <v>0</v>
      </c>
      <c r="AU76">
        <v>0</v>
      </c>
      <c r="AV76">
        <v>61</v>
      </c>
      <c r="AW76">
        <v>9</v>
      </c>
      <c r="AX76">
        <v>0</v>
      </c>
      <c r="AY76">
        <v>0</v>
      </c>
      <c r="AZ76">
        <v>70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69</v>
      </c>
      <c r="BI76">
        <v>1</v>
      </c>
      <c r="BJ76">
        <v>0</v>
      </c>
      <c r="BK76">
        <v>0</v>
      </c>
    </row>
    <row r="77" spans="1:63">
      <c r="A77" t="s">
        <v>67</v>
      </c>
      <c r="B77">
        <v>147</v>
      </c>
      <c r="C77">
        <v>0</v>
      </c>
      <c r="D77">
        <v>0</v>
      </c>
      <c r="E77">
        <v>0</v>
      </c>
      <c r="F77">
        <v>147</v>
      </c>
      <c r="G77">
        <v>0</v>
      </c>
      <c r="H77">
        <v>0</v>
      </c>
      <c r="I77">
        <v>0</v>
      </c>
      <c r="J77">
        <v>147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 t="s">
        <v>67</v>
      </c>
      <c r="W77">
        <v>147</v>
      </c>
      <c r="X77">
        <v>0</v>
      </c>
      <c r="Y77">
        <v>0</v>
      </c>
      <c r="Z77">
        <v>0</v>
      </c>
      <c r="AA77">
        <v>147</v>
      </c>
      <c r="AB77">
        <v>0</v>
      </c>
      <c r="AC77">
        <v>0</v>
      </c>
      <c r="AD77">
        <v>0</v>
      </c>
      <c r="AE77">
        <v>147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 t="s">
        <v>67</v>
      </c>
      <c r="AR77">
        <v>147</v>
      </c>
      <c r="AS77">
        <v>0</v>
      </c>
      <c r="AT77">
        <v>0</v>
      </c>
      <c r="AU77">
        <v>0</v>
      </c>
      <c r="AV77">
        <v>147</v>
      </c>
      <c r="AW77">
        <v>0</v>
      </c>
      <c r="AX77">
        <v>0</v>
      </c>
      <c r="AY77">
        <v>0</v>
      </c>
      <c r="AZ77">
        <v>147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147</v>
      </c>
      <c r="BI77">
        <v>0</v>
      </c>
      <c r="BJ77">
        <v>0</v>
      </c>
      <c r="BK77">
        <v>0</v>
      </c>
    </row>
    <row r="78" spans="1:63">
      <c r="A78" t="s">
        <v>52</v>
      </c>
      <c r="B78">
        <v>94</v>
      </c>
      <c r="C78">
        <v>19</v>
      </c>
      <c r="D78">
        <v>0</v>
      </c>
      <c r="E78">
        <v>0</v>
      </c>
      <c r="F78">
        <v>94</v>
      </c>
      <c r="G78">
        <v>19</v>
      </c>
      <c r="H78">
        <v>0</v>
      </c>
      <c r="I78">
        <v>0</v>
      </c>
      <c r="J78">
        <v>113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 t="s">
        <v>52</v>
      </c>
      <c r="W78">
        <v>94</v>
      </c>
      <c r="X78">
        <v>19</v>
      </c>
      <c r="Y78">
        <v>0</v>
      </c>
      <c r="Z78">
        <v>0</v>
      </c>
      <c r="AA78">
        <v>94</v>
      </c>
      <c r="AB78">
        <v>19</v>
      </c>
      <c r="AC78">
        <v>0</v>
      </c>
      <c r="AD78">
        <v>0</v>
      </c>
      <c r="AE78">
        <v>113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 t="s">
        <v>52</v>
      </c>
      <c r="AR78">
        <v>94</v>
      </c>
      <c r="AS78">
        <v>19</v>
      </c>
      <c r="AT78">
        <v>0</v>
      </c>
      <c r="AU78">
        <v>0</v>
      </c>
      <c r="AV78">
        <v>94</v>
      </c>
      <c r="AW78">
        <v>19</v>
      </c>
      <c r="AX78">
        <v>0</v>
      </c>
      <c r="AY78">
        <v>0</v>
      </c>
      <c r="AZ78">
        <v>113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113</v>
      </c>
      <c r="BI78">
        <v>0</v>
      </c>
      <c r="BJ78">
        <v>0</v>
      </c>
      <c r="BK78">
        <v>0</v>
      </c>
    </row>
    <row r="79" spans="1:63">
      <c r="A79" t="s">
        <v>74</v>
      </c>
      <c r="B79">
        <v>13</v>
      </c>
      <c r="C79">
        <v>6</v>
      </c>
      <c r="D79">
        <v>0</v>
      </c>
      <c r="E79">
        <v>0</v>
      </c>
      <c r="F79">
        <v>13</v>
      </c>
      <c r="G79">
        <v>6</v>
      </c>
      <c r="H79">
        <v>0</v>
      </c>
      <c r="I79">
        <v>0</v>
      </c>
      <c r="J79">
        <v>19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 t="s">
        <v>74</v>
      </c>
      <c r="W79">
        <v>13</v>
      </c>
      <c r="X79">
        <v>6</v>
      </c>
      <c r="Y79">
        <v>0</v>
      </c>
      <c r="Z79">
        <v>0</v>
      </c>
      <c r="AA79">
        <v>13</v>
      </c>
      <c r="AB79">
        <v>6</v>
      </c>
      <c r="AC79">
        <v>0</v>
      </c>
      <c r="AD79">
        <v>0</v>
      </c>
      <c r="AE79">
        <v>19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 t="s">
        <v>74</v>
      </c>
      <c r="AR79">
        <v>13</v>
      </c>
      <c r="AS79">
        <v>6</v>
      </c>
      <c r="AT79">
        <v>0</v>
      </c>
      <c r="AU79">
        <v>0</v>
      </c>
      <c r="AV79">
        <v>13</v>
      </c>
      <c r="AW79">
        <v>6</v>
      </c>
      <c r="AX79">
        <v>0</v>
      </c>
      <c r="AY79">
        <v>0</v>
      </c>
      <c r="AZ79">
        <v>19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19</v>
      </c>
      <c r="BI79">
        <v>0</v>
      </c>
      <c r="BJ79">
        <v>0</v>
      </c>
      <c r="BK79">
        <v>0</v>
      </c>
    </row>
    <row r="80" spans="1:63">
      <c r="A80" t="s">
        <v>1</v>
      </c>
      <c r="B80">
        <v>8</v>
      </c>
      <c r="C80">
        <v>0</v>
      </c>
      <c r="D80">
        <v>0</v>
      </c>
      <c r="E80">
        <v>0</v>
      </c>
      <c r="F80">
        <v>8</v>
      </c>
      <c r="G80">
        <v>0</v>
      </c>
      <c r="H80">
        <v>0</v>
      </c>
      <c r="I80">
        <v>0</v>
      </c>
      <c r="J80">
        <v>10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 t="s">
        <v>1</v>
      </c>
      <c r="W80">
        <v>8</v>
      </c>
      <c r="X80">
        <v>0</v>
      </c>
      <c r="Y80">
        <v>0</v>
      </c>
      <c r="Z80">
        <v>0</v>
      </c>
      <c r="AA80">
        <v>8</v>
      </c>
      <c r="AB80">
        <v>0</v>
      </c>
      <c r="AC80">
        <v>0</v>
      </c>
      <c r="AD80">
        <v>0</v>
      </c>
      <c r="AE80">
        <v>10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 t="s">
        <v>1</v>
      </c>
      <c r="AR80">
        <v>8</v>
      </c>
      <c r="AS80">
        <v>0</v>
      </c>
      <c r="AT80">
        <v>0</v>
      </c>
      <c r="AU80">
        <v>0</v>
      </c>
      <c r="AV80">
        <v>8</v>
      </c>
      <c r="AW80">
        <v>0</v>
      </c>
      <c r="AX80">
        <v>0</v>
      </c>
      <c r="AY80">
        <v>0</v>
      </c>
      <c r="AZ80">
        <v>10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8</v>
      </c>
      <c r="BI80">
        <v>0</v>
      </c>
      <c r="BJ80">
        <v>0</v>
      </c>
      <c r="BK80">
        <v>0</v>
      </c>
    </row>
    <row r="81" spans="1:63">
      <c r="A81" t="s">
        <v>0</v>
      </c>
      <c r="B81">
        <v>64</v>
      </c>
      <c r="C81">
        <v>30</v>
      </c>
      <c r="D81">
        <v>0</v>
      </c>
      <c r="E81">
        <v>0</v>
      </c>
      <c r="F81">
        <v>64</v>
      </c>
      <c r="G81">
        <v>30</v>
      </c>
      <c r="H81">
        <v>0</v>
      </c>
      <c r="I81">
        <v>0</v>
      </c>
      <c r="J81">
        <v>94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 t="s">
        <v>0</v>
      </c>
      <c r="W81">
        <v>64</v>
      </c>
      <c r="X81">
        <v>30</v>
      </c>
      <c r="Y81">
        <v>0</v>
      </c>
      <c r="Z81">
        <v>0</v>
      </c>
      <c r="AA81">
        <v>64</v>
      </c>
      <c r="AB81">
        <v>30</v>
      </c>
      <c r="AC81">
        <v>0</v>
      </c>
      <c r="AD81">
        <v>0</v>
      </c>
      <c r="AE81">
        <v>94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 t="s">
        <v>0</v>
      </c>
      <c r="AR81">
        <v>64</v>
      </c>
      <c r="AS81">
        <v>30</v>
      </c>
      <c r="AT81">
        <v>0</v>
      </c>
      <c r="AU81">
        <v>0</v>
      </c>
      <c r="AV81">
        <v>64</v>
      </c>
      <c r="AW81">
        <v>30</v>
      </c>
      <c r="AX81">
        <v>0</v>
      </c>
      <c r="AY81">
        <v>0</v>
      </c>
      <c r="AZ81">
        <v>94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94</v>
      </c>
      <c r="BI81">
        <v>0</v>
      </c>
      <c r="BJ81">
        <v>0</v>
      </c>
      <c r="BK81">
        <v>0</v>
      </c>
    </row>
    <row r="82" spans="1:63">
      <c r="A82" t="s">
        <v>90</v>
      </c>
      <c r="B82">
        <v>5</v>
      </c>
      <c r="C82">
        <v>0</v>
      </c>
      <c r="D82">
        <v>0</v>
      </c>
      <c r="E82">
        <v>0</v>
      </c>
      <c r="F82">
        <v>5</v>
      </c>
      <c r="G82">
        <v>0</v>
      </c>
      <c r="H82">
        <v>0</v>
      </c>
      <c r="I82">
        <v>0</v>
      </c>
      <c r="J82">
        <v>5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 t="s">
        <v>90</v>
      </c>
      <c r="W82">
        <v>5</v>
      </c>
      <c r="X82">
        <v>0</v>
      </c>
      <c r="Y82">
        <v>0</v>
      </c>
      <c r="Z82">
        <v>0</v>
      </c>
      <c r="AA82">
        <v>5</v>
      </c>
      <c r="AB82">
        <v>0</v>
      </c>
      <c r="AC82">
        <v>0</v>
      </c>
      <c r="AD82">
        <v>0</v>
      </c>
      <c r="AE82">
        <v>5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 t="s">
        <v>90</v>
      </c>
      <c r="AR82">
        <v>5</v>
      </c>
      <c r="AS82">
        <v>0</v>
      </c>
      <c r="AT82">
        <v>0</v>
      </c>
      <c r="AU82">
        <v>0</v>
      </c>
      <c r="AV82">
        <v>5</v>
      </c>
      <c r="AW82">
        <v>0</v>
      </c>
      <c r="AX82">
        <v>0</v>
      </c>
      <c r="AY82">
        <v>0</v>
      </c>
      <c r="AZ82">
        <v>5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5</v>
      </c>
      <c r="BI82">
        <v>0</v>
      </c>
      <c r="BJ82">
        <v>0</v>
      </c>
      <c r="BK82">
        <v>0</v>
      </c>
    </row>
    <row r="83" spans="1:63">
      <c r="A83" t="s">
        <v>65</v>
      </c>
      <c r="B83">
        <v>50</v>
      </c>
      <c r="C83">
        <v>0</v>
      </c>
      <c r="D83">
        <v>0</v>
      </c>
      <c r="E83">
        <v>0</v>
      </c>
      <c r="F83">
        <v>50</v>
      </c>
      <c r="G83">
        <v>0</v>
      </c>
      <c r="H83">
        <v>0</v>
      </c>
      <c r="I83">
        <v>0</v>
      </c>
      <c r="J83">
        <v>50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 t="s">
        <v>65</v>
      </c>
      <c r="W83">
        <v>50</v>
      </c>
      <c r="X83">
        <v>0</v>
      </c>
      <c r="Y83">
        <v>0</v>
      </c>
      <c r="Z83">
        <v>0</v>
      </c>
      <c r="AA83">
        <v>50</v>
      </c>
      <c r="AB83">
        <v>0</v>
      </c>
      <c r="AC83">
        <v>0</v>
      </c>
      <c r="AD83">
        <v>0</v>
      </c>
      <c r="AE83">
        <v>50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 t="s">
        <v>65</v>
      </c>
      <c r="AR83">
        <v>50</v>
      </c>
      <c r="AS83">
        <v>0</v>
      </c>
      <c r="AT83">
        <v>0</v>
      </c>
      <c r="AU83">
        <v>0</v>
      </c>
      <c r="AV83">
        <v>50</v>
      </c>
      <c r="AW83">
        <v>0</v>
      </c>
      <c r="AX83">
        <v>0</v>
      </c>
      <c r="AY83">
        <v>0</v>
      </c>
      <c r="AZ83">
        <v>50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50</v>
      </c>
      <c r="BI83">
        <v>0</v>
      </c>
      <c r="BJ83">
        <v>0</v>
      </c>
      <c r="BK83">
        <v>0</v>
      </c>
    </row>
    <row r="84" spans="1:63">
      <c r="A84" t="s">
        <v>86</v>
      </c>
      <c r="B84">
        <v>33</v>
      </c>
      <c r="C84">
        <v>0</v>
      </c>
      <c r="D84">
        <v>0</v>
      </c>
      <c r="E84">
        <v>0</v>
      </c>
      <c r="F84">
        <v>33</v>
      </c>
      <c r="G84">
        <v>0</v>
      </c>
      <c r="H84">
        <v>0</v>
      </c>
      <c r="I84">
        <v>0</v>
      </c>
      <c r="J84">
        <v>33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 t="s">
        <v>86</v>
      </c>
      <c r="W84">
        <v>33</v>
      </c>
      <c r="X84">
        <v>0</v>
      </c>
      <c r="Y84">
        <v>0</v>
      </c>
      <c r="Z84">
        <v>0</v>
      </c>
      <c r="AA84">
        <v>33</v>
      </c>
      <c r="AB84">
        <v>0</v>
      </c>
      <c r="AC84">
        <v>0</v>
      </c>
      <c r="AD84">
        <v>0</v>
      </c>
      <c r="AE84">
        <v>33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 t="s">
        <v>86</v>
      </c>
      <c r="AR84">
        <v>33</v>
      </c>
      <c r="AS84">
        <v>0</v>
      </c>
      <c r="AT84">
        <v>0</v>
      </c>
      <c r="AU84">
        <v>0</v>
      </c>
      <c r="AV84">
        <v>33</v>
      </c>
      <c r="AW84">
        <v>0</v>
      </c>
      <c r="AX84">
        <v>0</v>
      </c>
      <c r="AY84">
        <v>0</v>
      </c>
      <c r="AZ84">
        <v>33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33</v>
      </c>
      <c r="BI84">
        <v>0</v>
      </c>
      <c r="BJ84">
        <v>0</v>
      </c>
      <c r="BK84">
        <v>0</v>
      </c>
    </row>
    <row r="85" spans="1:63">
      <c r="A85" t="s">
        <v>88</v>
      </c>
      <c r="B85">
        <v>55</v>
      </c>
      <c r="C85">
        <v>1</v>
      </c>
      <c r="D85">
        <v>0</v>
      </c>
      <c r="E85">
        <v>0</v>
      </c>
      <c r="F85">
        <v>55</v>
      </c>
      <c r="G85">
        <v>1</v>
      </c>
      <c r="H85">
        <v>0</v>
      </c>
      <c r="I85">
        <v>0</v>
      </c>
      <c r="J85">
        <v>56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 t="s">
        <v>88</v>
      </c>
      <c r="W85">
        <v>55</v>
      </c>
      <c r="X85">
        <v>1</v>
      </c>
      <c r="Y85">
        <v>0</v>
      </c>
      <c r="Z85">
        <v>0</v>
      </c>
      <c r="AA85">
        <v>55</v>
      </c>
      <c r="AB85">
        <v>1</v>
      </c>
      <c r="AC85">
        <v>0</v>
      </c>
      <c r="AD85">
        <v>0</v>
      </c>
      <c r="AE85">
        <v>56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 t="s">
        <v>88</v>
      </c>
      <c r="AR85">
        <v>55</v>
      </c>
      <c r="AS85">
        <v>1</v>
      </c>
      <c r="AT85">
        <v>0</v>
      </c>
      <c r="AU85">
        <v>0</v>
      </c>
      <c r="AV85">
        <v>55</v>
      </c>
      <c r="AW85">
        <v>1</v>
      </c>
      <c r="AX85">
        <v>0</v>
      </c>
      <c r="AY85">
        <v>0</v>
      </c>
      <c r="AZ85">
        <v>56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56</v>
      </c>
      <c r="BI85">
        <v>0</v>
      </c>
      <c r="BJ85">
        <v>0</v>
      </c>
      <c r="BK85">
        <v>0</v>
      </c>
    </row>
    <row r="86" spans="1:63">
      <c r="A86" t="s">
        <v>77</v>
      </c>
      <c r="B86">
        <v>88</v>
      </c>
      <c r="C86">
        <v>0</v>
      </c>
      <c r="D86">
        <v>0</v>
      </c>
      <c r="E86">
        <v>0</v>
      </c>
      <c r="F86">
        <v>88</v>
      </c>
      <c r="G86">
        <v>0</v>
      </c>
      <c r="H86">
        <v>0</v>
      </c>
      <c r="I86">
        <v>0</v>
      </c>
      <c r="J86">
        <v>88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 t="s">
        <v>77</v>
      </c>
      <c r="W86">
        <v>88</v>
      </c>
      <c r="X86">
        <v>0</v>
      </c>
      <c r="Y86">
        <v>0</v>
      </c>
      <c r="Z86">
        <v>0</v>
      </c>
      <c r="AA86">
        <v>88</v>
      </c>
      <c r="AB86">
        <v>0</v>
      </c>
      <c r="AC86">
        <v>0</v>
      </c>
      <c r="AD86">
        <v>0</v>
      </c>
      <c r="AE86">
        <v>88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 t="s">
        <v>77</v>
      </c>
      <c r="AR86">
        <v>88</v>
      </c>
      <c r="AS86">
        <v>0</v>
      </c>
      <c r="AT86">
        <v>0</v>
      </c>
      <c r="AU86">
        <v>0</v>
      </c>
      <c r="AV86">
        <v>88</v>
      </c>
      <c r="AW86">
        <v>0</v>
      </c>
      <c r="AX86">
        <v>0</v>
      </c>
      <c r="AY86">
        <v>0</v>
      </c>
      <c r="AZ86">
        <v>88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88</v>
      </c>
      <c r="BI86">
        <v>0</v>
      </c>
      <c r="BJ86">
        <v>0</v>
      </c>
      <c r="BK86">
        <v>0</v>
      </c>
    </row>
    <row r="87" spans="1:63">
      <c r="A87" t="s">
        <v>17</v>
      </c>
      <c r="B87">
        <v>35</v>
      </c>
      <c r="C87">
        <v>1</v>
      </c>
      <c r="D87">
        <v>0</v>
      </c>
      <c r="E87">
        <v>0</v>
      </c>
      <c r="F87">
        <v>35</v>
      </c>
      <c r="G87">
        <v>1</v>
      </c>
      <c r="H87">
        <v>0</v>
      </c>
      <c r="I87">
        <v>0</v>
      </c>
      <c r="J87">
        <v>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 t="s">
        <v>17</v>
      </c>
      <c r="W87">
        <v>35</v>
      </c>
      <c r="X87">
        <v>1</v>
      </c>
      <c r="Y87">
        <v>0</v>
      </c>
      <c r="Z87">
        <v>0</v>
      </c>
      <c r="AA87">
        <v>35</v>
      </c>
      <c r="AB87">
        <v>1</v>
      </c>
      <c r="AC87">
        <v>0</v>
      </c>
      <c r="AD87">
        <v>0</v>
      </c>
      <c r="AE87">
        <v>36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 t="s">
        <v>17</v>
      </c>
      <c r="AR87">
        <v>35</v>
      </c>
      <c r="AS87">
        <v>1</v>
      </c>
      <c r="AT87">
        <v>0</v>
      </c>
      <c r="AU87">
        <v>0</v>
      </c>
      <c r="AV87">
        <v>35</v>
      </c>
      <c r="AW87">
        <v>1</v>
      </c>
      <c r="AX87">
        <v>0</v>
      </c>
      <c r="AY87">
        <v>0</v>
      </c>
      <c r="AZ87">
        <v>36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36</v>
      </c>
      <c r="BI87">
        <v>0</v>
      </c>
      <c r="BJ87">
        <v>0</v>
      </c>
      <c r="BK87">
        <v>0</v>
      </c>
    </row>
    <row r="88" spans="1:63">
      <c r="A88" t="s">
        <v>35</v>
      </c>
      <c r="B88">
        <v>11</v>
      </c>
      <c r="C88">
        <v>0</v>
      </c>
      <c r="D88">
        <v>0</v>
      </c>
      <c r="E88">
        <v>0</v>
      </c>
      <c r="F88">
        <v>11</v>
      </c>
      <c r="G88">
        <v>0</v>
      </c>
      <c r="H88">
        <v>0</v>
      </c>
      <c r="I88">
        <v>0</v>
      </c>
      <c r="J88">
        <v>11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 t="s">
        <v>35</v>
      </c>
      <c r="W88">
        <v>11</v>
      </c>
      <c r="X88">
        <v>0</v>
      </c>
      <c r="Y88">
        <v>0</v>
      </c>
      <c r="Z88">
        <v>0</v>
      </c>
      <c r="AA88">
        <v>11</v>
      </c>
      <c r="AB88">
        <v>0</v>
      </c>
      <c r="AC88">
        <v>0</v>
      </c>
      <c r="AD88">
        <v>0</v>
      </c>
      <c r="AE88">
        <v>11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 t="s">
        <v>35</v>
      </c>
      <c r="AR88">
        <v>11</v>
      </c>
      <c r="AS88">
        <v>0</v>
      </c>
      <c r="AT88">
        <v>0</v>
      </c>
      <c r="AU88">
        <v>0</v>
      </c>
      <c r="AV88">
        <v>11</v>
      </c>
      <c r="AW88">
        <v>0</v>
      </c>
      <c r="AX88">
        <v>0</v>
      </c>
      <c r="AY88">
        <v>0</v>
      </c>
      <c r="AZ88">
        <v>11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11</v>
      </c>
      <c r="BI88">
        <v>0</v>
      </c>
      <c r="BJ88">
        <v>0</v>
      </c>
      <c r="BK88">
        <v>0</v>
      </c>
    </row>
    <row r="89" spans="1:63">
      <c r="A89" t="s">
        <v>83</v>
      </c>
      <c r="B89">
        <v>82</v>
      </c>
      <c r="C89">
        <v>0</v>
      </c>
      <c r="D89">
        <v>0</v>
      </c>
      <c r="E89">
        <v>0</v>
      </c>
      <c r="F89">
        <v>82</v>
      </c>
      <c r="G89">
        <v>0</v>
      </c>
      <c r="H89">
        <v>0</v>
      </c>
      <c r="I89">
        <v>0</v>
      </c>
      <c r="J89">
        <v>82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 t="s">
        <v>83</v>
      </c>
      <c r="W89">
        <v>82</v>
      </c>
      <c r="X89">
        <v>0</v>
      </c>
      <c r="Y89">
        <v>0</v>
      </c>
      <c r="Z89">
        <v>0</v>
      </c>
      <c r="AA89">
        <v>82</v>
      </c>
      <c r="AB89">
        <v>0</v>
      </c>
      <c r="AC89">
        <v>0</v>
      </c>
      <c r="AD89">
        <v>0</v>
      </c>
      <c r="AE89">
        <v>82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 t="s">
        <v>83</v>
      </c>
      <c r="AR89">
        <v>82</v>
      </c>
      <c r="AS89">
        <v>0</v>
      </c>
      <c r="AT89">
        <v>0</v>
      </c>
      <c r="AU89">
        <v>0</v>
      </c>
      <c r="AV89">
        <v>82</v>
      </c>
      <c r="AW89">
        <v>0</v>
      </c>
      <c r="AX89">
        <v>0</v>
      </c>
      <c r="AY89">
        <v>0</v>
      </c>
      <c r="AZ89">
        <v>82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82</v>
      </c>
      <c r="BI89">
        <v>0</v>
      </c>
      <c r="BJ89">
        <v>0</v>
      </c>
      <c r="BK89">
        <v>0</v>
      </c>
    </row>
    <row r="90" spans="1:63">
      <c r="A90" t="s">
        <v>80</v>
      </c>
      <c r="B90">
        <v>126</v>
      </c>
      <c r="C90">
        <v>6</v>
      </c>
      <c r="D90">
        <v>0</v>
      </c>
      <c r="E90">
        <v>0</v>
      </c>
      <c r="F90">
        <v>126</v>
      </c>
      <c r="G90">
        <v>6</v>
      </c>
      <c r="H90">
        <v>0</v>
      </c>
      <c r="I90">
        <v>0</v>
      </c>
      <c r="J90">
        <v>132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 t="s">
        <v>80</v>
      </c>
      <c r="W90">
        <v>126</v>
      </c>
      <c r="X90">
        <v>6</v>
      </c>
      <c r="Y90">
        <v>0</v>
      </c>
      <c r="Z90">
        <v>0</v>
      </c>
      <c r="AA90">
        <v>126</v>
      </c>
      <c r="AB90">
        <v>6</v>
      </c>
      <c r="AC90">
        <v>0</v>
      </c>
      <c r="AD90">
        <v>0</v>
      </c>
      <c r="AE90">
        <v>132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 t="s">
        <v>80</v>
      </c>
      <c r="AR90">
        <v>126</v>
      </c>
      <c r="AS90">
        <v>6</v>
      </c>
      <c r="AT90">
        <v>0</v>
      </c>
      <c r="AU90">
        <v>0</v>
      </c>
      <c r="AV90">
        <v>126</v>
      </c>
      <c r="AW90">
        <v>6</v>
      </c>
      <c r="AX90">
        <v>0</v>
      </c>
      <c r="AY90">
        <v>0</v>
      </c>
      <c r="AZ90">
        <v>132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132</v>
      </c>
      <c r="BI90">
        <v>0</v>
      </c>
      <c r="BJ90">
        <v>0</v>
      </c>
      <c r="BK90">
        <v>0</v>
      </c>
    </row>
    <row r="91" spans="1:63">
      <c r="A91" t="s">
        <v>10</v>
      </c>
      <c r="B91">
        <v>30</v>
      </c>
      <c r="C91">
        <v>0</v>
      </c>
      <c r="D91">
        <v>0</v>
      </c>
      <c r="E91">
        <v>0</v>
      </c>
      <c r="F91">
        <v>30</v>
      </c>
      <c r="G91">
        <v>0</v>
      </c>
      <c r="H91">
        <v>0</v>
      </c>
      <c r="I91">
        <v>0</v>
      </c>
      <c r="J91">
        <v>30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 t="s">
        <v>10</v>
      </c>
      <c r="W91">
        <v>30</v>
      </c>
      <c r="X91">
        <v>0</v>
      </c>
      <c r="Y91">
        <v>0</v>
      </c>
      <c r="Z91">
        <v>0</v>
      </c>
      <c r="AA91">
        <v>30</v>
      </c>
      <c r="AB91">
        <v>0</v>
      </c>
      <c r="AC91">
        <v>0</v>
      </c>
      <c r="AD91">
        <v>0</v>
      </c>
      <c r="AE91">
        <v>30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 t="s">
        <v>10</v>
      </c>
      <c r="AR91">
        <v>30</v>
      </c>
      <c r="AS91">
        <v>0</v>
      </c>
      <c r="AT91">
        <v>0</v>
      </c>
      <c r="AU91">
        <v>0</v>
      </c>
      <c r="AV91">
        <v>30</v>
      </c>
      <c r="AW91">
        <v>0</v>
      </c>
      <c r="AX91">
        <v>0</v>
      </c>
      <c r="AY91">
        <v>0</v>
      </c>
      <c r="AZ91">
        <v>30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30</v>
      </c>
      <c r="BI91">
        <v>0</v>
      </c>
      <c r="BJ91">
        <v>0</v>
      </c>
      <c r="BK91">
        <v>0</v>
      </c>
    </row>
    <row r="92" spans="1:63">
      <c r="A92" t="s">
        <v>97</v>
      </c>
      <c r="B92">
        <v>41</v>
      </c>
      <c r="C92">
        <v>0</v>
      </c>
      <c r="D92">
        <v>0</v>
      </c>
      <c r="E92">
        <v>0</v>
      </c>
      <c r="F92">
        <v>41</v>
      </c>
      <c r="G92">
        <v>0</v>
      </c>
      <c r="H92">
        <v>0</v>
      </c>
      <c r="I92">
        <v>0</v>
      </c>
      <c r="J92">
        <v>41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 t="s">
        <v>97</v>
      </c>
      <c r="W92">
        <v>41</v>
      </c>
      <c r="X92">
        <v>0</v>
      </c>
      <c r="Y92">
        <v>0</v>
      </c>
      <c r="Z92">
        <v>0</v>
      </c>
      <c r="AA92">
        <v>41</v>
      </c>
      <c r="AB92">
        <v>0</v>
      </c>
      <c r="AC92">
        <v>0</v>
      </c>
      <c r="AD92">
        <v>0</v>
      </c>
      <c r="AE92">
        <v>41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 t="s">
        <v>97</v>
      </c>
      <c r="AR92">
        <v>41</v>
      </c>
      <c r="AS92">
        <v>0</v>
      </c>
      <c r="AT92">
        <v>0</v>
      </c>
      <c r="AU92">
        <v>0</v>
      </c>
      <c r="AV92">
        <v>41</v>
      </c>
      <c r="AW92">
        <v>0</v>
      </c>
      <c r="AX92">
        <v>0</v>
      </c>
      <c r="AY92">
        <v>0</v>
      </c>
      <c r="AZ92">
        <v>41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41</v>
      </c>
      <c r="BI92">
        <v>0</v>
      </c>
      <c r="BJ92">
        <v>0</v>
      </c>
      <c r="BK92">
        <v>0</v>
      </c>
    </row>
    <row r="93" spans="1:63">
      <c r="A93" t="s">
        <v>15</v>
      </c>
      <c r="B93">
        <v>7</v>
      </c>
      <c r="C93">
        <v>0</v>
      </c>
      <c r="D93">
        <v>0</v>
      </c>
      <c r="E93">
        <v>0</v>
      </c>
      <c r="F93">
        <v>7</v>
      </c>
      <c r="G93">
        <v>0</v>
      </c>
      <c r="H93">
        <v>0</v>
      </c>
      <c r="I93">
        <v>0</v>
      </c>
      <c r="J93">
        <v>7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 t="s">
        <v>15</v>
      </c>
      <c r="W93">
        <v>7</v>
      </c>
      <c r="X93">
        <v>0</v>
      </c>
      <c r="Y93">
        <v>0</v>
      </c>
      <c r="Z93">
        <v>0</v>
      </c>
      <c r="AA93">
        <v>7</v>
      </c>
      <c r="AB93">
        <v>0</v>
      </c>
      <c r="AC93">
        <v>0</v>
      </c>
      <c r="AD93">
        <v>0</v>
      </c>
      <c r="AE93">
        <v>7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 t="s">
        <v>15</v>
      </c>
      <c r="AR93">
        <v>7</v>
      </c>
      <c r="AS93">
        <v>0</v>
      </c>
      <c r="AT93">
        <v>0</v>
      </c>
      <c r="AU93">
        <v>0</v>
      </c>
      <c r="AV93">
        <v>7</v>
      </c>
      <c r="AW93">
        <v>0</v>
      </c>
      <c r="AX93">
        <v>0</v>
      </c>
      <c r="AY93">
        <v>0</v>
      </c>
      <c r="AZ93">
        <v>7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7</v>
      </c>
      <c r="BI93">
        <v>0</v>
      </c>
      <c r="BJ93">
        <v>0</v>
      </c>
      <c r="BK93">
        <v>0</v>
      </c>
    </row>
    <row r="94" spans="1:63">
      <c r="A94" t="s">
        <v>61</v>
      </c>
      <c r="B94">
        <v>48</v>
      </c>
      <c r="C94">
        <v>5</v>
      </c>
      <c r="D94">
        <v>0</v>
      </c>
      <c r="E94">
        <v>0</v>
      </c>
      <c r="F94">
        <v>48</v>
      </c>
      <c r="G94">
        <v>5</v>
      </c>
      <c r="H94">
        <v>0</v>
      </c>
      <c r="I94">
        <v>0</v>
      </c>
      <c r="J94">
        <v>53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 t="s">
        <v>61</v>
      </c>
      <c r="W94">
        <v>48</v>
      </c>
      <c r="X94">
        <v>5</v>
      </c>
      <c r="Y94">
        <v>0</v>
      </c>
      <c r="Z94">
        <v>0</v>
      </c>
      <c r="AA94">
        <v>48</v>
      </c>
      <c r="AB94">
        <v>5</v>
      </c>
      <c r="AC94">
        <v>0</v>
      </c>
      <c r="AD94">
        <v>0</v>
      </c>
      <c r="AE94">
        <v>53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 t="s">
        <v>61</v>
      </c>
      <c r="AR94">
        <v>48</v>
      </c>
      <c r="AS94">
        <v>5</v>
      </c>
      <c r="AT94">
        <v>0</v>
      </c>
      <c r="AU94">
        <v>0</v>
      </c>
      <c r="AV94">
        <v>48</v>
      </c>
      <c r="AW94">
        <v>5</v>
      </c>
      <c r="AX94">
        <v>0</v>
      </c>
      <c r="AY94">
        <v>0</v>
      </c>
      <c r="AZ94">
        <v>53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53</v>
      </c>
      <c r="BI94">
        <v>0</v>
      </c>
      <c r="BJ94">
        <v>0</v>
      </c>
      <c r="BK94">
        <v>0</v>
      </c>
    </row>
    <row r="95" spans="1:63">
      <c r="A95" t="s">
        <v>49</v>
      </c>
      <c r="B95">
        <v>18</v>
      </c>
      <c r="C95">
        <v>1</v>
      </c>
      <c r="D95">
        <v>0</v>
      </c>
      <c r="E95">
        <v>0</v>
      </c>
      <c r="F95">
        <v>18</v>
      </c>
      <c r="G95">
        <v>1</v>
      </c>
      <c r="H95">
        <v>0</v>
      </c>
      <c r="I95">
        <v>0</v>
      </c>
      <c r="J95">
        <v>19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 t="s">
        <v>49</v>
      </c>
      <c r="W95">
        <v>18</v>
      </c>
      <c r="X95">
        <v>1</v>
      </c>
      <c r="Y95">
        <v>0</v>
      </c>
      <c r="Z95">
        <v>0</v>
      </c>
      <c r="AA95">
        <v>18</v>
      </c>
      <c r="AB95">
        <v>1</v>
      </c>
      <c r="AC95">
        <v>0</v>
      </c>
      <c r="AD95">
        <v>0</v>
      </c>
      <c r="AE95">
        <v>19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 t="s">
        <v>49</v>
      </c>
      <c r="AR95">
        <v>18</v>
      </c>
      <c r="AS95">
        <v>1</v>
      </c>
      <c r="AT95">
        <v>0</v>
      </c>
      <c r="AU95">
        <v>0</v>
      </c>
      <c r="AV95">
        <v>18</v>
      </c>
      <c r="AW95">
        <v>1</v>
      </c>
      <c r="AX95">
        <v>0</v>
      </c>
      <c r="AY95">
        <v>0</v>
      </c>
      <c r="AZ95">
        <v>19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19</v>
      </c>
      <c r="BI95">
        <v>0</v>
      </c>
      <c r="BJ95">
        <v>0</v>
      </c>
      <c r="BK95">
        <v>0</v>
      </c>
    </row>
    <row r="96" spans="1:63">
      <c r="A96" t="s">
        <v>78</v>
      </c>
      <c r="B96">
        <v>15</v>
      </c>
      <c r="C96">
        <v>0</v>
      </c>
      <c r="D96">
        <v>0</v>
      </c>
      <c r="E96">
        <v>0</v>
      </c>
      <c r="F96">
        <v>15</v>
      </c>
      <c r="G96">
        <v>0</v>
      </c>
      <c r="H96">
        <v>0</v>
      </c>
      <c r="I96">
        <v>0</v>
      </c>
      <c r="J96">
        <v>15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 t="s">
        <v>78</v>
      </c>
      <c r="W96">
        <v>15</v>
      </c>
      <c r="X96">
        <v>0</v>
      </c>
      <c r="Y96">
        <v>0</v>
      </c>
      <c r="Z96">
        <v>0</v>
      </c>
      <c r="AA96">
        <v>15</v>
      </c>
      <c r="AB96">
        <v>0</v>
      </c>
      <c r="AC96">
        <v>0</v>
      </c>
      <c r="AD96">
        <v>0</v>
      </c>
      <c r="AE96">
        <v>15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 t="s">
        <v>78</v>
      </c>
      <c r="AR96">
        <v>15</v>
      </c>
      <c r="AS96">
        <v>0</v>
      </c>
      <c r="AT96">
        <v>0</v>
      </c>
      <c r="AU96">
        <v>0</v>
      </c>
      <c r="AV96">
        <v>15</v>
      </c>
      <c r="AW96">
        <v>0</v>
      </c>
      <c r="AX96">
        <v>0</v>
      </c>
      <c r="AY96">
        <v>0</v>
      </c>
      <c r="AZ96">
        <v>15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15</v>
      </c>
      <c r="BI96">
        <v>0</v>
      </c>
      <c r="BJ96">
        <v>0</v>
      </c>
      <c r="BK96">
        <v>0</v>
      </c>
    </row>
    <row r="97" spans="1:63">
      <c r="A97" t="s">
        <v>73</v>
      </c>
      <c r="B97">
        <v>28</v>
      </c>
      <c r="C97">
        <v>3</v>
      </c>
      <c r="D97">
        <v>0</v>
      </c>
      <c r="E97">
        <v>0</v>
      </c>
      <c r="F97">
        <v>28</v>
      </c>
      <c r="G97">
        <v>3</v>
      </c>
      <c r="H97">
        <v>0</v>
      </c>
      <c r="I97">
        <v>0</v>
      </c>
      <c r="J97">
        <v>31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 t="s">
        <v>73</v>
      </c>
      <c r="W97">
        <v>28</v>
      </c>
      <c r="X97">
        <v>3</v>
      </c>
      <c r="Y97">
        <v>0</v>
      </c>
      <c r="Z97">
        <v>0</v>
      </c>
      <c r="AA97">
        <v>28</v>
      </c>
      <c r="AB97">
        <v>3</v>
      </c>
      <c r="AC97">
        <v>0</v>
      </c>
      <c r="AD97">
        <v>0</v>
      </c>
      <c r="AE97">
        <v>31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 t="s">
        <v>73</v>
      </c>
      <c r="AR97">
        <v>28</v>
      </c>
      <c r="AS97">
        <v>3</v>
      </c>
      <c r="AT97">
        <v>0</v>
      </c>
      <c r="AU97">
        <v>0</v>
      </c>
      <c r="AV97">
        <v>28</v>
      </c>
      <c r="AW97">
        <v>3</v>
      </c>
      <c r="AX97">
        <v>0</v>
      </c>
      <c r="AY97">
        <v>0</v>
      </c>
      <c r="AZ97">
        <v>31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31</v>
      </c>
      <c r="BI97">
        <v>0</v>
      </c>
      <c r="BJ97">
        <v>0</v>
      </c>
      <c r="BK97">
        <v>0</v>
      </c>
    </row>
    <row r="98" spans="1:63">
      <c r="A98" t="s">
        <v>63</v>
      </c>
      <c r="B98">
        <v>29</v>
      </c>
      <c r="C98">
        <v>0</v>
      </c>
      <c r="D98">
        <v>0</v>
      </c>
      <c r="E98">
        <v>0</v>
      </c>
      <c r="F98">
        <v>29</v>
      </c>
      <c r="G98">
        <v>0</v>
      </c>
      <c r="H98">
        <v>0</v>
      </c>
      <c r="I98">
        <v>0</v>
      </c>
      <c r="J98">
        <v>29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 t="s">
        <v>63</v>
      </c>
      <c r="W98">
        <v>29</v>
      </c>
      <c r="X98">
        <v>0</v>
      </c>
      <c r="Y98">
        <v>0</v>
      </c>
      <c r="Z98">
        <v>0</v>
      </c>
      <c r="AA98">
        <v>29</v>
      </c>
      <c r="AB98">
        <v>0</v>
      </c>
      <c r="AC98">
        <v>0</v>
      </c>
      <c r="AD98">
        <v>0</v>
      </c>
      <c r="AE98">
        <v>29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 t="s">
        <v>63</v>
      </c>
      <c r="AR98">
        <v>29</v>
      </c>
      <c r="AS98">
        <v>0</v>
      </c>
      <c r="AT98">
        <v>0</v>
      </c>
      <c r="AU98">
        <v>0</v>
      </c>
      <c r="AV98">
        <v>29</v>
      </c>
      <c r="AW98">
        <v>0</v>
      </c>
      <c r="AX98">
        <v>0</v>
      </c>
      <c r="AY98">
        <v>0</v>
      </c>
      <c r="AZ98">
        <v>29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29</v>
      </c>
      <c r="BI98">
        <v>0</v>
      </c>
      <c r="BJ98">
        <v>0</v>
      </c>
      <c r="BK98">
        <v>0</v>
      </c>
    </row>
    <row r="99" spans="1:63">
      <c r="A99" t="s">
        <v>59</v>
      </c>
      <c r="B99">
        <v>22</v>
      </c>
      <c r="C99">
        <v>0</v>
      </c>
      <c r="D99">
        <v>0</v>
      </c>
      <c r="E99">
        <v>0</v>
      </c>
      <c r="F99">
        <v>22</v>
      </c>
      <c r="G99">
        <v>0</v>
      </c>
      <c r="H99">
        <v>0</v>
      </c>
      <c r="I99">
        <v>0</v>
      </c>
      <c r="J99">
        <v>22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 t="s">
        <v>59</v>
      </c>
      <c r="W99">
        <v>22</v>
      </c>
      <c r="X99">
        <v>0</v>
      </c>
      <c r="Y99">
        <v>0</v>
      </c>
      <c r="Z99">
        <v>0</v>
      </c>
      <c r="AA99">
        <v>22</v>
      </c>
      <c r="AB99">
        <v>0</v>
      </c>
      <c r="AC99">
        <v>0</v>
      </c>
      <c r="AD99">
        <v>0</v>
      </c>
      <c r="AE99">
        <v>22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 t="s">
        <v>59</v>
      </c>
      <c r="AR99">
        <v>22</v>
      </c>
      <c r="AS99">
        <v>0</v>
      </c>
      <c r="AT99">
        <v>0</v>
      </c>
      <c r="AU99">
        <v>0</v>
      </c>
      <c r="AV99">
        <v>22</v>
      </c>
      <c r="AW99">
        <v>0</v>
      </c>
      <c r="AX99">
        <v>0</v>
      </c>
      <c r="AY99">
        <v>0</v>
      </c>
      <c r="AZ99">
        <v>22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22</v>
      </c>
      <c r="BI99">
        <v>0</v>
      </c>
      <c r="BJ99">
        <v>0</v>
      </c>
      <c r="BK99">
        <v>0</v>
      </c>
    </row>
    <row r="100" spans="1:63">
      <c r="A100" t="s">
        <v>68</v>
      </c>
      <c r="B100">
        <v>130</v>
      </c>
      <c r="C100">
        <v>4</v>
      </c>
      <c r="D100">
        <v>0</v>
      </c>
      <c r="E100">
        <v>0</v>
      </c>
      <c r="F100">
        <v>130</v>
      </c>
      <c r="G100">
        <v>4</v>
      </c>
      <c r="H100">
        <v>0</v>
      </c>
      <c r="I100">
        <v>0</v>
      </c>
      <c r="J100">
        <v>134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 t="s">
        <v>68</v>
      </c>
      <c r="W100">
        <v>130</v>
      </c>
      <c r="X100">
        <v>4</v>
      </c>
      <c r="Y100">
        <v>0</v>
      </c>
      <c r="Z100">
        <v>0</v>
      </c>
      <c r="AA100">
        <v>130</v>
      </c>
      <c r="AB100">
        <v>4</v>
      </c>
      <c r="AC100">
        <v>0</v>
      </c>
      <c r="AD100">
        <v>0</v>
      </c>
      <c r="AE100">
        <v>134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 t="s">
        <v>68</v>
      </c>
      <c r="AR100">
        <v>130</v>
      </c>
      <c r="AS100">
        <v>4</v>
      </c>
      <c r="AT100">
        <v>0</v>
      </c>
      <c r="AU100">
        <v>0</v>
      </c>
      <c r="AV100">
        <v>130</v>
      </c>
      <c r="AW100">
        <v>4</v>
      </c>
      <c r="AX100">
        <v>0</v>
      </c>
      <c r="AY100">
        <v>0</v>
      </c>
      <c r="AZ100">
        <v>134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134</v>
      </c>
      <c r="BI100">
        <v>0</v>
      </c>
      <c r="BJ100">
        <v>0</v>
      </c>
      <c r="BK100">
        <v>0</v>
      </c>
    </row>
    <row r="101" spans="1:63">
      <c r="A101" t="s">
        <v>34</v>
      </c>
      <c r="B101">
        <v>111</v>
      </c>
      <c r="C101">
        <v>0</v>
      </c>
      <c r="D101">
        <v>0</v>
      </c>
      <c r="E101">
        <v>0</v>
      </c>
      <c r="F101">
        <v>111</v>
      </c>
      <c r="G101">
        <v>0</v>
      </c>
      <c r="H101">
        <v>0</v>
      </c>
      <c r="I101">
        <v>0</v>
      </c>
      <c r="J101">
        <v>111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 t="s">
        <v>34</v>
      </c>
      <c r="W101">
        <v>111</v>
      </c>
      <c r="X101">
        <v>0</v>
      </c>
      <c r="Y101">
        <v>0</v>
      </c>
      <c r="Z101">
        <v>0</v>
      </c>
      <c r="AA101">
        <v>111</v>
      </c>
      <c r="AB101">
        <v>0</v>
      </c>
      <c r="AC101">
        <v>0</v>
      </c>
      <c r="AD101">
        <v>0</v>
      </c>
      <c r="AE101">
        <v>111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 t="s">
        <v>34</v>
      </c>
      <c r="AR101">
        <v>111</v>
      </c>
      <c r="AS101">
        <v>0</v>
      </c>
      <c r="AT101">
        <v>0</v>
      </c>
      <c r="AU101">
        <v>0</v>
      </c>
      <c r="AV101">
        <v>111</v>
      </c>
      <c r="AW101">
        <v>0</v>
      </c>
      <c r="AX101">
        <v>0</v>
      </c>
      <c r="AY101">
        <v>0</v>
      </c>
      <c r="AZ101">
        <v>111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111</v>
      </c>
      <c r="BI101">
        <v>0</v>
      </c>
      <c r="BJ101">
        <v>0</v>
      </c>
      <c r="BK101">
        <v>0</v>
      </c>
    </row>
    <row r="102" spans="1:63">
      <c r="A102" t="s">
        <v>4</v>
      </c>
      <c r="B102">
        <v>71</v>
      </c>
      <c r="C102">
        <v>0</v>
      </c>
      <c r="D102">
        <v>0</v>
      </c>
      <c r="E102">
        <v>0</v>
      </c>
      <c r="F102">
        <v>71</v>
      </c>
      <c r="G102">
        <v>0</v>
      </c>
      <c r="H102">
        <v>0</v>
      </c>
      <c r="I102">
        <v>0</v>
      </c>
      <c r="J102">
        <v>71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 t="s">
        <v>4</v>
      </c>
      <c r="W102">
        <v>71</v>
      </c>
      <c r="X102">
        <v>0</v>
      </c>
      <c r="Y102">
        <v>0</v>
      </c>
      <c r="Z102">
        <v>0</v>
      </c>
      <c r="AA102">
        <v>71</v>
      </c>
      <c r="AB102">
        <v>0</v>
      </c>
      <c r="AC102">
        <v>0</v>
      </c>
      <c r="AD102">
        <v>0</v>
      </c>
      <c r="AE102">
        <v>71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 t="s">
        <v>4</v>
      </c>
      <c r="AR102">
        <v>71</v>
      </c>
      <c r="AS102">
        <v>0</v>
      </c>
      <c r="AT102">
        <v>0</v>
      </c>
      <c r="AU102">
        <v>0</v>
      </c>
      <c r="AV102">
        <v>71</v>
      </c>
      <c r="AW102">
        <v>0</v>
      </c>
      <c r="AX102">
        <v>0</v>
      </c>
      <c r="AY102">
        <v>0</v>
      </c>
      <c r="AZ102">
        <v>71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71</v>
      </c>
      <c r="BI102">
        <v>0</v>
      </c>
      <c r="BJ102">
        <v>0</v>
      </c>
      <c r="BK102">
        <v>0</v>
      </c>
    </row>
    <row r="103" spans="1:63">
      <c r="A103" t="s">
        <v>70</v>
      </c>
      <c r="B103">
        <v>32</v>
      </c>
      <c r="C103">
        <v>0</v>
      </c>
      <c r="D103">
        <v>0</v>
      </c>
      <c r="E103">
        <v>0</v>
      </c>
      <c r="F103">
        <v>32</v>
      </c>
      <c r="G103">
        <v>0</v>
      </c>
      <c r="H103">
        <v>0</v>
      </c>
      <c r="I103">
        <v>0</v>
      </c>
      <c r="J103">
        <v>31</v>
      </c>
      <c r="K103">
        <v>1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 t="s">
        <v>70</v>
      </c>
      <c r="W103">
        <v>32</v>
      </c>
      <c r="X103">
        <v>0</v>
      </c>
      <c r="Y103">
        <v>0</v>
      </c>
      <c r="Z103">
        <v>0</v>
      </c>
      <c r="AA103">
        <v>32</v>
      </c>
      <c r="AB103">
        <v>0</v>
      </c>
      <c r="AC103">
        <v>0</v>
      </c>
      <c r="AD103">
        <v>0</v>
      </c>
      <c r="AE103">
        <v>31</v>
      </c>
      <c r="AF103">
        <v>1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 t="s">
        <v>70</v>
      </c>
      <c r="AR103">
        <v>32</v>
      </c>
      <c r="AS103">
        <v>0</v>
      </c>
      <c r="AT103">
        <v>0</v>
      </c>
      <c r="AU103">
        <v>0</v>
      </c>
      <c r="AV103">
        <v>32</v>
      </c>
      <c r="AW103">
        <v>0</v>
      </c>
      <c r="AX103">
        <v>0</v>
      </c>
      <c r="AY103">
        <v>0</v>
      </c>
      <c r="AZ103">
        <v>32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32</v>
      </c>
      <c r="BI103">
        <v>0</v>
      </c>
      <c r="BJ103">
        <v>0</v>
      </c>
      <c r="BK103">
        <v>0</v>
      </c>
    </row>
    <row r="104" spans="1:63">
      <c r="A104" t="s">
        <v>87</v>
      </c>
      <c r="B104">
        <v>7</v>
      </c>
      <c r="C104">
        <v>0</v>
      </c>
      <c r="D104">
        <v>0</v>
      </c>
      <c r="E104">
        <v>0</v>
      </c>
      <c r="F104">
        <v>7</v>
      </c>
      <c r="G104">
        <v>0</v>
      </c>
      <c r="H104">
        <v>0</v>
      </c>
      <c r="I104">
        <v>0</v>
      </c>
      <c r="J104">
        <v>7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 t="s">
        <v>87</v>
      </c>
      <c r="W104">
        <v>7</v>
      </c>
      <c r="X104">
        <v>0</v>
      </c>
      <c r="Y104">
        <v>0</v>
      </c>
      <c r="Z104">
        <v>0</v>
      </c>
      <c r="AA104">
        <v>7</v>
      </c>
      <c r="AB104">
        <v>0</v>
      </c>
      <c r="AC104">
        <v>0</v>
      </c>
      <c r="AD104">
        <v>0</v>
      </c>
      <c r="AE104">
        <v>7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 t="s">
        <v>87</v>
      </c>
      <c r="AR104">
        <v>7</v>
      </c>
      <c r="AS104">
        <v>0</v>
      </c>
      <c r="AT104">
        <v>0</v>
      </c>
      <c r="AU104">
        <v>0</v>
      </c>
      <c r="AV104">
        <v>7</v>
      </c>
      <c r="AW104">
        <v>0</v>
      </c>
      <c r="AX104">
        <v>0</v>
      </c>
      <c r="AY104">
        <v>0</v>
      </c>
      <c r="AZ104">
        <v>7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7</v>
      </c>
      <c r="BI104">
        <v>0</v>
      </c>
      <c r="BJ104">
        <v>0</v>
      </c>
      <c r="BK104">
        <v>0</v>
      </c>
    </row>
    <row r="105" spans="1:63">
      <c r="A105" t="s">
        <v>19</v>
      </c>
      <c r="B105">
        <v>153</v>
      </c>
      <c r="C105">
        <v>15</v>
      </c>
      <c r="D105">
        <v>0</v>
      </c>
      <c r="E105">
        <v>0</v>
      </c>
      <c r="F105">
        <v>153</v>
      </c>
      <c r="G105">
        <v>15</v>
      </c>
      <c r="H105">
        <v>0</v>
      </c>
      <c r="I105">
        <v>0</v>
      </c>
      <c r="J105">
        <v>168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 t="s">
        <v>19</v>
      </c>
      <c r="W105">
        <v>153</v>
      </c>
      <c r="X105">
        <v>15</v>
      </c>
      <c r="Y105">
        <v>0</v>
      </c>
      <c r="Z105">
        <v>0</v>
      </c>
      <c r="AA105">
        <v>153</v>
      </c>
      <c r="AB105">
        <v>15</v>
      </c>
      <c r="AC105">
        <v>0</v>
      </c>
      <c r="AD105">
        <v>0</v>
      </c>
      <c r="AE105">
        <v>168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 t="s">
        <v>19</v>
      </c>
      <c r="AR105">
        <v>153</v>
      </c>
      <c r="AS105">
        <v>15</v>
      </c>
      <c r="AT105">
        <v>0</v>
      </c>
      <c r="AU105">
        <v>0</v>
      </c>
      <c r="AV105">
        <v>153</v>
      </c>
      <c r="AW105">
        <v>15</v>
      </c>
      <c r="AX105">
        <v>0</v>
      </c>
      <c r="AY105">
        <v>0</v>
      </c>
      <c r="AZ105">
        <v>168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168</v>
      </c>
      <c r="BI105">
        <v>0</v>
      </c>
      <c r="BJ105">
        <v>0</v>
      </c>
      <c r="BK105">
        <v>0</v>
      </c>
    </row>
    <row r="106" spans="1:63">
      <c r="A106" t="s">
        <v>38</v>
      </c>
      <c r="B106">
        <v>629</v>
      </c>
      <c r="C106">
        <v>25</v>
      </c>
      <c r="D106">
        <v>0</v>
      </c>
      <c r="E106">
        <v>0</v>
      </c>
      <c r="F106">
        <v>629</v>
      </c>
      <c r="G106">
        <v>25</v>
      </c>
      <c r="H106">
        <v>0</v>
      </c>
      <c r="I106">
        <v>0</v>
      </c>
      <c r="J106">
        <v>648</v>
      </c>
      <c r="K106">
        <v>6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 t="s">
        <v>38</v>
      </c>
      <c r="W106">
        <v>629</v>
      </c>
      <c r="X106">
        <v>25</v>
      </c>
      <c r="Y106">
        <v>0</v>
      </c>
      <c r="Z106">
        <v>0</v>
      </c>
      <c r="AA106">
        <v>629</v>
      </c>
      <c r="AB106">
        <v>25</v>
      </c>
      <c r="AC106">
        <v>0</v>
      </c>
      <c r="AD106">
        <v>0</v>
      </c>
      <c r="AE106">
        <v>648</v>
      </c>
      <c r="AF106">
        <v>6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 t="s">
        <v>38</v>
      </c>
      <c r="AR106">
        <v>629</v>
      </c>
      <c r="AS106">
        <v>25</v>
      </c>
      <c r="AT106">
        <v>0</v>
      </c>
      <c r="AU106">
        <v>0</v>
      </c>
      <c r="AV106">
        <v>629</v>
      </c>
      <c r="AW106">
        <v>25</v>
      </c>
      <c r="AX106">
        <v>0</v>
      </c>
      <c r="AY106">
        <v>0</v>
      </c>
      <c r="AZ106">
        <v>654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654</v>
      </c>
      <c r="BI106">
        <v>0</v>
      </c>
      <c r="BJ106">
        <v>0</v>
      </c>
      <c r="BK106">
        <v>0</v>
      </c>
    </row>
    <row r="107" spans="1:63">
      <c r="A107" t="s">
        <v>42</v>
      </c>
      <c r="B107">
        <v>149</v>
      </c>
      <c r="C107">
        <v>20</v>
      </c>
      <c r="D107">
        <v>0</v>
      </c>
      <c r="E107">
        <v>0</v>
      </c>
      <c r="F107">
        <v>149</v>
      </c>
      <c r="G107">
        <v>20</v>
      </c>
      <c r="H107">
        <v>0</v>
      </c>
      <c r="I107">
        <v>0</v>
      </c>
      <c r="J107">
        <v>169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 t="s">
        <v>42</v>
      </c>
      <c r="W107">
        <v>149</v>
      </c>
      <c r="X107">
        <v>20</v>
      </c>
      <c r="Y107">
        <v>0</v>
      </c>
      <c r="Z107">
        <v>0</v>
      </c>
      <c r="AA107">
        <v>149</v>
      </c>
      <c r="AB107">
        <v>20</v>
      </c>
      <c r="AC107">
        <v>0</v>
      </c>
      <c r="AD107">
        <v>0</v>
      </c>
      <c r="AE107">
        <v>169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 t="s">
        <v>42</v>
      </c>
      <c r="AR107">
        <v>149</v>
      </c>
      <c r="AS107">
        <v>20</v>
      </c>
      <c r="AT107">
        <v>0</v>
      </c>
      <c r="AU107">
        <v>0</v>
      </c>
      <c r="AV107">
        <v>149</v>
      </c>
      <c r="AW107">
        <v>20</v>
      </c>
      <c r="AX107">
        <v>0</v>
      </c>
      <c r="AY107">
        <v>0</v>
      </c>
      <c r="AZ107">
        <v>169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169</v>
      </c>
      <c r="BI107">
        <v>0</v>
      </c>
      <c r="BJ107">
        <v>0</v>
      </c>
      <c r="BK107">
        <v>0</v>
      </c>
    </row>
    <row r="108" spans="1:63" s="1" customFormat="1">
      <c r="A108" s="1" t="s">
        <v>122</v>
      </c>
      <c r="B108" s="1">
        <f>SUM(B3:B107)</f>
        <v>10745</v>
      </c>
      <c r="C108" s="1">
        <f t="shared" ref="C108:BK108" si="0">SUM(C3:C107)</f>
        <v>436</v>
      </c>
      <c r="D108" s="1">
        <f t="shared" si="0"/>
        <v>0</v>
      </c>
      <c r="E108" s="1">
        <f t="shared" si="0"/>
        <v>0</v>
      </c>
      <c r="F108" s="1">
        <f t="shared" si="0"/>
        <v>10795</v>
      </c>
      <c r="G108" s="1">
        <f t="shared" si="0"/>
        <v>442</v>
      </c>
      <c r="H108" s="1">
        <f t="shared" si="0"/>
        <v>0</v>
      </c>
      <c r="I108" s="1">
        <f t="shared" si="0"/>
        <v>0</v>
      </c>
      <c r="J108" s="1">
        <f t="shared" si="0"/>
        <v>11338</v>
      </c>
      <c r="K108" s="1">
        <f t="shared" si="0"/>
        <v>60</v>
      </c>
      <c r="L108" s="1">
        <f t="shared" si="0"/>
        <v>0</v>
      </c>
      <c r="M108" s="1">
        <f t="shared" si="0"/>
        <v>0</v>
      </c>
      <c r="N108" s="1">
        <f t="shared" si="0"/>
        <v>2371</v>
      </c>
      <c r="O108" s="1">
        <f t="shared" si="0"/>
        <v>14</v>
      </c>
      <c r="P108" s="1">
        <f t="shared" si="0"/>
        <v>30</v>
      </c>
      <c r="Q108" s="1">
        <f t="shared" si="0"/>
        <v>0</v>
      </c>
      <c r="R108" s="1">
        <f t="shared" si="0"/>
        <v>3648</v>
      </c>
      <c r="S108" s="1">
        <f t="shared" si="0"/>
        <v>23</v>
      </c>
      <c r="T108" s="1">
        <f t="shared" si="0"/>
        <v>0</v>
      </c>
      <c r="U108" s="1">
        <f t="shared" si="0"/>
        <v>0</v>
      </c>
      <c r="V108" s="1">
        <f t="shared" si="0"/>
        <v>0</v>
      </c>
      <c r="W108" s="1">
        <f t="shared" si="0"/>
        <v>10745</v>
      </c>
      <c r="X108" s="1">
        <f t="shared" si="0"/>
        <v>436</v>
      </c>
      <c r="Y108" s="1">
        <f t="shared" si="0"/>
        <v>0</v>
      </c>
      <c r="Z108" s="1">
        <f t="shared" si="0"/>
        <v>0</v>
      </c>
      <c r="AA108" s="1">
        <f t="shared" si="0"/>
        <v>10794</v>
      </c>
      <c r="AB108" s="1">
        <f t="shared" si="0"/>
        <v>443</v>
      </c>
      <c r="AC108" s="1">
        <f t="shared" si="0"/>
        <v>0</v>
      </c>
      <c r="AD108" s="1">
        <f t="shared" si="0"/>
        <v>0</v>
      </c>
      <c r="AE108" s="1">
        <f t="shared" si="0"/>
        <v>11338</v>
      </c>
      <c r="AF108" s="1">
        <f t="shared" si="0"/>
        <v>60</v>
      </c>
      <c r="AG108" s="1">
        <f t="shared" si="0"/>
        <v>0</v>
      </c>
      <c r="AH108" s="1">
        <f t="shared" si="0"/>
        <v>0</v>
      </c>
      <c r="AI108" s="1">
        <f t="shared" si="0"/>
        <v>2371</v>
      </c>
      <c r="AJ108" s="1">
        <f t="shared" si="0"/>
        <v>14</v>
      </c>
      <c r="AK108" s="1">
        <f t="shared" si="0"/>
        <v>30</v>
      </c>
      <c r="AL108" s="1">
        <f t="shared" si="0"/>
        <v>0</v>
      </c>
      <c r="AM108" s="1">
        <f t="shared" si="0"/>
        <v>3648</v>
      </c>
      <c r="AN108" s="1">
        <f t="shared" si="0"/>
        <v>23</v>
      </c>
      <c r="AO108" s="1">
        <f t="shared" si="0"/>
        <v>0</v>
      </c>
      <c r="AP108" s="1">
        <f t="shared" si="0"/>
        <v>0</v>
      </c>
      <c r="AQ108" s="1">
        <f t="shared" si="0"/>
        <v>0</v>
      </c>
      <c r="AR108" s="1">
        <f t="shared" si="0"/>
        <v>10795</v>
      </c>
      <c r="AS108" s="1">
        <f t="shared" si="0"/>
        <v>442</v>
      </c>
      <c r="AT108" s="1">
        <f t="shared" si="0"/>
        <v>0</v>
      </c>
      <c r="AU108" s="1">
        <f t="shared" si="0"/>
        <v>0</v>
      </c>
      <c r="AV108" s="1">
        <f t="shared" si="0"/>
        <v>10794</v>
      </c>
      <c r="AW108" s="1">
        <f t="shared" si="0"/>
        <v>443</v>
      </c>
      <c r="AX108" s="1">
        <f t="shared" si="0"/>
        <v>0</v>
      </c>
      <c r="AY108" s="1">
        <f t="shared" si="0"/>
        <v>0</v>
      </c>
      <c r="AZ108" s="1">
        <f t="shared" si="0"/>
        <v>11398</v>
      </c>
      <c r="BA108" s="1">
        <f t="shared" si="0"/>
        <v>0</v>
      </c>
      <c r="BB108" s="1">
        <f t="shared" si="0"/>
        <v>0</v>
      </c>
      <c r="BC108" s="1">
        <f t="shared" si="0"/>
        <v>0</v>
      </c>
      <c r="BD108" s="1">
        <f t="shared" si="0"/>
        <v>2385</v>
      </c>
      <c r="BE108" s="1">
        <f t="shared" si="0"/>
        <v>0</v>
      </c>
      <c r="BF108" s="1">
        <f t="shared" si="0"/>
        <v>30</v>
      </c>
      <c r="BG108" s="1">
        <f t="shared" si="0"/>
        <v>0</v>
      </c>
      <c r="BH108" s="1">
        <f t="shared" si="0"/>
        <v>11236</v>
      </c>
      <c r="BI108" s="1">
        <f t="shared" si="0"/>
        <v>1</v>
      </c>
      <c r="BJ108" s="1">
        <f t="shared" si="0"/>
        <v>0</v>
      </c>
      <c r="BK108" s="1">
        <f t="shared" si="0"/>
        <v>0</v>
      </c>
    </row>
  </sheetData>
  <sortState ref="AQ3:BK107">
    <sortCondition ref="AQ3:AQ107"/>
  </sortState>
  <mergeCells count="15">
    <mergeCell ref="AZ1:BC1"/>
    <mergeCell ref="BD1:BG1"/>
    <mergeCell ref="BH1:BK1"/>
    <mergeCell ref="AA1:AD1"/>
    <mergeCell ref="AE1:AH1"/>
    <mergeCell ref="AI1:AL1"/>
    <mergeCell ref="AM1:AP1"/>
    <mergeCell ref="AR1:AU1"/>
    <mergeCell ref="AV1:AY1"/>
    <mergeCell ref="W1:Z1"/>
    <mergeCell ref="B1:E1"/>
    <mergeCell ref="F1:I1"/>
    <mergeCell ref="J1:M1"/>
    <mergeCell ref="N1:Q1"/>
    <mergeCell ref="R1:U1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D220"/>
  <sheetViews>
    <sheetView workbookViewId="0">
      <selection activeCell="V107" sqref="V107:X107"/>
    </sheetView>
  </sheetViews>
  <sheetFormatPr baseColWidth="10" defaultRowHeight="15" x14ac:dyDescent="0"/>
  <cols>
    <col min="2" max="2" width="64.1640625" customWidth="1"/>
    <col min="3" max="3" width="11" bestFit="1" customWidth="1"/>
  </cols>
  <sheetData>
    <row r="1" spans="1:56">
      <c r="A1" s="5"/>
      <c r="B1" s="5"/>
      <c r="C1" s="5" t="s">
        <v>240</v>
      </c>
      <c r="D1" s="5" t="s">
        <v>241</v>
      </c>
      <c r="E1" s="5" t="s">
        <v>238</v>
      </c>
      <c r="F1" s="5" t="s">
        <v>239</v>
      </c>
      <c r="G1" s="5" t="s">
        <v>242</v>
      </c>
      <c r="H1" s="5" t="s">
        <v>243</v>
      </c>
      <c r="I1" s="5" t="s">
        <v>246</v>
      </c>
      <c r="J1" s="5" t="s">
        <v>247</v>
      </c>
      <c r="K1" s="5" t="s">
        <v>244</v>
      </c>
      <c r="L1" s="5" t="s">
        <v>245</v>
      </c>
      <c r="M1" s="5" t="s">
        <v>248</v>
      </c>
      <c r="N1" s="5" t="s">
        <v>249</v>
      </c>
      <c r="O1" s="5" t="s">
        <v>252</v>
      </c>
      <c r="P1" s="5" t="s">
        <v>253</v>
      </c>
      <c r="Q1" s="5" t="s">
        <v>250</v>
      </c>
      <c r="R1" s="5" t="s">
        <v>251</v>
      </c>
      <c r="S1" s="5" t="s">
        <v>254</v>
      </c>
      <c r="T1" s="5" t="s">
        <v>255</v>
      </c>
      <c r="U1" s="5"/>
      <c r="V1" s="5" t="s">
        <v>293</v>
      </c>
      <c r="W1" s="5" t="s">
        <v>294</v>
      </c>
      <c r="X1" s="5" t="s">
        <v>292</v>
      </c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</row>
    <row r="2" spans="1:56">
      <c r="A2" s="5" t="s">
        <v>147</v>
      </c>
      <c r="B2" s="5" t="s">
        <v>32</v>
      </c>
      <c r="C2" s="5">
        <v>108</v>
      </c>
      <c r="D2" s="5">
        <v>121</v>
      </c>
      <c r="E2" s="5">
        <v>412</v>
      </c>
      <c r="F2" s="5">
        <v>442</v>
      </c>
      <c r="G2" s="5">
        <v>90</v>
      </c>
      <c r="H2" s="5">
        <v>130</v>
      </c>
      <c r="I2" s="5">
        <v>138</v>
      </c>
      <c r="J2" s="5">
        <v>158</v>
      </c>
      <c r="K2" s="5">
        <v>1465</v>
      </c>
      <c r="L2" s="5">
        <v>1530</v>
      </c>
      <c r="M2" s="5">
        <v>118</v>
      </c>
      <c r="N2" s="5">
        <v>117</v>
      </c>
      <c r="O2" s="5">
        <v>190</v>
      </c>
      <c r="P2" s="5">
        <v>218</v>
      </c>
      <c r="Q2" s="5">
        <v>3477</v>
      </c>
      <c r="R2" s="5">
        <v>3247</v>
      </c>
      <c r="S2" s="5">
        <v>120</v>
      </c>
      <c r="T2" s="5">
        <v>139</v>
      </c>
      <c r="U2" s="5"/>
      <c r="V2" s="5">
        <f>E2/G2</f>
        <v>4.5777777777777775</v>
      </c>
      <c r="W2" s="5">
        <f>K2/M2</f>
        <v>12.415254237288135</v>
      </c>
      <c r="X2" s="5">
        <f>Q2/S2</f>
        <v>28.975000000000001</v>
      </c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</row>
    <row r="3" spans="1:56">
      <c r="A3" s="5" t="s">
        <v>147</v>
      </c>
      <c r="B3" s="5" t="s">
        <v>58</v>
      </c>
      <c r="C3" s="5">
        <v>120</v>
      </c>
      <c r="D3" s="5">
        <v>119</v>
      </c>
      <c r="E3" s="5">
        <v>435</v>
      </c>
      <c r="F3" s="5">
        <v>448</v>
      </c>
      <c r="G3" s="5">
        <v>126</v>
      </c>
      <c r="H3" s="5">
        <v>83</v>
      </c>
      <c r="I3" s="5">
        <v>147</v>
      </c>
      <c r="J3" s="5">
        <v>143</v>
      </c>
      <c r="K3" s="5">
        <v>1491</v>
      </c>
      <c r="L3" s="5">
        <v>1616</v>
      </c>
      <c r="M3" s="5">
        <v>113</v>
      </c>
      <c r="N3" s="5">
        <v>113</v>
      </c>
      <c r="O3" s="5">
        <v>182</v>
      </c>
      <c r="P3" s="5">
        <v>181</v>
      </c>
      <c r="Q3" s="5">
        <v>3421</v>
      </c>
      <c r="R3" s="5">
        <v>3464</v>
      </c>
      <c r="S3" s="5">
        <v>129</v>
      </c>
      <c r="T3" s="5">
        <v>136</v>
      </c>
      <c r="U3" s="5"/>
      <c r="V3" s="5">
        <f t="shared" ref="V3:V66" si="0">E3/G3</f>
        <v>3.4523809523809526</v>
      </c>
      <c r="W3" s="5">
        <f t="shared" ref="W3:W66" si="1">K3/M3</f>
        <v>13.194690265486726</v>
      </c>
      <c r="X3" s="5">
        <f t="shared" ref="X3:X66" si="2">Q3/S3</f>
        <v>26.519379844961239</v>
      </c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</row>
    <row r="4" spans="1:56">
      <c r="A4" s="5" t="s">
        <v>147</v>
      </c>
      <c r="B4" s="5" t="s">
        <v>14</v>
      </c>
      <c r="C4" s="5">
        <v>165</v>
      </c>
      <c r="D4" s="5">
        <v>165</v>
      </c>
      <c r="E4" s="5">
        <v>494</v>
      </c>
      <c r="F4" s="5">
        <v>467</v>
      </c>
      <c r="G4" s="5">
        <v>128</v>
      </c>
      <c r="H4" s="5">
        <v>131</v>
      </c>
      <c r="I4" s="5">
        <v>253</v>
      </c>
      <c r="J4" s="5">
        <v>207</v>
      </c>
      <c r="K4" s="5">
        <v>2231</v>
      </c>
      <c r="L4" s="5">
        <v>1735</v>
      </c>
      <c r="M4" s="5">
        <v>183</v>
      </c>
      <c r="N4" s="5">
        <v>165</v>
      </c>
      <c r="O4" s="5">
        <v>250</v>
      </c>
      <c r="P4" s="5">
        <v>247</v>
      </c>
      <c r="Q4" s="5">
        <v>3558</v>
      </c>
      <c r="R4" s="5">
        <v>4486</v>
      </c>
      <c r="S4" s="5">
        <v>204</v>
      </c>
      <c r="T4" s="5">
        <v>182</v>
      </c>
      <c r="U4" s="5"/>
      <c r="V4" s="5">
        <f t="shared" si="0"/>
        <v>3.859375</v>
      </c>
      <c r="W4" s="5">
        <f t="shared" si="1"/>
        <v>12.191256830601093</v>
      </c>
      <c r="X4" s="5">
        <f t="shared" si="2"/>
        <v>17.441176470588236</v>
      </c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</row>
    <row r="5" spans="1:56">
      <c r="A5" s="5" t="s">
        <v>147</v>
      </c>
      <c r="B5" s="5" t="s">
        <v>39</v>
      </c>
      <c r="C5" s="5">
        <v>420</v>
      </c>
      <c r="D5" s="5">
        <v>323</v>
      </c>
      <c r="E5" s="5">
        <v>894</v>
      </c>
      <c r="F5" s="5">
        <v>923</v>
      </c>
      <c r="G5" s="5">
        <v>242</v>
      </c>
      <c r="H5" s="5">
        <v>263</v>
      </c>
      <c r="I5" s="5">
        <v>343</v>
      </c>
      <c r="J5" s="5">
        <v>366</v>
      </c>
      <c r="K5" s="5">
        <v>5059</v>
      </c>
      <c r="L5" s="5">
        <v>4399</v>
      </c>
      <c r="M5" s="5">
        <v>294</v>
      </c>
      <c r="N5" s="5">
        <v>296</v>
      </c>
      <c r="O5" s="5">
        <v>392</v>
      </c>
      <c r="P5" s="5">
        <v>401</v>
      </c>
      <c r="Q5" s="5">
        <v>10834</v>
      </c>
      <c r="R5" s="5">
        <v>11033</v>
      </c>
      <c r="S5" s="5">
        <v>351</v>
      </c>
      <c r="T5" s="5">
        <v>347</v>
      </c>
      <c r="U5" s="5"/>
      <c r="V5" s="5">
        <f t="shared" si="0"/>
        <v>3.6942148760330578</v>
      </c>
      <c r="W5" s="5">
        <f t="shared" si="1"/>
        <v>17.207482993197278</v>
      </c>
      <c r="X5" s="5">
        <f t="shared" si="2"/>
        <v>30.866096866096868</v>
      </c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</row>
    <row r="6" spans="1:56">
      <c r="A6" s="5" t="s">
        <v>147</v>
      </c>
      <c r="B6" s="5" t="s">
        <v>51</v>
      </c>
      <c r="C6" s="5">
        <v>75</v>
      </c>
      <c r="D6" s="5">
        <v>76</v>
      </c>
      <c r="E6" s="5">
        <v>261</v>
      </c>
      <c r="F6" s="5">
        <v>240</v>
      </c>
      <c r="G6" s="5">
        <v>57</v>
      </c>
      <c r="H6" s="5">
        <v>57</v>
      </c>
      <c r="I6" s="5">
        <v>92</v>
      </c>
      <c r="J6" s="5">
        <v>90</v>
      </c>
      <c r="K6" s="5">
        <v>827</v>
      </c>
      <c r="L6" s="5">
        <v>1254</v>
      </c>
      <c r="M6" s="5">
        <v>75</v>
      </c>
      <c r="N6" s="5">
        <v>73</v>
      </c>
      <c r="O6" s="5">
        <v>107</v>
      </c>
      <c r="P6" s="5">
        <v>111</v>
      </c>
      <c r="Q6" s="5">
        <v>1637</v>
      </c>
      <c r="R6" s="5">
        <v>1584</v>
      </c>
      <c r="S6" s="5">
        <v>86</v>
      </c>
      <c r="T6" s="5">
        <v>101</v>
      </c>
      <c r="U6" s="5"/>
      <c r="V6" s="5">
        <f t="shared" si="0"/>
        <v>4.5789473684210522</v>
      </c>
      <c r="W6" s="5">
        <f t="shared" si="1"/>
        <v>11.026666666666667</v>
      </c>
      <c r="X6" s="5">
        <f t="shared" si="2"/>
        <v>19.034883720930232</v>
      </c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</row>
    <row r="7" spans="1:56">
      <c r="A7" s="5" t="s">
        <v>147</v>
      </c>
      <c r="B7" s="5" t="s">
        <v>55</v>
      </c>
      <c r="C7" s="5">
        <v>391</v>
      </c>
      <c r="D7" s="5">
        <v>303</v>
      </c>
      <c r="E7" s="5">
        <v>723</v>
      </c>
      <c r="F7" s="5">
        <v>963</v>
      </c>
      <c r="G7" s="5">
        <v>204</v>
      </c>
      <c r="H7" s="5">
        <v>248</v>
      </c>
      <c r="I7" s="5">
        <v>308</v>
      </c>
      <c r="J7" s="5">
        <v>343</v>
      </c>
      <c r="K7" s="5">
        <v>2883</v>
      </c>
      <c r="L7" s="5">
        <v>2299</v>
      </c>
      <c r="M7" s="5">
        <v>253</v>
      </c>
      <c r="N7" s="5">
        <v>282</v>
      </c>
      <c r="O7" s="5">
        <v>351</v>
      </c>
      <c r="P7" s="5">
        <v>432</v>
      </c>
      <c r="Q7" s="5">
        <v>5330</v>
      </c>
      <c r="R7" s="5">
        <v>5808</v>
      </c>
      <c r="S7" s="5">
        <v>296</v>
      </c>
      <c r="T7" s="5">
        <v>314</v>
      </c>
      <c r="U7" s="5"/>
      <c r="V7" s="5">
        <f t="shared" si="0"/>
        <v>3.5441176470588234</v>
      </c>
      <c r="W7" s="5">
        <f t="shared" si="1"/>
        <v>11.395256916996047</v>
      </c>
      <c r="X7" s="5">
        <f t="shared" si="2"/>
        <v>18.006756756756758</v>
      </c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</row>
    <row r="8" spans="1:56">
      <c r="A8" s="5" t="s">
        <v>147</v>
      </c>
      <c r="B8" s="5" t="s">
        <v>85</v>
      </c>
      <c r="C8" s="5">
        <v>1048</v>
      </c>
      <c r="D8" s="5">
        <v>2198</v>
      </c>
      <c r="E8" s="5">
        <v>5709</v>
      </c>
      <c r="F8" s="5">
        <v>8867</v>
      </c>
      <c r="G8" s="5">
        <v>798</v>
      </c>
      <c r="H8" s="5">
        <v>1676</v>
      </c>
      <c r="I8" s="5">
        <v>1330</v>
      </c>
      <c r="J8" s="5">
        <v>2640</v>
      </c>
      <c r="K8" s="5">
        <v>25754</v>
      </c>
      <c r="L8" s="5">
        <v>40880</v>
      </c>
      <c r="M8" s="5">
        <v>997</v>
      </c>
      <c r="N8" s="5">
        <v>2124</v>
      </c>
      <c r="O8" s="5">
        <v>1391</v>
      </c>
      <c r="P8" s="5">
        <v>3062</v>
      </c>
      <c r="Q8" s="5">
        <v>69038</v>
      </c>
      <c r="R8" s="5">
        <v>101655</v>
      </c>
      <c r="S8" s="5">
        <v>1201</v>
      </c>
      <c r="T8" s="5">
        <v>2639</v>
      </c>
      <c r="U8" s="5"/>
      <c r="V8" s="5">
        <f t="shared" si="0"/>
        <v>7.1541353383458643</v>
      </c>
      <c r="W8" s="5">
        <f t="shared" si="1"/>
        <v>25.831494483450353</v>
      </c>
      <c r="X8" s="5">
        <f t="shared" si="2"/>
        <v>57.483763530391343</v>
      </c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</row>
    <row r="9" spans="1:56">
      <c r="A9" s="5" t="s">
        <v>147</v>
      </c>
      <c r="B9" s="5" t="s">
        <v>30</v>
      </c>
      <c r="C9" s="5">
        <v>478</v>
      </c>
      <c r="D9" s="5">
        <v>502</v>
      </c>
      <c r="E9" s="5">
        <v>1286</v>
      </c>
      <c r="F9" s="5">
        <v>1489</v>
      </c>
      <c r="G9" s="5">
        <v>421</v>
      </c>
      <c r="H9" s="5">
        <v>397</v>
      </c>
      <c r="I9" s="5">
        <v>559</v>
      </c>
      <c r="J9" s="5">
        <v>589</v>
      </c>
      <c r="K9" s="5">
        <v>8779</v>
      </c>
      <c r="L9" s="5">
        <v>8154</v>
      </c>
      <c r="M9" s="5">
        <v>468</v>
      </c>
      <c r="N9" s="5">
        <v>506</v>
      </c>
      <c r="O9" s="5">
        <v>660</v>
      </c>
      <c r="P9" s="5">
        <v>657</v>
      </c>
      <c r="Q9" s="5">
        <v>14135</v>
      </c>
      <c r="R9" s="5">
        <v>13411</v>
      </c>
      <c r="S9" s="5">
        <v>521</v>
      </c>
      <c r="T9" s="5">
        <v>587</v>
      </c>
      <c r="U9" s="5"/>
      <c r="V9" s="5">
        <f t="shared" si="0"/>
        <v>3.0546318289786223</v>
      </c>
      <c r="W9" s="5">
        <f t="shared" si="1"/>
        <v>18.758547008547009</v>
      </c>
      <c r="X9" s="5">
        <f t="shared" si="2"/>
        <v>27.130518234165066</v>
      </c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</row>
    <row r="10" spans="1:56">
      <c r="A10" s="5" t="s">
        <v>147</v>
      </c>
      <c r="B10" s="5" t="s">
        <v>89</v>
      </c>
      <c r="C10" s="5">
        <v>1284</v>
      </c>
      <c r="D10" s="5">
        <v>1663</v>
      </c>
      <c r="E10" s="5">
        <v>4353</v>
      </c>
      <c r="F10" s="5">
        <v>5067</v>
      </c>
      <c r="G10" s="5">
        <v>940</v>
      </c>
      <c r="H10" s="5">
        <v>1185</v>
      </c>
      <c r="I10" s="5">
        <v>2038</v>
      </c>
      <c r="J10" s="5">
        <v>2550</v>
      </c>
      <c r="K10" s="5">
        <v>15556</v>
      </c>
      <c r="L10" s="5">
        <v>19340</v>
      </c>
      <c r="M10" s="5">
        <v>1565</v>
      </c>
      <c r="N10" s="5">
        <v>1955</v>
      </c>
      <c r="O10" s="5">
        <v>2474</v>
      </c>
      <c r="P10" s="5">
        <v>3367</v>
      </c>
      <c r="Q10" s="5">
        <v>59932</v>
      </c>
      <c r="R10" s="5">
        <v>59707</v>
      </c>
      <c r="S10" s="5">
        <v>2085</v>
      </c>
      <c r="T10" s="5">
        <v>2638</v>
      </c>
      <c r="U10" s="5"/>
      <c r="V10" s="5">
        <f t="shared" si="0"/>
        <v>4.6308510638297875</v>
      </c>
      <c r="W10" s="5">
        <f t="shared" si="1"/>
        <v>9.9399361022364214</v>
      </c>
      <c r="X10" s="5">
        <f t="shared" si="2"/>
        <v>28.744364508393286</v>
      </c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</row>
    <row r="11" spans="1:56">
      <c r="A11" s="5" t="s">
        <v>166</v>
      </c>
      <c r="B11" s="5" t="s">
        <v>2</v>
      </c>
      <c r="C11" s="5">
        <v>20</v>
      </c>
      <c r="D11" s="5">
        <v>20</v>
      </c>
      <c r="E11" s="5">
        <v>104</v>
      </c>
      <c r="F11" s="5">
        <v>110</v>
      </c>
      <c r="G11" s="5">
        <v>21</v>
      </c>
      <c r="H11" s="5">
        <v>18</v>
      </c>
      <c r="I11" s="5">
        <v>26</v>
      </c>
      <c r="J11" s="5">
        <v>24</v>
      </c>
      <c r="K11" s="5">
        <v>330</v>
      </c>
      <c r="L11" s="5">
        <v>335</v>
      </c>
      <c r="M11" s="5">
        <v>21</v>
      </c>
      <c r="N11" s="5">
        <v>21</v>
      </c>
      <c r="O11" s="5">
        <v>31</v>
      </c>
      <c r="P11" s="5">
        <v>30</v>
      </c>
      <c r="Q11" s="5">
        <v>580</v>
      </c>
      <c r="R11" s="5">
        <v>591</v>
      </c>
      <c r="S11" s="5">
        <v>24</v>
      </c>
      <c r="T11" s="5">
        <v>23</v>
      </c>
      <c r="U11" s="5"/>
      <c r="V11" s="5">
        <f t="shared" si="0"/>
        <v>4.9523809523809526</v>
      </c>
      <c r="W11" s="5">
        <f t="shared" si="1"/>
        <v>15.714285714285714</v>
      </c>
      <c r="X11" s="5">
        <f t="shared" si="2"/>
        <v>24.166666666666668</v>
      </c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</row>
    <row r="12" spans="1:56">
      <c r="A12" s="5" t="s">
        <v>166</v>
      </c>
      <c r="B12" s="5" t="s">
        <v>37</v>
      </c>
      <c r="C12" s="5">
        <v>20</v>
      </c>
      <c r="D12" s="5">
        <v>21</v>
      </c>
      <c r="E12" s="5">
        <v>87</v>
      </c>
      <c r="F12" s="5">
        <v>86</v>
      </c>
      <c r="G12" s="5">
        <v>16</v>
      </c>
      <c r="H12" s="5">
        <v>16</v>
      </c>
      <c r="I12" s="5">
        <v>26</v>
      </c>
      <c r="J12" s="5">
        <v>26</v>
      </c>
      <c r="K12" s="5">
        <v>285</v>
      </c>
      <c r="L12" s="5">
        <v>285</v>
      </c>
      <c r="M12" s="5">
        <v>20</v>
      </c>
      <c r="N12" s="5">
        <v>21</v>
      </c>
      <c r="O12" s="5">
        <v>31</v>
      </c>
      <c r="P12" s="5">
        <v>32</v>
      </c>
      <c r="Q12" s="5">
        <v>570</v>
      </c>
      <c r="R12" s="5">
        <v>579</v>
      </c>
      <c r="S12" s="5">
        <v>23</v>
      </c>
      <c r="T12" s="5">
        <v>24</v>
      </c>
      <c r="U12" s="5"/>
      <c r="V12" s="5">
        <f t="shared" si="0"/>
        <v>5.4375</v>
      </c>
      <c r="W12" s="5">
        <f t="shared" si="1"/>
        <v>14.25</v>
      </c>
      <c r="X12" s="5">
        <f t="shared" si="2"/>
        <v>24.782608695652176</v>
      </c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</row>
    <row r="13" spans="1:56">
      <c r="A13" s="5" t="s">
        <v>166</v>
      </c>
      <c r="B13" s="5" t="s">
        <v>72</v>
      </c>
      <c r="C13" s="5">
        <v>77</v>
      </c>
      <c r="D13" s="5">
        <v>97</v>
      </c>
      <c r="E13" s="5">
        <v>286</v>
      </c>
      <c r="F13" s="5">
        <v>263</v>
      </c>
      <c r="G13" s="5">
        <v>65</v>
      </c>
      <c r="H13" s="5">
        <v>68</v>
      </c>
      <c r="I13" s="5">
        <v>115</v>
      </c>
      <c r="J13" s="5">
        <v>103</v>
      </c>
      <c r="K13" s="5">
        <v>750</v>
      </c>
      <c r="L13" s="5">
        <v>650</v>
      </c>
      <c r="M13" s="5">
        <v>91</v>
      </c>
      <c r="N13" s="5">
        <v>85</v>
      </c>
      <c r="O13" s="5">
        <v>122</v>
      </c>
      <c r="P13" s="5">
        <v>164</v>
      </c>
      <c r="Q13" s="5">
        <v>1655</v>
      </c>
      <c r="R13" s="5">
        <v>2145</v>
      </c>
      <c r="S13" s="5">
        <v>91</v>
      </c>
      <c r="T13" s="5">
        <v>93</v>
      </c>
      <c r="U13" s="5"/>
      <c r="V13" s="5">
        <f t="shared" si="0"/>
        <v>4.4000000000000004</v>
      </c>
      <c r="W13" s="5">
        <f t="shared" si="1"/>
        <v>8.2417582417582409</v>
      </c>
      <c r="X13" s="5">
        <f t="shared" si="2"/>
        <v>18.186813186813186</v>
      </c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</row>
    <row r="14" spans="1:56">
      <c r="A14" s="5" t="s">
        <v>166</v>
      </c>
      <c r="B14" s="5" t="s">
        <v>8</v>
      </c>
      <c r="C14" s="5">
        <v>36</v>
      </c>
      <c r="D14" s="5">
        <v>21</v>
      </c>
      <c r="E14" s="5">
        <v>104</v>
      </c>
      <c r="F14" s="5">
        <v>104</v>
      </c>
      <c r="G14" s="5">
        <v>17</v>
      </c>
      <c r="H14" s="5">
        <v>27</v>
      </c>
      <c r="I14" s="5">
        <v>26</v>
      </c>
      <c r="J14" s="5">
        <v>25</v>
      </c>
      <c r="K14" s="5">
        <v>314</v>
      </c>
      <c r="L14" s="5">
        <v>334</v>
      </c>
      <c r="M14" s="5">
        <v>20</v>
      </c>
      <c r="N14" s="5">
        <v>26</v>
      </c>
      <c r="O14" s="5">
        <v>31</v>
      </c>
      <c r="P14" s="5">
        <v>51</v>
      </c>
      <c r="Q14" s="5">
        <v>642</v>
      </c>
      <c r="R14" s="5">
        <v>641</v>
      </c>
      <c r="S14" s="5">
        <v>24</v>
      </c>
      <c r="T14" s="5">
        <v>24</v>
      </c>
      <c r="U14" s="5"/>
      <c r="V14" s="5">
        <f t="shared" si="0"/>
        <v>6.117647058823529</v>
      </c>
      <c r="W14" s="5">
        <f t="shared" si="1"/>
        <v>15.7</v>
      </c>
      <c r="X14" s="5">
        <f t="shared" si="2"/>
        <v>26.75</v>
      </c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</row>
    <row r="15" spans="1:56">
      <c r="A15" s="5" t="s">
        <v>166</v>
      </c>
      <c r="B15" s="5" t="s">
        <v>101</v>
      </c>
      <c r="C15" s="5">
        <v>1828</v>
      </c>
      <c r="D15" s="5">
        <v>2265</v>
      </c>
      <c r="E15" s="5">
        <v>5665</v>
      </c>
      <c r="F15" s="5">
        <v>6043</v>
      </c>
      <c r="G15" s="5">
        <v>1457</v>
      </c>
      <c r="H15" s="5">
        <v>1835</v>
      </c>
      <c r="I15" s="5">
        <v>3075</v>
      </c>
      <c r="J15" s="5">
        <v>3585</v>
      </c>
      <c r="K15" s="5">
        <v>24838</v>
      </c>
      <c r="L15" s="5">
        <v>26270</v>
      </c>
      <c r="M15" s="5">
        <v>2294</v>
      </c>
      <c r="N15" s="5">
        <v>2975</v>
      </c>
      <c r="O15" s="5">
        <v>3658</v>
      </c>
      <c r="P15" s="5">
        <v>4708</v>
      </c>
      <c r="Q15" s="5">
        <v>58715</v>
      </c>
      <c r="R15" s="5">
        <v>64791</v>
      </c>
      <c r="S15" s="5">
        <v>3016</v>
      </c>
      <c r="T15" s="5">
        <v>3952</v>
      </c>
      <c r="U15" s="5"/>
      <c r="V15" s="5">
        <f t="shared" si="0"/>
        <v>3.8881262868908717</v>
      </c>
      <c r="W15" s="5">
        <f t="shared" si="1"/>
        <v>10.827375762859633</v>
      </c>
      <c r="X15" s="5">
        <f t="shared" si="2"/>
        <v>19.467838196286472</v>
      </c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</row>
    <row r="16" spans="1:56">
      <c r="A16" s="5" t="s">
        <v>166</v>
      </c>
      <c r="B16" s="5" t="s">
        <v>3</v>
      </c>
      <c r="C16" s="5">
        <v>272</v>
      </c>
      <c r="D16" s="5">
        <v>299</v>
      </c>
      <c r="E16" s="5">
        <v>888</v>
      </c>
      <c r="F16" s="5">
        <v>1001</v>
      </c>
      <c r="G16" s="5">
        <v>216</v>
      </c>
      <c r="H16" s="5">
        <v>260</v>
      </c>
      <c r="I16" s="5">
        <v>310</v>
      </c>
      <c r="J16" s="5">
        <v>366</v>
      </c>
      <c r="K16" s="5">
        <v>2848</v>
      </c>
      <c r="L16" s="5">
        <v>3483</v>
      </c>
      <c r="M16" s="5">
        <v>260</v>
      </c>
      <c r="N16" s="5">
        <v>295</v>
      </c>
      <c r="O16" s="5">
        <v>380</v>
      </c>
      <c r="P16" s="5">
        <v>491</v>
      </c>
      <c r="Q16" s="5">
        <v>5974</v>
      </c>
      <c r="R16" s="5">
        <v>8854</v>
      </c>
      <c r="S16" s="5">
        <v>296</v>
      </c>
      <c r="T16" s="5">
        <v>330</v>
      </c>
      <c r="U16" s="5"/>
      <c r="V16" s="5">
        <f t="shared" si="0"/>
        <v>4.1111111111111107</v>
      </c>
      <c r="W16" s="5">
        <f t="shared" si="1"/>
        <v>10.953846153846154</v>
      </c>
      <c r="X16" s="5">
        <f t="shared" si="2"/>
        <v>20.182432432432432</v>
      </c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</row>
    <row r="17" spans="1:56">
      <c r="A17" s="5" t="s">
        <v>166</v>
      </c>
      <c r="B17" s="5" t="s">
        <v>76</v>
      </c>
      <c r="C17" s="5">
        <v>259</v>
      </c>
      <c r="D17" s="5">
        <v>294</v>
      </c>
      <c r="E17" s="5">
        <v>946</v>
      </c>
      <c r="F17" s="5">
        <v>964</v>
      </c>
      <c r="G17" s="5">
        <v>206</v>
      </c>
      <c r="H17" s="5">
        <v>237</v>
      </c>
      <c r="I17" s="5">
        <v>306</v>
      </c>
      <c r="J17" s="5">
        <v>357</v>
      </c>
      <c r="K17" s="5">
        <v>2853</v>
      </c>
      <c r="L17" s="5">
        <v>3194</v>
      </c>
      <c r="M17" s="5">
        <v>256</v>
      </c>
      <c r="N17" s="5">
        <v>287</v>
      </c>
      <c r="O17" s="5">
        <v>365</v>
      </c>
      <c r="P17" s="5">
        <v>411</v>
      </c>
      <c r="Q17" s="5">
        <v>6209</v>
      </c>
      <c r="R17" s="5">
        <v>9093</v>
      </c>
      <c r="S17" s="5">
        <v>302</v>
      </c>
      <c r="T17" s="5">
        <v>328</v>
      </c>
      <c r="U17" s="5"/>
      <c r="V17" s="5">
        <f t="shared" si="0"/>
        <v>4.592233009708738</v>
      </c>
      <c r="W17" s="5">
        <f t="shared" si="1"/>
        <v>11.14453125</v>
      </c>
      <c r="X17" s="5">
        <f t="shared" si="2"/>
        <v>20.559602649006621</v>
      </c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</row>
    <row r="18" spans="1:56">
      <c r="A18" s="5" t="s">
        <v>166</v>
      </c>
      <c r="B18" s="5" t="s">
        <v>29</v>
      </c>
      <c r="C18" s="5">
        <v>409</v>
      </c>
      <c r="D18" s="5">
        <v>413</v>
      </c>
      <c r="E18" s="5">
        <v>931</v>
      </c>
      <c r="F18" s="5">
        <v>923</v>
      </c>
      <c r="G18" s="5">
        <v>310</v>
      </c>
      <c r="H18" s="5">
        <v>318</v>
      </c>
      <c r="I18" s="5">
        <v>649</v>
      </c>
      <c r="J18" s="5">
        <v>663</v>
      </c>
      <c r="K18" s="5">
        <v>2551</v>
      </c>
      <c r="L18" s="5">
        <v>2543</v>
      </c>
      <c r="M18" s="5">
        <v>544</v>
      </c>
      <c r="N18" s="5">
        <v>541</v>
      </c>
      <c r="O18" s="5">
        <v>891</v>
      </c>
      <c r="P18" s="5">
        <v>858</v>
      </c>
      <c r="Q18" s="5">
        <v>5935</v>
      </c>
      <c r="R18" s="5">
        <v>5844</v>
      </c>
      <c r="S18" s="5">
        <v>714</v>
      </c>
      <c r="T18" s="5">
        <v>704</v>
      </c>
      <c r="U18" s="5"/>
      <c r="V18" s="5">
        <f t="shared" si="0"/>
        <v>3.0032258064516131</v>
      </c>
      <c r="W18" s="5">
        <f t="shared" si="1"/>
        <v>4.6893382352941178</v>
      </c>
      <c r="X18" s="5">
        <f t="shared" si="2"/>
        <v>8.3123249299719895</v>
      </c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</row>
    <row r="19" spans="1:56">
      <c r="A19" s="5" t="s">
        <v>166</v>
      </c>
      <c r="B19" s="5" t="s">
        <v>98</v>
      </c>
      <c r="C19" s="5">
        <v>3322</v>
      </c>
      <c r="D19" s="5">
        <v>4497</v>
      </c>
      <c r="E19" s="5">
        <v>10838</v>
      </c>
      <c r="F19" s="5">
        <v>12555</v>
      </c>
      <c r="G19" s="5">
        <v>2568</v>
      </c>
      <c r="H19" s="5">
        <v>3427</v>
      </c>
      <c r="I19" s="5">
        <v>5561</v>
      </c>
      <c r="J19" s="5">
        <v>7428</v>
      </c>
      <c r="K19" s="5">
        <v>49967</v>
      </c>
      <c r="L19" s="5">
        <v>54089</v>
      </c>
      <c r="M19" s="5">
        <v>4370</v>
      </c>
      <c r="N19" s="5">
        <v>5935</v>
      </c>
      <c r="O19" s="5">
        <v>7247</v>
      </c>
      <c r="P19" s="5">
        <v>9497</v>
      </c>
      <c r="Q19" s="5">
        <v>121349</v>
      </c>
      <c r="R19" s="5">
        <v>149499</v>
      </c>
      <c r="S19" s="5">
        <v>5828</v>
      </c>
      <c r="T19" s="5">
        <v>7929</v>
      </c>
      <c r="U19" s="5"/>
      <c r="V19" s="5">
        <f t="shared" si="0"/>
        <v>4.2204049844236762</v>
      </c>
      <c r="W19" s="5">
        <f t="shared" si="1"/>
        <v>11.434096109839818</v>
      </c>
      <c r="X19" s="5">
        <f t="shared" si="2"/>
        <v>20.82172271791352</v>
      </c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</row>
    <row r="20" spans="1:56">
      <c r="A20" s="5" t="s">
        <v>166</v>
      </c>
      <c r="B20" s="5" t="s">
        <v>43</v>
      </c>
      <c r="C20" s="5">
        <v>1601</v>
      </c>
      <c r="D20" s="5">
        <v>1914</v>
      </c>
      <c r="E20" s="5">
        <v>5083</v>
      </c>
      <c r="F20" s="5">
        <v>4956</v>
      </c>
      <c r="G20" s="5">
        <v>1244</v>
      </c>
      <c r="H20" s="5">
        <v>1522</v>
      </c>
      <c r="I20" s="5">
        <v>2530</v>
      </c>
      <c r="J20" s="5">
        <v>3013</v>
      </c>
      <c r="K20" s="5">
        <v>21586</v>
      </c>
      <c r="L20" s="5">
        <v>23262</v>
      </c>
      <c r="M20" s="5">
        <v>2026</v>
      </c>
      <c r="N20" s="5">
        <v>2367</v>
      </c>
      <c r="O20" s="5">
        <v>3453</v>
      </c>
      <c r="P20" s="5">
        <v>3922</v>
      </c>
      <c r="Q20" s="5">
        <v>50781</v>
      </c>
      <c r="R20" s="5">
        <v>52021</v>
      </c>
      <c r="S20" s="5">
        <v>2674</v>
      </c>
      <c r="T20" s="5">
        <v>3258</v>
      </c>
      <c r="U20" s="5"/>
      <c r="V20" s="5">
        <f t="shared" si="0"/>
        <v>4.086012861736334</v>
      </c>
      <c r="W20" s="5">
        <f t="shared" si="1"/>
        <v>10.654491609081935</v>
      </c>
      <c r="X20" s="5">
        <f t="shared" si="2"/>
        <v>18.990650710545999</v>
      </c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</row>
    <row r="21" spans="1:56">
      <c r="A21" s="5" t="s">
        <v>166</v>
      </c>
      <c r="B21" s="5" t="s">
        <v>28</v>
      </c>
      <c r="C21" s="5">
        <v>1076</v>
      </c>
      <c r="D21" s="5">
        <v>1236</v>
      </c>
      <c r="E21" s="5">
        <v>4380</v>
      </c>
      <c r="F21" s="5">
        <v>4347</v>
      </c>
      <c r="G21" s="5">
        <v>851</v>
      </c>
      <c r="H21" s="5">
        <v>905</v>
      </c>
      <c r="I21" s="5">
        <v>1623</v>
      </c>
      <c r="J21" s="5">
        <v>1853</v>
      </c>
      <c r="K21" s="5">
        <v>16637</v>
      </c>
      <c r="L21" s="5">
        <v>16952</v>
      </c>
      <c r="M21" s="5">
        <v>1324</v>
      </c>
      <c r="N21" s="5">
        <v>1424</v>
      </c>
      <c r="O21" s="5">
        <v>2136</v>
      </c>
      <c r="P21" s="5">
        <v>2280</v>
      </c>
      <c r="Q21" s="5">
        <v>36033</v>
      </c>
      <c r="R21" s="5">
        <v>33794</v>
      </c>
      <c r="S21" s="5">
        <v>1734</v>
      </c>
      <c r="T21" s="5">
        <v>1839</v>
      </c>
      <c r="U21" s="5"/>
      <c r="V21" s="5">
        <f t="shared" si="0"/>
        <v>5.1468860164512336</v>
      </c>
      <c r="W21" s="5">
        <f t="shared" si="1"/>
        <v>12.56570996978852</v>
      </c>
      <c r="X21" s="5">
        <f t="shared" si="2"/>
        <v>20.780276816608996</v>
      </c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</row>
    <row r="22" spans="1:56">
      <c r="A22" s="5" t="s">
        <v>166</v>
      </c>
      <c r="B22" s="5" t="s">
        <v>40</v>
      </c>
      <c r="C22" s="5">
        <v>21</v>
      </c>
      <c r="D22" s="5">
        <v>21</v>
      </c>
      <c r="E22" s="5">
        <v>169</v>
      </c>
      <c r="F22" s="5">
        <v>177</v>
      </c>
      <c r="G22" s="5">
        <v>17</v>
      </c>
      <c r="H22" s="5">
        <v>17</v>
      </c>
      <c r="I22" s="5">
        <v>26</v>
      </c>
      <c r="J22" s="5">
        <v>25</v>
      </c>
      <c r="K22" s="5">
        <v>323</v>
      </c>
      <c r="L22" s="5">
        <v>266</v>
      </c>
      <c r="M22" s="5">
        <v>21</v>
      </c>
      <c r="N22" s="5">
        <v>33</v>
      </c>
      <c r="O22" s="5">
        <v>31</v>
      </c>
      <c r="P22" s="5">
        <v>31</v>
      </c>
      <c r="Q22" s="5">
        <v>281</v>
      </c>
      <c r="R22" s="5">
        <v>286</v>
      </c>
      <c r="S22" s="5">
        <v>25</v>
      </c>
      <c r="T22" s="5">
        <v>24</v>
      </c>
      <c r="U22" s="5"/>
      <c r="V22" s="5">
        <f t="shared" si="0"/>
        <v>9.9411764705882355</v>
      </c>
      <c r="W22" s="5">
        <f t="shared" si="1"/>
        <v>15.380952380952381</v>
      </c>
      <c r="X22" s="5">
        <f t="shared" si="2"/>
        <v>11.24</v>
      </c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</row>
    <row r="23" spans="1:56">
      <c r="A23" s="5" t="s">
        <v>167</v>
      </c>
      <c r="B23" s="5" t="s">
        <v>56</v>
      </c>
      <c r="C23" s="5">
        <v>3404</v>
      </c>
      <c r="D23" s="5">
        <v>3821</v>
      </c>
      <c r="E23" s="5">
        <v>14714</v>
      </c>
      <c r="F23" s="5">
        <v>15138</v>
      </c>
      <c r="G23" s="5">
        <v>2763</v>
      </c>
      <c r="H23" s="5">
        <v>2910</v>
      </c>
      <c r="I23" s="5">
        <v>4097</v>
      </c>
      <c r="J23" s="5">
        <v>4608</v>
      </c>
      <c r="K23" s="5">
        <v>52805</v>
      </c>
      <c r="L23" s="5">
        <v>53645</v>
      </c>
      <c r="M23" s="5">
        <v>3399</v>
      </c>
      <c r="N23" s="5">
        <v>3699</v>
      </c>
      <c r="O23" s="5">
        <v>5030</v>
      </c>
      <c r="P23" s="5">
        <v>5569</v>
      </c>
      <c r="Q23" s="5">
        <v>176106</v>
      </c>
      <c r="R23" s="5">
        <v>181046</v>
      </c>
      <c r="S23" s="5">
        <v>4178</v>
      </c>
      <c r="T23" s="5">
        <v>4473</v>
      </c>
      <c r="U23" s="5"/>
      <c r="V23" s="5">
        <f t="shared" si="0"/>
        <v>5.3253709735794423</v>
      </c>
      <c r="W23" s="5">
        <f t="shared" si="1"/>
        <v>15.535451603412769</v>
      </c>
      <c r="X23" s="5">
        <f t="shared" si="2"/>
        <v>42.150789851603641</v>
      </c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</row>
    <row r="24" spans="1:56">
      <c r="A24" s="5" t="s">
        <v>167</v>
      </c>
      <c r="B24" s="5" t="s">
        <v>18</v>
      </c>
      <c r="C24" s="5">
        <v>1527</v>
      </c>
      <c r="D24" s="5">
        <v>1652</v>
      </c>
      <c r="E24" s="5">
        <v>6021</v>
      </c>
      <c r="F24" s="5">
        <v>6123</v>
      </c>
      <c r="G24" s="5">
        <v>1211</v>
      </c>
      <c r="H24" s="5">
        <v>1326</v>
      </c>
      <c r="I24" s="5">
        <v>1873</v>
      </c>
      <c r="J24" s="5">
        <v>2039</v>
      </c>
      <c r="K24" s="5">
        <v>21928</v>
      </c>
      <c r="L24" s="5">
        <v>22202</v>
      </c>
      <c r="M24" s="5">
        <v>1543</v>
      </c>
      <c r="N24" s="5">
        <v>1667</v>
      </c>
      <c r="O24" s="5">
        <v>2259</v>
      </c>
      <c r="P24" s="5">
        <v>2410</v>
      </c>
      <c r="Q24" s="5">
        <v>72430</v>
      </c>
      <c r="R24" s="5">
        <v>79235</v>
      </c>
      <c r="S24" s="5">
        <v>1837</v>
      </c>
      <c r="T24" s="5">
        <v>1979</v>
      </c>
      <c r="U24" s="5"/>
      <c r="V24" s="5">
        <f t="shared" si="0"/>
        <v>4.9719240297274983</v>
      </c>
      <c r="W24" s="5">
        <f t="shared" si="1"/>
        <v>14.211276733635774</v>
      </c>
      <c r="X24" s="5">
        <f t="shared" si="2"/>
        <v>39.428415895481763</v>
      </c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</row>
    <row r="25" spans="1:56">
      <c r="A25" s="5" t="s">
        <v>167</v>
      </c>
      <c r="B25" s="5" t="s">
        <v>27</v>
      </c>
      <c r="C25" s="5">
        <v>977</v>
      </c>
      <c r="D25" s="5">
        <v>1055</v>
      </c>
      <c r="E25" s="5">
        <v>3770</v>
      </c>
      <c r="F25" s="5">
        <v>3737</v>
      </c>
      <c r="G25" s="5">
        <v>770</v>
      </c>
      <c r="H25" s="5">
        <v>831</v>
      </c>
      <c r="I25" s="5">
        <v>1177</v>
      </c>
      <c r="J25" s="5">
        <v>1255</v>
      </c>
      <c r="K25" s="5">
        <v>14774</v>
      </c>
      <c r="L25" s="5">
        <v>15774</v>
      </c>
      <c r="M25" s="5">
        <v>956</v>
      </c>
      <c r="N25" s="5">
        <v>1093</v>
      </c>
      <c r="O25" s="5">
        <v>1478</v>
      </c>
      <c r="P25" s="5">
        <v>1482</v>
      </c>
      <c r="Q25" s="5">
        <v>47053</v>
      </c>
      <c r="R25" s="5">
        <v>44336</v>
      </c>
      <c r="S25" s="5">
        <v>1165</v>
      </c>
      <c r="T25" s="5">
        <v>1257</v>
      </c>
      <c r="U25" s="5"/>
      <c r="V25" s="5">
        <f t="shared" si="0"/>
        <v>4.8961038961038961</v>
      </c>
      <c r="W25" s="5">
        <f t="shared" si="1"/>
        <v>15.45397489539749</v>
      </c>
      <c r="X25" s="5">
        <f t="shared" si="2"/>
        <v>40.388841201716737</v>
      </c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</row>
    <row r="26" spans="1:56">
      <c r="A26" s="5" t="s">
        <v>167</v>
      </c>
      <c r="B26" s="5" t="s">
        <v>69</v>
      </c>
      <c r="C26" s="5">
        <v>1019</v>
      </c>
      <c r="D26" s="5">
        <v>1032</v>
      </c>
      <c r="E26" s="5">
        <v>2351</v>
      </c>
      <c r="F26" s="5">
        <v>2751</v>
      </c>
      <c r="G26" s="5">
        <v>915</v>
      </c>
      <c r="H26" s="5">
        <v>785</v>
      </c>
      <c r="I26" s="5">
        <v>1762</v>
      </c>
      <c r="J26" s="5">
        <v>1880</v>
      </c>
      <c r="K26" s="5">
        <v>9961</v>
      </c>
      <c r="L26" s="5">
        <v>11859</v>
      </c>
      <c r="M26" s="5">
        <v>1360</v>
      </c>
      <c r="N26" s="5">
        <v>1417</v>
      </c>
      <c r="O26" s="5">
        <v>2376</v>
      </c>
      <c r="P26" s="5">
        <v>2474</v>
      </c>
      <c r="Q26" s="5">
        <v>28939</v>
      </c>
      <c r="R26" s="5">
        <v>31095</v>
      </c>
      <c r="S26" s="5">
        <v>1935</v>
      </c>
      <c r="T26" s="5">
        <v>1974</v>
      </c>
      <c r="U26" s="5"/>
      <c r="V26" s="5">
        <f t="shared" si="0"/>
        <v>2.569398907103825</v>
      </c>
      <c r="W26" s="5">
        <f t="shared" si="1"/>
        <v>7.3242647058823529</v>
      </c>
      <c r="X26" s="5">
        <f t="shared" si="2"/>
        <v>14.955555555555556</v>
      </c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</row>
    <row r="27" spans="1:56">
      <c r="A27" s="5" t="s">
        <v>167</v>
      </c>
      <c r="B27" s="5" t="s">
        <v>71</v>
      </c>
      <c r="C27" s="5">
        <v>1013</v>
      </c>
      <c r="D27" s="5">
        <v>1047</v>
      </c>
      <c r="E27" s="5">
        <v>3429</v>
      </c>
      <c r="F27" s="5">
        <v>3446</v>
      </c>
      <c r="G27" s="5">
        <v>963</v>
      </c>
      <c r="H27" s="5">
        <v>845</v>
      </c>
      <c r="I27" s="5">
        <v>1183</v>
      </c>
      <c r="J27" s="5">
        <v>1275</v>
      </c>
      <c r="K27" s="5">
        <v>12125</v>
      </c>
      <c r="L27" s="5">
        <v>12490</v>
      </c>
      <c r="M27" s="5">
        <v>963</v>
      </c>
      <c r="N27" s="5">
        <v>1007</v>
      </c>
      <c r="O27" s="5">
        <v>1436</v>
      </c>
      <c r="P27" s="5">
        <v>1486</v>
      </c>
      <c r="Q27" s="5">
        <v>32043</v>
      </c>
      <c r="R27" s="5">
        <v>33935</v>
      </c>
      <c r="S27" s="5">
        <v>1183</v>
      </c>
      <c r="T27" s="5">
        <v>1231</v>
      </c>
      <c r="U27" s="5"/>
      <c r="V27" s="5">
        <f t="shared" si="0"/>
        <v>3.5607476635514019</v>
      </c>
      <c r="W27" s="5">
        <f t="shared" si="1"/>
        <v>12.590861889927311</v>
      </c>
      <c r="X27" s="5">
        <f t="shared" si="2"/>
        <v>27.086221470836854</v>
      </c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</row>
    <row r="28" spans="1:56">
      <c r="A28" s="5" t="s">
        <v>167</v>
      </c>
      <c r="B28" s="5" t="s">
        <v>22</v>
      </c>
      <c r="C28" s="5">
        <v>408</v>
      </c>
      <c r="D28" s="5">
        <v>861</v>
      </c>
      <c r="E28" s="5">
        <v>2019</v>
      </c>
      <c r="F28" s="5">
        <v>2565</v>
      </c>
      <c r="G28" s="5">
        <v>329</v>
      </c>
      <c r="H28" s="5">
        <v>667</v>
      </c>
      <c r="I28" s="5">
        <v>511</v>
      </c>
      <c r="J28" s="5">
        <v>1092</v>
      </c>
      <c r="K28" s="5">
        <v>6534</v>
      </c>
      <c r="L28" s="5">
        <v>8994</v>
      </c>
      <c r="M28" s="5">
        <v>412</v>
      </c>
      <c r="N28" s="5">
        <v>870</v>
      </c>
      <c r="O28" s="5">
        <v>583</v>
      </c>
      <c r="P28" s="5">
        <v>1314</v>
      </c>
      <c r="Q28" s="5">
        <v>21834</v>
      </c>
      <c r="R28" s="5">
        <v>25079</v>
      </c>
      <c r="S28" s="5">
        <v>487</v>
      </c>
      <c r="T28" s="5">
        <v>1046</v>
      </c>
      <c r="U28" s="5"/>
      <c r="V28" s="5">
        <f t="shared" si="0"/>
        <v>6.13677811550152</v>
      </c>
      <c r="W28" s="5">
        <f t="shared" si="1"/>
        <v>15.859223300970873</v>
      </c>
      <c r="X28" s="5">
        <f t="shared" si="2"/>
        <v>44.833675564681727</v>
      </c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</row>
    <row r="29" spans="1:56">
      <c r="A29" s="5" t="s">
        <v>167</v>
      </c>
      <c r="B29" s="5" t="s">
        <v>94</v>
      </c>
      <c r="C29" s="5">
        <v>44</v>
      </c>
      <c r="D29" s="5">
        <v>28</v>
      </c>
      <c r="E29" s="5">
        <v>181</v>
      </c>
      <c r="F29" s="5">
        <v>225</v>
      </c>
      <c r="G29" s="5">
        <v>21</v>
      </c>
      <c r="H29" s="5">
        <v>22</v>
      </c>
      <c r="I29" s="5">
        <v>33</v>
      </c>
      <c r="J29" s="5">
        <v>36</v>
      </c>
      <c r="K29" s="5">
        <v>584</v>
      </c>
      <c r="L29" s="5">
        <v>594</v>
      </c>
      <c r="M29" s="5">
        <v>29</v>
      </c>
      <c r="N29" s="5">
        <v>28</v>
      </c>
      <c r="O29" s="5">
        <v>43</v>
      </c>
      <c r="P29" s="5">
        <v>55</v>
      </c>
      <c r="Q29" s="5">
        <v>1104</v>
      </c>
      <c r="R29" s="5">
        <v>1137</v>
      </c>
      <c r="S29" s="5">
        <v>37</v>
      </c>
      <c r="T29" s="5">
        <v>31</v>
      </c>
      <c r="U29" s="5"/>
      <c r="V29" s="5">
        <f t="shared" si="0"/>
        <v>8.6190476190476186</v>
      </c>
      <c r="W29" s="5">
        <f t="shared" si="1"/>
        <v>20.137931034482758</v>
      </c>
      <c r="X29" s="5">
        <f t="shared" si="2"/>
        <v>29.837837837837839</v>
      </c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</row>
    <row r="30" spans="1:56">
      <c r="A30" s="5" t="s">
        <v>167</v>
      </c>
      <c r="B30" s="5" t="s">
        <v>20</v>
      </c>
      <c r="C30" s="5">
        <v>971</v>
      </c>
      <c r="D30" s="5">
        <v>1050</v>
      </c>
      <c r="E30" s="5">
        <v>3467</v>
      </c>
      <c r="F30" s="5">
        <v>3549</v>
      </c>
      <c r="G30" s="5">
        <v>782</v>
      </c>
      <c r="H30" s="5">
        <v>813</v>
      </c>
      <c r="I30" s="5">
        <v>1250</v>
      </c>
      <c r="J30" s="5">
        <v>1270</v>
      </c>
      <c r="K30" s="5">
        <v>12251</v>
      </c>
      <c r="L30" s="5">
        <v>12586</v>
      </c>
      <c r="M30" s="5">
        <v>1010</v>
      </c>
      <c r="N30" s="5">
        <v>1025</v>
      </c>
      <c r="O30" s="5">
        <v>1499</v>
      </c>
      <c r="P30" s="5">
        <v>1482</v>
      </c>
      <c r="Q30" s="5">
        <v>30308</v>
      </c>
      <c r="R30" s="5">
        <v>33236</v>
      </c>
      <c r="S30" s="5">
        <v>1165</v>
      </c>
      <c r="T30" s="5">
        <v>1324</v>
      </c>
      <c r="U30" s="5"/>
      <c r="V30" s="5">
        <f t="shared" si="0"/>
        <v>4.4335038363171355</v>
      </c>
      <c r="W30" s="5">
        <f t="shared" si="1"/>
        <v>12.12970297029703</v>
      </c>
      <c r="X30" s="5">
        <f t="shared" si="2"/>
        <v>26.015450643776823</v>
      </c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</row>
    <row r="31" spans="1:56">
      <c r="A31" s="5" t="s">
        <v>167</v>
      </c>
      <c r="B31" s="5" t="s">
        <v>24</v>
      </c>
      <c r="C31" s="5">
        <v>386</v>
      </c>
      <c r="D31" s="5">
        <v>783</v>
      </c>
      <c r="E31" s="5">
        <v>1961</v>
      </c>
      <c r="F31" s="5">
        <v>2488</v>
      </c>
      <c r="G31" s="5">
        <v>320</v>
      </c>
      <c r="H31" s="5">
        <v>597</v>
      </c>
      <c r="I31" s="5">
        <v>471</v>
      </c>
      <c r="J31" s="5">
        <v>996</v>
      </c>
      <c r="K31" s="5">
        <v>6307</v>
      </c>
      <c r="L31" s="5">
        <v>9567</v>
      </c>
      <c r="M31" s="5">
        <v>411</v>
      </c>
      <c r="N31" s="5">
        <v>796</v>
      </c>
      <c r="O31" s="5">
        <v>572</v>
      </c>
      <c r="P31" s="5">
        <v>1112</v>
      </c>
      <c r="Q31" s="5">
        <v>20844</v>
      </c>
      <c r="R31" s="5">
        <v>25574</v>
      </c>
      <c r="S31" s="5">
        <v>490</v>
      </c>
      <c r="T31" s="5">
        <v>953</v>
      </c>
      <c r="U31" s="5"/>
      <c r="V31" s="5">
        <f t="shared" si="0"/>
        <v>6.1281249999999998</v>
      </c>
      <c r="W31" s="5">
        <f t="shared" si="1"/>
        <v>15.345498783454987</v>
      </c>
      <c r="X31" s="5">
        <f t="shared" si="2"/>
        <v>42.538775510204083</v>
      </c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</row>
    <row r="32" spans="1:56">
      <c r="A32" s="5" t="s">
        <v>167</v>
      </c>
      <c r="B32" s="5" t="s">
        <v>26</v>
      </c>
      <c r="C32" s="5">
        <v>25</v>
      </c>
      <c r="D32" s="5">
        <v>32</v>
      </c>
      <c r="E32" s="5">
        <v>188</v>
      </c>
      <c r="F32" s="5">
        <v>158</v>
      </c>
      <c r="G32" s="5">
        <v>26</v>
      </c>
      <c r="H32" s="5">
        <v>25</v>
      </c>
      <c r="I32" s="5">
        <v>36</v>
      </c>
      <c r="J32" s="5">
        <v>43</v>
      </c>
      <c r="K32" s="5">
        <v>517</v>
      </c>
      <c r="L32" s="5">
        <v>610</v>
      </c>
      <c r="M32" s="5">
        <v>26</v>
      </c>
      <c r="N32" s="5">
        <v>30</v>
      </c>
      <c r="O32" s="5">
        <v>60</v>
      </c>
      <c r="P32" s="5">
        <v>46</v>
      </c>
      <c r="Q32" s="5">
        <v>1044</v>
      </c>
      <c r="R32" s="5">
        <v>1384</v>
      </c>
      <c r="S32" s="5">
        <v>65</v>
      </c>
      <c r="T32" s="5">
        <v>39</v>
      </c>
      <c r="U32" s="5"/>
      <c r="V32" s="5">
        <f t="shared" si="0"/>
        <v>7.2307692307692308</v>
      </c>
      <c r="W32" s="5">
        <f t="shared" si="1"/>
        <v>19.884615384615383</v>
      </c>
      <c r="X32" s="5">
        <f t="shared" si="2"/>
        <v>16.061538461538461</v>
      </c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</row>
    <row r="33" spans="1:56">
      <c r="A33" s="5" t="s">
        <v>167</v>
      </c>
      <c r="B33" s="5" t="s">
        <v>104</v>
      </c>
      <c r="C33" s="5">
        <v>41</v>
      </c>
      <c r="D33" s="5">
        <v>40</v>
      </c>
      <c r="E33" s="5">
        <v>233</v>
      </c>
      <c r="F33" s="5">
        <v>239</v>
      </c>
      <c r="G33" s="5">
        <v>34</v>
      </c>
      <c r="H33" s="5">
        <v>33</v>
      </c>
      <c r="I33" s="5">
        <v>51</v>
      </c>
      <c r="J33" s="5">
        <v>52</v>
      </c>
      <c r="K33" s="5">
        <v>739</v>
      </c>
      <c r="L33" s="5">
        <v>708</v>
      </c>
      <c r="M33" s="5">
        <v>52</v>
      </c>
      <c r="N33" s="5">
        <v>50</v>
      </c>
      <c r="O33" s="5">
        <v>60</v>
      </c>
      <c r="P33" s="5">
        <v>69</v>
      </c>
      <c r="Q33" s="5">
        <v>1473</v>
      </c>
      <c r="R33" s="5">
        <v>1658</v>
      </c>
      <c r="S33" s="5">
        <v>48</v>
      </c>
      <c r="T33" s="5">
        <v>47</v>
      </c>
      <c r="U33" s="5"/>
      <c r="V33" s="5">
        <f t="shared" si="0"/>
        <v>6.8529411764705879</v>
      </c>
      <c r="W33" s="5">
        <f t="shared" si="1"/>
        <v>14.211538461538462</v>
      </c>
      <c r="X33" s="5">
        <f t="shared" si="2"/>
        <v>30.6875</v>
      </c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</row>
    <row r="34" spans="1:56">
      <c r="A34" s="5" t="s">
        <v>168</v>
      </c>
      <c r="B34" s="5" t="s">
        <v>16</v>
      </c>
      <c r="C34" s="5">
        <v>683</v>
      </c>
      <c r="D34" s="5">
        <v>1111</v>
      </c>
      <c r="E34" s="5">
        <v>5421</v>
      </c>
      <c r="F34" s="5">
        <v>8719</v>
      </c>
      <c r="G34" s="5">
        <v>556</v>
      </c>
      <c r="H34" s="5">
        <v>906</v>
      </c>
      <c r="I34" s="5">
        <v>1043</v>
      </c>
      <c r="J34" s="5">
        <v>1380</v>
      </c>
      <c r="K34" s="5">
        <v>22355</v>
      </c>
      <c r="L34" s="5">
        <v>33446</v>
      </c>
      <c r="M34" s="5">
        <v>673</v>
      </c>
      <c r="N34" s="5">
        <v>1203</v>
      </c>
      <c r="O34" s="5">
        <v>969</v>
      </c>
      <c r="P34" s="5">
        <v>1590</v>
      </c>
      <c r="Q34" s="5">
        <v>60108</v>
      </c>
      <c r="R34" s="5">
        <v>85212</v>
      </c>
      <c r="S34" s="5">
        <v>821</v>
      </c>
      <c r="T34" s="5">
        <v>1408</v>
      </c>
      <c r="U34" s="5"/>
      <c r="V34" s="5">
        <f t="shared" si="0"/>
        <v>9.75</v>
      </c>
      <c r="W34" s="5">
        <f t="shared" si="1"/>
        <v>33.216939078751857</v>
      </c>
      <c r="X34" s="5">
        <f t="shared" si="2"/>
        <v>73.213154689403169</v>
      </c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</row>
    <row r="35" spans="1:56">
      <c r="A35" s="5" t="s">
        <v>168</v>
      </c>
      <c r="B35" s="5" t="s">
        <v>91</v>
      </c>
      <c r="C35" s="5">
        <v>1491</v>
      </c>
      <c r="D35" s="5">
        <v>1665</v>
      </c>
      <c r="E35" s="5">
        <v>4413</v>
      </c>
      <c r="F35" s="5">
        <v>5456</v>
      </c>
      <c r="G35" s="5">
        <v>1120</v>
      </c>
      <c r="H35" s="5">
        <v>1295</v>
      </c>
      <c r="I35" s="5">
        <v>2206</v>
      </c>
      <c r="J35" s="5">
        <v>2312</v>
      </c>
      <c r="K35" s="5">
        <v>17625</v>
      </c>
      <c r="L35" s="5">
        <v>23441</v>
      </c>
      <c r="M35" s="5">
        <v>1588</v>
      </c>
      <c r="N35" s="5">
        <v>1946</v>
      </c>
      <c r="O35" s="5">
        <v>2841</v>
      </c>
      <c r="P35" s="5">
        <v>3157</v>
      </c>
      <c r="Q35" s="5">
        <v>52932</v>
      </c>
      <c r="R35" s="5">
        <v>57900</v>
      </c>
      <c r="S35" s="5">
        <v>2334</v>
      </c>
      <c r="T35" s="5">
        <v>2523</v>
      </c>
      <c r="U35" s="5"/>
      <c r="V35" s="5">
        <f t="shared" si="0"/>
        <v>3.9401785714285715</v>
      </c>
      <c r="W35" s="5">
        <f t="shared" si="1"/>
        <v>11.098866498740554</v>
      </c>
      <c r="X35" s="5">
        <f t="shared" si="2"/>
        <v>22.678663239074549</v>
      </c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</row>
    <row r="36" spans="1:56">
      <c r="A36" s="5" t="s">
        <v>169</v>
      </c>
      <c r="B36" s="5" t="s">
        <v>64</v>
      </c>
      <c r="C36" s="5">
        <v>5144</v>
      </c>
      <c r="D36" s="5">
        <v>6688</v>
      </c>
      <c r="E36" s="5">
        <v>53186</v>
      </c>
      <c r="F36" s="5">
        <v>68839</v>
      </c>
      <c r="G36" s="5">
        <v>3994</v>
      </c>
      <c r="H36" s="5">
        <v>5145</v>
      </c>
      <c r="I36" s="5">
        <v>6899</v>
      </c>
      <c r="J36" s="5">
        <v>8641</v>
      </c>
      <c r="K36" s="5">
        <v>179883</v>
      </c>
      <c r="L36" s="5">
        <v>281145</v>
      </c>
      <c r="M36" s="5">
        <v>5720</v>
      </c>
      <c r="N36" s="5">
        <v>7182</v>
      </c>
      <c r="O36" s="5">
        <v>8421</v>
      </c>
      <c r="P36" s="5">
        <v>10680</v>
      </c>
      <c r="Q36" s="5">
        <v>455491</v>
      </c>
      <c r="R36" s="5">
        <v>674091</v>
      </c>
      <c r="S36" s="5">
        <v>7137</v>
      </c>
      <c r="T36" s="5">
        <v>8981</v>
      </c>
      <c r="U36" s="5"/>
      <c r="V36" s="5">
        <f t="shared" si="0"/>
        <v>13.316474712068102</v>
      </c>
      <c r="W36" s="5">
        <f t="shared" si="1"/>
        <v>31.448076923076922</v>
      </c>
      <c r="X36" s="5">
        <f t="shared" si="2"/>
        <v>63.821073280089671</v>
      </c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</row>
    <row r="37" spans="1:56">
      <c r="A37" s="5" t="s">
        <v>169</v>
      </c>
      <c r="B37" s="5" t="s">
        <v>25</v>
      </c>
      <c r="C37" s="5">
        <v>2812</v>
      </c>
      <c r="D37" s="5">
        <v>3091</v>
      </c>
      <c r="E37" s="5">
        <v>9477</v>
      </c>
      <c r="F37" s="5">
        <v>10135</v>
      </c>
      <c r="G37" s="5">
        <v>2182</v>
      </c>
      <c r="H37" s="5">
        <v>2443</v>
      </c>
      <c r="I37" s="5">
        <v>3925</v>
      </c>
      <c r="J37" s="5">
        <v>4448</v>
      </c>
      <c r="K37" s="5">
        <v>43335</v>
      </c>
      <c r="L37" s="5">
        <v>46344</v>
      </c>
      <c r="M37" s="5">
        <v>3253</v>
      </c>
      <c r="N37" s="5">
        <v>3584</v>
      </c>
      <c r="O37" s="5">
        <v>5402</v>
      </c>
      <c r="P37" s="5">
        <v>5585</v>
      </c>
      <c r="Q37" s="5">
        <v>144804</v>
      </c>
      <c r="R37" s="5">
        <v>150430</v>
      </c>
      <c r="S37" s="5">
        <v>4247</v>
      </c>
      <c r="T37" s="5">
        <v>4830</v>
      </c>
      <c r="U37" s="5"/>
      <c r="V37" s="5">
        <f t="shared" si="0"/>
        <v>4.3432630614115491</v>
      </c>
      <c r="W37" s="5">
        <f t="shared" si="1"/>
        <v>13.321549339071627</v>
      </c>
      <c r="X37" s="5">
        <f t="shared" si="2"/>
        <v>34.095596891923712</v>
      </c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</row>
    <row r="38" spans="1:56">
      <c r="A38" s="5" t="s">
        <v>169</v>
      </c>
      <c r="B38" s="5" t="s">
        <v>36</v>
      </c>
      <c r="C38" s="5">
        <v>1596</v>
      </c>
      <c r="D38" s="5">
        <v>2836</v>
      </c>
      <c r="E38" s="5">
        <v>10615</v>
      </c>
      <c r="F38" s="5">
        <v>12666</v>
      </c>
      <c r="G38" s="5">
        <v>1248</v>
      </c>
      <c r="H38" s="5">
        <v>2271</v>
      </c>
      <c r="I38" s="5">
        <v>1920</v>
      </c>
      <c r="J38" s="5">
        <v>3536</v>
      </c>
      <c r="K38" s="5">
        <v>39310</v>
      </c>
      <c r="L38" s="5">
        <v>48052</v>
      </c>
      <c r="M38" s="5">
        <v>1652</v>
      </c>
      <c r="N38" s="5">
        <v>2966</v>
      </c>
      <c r="O38" s="5">
        <v>2229</v>
      </c>
      <c r="P38" s="5">
        <v>4195</v>
      </c>
      <c r="Q38" s="5">
        <v>141961</v>
      </c>
      <c r="R38" s="5">
        <v>151575</v>
      </c>
      <c r="S38" s="5">
        <v>1863</v>
      </c>
      <c r="T38" s="5">
        <v>3474</v>
      </c>
      <c r="U38" s="5"/>
      <c r="V38" s="5">
        <f t="shared" si="0"/>
        <v>8.5056089743589745</v>
      </c>
      <c r="W38" s="5">
        <f t="shared" si="1"/>
        <v>23.795399515738499</v>
      </c>
      <c r="X38" s="5">
        <f t="shared" si="2"/>
        <v>76.200214707461086</v>
      </c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</row>
    <row r="39" spans="1:56">
      <c r="A39" s="5" t="s">
        <v>169</v>
      </c>
      <c r="B39" s="5" t="s">
        <v>100</v>
      </c>
      <c r="C39" s="5">
        <v>1835</v>
      </c>
      <c r="D39" s="5">
        <v>2218</v>
      </c>
      <c r="E39" s="5">
        <v>6141</v>
      </c>
      <c r="F39" s="5">
        <v>6020</v>
      </c>
      <c r="G39" s="5">
        <v>1321</v>
      </c>
      <c r="H39" s="5">
        <v>1605</v>
      </c>
      <c r="I39" s="5">
        <v>2213</v>
      </c>
      <c r="J39" s="5">
        <v>2668</v>
      </c>
      <c r="K39" s="5">
        <v>20742</v>
      </c>
      <c r="L39" s="5">
        <v>21214</v>
      </c>
      <c r="M39" s="5">
        <v>1675</v>
      </c>
      <c r="N39" s="5">
        <v>2157</v>
      </c>
      <c r="O39" s="5">
        <v>2568</v>
      </c>
      <c r="P39" s="5">
        <v>3229</v>
      </c>
      <c r="Q39" s="5">
        <v>49336</v>
      </c>
      <c r="R39" s="5">
        <v>50372</v>
      </c>
      <c r="S39" s="5">
        <v>2132</v>
      </c>
      <c r="T39" s="5">
        <v>2763</v>
      </c>
      <c r="U39" s="5"/>
      <c r="V39" s="5">
        <f t="shared" si="0"/>
        <v>4.6487509462528385</v>
      </c>
      <c r="W39" s="5">
        <f t="shared" si="1"/>
        <v>12.383283582089552</v>
      </c>
      <c r="X39" s="5">
        <f t="shared" si="2"/>
        <v>23.140712945590995</v>
      </c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</row>
    <row r="40" spans="1:56">
      <c r="A40" s="5" t="s">
        <v>169</v>
      </c>
      <c r="B40" s="5" t="s">
        <v>66</v>
      </c>
      <c r="C40" s="5">
        <v>1654</v>
      </c>
      <c r="D40" s="5">
        <v>1822</v>
      </c>
      <c r="E40" s="5">
        <v>4411</v>
      </c>
      <c r="F40" s="5">
        <v>4630</v>
      </c>
      <c r="G40" s="5">
        <v>1171</v>
      </c>
      <c r="H40" s="5">
        <v>1450</v>
      </c>
      <c r="I40" s="5">
        <v>2077</v>
      </c>
      <c r="J40" s="5">
        <v>2677</v>
      </c>
      <c r="K40" s="5">
        <v>20041</v>
      </c>
      <c r="L40" s="5">
        <v>20626</v>
      </c>
      <c r="M40" s="5">
        <v>1654</v>
      </c>
      <c r="N40" s="5">
        <v>1944</v>
      </c>
      <c r="O40" s="5">
        <v>2506</v>
      </c>
      <c r="P40" s="5">
        <v>2924</v>
      </c>
      <c r="Q40" s="5">
        <v>48181</v>
      </c>
      <c r="R40" s="5">
        <v>43500</v>
      </c>
      <c r="S40" s="5">
        <v>2067</v>
      </c>
      <c r="T40" s="5">
        <v>2442</v>
      </c>
      <c r="U40" s="5"/>
      <c r="V40" s="5">
        <f t="shared" si="0"/>
        <v>3.7668659265584972</v>
      </c>
      <c r="W40" s="5">
        <f t="shared" si="1"/>
        <v>12.116686819830713</v>
      </c>
      <c r="X40" s="5">
        <f t="shared" si="2"/>
        <v>23.309627479438799</v>
      </c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</row>
    <row r="41" spans="1:56">
      <c r="A41" s="5" t="s">
        <v>169</v>
      </c>
      <c r="B41" s="5" t="s">
        <v>60</v>
      </c>
      <c r="C41" s="5">
        <v>1178</v>
      </c>
      <c r="D41" s="5">
        <v>1588</v>
      </c>
      <c r="E41" s="5">
        <v>3670</v>
      </c>
      <c r="F41" s="5">
        <v>4271</v>
      </c>
      <c r="G41" s="5">
        <v>940</v>
      </c>
      <c r="H41" s="5">
        <v>1197</v>
      </c>
      <c r="I41" s="5">
        <v>1454</v>
      </c>
      <c r="J41" s="5">
        <v>2026</v>
      </c>
      <c r="K41" s="5">
        <v>13385</v>
      </c>
      <c r="L41" s="5">
        <v>14291</v>
      </c>
      <c r="M41" s="5">
        <v>1297</v>
      </c>
      <c r="N41" s="5">
        <v>1544</v>
      </c>
      <c r="O41" s="5">
        <v>1767</v>
      </c>
      <c r="P41" s="5">
        <v>2239</v>
      </c>
      <c r="Q41" s="5">
        <v>29484</v>
      </c>
      <c r="R41" s="5">
        <v>30897</v>
      </c>
      <c r="S41" s="5">
        <v>1436</v>
      </c>
      <c r="T41" s="5">
        <v>1805</v>
      </c>
      <c r="U41" s="5"/>
      <c r="V41" s="5">
        <f t="shared" si="0"/>
        <v>3.9042553191489362</v>
      </c>
      <c r="W41" s="5">
        <f t="shared" si="1"/>
        <v>10.319969159599074</v>
      </c>
      <c r="X41" s="5">
        <f t="shared" si="2"/>
        <v>20.532033426183844</v>
      </c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</row>
    <row r="42" spans="1:56">
      <c r="A42" s="5" t="s">
        <v>169</v>
      </c>
      <c r="B42" s="5" t="s">
        <v>12</v>
      </c>
      <c r="C42" s="5">
        <v>325</v>
      </c>
      <c r="D42" s="5">
        <v>372</v>
      </c>
      <c r="E42" s="5">
        <v>767</v>
      </c>
      <c r="F42" s="5">
        <v>832</v>
      </c>
      <c r="G42" s="5">
        <v>244</v>
      </c>
      <c r="H42" s="5">
        <v>277</v>
      </c>
      <c r="I42" s="5">
        <v>383</v>
      </c>
      <c r="J42" s="5">
        <v>408</v>
      </c>
      <c r="K42" s="5">
        <v>2419</v>
      </c>
      <c r="L42" s="5">
        <v>2486</v>
      </c>
      <c r="M42" s="5">
        <v>317</v>
      </c>
      <c r="N42" s="5">
        <v>364</v>
      </c>
      <c r="O42" s="5">
        <v>455</v>
      </c>
      <c r="P42" s="5">
        <v>470</v>
      </c>
      <c r="Q42" s="5">
        <v>5426</v>
      </c>
      <c r="R42" s="5">
        <v>5511</v>
      </c>
      <c r="S42" s="5">
        <v>349</v>
      </c>
      <c r="T42" s="5">
        <v>379</v>
      </c>
      <c r="U42" s="5"/>
      <c r="V42" s="5">
        <f t="shared" si="0"/>
        <v>3.1434426229508197</v>
      </c>
      <c r="W42" s="5">
        <f t="shared" si="1"/>
        <v>7.6309148264984223</v>
      </c>
      <c r="X42" s="5">
        <f t="shared" si="2"/>
        <v>15.54727793696275</v>
      </c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</row>
    <row r="43" spans="1:56">
      <c r="A43" s="5" t="s">
        <v>183</v>
      </c>
      <c r="B43" s="5" t="s">
        <v>21</v>
      </c>
      <c r="C43" s="5">
        <v>6252</v>
      </c>
      <c r="D43" s="5">
        <v>8804</v>
      </c>
      <c r="E43" s="5">
        <v>19842</v>
      </c>
      <c r="F43" s="5">
        <v>23455</v>
      </c>
      <c r="G43" s="5">
        <v>4828</v>
      </c>
      <c r="H43" s="5">
        <v>6359</v>
      </c>
      <c r="I43" s="5">
        <v>11540</v>
      </c>
      <c r="J43" s="5">
        <v>16183</v>
      </c>
      <c r="K43" s="5">
        <v>108020</v>
      </c>
      <c r="L43" s="5">
        <v>125187</v>
      </c>
      <c r="M43" s="5">
        <v>8859</v>
      </c>
      <c r="N43" s="5">
        <v>12246</v>
      </c>
      <c r="O43" s="5">
        <v>15466</v>
      </c>
      <c r="P43" s="5">
        <v>20886</v>
      </c>
      <c r="Q43" s="5">
        <v>351920</v>
      </c>
      <c r="R43" s="5">
        <v>377102</v>
      </c>
      <c r="S43" s="5">
        <v>13208</v>
      </c>
      <c r="T43" s="5">
        <v>17975</v>
      </c>
      <c r="U43" s="5"/>
      <c r="V43" s="5">
        <f t="shared" si="0"/>
        <v>4.1097763048881522</v>
      </c>
      <c r="W43" s="5">
        <f t="shared" si="1"/>
        <v>12.193249802460775</v>
      </c>
      <c r="X43" s="5">
        <f t="shared" si="2"/>
        <v>26.644457904300424</v>
      </c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</row>
    <row r="44" spans="1:56">
      <c r="A44" s="5" t="s">
        <v>171</v>
      </c>
      <c r="B44" s="5" t="s">
        <v>44</v>
      </c>
      <c r="C44" s="5">
        <v>645</v>
      </c>
      <c r="D44" s="5">
        <v>663</v>
      </c>
      <c r="E44" s="5">
        <v>2364</v>
      </c>
      <c r="F44" s="5">
        <v>1905</v>
      </c>
      <c r="G44" s="5">
        <v>482</v>
      </c>
      <c r="H44" s="5">
        <v>544</v>
      </c>
      <c r="I44" s="5">
        <v>1017</v>
      </c>
      <c r="J44" s="5">
        <v>804</v>
      </c>
      <c r="K44" s="5">
        <v>8808</v>
      </c>
      <c r="L44" s="5">
        <v>7329</v>
      </c>
      <c r="M44" s="5">
        <v>713</v>
      </c>
      <c r="N44" s="5">
        <v>688</v>
      </c>
      <c r="O44" s="5">
        <v>1090</v>
      </c>
      <c r="P44" s="5">
        <v>950</v>
      </c>
      <c r="Q44" s="5">
        <v>22239</v>
      </c>
      <c r="R44" s="5">
        <v>18922</v>
      </c>
      <c r="S44" s="5">
        <v>989</v>
      </c>
      <c r="T44" s="5">
        <v>792</v>
      </c>
      <c r="U44" s="5"/>
      <c r="V44" s="5">
        <f t="shared" si="0"/>
        <v>4.9045643153526974</v>
      </c>
      <c r="W44" s="5">
        <f t="shared" si="1"/>
        <v>12.353436185133241</v>
      </c>
      <c r="X44" s="5">
        <f t="shared" si="2"/>
        <v>22.486349848331649</v>
      </c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</row>
    <row r="45" spans="1:56">
      <c r="A45" s="5" t="s">
        <v>170</v>
      </c>
      <c r="B45" s="5" t="s">
        <v>5</v>
      </c>
      <c r="C45" s="5">
        <v>263</v>
      </c>
      <c r="D45" s="5">
        <v>279</v>
      </c>
      <c r="E45" s="5">
        <v>833</v>
      </c>
      <c r="F45" s="5">
        <v>854</v>
      </c>
      <c r="G45" s="5">
        <v>208</v>
      </c>
      <c r="H45" s="5">
        <v>227</v>
      </c>
      <c r="I45" s="5">
        <v>318</v>
      </c>
      <c r="J45" s="5">
        <v>331</v>
      </c>
      <c r="K45" s="5">
        <v>3445</v>
      </c>
      <c r="L45" s="5">
        <v>3991</v>
      </c>
      <c r="M45" s="5">
        <v>277</v>
      </c>
      <c r="N45" s="5">
        <v>262</v>
      </c>
      <c r="O45" s="5">
        <v>365</v>
      </c>
      <c r="P45" s="5">
        <v>380</v>
      </c>
      <c r="Q45" s="5">
        <v>9322</v>
      </c>
      <c r="R45" s="5">
        <v>9080</v>
      </c>
      <c r="S45" s="5">
        <v>319</v>
      </c>
      <c r="T45" s="5">
        <v>320</v>
      </c>
      <c r="U45" s="5"/>
      <c r="V45" s="5">
        <f t="shared" si="0"/>
        <v>4.0048076923076925</v>
      </c>
      <c r="W45" s="5">
        <f t="shared" si="1"/>
        <v>12.436823104693142</v>
      </c>
      <c r="X45" s="5">
        <f t="shared" si="2"/>
        <v>29.222570532915359</v>
      </c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</row>
    <row r="46" spans="1:56">
      <c r="A46" s="5" t="s">
        <v>170</v>
      </c>
      <c r="B46" s="5" t="s">
        <v>62</v>
      </c>
      <c r="C46" s="5">
        <v>890</v>
      </c>
      <c r="D46" s="5">
        <v>10258</v>
      </c>
      <c r="E46" s="5">
        <v>2718</v>
      </c>
      <c r="F46" s="5">
        <v>10880</v>
      </c>
      <c r="G46" s="5">
        <v>711</v>
      </c>
      <c r="H46" s="5">
        <v>6535</v>
      </c>
      <c r="I46" s="5">
        <v>1125</v>
      </c>
      <c r="J46" s="5">
        <v>12627</v>
      </c>
      <c r="K46" s="5">
        <v>10388</v>
      </c>
      <c r="L46" s="5">
        <v>20644</v>
      </c>
      <c r="M46" s="5">
        <v>925</v>
      </c>
      <c r="N46" s="5">
        <v>9767</v>
      </c>
      <c r="O46" s="5">
        <v>1365</v>
      </c>
      <c r="P46" s="5">
        <v>13962</v>
      </c>
      <c r="Q46" s="5">
        <v>29487</v>
      </c>
      <c r="R46" s="5">
        <v>36324</v>
      </c>
      <c r="S46" s="5">
        <v>1132</v>
      </c>
      <c r="T46" s="5">
        <v>9196</v>
      </c>
      <c r="U46" s="5"/>
      <c r="V46" s="5">
        <f t="shared" si="0"/>
        <v>3.8227848101265822</v>
      </c>
      <c r="W46" s="5">
        <f t="shared" si="1"/>
        <v>11.230270270270271</v>
      </c>
      <c r="X46" s="5">
        <f t="shared" si="2"/>
        <v>26.048586572438161</v>
      </c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</row>
    <row r="47" spans="1:56">
      <c r="A47" s="5" t="s">
        <v>170</v>
      </c>
      <c r="B47" s="5" t="s">
        <v>6</v>
      </c>
      <c r="C47" s="5">
        <v>937</v>
      </c>
      <c r="D47" s="5">
        <v>0</v>
      </c>
      <c r="E47" s="5">
        <v>3027</v>
      </c>
      <c r="F47" s="5">
        <v>6484</v>
      </c>
      <c r="G47" s="5">
        <v>723</v>
      </c>
      <c r="H47" s="5">
        <v>2265</v>
      </c>
      <c r="I47" s="5">
        <v>1839</v>
      </c>
      <c r="J47" s="5">
        <v>17480</v>
      </c>
      <c r="K47" s="5">
        <v>18286</v>
      </c>
      <c r="L47" s="5">
        <v>20191</v>
      </c>
      <c r="M47" s="5">
        <v>1397</v>
      </c>
      <c r="N47" s="5">
        <v>78039</v>
      </c>
      <c r="O47" s="5">
        <v>2445</v>
      </c>
      <c r="P47" s="5">
        <v>63856</v>
      </c>
      <c r="Q47" s="5">
        <v>58089</v>
      </c>
      <c r="R47" s="5">
        <v>49577</v>
      </c>
      <c r="S47" s="5">
        <v>2072</v>
      </c>
      <c r="T47" s="5">
        <v>92366</v>
      </c>
      <c r="U47" s="5"/>
      <c r="V47" s="5">
        <f t="shared" si="0"/>
        <v>4.186721991701245</v>
      </c>
      <c r="W47" s="5">
        <f t="shared" si="1"/>
        <v>13.089477451682177</v>
      </c>
      <c r="X47" s="5">
        <f t="shared" si="2"/>
        <v>28.035231660231659</v>
      </c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</row>
    <row r="48" spans="1:56">
      <c r="A48" s="5" t="s">
        <v>170</v>
      </c>
      <c r="B48" s="5" t="s">
        <v>82</v>
      </c>
      <c r="C48" s="5">
        <v>24</v>
      </c>
      <c r="D48" s="5">
        <v>28</v>
      </c>
      <c r="E48" s="5">
        <v>129</v>
      </c>
      <c r="F48" s="5">
        <v>136</v>
      </c>
      <c r="G48" s="5">
        <v>29</v>
      </c>
      <c r="H48" s="5">
        <v>21</v>
      </c>
      <c r="I48" s="5">
        <v>30</v>
      </c>
      <c r="J48" s="5">
        <v>30</v>
      </c>
      <c r="K48" s="5">
        <v>323</v>
      </c>
      <c r="L48" s="5">
        <v>319</v>
      </c>
      <c r="M48" s="5">
        <v>45</v>
      </c>
      <c r="N48" s="5">
        <v>28</v>
      </c>
      <c r="O48" s="5">
        <v>37</v>
      </c>
      <c r="P48" s="5">
        <v>38</v>
      </c>
      <c r="Q48" s="5">
        <v>337</v>
      </c>
      <c r="R48" s="5">
        <v>317</v>
      </c>
      <c r="S48" s="5">
        <v>33</v>
      </c>
      <c r="T48" s="5">
        <v>32</v>
      </c>
      <c r="U48" s="5"/>
      <c r="V48" s="5">
        <f t="shared" si="0"/>
        <v>4.4482758620689653</v>
      </c>
      <c r="W48" s="5">
        <f t="shared" si="1"/>
        <v>7.177777777777778</v>
      </c>
      <c r="X48" s="5">
        <f t="shared" si="2"/>
        <v>10.212121212121213</v>
      </c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</row>
    <row r="49" spans="1:56">
      <c r="A49" s="5" t="s">
        <v>170</v>
      </c>
      <c r="B49" s="5" t="s">
        <v>92</v>
      </c>
      <c r="C49" s="5">
        <v>14</v>
      </c>
      <c r="D49" s="5">
        <v>13</v>
      </c>
      <c r="E49" s="5">
        <v>23</v>
      </c>
      <c r="F49" s="5">
        <v>16</v>
      </c>
      <c r="G49" s="5">
        <v>10</v>
      </c>
      <c r="H49" s="5">
        <v>11</v>
      </c>
      <c r="I49" s="5">
        <v>15</v>
      </c>
      <c r="J49" s="5">
        <v>16</v>
      </c>
      <c r="K49" s="5">
        <v>21</v>
      </c>
      <c r="L49" s="5">
        <v>21</v>
      </c>
      <c r="M49" s="5">
        <v>19</v>
      </c>
      <c r="N49" s="5">
        <v>14</v>
      </c>
      <c r="O49" s="5">
        <v>18</v>
      </c>
      <c r="P49" s="5">
        <v>18</v>
      </c>
      <c r="Q49" s="5">
        <v>38</v>
      </c>
      <c r="R49" s="5">
        <v>39</v>
      </c>
      <c r="S49" s="5">
        <v>16</v>
      </c>
      <c r="T49" s="5">
        <v>15</v>
      </c>
      <c r="U49" s="5"/>
      <c r="V49" s="5">
        <f t="shared" si="0"/>
        <v>2.2999999999999998</v>
      </c>
      <c r="W49" s="5">
        <f t="shared" si="1"/>
        <v>1.1052631578947369</v>
      </c>
      <c r="X49" s="5">
        <f t="shared" si="2"/>
        <v>2.375</v>
      </c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</row>
    <row r="50" spans="1:56">
      <c r="A50" s="5" t="s">
        <v>170</v>
      </c>
      <c r="B50" s="5" t="s">
        <v>53</v>
      </c>
      <c r="C50" s="5">
        <v>1086</v>
      </c>
      <c r="D50" s="5">
        <v>38950</v>
      </c>
      <c r="E50" s="5">
        <v>2849</v>
      </c>
      <c r="F50" s="5">
        <v>34324</v>
      </c>
      <c r="G50" s="5">
        <v>829</v>
      </c>
      <c r="H50" s="5">
        <v>30220</v>
      </c>
      <c r="I50" s="5">
        <v>1694</v>
      </c>
      <c r="J50" s="5">
        <v>50007</v>
      </c>
      <c r="K50" s="5">
        <v>11972</v>
      </c>
      <c r="L50" s="5">
        <v>45213</v>
      </c>
      <c r="M50" s="5">
        <v>1359</v>
      </c>
      <c r="N50" s="5">
        <v>36683</v>
      </c>
      <c r="O50" s="5">
        <v>2191</v>
      </c>
      <c r="P50" s="5">
        <v>64373</v>
      </c>
      <c r="Q50" s="5">
        <v>28737</v>
      </c>
      <c r="R50" s="5">
        <v>82160</v>
      </c>
      <c r="S50" s="5">
        <v>1782</v>
      </c>
      <c r="T50" s="5">
        <v>49064</v>
      </c>
      <c r="U50" s="5"/>
      <c r="V50" s="5">
        <f t="shared" si="0"/>
        <v>3.4366706875753921</v>
      </c>
      <c r="W50" s="5">
        <f t="shared" si="1"/>
        <v>8.8094186902133931</v>
      </c>
      <c r="X50" s="5">
        <f t="shared" si="2"/>
        <v>16.126262626262626</v>
      </c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</row>
    <row r="51" spans="1:56">
      <c r="A51" s="5" t="s">
        <v>170</v>
      </c>
      <c r="B51" s="5" t="s">
        <v>11</v>
      </c>
      <c r="C51" s="5">
        <v>75</v>
      </c>
      <c r="D51" s="5">
        <v>79</v>
      </c>
      <c r="E51" s="5">
        <v>281</v>
      </c>
      <c r="F51" s="5">
        <v>302</v>
      </c>
      <c r="G51" s="5">
        <v>55</v>
      </c>
      <c r="H51" s="5">
        <v>65</v>
      </c>
      <c r="I51" s="5">
        <v>82</v>
      </c>
      <c r="J51" s="5">
        <v>95</v>
      </c>
      <c r="K51" s="5">
        <v>1022</v>
      </c>
      <c r="L51" s="5">
        <v>1121</v>
      </c>
      <c r="M51" s="5">
        <v>68</v>
      </c>
      <c r="N51" s="5">
        <v>88</v>
      </c>
      <c r="O51" s="5">
        <v>100</v>
      </c>
      <c r="P51" s="5">
        <v>110</v>
      </c>
      <c r="Q51" s="5">
        <v>2517</v>
      </c>
      <c r="R51" s="5">
        <v>2604</v>
      </c>
      <c r="S51" s="5">
        <v>78</v>
      </c>
      <c r="T51" s="5">
        <v>103</v>
      </c>
      <c r="U51" s="5"/>
      <c r="V51" s="5">
        <f t="shared" si="0"/>
        <v>5.1090909090909093</v>
      </c>
      <c r="W51" s="5">
        <f t="shared" si="1"/>
        <v>15.029411764705882</v>
      </c>
      <c r="X51" s="5">
        <f t="shared" si="2"/>
        <v>32.269230769230766</v>
      </c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</row>
    <row r="52" spans="1:56">
      <c r="A52" s="5" t="s">
        <v>170</v>
      </c>
      <c r="B52" s="5" t="s">
        <v>84</v>
      </c>
      <c r="C52" s="5">
        <v>554</v>
      </c>
      <c r="D52" s="5">
        <v>3723</v>
      </c>
      <c r="E52" s="5">
        <v>1681</v>
      </c>
      <c r="F52" s="5">
        <v>5133</v>
      </c>
      <c r="G52" s="5">
        <v>435</v>
      </c>
      <c r="H52" s="5">
        <v>2038</v>
      </c>
      <c r="I52" s="5">
        <v>748</v>
      </c>
      <c r="J52" s="5">
        <v>3468</v>
      </c>
      <c r="K52" s="5">
        <v>6527</v>
      </c>
      <c r="L52" s="5">
        <v>9203</v>
      </c>
      <c r="M52" s="5">
        <v>588</v>
      </c>
      <c r="N52" s="5">
        <v>2533</v>
      </c>
      <c r="O52" s="5">
        <v>849</v>
      </c>
      <c r="P52" s="5">
        <v>3699</v>
      </c>
      <c r="Q52" s="5">
        <v>17788</v>
      </c>
      <c r="R52" s="5">
        <v>19258</v>
      </c>
      <c r="S52" s="5">
        <v>717</v>
      </c>
      <c r="T52" s="5">
        <v>3073</v>
      </c>
      <c r="U52" s="5"/>
      <c r="V52" s="5">
        <f t="shared" si="0"/>
        <v>3.8643678160919541</v>
      </c>
      <c r="W52" s="5">
        <f t="shared" si="1"/>
        <v>11.100340136054422</v>
      </c>
      <c r="X52" s="5">
        <f t="shared" si="2"/>
        <v>24.808926080892608</v>
      </c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</row>
    <row r="53" spans="1:56">
      <c r="A53" s="5" t="s">
        <v>182</v>
      </c>
      <c r="B53" s="5" t="s">
        <v>50</v>
      </c>
      <c r="C53" s="5">
        <v>573</v>
      </c>
      <c r="D53" s="5">
        <v>706</v>
      </c>
      <c r="E53" s="5">
        <v>1684</v>
      </c>
      <c r="F53" s="5">
        <v>1908</v>
      </c>
      <c r="G53" s="5">
        <v>445</v>
      </c>
      <c r="H53" s="5">
        <v>473</v>
      </c>
      <c r="I53" s="5">
        <v>928</v>
      </c>
      <c r="J53" s="5">
        <v>1051</v>
      </c>
      <c r="K53" s="5">
        <v>7467</v>
      </c>
      <c r="L53" s="5">
        <v>7718</v>
      </c>
      <c r="M53" s="5">
        <v>686</v>
      </c>
      <c r="N53" s="5">
        <v>820</v>
      </c>
      <c r="O53" s="5">
        <v>1150</v>
      </c>
      <c r="P53" s="5">
        <v>1335</v>
      </c>
      <c r="Q53" s="5">
        <v>16102</v>
      </c>
      <c r="R53" s="5">
        <v>19926</v>
      </c>
      <c r="S53" s="5">
        <v>939</v>
      </c>
      <c r="T53" s="5">
        <v>1057</v>
      </c>
      <c r="U53" s="5"/>
      <c r="V53" s="5">
        <f t="shared" si="0"/>
        <v>3.7842696629213481</v>
      </c>
      <c r="W53" s="5">
        <f t="shared" si="1"/>
        <v>10.884839650145773</v>
      </c>
      <c r="X53" s="5">
        <f t="shared" si="2"/>
        <v>17.148029818956335</v>
      </c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</row>
    <row r="54" spans="1:56">
      <c r="A54" s="5" t="s">
        <v>182</v>
      </c>
      <c r="B54" s="5" t="s">
        <v>47</v>
      </c>
      <c r="C54" s="5">
        <v>1335</v>
      </c>
      <c r="D54" s="5">
        <v>614677</v>
      </c>
      <c r="E54" s="5">
        <v>2901</v>
      </c>
      <c r="F54" s="5">
        <v>808370</v>
      </c>
      <c r="G54" s="5">
        <v>1027</v>
      </c>
      <c r="H54" s="5">
        <v>470942</v>
      </c>
      <c r="I54" s="5">
        <v>2762</v>
      </c>
      <c r="J54" s="5">
        <v>972891</v>
      </c>
      <c r="K54" s="5">
        <v>11242</v>
      </c>
      <c r="L54" s="5">
        <v>1065121</v>
      </c>
      <c r="M54" s="5">
        <v>2006</v>
      </c>
      <c r="N54" s="5">
        <v>833855</v>
      </c>
      <c r="O54" s="5">
        <v>3104</v>
      </c>
      <c r="P54" s="5">
        <v>1163749</v>
      </c>
      <c r="Q54" s="5">
        <v>28656</v>
      </c>
      <c r="R54" s="5">
        <v>1131623</v>
      </c>
      <c r="S54" s="5">
        <v>2582</v>
      </c>
      <c r="T54" s="5">
        <v>842760</v>
      </c>
      <c r="U54" s="5"/>
      <c r="V54" s="5">
        <f t="shared" si="0"/>
        <v>2.8247322297955209</v>
      </c>
      <c r="W54" s="5">
        <f t="shared" si="1"/>
        <v>5.6041874376869396</v>
      </c>
      <c r="X54" s="5">
        <f t="shared" si="2"/>
        <v>11.098373353989155</v>
      </c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</row>
    <row r="55" spans="1:56">
      <c r="A55" s="5" t="s">
        <v>182</v>
      </c>
      <c r="B55" s="5" t="s">
        <v>57</v>
      </c>
      <c r="C55" s="5">
        <v>164</v>
      </c>
      <c r="D55" s="5">
        <v>130</v>
      </c>
      <c r="E55" s="5">
        <v>561</v>
      </c>
      <c r="F55" s="5">
        <v>469</v>
      </c>
      <c r="G55" s="5">
        <v>114</v>
      </c>
      <c r="H55" s="5">
        <v>97</v>
      </c>
      <c r="I55" s="5">
        <v>244</v>
      </c>
      <c r="J55" s="5">
        <v>208</v>
      </c>
      <c r="K55" s="5">
        <v>844</v>
      </c>
      <c r="L55" s="5">
        <v>942</v>
      </c>
      <c r="M55" s="5">
        <v>185</v>
      </c>
      <c r="N55" s="5">
        <v>163</v>
      </c>
      <c r="O55" s="5">
        <v>350</v>
      </c>
      <c r="P55" s="5">
        <v>415</v>
      </c>
      <c r="Q55" s="5">
        <v>2198</v>
      </c>
      <c r="R55" s="5">
        <v>2162</v>
      </c>
      <c r="S55" s="5">
        <v>314</v>
      </c>
      <c r="T55" s="5">
        <v>217</v>
      </c>
      <c r="U55" s="5"/>
      <c r="V55" s="5">
        <f t="shared" si="0"/>
        <v>4.9210526315789478</v>
      </c>
      <c r="W55" s="5">
        <f t="shared" si="1"/>
        <v>4.5621621621621617</v>
      </c>
      <c r="X55" s="5">
        <f t="shared" si="2"/>
        <v>7</v>
      </c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</row>
    <row r="56" spans="1:56">
      <c r="A56" s="5" t="s">
        <v>182</v>
      </c>
      <c r="B56" s="5" t="s">
        <v>95</v>
      </c>
      <c r="C56" s="5">
        <v>98</v>
      </c>
      <c r="D56" s="5">
        <v>156</v>
      </c>
      <c r="E56" s="5">
        <v>427</v>
      </c>
      <c r="F56" s="5">
        <v>525</v>
      </c>
      <c r="G56" s="5">
        <v>93</v>
      </c>
      <c r="H56" s="5">
        <v>110</v>
      </c>
      <c r="I56" s="5">
        <v>118</v>
      </c>
      <c r="J56" s="5">
        <v>208</v>
      </c>
      <c r="K56" s="5">
        <v>1073</v>
      </c>
      <c r="L56" s="5">
        <v>889</v>
      </c>
      <c r="M56" s="5">
        <v>91</v>
      </c>
      <c r="N56" s="5">
        <v>149</v>
      </c>
      <c r="O56" s="5">
        <v>141</v>
      </c>
      <c r="P56" s="5">
        <v>233</v>
      </c>
      <c r="Q56" s="5">
        <v>2116</v>
      </c>
      <c r="R56" s="5">
        <v>2268</v>
      </c>
      <c r="S56" s="5">
        <v>103</v>
      </c>
      <c r="T56" s="5">
        <v>168</v>
      </c>
      <c r="U56" s="5"/>
      <c r="V56" s="5">
        <f t="shared" si="0"/>
        <v>4.591397849462366</v>
      </c>
      <c r="W56" s="5">
        <f t="shared" si="1"/>
        <v>11.791208791208792</v>
      </c>
      <c r="X56" s="5">
        <f t="shared" si="2"/>
        <v>20.543689320388349</v>
      </c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</row>
    <row r="57" spans="1:56">
      <c r="A57" s="5" t="s">
        <v>182</v>
      </c>
      <c r="B57" s="5" t="s">
        <v>41</v>
      </c>
      <c r="C57" s="5">
        <v>131</v>
      </c>
      <c r="D57" s="5">
        <v>162</v>
      </c>
      <c r="E57" s="5">
        <v>480</v>
      </c>
      <c r="F57" s="5">
        <v>496</v>
      </c>
      <c r="G57" s="5">
        <v>112</v>
      </c>
      <c r="H57" s="5">
        <v>118</v>
      </c>
      <c r="I57" s="5">
        <v>193</v>
      </c>
      <c r="J57" s="5">
        <v>231</v>
      </c>
      <c r="K57" s="5">
        <v>857</v>
      </c>
      <c r="L57" s="5">
        <v>940</v>
      </c>
      <c r="M57" s="5">
        <v>152</v>
      </c>
      <c r="N57" s="5">
        <v>193</v>
      </c>
      <c r="O57" s="5">
        <v>299</v>
      </c>
      <c r="P57" s="5">
        <v>340</v>
      </c>
      <c r="Q57" s="5">
        <v>1602</v>
      </c>
      <c r="R57" s="5">
        <v>2557</v>
      </c>
      <c r="S57" s="5">
        <v>217</v>
      </c>
      <c r="T57" s="5">
        <v>245</v>
      </c>
      <c r="U57" s="5"/>
      <c r="V57" s="5">
        <f t="shared" si="0"/>
        <v>4.2857142857142856</v>
      </c>
      <c r="W57" s="5">
        <f t="shared" si="1"/>
        <v>5.6381578947368425</v>
      </c>
      <c r="X57" s="5">
        <f t="shared" si="2"/>
        <v>7.3824884792626726</v>
      </c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</row>
    <row r="58" spans="1:56">
      <c r="A58" s="5" t="s">
        <v>182</v>
      </c>
      <c r="B58" s="5" t="s">
        <v>81</v>
      </c>
      <c r="C58" s="5">
        <v>845</v>
      </c>
      <c r="D58" s="5">
        <v>957</v>
      </c>
      <c r="E58" s="5">
        <v>2687</v>
      </c>
      <c r="F58" s="5">
        <v>2568</v>
      </c>
      <c r="G58" s="5">
        <v>726</v>
      </c>
      <c r="H58" s="5">
        <v>817</v>
      </c>
      <c r="I58" s="5">
        <v>1150</v>
      </c>
      <c r="J58" s="5">
        <v>1400</v>
      </c>
      <c r="K58" s="5">
        <v>10297</v>
      </c>
      <c r="L58" s="5">
        <v>8917</v>
      </c>
      <c r="M58" s="5">
        <v>949</v>
      </c>
      <c r="N58" s="5">
        <v>1105</v>
      </c>
      <c r="O58" s="5">
        <v>1325</v>
      </c>
      <c r="P58" s="5">
        <v>1599</v>
      </c>
      <c r="Q58" s="5">
        <v>21089</v>
      </c>
      <c r="R58" s="5">
        <v>21351</v>
      </c>
      <c r="S58" s="5">
        <v>1069</v>
      </c>
      <c r="T58" s="5">
        <v>1287</v>
      </c>
      <c r="U58" s="5"/>
      <c r="V58" s="5">
        <f t="shared" si="0"/>
        <v>3.7011019283746558</v>
      </c>
      <c r="W58" s="5">
        <f t="shared" si="1"/>
        <v>10.850368809272918</v>
      </c>
      <c r="X58" s="5">
        <f t="shared" si="2"/>
        <v>19.727782974742752</v>
      </c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</row>
    <row r="59" spans="1:56">
      <c r="A59" s="5" t="s">
        <v>182</v>
      </c>
      <c r="B59" s="5" t="s">
        <v>45</v>
      </c>
      <c r="C59" s="5">
        <v>13303</v>
      </c>
      <c r="D59" s="5">
        <v>1314628</v>
      </c>
      <c r="E59" s="5">
        <v>76684</v>
      </c>
      <c r="F59" s="5">
        <v>1551927</v>
      </c>
      <c r="G59" s="5">
        <v>10278</v>
      </c>
      <c r="H59" s="5">
        <v>1017044</v>
      </c>
      <c r="I59" s="5">
        <v>19935</v>
      </c>
      <c r="J59" s="5">
        <v>2041539</v>
      </c>
      <c r="K59" s="5">
        <v>276233</v>
      </c>
      <c r="L59" s="5">
        <v>2329552</v>
      </c>
      <c r="M59" s="5">
        <v>16122</v>
      </c>
      <c r="N59" s="5">
        <v>1646162</v>
      </c>
      <c r="O59" s="5">
        <v>24001</v>
      </c>
      <c r="P59" s="5">
        <v>2375725</v>
      </c>
      <c r="Q59" s="5">
        <v>675676</v>
      </c>
      <c r="R59" s="5">
        <v>3232617</v>
      </c>
      <c r="S59" s="5">
        <v>20099</v>
      </c>
      <c r="T59" s="5">
        <v>1851021</v>
      </c>
      <c r="U59" s="5"/>
      <c r="V59" s="5">
        <f t="shared" si="0"/>
        <v>7.4609846273594087</v>
      </c>
      <c r="W59" s="5">
        <f t="shared" si="1"/>
        <v>17.133916387544971</v>
      </c>
      <c r="X59" s="5">
        <f t="shared" si="2"/>
        <v>33.617393900194038</v>
      </c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</row>
    <row r="60" spans="1:56">
      <c r="A60" s="5" t="s">
        <v>182</v>
      </c>
      <c r="B60" s="5" t="s">
        <v>54</v>
      </c>
      <c r="C60" s="5">
        <v>4009</v>
      </c>
      <c r="D60" s="5">
        <v>22361</v>
      </c>
      <c r="E60" s="5">
        <v>21667</v>
      </c>
      <c r="F60" s="5">
        <v>53421</v>
      </c>
      <c r="G60" s="5">
        <v>3201</v>
      </c>
      <c r="H60" s="5">
        <v>21946</v>
      </c>
      <c r="I60" s="5">
        <v>5559</v>
      </c>
      <c r="J60" s="5">
        <v>30805</v>
      </c>
      <c r="K60" s="5">
        <v>87047</v>
      </c>
      <c r="L60" s="5">
        <v>179892</v>
      </c>
      <c r="M60" s="5">
        <v>4399</v>
      </c>
      <c r="N60" s="5">
        <v>28323</v>
      </c>
      <c r="O60" s="5">
        <v>6347</v>
      </c>
      <c r="P60" s="5">
        <v>29583</v>
      </c>
      <c r="Q60" s="5">
        <v>189024</v>
      </c>
      <c r="R60" s="5">
        <v>291006</v>
      </c>
      <c r="S60" s="5">
        <v>5292</v>
      </c>
      <c r="T60" s="5">
        <v>35355</v>
      </c>
      <c r="U60" s="5"/>
      <c r="V60" s="5">
        <f t="shared" si="0"/>
        <v>6.7688222430490468</v>
      </c>
      <c r="W60" s="5">
        <f t="shared" si="1"/>
        <v>19.787906342350535</v>
      </c>
      <c r="X60" s="5">
        <f t="shared" si="2"/>
        <v>35.718820861678005</v>
      </c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</row>
    <row r="61" spans="1:56">
      <c r="A61" s="5" t="s">
        <v>182</v>
      </c>
      <c r="B61" s="5" t="s">
        <v>79</v>
      </c>
      <c r="C61" s="5">
        <v>7372</v>
      </c>
      <c r="D61" s="5">
        <v>717958</v>
      </c>
      <c r="E61" s="5">
        <v>38137</v>
      </c>
      <c r="F61" s="5">
        <v>838972</v>
      </c>
      <c r="G61" s="5">
        <v>5712</v>
      </c>
      <c r="H61" s="5">
        <v>520475</v>
      </c>
      <c r="I61" s="5">
        <v>10071</v>
      </c>
      <c r="J61" s="5">
        <v>956310</v>
      </c>
      <c r="K61" s="5">
        <v>138795</v>
      </c>
      <c r="L61" s="5">
        <v>1345918</v>
      </c>
      <c r="M61" s="5">
        <v>8356</v>
      </c>
      <c r="N61" s="5">
        <v>941783</v>
      </c>
      <c r="O61" s="5">
        <v>12316</v>
      </c>
      <c r="P61" s="5">
        <v>1192608</v>
      </c>
      <c r="Q61" s="5">
        <v>345050</v>
      </c>
      <c r="R61" s="5">
        <v>1863923</v>
      </c>
      <c r="S61" s="5">
        <v>10121</v>
      </c>
      <c r="T61" s="5">
        <v>848265</v>
      </c>
      <c r="U61" s="5"/>
      <c r="V61" s="5">
        <f t="shared" si="0"/>
        <v>6.6766456582633049</v>
      </c>
      <c r="W61" s="5">
        <f t="shared" si="1"/>
        <v>16.610220201053135</v>
      </c>
      <c r="X61" s="5">
        <f t="shared" si="2"/>
        <v>34.092480980140301</v>
      </c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</row>
    <row r="62" spans="1:56">
      <c r="A62" s="5" t="s">
        <v>182</v>
      </c>
      <c r="B62" s="5" t="s">
        <v>9</v>
      </c>
      <c r="C62" s="5">
        <v>5715</v>
      </c>
      <c r="D62" s="5">
        <v>27143</v>
      </c>
      <c r="E62" s="5">
        <v>33801</v>
      </c>
      <c r="F62" s="5">
        <v>61904</v>
      </c>
      <c r="G62" s="5">
        <v>4522</v>
      </c>
      <c r="H62" s="5">
        <v>25359</v>
      </c>
      <c r="I62" s="5">
        <v>7372</v>
      </c>
      <c r="J62" s="5">
        <v>35530</v>
      </c>
      <c r="K62" s="5">
        <v>133080</v>
      </c>
      <c r="L62" s="5">
        <v>184018</v>
      </c>
      <c r="M62" s="5">
        <v>6190</v>
      </c>
      <c r="N62" s="5">
        <v>28550</v>
      </c>
      <c r="O62" s="5">
        <v>8457</v>
      </c>
      <c r="P62" s="5">
        <v>38894</v>
      </c>
      <c r="Q62" s="5">
        <v>277947</v>
      </c>
      <c r="R62" s="5">
        <v>446081</v>
      </c>
      <c r="S62" s="5">
        <v>7138</v>
      </c>
      <c r="T62" s="5">
        <v>31459</v>
      </c>
      <c r="U62" s="5"/>
      <c r="V62" s="5">
        <f t="shared" si="0"/>
        <v>7.4747899159663866</v>
      </c>
      <c r="W62" s="5">
        <f t="shared" si="1"/>
        <v>21.499192245557349</v>
      </c>
      <c r="X62" s="5">
        <f t="shared" si="2"/>
        <v>38.93905855982068</v>
      </c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</row>
    <row r="63" spans="1:56">
      <c r="A63" s="5" t="s">
        <v>182</v>
      </c>
      <c r="B63" s="5" t="s">
        <v>7</v>
      </c>
      <c r="C63" s="5">
        <v>2532</v>
      </c>
      <c r="D63" s="5">
        <v>3128</v>
      </c>
      <c r="E63" s="5">
        <v>6829</v>
      </c>
      <c r="F63" s="5">
        <v>7953</v>
      </c>
      <c r="G63" s="5">
        <v>1986</v>
      </c>
      <c r="H63" s="5">
        <v>2426</v>
      </c>
      <c r="I63" s="5">
        <v>5067</v>
      </c>
      <c r="J63" s="5">
        <v>5547</v>
      </c>
      <c r="K63" s="5">
        <v>39717</v>
      </c>
      <c r="L63" s="5">
        <v>39777</v>
      </c>
      <c r="M63" s="5">
        <v>3595</v>
      </c>
      <c r="N63" s="5">
        <v>4279</v>
      </c>
      <c r="O63" s="5">
        <v>5699</v>
      </c>
      <c r="P63" s="5">
        <v>84181</v>
      </c>
      <c r="Q63" s="5">
        <v>102006</v>
      </c>
      <c r="R63" s="5">
        <v>116340</v>
      </c>
      <c r="S63" s="5">
        <v>4652</v>
      </c>
      <c r="T63" s="5">
        <v>5894</v>
      </c>
      <c r="U63" s="5"/>
      <c r="V63" s="5">
        <f t="shared" si="0"/>
        <v>3.4385699899295066</v>
      </c>
      <c r="W63" s="5">
        <f t="shared" si="1"/>
        <v>11.047844228094576</v>
      </c>
      <c r="X63" s="5">
        <f t="shared" si="2"/>
        <v>21.927343078245915</v>
      </c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</row>
    <row r="64" spans="1:56">
      <c r="A64" s="5" t="s">
        <v>182</v>
      </c>
      <c r="B64" s="5" t="s">
        <v>46</v>
      </c>
      <c r="C64" s="5">
        <v>698</v>
      </c>
      <c r="D64" s="5">
        <v>814</v>
      </c>
      <c r="E64" s="5">
        <v>1803</v>
      </c>
      <c r="F64" s="5">
        <v>1970</v>
      </c>
      <c r="G64" s="5">
        <v>530</v>
      </c>
      <c r="H64" s="5">
        <v>633</v>
      </c>
      <c r="I64" s="5">
        <v>1096</v>
      </c>
      <c r="J64" s="5">
        <v>1654</v>
      </c>
      <c r="K64" s="5">
        <v>9580</v>
      </c>
      <c r="L64" s="5">
        <v>11361</v>
      </c>
      <c r="M64" s="5">
        <v>900</v>
      </c>
      <c r="N64" s="5">
        <v>1057</v>
      </c>
      <c r="O64" s="5">
        <v>1483</v>
      </c>
      <c r="P64" s="5">
        <v>1345217</v>
      </c>
      <c r="Q64" s="5">
        <v>21158</v>
      </c>
      <c r="R64" s="5">
        <v>22201</v>
      </c>
      <c r="S64" s="5">
        <v>1154</v>
      </c>
      <c r="T64" s="5">
        <v>1386</v>
      </c>
      <c r="U64" s="5"/>
      <c r="V64" s="5">
        <f t="shared" si="0"/>
        <v>3.4018867924528302</v>
      </c>
      <c r="W64" s="5">
        <f t="shared" si="1"/>
        <v>10.644444444444444</v>
      </c>
      <c r="X64" s="5">
        <f t="shared" si="2"/>
        <v>18.334488734835354</v>
      </c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</row>
    <row r="65" spans="1:56">
      <c r="A65" s="5" t="s">
        <v>182</v>
      </c>
      <c r="B65" s="5" t="s">
        <v>99</v>
      </c>
      <c r="C65" s="5">
        <v>2254</v>
      </c>
      <c r="D65" s="5">
        <v>3628</v>
      </c>
      <c r="E65" s="5">
        <v>7661</v>
      </c>
      <c r="F65" s="5">
        <v>9935</v>
      </c>
      <c r="G65" s="5">
        <v>1672</v>
      </c>
      <c r="H65" s="5">
        <v>2713</v>
      </c>
      <c r="I65" s="5">
        <v>3223</v>
      </c>
      <c r="J65" s="5">
        <v>5064</v>
      </c>
      <c r="K65" s="5">
        <v>29180</v>
      </c>
      <c r="L65" s="5">
        <v>41657</v>
      </c>
      <c r="M65" s="5">
        <v>2508</v>
      </c>
      <c r="N65" s="5">
        <v>3889</v>
      </c>
      <c r="O65" s="5">
        <v>4403</v>
      </c>
      <c r="P65" s="5">
        <v>6269</v>
      </c>
      <c r="Q65" s="5">
        <v>68885</v>
      </c>
      <c r="R65" s="5">
        <v>127495</v>
      </c>
      <c r="S65" s="5">
        <v>3558</v>
      </c>
      <c r="T65" s="5">
        <v>5130</v>
      </c>
      <c r="U65" s="5"/>
      <c r="V65" s="5">
        <f t="shared" si="0"/>
        <v>4.5819377990430619</v>
      </c>
      <c r="W65" s="5">
        <f t="shared" si="1"/>
        <v>11.634768740031898</v>
      </c>
      <c r="X65" s="5">
        <f t="shared" si="2"/>
        <v>19.360595840359753</v>
      </c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</row>
    <row r="66" spans="1:56">
      <c r="A66" s="5" t="s">
        <v>182</v>
      </c>
      <c r="B66" s="5" t="s">
        <v>96</v>
      </c>
      <c r="C66" s="5">
        <v>5239</v>
      </c>
      <c r="D66" s="5">
        <v>7094</v>
      </c>
      <c r="E66" s="5">
        <v>17898</v>
      </c>
      <c r="F66" s="5">
        <v>22393</v>
      </c>
      <c r="G66" s="5">
        <v>3874</v>
      </c>
      <c r="H66" s="5">
        <v>5497</v>
      </c>
      <c r="I66" s="5">
        <v>8285</v>
      </c>
      <c r="J66" s="5">
        <v>11892</v>
      </c>
      <c r="K66" s="5">
        <v>88270</v>
      </c>
      <c r="L66" s="5">
        <v>113695</v>
      </c>
      <c r="M66" s="5">
        <v>6669</v>
      </c>
      <c r="N66" s="5">
        <v>8977</v>
      </c>
      <c r="O66" s="5">
        <v>10896</v>
      </c>
      <c r="P66" s="5">
        <v>15934</v>
      </c>
      <c r="Q66" s="5">
        <v>187734</v>
      </c>
      <c r="R66" s="5">
        <v>300704</v>
      </c>
      <c r="S66" s="5">
        <v>9186</v>
      </c>
      <c r="T66" s="5">
        <v>12677</v>
      </c>
      <c r="U66" s="5"/>
      <c r="V66" s="5">
        <f t="shared" si="0"/>
        <v>4.6200309757356735</v>
      </c>
      <c r="W66" s="5">
        <f t="shared" si="1"/>
        <v>13.235867446393762</v>
      </c>
      <c r="X66" s="5">
        <f t="shared" si="2"/>
        <v>20.436969301110384</v>
      </c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</row>
    <row r="67" spans="1:56">
      <c r="A67" s="5" t="s">
        <v>182</v>
      </c>
      <c r="B67" s="5" t="s">
        <v>13</v>
      </c>
      <c r="C67" s="5">
        <v>236</v>
      </c>
      <c r="D67" s="5">
        <v>250</v>
      </c>
      <c r="E67" s="5">
        <v>715</v>
      </c>
      <c r="F67" s="5">
        <v>800</v>
      </c>
      <c r="G67" s="5">
        <v>180</v>
      </c>
      <c r="H67" s="5">
        <v>177</v>
      </c>
      <c r="I67" s="5">
        <v>333</v>
      </c>
      <c r="J67" s="5">
        <v>345</v>
      </c>
      <c r="K67" s="5">
        <v>3171</v>
      </c>
      <c r="L67" s="5">
        <v>2956</v>
      </c>
      <c r="M67" s="5">
        <v>251</v>
      </c>
      <c r="N67" s="5">
        <v>281</v>
      </c>
      <c r="O67" s="5">
        <v>421</v>
      </c>
      <c r="P67" s="5">
        <v>408</v>
      </c>
      <c r="Q67" s="5">
        <v>3631</v>
      </c>
      <c r="R67" s="5">
        <v>5474</v>
      </c>
      <c r="S67" s="5">
        <v>511</v>
      </c>
      <c r="T67" s="5">
        <v>337</v>
      </c>
      <c r="U67" s="5"/>
      <c r="V67" s="5">
        <f t="shared" ref="V67:V106" si="3">E67/G67</f>
        <v>3.9722222222222223</v>
      </c>
      <c r="W67" s="5">
        <f t="shared" ref="W67:W106" si="4">K67/M67</f>
        <v>12.633466135458168</v>
      </c>
      <c r="X67" s="5">
        <f t="shared" ref="X67:X106" si="5">Q67/S67</f>
        <v>7.1056751467710368</v>
      </c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</row>
    <row r="68" spans="1:56">
      <c r="A68" s="5" t="s">
        <v>182</v>
      </c>
      <c r="B68" s="5" t="s">
        <v>93</v>
      </c>
      <c r="C68" s="5">
        <v>264</v>
      </c>
      <c r="D68" s="5">
        <v>243</v>
      </c>
      <c r="E68" s="5">
        <v>791</v>
      </c>
      <c r="F68" s="5">
        <v>834</v>
      </c>
      <c r="G68" s="5">
        <v>204</v>
      </c>
      <c r="H68" s="5">
        <v>187</v>
      </c>
      <c r="I68" s="5">
        <v>406</v>
      </c>
      <c r="J68" s="5">
        <v>328</v>
      </c>
      <c r="K68" s="5">
        <v>3227</v>
      </c>
      <c r="L68" s="5">
        <v>2989</v>
      </c>
      <c r="M68" s="5">
        <v>266</v>
      </c>
      <c r="N68" s="5">
        <v>268</v>
      </c>
      <c r="O68" s="5">
        <v>430</v>
      </c>
      <c r="P68" s="5">
        <v>442</v>
      </c>
      <c r="Q68" s="5">
        <v>6921</v>
      </c>
      <c r="R68" s="5">
        <v>5968</v>
      </c>
      <c r="S68" s="5">
        <v>330</v>
      </c>
      <c r="T68" s="5">
        <v>291</v>
      </c>
      <c r="U68" s="5"/>
      <c r="V68" s="5">
        <f t="shared" si="3"/>
        <v>3.8774509803921569</v>
      </c>
      <c r="W68" s="5">
        <f t="shared" si="4"/>
        <v>12.131578947368421</v>
      </c>
      <c r="X68" s="5">
        <f t="shared" si="5"/>
        <v>20.972727272727273</v>
      </c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</row>
    <row r="69" spans="1:56">
      <c r="A69" s="5" t="s">
        <v>182</v>
      </c>
      <c r="B69" s="5" t="s">
        <v>48</v>
      </c>
      <c r="C69" s="5">
        <v>812</v>
      </c>
      <c r="D69" s="5">
        <v>909</v>
      </c>
      <c r="E69" s="5">
        <v>2570</v>
      </c>
      <c r="F69" s="5">
        <v>2703</v>
      </c>
      <c r="G69" s="5">
        <v>641</v>
      </c>
      <c r="H69" s="5">
        <v>692</v>
      </c>
      <c r="I69" s="5">
        <v>1105</v>
      </c>
      <c r="J69" s="5">
        <v>1160</v>
      </c>
      <c r="K69" s="5">
        <v>9802</v>
      </c>
      <c r="L69" s="5">
        <v>10168</v>
      </c>
      <c r="M69" s="5">
        <v>846</v>
      </c>
      <c r="N69" s="5">
        <v>953</v>
      </c>
      <c r="O69" s="5">
        <v>1313</v>
      </c>
      <c r="P69" s="5">
        <v>1380</v>
      </c>
      <c r="Q69" s="5">
        <v>22890</v>
      </c>
      <c r="R69" s="5">
        <v>21482</v>
      </c>
      <c r="S69" s="5">
        <v>1135</v>
      </c>
      <c r="T69" s="5">
        <v>1129</v>
      </c>
      <c r="U69" s="5"/>
      <c r="V69" s="5">
        <f t="shared" si="3"/>
        <v>4.0093603744149764</v>
      </c>
      <c r="W69" s="5">
        <f t="shared" si="4"/>
        <v>11.58628841607565</v>
      </c>
      <c r="X69" s="5">
        <f t="shared" si="5"/>
        <v>20.167400881057269</v>
      </c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</row>
    <row r="70" spans="1:56">
      <c r="A70" s="5" t="s">
        <v>182</v>
      </c>
      <c r="B70" s="5" t="s">
        <v>103</v>
      </c>
      <c r="C70" s="5">
        <v>2077</v>
      </c>
      <c r="D70" s="5">
        <v>3656</v>
      </c>
      <c r="E70" s="5">
        <v>7045</v>
      </c>
      <c r="F70" s="5">
        <v>10494</v>
      </c>
      <c r="G70" s="5">
        <v>1784</v>
      </c>
      <c r="H70" s="5">
        <v>2703</v>
      </c>
      <c r="I70" s="5">
        <v>3252</v>
      </c>
      <c r="J70" s="5">
        <v>5019</v>
      </c>
      <c r="K70" s="5">
        <v>29873</v>
      </c>
      <c r="L70" s="5">
        <v>41647</v>
      </c>
      <c r="M70" s="5">
        <v>2451</v>
      </c>
      <c r="N70" s="5">
        <v>3823</v>
      </c>
      <c r="O70" s="5">
        <v>3615</v>
      </c>
      <c r="P70" s="5">
        <v>6205</v>
      </c>
      <c r="Q70" s="5">
        <v>64396</v>
      </c>
      <c r="R70" s="5">
        <v>121381</v>
      </c>
      <c r="S70" s="5">
        <v>3004</v>
      </c>
      <c r="T70" s="5">
        <v>5103</v>
      </c>
      <c r="U70" s="5"/>
      <c r="V70" s="5">
        <f t="shared" si="3"/>
        <v>3.9489910313901344</v>
      </c>
      <c r="W70" s="5">
        <f t="shared" si="4"/>
        <v>12.188086495308038</v>
      </c>
      <c r="X70" s="5">
        <f t="shared" si="5"/>
        <v>21.43675099866844</v>
      </c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</row>
    <row r="71" spans="1:56">
      <c r="A71" s="5" t="s">
        <v>182</v>
      </c>
      <c r="B71" s="5" t="s">
        <v>31</v>
      </c>
      <c r="C71" s="5">
        <v>4908</v>
      </c>
      <c r="D71" s="5">
        <v>7530</v>
      </c>
      <c r="E71" s="5">
        <v>17422</v>
      </c>
      <c r="F71" s="5">
        <v>24463</v>
      </c>
      <c r="G71" s="5">
        <v>4002</v>
      </c>
      <c r="H71" s="5">
        <v>5455</v>
      </c>
      <c r="I71" s="5">
        <v>8434</v>
      </c>
      <c r="J71" s="5">
        <v>11434</v>
      </c>
      <c r="K71" s="5">
        <v>92875</v>
      </c>
      <c r="L71" s="5">
        <v>117440</v>
      </c>
      <c r="M71" s="5">
        <v>6599</v>
      </c>
      <c r="N71" s="5">
        <v>8851</v>
      </c>
      <c r="O71" s="5">
        <v>10782</v>
      </c>
      <c r="P71" s="5">
        <v>15267</v>
      </c>
      <c r="Q71" s="5">
        <v>214132</v>
      </c>
      <c r="R71" s="5">
        <v>334840</v>
      </c>
      <c r="S71" s="5">
        <v>9078</v>
      </c>
      <c r="T71" s="5">
        <v>12363</v>
      </c>
      <c r="U71" s="5"/>
      <c r="V71" s="5">
        <f t="shared" si="3"/>
        <v>4.353323338330835</v>
      </c>
      <c r="W71" s="5">
        <f t="shared" si="4"/>
        <v>14.074102136687378</v>
      </c>
      <c r="X71" s="5">
        <f t="shared" si="5"/>
        <v>23.588014981273407</v>
      </c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</row>
    <row r="72" spans="1:56">
      <c r="A72" s="5" t="s">
        <v>177</v>
      </c>
      <c r="B72" s="5" t="s">
        <v>33</v>
      </c>
      <c r="C72" s="5">
        <v>2732</v>
      </c>
      <c r="D72" s="5">
        <v>5138</v>
      </c>
      <c r="E72" s="5">
        <v>57628</v>
      </c>
      <c r="F72" s="5">
        <v>75377</v>
      </c>
      <c r="G72" s="5">
        <v>2202</v>
      </c>
      <c r="H72" s="5">
        <v>3917</v>
      </c>
      <c r="I72" s="5">
        <v>3310</v>
      </c>
      <c r="J72" s="5">
        <v>6400</v>
      </c>
      <c r="K72" s="5">
        <v>207312</v>
      </c>
      <c r="L72" s="5">
        <v>271043</v>
      </c>
      <c r="M72" s="5">
        <v>2759</v>
      </c>
      <c r="N72" s="5">
        <v>5073</v>
      </c>
      <c r="O72" s="5">
        <v>4098</v>
      </c>
      <c r="P72" s="5">
        <v>8024</v>
      </c>
      <c r="Q72" s="5">
        <v>559221</v>
      </c>
      <c r="R72" s="5">
        <v>639783</v>
      </c>
      <c r="S72" s="5">
        <v>3273</v>
      </c>
      <c r="T72" s="5">
        <v>6266</v>
      </c>
      <c r="U72" s="5"/>
      <c r="V72" s="5">
        <f t="shared" si="3"/>
        <v>26.170753860127157</v>
      </c>
      <c r="W72" s="5">
        <f t="shared" si="4"/>
        <v>75.140268213120692</v>
      </c>
      <c r="X72" s="5">
        <f t="shared" si="5"/>
        <v>170.85884509624199</v>
      </c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</row>
    <row r="73" spans="1:56">
      <c r="A73" s="5" t="s">
        <v>178</v>
      </c>
      <c r="B73" s="5" t="s">
        <v>75</v>
      </c>
      <c r="C73" s="5">
        <v>2974</v>
      </c>
      <c r="D73" s="5">
        <v>5619</v>
      </c>
      <c r="E73" s="5">
        <v>74763</v>
      </c>
      <c r="F73" s="5">
        <v>73162</v>
      </c>
      <c r="G73" s="5">
        <v>2392</v>
      </c>
      <c r="H73" s="5">
        <v>4367</v>
      </c>
      <c r="I73" s="5">
        <v>3704</v>
      </c>
      <c r="J73" s="5">
        <v>6890</v>
      </c>
      <c r="K73" s="5">
        <v>294005</v>
      </c>
      <c r="L73" s="5">
        <v>302713</v>
      </c>
      <c r="M73" s="5">
        <v>3066</v>
      </c>
      <c r="N73" s="5">
        <v>5661</v>
      </c>
      <c r="O73" s="5">
        <v>4380</v>
      </c>
      <c r="P73" s="5">
        <v>8152</v>
      </c>
      <c r="Q73" s="5">
        <v>685983</v>
      </c>
      <c r="R73" s="5">
        <v>689034</v>
      </c>
      <c r="S73" s="5">
        <v>3565</v>
      </c>
      <c r="T73" s="5">
        <v>6729</v>
      </c>
      <c r="U73" s="5"/>
      <c r="V73" s="5">
        <f t="shared" si="3"/>
        <v>31.255434782608695</v>
      </c>
      <c r="W73" s="5">
        <f t="shared" si="4"/>
        <v>95.892041748206125</v>
      </c>
      <c r="X73" s="5">
        <f t="shared" si="5"/>
        <v>192.42159887798036</v>
      </c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</row>
    <row r="74" spans="1:56">
      <c r="A74" s="5" t="s">
        <v>176</v>
      </c>
      <c r="B74" s="5" t="s">
        <v>23</v>
      </c>
      <c r="C74" s="5">
        <v>10467</v>
      </c>
      <c r="D74" s="5">
        <v>1674</v>
      </c>
      <c r="E74" s="5">
        <v>50190</v>
      </c>
      <c r="F74" s="5">
        <v>4002</v>
      </c>
      <c r="G74" s="5">
        <v>8135</v>
      </c>
      <c r="H74" s="5">
        <v>1310</v>
      </c>
      <c r="I74" s="5">
        <v>17799</v>
      </c>
      <c r="J74" s="5">
        <v>2503</v>
      </c>
      <c r="K74" s="5">
        <v>240499</v>
      </c>
      <c r="L74" s="5">
        <v>17865</v>
      </c>
      <c r="M74" s="5">
        <v>13790</v>
      </c>
      <c r="N74" s="5">
        <v>2012</v>
      </c>
      <c r="O74" s="5">
        <v>24279</v>
      </c>
      <c r="P74" s="5">
        <v>3423</v>
      </c>
      <c r="Q74" s="5">
        <v>667345</v>
      </c>
      <c r="R74" s="5">
        <v>47356</v>
      </c>
      <c r="S74" s="5">
        <v>20131</v>
      </c>
      <c r="T74" s="5">
        <v>2810</v>
      </c>
      <c r="U74" s="5"/>
      <c r="V74" s="5">
        <f t="shared" si="3"/>
        <v>6.1696373693915181</v>
      </c>
      <c r="W74" s="5">
        <f t="shared" si="4"/>
        <v>17.440101522842639</v>
      </c>
      <c r="X74" s="5">
        <f t="shared" si="5"/>
        <v>33.150116735383243</v>
      </c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</row>
    <row r="75" spans="1:56">
      <c r="A75" s="5" t="s">
        <v>175</v>
      </c>
      <c r="B75" s="5" t="s">
        <v>102</v>
      </c>
      <c r="C75" s="5">
        <v>2697</v>
      </c>
      <c r="D75" s="5">
        <v>3091</v>
      </c>
      <c r="E75" s="5">
        <v>7273</v>
      </c>
      <c r="F75" s="5">
        <v>8159</v>
      </c>
      <c r="G75" s="5">
        <v>2028</v>
      </c>
      <c r="H75" s="5">
        <v>2330</v>
      </c>
      <c r="I75" s="5">
        <v>4561</v>
      </c>
      <c r="J75" s="5">
        <v>5245</v>
      </c>
      <c r="K75" s="5">
        <v>35327</v>
      </c>
      <c r="L75" s="5">
        <v>36646</v>
      </c>
      <c r="M75" s="5">
        <v>3813</v>
      </c>
      <c r="N75" s="5">
        <v>4288</v>
      </c>
      <c r="O75" s="5">
        <v>6059</v>
      </c>
      <c r="P75" s="5">
        <v>7115</v>
      </c>
      <c r="Q75" s="5">
        <v>92542</v>
      </c>
      <c r="R75" s="5">
        <v>98506</v>
      </c>
      <c r="S75" s="5">
        <v>5422</v>
      </c>
      <c r="T75" s="5">
        <v>6053</v>
      </c>
      <c r="U75" s="5"/>
      <c r="V75" s="5">
        <f t="shared" si="3"/>
        <v>3.58629191321499</v>
      </c>
      <c r="W75" s="5">
        <f t="shared" si="4"/>
        <v>9.2648832939942309</v>
      </c>
      <c r="X75" s="5">
        <f t="shared" si="5"/>
        <v>17.067871634083364</v>
      </c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</row>
    <row r="76" spans="1:56">
      <c r="A76" s="5" t="s">
        <v>175</v>
      </c>
      <c r="B76" s="5" t="s">
        <v>67</v>
      </c>
      <c r="C76" s="5">
        <v>6321</v>
      </c>
      <c r="D76" s="5">
        <v>6718</v>
      </c>
      <c r="E76" s="5">
        <v>44259</v>
      </c>
      <c r="F76" s="5">
        <v>50003</v>
      </c>
      <c r="G76" s="5">
        <v>4779</v>
      </c>
      <c r="H76" s="5">
        <v>5196</v>
      </c>
      <c r="I76" s="5">
        <v>10047</v>
      </c>
      <c r="J76" s="5">
        <v>11118</v>
      </c>
      <c r="K76" s="5">
        <v>225751</v>
      </c>
      <c r="L76" s="5">
        <v>273441</v>
      </c>
      <c r="M76" s="5">
        <v>8670</v>
      </c>
      <c r="N76" s="5">
        <v>9229</v>
      </c>
      <c r="O76" s="5">
        <v>13632</v>
      </c>
      <c r="P76" s="5">
        <v>15116</v>
      </c>
      <c r="Q76" s="5">
        <v>726046</v>
      </c>
      <c r="R76" s="5">
        <v>750804</v>
      </c>
      <c r="S76" s="5">
        <v>12276</v>
      </c>
      <c r="T76" s="5">
        <v>12588</v>
      </c>
      <c r="U76" s="5"/>
      <c r="V76" s="5">
        <f t="shared" si="3"/>
        <v>9.2611424984306332</v>
      </c>
      <c r="W76" s="5">
        <f t="shared" si="4"/>
        <v>26.038177623990773</v>
      </c>
      <c r="X76" s="5">
        <f t="shared" si="5"/>
        <v>59.143532095144998</v>
      </c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</row>
    <row r="77" spans="1:56">
      <c r="A77" s="5" t="s">
        <v>172</v>
      </c>
      <c r="B77" s="5" t="s">
        <v>52</v>
      </c>
      <c r="C77" s="5">
        <v>1794</v>
      </c>
      <c r="D77" s="5">
        <v>1792</v>
      </c>
      <c r="E77" s="5">
        <v>5302</v>
      </c>
      <c r="F77" s="5">
        <v>4415</v>
      </c>
      <c r="G77" s="5">
        <v>1416</v>
      </c>
      <c r="H77" s="5">
        <v>1317</v>
      </c>
      <c r="I77" s="5">
        <v>2729</v>
      </c>
      <c r="J77" s="5">
        <v>2524</v>
      </c>
      <c r="K77" s="5">
        <v>25601</v>
      </c>
      <c r="L77" s="5">
        <v>20956</v>
      </c>
      <c r="M77" s="5">
        <v>2242</v>
      </c>
      <c r="N77" s="5">
        <v>2042</v>
      </c>
      <c r="O77" s="5">
        <v>3789</v>
      </c>
      <c r="P77" s="5">
        <v>3476</v>
      </c>
      <c r="Q77" s="5">
        <v>61773</v>
      </c>
      <c r="R77" s="5">
        <v>54557</v>
      </c>
      <c r="S77" s="5">
        <v>2883</v>
      </c>
      <c r="T77" s="5">
        <v>2674</v>
      </c>
      <c r="U77" s="5"/>
      <c r="V77" s="5">
        <f t="shared" si="3"/>
        <v>3.7443502824858759</v>
      </c>
      <c r="W77" s="5">
        <f t="shared" si="4"/>
        <v>11.418822479928636</v>
      </c>
      <c r="X77" s="5">
        <f t="shared" si="5"/>
        <v>21.426638917793966</v>
      </c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</row>
    <row r="78" spans="1:56">
      <c r="A78" s="5" t="s">
        <v>172</v>
      </c>
      <c r="B78" s="5" t="s">
        <v>74</v>
      </c>
      <c r="C78" s="5">
        <v>156</v>
      </c>
      <c r="D78" s="5">
        <v>296</v>
      </c>
      <c r="E78" s="5">
        <v>779</v>
      </c>
      <c r="F78" s="5">
        <v>625</v>
      </c>
      <c r="G78" s="5">
        <v>120</v>
      </c>
      <c r="H78" s="5">
        <v>215</v>
      </c>
      <c r="I78" s="5">
        <v>191</v>
      </c>
      <c r="J78" s="5">
        <v>344</v>
      </c>
      <c r="K78" s="5">
        <v>2951</v>
      </c>
      <c r="L78" s="5">
        <v>1545</v>
      </c>
      <c r="M78" s="5">
        <v>144</v>
      </c>
      <c r="N78" s="5">
        <v>267</v>
      </c>
      <c r="O78" s="5">
        <v>212</v>
      </c>
      <c r="P78" s="5">
        <v>394</v>
      </c>
      <c r="Q78" s="5">
        <v>8019</v>
      </c>
      <c r="R78" s="5">
        <v>3609</v>
      </c>
      <c r="S78" s="5">
        <v>175</v>
      </c>
      <c r="T78" s="5">
        <v>325</v>
      </c>
      <c r="U78" s="5"/>
      <c r="V78" s="5">
        <f t="shared" si="3"/>
        <v>6.4916666666666663</v>
      </c>
      <c r="W78" s="5">
        <f t="shared" si="4"/>
        <v>20.493055555555557</v>
      </c>
      <c r="X78" s="5">
        <f t="shared" si="5"/>
        <v>45.822857142857146</v>
      </c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</row>
    <row r="79" spans="1:56">
      <c r="A79" s="5" t="s">
        <v>172</v>
      </c>
      <c r="B79" s="5" t="s">
        <v>1</v>
      </c>
      <c r="C79" s="5">
        <v>49</v>
      </c>
      <c r="D79" s="5">
        <v>47</v>
      </c>
      <c r="E79" s="5">
        <v>102</v>
      </c>
      <c r="F79" s="5">
        <v>118</v>
      </c>
      <c r="G79" s="5">
        <v>37</v>
      </c>
      <c r="H79" s="5">
        <v>38</v>
      </c>
      <c r="I79" s="5">
        <v>65</v>
      </c>
      <c r="J79" s="5">
        <v>60</v>
      </c>
      <c r="K79" s="5">
        <v>166</v>
      </c>
      <c r="L79" s="5">
        <v>162</v>
      </c>
      <c r="M79" s="5">
        <v>52</v>
      </c>
      <c r="N79" s="5">
        <v>52</v>
      </c>
      <c r="O79" s="5">
        <v>62</v>
      </c>
      <c r="P79" s="5">
        <v>59</v>
      </c>
      <c r="Q79" s="5">
        <v>149</v>
      </c>
      <c r="R79" s="5">
        <v>149</v>
      </c>
      <c r="S79" s="5">
        <v>51</v>
      </c>
      <c r="T79" s="5">
        <v>51</v>
      </c>
      <c r="U79" s="5"/>
      <c r="V79" s="5">
        <f t="shared" si="3"/>
        <v>2.7567567567567566</v>
      </c>
      <c r="W79" s="5">
        <f t="shared" si="4"/>
        <v>3.1923076923076925</v>
      </c>
      <c r="X79" s="5">
        <f t="shared" si="5"/>
        <v>2.9215686274509802</v>
      </c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</row>
    <row r="80" spans="1:56">
      <c r="A80" s="5" t="s">
        <v>174</v>
      </c>
      <c r="B80" s="5" t="s">
        <v>0</v>
      </c>
      <c r="C80" s="5">
        <v>890</v>
      </c>
      <c r="D80" s="5">
        <v>1052</v>
      </c>
      <c r="E80" s="5">
        <v>3124</v>
      </c>
      <c r="F80" s="5">
        <v>2725</v>
      </c>
      <c r="G80" s="5">
        <v>735</v>
      </c>
      <c r="H80" s="5">
        <v>808</v>
      </c>
      <c r="I80" s="5">
        <v>1121</v>
      </c>
      <c r="J80" s="5">
        <v>1376</v>
      </c>
      <c r="K80" s="5">
        <v>8231</v>
      </c>
      <c r="L80" s="5">
        <v>6126</v>
      </c>
      <c r="M80" s="5">
        <v>948</v>
      </c>
      <c r="N80" s="5">
        <v>1125</v>
      </c>
      <c r="O80" s="5">
        <v>1346</v>
      </c>
      <c r="P80" s="5">
        <v>1646</v>
      </c>
      <c r="Q80" s="5">
        <v>23165</v>
      </c>
      <c r="R80" s="5">
        <v>10707</v>
      </c>
      <c r="S80" s="5">
        <v>1110</v>
      </c>
      <c r="T80" s="5">
        <v>1457</v>
      </c>
      <c r="U80" s="5"/>
      <c r="V80" s="5">
        <f t="shared" si="3"/>
        <v>4.2503401360544215</v>
      </c>
      <c r="W80" s="5">
        <f t="shared" si="4"/>
        <v>8.6824894514767941</v>
      </c>
      <c r="X80" s="5">
        <f t="shared" si="5"/>
        <v>20.86936936936937</v>
      </c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</row>
    <row r="81" spans="1:56">
      <c r="A81" s="5" t="s">
        <v>180</v>
      </c>
      <c r="B81" s="5" t="s">
        <v>90</v>
      </c>
      <c r="C81" s="5">
        <v>31</v>
      </c>
      <c r="D81" s="5">
        <v>30</v>
      </c>
      <c r="E81" s="5">
        <v>203</v>
      </c>
      <c r="F81" s="5">
        <v>219</v>
      </c>
      <c r="G81" s="5">
        <v>23</v>
      </c>
      <c r="H81" s="5">
        <v>24</v>
      </c>
      <c r="I81" s="5">
        <v>38</v>
      </c>
      <c r="J81" s="5">
        <v>38</v>
      </c>
      <c r="K81" s="5">
        <v>630</v>
      </c>
      <c r="L81" s="5">
        <v>736</v>
      </c>
      <c r="M81" s="5">
        <v>31</v>
      </c>
      <c r="N81" s="5">
        <v>30</v>
      </c>
      <c r="O81" s="5">
        <v>47</v>
      </c>
      <c r="P81" s="5">
        <v>48</v>
      </c>
      <c r="Q81" s="5">
        <v>946</v>
      </c>
      <c r="R81" s="5">
        <v>969</v>
      </c>
      <c r="S81" s="5">
        <v>36</v>
      </c>
      <c r="T81" s="5">
        <v>37</v>
      </c>
      <c r="U81" s="5"/>
      <c r="V81" s="5">
        <f t="shared" si="3"/>
        <v>8.8260869565217384</v>
      </c>
      <c r="W81" s="5">
        <f t="shared" si="4"/>
        <v>20.322580645161292</v>
      </c>
      <c r="X81" s="5">
        <f t="shared" si="5"/>
        <v>26.277777777777779</v>
      </c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</row>
    <row r="82" spans="1:56">
      <c r="A82" s="5" t="s">
        <v>180</v>
      </c>
      <c r="B82" s="5" t="s">
        <v>65</v>
      </c>
      <c r="C82" s="5">
        <v>342</v>
      </c>
      <c r="D82" s="5">
        <v>392</v>
      </c>
      <c r="E82" s="5">
        <v>2620</v>
      </c>
      <c r="F82" s="5">
        <v>3020</v>
      </c>
      <c r="G82" s="5">
        <v>267</v>
      </c>
      <c r="H82" s="5">
        <v>286</v>
      </c>
      <c r="I82" s="5">
        <v>431</v>
      </c>
      <c r="J82" s="5">
        <v>477</v>
      </c>
      <c r="K82" s="5">
        <v>10313</v>
      </c>
      <c r="L82" s="5">
        <v>12063</v>
      </c>
      <c r="M82" s="5">
        <v>339</v>
      </c>
      <c r="N82" s="5">
        <v>364</v>
      </c>
      <c r="O82" s="5">
        <v>508</v>
      </c>
      <c r="P82" s="5">
        <v>564</v>
      </c>
      <c r="Q82" s="5">
        <v>26948</v>
      </c>
      <c r="R82" s="5">
        <v>28202</v>
      </c>
      <c r="S82" s="5">
        <v>349</v>
      </c>
      <c r="T82" s="5">
        <v>395</v>
      </c>
      <c r="U82" s="5"/>
      <c r="V82" s="5">
        <f t="shared" si="3"/>
        <v>9.8127340823970037</v>
      </c>
      <c r="W82" s="5">
        <f t="shared" si="4"/>
        <v>30.421828908554573</v>
      </c>
      <c r="X82" s="5">
        <f t="shared" si="5"/>
        <v>77.214899713467048</v>
      </c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</row>
    <row r="83" spans="1:56">
      <c r="A83" s="5" t="s">
        <v>180</v>
      </c>
      <c r="B83" s="5" t="s">
        <v>86</v>
      </c>
      <c r="C83" s="5">
        <v>248</v>
      </c>
      <c r="D83" s="5">
        <v>415</v>
      </c>
      <c r="E83" s="5">
        <v>1346</v>
      </c>
      <c r="F83" s="5">
        <v>1601</v>
      </c>
      <c r="G83" s="5">
        <v>191</v>
      </c>
      <c r="H83" s="5">
        <v>293</v>
      </c>
      <c r="I83" s="5">
        <v>305</v>
      </c>
      <c r="J83" s="5">
        <v>489</v>
      </c>
      <c r="K83" s="5">
        <v>3925</v>
      </c>
      <c r="L83" s="5">
        <v>5476</v>
      </c>
      <c r="M83" s="5">
        <v>247</v>
      </c>
      <c r="N83" s="5">
        <v>400</v>
      </c>
      <c r="O83" s="5">
        <v>382</v>
      </c>
      <c r="P83" s="5">
        <v>690</v>
      </c>
      <c r="Q83" s="5">
        <v>8931</v>
      </c>
      <c r="R83" s="5">
        <v>10278</v>
      </c>
      <c r="S83" s="5">
        <v>267</v>
      </c>
      <c r="T83" s="5">
        <v>428</v>
      </c>
      <c r="U83" s="5"/>
      <c r="V83" s="5">
        <f t="shared" si="3"/>
        <v>7.0471204188481673</v>
      </c>
      <c r="W83" s="5">
        <f t="shared" si="4"/>
        <v>15.890688259109313</v>
      </c>
      <c r="X83" s="5">
        <f t="shared" si="5"/>
        <v>33.449438202247194</v>
      </c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</row>
    <row r="84" spans="1:56">
      <c r="A84" s="5" t="s">
        <v>180</v>
      </c>
      <c r="B84" s="5" t="s">
        <v>88</v>
      </c>
      <c r="C84" s="5">
        <v>398</v>
      </c>
      <c r="D84" s="5">
        <v>376</v>
      </c>
      <c r="E84" s="5">
        <v>1269</v>
      </c>
      <c r="F84" s="5">
        <v>1248</v>
      </c>
      <c r="G84" s="5">
        <v>270</v>
      </c>
      <c r="H84" s="5">
        <v>287</v>
      </c>
      <c r="I84" s="5">
        <v>422</v>
      </c>
      <c r="J84" s="5">
        <v>473</v>
      </c>
      <c r="K84" s="5">
        <v>4012</v>
      </c>
      <c r="L84" s="5">
        <v>4489</v>
      </c>
      <c r="M84" s="5">
        <v>351</v>
      </c>
      <c r="N84" s="5">
        <v>379</v>
      </c>
      <c r="O84" s="5">
        <v>539</v>
      </c>
      <c r="P84" s="5">
        <v>563</v>
      </c>
      <c r="Q84" s="5">
        <v>9496</v>
      </c>
      <c r="R84" s="5">
        <v>11149</v>
      </c>
      <c r="S84" s="5">
        <v>483</v>
      </c>
      <c r="T84" s="5">
        <v>435</v>
      </c>
      <c r="U84" s="5"/>
      <c r="V84" s="5">
        <f t="shared" si="3"/>
        <v>4.7</v>
      </c>
      <c r="W84" s="5">
        <f t="shared" si="4"/>
        <v>11.43019943019943</v>
      </c>
      <c r="X84" s="5">
        <f t="shared" si="5"/>
        <v>19.660455486542443</v>
      </c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</row>
    <row r="85" spans="1:56">
      <c r="A85" s="5" t="s">
        <v>180</v>
      </c>
      <c r="B85" s="5" t="s">
        <v>77</v>
      </c>
      <c r="C85" s="5">
        <v>689</v>
      </c>
      <c r="D85" s="5">
        <v>624</v>
      </c>
      <c r="E85" s="5">
        <v>2008</v>
      </c>
      <c r="F85" s="5">
        <v>2032</v>
      </c>
      <c r="G85" s="5">
        <v>468</v>
      </c>
      <c r="H85" s="5">
        <v>492</v>
      </c>
      <c r="I85" s="5">
        <v>703</v>
      </c>
      <c r="J85" s="5">
        <v>746</v>
      </c>
      <c r="K85" s="5">
        <v>6570</v>
      </c>
      <c r="L85" s="5">
        <v>6511</v>
      </c>
      <c r="M85" s="5">
        <v>578</v>
      </c>
      <c r="N85" s="5">
        <v>629</v>
      </c>
      <c r="O85" s="5">
        <v>788</v>
      </c>
      <c r="P85" s="5">
        <v>868</v>
      </c>
      <c r="Q85" s="5">
        <v>15022</v>
      </c>
      <c r="R85" s="5">
        <v>14731</v>
      </c>
      <c r="S85" s="5">
        <v>723</v>
      </c>
      <c r="T85" s="5">
        <v>677</v>
      </c>
      <c r="U85" s="5"/>
      <c r="V85" s="5">
        <f t="shared" si="3"/>
        <v>4.2905982905982905</v>
      </c>
      <c r="W85" s="5">
        <f t="shared" si="4"/>
        <v>11.366782006920415</v>
      </c>
      <c r="X85" s="5">
        <f t="shared" si="5"/>
        <v>20.777316735822961</v>
      </c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</row>
    <row r="86" spans="1:56">
      <c r="A86" s="5" t="s">
        <v>180</v>
      </c>
      <c r="B86" s="5" t="s">
        <v>17</v>
      </c>
      <c r="C86" s="5">
        <v>278</v>
      </c>
      <c r="D86" s="5">
        <v>297</v>
      </c>
      <c r="E86" s="5">
        <v>994</v>
      </c>
      <c r="F86" s="5">
        <v>938</v>
      </c>
      <c r="G86" s="5">
        <v>209</v>
      </c>
      <c r="H86" s="5">
        <v>232</v>
      </c>
      <c r="I86" s="5">
        <v>334</v>
      </c>
      <c r="J86" s="5">
        <v>350</v>
      </c>
      <c r="K86" s="5">
        <v>2675</v>
      </c>
      <c r="L86" s="5">
        <v>2745</v>
      </c>
      <c r="M86" s="5">
        <v>258</v>
      </c>
      <c r="N86" s="5">
        <v>276</v>
      </c>
      <c r="O86" s="5">
        <v>412</v>
      </c>
      <c r="P86" s="5">
        <v>427</v>
      </c>
      <c r="Q86" s="5">
        <v>4871</v>
      </c>
      <c r="R86" s="5">
        <v>5174</v>
      </c>
      <c r="S86" s="5">
        <v>286</v>
      </c>
      <c r="T86" s="5">
        <v>324</v>
      </c>
      <c r="U86" s="5"/>
      <c r="V86" s="5">
        <f t="shared" si="3"/>
        <v>4.7559808612440193</v>
      </c>
      <c r="W86" s="5">
        <f t="shared" si="4"/>
        <v>10.368217054263566</v>
      </c>
      <c r="X86" s="5">
        <f t="shared" si="5"/>
        <v>17.03146853146853</v>
      </c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</row>
    <row r="87" spans="1:56">
      <c r="A87" s="5" t="s">
        <v>180</v>
      </c>
      <c r="B87" s="5" t="s">
        <v>35</v>
      </c>
      <c r="C87" s="5">
        <v>421</v>
      </c>
      <c r="D87" s="5">
        <v>369</v>
      </c>
      <c r="E87" s="5">
        <v>958</v>
      </c>
      <c r="F87" s="5">
        <v>1055</v>
      </c>
      <c r="G87" s="5">
        <v>235</v>
      </c>
      <c r="H87" s="5">
        <v>260</v>
      </c>
      <c r="I87" s="5">
        <v>559</v>
      </c>
      <c r="J87" s="5">
        <v>641</v>
      </c>
      <c r="K87" s="5">
        <v>3321</v>
      </c>
      <c r="L87" s="5">
        <v>3248</v>
      </c>
      <c r="M87" s="5">
        <v>436</v>
      </c>
      <c r="N87" s="5">
        <v>477</v>
      </c>
      <c r="O87" s="5">
        <v>723</v>
      </c>
      <c r="P87" s="5">
        <v>821</v>
      </c>
      <c r="Q87" s="5">
        <v>8162</v>
      </c>
      <c r="R87" s="5">
        <v>6680</v>
      </c>
      <c r="S87" s="5">
        <v>543</v>
      </c>
      <c r="T87" s="5">
        <v>763</v>
      </c>
      <c r="U87" s="5"/>
      <c r="V87" s="5">
        <f t="shared" si="3"/>
        <v>4.0765957446808514</v>
      </c>
      <c r="W87" s="5">
        <f t="shared" si="4"/>
        <v>7.6169724770642198</v>
      </c>
      <c r="X87" s="5">
        <f t="shared" si="5"/>
        <v>15.031307550644566</v>
      </c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</row>
    <row r="88" spans="1:56">
      <c r="A88" s="5" t="s">
        <v>180</v>
      </c>
      <c r="B88" s="5" t="s">
        <v>83</v>
      </c>
      <c r="C88" s="5">
        <v>2703</v>
      </c>
      <c r="D88" s="5">
        <v>3356</v>
      </c>
      <c r="E88" s="5">
        <v>10022</v>
      </c>
      <c r="F88" s="5">
        <v>12285</v>
      </c>
      <c r="G88" s="5">
        <v>2123</v>
      </c>
      <c r="H88" s="5">
        <v>2492</v>
      </c>
      <c r="I88" s="5">
        <v>4736</v>
      </c>
      <c r="J88" s="5">
        <v>6168</v>
      </c>
      <c r="K88" s="5">
        <v>52312</v>
      </c>
      <c r="L88" s="5">
        <v>66235</v>
      </c>
      <c r="M88" s="5">
        <v>3810</v>
      </c>
      <c r="N88" s="5">
        <v>4696</v>
      </c>
      <c r="O88" s="5">
        <v>6496</v>
      </c>
      <c r="P88" s="5">
        <v>8799</v>
      </c>
      <c r="Q88" s="5">
        <v>160203</v>
      </c>
      <c r="R88" s="5">
        <v>178067</v>
      </c>
      <c r="S88" s="5">
        <v>5473</v>
      </c>
      <c r="T88" s="5">
        <v>6796</v>
      </c>
      <c r="U88" s="5"/>
      <c r="V88" s="5">
        <f t="shared" si="3"/>
        <v>4.7206782854451248</v>
      </c>
      <c r="W88" s="5">
        <f t="shared" si="4"/>
        <v>13.73018372703412</v>
      </c>
      <c r="X88" s="5">
        <f t="shared" si="5"/>
        <v>29.271514708569342</v>
      </c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</row>
    <row r="89" spans="1:56">
      <c r="A89" s="5" t="s">
        <v>180</v>
      </c>
      <c r="B89" s="5" t="s">
        <v>80</v>
      </c>
      <c r="C89" s="5">
        <v>5249</v>
      </c>
      <c r="D89" s="5">
        <v>7312</v>
      </c>
      <c r="E89" s="5">
        <v>18224</v>
      </c>
      <c r="F89" s="5">
        <v>22028</v>
      </c>
      <c r="G89" s="5">
        <v>3999</v>
      </c>
      <c r="H89" s="5">
        <v>5306</v>
      </c>
      <c r="I89" s="5">
        <v>8642</v>
      </c>
      <c r="J89" s="5">
        <v>11792</v>
      </c>
      <c r="K89" s="5">
        <v>75909</v>
      </c>
      <c r="L89" s="5">
        <v>94886</v>
      </c>
      <c r="M89" s="5">
        <v>6791</v>
      </c>
      <c r="N89" s="5">
        <v>9501</v>
      </c>
      <c r="O89" s="5">
        <v>11306</v>
      </c>
      <c r="P89" s="5">
        <v>15708</v>
      </c>
      <c r="Q89" s="5">
        <v>194141</v>
      </c>
      <c r="R89" s="5">
        <v>242556</v>
      </c>
      <c r="S89" s="5">
        <v>9035</v>
      </c>
      <c r="T89" s="5">
        <v>12528</v>
      </c>
      <c r="U89" s="5"/>
      <c r="V89" s="5">
        <f t="shared" si="3"/>
        <v>4.5571392848212051</v>
      </c>
      <c r="W89" s="5">
        <f t="shared" si="4"/>
        <v>11.177882491532911</v>
      </c>
      <c r="X89" s="5">
        <f t="shared" si="5"/>
        <v>21.487659103486443</v>
      </c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</row>
    <row r="90" spans="1:56">
      <c r="A90" s="5" t="s">
        <v>180</v>
      </c>
      <c r="B90" s="5" t="s">
        <v>10</v>
      </c>
      <c r="C90" s="5">
        <v>442</v>
      </c>
      <c r="D90" s="5">
        <v>405</v>
      </c>
      <c r="E90" s="5">
        <v>1408</v>
      </c>
      <c r="F90" s="5">
        <v>1509</v>
      </c>
      <c r="G90" s="5">
        <v>249</v>
      </c>
      <c r="H90" s="5">
        <v>321</v>
      </c>
      <c r="I90" s="5">
        <v>415</v>
      </c>
      <c r="J90" s="5">
        <v>542</v>
      </c>
      <c r="K90" s="5">
        <v>5996</v>
      </c>
      <c r="L90" s="5">
        <v>5907</v>
      </c>
      <c r="M90" s="5">
        <v>345</v>
      </c>
      <c r="N90" s="5">
        <v>420</v>
      </c>
      <c r="O90" s="5">
        <v>506</v>
      </c>
      <c r="P90" s="5">
        <v>628</v>
      </c>
      <c r="Q90" s="5">
        <v>13368</v>
      </c>
      <c r="R90" s="5">
        <v>14905</v>
      </c>
      <c r="S90" s="5">
        <v>377</v>
      </c>
      <c r="T90" s="5">
        <v>451</v>
      </c>
      <c r="U90" s="5"/>
      <c r="V90" s="5">
        <f t="shared" si="3"/>
        <v>5.6546184738955825</v>
      </c>
      <c r="W90" s="5">
        <f t="shared" si="4"/>
        <v>17.379710144927536</v>
      </c>
      <c r="X90" s="5">
        <f t="shared" si="5"/>
        <v>35.45888594164456</v>
      </c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</row>
    <row r="91" spans="1:56">
      <c r="A91" s="5" t="s">
        <v>180</v>
      </c>
      <c r="B91" s="5" t="s">
        <v>97</v>
      </c>
      <c r="C91" s="5">
        <v>445</v>
      </c>
      <c r="D91" s="5">
        <v>711</v>
      </c>
      <c r="E91" s="5">
        <v>1906</v>
      </c>
      <c r="F91" s="5">
        <v>2374</v>
      </c>
      <c r="G91" s="5">
        <v>376</v>
      </c>
      <c r="H91" s="5">
        <v>558</v>
      </c>
      <c r="I91" s="5">
        <v>581</v>
      </c>
      <c r="J91" s="5">
        <v>833</v>
      </c>
      <c r="K91" s="5">
        <v>5984</v>
      </c>
      <c r="L91" s="5">
        <v>7651</v>
      </c>
      <c r="M91" s="5">
        <v>460</v>
      </c>
      <c r="N91" s="5">
        <v>706</v>
      </c>
      <c r="O91" s="5">
        <v>637</v>
      </c>
      <c r="P91" s="5">
        <v>1055</v>
      </c>
      <c r="Q91" s="5">
        <v>19623</v>
      </c>
      <c r="R91" s="5">
        <v>22251</v>
      </c>
      <c r="S91" s="5">
        <v>521</v>
      </c>
      <c r="T91" s="5">
        <v>878</v>
      </c>
      <c r="U91" s="5"/>
      <c r="V91" s="5">
        <f t="shared" si="3"/>
        <v>5.0691489361702127</v>
      </c>
      <c r="W91" s="5">
        <f t="shared" si="4"/>
        <v>13.008695652173913</v>
      </c>
      <c r="X91" s="5">
        <f t="shared" si="5"/>
        <v>37.664107485604603</v>
      </c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</row>
    <row r="92" spans="1:56">
      <c r="A92" s="5" t="s">
        <v>180</v>
      </c>
      <c r="B92" s="5" t="s">
        <v>15</v>
      </c>
      <c r="C92" s="5">
        <v>96</v>
      </c>
      <c r="D92" s="5">
        <v>60</v>
      </c>
      <c r="E92" s="5">
        <v>323</v>
      </c>
      <c r="F92" s="5">
        <v>365</v>
      </c>
      <c r="G92" s="5">
        <v>42</v>
      </c>
      <c r="H92" s="5">
        <v>43</v>
      </c>
      <c r="I92" s="5">
        <v>66</v>
      </c>
      <c r="J92" s="5">
        <v>70</v>
      </c>
      <c r="K92" s="5">
        <v>937</v>
      </c>
      <c r="L92" s="5">
        <v>1014</v>
      </c>
      <c r="M92" s="5">
        <v>55</v>
      </c>
      <c r="N92" s="5">
        <v>55</v>
      </c>
      <c r="O92" s="5">
        <v>81</v>
      </c>
      <c r="P92" s="5">
        <v>84</v>
      </c>
      <c r="Q92" s="5">
        <v>1847</v>
      </c>
      <c r="R92" s="5">
        <v>1912</v>
      </c>
      <c r="S92" s="5">
        <v>62</v>
      </c>
      <c r="T92" s="5">
        <v>63</v>
      </c>
      <c r="U92" s="5"/>
      <c r="V92" s="5">
        <f t="shared" si="3"/>
        <v>7.6904761904761907</v>
      </c>
      <c r="W92" s="5">
        <f t="shared" si="4"/>
        <v>17.036363636363635</v>
      </c>
      <c r="X92" s="5">
        <f t="shared" si="5"/>
        <v>29.79032258064516</v>
      </c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</row>
    <row r="93" spans="1:56">
      <c r="A93" s="5" t="s">
        <v>181</v>
      </c>
      <c r="B93" s="5" t="s">
        <v>61</v>
      </c>
      <c r="C93" s="5">
        <v>363</v>
      </c>
      <c r="D93" s="5">
        <v>541</v>
      </c>
      <c r="E93" s="5">
        <v>1335</v>
      </c>
      <c r="F93" s="5">
        <v>1443</v>
      </c>
      <c r="G93" s="5">
        <v>280</v>
      </c>
      <c r="H93" s="5">
        <v>441</v>
      </c>
      <c r="I93" s="5">
        <v>429</v>
      </c>
      <c r="J93" s="5">
        <v>634</v>
      </c>
      <c r="K93" s="5">
        <v>4086</v>
      </c>
      <c r="L93" s="5">
        <v>5524</v>
      </c>
      <c r="M93" s="5">
        <v>353</v>
      </c>
      <c r="N93" s="5">
        <v>552</v>
      </c>
      <c r="O93" s="5">
        <v>509</v>
      </c>
      <c r="P93" s="5">
        <v>751</v>
      </c>
      <c r="Q93" s="5">
        <v>10068</v>
      </c>
      <c r="R93" s="5">
        <v>11518</v>
      </c>
      <c r="S93" s="5">
        <v>409</v>
      </c>
      <c r="T93" s="5">
        <v>698</v>
      </c>
      <c r="U93" s="5"/>
      <c r="V93" s="5">
        <f t="shared" si="3"/>
        <v>4.7678571428571432</v>
      </c>
      <c r="W93" s="5">
        <f t="shared" si="4"/>
        <v>11.575070821529746</v>
      </c>
      <c r="X93" s="5">
        <f t="shared" si="5"/>
        <v>24.616136919315405</v>
      </c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</row>
    <row r="94" spans="1:56">
      <c r="A94" s="5" t="s">
        <v>181</v>
      </c>
      <c r="B94" s="5" t="s">
        <v>49</v>
      </c>
      <c r="C94" s="5">
        <v>132</v>
      </c>
      <c r="D94" s="5">
        <v>182</v>
      </c>
      <c r="E94" s="5">
        <v>518</v>
      </c>
      <c r="F94" s="5">
        <v>487</v>
      </c>
      <c r="G94" s="5">
        <v>105</v>
      </c>
      <c r="H94" s="5">
        <v>143</v>
      </c>
      <c r="I94" s="5">
        <v>165</v>
      </c>
      <c r="J94" s="5">
        <v>277</v>
      </c>
      <c r="K94" s="5">
        <v>1510</v>
      </c>
      <c r="L94" s="5">
        <v>1841</v>
      </c>
      <c r="M94" s="5">
        <v>127</v>
      </c>
      <c r="N94" s="5">
        <v>177</v>
      </c>
      <c r="O94" s="5">
        <v>193</v>
      </c>
      <c r="P94" s="5">
        <v>252</v>
      </c>
      <c r="Q94" s="5">
        <v>3833</v>
      </c>
      <c r="R94" s="5">
        <v>3918</v>
      </c>
      <c r="S94" s="5">
        <v>148</v>
      </c>
      <c r="T94" s="5">
        <v>199</v>
      </c>
      <c r="U94" s="5"/>
      <c r="V94" s="5">
        <f t="shared" si="3"/>
        <v>4.9333333333333336</v>
      </c>
      <c r="W94" s="5">
        <f t="shared" si="4"/>
        <v>11.889763779527559</v>
      </c>
      <c r="X94" s="5">
        <f t="shared" si="5"/>
        <v>25.898648648648649</v>
      </c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</row>
    <row r="95" spans="1:56">
      <c r="A95" s="5" t="s">
        <v>181</v>
      </c>
      <c r="B95" s="5" t="s">
        <v>78</v>
      </c>
      <c r="C95" s="5">
        <v>120</v>
      </c>
      <c r="D95" s="5">
        <v>173</v>
      </c>
      <c r="E95" s="5">
        <v>514</v>
      </c>
      <c r="F95" s="5">
        <v>452</v>
      </c>
      <c r="G95" s="5">
        <v>98</v>
      </c>
      <c r="H95" s="5">
        <v>134</v>
      </c>
      <c r="I95" s="5">
        <v>147</v>
      </c>
      <c r="J95" s="5">
        <v>192</v>
      </c>
      <c r="K95" s="5">
        <v>1377</v>
      </c>
      <c r="L95" s="5">
        <v>1588</v>
      </c>
      <c r="M95" s="5">
        <v>183</v>
      </c>
      <c r="N95" s="5">
        <v>167</v>
      </c>
      <c r="O95" s="5">
        <v>197</v>
      </c>
      <c r="P95" s="5">
        <v>235</v>
      </c>
      <c r="Q95" s="5">
        <v>3550</v>
      </c>
      <c r="R95" s="5">
        <v>3612</v>
      </c>
      <c r="S95" s="5">
        <v>140</v>
      </c>
      <c r="T95" s="5">
        <v>179</v>
      </c>
      <c r="U95" s="5"/>
      <c r="V95" s="5">
        <f t="shared" si="3"/>
        <v>5.2448979591836737</v>
      </c>
      <c r="W95" s="5">
        <f t="shared" si="4"/>
        <v>7.5245901639344259</v>
      </c>
      <c r="X95" s="5">
        <f t="shared" si="5"/>
        <v>25.357142857142858</v>
      </c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</row>
    <row r="96" spans="1:56">
      <c r="A96" s="5" t="s">
        <v>181</v>
      </c>
      <c r="B96" s="5" t="s">
        <v>73</v>
      </c>
      <c r="C96" s="5">
        <v>258</v>
      </c>
      <c r="D96" s="5">
        <v>271</v>
      </c>
      <c r="E96" s="5">
        <v>786</v>
      </c>
      <c r="F96" s="5">
        <v>774</v>
      </c>
      <c r="G96" s="5">
        <v>199</v>
      </c>
      <c r="H96" s="5">
        <v>223</v>
      </c>
      <c r="I96" s="5">
        <v>308</v>
      </c>
      <c r="J96" s="5">
        <v>337</v>
      </c>
      <c r="K96" s="5">
        <v>2586</v>
      </c>
      <c r="L96" s="5">
        <v>2983</v>
      </c>
      <c r="M96" s="5">
        <v>248</v>
      </c>
      <c r="N96" s="5">
        <v>269</v>
      </c>
      <c r="O96" s="5">
        <v>380</v>
      </c>
      <c r="P96" s="5">
        <v>374</v>
      </c>
      <c r="Q96" s="5">
        <v>5819</v>
      </c>
      <c r="R96" s="5">
        <v>5444</v>
      </c>
      <c r="S96" s="5">
        <v>280</v>
      </c>
      <c r="T96" s="5">
        <v>304</v>
      </c>
      <c r="U96" s="5"/>
      <c r="V96" s="5">
        <f t="shared" si="3"/>
        <v>3.949748743718593</v>
      </c>
      <c r="W96" s="5">
        <f t="shared" si="4"/>
        <v>10.42741935483871</v>
      </c>
      <c r="X96" s="5">
        <f t="shared" si="5"/>
        <v>20.782142857142858</v>
      </c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</row>
    <row r="97" spans="1:56">
      <c r="A97" s="5" t="s">
        <v>181</v>
      </c>
      <c r="B97" s="5" t="s">
        <v>63</v>
      </c>
      <c r="C97" s="5">
        <v>295</v>
      </c>
      <c r="D97" s="5">
        <v>306</v>
      </c>
      <c r="E97" s="5">
        <v>1032</v>
      </c>
      <c r="F97" s="5">
        <v>1042</v>
      </c>
      <c r="G97" s="5">
        <v>237</v>
      </c>
      <c r="H97" s="5">
        <v>259</v>
      </c>
      <c r="I97" s="5">
        <v>352</v>
      </c>
      <c r="J97" s="5">
        <v>356</v>
      </c>
      <c r="K97" s="5">
        <v>3990</v>
      </c>
      <c r="L97" s="5">
        <v>4174</v>
      </c>
      <c r="M97" s="5">
        <v>288</v>
      </c>
      <c r="N97" s="5">
        <v>305</v>
      </c>
      <c r="O97" s="5">
        <v>392</v>
      </c>
      <c r="P97" s="5">
        <v>423</v>
      </c>
      <c r="Q97" s="5">
        <v>11623</v>
      </c>
      <c r="R97" s="5">
        <v>11360</v>
      </c>
      <c r="S97" s="5">
        <v>418</v>
      </c>
      <c r="T97" s="5">
        <v>334</v>
      </c>
      <c r="U97" s="5"/>
      <c r="V97" s="5">
        <f t="shared" si="3"/>
        <v>4.3544303797468356</v>
      </c>
      <c r="W97" s="5">
        <f t="shared" si="4"/>
        <v>13.854166666666666</v>
      </c>
      <c r="X97" s="5">
        <f t="shared" si="5"/>
        <v>27.806220095693782</v>
      </c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</row>
    <row r="98" spans="1:56">
      <c r="A98" s="5" t="s">
        <v>181</v>
      </c>
      <c r="B98" s="5" t="s">
        <v>59</v>
      </c>
      <c r="C98" s="5">
        <v>316</v>
      </c>
      <c r="D98" s="5">
        <v>314</v>
      </c>
      <c r="E98" s="5">
        <v>770</v>
      </c>
      <c r="F98" s="5">
        <v>754</v>
      </c>
      <c r="G98" s="5">
        <v>246</v>
      </c>
      <c r="H98" s="5">
        <v>260</v>
      </c>
      <c r="I98" s="5">
        <v>466</v>
      </c>
      <c r="J98" s="5">
        <v>478</v>
      </c>
      <c r="K98" s="5">
        <v>2385</v>
      </c>
      <c r="L98" s="5">
        <v>2283</v>
      </c>
      <c r="M98" s="5">
        <v>363</v>
      </c>
      <c r="N98" s="5">
        <v>385</v>
      </c>
      <c r="O98" s="5">
        <v>573</v>
      </c>
      <c r="P98" s="5">
        <v>615</v>
      </c>
      <c r="Q98" s="5">
        <v>4508</v>
      </c>
      <c r="R98" s="5">
        <v>4291</v>
      </c>
      <c r="S98" s="5">
        <v>499</v>
      </c>
      <c r="T98" s="5">
        <v>476</v>
      </c>
      <c r="U98" s="5"/>
      <c r="V98" s="5">
        <f t="shared" si="3"/>
        <v>3.1300813008130079</v>
      </c>
      <c r="W98" s="5">
        <f t="shared" si="4"/>
        <v>6.5702479338842972</v>
      </c>
      <c r="X98" s="5">
        <f t="shared" si="5"/>
        <v>9.0340681362725448</v>
      </c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</row>
    <row r="99" spans="1:56">
      <c r="A99" s="5" t="s">
        <v>181</v>
      </c>
      <c r="B99" s="5" t="s">
        <v>68</v>
      </c>
      <c r="C99" s="5">
        <v>3194</v>
      </c>
      <c r="D99" s="5">
        <v>3581</v>
      </c>
      <c r="E99" s="5">
        <v>10822</v>
      </c>
      <c r="F99" s="5">
        <v>12019</v>
      </c>
      <c r="G99" s="5">
        <v>2438</v>
      </c>
      <c r="H99" s="5">
        <v>2787</v>
      </c>
      <c r="I99" s="5">
        <v>5281</v>
      </c>
      <c r="J99" s="5">
        <v>6103</v>
      </c>
      <c r="K99" s="5">
        <v>65909</v>
      </c>
      <c r="L99" s="5">
        <v>72216</v>
      </c>
      <c r="M99" s="5">
        <v>4132</v>
      </c>
      <c r="N99" s="5">
        <v>4933</v>
      </c>
      <c r="O99" s="5">
        <v>7234</v>
      </c>
      <c r="P99" s="5">
        <v>8105</v>
      </c>
      <c r="Q99" s="5">
        <v>206847</v>
      </c>
      <c r="R99" s="5">
        <v>193680</v>
      </c>
      <c r="S99" s="5">
        <v>6054</v>
      </c>
      <c r="T99" s="5">
        <v>7107</v>
      </c>
      <c r="U99" s="5"/>
      <c r="V99" s="5">
        <f t="shared" si="3"/>
        <v>4.4388843314191959</v>
      </c>
      <c r="W99" s="5">
        <f t="shared" si="4"/>
        <v>15.950871248789932</v>
      </c>
      <c r="X99" s="5">
        <f t="shared" si="5"/>
        <v>34.166997026759169</v>
      </c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</row>
    <row r="100" spans="1:56">
      <c r="A100" s="5" t="s">
        <v>181</v>
      </c>
      <c r="B100" s="5" t="s">
        <v>34</v>
      </c>
      <c r="C100" s="5">
        <v>2135</v>
      </c>
      <c r="D100" s="5">
        <v>2221</v>
      </c>
      <c r="E100" s="5">
        <v>7549</v>
      </c>
      <c r="F100" s="5">
        <v>7821</v>
      </c>
      <c r="G100" s="5">
        <v>1633</v>
      </c>
      <c r="H100" s="5">
        <v>1862</v>
      </c>
      <c r="I100" s="5">
        <v>2630</v>
      </c>
      <c r="J100" s="5">
        <v>2798</v>
      </c>
      <c r="K100" s="5">
        <v>33716</v>
      </c>
      <c r="L100" s="5">
        <v>36689</v>
      </c>
      <c r="M100" s="5">
        <v>2190</v>
      </c>
      <c r="N100" s="5">
        <v>2346</v>
      </c>
      <c r="O100" s="5">
        <v>3359</v>
      </c>
      <c r="P100" s="5">
        <v>3370</v>
      </c>
      <c r="Q100" s="5">
        <v>92699</v>
      </c>
      <c r="R100" s="5">
        <v>89206</v>
      </c>
      <c r="S100" s="5">
        <v>2652</v>
      </c>
      <c r="T100" s="5">
        <v>2736</v>
      </c>
      <c r="U100" s="5"/>
      <c r="V100" s="5">
        <f t="shared" si="3"/>
        <v>4.6227801592161661</v>
      </c>
      <c r="W100" s="5">
        <f t="shared" si="4"/>
        <v>15.395433789954337</v>
      </c>
      <c r="X100" s="5">
        <f t="shared" si="5"/>
        <v>34.954374057315235</v>
      </c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</row>
    <row r="101" spans="1:56">
      <c r="A101" s="5" t="s">
        <v>181</v>
      </c>
      <c r="B101" s="5" t="s">
        <v>4</v>
      </c>
      <c r="C101" s="5">
        <v>628</v>
      </c>
      <c r="D101" s="5">
        <v>699</v>
      </c>
      <c r="E101" s="5">
        <v>2257</v>
      </c>
      <c r="F101" s="5">
        <v>2438</v>
      </c>
      <c r="G101" s="5">
        <v>489</v>
      </c>
      <c r="H101" s="5">
        <v>555</v>
      </c>
      <c r="I101" s="5">
        <v>724</v>
      </c>
      <c r="J101" s="5">
        <v>827</v>
      </c>
      <c r="K101" s="5">
        <v>9210</v>
      </c>
      <c r="L101" s="5">
        <v>10480</v>
      </c>
      <c r="M101" s="5">
        <v>591</v>
      </c>
      <c r="N101" s="5">
        <v>650</v>
      </c>
      <c r="O101" s="5">
        <v>837</v>
      </c>
      <c r="P101" s="5">
        <v>1002</v>
      </c>
      <c r="Q101" s="5">
        <v>27809</v>
      </c>
      <c r="R101" s="5">
        <v>26794</v>
      </c>
      <c r="S101" s="5">
        <v>690</v>
      </c>
      <c r="T101" s="5">
        <v>803</v>
      </c>
      <c r="U101" s="5"/>
      <c r="V101" s="5">
        <f t="shared" si="3"/>
        <v>4.6155419222903884</v>
      </c>
      <c r="W101" s="5">
        <f t="shared" si="4"/>
        <v>15.583756345177665</v>
      </c>
      <c r="X101" s="5">
        <f t="shared" si="5"/>
        <v>40.302898550724635</v>
      </c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</row>
    <row r="102" spans="1:56">
      <c r="A102" s="5" t="s">
        <v>173</v>
      </c>
      <c r="B102" s="5" t="s">
        <v>70</v>
      </c>
      <c r="C102" s="5">
        <v>141</v>
      </c>
      <c r="D102" s="5">
        <v>166</v>
      </c>
      <c r="E102" s="5">
        <v>625</v>
      </c>
      <c r="F102" s="5">
        <v>594</v>
      </c>
      <c r="G102" s="5">
        <v>116</v>
      </c>
      <c r="H102" s="5">
        <v>131</v>
      </c>
      <c r="I102" s="5">
        <v>161</v>
      </c>
      <c r="J102" s="5">
        <v>192</v>
      </c>
      <c r="K102" s="5">
        <v>1874</v>
      </c>
      <c r="L102" s="5">
        <v>1834</v>
      </c>
      <c r="M102" s="5">
        <v>136</v>
      </c>
      <c r="N102" s="5">
        <v>157</v>
      </c>
      <c r="O102" s="5">
        <v>196</v>
      </c>
      <c r="P102" s="5">
        <v>236</v>
      </c>
      <c r="Q102" s="5">
        <v>3775</v>
      </c>
      <c r="R102" s="5">
        <v>3672</v>
      </c>
      <c r="S102" s="5">
        <v>150</v>
      </c>
      <c r="T102" s="5">
        <v>180</v>
      </c>
      <c r="U102" s="5"/>
      <c r="V102" s="5">
        <f t="shared" si="3"/>
        <v>5.3879310344827589</v>
      </c>
      <c r="W102" s="5">
        <f t="shared" si="4"/>
        <v>13.779411764705882</v>
      </c>
      <c r="X102" s="5">
        <f t="shared" si="5"/>
        <v>25.166666666666668</v>
      </c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</row>
    <row r="103" spans="1:56">
      <c r="A103" s="5" t="s">
        <v>173</v>
      </c>
      <c r="B103" s="5" t="s">
        <v>87</v>
      </c>
      <c r="C103" s="5">
        <v>51</v>
      </c>
      <c r="D103" s="5">
        <v>57</v>
      </c>
      <c r="E103" s="5">
        <v>375</v>
      </c>
      <c r="F103" s="5">
        <v>409</v>
      </c>
      <c r="G103" s="5">
        <v>42</v>
      </c>
      <c r="H103" s="5">
        <v>42</v>
      </c>
      <c r="I103" s="5">
        <v>65</v>
      </c>
      <c r="J103" s="5">
        <v>69</v>
      </c>
      <c r="K103" s="5">
        <v>911</v>
      </c>
      <c r="L103" s="5">
        <v>943</v>
      </c>
      <c r="M103" s="5">
        <v>55</v>
      </c>
      <c r="N103" s="5">
        <v>55</v>
      </c>
      <c r="O103" s="5">
        <v>83</v>
      </c>
      <c r="P103" s="5">
        <v>86</v>
      </c>
      <c r="Q103" s="5">
        <v>2322</v>
      </c>
      <c r="R103" s="5">
        <v>2005</v>
      </c>
      <c r="S103" s="5">
        <v>60</v>
      </c>
      <c r="T103" s="5">
        <v>64</v>
      </c>
      <c r="U103" s="5"/>
      <c r="V103" s="5">
        <f t="shared" si="3"/>
        <v>8.9285714285714288</v>
      </c>
      <c r="W103" s="5">
        <f t="shared" si="4"/>
        <v>16.563636363636363</v>
      </c>
      <c r="X103" s="5">
        <f t="shared" si="5"/>
        <v>38.700000000000003</v>
      </c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</row>
    <row r="104" spans="1:56">
      <c r="A104" s="5" t="s">
        <v>173</v>
      </c>
      <c r="B104" s="5" t="s">
        <v>19</v>
      </c>
      <c r="C104" s="5">
        <v>1109</v>
      </c>
      <c r="D104" s="5">
        <v>1355</v>
      </c>
      <c r="E104" s="5">
        <v>3214</v>
      </c>
      <c r="F104" s="5">
        <v>3564</v>
      </c>
      <c r="G104" s="5">
        <v>920</v>
      </c>
      <c r="H104" s="5">
        <v>1030</v>
      </c>
      <c r="I104" s="5">
        <v>1358</v>
      </c>
      <c r="J104" s="5">
        <v>1537</v>
      </c>
      <c r="K104" s="5">
        <v>12714</v>
      </c>
      <c r="L104" s="5">
        <v>11833</v>
      </c>
      <c r="M104" s="5">
        <v>1081</v>
      </c>
      <c r="N104" s="5">
        <v>1238</v>
      </c>
      <c r="O104" s="5">
        <v>1491</v>
      </c>
      <c r="P104" s="5">
        <v>1794</v>
      </c>
      <c r="Q104" s="5">
        <v>32592</v>
      </c>
      <c r="R104" s="5">
        <v>29690</v>
      </c>
      <c r="S104" s="5">
        <v>1462</v>
      </c>
      <c r="T104" s="5">
        <v>1546</v>
      </c>
      <c r="U104" s="5"/>
      <c r="V104" s="5">
        <f t="shared" si="3"/>
        <v>3.4934782608695651</v>
      </c>
      <c r="W104" s="5">
        <f t="shared" si="4"/>
        <v>11.761332099907493</v>
      </c>
      <c r="X104" s="5">
        <f t="shared" si="5"/>
        <v>22.292749658002737</v>
      </c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</row>
    <row r="105" spans="1:56">
      <c r="A105" s="5" t="s">
        <v>173</v>
      </c>
      <c r="B105" s="5" t="s">
        <v>38</v>
      </c>
      <c r="C105" s="5">
        <v>10993</v>
      </c>
      <c r="D105" s="5">
        <v>13321</v>
      </c>
      <c r="E105" s="5">
        <v>35957</v>
      </c>
      <c r="F105" s="5">
        <v>42300</v>
      </c>
      <c r="G105" s="5">
        <v>8579</v>
      </c>
      <c r="H105" s="5">
        <v>10346</v>
      </c>
      <c r="I105" s="5">
        <v>16695</v>
      </c>
      <c r="J105" s="5">
        <v>21248</v>
      </c>
      <c r="K105" s="5">
        <v>130042</v>
      </c>
      <c r="L105" s="5">
        <v>139702</v>
      </c>
      <c r="M105" s="5">
        <v>13481</v>
      </c>
      <c r="N105" s="5">
        <v>16913</v>
      </c>
      <c r="O105" s="5">
        <v>21259</v>
      </c>
      <c r="P105" s="5">
        <v>27849</v>
      </c>
      <c r="Q105" s="5">
        <v>293201</v>
      </c>
      <c r="R105" s="5">
        <v>319845</v>
      </c>
      <c r="S105" s="5">
        <v>17933</v>
      </c>
      <c r="T105" s="5">
        <v>22561</v>
      </c>
      <c r="U105" s="5"/>
      <c r="V105" s="5">
        <f t="shared" si="3"/>
        <v>4.191281035085674</v>
      </c>
      <c r="W105" s="5">
        <f t="shared" si="4"/>
        <v>9.6463170387953419</v>
      </c>
      <c r="X105" s="5">
        <f t="shared" si="5"/>
        <v>16.349802040930129</v>
      </c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</row>
    <row r="106" spans="1:56">
      <c r="A106" s="5" t="s">
        <v>179</v>
      </c>
      <c r="B106" s="5" t="s">
        <v>42</v>
      </c>
      <c r="C106" s="5">
        <v>5333</v>
      </c>
      <c r="D106" s="5">
        <v>6787</v>
      </c>
      <c r="E106" s="5">
        <v>10312</v>
      </c>
      <c r="F106" s="5">
        <v>10868</v>
      </c>
      <c r="G106" s="5">
        <v>3878</v>
      </c>
      <c r="H106" s="5">
        <v>4963</v>
      </c>
      <c r="I106" s="5">
        <v>8624</v>
      </c>
      <c r="J106" s="5">
        <v>11573</v>
      </c>
      <c r="K106" s="5">
        <v>36914</v>
      </c>
      <c r="L106" s="5">
        <v>32891</v>
      </c>
      <c r="M106" s="5">
        <v>6787</v>
      </c>
      <c r="N106" s="5">
        <v>8988</v>
      </c>
      <c r="O106" s="5">
        <v>11534</v>
      </c>
      <c r="P106" s="5">
        <v>15024</v>
      </c>
      <c r="Q106" s="5">
        <v>76682</v>
      </c>
      <c r="R106" s="5">
        <v>65032</v>
      </c>
      <c r="S106" s="5">
        <v>9365</v>
      </c>
      <c r="T106" s="5">
        <v>11822</v>
      </c>
      <c r="U106" s="5"/>
      <c r="V106" s="5">
        <f t="shared" si="3"/>
        <v>2.659102630221764</v>
      </c>
      <c r="W106" s="5">
        <f t="shared" si="4"/>
        <v>5.4389273611315749</v>
      </c>
      <c r="X106" s="5">
        <f t="shared" si="5"/>
        <v>8.1881473571809931</v>
      </c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</row>
    <row r="107" spans="1:56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8">
        <f>AVERAGE(V2:V106)</f>
        <v>5.4568809844951209</v>
      </c>
      <c r="W107" s="8">
        <f t="shared" ref="W107:X107" si="6">AVERAGE(W2:W106)</f>
        <v>14.694002556560614</v>
      </c>
      <c r="X107" s="8">
        <f t="shared" si="6"/>
        <v>29.449582880004861</v>
      </c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</row>
    <row r="108" spans="1:56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</row>
    <row r="109" spans="1:56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3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</row>
    <row r="110" spans="1:56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</row>
    <row r="111" spans="1:56">
      <c r="A111" s="6"/>
      <c r="B111" s="3"/>
      <c r="C111" s="3"/>
      <c r="D111" s="3"/>
      <c r="E111" s="3"/>
      <c r="F111" s="6"/>
      <c r="G111" s="6"/>
      <c r="H111" s="6"/>
      <c r="I111" s="6"/>
      <c r="J111" s="6"/>
      <c r="K111" s="6"/>
      <c r="L111" s="6"/>
      <c r="M111" s="6"/>
      <c r="N111" s="6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</row>
    <row r="112" spans="1:56">
      <c r="A112" s="6"/>
      <c r="B112" s="3"/>
      <c r="C112" s="3"/>
      <c r="D112" s="3"/>
      <c r="E112" s="3"/>
      <c r="F112" s="3"/>
      <c r="G112" s="3"/>
      <c r="H112" s="3"/>
      <c r="I112" s="3"/>
      <c r="J112" s="3"/>
      <c r="K112" s="6"/>
      <c r="L112" s="6"/>
      <c r="M112" s="6"/>
      <c r="N112" s="3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</row>
    <row r="113" spans="1:56">
      <c r="A113" s="6"/>
      <c r="B113" s="3"/>
      <c r="C113" s="3"/>
      <c r="D113" s="3"/>
      <c r="E113" s="3"/>
      <c r="F113" s="3"/>
      <c r="G113" s="3"/>
      <c r="H113" s="3"/>
      <c r="I113" s="3"/>
      <c r="J113" s="3"/>
      <c r="K113" s="6"/>
      <c r="L113" s="3"/>
      <c r="M113" s="6"/>
      <c r="N113" s="3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</row>
    <row r="114" spans="1:56">
      <c r="A114" s="6"/>
      <c r="B114" s="6"/>
      <c r="C114" s="3"/>
      <c r="D114" s="3"/>
      <c r="E114" s="3"/>
      <c r="F114" s="3"/>
      <c r="G114" s="3"/>
      <c r="H114" s="3"/>
      <c r="I114" s="3"/>
      <c r="J114" s="3"/>
      <c r="K114" s="6"/>
      <c r="L114" s="3"/>
      <c r="M114" s="6"/>
      <c r="N114" s="3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</row>
    <row r="115" spans="1:56">
      <c r="A115" s="6"/>
      <c r="B115" s="6"/>
      <c r="C115" s="6"/>
      <c r="D115" s="6"/>
      <c r="E115" s="6"/>
      <c r="F115" s="6"/>
      <c r="G115" s="6"/>
      <c r="H115" s="6"/>
      <c r="I115" s="3"/>
      <c r="J115" s="3"/>
      <c r="K115" s="6"/>
      <c r="L115" s="3"/>
      <c r="M115" s="6"/>
      <c r="N115" s="3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</row>
    <row r="116" spans="1:56">
      <c r="A116" s="6"/>
      <c r="B116" s="3"/>
      <c r="C116" s="3"/>
      <c r="D116" s="6"/>
      <c r="E116" s="6"/>
      <c r="F116" s="6"/>
      <c r="G116" s="3"/>
      <c r="H116" s="6"/>
      <c r="I116" s="3"/>
      <c r="J116" s="3"/>
      <c r="K116" s="6"/>
      <c r="L116" s="3"/>
      <c r="M116" s="6"/>
      <c r="N116" s="3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</row>
    <row r="117" spans="1:56">
      <c r="A117" s="6"/>
      <c r="B117" s="3"/>
      <c r="C117" s="3"/>
      <c r="D117" s="3"/>
      <c r="E117" s="3"/>
      <c r="F117" s="3"/>
      <c r="G117" s="3"/>
      <c r="H117" s="3"/>
      <c r="I117" s="3"/>
      <c r="J117" s="3"/>
      <c r="K117" s="6"/>
      <c r="L117" s="3"/>
      <c r="M117" s="6"/>
      <c r="N117" s="3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</row>
    <row r="118" spans="1:56">
      <c r="A118" s="6"/>
      <c r="B118" s="6"/>
      <c r="C118" s="3"/>
      <c r="D118" s="3"/>
      <c r="E118" s="3"/>
      <c r="F118" s="3"/>
      <c r="G118" s="3"/>
      <c r="H118" s="3"/>
      <c r="I118" s="3"/>
      <c r="J118" s="3"/>
      <c r="K118" s="6"/>
      <c r="L118" s="3"/>
      <c r="M118" s="6"/>
      <c r="N118" s="3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</row>
    <row r="119" spans="1:56">
      <c r="A119" s="6"/>
      <c r="B119" s="6"/>
      <c r="C119" s="6"/>
      <c r="D119" s="6"/>
      <c r="E119" s="6"/>
      <c r="F119" s="6"/>
      <c r="G119" s="3"/>
      <c r="H119" s="3"/>
      <c r="I119" s="3"/>
      <c r="J119" s="3"/>
      <c r="K119" s="6"/>
      <c r="L119" s="3"/>
      <c r="M119" s="6"/>
      <c r="N119" s="3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</row>
    <row r="120" spans="1:56">
      <c r="A120" s="6"/>
      <c r="B120" s="6"/>
      <c r="C120" s="6"/>
      <c r="D120" s="6"/>
      <c r="E120" s="6"/>
      <c r="F120" s="6"/>
      <c r="G120" s="6"/>
      <c r="H120" s="6"/>
      <c r="I120" s="6"/>
      <c r="J120" s="3"/>
      <c r="K120" s="6"/>
      <c r="L120" s="3"/>
      <c r="M120" s="6"/>
      <c r="N120" s="3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</row>
    <row r="121" spans="1:56">
      <c r="A121" s="6"/>
      <c r="B121" s="3"/>
      <c r="C121" s="3"/>
      <c r="D121" s="6"/>
      <c r="E121" s="6"/>
      <c r="F121" s="6"/>
      <c r="G121" s="3"/>
      <c r="H121" s="3"/>
      <c r="I121" s="6"/>
      <c r="J121" s="3"/>
      <c r="K121" s="6"/>
      <c r="L121" s="3"/>
      <c r="M121" s="6"/>
      <c r="N121" s="3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</row>
    <row r="122" spans="1:56">
      <c r="A122" s="6"/>
      <c r="B122" s="3"/>
      <c r="C122" s="3"/>
      <c r="D122" s="3"/>
      <c r="E122" s="3"/>
      <c r="F122" s="3"/>
      <c r="G122" s="3"/>
      <c r="H122" s="3"/>
      <c r="I122" s="6"/>
      <c r="J122" s="3"/>
      <c r="K122" s="6"/>
      <c r="L122" s="3"/>
      <c r="M122" s="6"/>
      <c r="N122" s="3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</row>
    <row r="123" spans="1:56">
      <c r="A123" s="6"/>
      <c r="B123" s="3"/>
      <c r="C123" s="3"/>
      <c r="D123" s="3"/>
      <c r="E123" s="3"/>
      <c r="F123" s="3"/>
      <c r="G123" s="3"/>
      <c r="H123" s="3"/>
      <c r="I123" s="3"/>
      <c r="J123" s="3"/>
      <c r="K123" s="6"/>
      <c r="L123" s="3"/>
      <c r="M123" s="6"/>
      <c r="N123" s="3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</row>
    <row r="124" spans="1:56">
      <c r="A124" s="6"/>
      <c r="B124" s="6"/>
      <c r="C124" s="3"/>
      <c r="D124" s="3"/>
      <c r="E124" s="3"/>
      <c r="F124" s="3"/>
      <c r="G124" s="3"/>
      <c r="H124" s="3"/>
      <c r="I124" s="3"/>
      <c r="J124" s="3"/>
      <c r="K124" s="6"/>
      <c r="L124" s="3"/>
      <c r="M124" s="6"/>
      <c r="N124" s="3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</row>
    <row r="125" spans="1:56">
      <c r="A125" s="6"/>
      <c r="B125" s="6"/>
      <c r="C125" s="6"/>
      <c r="D125" s="6"/>
      <c r="E125" s="6"/>
      <c r="F125" s="6"/>
      <c r="G125" s="3"/>
      <c r="H125" s="3"/>
      <c r="I125" s="3"/>
      <c r="J125" s="3"/>
      <c r="K125" s="6"/>
      <c r="L125" s="3"/>
      <c r="M125" s="6"/>
      <c r="N125" s="3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</row>
    <row r="126" spans="1:56">
      <c r="A126" s="6"/>
      <c r="B126" s="6"/>
      <c r="C126" s="6"/>
      <c r="D126" s="6"/>
      <c r="E126" s="6"/>
      <c r="F126" s="6"/>
      <c r="G126" s="6"/>
      <c r="H126" s="6"/>
      <c r="I126" s="6"/>
      <c r="J126" s="3"/>
      <c r="K126" s="6"/>
      <c r="L126" s="3"/>
      <c r="M126" s="6"/>
      <c r="N126" s="3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</row>
    <row r="127" spans="1:56">
      <c r="A127" s="6"/>
      <c r="B127" s="3"/>
      <c r="C127" s="3"/>
      <c r="D127" s="6"/>
      <c r="E127" s="6"/>
      <c r="F127" s="6"/>
      <c r="G127" s="3"/>
      <c r="H127" s="3"/>
      <c r="I127" s="6"/>
      <c r="J127" s="3"/>
      <c r="K127" s="6"/>
      <c r="L127" s="3"/>
      <c r="M127" s="6"/>
      <c r="N127" s="3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</row>
    <row r="128" spans="1:56">
      <c r="A128" s="6"/>
      <c r="B128" s="3"/>
      <c r="C128" s="3"/>
      <c r="D128" s="3"/>
      <c r="E128" s="3"/>
      <c r="F128" s="3"/>
      <c r="G128" s="3"/>
      <c r="H128" s="3"/>
      <c r="I128" s="6"/>
      <c r="J128" s="3"/>
      <c r="K128" s="6"/>
      <c r="L128" s="3"/>
      <c r="M128" s="6"/>
      <c r="N128" s="3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</row>
    <row r="129" spans="1:56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</row>
    <row r="130" spans="1:56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</row>
    <row r="131" spans="1:56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</row>
    <row r="132" spans="1:56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</row>
    <row r="133" spans="1:56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</row>
    <row r="134" spans="1:56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</row>
    <row r="135" spans="1:56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</row>
    <row r="136" spans="1:5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</row>
    <row r="137" spans="1:56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</row>
    <row r="138" spans="1:56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</row>
    <row r="139" spans="1:56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</row>
    <row r="140" spans="1:56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</row>
    <row r="141" spans="1:56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</row>
    <row r="142" spans="1:56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</row>
    <row r="143" spans="1:56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</row>
    <row r="144" spans="1:56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</row>
    <row r="145" spans="1:56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</row>
    <row r="146" spans="1:5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</row>
    <row r="147" spans="1:56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</row>
    <row r="148" spans="1:56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</row>
    <row r="149" spans="1:56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</row>
    <row r="150" spans="1:56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</row>
    <row r="151" spans="1:56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</row>
    <row r="152" spans="1:56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</row>
    <row r="153" spans="1:56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</row>
    <row r="154" spans="1:56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</row>
    <row r="155" spans="1:56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</row>
    <row r="156" spans="1: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</row>
    <row r="157" spans="1:56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</row>
    <row r="158" spans="1:56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</row>
    <row r="159" spans="1:56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</row>
    <row r="160" spans="1:56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</row>
    <row r="161" spans="1:56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</row>
    <row r="162" spans="1:56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</row>
    <row r="163" spans="1:56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</row>
    <row r="164" spans="1:56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</row>
    <row r="165" spans="1:56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</row>
    <row r="166" spans="1:5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</row>
    <row r="167" spans="1:56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</row>
    <row r="168" spans="1:56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</row>
    <row r="169" spans="1:56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</row>
    <row r="170" spans="1:56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</row>
    <row r="171" spans="1:56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</row>
    <row r="172" spans="1:56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</row>
    <row r="173" spans="1:56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</row>
    <row r="174" spans="1:56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</row>
    <row r="175" spans="1:56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</row>
    <row r="176" spans="1:5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</row>
    <row r="177" spans="1:56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</row>
    <row r="178" spans="1:56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</row>
    <row r="179" spans="1:56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</row>
    <row r="180" spans="1:56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</row>
    <row r="181" spans="1:56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</row>
    <row r="182" spans="1:56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</row>
    <row r="183" spans="1:56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</row>
    <row r="184" spans="1:56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</row>
    <row r="185" spans="1:56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</row>
    <row r="186" spans="1:5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</row>
    <row r="187" spans="1:56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</row>
    <row r="188" spans="1:56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</row>
    <row r="189" spans="1:56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</row>
    <row r="190" spans="1:56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</row>
    <row r="191" spans="1:56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</row>
    <row r="192" spans="1:56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</row>
    <row r="193" spans="1:56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</row>
    <row r="194" spans="1:56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</row>
    <row r="195" spans="1:56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</row>
    <row r="196" spans="1:5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</row>
    <row r="197" spans="1:56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</row>
    <row r="198" spans="1:56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</row>
    <row r="199" spans="1:56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</row>
    <row r="200" spans="1:56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</row>
    <row r="201" spans="1:56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</row>
    <row r="202" spans="1:56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</row>
    <row r="203" spans="1:56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</row>
    <row r="204" spans="1:56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5"/>
    </row>
    <row r="205" spans="1:56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  <c r="BD205" s="5"/>
    </row>
    <row r="206" spans="1:5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</row>
    <row r="207" spans="1:56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</row>
    <row r="208" spans="1:56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</row>
    <row r="209" spans="1:56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</row>
    <row r="210" spans="1:56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</row>
    <row r="211" spans="1:56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</row>
    <row r="212" spans="1:56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</row>
    <row r="213" spans="1:56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</row>
    <row r="214" spans="1:56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</row>
    <row r="215" spans="1:56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</row>
    <row r="216" spans="1:5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</row>
    <row r="217" spans="1:56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</row>
    <row r="218" spans="1:56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</row>
    <row r="219" spans="1:56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</row>
    <row r="220" spans="1:56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</row>
  </sheetData>
  <pageMargins left="0.75" right="0.75" top="1" bottom="1" header="0.5" footer="0.5"/>
  <pageSetup orientation="portrait" horizontalDpi="4294967292" verticalDpi="4294967292"/>
  <drawing r:id="rId1"/>
  <extLst>
    <ext xmlns:mx="http://schemas.microsoft.com/office/mac/excel/2008/main" uri="{64002731-A6B0-56B0-2670-7721B7C09600}">
      <mx:PLV Mode="0" OnePage="0" WScale="0"/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K108"/>
  <sheetViews>
    <sheetView topLeftCell="T1" workbookViewId="0">
      <pane ySplit="2" topLeftCell="A3" activePane="bottomLeft" state="frozen"/>
      <selection pane="bottomLeft" activeCell="AQ1" sqref="AQ1:AQ1048576"/>
    </sheetView>
  </sheetViews>
  <sheetFormatPr baseColWidth="10" defaultRowHeight="15" x14ac:dyDescent="0"/>
  <cols>
    <col min="1" max="1" width="61.83203125" customWidth="1"/>
    <col min="22" max="22" width="10.83203125" hidden="1" customWidth="1"/>
    <col min="43" max="43" width="10.83203125" hidden="1" customWidth="1"/>
  </cols>
  <sheetData>
    <row r="1" spans="1:63">
      <c r="B1" s="12" t="s">
        <v>257</v>
      </c>
      <c r="C1" s="12"/>
      <c r="D1" s="12"/>
      <c r="E1" s="12"/>
      <c r="F1" s="12" t="s">
        <v>256</v>
      </c>
      <c r="G1" s="12"/>
      <c r="H1" s="12"/>
      <c r="I1" s="12"/>
      <c r="J1" s="12" t="s">
        <v>258</v>
      </c>
      <c r="K1" s="12"/>
      <c r="L1" s="12"/>
      <c r="M1" s="12"/>
      <c r="N1" s="12" t="s">
        <v>259</v>
      </c>
      <c r="O1" s="12"/>
      <c r="P1" s="12"/>
      <c r="Q1" s="12"/>
      <c r="R1" s="12" t="s">
        <v>260</v>
      </c>
      <c r="S1" s="12"/>
      <c r="T1" s="12"/>
      <c r="U1" s="12"/>
      <c r="W1" s="12" t="s">
        <v>257</v>
      </c>
      <c r="X1" s="12"/>
      <c r="Y1" s="12"/>
      <c r="Z1" s="12"/>
      <c r="AA1" s="12" t="s">
        <v>261</v>
      </c>
      <c r="AB1" s="12"/>
      <c r="AC1" s="12"/>
      <c r="AD1" s="12"/>
      <c r="AE1" s="12" t="s">
        <v>262</v>
      </c>
      <c r="AF1" s="12"/>
      <c r="AG1" s="12"/>
      <c r="AH1" s="12"/>
      <c r="AI1" s="12" t="s">
        <v>263</v>
      </c>
      <c r="AJ1" s="12"/>
      <c r="AK1" s="12"/>
      <c r="AL1" s="12"/>
      <c r="AM1" s="12" t="s">
        <v>264</v>
      </c>
      <c r="AN1" s="12"/>
      <c r="AO1" s="12"/>
      <c r="AP1" s="12"/>
      <c r="AR1" s="12" t="s">
        <v>256</v>
      </c>
      <c r="AS1" s="12"/>
      <c r="AT1" s="12"/>
      <c r="AU1" s="12"/>
      <c r="AV1" s="12" t="s">
        <v>261</v>
      </c>
      <c r="AW1" s="12"/>
      <c r="AX1" s="12"/>
      <c r="AY1" s="12"/>
      <c r="AZ1" s="12" t="s">
        <v>265</v>
      </c>
      <c r="BA1" s="12"/>
      <c r="BB1" s="12"/>
      <c r="BC1" s="12"/>
      <c r="BD1" s="12" t="s">
        <v>266</v>
      </c>
      <c r="BE1" s="12"/>
      <c r="BF1" s="12"/>
      <c r="BG1" s="12"/>
      <c r="BH1" s="12" t="s">
        <v>267</v>
      </c>
      <c r="BI1" s="12"/>
      <c r="BJ1" s="12"/>
      <c r="BK1" s="12"/>
    </row>
    <row r="2" spans="1:63">
      <c r="A2" t="s">
        <v>114</v>
      </c>
      <c r="B2" t="s">
        <v>105</v>
      </c>
      <c r="C2" t="s">
        <v>106</v>
      </c>
      <c r="D2" t="s">
        <v>107</v>
      </c>
      <c r="E2" t="s">
        <v>108</v>
      </c>
      <c r="F2" t="s">
        <v>105</v>
      </c>
      <c r="G2" t="s">
        <v>106</v>
      </c>
      <c r="H2" t="s">
        <v>107</v>
      </c>
      <c r="I2" t="s">
        <v>108</v>
      </c>
      <c r="J2" t="s">
        <v>105</v>
      </c>
      <c r="K2" t="s">
        <v>106</v>
      </c>
      <c r="L2" t="s">
        <v>107</v>
      </c>
      <c r="M2" t="s">
        <v>108</v>
      </c>
      <c r="N2" t="s">
        <v>105</v>
      </c>
      <c r="O2" t="s">
        <v>106</v>
      </c>
      <c r="P2" t="s">
        <v>107</v>
      </c>
      <c r="Q2" t="s">
        <v>108</v>
      </c>
      <c r="R2" t="s">
        <v>105</v>
      </c>
      <c r="S2" t="s">
        <v>106</v>
      </c>
      <c r="T2" t="s">
        <v>107</v>
      </c>
      <c r="U2" t="s">
        <v>108</v>
      </c>
      <c r="W2" t="s">
        <v>105</v>
      </c>
      <c r="X2" t="s">
        <v>106</v>
      </c>
      <c r="Y2" t="s">
        <v>107</v>
      </c>
      <c r="Z2" t="s">
        <v>108</v>
      </c>
      <c r="AA2" t="s">
        <v>105</v>
      </c>
      <c r="AB2" t="s">
        <v>106</v>
      </c>
      <c r="AC2" t="s">
        <v>107</v>
      </c>
      <c r="AD2" t="s">
        <v>108</v>
      </c>
      <c r="AE2" t="s">
        <v>105</v>
      </c>
      <c r="AF2" t="s">
        <v>106</v>
      </c>
      <c r="AG2" t="s">
        <v>107</v>
      </c>
      <c r="AH2" t="s">
        <v>108</v>
      </c>
      <c r="AI2" t="s">
        <v>105</v>
      </c>
      <c r="AJ2" t="s">
        <v>106</v>
      </c>
      <c r="AK2" t="s">
        <v>107</v>
      </c>
      <c r="AL2" t="s">
        <v>108</v>
      </c>
      <c r="AM2" t="s">
        <v>105</v>
      </c>
      <c r="AN2" t="s">
        <v>106</v>
      </c>
      <c r="AO2" t="s">
        <v>107</v>
      </c>
      <c r="AP2" t="s">
        <v>108</v>
      </c>
      <c r="AR2" t="s">
        <v>105</v>
      </c>
      <c r="AS2" t="s">
        <v>106</v>
      </c>
      <c r="AT2" t="s">
        <v>107</v>
      </c>
      <c r="AU2" t="s">
        <v>108</v>
      </c>
      <c r="AV2" t="s">
        <v>105</v>
      </c>
      <c r="AW2" t="s">
        <v>106</v>
      </c>
      <c r="AX2" t="s">
        <v>107</v>
      </c>
      <c r="AY2" t="s">
        <v>108</v>
      </c>
      <c r="AZ2" t="s">
        <v>105</v>
      </c>
      <c r="BA2" t="s">
        <v>106</v>
      </c>
      <c r="BB2" t="s">
        <v>107</v>
      </c>
      <c r="BC2" t="s">
        <v>108</v>
      </c>
      <c r="BD2" t="s">
        <v>105</v>
      </c>
      <c r="BE2" t="s">
        <v>106</v>
      </c>
      <c r="BF2" t="s">
        <v>107</v>
      </c>
      <c r="BG2" t="s">
        <v>108</v>
      </c>
      <c r="BH2" t="s">
        <v>105</v>
      </c>
      <c r="BI2" t="s">
        <v>106</v>
      </c>
      <c r="BJ2" t="s">
        <v>107</v>
      </c>
      <c r="BK2" t="s">
        <v>108</v>
      </c>
    </row>
    <row r="3" spans="1:63">
      <c r="A3" t="s">
        <v>32</v>
      </c>
      <c r="B3">
        <v>14</v>
      </c>
      <c r="C3">
        <v>0</v>
      </c>
      <c r="D3">
        <v>0</v>
      </c>
      <c r="E3">
        <v>0</v>
      </c>
      <c r="F3">
        <v>14</v>
      </c>
      <c r="G3">
        <v>0</v>
      </c>
      <c r="H3">
        <v>0</v>
      </c>
      <c r="I3">
        <v>0</v>
      </c>
      <c r="J3">
        <v>14</v>
      </c>
      <c r="K3">
        <v>0</v>
      </c>
      <c r="L3">
        <v>0</v>
      </c>
      <c r="M3">
        <v>0</v>
      </c>
      <c r="N3">
        <v>14</v>
      </c>
      <c r="O3">
        <v>0</v>
      </c>
      <c r="P3">
        <v>0</v>
      </c>
      <c r="Q3">
        <v>0</v>
      </c>
      <c r="R3">
        <v>14</v>
      </c>
      <c r="S3">
        <v>0</v>
      </c>
      <c r="T3">
        <v>0</v>
      </c>
      <c r="U3">
        <v>0</v>
      </c>
      <c r="V3" t="s">
        <v>32</v>
      </c>
      <c r="W3">
        <v>14</v>
      </c>
      <c r="X3">
        <v>0</v>
      </c>
      <c r="Y3">
        <v>0</v>
      </c>
      <c r="Z3">
        <v>0</v>
      </c>
      <c r="AA3">
        <v>14</v>
      </c>
      <c r="AB3">
        <v>0</v>
      </c>
      <c r="AC3">
        <v>0</v>
      </c>
      <c r="AD3">
        <v>0</v>
      </c>
      <c r="AE3">
        <v>14</v>
      </c>
      <c r="AF3">
        <v>0</v>
      </c>
      <c r="AG3">
        <v>0</v>
      </c>
      <c r="AH3">
        <v>0</v>
      </c>
      <c r="AI3">
        <v>14</v>
      </c>
      <c r="AJ3">
        <v>0</v>
      </c>
      <c r="AK3">
        <v>0</v>
      </c>
      <c r="AL3">
        <v>0</v>
      </c>
      <c r="AM3">
        <v>14</v>
      </c>
      <c r="AN3">
        <v>0</v>
      </c>
      <c r="AO3">
        <v>0</v>
      </c>
      <c r="AP3">
        <v>0</v>
      </c>
      <c r="AQ3" t="s">
        <v>32</v>
      </c>
      <c r="AR3">
        <v>14</v>
      </c>
      <c r="AS3">
        <v>0</v>
      </c>
      <c r="AT3">
        <v>0</v>
      </c>
      <c r="AU3">
        <v>0</v>
      </c>
      <c r="AV3">
        <v>14</v>
      </c>
      <c r="AW3">
        <v>0</v>
      </c>
      <c r="AX3">
        <v>0</v>
      </c>
      <c r="AY3">
        <v>0</v>
      </c>
      <c r="AZ3">
        <v>14</v>
      </c>
      <c r="BA3">
        <v>0</v>
      </c>
      <c r="BB3">
        <v>0</v>
      </c>
      <c r="BC3">
        <v>0</v>
      </c>
      <c r="BD3">
        <v>14</v>
      </c>
      <c r="BE3">
        <v>0</v>
      </c>
      <c r="BF3">
        <v>0</v>
      </c>
      <c r="BG3">
        <v>0</v>
      </c>
      <c r="BH3">
        <v>14</v>
      </c>
      <c r="BI3">
        <v>0</v>
      </c>
      <c r="BJ3">
        <v>0</v>
      </c>
      <c r="BK3">
        <v>0</v>
      </c>
    </row>
    <row r="4" spans="1:63">
      <c r="A4" t="s">
        <v>58</v>
      </c>
      <c r="B4">
        <v>14</v>
      </c>
      <c r="C4">
        <v>0</v>
      </c>
      <c r="D4">
        <v>0</v>
      </c>
      <c r="E4">
        <v>0</v>
      </c>
      <c r="F4">
        <v>14</v>
      </c>
      <c r="G4">
        <v>0</v>
      </c>
      <c r="H4">
        <v>0</v>
      </c>
      <c r="I4">
        <v>0</v>
      </c>
      <c r="J4">
        <v>14</v>
      </c>
      <c r="K4">
        <v>0</v>
      </c>
      <c r="L4">
        <v>0</v>
      </c>
      <c r="M4">
        <v>0</v>
      </c>
      <c r="N4">
        <v>14</v>
      </c>
      <c r="O4">
        <v>0</v>
      </c>
      <c r="P4">
        <v>0</v>
      </c>
      <c r="Q4">
        <v>0</v>
      </c>
      <c r="R4">
        <v>14</v>
      </c>
      <c r="S4">
        <v>0</v>
      </c>
      <c r="T4">
        <v>0</v>
      </c>
      <c r="U4">
        <v>0</v>
      </c>
      <c r="V4" t="s">
        <v>58</v>
      </c>
      <c r="W4">
        <v>14</v>
      </c>
      <c r="X4">
        <v>0</v>
      </c>
      <c r="Y4">
        <v>0</v>
      </c>
      <c r="Z4">
        <v>0</v>
      </c>
      <c r="AA4">
        <v>14</v>
      </c>
      <c r="AB4">
        <v>0</v>
      </c>
      <c r="AC4">
        <v>0</v>
      </c>
      <c r="AD4">
        <v>0</v>
      </c>
      <c r="AE4">
        <v>14</v>
      </c>
      <c r="AF4">
        <v>0</v>
      </c>
      <c r="AG4">
        <v>0</v>
      </c>
      <c r="AH4">
        <v>0</v>
      </c>
      <c r="AI4">
        <v>14</v>
      </c>
      <c r="AJ4">
        <v>0</v>
      </c>
      <c r="AK4">
        <v>0</v>
      </c>
      <c r="AL4">
        <v>0</v>
      </c>
      <c r="AM4">
        <v>14</v>
      </c>
      <c r="AN4">
        <v>0</v>
      </c>
      <c r="AO4">
        <v>0</v>
      </c>
      <c r="AP4">
        <v>0</v>
      </c>
      <c r="AQ4" t="s">
        <v>58</v>
      </c>
      <c r="AR4">
        <v>14</v>
      </c>
      <c r="AS4">
        <v>0</v>
      </c>
      <c r="AT4">
        <v>0</v>
      </c>
      <c r="AU4">
        <v>0</v>
      </c>
      <c r="AV4">
        <v>14</v>
      </c>
      <c r="AW4">
        <v>0</v>
      </c>
      <c r="AX4">
        <v>0</v>
      </c>
      <c r="AY4">
        <v>0</v>
      </c>
      <c r="AZ4">
        <v>14</v>
      </c>
      <c r="BA4">
        <v>0</v>
      </c>
      <c r="BB4">
        <v>0</v>
      </c>
      <c r="BC4">
        <v>0</v>
      </c>
      <c r="BD4">
        <v>14</v>
      </c>
      <c r="BE4">
        <v>0</v>
      </c>
      <c r="BF4">
        <v>0</v>
      </c>
      <c r="BG4">
        <v>0</v>
      </c>
      <c r="BH4">
        <v>14</v>
      </c>
      <c r="BI4">
        <v>0</v>
      </c>
      <c r="BJ4">
        <v>0</v>
      </c>
      <c r="BK4">
        <v>0</v>
      </c>
    </row>
    <row r="5" spans="1:63">
      <c r="A5" t="s">
        <v>14</v>
      </c>
      <c r="B5">
        <v>18</v>
      </c>
      <c r="C5">
        <v>0</v>
      </c>
      <c r="D5">
        <v>0</v>
      </c>
      <c r="E5">
        <v>0</v>
      </c>
      <c r="F5">
        <v>18</v>
      </c>
      <c r="G5">
        <v>0</v>
      </c>
      <c r="H5">
        <v>0</v>
      </c>
      <c r="I5">
        <v>0</v>
      </c>
      <c r="J5">
        <v>18</v>
      </c>
      <c r="K5">
        <v>0</v>
      </c>
      <c r="L5">
        <v>0</v>
      </c>
      <c r="M5">
        <v>0</v>
      </c>
      <c r="N5">
        <v>18</v>
      </c>
      <c r="O5">
        <v>0</v>
      </c>
      <c r="P5">
        <v>0</v>
      </c>
      <c r="Q5">
        <v>0</v>
      </c>
      <c r="R5">
        <v>18</v>
      </c>
      <c r="S5">
        <v>0</v>
      </c>
      <c r="T5">
        <v>0</v>
      </c>
      <c r="U5">
        <v>0</v>
      </c>
      <c r="V5" t="s">
        <v>14</v>
      </c>
      <c r="W5">
        <v>18</v>
      </c>
      <c r="X5">
        <v>0</v>
      </c>
      <c r="Y5">
        <v>0</v>
      </c>
      <c r="Z5">
        <v>0</v>
      </c>
      <c r="AA5">
        <v>18</v>
      </c>
      <c r="AB5">
        <v>0</v>
      </c>
      <c r="AC5">
        <v>0</v>
      </c>
      <c r="AD5">
        <v>0</v>
      </c>
      <c r="AE5">
        <v>18</v>
      </c>
      <c r="AF5">
        <v>0</v>
      </c>
      <c r="AG5">
        <v>0</v>
      </c>
      <c r="AH5">
        <v>0</v>
      </c>
      <c r="AI5">
        <v>18</v>
      </c>
      <c r="AJ5">
        <v>0</v>
      </c>
      <c r="AK5">
        <v>0</v>
      </c>
      <c r="AL5">
        <v>0</v>
      </c>
      <c r="AM5">
        <v>18</v>
      </c>
      <c r="AN5">
        <v>0</v>
      </c>
      <c r="AO5">
        <v>0</v>
      </c>
      <c r="AP5">
        <v>0</v>
      </c>
      <c r="AQ5" t="s">
        <v>14</v>
      </c>
      <c r="AR5">
        <v>18</v>
      </c>
      <c r="AS5">
        <v>0</v>
      </c>
      <c r="AT5">
        <v>0</v>
      </c>
      <c r="AU5">
        <v>0</v>
      </c>
      <c r="AV5">
        <v>18</v>
      </c>
      <c r="AW5">
        <v>0</v>
      </c>
      <c r="AX5">
        <v>0</v>
      </c>
      <c r="AY5">
        <v>0</v>
      </c>
      <c r="AZ5">
        <v>18</v>
      </c>
      <c r="BA5">
        <v>0</v>
      </c>
      <c r="BB5">
        <v>0</v>
      </c>
      <c r="BC5">
        <v>0</v>
      </c>
      <c r="BD5">
        <v>18</v>
      </c>
      <c r="BE5">
        <v>0</v>
      </c>
      <c r="BF5">
        <v>0</v>
      </c>
      <c r="BG5">
        <v>0</v>
      </c>
      <c r="BH5">
        <v>18</v>
      </c>
      <c r="BI5">
        <v>0</v>
      </c>
      <c r="BJ5">
        <v>0</v>
      </c>
      <c r="BK5">
        <v>0</v>
      </c>
    </row>
    <row r="6" spans="1:63">
      <c r="A6" t="s">
        <v>39</v>
      </c>
      <c r="B6">
        <v>60</v>
      </c>
      <c r="C6">
        <v>0</v>
      </c>
      <c r="D6">
        <v>0</v>
      </c>
      <c r="E6">
        <v>0</v>
      </c>
      <c r="F6">
        <v>60</v>
      </c>
      <c r="G6">
        <v>0</v>
      </c>
      <c r="H6">
        <v>0</v>
      </c>
      <c r="I6">
        <v>0</v>
      </c>
      <c r="J6">
        <v>60</v>
      </c>
      <c r="K6">
        <v>0</v>
      </c>
      <c r="L6">
        <v>0</v>
      </c>
      <c r="M6">
        <v>0</v>
      </c>
      <c r="N6">
        <v>60</v>
      </c>
      <c r="O6">
        <v>0</v>
      </c>
      <c r="P6">
        <v>0</v>
      </c>
      <c r="Q6">
        <v>0</v>
      </c>
      <c r="R6">
        <v>60</v>
      </c>
      <c r="S6">
        <v>0</v>
      </c>
      <c r="T6">
        <v>0</v>
      </c>
      <c r="U6">
        <v>0</v>
      </c>
      <c r="V6" t="s">
        <v>39</v>
      </c>
      <c r="W6">
        <v>60</v>
      </c>
      <c r="X6">
        <v>0</v>
      </c>
      <c r="Y6">
        <v>0</v>
      </c>
      <c r="Z6">
        <v>0</v>
      </c>
      <c r="AA6">
        <v>60</v>
      </c>
      <c r="AB6">
        <v>0</v>
      </c>
      <c r="AC6">
        <v>0</v>
      </c>
      <c r="AD6">
        <v>0</v>
      </c>
      <c r="AE6">
        <v>60</v>
      </c>
      <c r="AF6">
        <v>0</v>
      </c>
      <c r="AG6">
        <v>0</v>
      </c>
      <c r="AH6">
        <v>0</v>
      </c>
      <c r="AI6">
        <v>60</v>
      </c>
      <c r="AJ6">
        <v>0</v>
      </c>
      <c r="AK6">
        <v>0</v>
      </c>
      <c r="AL6">
        <v>0</v>
      </c>
      <c r="AM6">
        <v>60</v>
      </c>
      <c r="AN6">
        <v>0</v>
      </c>
      <c r="AO6">
        <v>0</v>
      </c>
      <c r="AP6">
        <v>0</v>
      </c>
      <c r="AQ6" t="s">
        <v>39</v>
      </c>
      <c r="AR6">
        <v>60</v>
      </c>
      <c r="AS6">
        <v>0</v>
      </c>
      <c r="AT6">
        <v>0</v>
      </c>
      <c r="AU6">
        <v>0</v>
      </c>
      <c r="AV6">
        <v>60</v>
      </c>
      <c r="AW6">
        <v>0</v>
      </c>
      <c r="AX6">
        <v>0</v>
      </c>
      <c r="AY6">
        <v>0</v>
      </c>
      <c r="AZ6">
        <v>60</v>
      </c>
      <c r="BA6">
        <v>0</v>
      </c>
      <c r="BB6">
        <v>0</v>
      </c>
      <c r="BC6">
        <v>0</v>
      </c>
      <c r="BD6">
        <v>60</v>
      </c>
      <c r="BE6">
        <v>0</v>
      </c>
      <c r="BF6">
        <v>0</v>
      </c>
      <c r="BG6">
        <v>0</v>
      </c>
      <c r="BH6">
        <v>60</v>
      </c>
      <c r="BI6">
        <v>0</v>
      </c>
      <c r="BJ6">
        <v>0</v>
      </c>
      <c r="BK6">
        <v>0</v>
      </c>
    </row>
    <row r="7" spans="1:63">
      <c r="A7" t="s">
        <v>51</v>
      </c>
      <c r="B7">
        <v>9</v>
      </c>
      <c r="C7">
        <v>2</v>
      </c>
      <c r="D7">
        <v>0</v>
      </c>
      <c r="E7">
        <v>0</v>
      </c>
      <c r="F7">
        <v>9</v>
      </c>
      <c r="G7">
        <v>2</v>
      </c>
      <c r="H7">
        <v>0</v>
      </c>
      <c r="I7">
        <v>0</v>
      </c>
      <c r="J7">
        <v>11</v>
      </c>
      <c r="K7">
        <v>0</v>
      </c>
      <c r="L7">
        <v>0</v>
      </c>
      <c r="M7">
        <v>0</v>
      </c>
      <c r="N7">
        <v>9</v>
      </c>
      <c r="O7">
        <v>0</v>
      </c>
      <c r="P7">
        <v>2</v>
      </c>
      <c r="Q7">
        <v>0</v>
      </c>
      <c r="R7">
        <v>11</v>
      </c>
      <c r="S7">
        <v>0</v>
      </c>
      <c r="T7">
        <v>0</v>
      </c>
      <c r="U7">
        <v>0</v>
      </c>
      <c r="V7" t="s">
        <v>51</v>
      </c>
      <c r="W7">
        <v>9</v>
      </c>
      <c r="X7">
        <v>2</v>
      </c>
      <c r="Y7">
        <v>0</v>
      </c>
      <c r="Z7">
        <v>0</v>
      </c>
      <c r="AA7">
        <v>9</v>
      </c>
      <c r="AB7">
        <v>2</v>
      </c>
      <c r="AC7">
        <v>0</v>
      </c>
      <c r="AD7">
        <v>0</v>
      </c>
      <c r="AE7">
        <v>11</v>
      </c>
      <c r="AF7">
        <v>0</v>
      </c>
      <c r="AG7">
        <v>0</v>
      </c>
      <c r="AH7">
        <v>0</v>
      </c>
      <c r="AI7">
        <v>9</v>
      </c>
      <c r="AJ7">
        <v>0</v>
      </c>
      <c r="AK7">
        <v>2</v>
      </c>
      <c r="AL7">
        <v>0</v>
      </c>
      <c r="AM7">
        <v>11</v>
      </c>
      <c r="AN7">
        <v>0</v>
      </c>
      <c r="AO7">
        <v>0</v>
      </c>
      <c r="AP7">
        <v>0</v>
      </c>
      <c r="AQ7" t="s">
        <v>51</v>
      </c>
      <c r="AR7">
        <v>9</v>
      </c>
      <c r="AS7">
        <v>2</v>
      </c>
      <c r="AT7">
        <v>0</v>
      </c>
      <c r="AU7">
        <v>0</v>
      </c>
      <c r="AV7">
        <v>9</v>
      </c>
      <c r="AW7">
        <v>2</v>
      </c>
      <c r="AX7">
        <v>0</v>
      </c>
      <c r="AY7">
        <v>0</v>
      </c>
      <c r="AZ7">
        <v>11</v>
      </c>
      <c r="BA7">
        <v>0</v>
      </c>
      <c r="BB7">
        <v>0</v>
      </c>
      <c r="BC7">
        <v>0</v>
      </c>
      <c r="BD7">
        <v>9</v>
      </c>
      <c r="BE7">
        <v>0</v>
      </c>
      <c r="BF7">
        <v>2</v>
      </c>
      <c r="BG7">
        <v>0</v>
      </c>
      <c r="BH7">
        <v>11</v>
      </c>
      <c r="BI7">
        <v>0</v>
      </c>
      <c r="BJ7">
        <v>0</v>
      </c>
      <c r="BK7">
        <v>0</v>
      </c>
    </row>
    <row r="8" spans="1:63">
      <c r="A8" t="s">
        <v>55</v>
      </c>
      <c r="B8">
        <v>33</v>
      </c>
      <c r="C8">
        <v>0</v>
      </c>
      <c r="D8">
        <v>0</v>
      </c>
      <c r="E8">
        <v>0</v>
      </c>
      <c r="F8">
        <v>33</v>
      </c>
      <c r="G8">
        <v>0</v>
      </c>
      <c r="H8">
        <v>0</v>
      </c>
      <c r="I8">
        <v>0</v>
      </c>
      <c r="J8">
        <v>33</v>
      </c>
      <c r="K8">
        <v>0</v>
      </c>
      <c r="L8">
        <v>0</v>
      </c>
      <c r="M8">
        <v>0</v>
      </c>
      <c r="N8">
        <v>33</v>
      </c>
      <c r="O8">
        <v>0</v>
      </c>
      <c r="P8">
        <v>0</v>
      </c>
      <c r="Q8">
        <v>0</v>
      </c>
      <c r="R8">
        <v>33</v>
      </c>
      <c r="S8">
        <v>0</v>
      </c>
      <c r="T8">
        <v>0</v>
      </c>
      <c r="U8">
        <v>0</v>
      </c>
      <c r="V8" t="s">
        <v>55</v>
      </c>
      <c r="W8">
        <v>33</v>
      </c>
      <c r="X8">
        <v>0</v>
      </c>
      <c r="Y8">
        <v>0</v>
      </c>
      <c r="Z8">
        <v>0</v>
      </c>
      <c r="AA8">
        <v>33</v>
      </c>
      <c r="AB8">
        <v>0</v>
      </c>
      <c r="AC8">
        <v>0</v>
      </c>
      <c r="AD8">
        <v>0</v>
      </c>
      <c r="AE8">
        <v>33</v>
      </c>
      <c r="AF8">
        <v>0</v>
      </c>
      <c r="AG8">
        <v>0</v>
      </c>
      <c r="AH8">
        <v>0</v>
      </c>
      <c r="AI8">
        <v>33</v>
      </c>
      <c r="AJ8">
        <v>0</v>
      </c>
      <c r="AK8">
        <v>0</v>
      </c>
      <c r="AL8">
        <v>0</v>
      </c>
      <c r="AM8">
        <v>33</v>
      </c>
      <c r="AN8">
        <v>0</v>
      </c>
      <c r="AO8">
        <v>0</v>
      </c>
      <c r="AP8">
        <v>0</v>
      </c>
      <c r="AQ8" t="s">
        <v>55</v>
      </c>
      <c r="AR8">
        <v>33</v>
      </c>
      <c r="AS8">
        <v>0</v>
      </c>
      <c r="AT8">
        <v>0</v>
      </c>
      <c r="AU8">
        <v>0</v>
      </c>
      <c r="AV8">
        <v>33</v>
      </c>
      <c r="AW8">
        <v>0</v>
      </c>
      <c r="AX8">
        <v>0</v>
      </c>
      <c r="AY8">
        <v>0</v>
      </c>
      <c r="AZ8">
        <v>33</v>
      </c>
      <c r="BA8">
        <v>0</v>
      </c>
      <c r="BB8">
        <v>0</v>
      </c>
      <c r="BC8">
        <v>0</v>
      </c>
      <c r="BD8">
        <v>33</v>
      </c>
      <c r="BE8">
        <v>0</v>
      </c>
      <c r="BF8">
        <v>0</v>
      </c>
      <c r="BG8">
        <v>0</v>
      </c>
      <c r="BH8">
        <v>33</v>
      </c>
      <c r="BI8">
        <v>0</v>
      </c>
      <c r="BJ8">
        <v>0</v>
      </c>
      <c r="BK8">
        <v>0</v>
      </c>
    </row>
    <row r="9" spans="1:63">
      <c r="A9" t="s">
        <v>85</v>
      </c>
      <c r="B9">
        <v>132</v>
      </c>
      <c r="C9">
        <v>0</v>
      </c>
      <c r="D9">
        <v>0</v>
      </c>
      <c r="E9">
        <v>0</v>
      </c>
      <c r="F9">
        <v>132</v>
      </c>
      <c r="G9">
        <v>0</v>
      </c>
      <c r="H9">
        <v>0</v>
      </c>
      <c r="I9">
        <v>0</v>
      </c>
      <c r="J9">
        <v>132</v>
      </c>
      <c r="K9">
        <v>0</v>
      </c>
      <c r="L9">
        <v>0</v>
      </c>
      <c r="M9">
        <v>0</v>
      </c>
      <c r="N9">
        <v>132</v>
      </c>
      <c r="O9">
        <v>0</v>
      </c>
      <c r="P9">
        <v>0</v>
      </c>
      <c r="Q9">
        <v>0</v>
      </c>
      <c r="R9">
        <v>132</v>
      </c>
      <c r="S9">
        <v>0</v>
      </c>
      <c r="T9">
        <v>0</v>
      </c>
      <c r="U9">
        <v>0</v>
      </c>
      <c r="V9" t="s">
        <v>85</v>
      </c>
      <c r="W9">
        <v>132</v>
      </c>
      <c r="X9">
        <v>0</v>
      </c>
      <c r="Y9">
        <v>0</v>
      </c>
      <c r="Z9">
        <v>0</v>
      </c>
      <c r="AA9">
        <v>132</v>
      </c>
      <c r="AB9">
        <v>0</v>
      </c>
      <c r="AC9">
        <v>0</v>
      </c>
      <c r="AD9">
        <v>0</v>
      </c>
      <c r="AE9">
        <v>132</v>
      </c>
      <c r="AF9">
        <v>0</v>
      </c>
      <c r="AG9">
        <v>0</v>
      </c>
      <c r="AH9">
        <v>0</v>
      </c>
      <c r="AI9">
        <v>132</v>
      </c>
      <c r="AJ9">
        <v>0</v>
      </c>
      <c r="AK9">
        <v>0</v>
      </c>
      <c r="AL9">
        <v>0</v>
      </c>
      <c r="AM9">
        <v>132</v>
      </c>
      <c r="AN9">
        <v>0</v>
      </c>
      <c r="AO9">
        <v>0</v>
      </c>
      <c r="AP9">
        <v>0</v>
      </c>
      <c r="AQ9" t="s">
        <v>85</v>
      </c>
      <c r="AR9">
        <v>132</v>
      </c>
      <c r="AS9">
        <v>0</v>
      </c>
      <c r="AT9">
        <v>0</v>
      </c>
      <c r="AU9">
        <v>0</v>
      </c>
      <c r="AV9">
        <v>132</v>
      </c>
      <c r="AW9">
        <v>0</v>
      </c>
      <c r="AX9">
        <v>0</v>
      </c>
      <c r="AY9">
        <v>0</v>
      </c>
      <c r="AZ9">
        <v>132</v>
      </c>
      <c r="BA9">
        <v>0</v>
      </c>
      <c r="BB9">
        <v>0</v>
      </c>
      <c r="BC9">
        <v>0</v>
      </c>
      <c r="BD9">
        <v>132</v>
      </c>
      <c r="BE9">
        <v>0</v>
      </c>
      <c r="BF9">
        <v>0</v>
      </c>
      <c r="BG9">
        <v>0</v>
      </c>
      <c r="BH9">
        <v>132</v>
      </c>
      <c r="BI9">
        <v>0</v>
      </c>
      <c r="BJ9">
        <v>0</v>
      </c>
      <c r="BK9">
        <v>0</v>
      </c>
    </row>
    <row r="10" spans="1:63">
      <c r="A10" t="s">
        <v>30</v>
      </c>
      <c r="B10">
        <v>52</v>
      </c>
      <c r="C10">
        <v>2</v>
      </c>
      <c r="D10">
        <v>0</v>
      </c>
      <c r="E10">
        <v>0</v>
      </c>
      <c r="F10">
        <v>52</v>
      </c>
      <c r="G10">
        <v>2</v>
      </c>
      <c r="H10">
        <v>0</v>
      </c>
      <c r="I10">
        <v>0</v>
      </c>
      <c r="J10">
        <v>54</v>
      </c>
      <c r="K10">
        <v>0</v>
      </c>
      <c r="L10">
        <v>0</v>
      </c>
      <c r="M10">
        <v>0</v>
      </c>
      <c r="N10">
        <v>52</v>
      </c>
      <c r="O10">
        <v>0</v>
      </c>
      <c r="P10">
        <v>2</v>
      </c>
      <c r="Q10">
        <v>0</v>
      </c>
      <c r="R10">
        <v>54</v>
      </c>
      <c r="S10">
        <v>0</v>
      </c>
      <c r="T10">
        <v>0</v>
      </c>
      <c r="U10">
        <v>0</v>
      </c>
      <c r="V10" t="s">
        <v>30</v>
      </c>
      <c r="W10">
        <v>52</v>
      </c>
      <c r="X10">
        <v>2</v>
      </c>
      <c r="Y10">
        <v>0</v>
      </c>
      <c r="Z10">
        <v>0</v>
      </c>
      <c r="AA10">
        <v>52</v>
      </c>
      <c r="AB10">
        <v>2</v>
      </c>
      <c r="AC10">
        <v>0</v>
      </c>
      <c r="AD10">
        <v>0</v>
      </c>
      <c r="AE10">
        <v>54</v>
      </c>
      <c r="AF10">
        <v>0</v>
      </c>
      <c r="AG10">
        <v>0</v>
      </c>
      <c r="AH10">
        <v>0</v>
      </c>
      <c r="AI10">
        <v>52</v>
      </c>
      <c r="AJ10">
        <v>0</v>
      </c>
      <c r="AK10">
        <v>2</v>
      </c>
      <c r="AL10">
        <v>0</v>
      </c>
      <c r="AM10">
        <v>54</v>
      </c>
      <c r="AN10">
        <v>0</v>
      </c>
      <c r="AO10">
        <v>0</v>
      </c>
      <c r="AP10">
        <v>0</v>
      </c>
      <c r="AQ10" t="s">
        <v>30</v>
      </c>
      <c r="AR10">
        <v>52</v>
      </c>
      <c r="AS10">
        <v>2</v>
      </c>
      <c r="AT10">
        <v>0</v>
      </c>
      <c r="AU10">
        <v>0</v>
      </c>
      <c r="AV10">
        <v>52</v>
      </c>
      <c r="AW10">
        <v>2</v>
      </c>
      <c r="AX10">
        <v>0</v>
      </c>
      <c r="AY10">
        <v>0</v>
      </c>
      <c r="AZ10">
        <v>54</v>
      </c>
      <c r="BA10">
        <v>0</v>
      </c>
      <c r="BB10">
        <v>0</v>
      </c>
      <c r="BC10">
        <v>0</v>
      </c>
      <c r="BD10">
        <v>52</v>
      </c>
      <c r="BE10">
        <v>0</v>
      </c>
      <c r="BF10">
        <v>2</v>
      </c>
      <c r="BG10">
        <v>0</v>
      </c>
      <c r="BH10">
        <v>54</v>
      </c>
      <c r="BI10">
        <v>0</v>
      </c>
      <c r="BJ10">
        <v>0</v>
      </c>
      <c r="BK10">
        <v>0</v>
      </c>
    </row>
    <row r="11" spans="1:63">
      <c r="A11" t="s">
        <v>89</v>
      </c>
      <c r="B11">
        <v>51</v>
      </c>
      <c r="C11">
        <v>0</v>
      </c>
      <c r="D11">
        <v>0</v>
      </c>
      <c r="E11">
        <v>0</v>
      </c>
      <c r="F11">
        <v>51</v>
      </c>
      <c r="G11">
        <v>0</v>
      </c>
      <c r="H11">
        <v>0</v>
      </c>
      <c r="I11">
        <v>0</v>
      </c>
      <c r="J11">
        <v>51</v>
      </c>
      <c r="K11">
        <v>0</v>
      </c>
      <c r="L11">
        <v>0</v>
      </c>
      <c r="M11">
        <v>0</v>
      </c>
      <c r="N11">
        <v>51</v>
      </c>
      <c r="O11">
        <v>0</v>
      </c>
      <c r="P11">
        <v>0</v>
      </c>
      <c r="Q11">
        <v>0</v>
      </c>
      <c r="R11">
        <v>51</v>
      </c>
      <c r="S11">
        <v>0</v>
      </c>
      <c r="T11">
        <v>0</v>
      </c>
      <c r="U11">
        <v>0</v>
      </c>
      <c r="V11" t="s">
        <v>89</v>
      </c>
      <c r="W11">
        <v>51</v>
      </c>
      <c r="X11">
        <v>0</v>
      </c>
      <c r="Y11">
        <v>0</v>
      </c>
      <c r="Z11">
        <v>0</v>
      </c>
      <c r="AA11">
        <v>51</v>
      </c>
      <c r="AB11">
        <v>0</v>
      </c>
      <c r="AC11">
        <v>0</v>
      </c>
      <c r="AD11">
        <v>0</v>
      </c>
      <c r="AE11">
        <v>51</v>
      </c>
      <c r="AF11">
        <v>0</v>
      </c>
      <c r="AG11">
        <v>0</v>
      </c>
      <c r="AH11">
        <v>0</v>
      </c>
      <c r="AI11">
        <v>51</v>
      </c>
      <c r="AJ11">
        <v>0</v>
      </c>
      <c r="AK11">
        <v>0</v>
      </c>
      <c r="AL11">
        <v>0</v>
      </c>
      <c r="AM11">
        <v>51</v>
      </c>
      <c r="AN11">
        <v>0</v>
      </c>
      <c r="AO11">
        <v>0</v>
      </c>
      <c r="AP11">
        <v>0</v>
      </c>
      <c r="AQ11" t="s">
        <v>89</v>
      </c>
      <c r="AR11">
        <v>51</v>
      </c>
      <c r="AS11">
        <v>0</v>
      </c>
      <c r="AT11">
        <v>0</v>
      </c>
      <c r="AU11">
        <v>0</v>
      </c>
      <c r="AV11">
        <v>51</v>
      </c>
      <c r="AW11">
        <v>0</v>
      </c>
      <c r="AX11">
        <v>0</v>
      </c>
      <c r="AY11">
        <v>0</v>
      </c>
      <c r="AZ11">
        <v>51</v>
      </c>
      <c r="BA11">
        <v>0</v>
      </c>
      <c r="BB11">
        <v>0</v>
      </c>
      <c r="BC11">
        <v>0</v>
      </c>
      <c r="BD11">
        <v>51</v>
      </c>
      <c r="BE11">
        <v>0</v>
      </c>
      <c r="BF11">
        <v>0</v>
      </c>
      <c r="BG11">
        <v>0</v>
      </c>
      <c r="BH11">
        <v>51</v>
      </c>
      <c r="BI11">
        <v>0</v>
      </c>
      <c r="BJ11">
        <v>0</v>
      </c>
      <c r="BK11">
        <v>0</v>
      </c>
    </row>
    <row r="12" spans="1:63">
      <c r="A12" t="s">
        <v>2</v>
      </c>
      <c r="B12">
        <v>3</v>
      </c>
      <c r="C12">
        <v>0</v>
      </c>
      <c r="D12">
        <v>0</v>
      </c>
      <c r="E12">
        <v>0</v>
      </c>
      <c r="F12">
        <v>3</v>
      </c>
      <c r="G12">
        <v>0</v>
      </c>
      <c r="H12">
        <v>0</v>
      </c>
      <c r="I12">
        <v>0</v>
      </c>
      <c r="J12">
        <v>3</v>
      </c>
      <c r="K12">
        <v>0</v>
      </c>
      <c r="L12">
        <v>0</v>
      </c>
      <c r="M12">
        <v>0</v>
      </c>
      <c r="N12">
        <v>3</v>
      </c>
      <c r="O12">
        <v>0</v>
      </c>
      <c r="P12">
        <v>0</v>
      </c>
      <c r="Q12">
        <v>0</v>
      </c>
      <c r="R12">
        <v>3</v>
      </c>
      <c r="S12">
        <v>0</v>
      </c>
      <c r="T12">
        <v>0</v>
      </c>
      <c r="U12">
        <v>0</v>
      </c>
      <c r="V12" t="s">
        <v>2</v>
      </c>
      <c r="W12">
        <v>3</v>
      </c>
      <c r="X12">
        <v>0</v>
      </c>
      <c r="Y12">
        <v>0</v>
      </c>
      <c r="Z12">
        <v>0</v>
      </c>
      <c r="AA12">
        <v>3</v>
      </c>
      <c r="AB12">
        <v>0</v>
      </c>
      <c r="AC12">
        <v>0</v>
      </c>
      <c r="AD12">
        <v>0</v>
      </c>
      <c r="AE12">
        <v>3</v>
      </c>
      <c r="AF12">
        <v>0</v>
      </c>
      <c r="AG12">
        <v>0</v>
      </c>
      <c r="AH12">
        <v>0</v>
      </c>
      <c r="AI12">
        <v>3</v>
      </c>
      <c r="AJ12">
        <v>0</v>
      </c>
      <c r="AK12">
        <v>0</v>
      </c>
      <c r="AL12">
        <v>0</v>
      </c>
      <c r="AM12">
        <v>3</v>
      </c>
      <c r="AN12">
        <v>0</v>
      </c>
      <c r="AO12">
        <v>0</v>
      </c>
      <c r="AP12">
        <v>0</v>
      </c>
      <c r="AQ12" t="s">
        <v>2</v>
      </c>
      <c r="AR12">
        <v>3</v>
      </c>
      <c r="AS12">
        <v>0</v>
      </c>
      <c r="AT12">
        <v>0</v>
      </c>
      <c r="AU12">
        <v>0</v>
      </c>
      <c r="AV12">
        <v>3</v>
      </c>
      <c r="AW12">
        <v>0</v>
      </c>
      <c r="AX12">
        <v>0</v>
      </c>
      <c r="AY12">
        <v>0</v>
      </c>
      <c r="AZ12">
        <v>3</v>
      </c>
      <c r="BA12">
        <v>0</v>
      </c>
      <c r="BB12">
        <v>0</v>
      </c>
      <c r="BC12">
        <v>0</v>
      </c>
      <c r="BD12">
        <v>3</v>
      </c>
      <c r="BE12">
        <v>0</v>
      </c>
      <c r="BF12">
        <v>0</v>
      </c>
      <c r="BG12">
        <v>0</v>
      </c>
      <c r="BH12">
        <v>3</v>
      </c>
      <c r="BI12">
        <v>0</v>
      </c>
      <c r="BJ12">
        <v>0</v>
      </c>
      <c r="BK12">
        <v>0</v>
      </c>
    </row>
    <row r="13" spans="1:63">
      <c r="A13" t="s">
        <v>37</v>
      </c>
      <c r="B13">
        <v>2</v>
      </c>
      <c r="C13">
        <v>0</v>
      </c>
      <c r="D13">
        <v>0</v>
      </c>
      <c r="E13">
        <v>0</v>
      </c>
      <c r="F13">
        <v>2</v>
      </c>
      <c r="G13">
        <v>0</v>
      </c>
      <c r="H13">
        <v>0</v>
      </c>
      <c r="I13">
        <v>0</v>
      </c>
      <c r="J13">
        <v>2</v>
      </c>
      <c r="K13">
        <v>0</v>
      </c>
      <c r="L13">
        <v>0</v>
      </c>
      <c r="M13">
        <v>0</v>
      </c>
      <c r="N13">
        <v>2</v>
      </c>
      <c r="O13">
        <v>0</v>
      </c>
      <c r="P13">
        <v>0</v>
      </c>
      <c r="Q13">
        <v>0</v>
      </c>
      <c r="R13">
        <v>2</v>
      </c>
      <c r="S13">
        <v>0</v>
      </c>
      <c r="T13">
        <v>0</v>
      </c>
      <c r="U13">
        <v>0</v>
      </c>
      <c r="V13" t="s">
        <v>37</v>
      </c>
      <c r="W13">
        <v>2</v>
      </c>
      <c r="X13">
        <v>0</v>
      </c>
      <c r="Y13">
        <v>0</v>
      </c>
      <c r="Z13">
        <v>0</v>
      </c>
      <c r="AA13">
        <v>2</v>
      </c>
      <c r="AB13">
        <v>0</v>
      </c>
      <c r="AC13">
        <v>0</v>
      </c>
      <c r="AD13">
        <v>0</v>
      </c>
      <c r="AE13">
        <v>2</v>
      </c>
      <c r="AF13">
        <v>0</v>
      </c>
      <c r="AG13">
        <v>0</v>
      </c>
      <c r="AH13">
        <v>0</v>
      </c>
      <c r="AI13">
        <v>2</v>
      </c>
      <c r="AJ13">
        <v>0</v>
      </c>
      <c r="AK13">
        <v>0</v>
      </c>
      <c r="AL13">
        <v>0</v>
      </c>
      <c r="AM13">
        <v>2</v>
      </c>
      <c r="AN13">
        <v>0</v>
      </c>
      <c r="AO13">
        <v>0</v>
      </c>
      <c r="AP13">
        <v>0</v>
      </c>
      <c r="AQ13" t="s">
        <v>37</v>
      </c>
      <c r="AR13">
        <v>2</v>
      </c>
      <c r="AS13">
        <v>0</v>
      </c>
      <c r="AT13">
        <v>0</v>
      </c>
      <c r="AU13">
        <v>0</v>
      </c>
      <c r="AV13">
        <v>2</v>
      </c>
      <c r="AW13">
        <v>0</v>
      </c>
      <c r="AX13">
        <v>0</v>
      </c>
      <c r="AY13">
        <v>0</v>
      </c>
      <c r="AZ13">
        <v>2</v>
      </c>
      <c r="BA13">
        <v>0</v>
      </c>
      <c r="BB13">
        <v>0</v>
      </c>
      <c r="BC13">
        <v>0</v>
      </c>
      <c r="BD13">
        <v>2</v>
      </c>
      <c r="BE13">
        <v>0</v>
      </c>
      <c r="BF13">
        <v>0</v>
      </c>
      <c r="BG13">
        <v>0</v>
      </c>
      <c r="BH13">
        <v>2</v>
      </c>
      <c r="BI13">
        <v>0</v>
      </c>
      <c r="BJ13">
        <v>0</v>
      </c>
      <c r="BK13">
        <v>0</v>
      </c>
    </row>
    <row r="14" spans="1:63">
      <c r="A14" t="s">
        <v>72</v>
      </c>
      <c r="B14">
        <v>8</v>
      </c>
      <c r="C14">
        <v>0</v>
      </c>
      <c r="D14">
        <v>0</v>
      </c>
      <c r="E14">
        <v>0</v>
      </c>
      <c r="F14">
        <v>8</v>
      </c>
      <c r="G14">
        <v>0</v>
      </c>
      <c r="H14">
        <v>0</v>
      </c>
      <c r="I14">
        <v>0</v>
      </c>
      <c r="J14">
        <v>8</v>
      </c>
      <c r="K14">
        <v>0</v>
      </c>
      <c r="L14">
        <v>0</v>
      </c>
      <c r="M14">
        <v>0</v>
      </c>
      <c r="N14">
        <v>8</v>
      </c>
      <c r="O14">
        <v>0</v>
      </c>
      <c r="P14">
        <v>0</v>
      </c>
      <c r="Q14">
        <v>0</v>
      </c>
      <c r="R14">
        <v>8</v>
      </c>
      <c r="S14">
        <v>0</v>
      </c>
      <c r="T14">
        <v>0</v>
      </c>
      <c r="U14">
        <v>0</v>
      </c>
      <c r="V14" t="s">
        <v>72</v>
      </c>
      <c r="W14">
        <v>8</v>
      </c>
      <c r="X14">
        <v>0</v>
      </c>
      <c r="Y14">
        <v>0</v>
      </c>
      <c r="Z14">
        <v>0</v>
      </c>
      <c r="AA14">
        <v>8</v>
      </c>
      <c r="AB14">
        <v>0</v>
      </c>
      <c r="AC14">
        <v>0</v>
      </c>
      <c r="AD14">
        <v>0</v>
      </c>
      <c r="AE14">
        <v>8</v>
      </c>
      <c r="AF14">
        <v>0</v>
      </c>
      <c r="AG14">
        <v>0</v>
      </c>
      <c r="AH14">
        <v>0</v>
      </c>
      <c r="AI14">
        <v>8</v>
      </c>
      <c r="AJ14">
        <v>0</v>
      </c>
      <c r="AK14">
        <v>0</v>
      </c>
      <c r="AL14">
        <v>0</v>
      </c>
      <c r="AM14">
        <v>8</v>
      </c>
      <c r="AN14">
        <v>0</v>
      </c>
      <c r="AO14">
        <v>0</v>
      </c>
      <c r="AP14">
        <v>0</v>
      </c>
      <c r="AQ14" t="s">
        <v>72</v>
      </c>
      <c r="AR14">
        <v>8</v>
      </c>
      <c r="AS14">
        <v>0</v>
      </c>
      <c r="AT14">
        <v>0</v>
      </c>
      <c r="AU14">
        <v>0</v>
      </c>
      <c r="AV14">
        <v>8</v>
      </c>
      <c r="AW14">
        <v>0</v>
      </c>
      <c r="AX14">
        <v>0</v>
      </c>
      <c r="AY14">
        <v>0</v>
      </c>
      <c r="AZ14">
        <v>8</v>
      </c>
      <c r="BA14">
        <v>0</v>
      </c>
      <c r="BB14">
        <v>0</v>
      </c>
      <c r="BC14">
        <v>0</v>
      </c>
      <c r="BD14">
        <v>8</v>
      </c>
      <c r="BE14">
        <v>0</v>
      </c>
      <c r="BF14">
        <v>0</v>
      </c>
      <c r="BG14">
        <v>0</v>
      </c>
      <c r="BH14">
        <v>8</v>
      </c>
      <c r="BI14">
        <v>0</v>
      </c>
      <c r="BJ14">
        <v>0</v>
      </c>
      <c r="BK14">
        <v>0</v>
      </c>
    </row>
    <row r="15" spans="1:63">
      <c r="A15" t="s">
        <v>8</v>
      </c>
      <c r="B15">
        <v>3</v>
      </c>
      <c r="C15">
        <v>0</v>
      </c>
      <c r="D15">
        <v>0</v>
      </c>
      <c r="E15">
        <v>0</v>
      </c>
      <c r="F15">
        <v>3</v>
      </c>
      <c r="G15">
        <v>0</v>
      </c>
      <c r="H15">
        <v>0</v>
      </c>
      <c r="I15">
        <v>0</v>
      </c>
      <c r="J15">
        <v>3</v>
      </c>
      <c r="K15">
        <v>0</v>
      </c>
      <c r="L15">
        <v>0</v>
      </c>
      <c r="M15">
        <v>0</v>
      </c>
      <c r="N15">
        <v>3</v>
      </c>
      <c r="O15">
        <v>0</v>
      </c>
      <c r="P15">
        <v>0</v>
      </c>
      <c r="Q15">
        <v>0</v>
      </c>
      <c r="R15">
        <v>3</v>
      </c>
      <c r="S15">
        <v>0</v>
      </c>
      <c r="T15">
        <v>0</v>
      </c>
      <c r="U15">
        <v>0</v>
      </c>
      <c r="V15" t="s">
        <v>8</v>
      </c>
      <c r="W15">
        <v>3</v>
      </c>
      <c r="X15">
        <v>0</v>
      </c>
      <c r="Y15">
        <v>0</v>
      </c>
      <c r="Z15">
        <v>0</v>
      </c>
      <c r="AA15">
        <v>3</v>
      </c>
      <c r="AB15">
        <v>0</v>
      </c>
      <c r="AC15">
        <v>0</v>
      </c>
      <c r="AD15">
        <v>0</v>
      </c>
      <c r="AE15">
        <v>3</v>
      </c>
      <c r="AF15">
        <v>0</v>
      </c>
      <c r="AG15">
        <v>0</v>
      </c>
      <c r="AH15">
        <v>0</v>
      </c>
      <c r="AI15">
        <v>3</v>
      </c>
      <c r="AJ15">
        <v>0</v>
      </c>
      <c r="AK15">
        <v>0</v>
      </c>
      <c r="AL15">
        <v>0</v>
      </c>
      <c r="AM15">
        <v>3</v>
      </c>
      <c r="AN15">
        <v>0</v>
      </c>
      <c r="AO15">
        <v>0</v>
      </c>
      <c r="AP15">
        <v>0</v>
      </c>
      <c r="AQ15" t="s">
        <v>8</v>
      </c>
      <c r="AR15">
        <v>3</v>
      </c>
      <c r="AS15">
        <v>0</v>
      </c>
      <c r="AT15">
        <v>0</v>
      </c>
      <c r="AU15">
        <v>0</v>
      </c>
      <c r="AV15">
        <v>3</v>
      </c>
      <c r="AW15">
        <v>0</v>
      </c>
      <c r="AX15">
        <v>0</v>
      </c>
      <c r="AY15">
        <v>0</v>
      </c>
      <c r="AZ15">
        <v>3</v>
      </c>
      <c r="BA15">
        <v>0</v>
      </c>
      <c r="BB15">
        <v>0</v>
      </c>
      <c r="BC15">
        <v>0</v>
      </c>
      <c r="BD15">
        <v>3</v>
      </c>
      <c r="BE15">
        <v>0</v>
      </c>
      <c r="BF15">
        <v>0</v>
      </c>
      <c r="BG15">
        <v>0</v>
      </c>
      <c r="BH15">
        <v>3</v>
      </c>
      <c r="BI15">
        <v>0</v>
      </c>
      <c r="BJ15">
        <v>0</v>
      </c>
      <c r="BK15">
        <v>0</v>
      </c>
    </row>
    <row r="16" spans="1:63">
      <c r="A16" t="s">
        <v>101</v>
      </c>
      <c r="B16">
        <v>132</v>
      </c>
      <c r="C16">
        <v>9</v>
      </c>
      <c r="D16">
        <v>0</v>
      </c>
      <c r="E16">
        <v>0</v>
      </c>
      <c r="F16">
        <v>132</v>
      </c>
      <c r="G16">
        <v>9</v>
      </c>
      <c r="H16">
        <v>0</v>
      </c>
      <c r="I16">
        <v>0</v>
      </c>
      <c r="J16">
        <v>138</v>
      </c>
      <c r="K16">
        <v>3</v>
      </c>
      <c r="L16">
        <v>0</v>
      </c>
      <c r="M16">
        <v>0</v>
      </c>
      <c r="N16">
        <v>129</v>
      </c>
      <c r="O16">
        <v>3</v>
      </c>
      <c r="P16">
        <v>9</v>
      </c>
      <c r="Q16">
        <v>0</v>
      </c>
      <c r="R16">
        <v>138</v>
      </c>
      <c r="S16">
        <v>3</v>
      </c>
      <c r="T16">
        <v>0</v>
      </c>
      <c r="U16">
        <v>0</v>
      </c>
      <c r="V16" t="s">
        <v>101</v>
      </c>
      <c r="W16">
        <v>132</v>
      </c>
      <c r="X16">
        <v>9</v>
      </c>
      <c r="Y16">
        <v>0</v>
      </c>
      <c r="Z16">
        <v>0</v>
      </c>
      <c r="AA16">
        <v>132</v>
      </c>
      <c r="AB16">
        <v>9</v>
      </c>
      <c r="AC16">
        <v>0</v>
      </c>
      <c r="AD16">
        <v>0</v>
      </c>
      <c r="AE16">
        <v>138</v>
      </c>
      <c r="AF16">
        <v>3</v>
      </c>
      <c r="AG16">
        <v>0</v>
      </c>
      <c r="AH16">
        <v>0</v>
      </c>
      <c r="AI16">
        <v>129</v>
      </c>
      <c r="AJ16">
        <v>3</v>
      </c>
      <c r="AK16">
        <v>9</v>
      </c>
      <c r="AL16">
        <v>0</v>
      </c>
      <c r="AM16">
        <v>138</v>
      </c>
      <c r="AN16">
        <v>3</v>
      </c>
      <c r="AO16">
        <v>0</v>
      </c>
      <c r="AP16">
        <v>0</v>
      </c>
      <c r="AQ16" t="s">
        <v>101</v>
      </c>
      <c r="AR16">
        <v>132</v>
      </c>
      <c r="AS16">
        <v>9</v>
      </c>
      <c r="AT16">
        <v>0</v>
      </c>
      <c r="AU16">
        <v>0</v>
      </c>
      <c r="AV16">
        <v>132</v>
      </c>
      <c r="AW16">
        <v>9</v>
      </c>
      <c r="AX16">
        <v>0</v>
      </c>
      <c r="AY16">
        <v>0</v>
      </c>
      <c r="AZ16">
        <v>141</v>
      </c>
      <c r="BA16">
        <v>0</v>
      </c>
      <c r="BB16">
        <v>0</v>
      </c>
      <c r="BC16">
        <v>0</v>
      </c>
      <c r="BD16">
        <v>132</v>
      </c>
      <c r="BE16">
        <v>0</v>
      </c>
      <c r="BF16">
        <v>9</v>
      </c>
      <c r="BG16">
        <v>0</v>
      </c>
      <c r="BH16">
        <v>141</v>
      </c>
      <c r="BI16">
        <v>0</v>
      </c>
      <c r="BJ16">
        <v>0</v>
      </c>
      <c r="BK16">
        <v>0</v>
      </c>
    </row>
    <row r="17" spans="1:63">
      <c r="A17" t="s">
        <v>3</v>
      </c>
      <c r="B17">
        <v>31</v>
      </c>
      <c r="C17">
        <v>0</v>
      </c>
      <c r="D17">
        <v>0</v>
      </c>
      <c r="E17">
        <v>0</v>
      </c>
      <c r="F17">
        <v>31</v>
      </c>
      <c r="G17">
        <v>0</v>
      </c>
      <c r="H17">
        <v>0</v>
      </c>
      <c r="I17">
        <v>0</v>
      </c>
      <c r="J17">
        <v>31</v>
      </c>
      <c r="K17">
        <v>0</v>
      </c>
      <c r="L17">
        <v>0</v>
      </c>
      <c r="M17">
        <v>0</v>
      </c>
      <c r="N17">
        <v>31</v>
      </c>
      <c r="O17">
        <v>0</v>
      </c>
      <c r="P17">
        <v>0</v>
      </c>
      <c r="Q17">
        <v>0</v>
      </c>
      <c r="R17">
        <v>31</v>
      </c>
      <c r="S17">
        <v>0</v>
      </c>
      <c r="T17">
        <v>0</v>
      </c>
      <c r="U17">
        <v>0</v>
      </c>
      <c r="V17" t="s">
        <v>3</v>
      </c>
      <c r="W17">
        <v>31</v>
      </c>
      <c r="X17">
        <v>0</v>
      </c>
      <c r="Y17">
        <v>0</v>
      </c>
      <c r="Z17">
        <v>0</v>
      </c>
      <c r="AA17">
        <v>31</v>
      </c>
      <c r="AB17">
        <v>0</v>
      </c>
      <c r="AC17">
        <v>0</v>
      </c>
      <c r="AD17">
        <v>0</v>
      </c>
      <c r="AE17">
        <v>31</v>
      </c>
      <c r="AF17">
        <v>0</v>
      </c>
      <c r="AG17">
        <v>0</v>
      </c>
      <c r="AH17">
        <v>0</v>
      </c>
      <c r="AI17">
        <v>31</v>
      </c>
      <c r="AJ17">
        <v>0</v>
      </c>
      <c r="AK17">
        <v>0</v>
      </c>
      <c r="AL17">
        <v>0</v>
      </c>
      <c r="AM17">
        <v>31</v>
      </c>
      <c r="AN17">
        <v>0</v>
      </c>
      <c r="AO17">
        <v>0</v>
      </c>
      <c r="AP17">
        <v>0</v>
      </c>
      <c r="AQ17" t="s">
        <v>3</v>
      </c>
      <c r="AR17">
        <v>31</v>
      </c>
      <c r="AS17">
        <v>0</v>
      </c>
      <c r="AT17">
        <v>0</v>
      </c>
      <c r="AU17">
        <v>0</v>
      </c>
      <c r="AV17">
        <v>31</v>
      </c>
      <c r="AW17">
        <v>0</v>
      </c>
      <c r="AX17">
        <v>0</v>
      </c>
      <c r="AY17">
        <v>0</v>
      </c>
      <c r="AZ17">
        <v>31</v>
      </c>
      <c r="BA17">
        <v>0</v>
      </c>
      <c r="BB17">
        <v>0</v>
      </c>
      <c r="BC17">
        <v>0</v>
      </c>
      <c r="BD17">
        <v>31</v>
      </c>
      <c r="BE17">
        <v>0</v>
      </c>
      <c r="BF17">
        <v>0</v>
      </c>
      <c r="BG17">
        <v>0</v>
      </c>
      <c r="BH17">
        <v>31</v>
      </c>
      <c r="BI17">
        <v>0</v>
      </c>
      <c r="BJ17">
        <v>0</v>
      </c>
      <c r="BK17">
        <v>0</v>
      </c>
    </row>
    <row r="18" spans="1:63">
      <c r="A18" t="s">
        <v>76</v>
      </c>
      <c r="B18">
        <v>31</v>
      </c>
      <c r="C18">
        <v>0</v>
      </c>
      <c r="D18">
        <v>0</v>
      </c>
      <c r="E18">
        <v>0</v>
      </c>
      <c r="F18">
        <v>31</v>
      </c>
      <c r="G18">
        <v>0</v>
      </c>
      <c r="H18">
        <v>0</v>
      </c>
      <c r="I18">
        <v>0</v>
      </c>
      <c r="J18">
        <v>31</v>
      </c>
      <c r="K18">
        <v>0</v>
      </c>
      <c r="L18">
        <v>0</v>
      </c>
      <c r="M18">
        <v>0</v>
      </c>
      <c r="N18">
        <v>31</v>
      </c>
      <c r="O18">
        <v>0</v>
      </c>
      <c r="P18">
        <v>0</v>
      </c>
      <c r="Q18">
        <v>0</v>
      </c>
      <c r="R18">
        <v>31</v>
      </c>
      <c r="S18">
        <v>0</v>
      </c>
      <c r="T18">
        <v>0</v>
      </c>
      <c r="U18">
        <v>0</v>
      </c>
      <c r="V18" t="s">
        <v>76</v>
      </c>
      <c r="W18">
        <v>31</v>
      </c>
      <c r="X18">
        <v>0</v>
      </c>
      <c r="Y18">
        <v>0</v>
      </c>
      <c r="Z18">
        <v>0</v>
      </c>
      <c r="AA18">
        <v>31</v>
      </c>
      <c r="AB18">
        <v>0</v>
      </c>
      <c r="AC18">
        <v>0</v>
      </c>
      <c r="AD18">
        <v>0</v>
      </c>
      <c r="AE18">
        <v>31</v>
      </c>
      <c r="AF18">
        <v>0</v>
      </c>
      <c r="AG18">
        <v>0</v>
      </c>
      <c r="AH18">
        <v>0</v>
      </c>
      <c r="AI18">
        <v>31</v>
      </c>
      <c r="AJ18">
        <v>0</v>
      </c>
      <c r="AK18">
        <v>0</v>
      </c>
      <c r="AL18">
        <v>0</v>
      </c>
      <c r="AM18">
        <v>31</v>
      </c>
      <c r="AN18">
        <v>0</v>
      </c>
      <c r="AO18">
        <v>0</v>
      </c>
      <c r="AP18">
        <v>0</v>
      </c>
      <c r="AQ18" t="s">
        <v>76</v>
      </c>
      <c r="AR18">
        <v>31</v>
      </c>
      <c r="AS18">
        <v>0</v>
      </c>
      <c r="AT18">
        <v>0</v>
      </c>
      <c r="AU18">
        <v>0</v>
      </c>
      <c r="AV18">
        <v>31</v>
      </c>
      <c r="AW18">
        <v>0</v>
      </c>
      <c r="AX18">
        <v>0</v>
      </c>
      <c r="AY18">
        <v>0</v>
      </c>
      <c r="AZ18">
        <v>31</v>
      </c>
      <c r="BA18">
        <v>0</v>
      </c>
      <c r="BB18">
        <v>0</v>
      </c>
      <c r="BC18">
        <v>0</v>
      </c>
      <c r="BD18">
        <v>31</v>
      </c>
      <c r="BE18">
        <v>0</v>
      </c>
      <c r="BF18">
        <v>0</v>
      </c>
      <c r="BG18">
        <v>0</v>
      </c>
      <c r="BH18">
        <v>31</v>
      </c>
      <c r="BI18">
        <v>0</v>
      </c>
      <c r="BJ18">
        <v>0</v>
      </c>
      <c r="BK18">
        <v>0</v>
      </c>
    </row>
    <row r="19" spans="1:63">
      <c r="A19" t="s">
        <v>29</v>
      </c>
      <c r="B19">
        <v>14</v>
      </c>
      <c r="C19">
        <v>0</v>
      </c>
      <c r="D19">
        <v>0</v>
      </c>
      <c r="E19">
        <v>0</v>
      </c>
      <c r="F19">
        <v>14</v>
      </c>
      <c r="G19">
        <v>0</v>
      </c>
      <c r="H19">
        <v>0</v>
      </c>
      <c r="I19">
        <v>0</v>
      </c>
      <c r="J19">
        <v>14</v>
      </c>
      <c r="K19">
        <v>0</v>
      </c>
      <c r="L19">
        <v>0</v>
      </c>
      <c r="M19">
        <v>0</v>
      </c>
      <c r="N19">
        <v>14</v>
      </c>
      <c r="O19">
        <v>0</v>
      </c>
      <c r="P19">
        <v>0</v>
      </c>
      <c r="Q19">
        <v>0</v>
      </c>
      <c r="R19">
        <v>14</v>
      </c>
      <c r="S19">
        <v>0</v>
      </c>
      <c r="T19">
        <v>0</v>
      </c>
      <c r="U19">
        <v>0</v>
      </c>
      <c r="V19" t="s">
        <v>29</v>
      </c>
      <c r="W19">
        <v>14</v>
      </c>
      <c r="X19">
        <v>0</v>
      </c>
      <c r="Y19">
        <v>0</v>
      </c>
      <c r="Z19">
        <v>0</v>
      </c>
      <c r="AA19">
        <v>14</v>
      </c>
      <c r="AB19">
        <v>0</v>
      </c>
      <c r="AC19">
        <v>0</v>
      </c>
      <c r="AD19">
        <v>0</v>
      </c>
      <c r="AE19">
        <v>14</v>
      </c>
      <c r="AF19">
        <v>0</v>
      </c>
      <c r="AG19">
        <v>0</v>
      </c>
      <c r="AH19">
        <v>0</v>
      </c>
      <c r="AI19">
        <v>14</v>
      </c>
      <c r="AJ19">
        <v>0</v>
      </c>
      <c r="AK19">
        <v>0</v>
      </c>
      <c r="AL19">
        <v>0</v>
      </c>
      <c r="AM19">
        <v>14</v>
      </c>
      <c r="AN19">
        <v>0</v>
      </c>
      <c r="AO19">
        <v>0</v>
      </c>
      <c r="AP19">
        <v>0</v>
      </c>
      <c r="AQ19" t="s">
        <v>29</v>
      </c>
      <c r="AR19">
        <v>14</v>
      </c>
      <c r="AS19">
        <v>0</v>
      </c>
      <c r="AT19">
        <v>0</v>
      </c>
      <c r="AU19">
        <v>0</v>
      </c>
      <c r="AV19">
        <v>14</v>
      </c>
      <c r="AW19">
        <v>0</v>
      </c>
      <c r="AX19">
        <v>0</v>
      </c>
      <c r="AY19">
        <v>0</v>
      </c>
      <c r="AZ19">
        <v>14</v>
      </c>
      <c r="BA19">
        <v>0</v>
      </c>
      <c r="BB19">
        <v>0</v>
      </c>
      <c r="BC19">
        <v>0</v>
      </c>
      <c r="BD19">
        <v>14</v>
      </c>
      <c r="BE19">
        <v>0</v>
      </c>
      <c r="BF19">
        <v>0</v>
      </c>
      <c r="BG19">
        <v>0</v>
      </c>
      <c r="BH19">
        <v>14</v>
      </c>
      <c r="BI19">
        <v>0</v>
      </c>
      <c r="BJ19">
        <v>0</v>
      </c>
      <c r="BK19">
        <v>0</v>
      </c>
    </row>
    <row r="20" spans="1:63">
      <c r="A20" t="s">
        <v>98</v>
      </c>
      <c r="B20">
        <v>176</v>
      </c>
      <c r="C20">
        <v>7</v>
      </c>
      <c r="D20">
        <v>0</v>
      </c>
      <c r="E20">
        <v>0</v>
      </c>
      <c r="F20">
        <v>176</v>
      </c>
      <c r="G20">
        <v>7</v>
      </c>
      <c r="H20">
        <v>0</v>
      </c>
      <c r="I20">
        <v>0</v>
      </c>
      <c r="J20">
        <v>179</v>
      </c>
      <c r="K20">
        <v>4</v>
      </c>
      <c r="L20">
        <v>0</v>
      </c>
      <c r="M20">
        <v>0</v>
      </c>
      <c r="N20">
        <v>172</v>
      </c>
      <c r="O20">
        <v>4</v>
      </c>
      <c r="P20">
        <v>7</v>
      </c>
      <c r="Q20">
        <v>0</v>
      </c>
      <c r="R20">
        <v>179</v>
      </c>
      <c r="S20">
        <v>4</v>
      </c>
      <c r="T20">
        <v>0</v>
      </c>
      <c r="U20">
        <v>0</v>
      </c>
      <c r="V20" t="s">
        <v>98</v>
      </c>
      <c r="W20">
        <v>176</v>
      </c>
      <c r="X20">
        <v>7</v>
      </c>
      <c r="Y20">
        <v>0</v>
      </c>
      <c r="Z20">
        <v>0</v>
      </c>
      <c r="AA20">
        <v>176</v>
      </c>
      <c r="AB20">
        <v>7</v>
      </c>
      <c r="AC20">
        <v>0</v>
      </c>
      <c r="AD20">
        <v>0</v>
      </c>
      <c r="AE20">
        <v>179</v>
      </c>
      <c r="AF20">
        <v>4</v>
      </c>
      <c r="AG20">
        <v>0</v>
      </c>
      <c r="AH20">
        <v>0</v>
      </c>
      <c r="AI20">
        <v>172</v>
      </c>
      <c r="AJ20">
        <v>4</v>
      </c>
      <c r="AK20">
        <v>7</v>
      </c>
      <c r="AL20">
        <v>0</v>
      </c>
      <c r="AM20">
        <v>179</v>
      </c>
      <c r="AN20">
        <v>4</v>
      </c>
      <c r="AO20">
        <v>0</v>
      </c>
      <c r="AP20">
        <v>0</v>
      </c>
      <c r="AQ20" t="s">
        <v>98</v>
      </c>
      <c r="AR20">
        <v>176</v>
      </c>
      <c r="AS20">
        <v>7</v>
      </c>
      <c r="AT20">
        <v>0</v>
      </c>
      <c r="AU20">
        <v>0</v>
      </c>
      <c r="AV20">
        <v>176</v>
      </c>
      <c r="AW20">
        <v>7</v>
      </c>
      <c r="AX20">
        <v>0</v>
      </c>
      <c r="AY20">
        <v>0</v>
      </c>
      <c r="AZ20">
        <v>183</v>
      </c>
      <c r="BA20">
        <v>0</v>
      </c>
      <c r="BB20">
        <v>0</v>
      </c>
      <c r="BC20">
        <v>0</v>
      </c>
      <c r="BD20">
        <v>176</v>
      </c>
      <c r="BE20">
        <v>0</v>
      </c>
      <c r="BF20">
        <v>7</v>
      </c>
      <c r="BG20">
        <v>0</v>
      </c>
      <c r="BH20">
        <v>183</v>
      </c>
      <c r="BI20">
        <v>0</v>
      </c>
      <c r="BJ20">
        <v>0</v>
      </c>
      <c r="BK20">
        <v>0</v>
      </c>
    </row>
    <row r="21" spans="1:63">
      <c r="A21" t="s">
        <v>43</v>
      </c>
      <c r="B21">
        <v>127</v>
      </c>
      <c r="C21">
        <v>0</v>
      </c>
      <c r="D21">
        <v>0</v>
      </c>
      <c r="E21">
        <v>0</v>
      </c>
      <c r="F21">
        <v>127</v>
      </c>
      <c r="G21">
        <v>0</v>
      </c>
      <c r="H21">
        <v>0</v>
      </c>
      <c r="I21">
        <v>0</v>
      </c>
      <c r="J21">
        <v>124</v>
      </c>
      <c r="K21">
        <v>3</v>
      </c>
      <c r="L21">
        <v>0</v>
      </c>
      <c r="M21">
        <v>0</v>
      </c>
      <c r="N21">
        <v>124</v>
      </c>
      <c r="O21">
        <v>3</v>
      </c>
      <c r="P21">
        <v>0</v>
      </c>
      <c r="Q21">
        <v>0</v>
      </c>
      <c r="R21">
        <v>124</v>
      </c>
      <c r="S21">
        <v>3</v>
      </c>
      <c r="T21">
        <v>0</v>
      </c>
      <c r="U21">
        <v>0</v>
      </c>
      <c r="V21" t="s">
        <v>43</v>
      </c>
      <c r="W21">
        <v>127</v>
      </c>
      <c r="X21">
        <v>0</v>
      </c>
      <c r="Y21">
        <v>0</v>
      </c>
      <c r="Z21">
        <v>0</v>
      </c>
      <c r="AA21">
        <v>127</v>
      </c>
      <c r="AB21">
        <v>0</v>
      </c>
      <c r="AC21">
        <v>0</v>
      </c>
      <c r="AD21">
        <v>0</v>
      </c>
      <c r="AE21">
        <v>124</v>
      </c>
      <c r="AF21">
        <v>3</v>
      </c>
      <c r="AG21">
        <v>0</v>
      </c>
      <c r="AH21">
        <v>0</v>
      </c>
      <c r="AI21">
        <v>124</v>
      </c>
      <c r="AJ21">
        <v>3</v>
      </c>
      <c r="AK21">
        <v>0</v>
      </c>
      <c r="AL21">
        <v>0</v>
      </c>
      <c r="AM21">
        <v>124</v>
      </c>
      <c r="AN21">
        <v>3</v>
      </c>
      <c r="AO21">
        <v>0</v>
      </c>
      <c r="AP21">
        <v>0</v>
      </c>
      <c r="AQ21" t="s">
        <v>43</v>
      </c>
      <c r="AR21">
        <v>127</v>
      </c>
      <c r="AS21">
        <v>0</v>
      </c>
      <c r="AT21">
        <v>0</v>
      </c>
      <c r="AU21">
        <v>0</v>
      </c>
      <c r="AV21">
        <v>127</v>
      </c>
      <c r="AW21">
        <v>0</v>
      </c>
      <c r="AX21">
        <v>0</v>
      </c>
      <c r="AY21">
        <v>0</v>
      </c>
      <c r="AZ21">
        <v>127</v>
      </c>
      <c r="BA21">
        <v>0</v>
      </c>
      <c r="BB21">
        <v>0</v>
      </c>
      <c r="BC21">
        <v>0</v>
      </c>
      <c r="BD21">
        <v>127</v>
      </c>
      <c r="BE21">
        <v>0</v>
      </c>
      <c r="BF21">
        <v>0</v>
      </c>
      <c r="BG21">
        <v>0</v>
      </c>
      <c r="BH21">
        <v>127</v>
      </c>
      <c r="BI21">
        <v>0</v>
      </c>
      <c r="BJ21">
        <v>0</v>
      </c>
      <c r="BK21">
        <v>0</v>
      </c>
    </row>
    <row r="22" spans="1:63">
      <c r="A22" t="s">
        <v>28</v>
      </c>
      <c r="B22">
        <v>106</v>
      </c>
      <c r="C22">
        <v>0</v>
      </c>
      <c r="D22">
        <v>0</v>
      </c>
      <c r="E22">
        <v>0</v>
      </c>
      <c r="F22">
        <v>106</v>
      </c>
      <c r="G22">
        <v>0</v>
      </c>
      <c r="H22">
        <v>0</v>
      </c>
      <c r="I22">
        <v>0</v>
      </c>
      <c r="J22">
        <v>103</v>
      </c>
      <c r="K22">
        <v>3</v>
      </c>
      <c r="L22">
        <v>0</v>
      </c>
      <c r="M22">
        <v>0</v>
      </c>
      <c r="N22">
        <v>103</v>
      </c>
      <c r="O22">
        <v>3</v>
      </c>
      <c r="P22">
        <v>0</v>
      </c>
      <c r="Q22">
        <v>0</v>
      </c>
      <c r="R22">
        <v>103</v>
      </c>
      <c r="S22">
        <v>3</v>
      </c>
      <c r="T22">
        <v>0</v>
      </c>
      <c r="U22">
        <v>0</v>
      </c>
      <c r="V22" t="s">
        <v>28</v>
      </c>
      <c r="W22">
        <v>106</v>
      </c>
      <c r="X22">
        <v>0</v>
      </c>
      <c r="Y22">
        <v>0</v>
      </c>
      <c r="Z22">
        <v>0</v>
      </c>
      <c r="AA22">
        <v>106</v>
      </c>
      <c r="AB22">
        <v>0</v>
      </c>
      <c r="AC22">
        <v>0</v>
      </c>
      <c r="AD22">
        <v>0</v>
      </c>
      <c r="AE22">
        <v>103</v>
      </c>
      <c r="AF22">
        <v>3</v>
      </c>
      <c r="AG22">
        <v>0</v>
      </c>
      <c r="AH22">
        <v>0</v>
      </c>
      <c r="AI22">
        <v>103</v>
      </c>
      <c r="AJ22">
        <v>3</v>
      </c>
      <c r="AK22">
        <v>0</v>
      </c>
      <c r="AL22">
        <v>0</v>
      </c>
      <c r="AM22">
        <v>103</v>
      </c>
      <c r="AN22">
        <v>3</v>
      </c>
      <c r="AO22">
        <v>0</v>
      </c>
      <c r="AP22">
        <v>0</v>
      </c>
      <c r="AQ22" t="s">
        <v>28</v>
      </c>
      <c r="AR22">
        <v>106</v>
      </c>
      <c r="AS22">
        <v>0</v>
      </c>
      <c r="AT22">
        <v>0</v>
      </c>
      <c r="AU22">
        <v>0</v>
      </c>
      <c r="AV22">
        <v>106</v>
      </c>
      <c r="AW22">
        <v>0</v>
      </c>
      <c r="AX22">
        <v>0</v>
      </c>
      <c r="AY22">
        <v>0</v>
      </c>
      <c r="AZ22">
        <v>106</v>
      </c>
      <c r="BA22">
        <v>0</v>
      </c>
      <c r="BB22">
        <v>0</v>
      </c>
      <c r="BC22">
        <v>0</v>
      </c>
      <c r="BD22">
        <v>106</v>
      </c>
      <c r="BE22">
        <v>0</v>
      </c>
      <c r="BF22">
        <v>0</v>
      </c>
      <c r="BG22">
        <v>0</v>
      </c>
      <c r="BH22">
        <v>106</v>
      </c>
      <c r="BI22">
        <v>0</v>
      </c>
      <c r="BJ22">
        <v>0</v>
      </c>
      <c r="BK22">
        <v>0</v>
      </c>
    </row>
    <row r="23" spans="1:63">
      <c r="A23" t="s">
        <v>40</v>
      </c>
      <c r="B23">
        <v>3</v>
      </c>
      <c r="C23">
        <v>0</v>
      </c>
      <c r="D23">
        <v>0</v>
      </c>
      <c r="E23">
        <v>0</v>
      </c>
      <c r="F23">
        <v>3</v>
      </c>
      <c r="G23">
        <v>0</v>
      </c>
      <c r="H23">
        <v>0</v>
      </c>
      <c r="I23">
        <v>0</v>
      </c>
      <c r="J23">
        <v>3</v>
      </c>
      <c r="K23">
        <v>0</v>
      </c>
      <c r="L23">
        <v>0</v>
      </c>
      <c r="M23">
        <v>0</v>
      </c>
      <c r="N23">
        <v>3</v>
      </c>
      <c r="O23">
        <v>0</v>
      </c>
      <c r="P23">
        <v>0</v>
      </c>
      <c r="Q23">
        <v>0</v>
      </c>
      <c r="R23">
        <v>3</v>
      </c>
      <c r="S23">
        <v>0</v>
      </c>
      <c r="T23">
        <v>0</v>
      </c>
      <c r="U23">
        <v>0</v>
      </c>
      <c r="V23" t="s">
        <v>40</v>
      </c>
      <c r="W23">
        <v>3</v>
      </c>
      <c r="X23">
        <v>0</v>
      </c>
      <c r="Y23">
        <v>0</v>
      </c>
      <c r="Z23">
        <v>0</v>
      </c>
      <c r="AA23">
        <v>3</v>
      </c>
      <c r="AB23">
        <v>0</v>
      </c>
      <c r="AC23">
        <v>0</v>
      </c>
      <c r="AD23">
        <v>0</v>
      </c>
      <c r="AE23">
        <v>3</v>
      </c>
      <c r="AF23">
        <v>0</v>
      </c>
      <c r="AG23">
        <v>0</v>
      </c>
      <c r="AH23">
        <v>0</v>
      </c>
      <c r="AI23">
        <v>3</v>
      </c>
      <c r="AJ23">
        <v>0</v>
      </c>
      <c r="AK23">
        <v>0</v>
      </c>
      <c r="AL23">
        <v>0</v>
      </c>
      <c r="AM23">
        <v>3</v>
      </c>
      <c r="AN23">
        <v>0</v>
      </c>
      <c r="AO23">
        <v>0</v>
      </c>
      <c r="AP23">
        <v>0</v>
      </c>
      <c r="AQ23" t="s">
        <v>40</v>
      </c>
      <c r="AR23">
        <v>3</v>
      </c>
      <c r="AS23">
        <v>0</v>
      </c>
      <c r="AT23">
        <v>0</v>
      </c>
      <c r="AU23">
        <v>0</v>
      </c>
      <c r="AV23">
        <v>3</v>
      </c>
      <c r="AW23">
        <v>0</v>
      </c>
      <c r="AX23">
        <v>0</v>
      </c>
      <c r="AY23">
        <v>0</v>
      </c>
      <c r="AZ23">
        <v>3</v>
      </c>
      <c r="BA23">
        <v>0</v>
      </c>
      <c r="BB23">
        <v>0</v>
      </c>
      <c r="BC23">
        <v>0</v>
      </c>
      <c r="BD23">
        <v>3</v>
      </c>
      <c r="BE23">
        <v>0</v>
      </c>
      <c r="BF23">
        <v>0</v>
      </c>
      <c r="BG23">
        <v>0</v>
      </c>
      <c r="BH23">
        <v>3</v>
      </c>
      <c r="BI23">
        <v>0</v>
      </c>
      <c r="BJ23">
        <v>0</v>
      </c>
      <c r="BK23">
        <v>0</v>
      </c>
    </row>
    <row r="24" spans="1:63">
      <c r="A24" t="s">
        <v>56</v>
      </c>
      <c r="B24">
        <v>406</v>
      </c>
      <c r="C24">
        <v>0</v>
      </c>
      <c r="D24">
        <v>0</v>
      </c>
      <c r="E24">
        <v>0</v>
      </c>
      <c r="F24">
        <v>406</v>
      </c>
      <c r="G24">
        <v>0</v>
      </c>
      <c r="H24">
        <v>0</v>
      </c>
      <c r="I24">
        <v>0</v>
      </c>
      <c r="J24">
        <v>406</v>
      </c>
      <c r="K24">
        <v>0</v>
      </c>
      <c r="L24">
        <v>0</v>
      </c>
      <c r="M24">
        <v>0</v>
      </c>
      <c r="N24">
        <v>406</v>
      </c>
      <c r="O24">
        <v>0</v>
      </c>
      <c r="P24">
        <v>0</v>
      </c>
      <c r="Q24">
        <v>0</v>
      </c>
      <c r="R24">
        <v>406</v>
      </c>
      <c r="S24">
        <v>0</v>
      </c>
      <c r="T24">
        <v>0</v>
      </c>
      <c r="U24">
        <v>0</v>
      </c>
      <c r="V24" t="s">
        <v>56</v>
      </c>
      <c r="W24">
        <v>406</v>
      </c>
      <c r="X24">
        <v>0</v>
      </c>
      <c r="Y24">
        <v>0</v>
      </c>
      <c r="Z24">
        <v>0</v>
      </c>
      <c r="AA24">
        <v>406</v>
      </c>
      <c r="AB24">
        <v>0</v>
      </c>
      <c r="AC24">
        <v>0</v>
      </c>
      <c r="AD24">
        <v>0</v>
      </c>
      <c r="AE24">
        <v>406</v>
      </c>
      <c r="AF24">
        <v>0</v>
      </c>
      <c r="AG24">
        <v>0</v>
      </c>
      <c r="AH24">
        <v>0</v>
      </c>
      <c r="AI24">
        <v>406</v>
      </c>
      <c r="AJ24">
        <v>0</v>
      </c>
      <c r="AK24">
        <v>0</v>
      </c>
      <c r="AL24">
        <v>0</v>
      </c>
      <c r="AM24">
        <v>406</v>
      </c>
      <c r="AN24">
        <v>0</v>
      </c>
      <c r="AO24">
        <v>0</v>
      </c>
      <c r="AP24">
        <v>0</v>
      </c>
      <c r="AQ24" t="s">
        <v>56</v>
      </c>
      <c r="AR24">
        <v>406</v>
      </c>
      <c r="AS24">
        <v>0</v>
      </c>
      <c r="AT24">
        <v>0</v>
      </c>
      <c r="AU24">
        <v>0</v>
      </c>
      <c r="AV24">
        <v>406</v>
      </c>
      <c r="AW24">
        <v>0</v>
      </c>
      <c r="AX24">
        <v>0</v>
      </c>
      <c r="AY24">
        <v>0</v>
      </c>
      <c r="AZ24">
        <v>406</v>
      </c>
      <c r="BA24">
        <v>0</v>
      </c>
      <c r="BB24">
        <v>0</v>
      </c>
      <c r="BC24">
        <v>0</v>
      </c>
      <c r="BD24">
        <v>406</v>
      </c>
      <c r="BE24">
        <v>0</v>
      </c>
      <c r="BF24">
        <v>0</v>
      </c>
      <c r="BG24">
        <v>0</v>
      </c>
      <c r="BH24">
        <v>406</v>
      </c>
      <c r="BI24">
        <v>0</v>
      </c>
      <c r="BJ24">
        <v>0</v>
      </c>
      <c r="BK24">
        <v>0</v>
      </c>
    </row>
    <row r="25" spans="1:63">
      <c r="A25" t="s">
        <v>18</v>
      </c>
      <c r="B25">
        <v>192</v>
      </c>
      <c r="C25">
        <v>0</v>
      </c>
      <c r="D25">
        <v>0</v>
      </c>
      <c r="E25">
        <v>0</v>
      </c>
      <c r="F25">
        <v>192</v>
      </c>
      <c r="G25">
        <v>0</v>
      </c>
      <c r="H25">
        <v>0</v>
      </c>
      <c r="I25">
        <v>0</v>
      </c>
      <c r="J25">
        <v>192</v>
      </c>
      <c r="K25">
        <v>0</v>
      </c>
      <c r="L25">
        <v>0</v>
      </c>
      <c r="M25">
        <v>0</v>
      </c>
      <c r="N25">
        <v>192</v>
      </c>
      <c r="O25">
        <v>0</v>
      </c>
      <c r="P25">
        <v>0</v>
      </c>
      <c r="Q25">
        <v>0</v>
      </c>
      <c r="R25">
        <v>192</v>
      </c>
      <c r="S25">
        <v>0</v>
      </c>
      <c r="T25">
        <v>0</v>
      </c>
      <c r="U25">
        <v>0</v>
      </c>
      <c r="V25" t="s">
        <v>18</v>
      </c>
      <c r="W25">
        <v>192</v>
      </c>
      <c r="X25">
        <v>0</v>
      </c>
      <c r="Y25">
        <v>0</v>
      </c>
      <c r="Z25">
        <v>0</v>
      </c>
      <c r="AA25">
        <v>192</v>
      </c>
      <c r="AB25">
        <v>0</v>
      </c>
      <c r="AC25">
        <v>0</v>
      </c>
      <c r="AD25">
        <v>0</v>
      </c>
      <c r="AE25">
        <v>192</v>
      </c>
      <c r="AF25">
        <v>0</v>
      </c>
      <c r="AG25">
        <v>0</v>
      </c>
      <c r="AH25">
        <v>0</v>
      </c>
      <c r="AI25">
        <v>192</v>
      </c>
      <c r="AJ25">
        <v>0</v>
      </c>
      <c r="AK25">
        <v>0</v>
      </c>
      <c r="AL25">
        <v>0</v>
      </c>
      <c r="AM25">
        <v>192</v>
      </c>
      <c r="AN25">
        <v>0</v>
      </c>
      <c r="AO25">
        <v>0</v>
      </c>
      <c r="AP25">
        <v>0</v>
      </c>
      <c r="AQ25" t="s">
        <v>18</v>
      </c>
      <c r="AR25">
        <v>192</v>
      </c>
      <c r="AS25">
        <v>0</v>
      </c>
      <c r="AT25">
        <v>0</v>
      </c>
      <c r="AU25">
        <v>0</v>
      </c>
      <c r="AV25">
        <v>192</v>
      </c>
      <c r="AW25">
        <v>0</v>
      </c>
      <c r="AX25">
        <v>0</v>
      </c>
      <c r="AY25">
        <v>0</v>
      </c>
      <c r="AZ25">
        <v>192</v>
      </c>
      <c r="BA25">
        <v>0</v>
      </c>
      <c r="BB25">
        <v>0</v>
      </c>
      <c r="BC25">
        <v>0</v>
      </c>
      <c r="BD25">
        <v>192</v>
      </c>
      <c r="BE25">
        <v>0</v>
      </c>
      <c r="BF25">
        <v>0</v>
      </c>
      <c r="BG25">
        <v>0</v>
      </c>
      <c r="BH25">
        <v>192</v>
      </c>
      <c r="BI25">
        <v>0</v>
      </c>
      <c r="BJ25">
        <v>0</v>
      </c>
      <c r="BK25">
        <v>0</v>
      </c>
    </row>
    <row r="26" spans="1:63">
      <c r="A26" t="s">
        <v>27</v>
      </c>
      <c r="B26">
        <v>118</v>
      </c>
      <c r="C26">
        <v>0</v>
      </c>
      <c r="D26">
        <v>0</v>
      </c>
      <c r="E26">
        <v>0</v>
      </c>
      <c r="F26">
        <v>118</v>
      </c>
      <c r="G26">
        <v>0</v>
      </c>
      <c r="H26">
        <v>0</v>
      </c>
      <c r="I26">
        <v>0</v>
      </c>
      <c r="J26">
        <v>118</v>
      </c>
      <c r="K26">
        <v>0</v>
      </c>
      <c r="L26">
        <v>0</v>
      </c>
      <c r="M26">
        <v>0</v>
      </c>
      <c r="N26">
        <v>118</v>
      </c>
      <c r="O26">
        <v>0</v>
      </c>
      <c r="P26">
        <v>0</v>
      </c>
      <c r="Q26">
        <v>0</v>
      </c>
      <c r="R26">
        <v>118</v>
      </c>
      <c r="S26">
        <v>0</v>
      </c>
      <c r="T26">
        <v>0</v>
      </c>
      <c r="U26">
        <v>0</v>
      </c>
      <c r="V26" t="s">
        <v>27</v>
      </c>
      <c r="W26">
        <v>118</v>
      </c>
      <c r="X26">
        <v>0</v>
      </c>
      <c r="Y26">
        <v>0</v>
      </c>
      <c r="Z26">
        <v>0</v>
      </c>
      <c r="AA26">
        <v>118</v>
      </c>
      <c r="AB26">
        <v>0</v>
      </c>
      <c r="AC26">
        <v>0</v>
      </c>
      <c r="AD26">
        <v>0</v>
      </c>
      <c r="AE26">
        <v>118</v>
      </c>
      <c r="AF26">
        <v>0</v>
      </c>
      <c r="AG26">
        <v>0</v>
      </c>
      <c r="AH26">
        <v>0</v>
      </c>
      <c r="AI26">
        <v>118</v>
      </c>
      <c r="AJ26">
        <v>0</v>
      </c>
      <c r="AK26">
        <v>0</v>
      </c>
      <c r="AL26">
        <v>0</v>
      </c>
      <c r="AM26">
        <v>118</v>
      </c>
      <c r="AN26">
        <v>0</v>
      </c>
      <c r="AO26">
        <v>0</v>
      </c>
      <c r="AP26">
        <v>0</v>
      </c>
      <c r="AQ26" t="s">
        <v>27</v>
      </c>
      <c r="AR26">
        <v>118</v>
      </c>
      <c r="AS26">
        <v>0</v>
      </c>
      <c r="AT26">
        <v>0</v>
      </c>
      <c r="AU26">
        <v>0</v>
      </c>
      <c r="AV26">
        <v>118</v>
      </c>
      <c r="AW26">
        <v>0</v>
      </c>
      <c r="AX26">
        <v>0</v>
      </c>
      <c r="AY26">
        <v>0</v>
      </c>
      <c r="AZ26">
        <v>118</v>
      </c>
      <c r="BA26">
        <v>0</v>
      </c>
      <c r="BB26">
        <v>0</v>
      </c>
      <c r="BC26">
        <v>0</v>
      </c>
      <c r="BD26">
        <v>118</v>
      </c>
      <c r="BE26">
        <v>0</v>
      </c>
      <c r="BF26">
        <v>0</v>
      </c>
      <c r="BG26">
        <v>0</v>
      </c>
      <c r="BH26">
        <v>118</v>
      </c>
      <c r="BI26">
        <v>0</v>
      </c>
      <c r="BJ26">
        <v>0</v>
      </c>
      <c r="BK26">
        <v>0</v>
      </c>
    </row>
    <row r="27" spans="1:63">
      <c r="A27" t="s">
        <v>69</v>
      </c>
      <c r="B27">
        <v>30</v>
      </c>
      <c r="C27">
        <v>0</v>
      </c>
      <c r="D27">
        <v>0</v>
      </c>
      <c r="E27">
        <v>0</v>
      </c>
      <c r="F27">
        <v>30</v>
      </c>
      <c r="G27">
        <v>0</v>
      </c>
      <c r="H27">
        <v>0</v>
      </c>
      <c r="I27">
        <v>0</v>
      </c>
      <c r="J27">
        <v>30</v>
      </c>
      <c r="K27">
        <v>0</v>
      </c>
      <c r="L27">
        <v>0</v>
      </c>
      <c r="M27">
        <v>0</v>
      </c>
      <c r="N27">
        <v>30</v>
      </c>
      <c r="O27">
        <v>0</v>
      </c>
      <c r="P27">
        <v>0</v>
      </c>
      <c r="Q27">
        <v>0</v>
      </c>
      <c r="R27">
        <v>30</v>
      </c>
      <c r="S27">
        <v>0</v>
      </c>
      <c r="T27">
        <v>0</v>
      </c>
      <c r="U27">
        <v>0</v>
      </c>
      <c r="V27" t="s">
        <v>69</v>
      </c>
      <c r="W27">
        <v>30</v>
      </c>
      <c r="X27">
        <v>0</v>
      </c>
      <c r="Y27">
        <v>0</v>
      </c>
      <c r="Z27">
        <v>0</v>
      </c>
      <c r="AA27">
        <v>30</v>
      </c>
      <c r="AB27">
        <v>0</v>
      </c>
      <c r="AC27">
        <v>0</v>
      </c>
      <c r="AD27">
        <v>0</v>
      </c>
      <c r="AE27">
        <v>30</v>
      </c>
      <c r="AF27">
        <v>0</v>
      </c>
      <c r="AG27">
        <v>0</v>
      </c>
      <c r="AH27">
        <v>0</v>
      </c>
      <c r="AI27">
        <v>30</v>
      </c>
      <c r="AJ27">
        <v>0</v>
      </c>
      <c r="AK27">
        <v>0</v>
      </c>
      <c r="AL27">
        <v>0</v>
      </c>
      <c r="AM27">
        <v>30</v>
      </c>
      <c r="AN27">
        <v>0</v>
      </c>
      <c r="AO27">
        <v>0</v>
      </c>
      <c r="AP27">
        <v>0</v>
      </c>
      <c r="AQ27" t="s">
        <v>69</v>
      </c>
      <c r="AR27">
        <v>30</v>
      </c>
      <c r="AS27">
        <v>0</v>
      </c>
      <c r="AT27">
        <v>0</v>
      </c>
      <c r="AU27">
        <v>0</v>
      </c>
      <c r="AV27">
        <v>30</v>
      </c>
      <c r="AW27">
        <v>0</v>
      </c>
      <c r="AX27">
        <v>0</v>
      </c>
      <c r="AY27">
        <v>0</v>
      </c>
      <c r="AZ27">
        <v>30</v>
      </c>
      <c r="BA27">
        <v>0</v>
      </c>
      <c r="BB27">
        <v>0</v>
      </c>
      <c r="BC27">
        <v>0</v>
      </c>
      <c r="BD27">
        <v>30</v>
      </c>
      <c r="BE27">
        <v>0</v>
      </c>
      <c r="BF27">
        <v>0</v>
      </c>
      <c r="BG27">
        <v>0</v>
      </c>
      <c r="BH27">
        <v>30</v>
      </c>
      <c r="BI27">
        <v>0</v>
      </c>
      <c r="BJ27">
        <v>0</v>
      </c>
      <c r="BK27">
        <v>0</v>
      </c>
    </row>
    <row r="28" spans="1:63">
      <c r="A28" t="s">
        <v>71</v>
      </c>
      <c r="B28">
        <v>112</v>
      </c>
      <c r="C28">
        <v>0</v>
      </c>
      <c r="D28">
        <v>0</v>
      </c>
      <c r="E28">
        <v>0</v>
      </c>
      <c r="F28">
        <v>112</v>
      </c>
      <c r="G28">
        <v>0</v>
      </c>
      <c r="H28">
        <v>0</v>
      </c>
      <c r="I28">
        <v>0</v>
      </c>
      <c r="J28">
        <v>112</v>
      </c>
      <c r="K28">
        <v>0</v>
      </c>
      <c r="L28">
        <v>0</v>
      </c>
      <c r="M28">
        <v>0</v>
      </c>
      <c r="N28">
        <v>112</v>
      </c>
      <c r="O28">
        <v>0</v>
      </c>
      <c r="P28">
        <v>0</v>
      </c>
      <c r="Q28">
        <v>0</v>
      </c>
      <c r="R28">
        <v>112</v>
      </c>
      <c r="S28">
        <v>0</v>
      </c>
      <c r="T28">
        <v>0</v>
      </c>
      <c r="U28">
        <v>0</v>
      </c>
      <c r="V28" t="s">
        <v>71</v>
      </c>
      <c r="W28">
        <v>112</v>
      </c>
      <c r="X28">
        <v>0</v>
      </c>
      <c r="Y28">
        <v>0</v>
      </c>
      <c r="Z28">
        <v>0</v>
      </c>
      <c r="AA28">
        <v>112</v>
      </c>
      <c r="AB28">
        <v>0</v>
      </c>
      <c r="AC28">
        <v>0</v>
      </c>
      <c r="AD28">
        <v>0</v>
      </c>
      <c r="AE28">
        <v>112</v>
      </c>
      <c r="AF28">
        <v>0</v>
      </c>
      <c r="AG28">
        <v>0</v>
      </c>
      <c r="AH28">
        <v>0</v>
      </c>
      <c r="AI28">
        <v>112</v>
      </c>
      <c r="AJ28">
        <v>0</v>
      </c>
      <c r="AK28">
        <v>0</v>
      </c>
      <c r="AL28">
        <v>0</v>
      </c>
      <c r="AM28">
        <v>112</v>
      </c>
      <c r="AN28">
        <v>0</v>
      </c>
      <c r="AO28">
        <v>0</v>
      </c>
      <c r="AP28">
        <v>0</v>
      </c>
      <c r="AQ28" t="s">
        <v>71</v>
      </c>
      <c r="AR28">
        <v>112</v>
      </c>
      <c r="AS28">
        <v>0</v>
      </c>
      <c r="AT28">
        <v>0</v>
      </c>
      <c r="AU28">
        <v>0</v>
      </c>
      <c r="AV28">
        <v>112</v>
      </c>
      <c r="AW28">
        <v>0</v>
      </c>
      <c r="AX28">
        <v>0</v>
      </c>
      <c r="AY28">
        <v>0</v>
      </c>
      <c r="AZ28">
        <v>112</v>
      </c>
      <c r="BA28">
        <v>0</v>
      </c>
      <c r="BB28">
        <v>0</v>
      </c>
      <c r="BC28">
        <v>0</v>
      </c>
      <c r="BD28">
        <v>112</v>
      </c>
      <c r="BE28">
        <v>0</v>
      </c>
      <c r="BF28">
        <v>0</v>
      </c>
      <c r="BG28">
        <v>0</v>
      </c>
      <c r="BH28">
        <v>112</v>
      </c>
      <c r="BI28">
        <v>0</v>
      </c>
      <c r="BJ28">
        <v>0</v>
      </c>
      <c r="BK28">
        <v>0</v>
      </c>
    </row>
    <row r="29" spans="1:63">
      <c r="A29" t="s">
        <v>22</v>
      </c>
      <c r="B29">
        <v>44</v>
      </c>
      <c r="C29">
        <v>0</v>
      </c>
      <c r="D29">
        <v>0</v>
      </c>
      <c r="E29">
        <v>0</v>
      </c>
      <c r="F29">
        <v>44</v>
      </c>
      <c r="G29">
        <v>0</v>
      </c>
      <c r="H29">
        <v>0</v>
      </c>
      <c r="I29">
        <v>0</v>
      </c>
      <c r="J29">
        <v>44</v>
      </c>
      <c r="K29">
        <v>0</v>
      </c>
      <c r="L29">
        <v>0</v>
      </c>
      <c r="M29">
        <v>0</v>
      </c>
      <c r="N29">
        <v>44</v>
      </c>
      <c r="O29">
        <v>0</v>
      </c>
      <c r="P29">
        <v>0</v>
      </c>
      <c r="Q29">
        <v>0</v>
      </c>
      <c r="R29">
        <v>44</v>
      </c>
      <c r="S29">
        <v>0</v>
      </c>
      <c r="T29">
        <v>0</v>
      </c>
      <c r="U29">
        <v>0</v>
      </c>
      <c r="V29" t="s">
        <v>22</v>
      </c>
      <c r="W29">
        <v>44</v>
      </c>
      <c r="X29">
        <v>0</v>
      </c>
      <c r="Y29">
        <v>0</v>
      </c>
      <c r="Z29">
        <v>0</v>
      </c>
      <c r="AA29">
        <v>44</v>
      </c>
      <c r="AB29">
        <v>0</v>
      </c>
      <c r="AC29">
        <v>0</v>
      </c>
      <c r="AD29">
        <v>0</v>
      </c>
      <c r="AE29">
        <v>44</v>
      </c>
      <c r="AF29">
        <v>0</v>
      </c>
      <c r="AG29">
        <v>0</v>
      </c>
      <c r="AH29">
        <v>0</v>
      </c>
      <c r="AI29">
        <v>44</v>
      </c>
      <c r="AJ29">
        <v>0</v>
      </c>
      <c r="AK29">
        <v>0</v>
      </c>
      <c r="AL29">
        <v>0</v>
      </c>
      <c r="AM29">
        <v>44</v>
      </c>
      <c r="AN29">
        <v>0</v>
      </c>
      <c r="AO29">
        <v>0</v>
      </c>
      <c r="AP29">
        <v>0</v>
      </c>
      <c r="AQ29" t="s">
        <v>22</v>
      </c>
      <c r="AR29">
        <v>44</v>
      </c>
      <c r="AS29">
        <v>0</v>
      </c>
      <c r="AT29">
        <v>0</v>
      </c>
      <c r="AU29">
        <v>0</v>
      </c>
      <c r="AV29">
        <v>44</v>
      </c>
      <c r="AW29">
        <v>0</v>
      </c>
      <c r="AX29">
        <v>0</v>
      </c>
      <c r="AY29">
        <v>0</v>
      </c>
      <c r="AZ29">
        <v>44</v>
      </c>
      <c r="BA29">
        <v>0</v>
      </c>
      <c r="BB29">
        <v>0</v>
      </c>
      <c r="BC29">
        <v>0</v>
      </c>
      <c r="BD29">
        <v>44</v>
      </c>
      <c r="BE29">
        <v>0</v>
      </c>
      <c r="BF29">
        <v>0</v>
      </c>
      <c r="BG29">
        <v>0</v>
      </c>
      <c r="BH29">
        <v>44</v>
      </c>
      <c r="BI29">
        <v>0</v>
      </c>
      <c r="BJ29">
        <v>0</v>
      </c>
      <c r="BK29">
        <v>0</v>
      </c>
    </row>
    <row r="30" spans="1:63">
      <c r="A30" t="s">
        <v>94</v>
      </c>
      <c r="B30">
        <v>6</v>
      </c>
      <c r="C30">
        <v>0</v>
      </c>
      <c r="D30">
        <v>0</v>
      </c>
      <c r="E30">
        <v>0</v>
      </c>
      <c r="F30">
        <v>6</v>
      </c>
      <c r="G30">
        <v>0</v>
      </c>
      <c r="H30">
        <v>0</v>
      </c>
      <c r="I30">
        <v>0</v>
      </c>
      <c r="J30">
        <v>6</v>
      </c>
      <c r="K30">
        <v>0</v>
      </c>
      <c r="L30">
        <v>0</v>
      </c>
      <c r="M30">
        <v>0</v>
      </c>
      <c r="N30">
        <v>6</v>
      </c>
      <c r="O30">
        <v>0</v>
      </c>
      <c r="P30">
        <v>0</v>
      </c>
      <c r="Q30">
        <v>0</v>
      </c>
      <c r="R30">
        <v>6</v>
      </c>
      <c r="S30">
        <v>0</v>
      </c>
      <c r="T30">
        <v>0</v>
      </c>
      <c r="U30">
        <v>0</v>
      </c>
      <c r="V30" t="s">
        <v>94</v>
      </c>
      <c r="W30">
        <v>6</v>
      </c>
      <c r="X30">
        <v>0</v>
      </c>
      <c r="Y30">
        <v>0</v>
      </c>
      <c r="Z30">
        <v>0</v>
      </c>
      <c r="AA30">
        <v>6</v>
      </c>
      <c r="AB30">
        <v>0</v>
      </c>
      <c r="AC30">
        <v>0</v>
      </c>
      <c r="AD30">
        <v>0</v>
      </c>
      <c r="AE30">
        <v>6</v>
      </c>
      <c r="AF30">
        <v>0</v>
      </c>
      <c r="AG30">
        <v>0</v>
      </c>
      <c r="AH30">
        <v>0</v>
      </c>
      <c r="AI30">
        <v>6</v>
      </c>
      <c r="AJ30">
        <v>0</v>
      </c>
      <c r="AK30">
        <v>0</v>
      </c>
      <c r="AL30">
        <v>0</v>
      </c>
      <c r="AM30">
        <v>6</v>
      </c>
      <c r="AN30">
        <v>0</v>
      </c>
      <c r="AO30">
        <v>0</v>
      </c>
      <c r="AP30">
        <v>0</v>
      </c>
      <c r="AQ30" t="s">
        <v>94</v>
      </c>
      <c r="AR30">
        <v>6</v>
      </c>
      <c r="AS30">
        <v>0</v>
      </c>
      <c r="AT30">
        <v>0</v>
      </c>
      <c r="AU30">
        <v>0</v>
      </c>
      <c r="AV30">
        <v>6</v>
      </c>
      <c r="AW30">
        <v>0</v>
      </c>
      <c r="AX30">
        <v>0</v>
      </c>
      <c r="AY30">
        <v>0</v>
      </c>
      <c r="AZ30">
        <v>6</v>
      </c>
      <c r="BA30">
        <v>0</v>
      </c>
      <c r="BB30">
        <v>0</v>
      </c>
      <c r="BC30">
        <v>0</v>
      </c>
      <c r="BD30">
        <v>6</v>
      </c>
      <c r="BE30">
        <v>0</v>
      </c>
      <c r="BF30">
        <v>0</v>
      </c>
      <c r="BG30">
        <v>0</v>
      </c>
      <c r="BH30">
        <v>6</v>
      </c>
      <c r="BI30">
        <v>0</v>
      </c>
      <c r="BJ30">
        <v>0</v>
      </c>
      <c r="BK30">
        <v>0</v>
      </c>
    </row>
    <row r="31" spans="1:63">
      <c r="A31" t="s">
        <v>20</v>
      </c>
      <c r="B31">
        <v>112</v>
      </c>
      <c r="C31">
        <v>0</v>
      </c>
      <c r="D31">
        <v>0</v>
      </c>
      <c r="E31">
        <v>0</v>
      </c>
      <c r="F31">
        <v>112</v>
      </c>
      <c r="G31">
        <v>0</v>
      </c>
      <c r="H31">
        <v>0</v>
      </c>
      <c r="I31">
        <v>0</v>
      </c>
      <c r="J31">
        <v>112</v>
      </c>
      <c r="K31">
        <v>0</v>
      </c>
      <c r="L31">
        <v>0</v>
      </c>
      <c r="M31">
        <v>0</v>
      </c>
      <c r="N31">
        <v>112</v>
      </c>
      <c r="O31">
        <v>0</v>
      </c>
      <c r="P31">
        <v>0</v>
      </c>
      <c r="Q31">
        <v>0</v>
      </c>
      <c r="R31">
        <v>112</v>
      </c>
      <c r="S31">
        <v>0</v>
      </c>
      <c r="T31">
        <v>0</v>
      </c>
      <c r="U31">
        <v>0</v>
      </c>
      <c r="V31" t="s">
        <v>20</v>
      </c>
      <c r="W31">
        <v>112</v>
      </c>
      <c r="X31">
        <v>0</v>
      </c>
      <c r="Y31">
        <v>0</v>
      </c>
      <c r="Z31">
        <v>0</v>
      </c>
      <c r="AA31">
        <v>112</v>
      </c>
      <c r="AB31">
        <v>0</v>
      </c>
      <c r="AC31">
        <v>0</v>
      </c>
      <c r="AD31">
        <v>0</v>
      </c>
      <c r="AE31">
        <v>112</v>
      </c>
      <c r="AF31">
        <v>0</v>
      </c>
      <c r="AG31">
        <v>0</v>
      </c>
      <c r="AH31">
        <v>0</v>
      </c>
      <c r="AI31">
        <v>112</v>
      </c>
      <c r="AJ31">
        <v>0</v>
      </c>
      <c r="AK31">
        <v>0</v>
      </c>
      <c r="AL31">
        <v>0</v>
      </c>
      <c r="AM31">
        <v>112</v>
      </c>
      <c r="AN31">
        <v>0</v>
      </c>
      <c r="AO31">
        <v>0</v>
      </c>
      <c r="AP31">
        <v>0</v>
      </c>
      <c r="AQ31" t="s">
        <v>20</v>
      </c>
      <c r="AR31">
        <v>112</v>
      </c>
      <c r="AS31">
        <v>0</v>
      </c>
      <c r="AT31">
        <v>0</v>
      </c>
      <c r="AU31">
        <v>0</v>
      </c>
      <c r="AV31">
        <v>112</v>
      </c>
      <c r="AW31">
        <v>0</v>
      </c>
      <c r="AX31">
        <v>0</v>
      </c>
      <c r="AY31">
        <v>0</v>
      </c>
      <c r="AZ31">
        <v>112</v>
      </c>
      <c r="BA31">
        <v>0</v>
      </c>
      <c r="BB31">
        <v>0</v>
      </c>
      <c r="BC31">
        <v>0</v>
      </c>
      <c r="BD31">
        <v>112</v>
      </c>
      <c r="BE31">
        <v>0</v>
      </c>
      <c r="BF31">
        <v>0</v>
      </c>
      <c r="BG31">
        <v>0</v>
      </c>
      <c r="BH31">
        <v>112</v>
      </c>
      <c r="BI31">
        <v>0</v>
      </c>
      <c r="BJ31">
        <v>0</v>
      </c>
      <c r="BK31">
        <v>0</v>
      </c>
    </row>
    <row r="32" spans="1:63">
      <c r="A32" t="s">
        <v>24</v>
      </c>
      <c r="B32">
        <v>43</v>
      </c>
      <c r="C32">
        <v>0</v>
      </c>
      <c r="D32">
        <v>0</v>
      </c>
      <c r="E32">
        <v>0</v>
      </c>
      <c r="F32">
        <v>43</v>
      </c>
      <c r="G32">
        <v>0</v>
      </c>
      <c r="H32">
        <v>0</v>
      </c>
      <c r="I32">
        <v>0</v>
      </c>
      <c r="J32">
        <v>43</v>
      </c>
      <c r="K32">
        <v>0</v>
      </c>
      <c r="L32">
        <v>0</v>
      </c>
      <c r="M32">
        <v>0</v>
      </c>
      <c r="N32">
        <v>43</v>
      </c>
      <c r="O32">
        <v>0</v>
      </c>
      <c r="P32">
        <v>0</v>
      </c>
      <c r="Q32">
        <v>0</v>
      </c>
      <c r="R32">
        <v>43</v>
      </c>
      <c r="S32">
        <v>0</v>
      </c>
      <c r="T32">
        <v>0</v>
      </c>
      <c r="U32">
        <v>0</v>
      </c>
      <c r="V32" t="s">
        <v>24</v>
      </c>
      <c r="W32">
        <v>43</v>
      </c>
      <c r="X32">
        <v>0</v>
      </c>
      <c r="Y32">
        <v>0</v>
      </c>
      <c r="Z32">
        <v>0</v>
      </c>
      <c r="AA32">
        <v>43</v>
      </c>
      <c r="AB32">
        <v>0</v>
      </c>
      <c r="AC32">
        <v>0</v>
      </c>
      <c r="AD32">
        <v>0</v>
      </c>
      <c r="AE32">
        <v>43</v>
      </c>
      <c r="AF32">
        <v>0</v>
      </c>
      <c r="AG32">
        <v>0</v>
      </c>
      <c r="AH32">
        <v>0</v>
      </c>
      <c r="AI32">
        <v>43</v>
      </c>
      <c r="AJ32">
        <v>0</v>
      </c>
      <c r="AK32">
        <v>0</v>
      </c>
      <c r="AL32">
        <v>0</v>
      </c>
      <c r="AM32">
        <v>43</v>
      </c>
      <c r="AN32">
        <v>0</v>
      </c>
      <c r="AO32">
        <v>0</v>
      </c>
      <c r="AP32">
        <v>0</v>
      </c>
      <c r="AQ32" t="s">
        <v>24</v>
      </c>
      <c r="AR32">
        <v>43</v>
      </c>
      <c r="AS32">
        <v>0</v>
      </c>
      <c r="AT32">
        <v>0</v>
      </c>
      <c r="AU32">
        <v>0</v>
      </c>
      <c r="AV32">
        <v>43</v>
      </c>
      <c r="AW32">
        <v>0</v>
      </c>
      <c r="AX32">
        <v>0</v>
      </c>
      <c r="AY32">
        <v>0</v>
      </c>
      <c r="AZ32">
        <v>43</v>
      </c>
      <c r="BA32">
        <v>0</v>
      </c>
      <c r="BB32">
        <v>0</v>
      </c>
      <c r="BC32">
        <v>0</v>
      </c>
      <c r="BD32">
        <v>43</v>
      </c>
      <c r="BE32">
        <v>0</v>
      </c>
      <c r="BF32">
        <v>0</v>
      </c>
      <c r="BG32">
        <v>0</v>
      </c>
      <c r="BH32">
        <v>43</v>
      </c>
      <c r="BI32">
        <v>0</v>
      </c>
      <c r="BJ32">
        <v>0</v>
      </c>
      <c r="BK32">
        <v>0</v>
      </c>
    </row>
    <row r="33" spans="1:63">
      <c r="A33" t="s">
        <v>26</v>
      </c>
      <c r="B33">
        <v>4</v>
      </c>
      <c r="C33">
        <v>0</v>
      </c>
      <c r="D33">
        <v>0</v>
      </c>
      <c r="E33">
        <v>0</v>
      </c>
      <c r="F33">
        <v>4</v>
      </c>
      <c r="G33">
        <v>0</v>
      </c>
      <c r="H33">
        <v>0</v>
      </c>
      <c r="I33">
        <v>0</v>
      </c>
      <c r="J33">
        <v>4</v>
      </c>
      <c r="K33">
        <v>0</v>
      </c>
      <c r="L33">
        <v>0</v>
      </c>
      <c r="M33">
        <v>0</v>
      </c>
      <c r="N33">
        <v>4</v>
      </c>
      <c r="O33">
        <v>0</v>
      </c>
      <c r="P33">
        <v>0</v>
      </c>
      <c r="Q33">
        <v>0</v>
      </c>
      <c r="R33">
        <v>4</v>
      </c>
      <c r="S33">
        <v>0</v>
      </c>
      <c r="T33">
        <v>0</v>
      </c>
      <c r="U33">
        <v>0</v>
      </c>
      <c r="V33" t="s">
        <v>26</v>
      </c>
      <c r="W33">
        <v>4</v>
      </c>
      <c r="X33">
        <v>0</v>
      </c>
      <c r="Y33">
        <v>0</v>
      </c>
      <c r="Z33">
        <v>0</v>
      </c>
      <c r="AA33">
        <v>4</v>
      </c>
      <c r="AB33">
        <v>0</v>
      </c>
      <c r="AC33">
        <v>0</v>
      </c>
      <c r="AD33">
        <v>0</v>
      </c>
      <c r="AE33">
        <v>4</v>
      </c>
      <c r="AF33">
        <v>0</v>
      </c>
      <c r="AG33">
        <v>0</v>
      </c>
      <c r="AH33">
        <v>0</v>
      </c>
      <c r="AI33">
        <v>4</v>
      </c>
      <c r="AJ33">
        <v>0</v>
      </c>
      <c r="AK33">
        <v>0</v>
      </c>
      <c r="AL33">
        <v>0</v>
      </c>
      <c r="AM33">
        <v>4</v>
      </c>
      <c r="AN33">
        <v>0</v>
      </c>
      <c r="AO33">
        <v>0</v>
      </c>
      <c r="AP33">
        <v>0</v>
      </c>
      <c r="AQ33" t="s">
        <v>26</v>
      </c>
      <c r="AR33">
        <v>4</v>
      </c>
      <c r="AS33">
        <v>0</v>
      </c>
      <c r="AT33">
        <v>0</v>
      </c>
      <c r="AU33">
        <v>0</v>
      </c>
      <c r="AV33">
        <v>4</v>
      </c>
      <c r="AW33">
        <v>0</v>
      </c>
      <c r="AX33">
        <v>0</v>
      </c>
      <c r="AY33">
        <v>0</v>
      </c>
      <c r="AZ33">
        <v>4</v>
      </c>
      <c r="BA33">
        <v>0</v>
      </c>
      <c r="BB33">
        <v>0</v>
      </c>
      <c r="BC33">
        <v>0</v>
      </c>
      <c r="BD33">
        <v>4</v>
      </c>
      <c r="BE33">
        <v>0</v>
      </c>
      <c r="BF33">
        <v>0</v>
      </c>
      <c r="BG33">
        <v>0</v>
      </c>
      <c r="BH33">
        <v>4</v>
      </c>
      <c r="BI33">
        <v>0</v>
      </c>
      <c r="BJ33">
        <v>0</v>
      </c>
      <c r="BK33">
        <v>0</v>
      </c>
    </row>
    <row r="34" spans="1:63">
      <c r="A34" t="s">
        <v>104</v>
      </c>
      <c r="B34">
        <v>7</v>
      </c>
      <c r="C34">
        <v>0</v>
      </c>
      <c r="D34">
        <v>0</v>
      </c>
      <c r="E34">
        <v>0</v>
      </c>
      <c r="F34">
        <v>7</v>
      </c>
      <c r="G34">
        <v>0</v>
      </c>
      <c r="H34">
        <v>0</v>
      </c>
      <c r="I34">
        <v>0</v>
      </c>
      <c r="J34">
        <v>7</v>
      </c>
      <c r="K34">
        <v>0</v>
      </c>
      <c r="L34">
        <v>0</v>
      </c>
      <c r="M34">
        <v>0</v>
      </c>
      <c r="N34">
        <v>7</v>
      </c>
      <c r="O34">
        <v>0</v>
      </c>
      <c r="P34">
        <v>0</v>
      </c>
      <c r="Q34">
        <v>0</v>
      </c>
      <c r="R34">
        <v>7</v>
      </c>
      <c r="S34">
        <v>0</v>
      </c>
      <c r="T34">
        <v>0</v>
      </c>
      <c r="U34">
        <v>0</v>
      </c>
      <c r="V34" t="s">
        <v>104</v>
      </c>
      <c r="W34">
        <v>7</v>
      </c>
      <c r="X34">
        <v>0</v>
      </c>
      <c r="Y34">
        <v>0</v>
      </c>
      <c r="Z34">
        <v>0</v>
      </c>
      <c r="AA34">
        <v>7</v>
      </c>
      <c r="AB34">
        <v>0</v>
      </c>
      <c r="AC34">
        <v>0</v>
      </c>
      <c r="AD34">
        <v>0</v>
      </c>
      <c r="AE34">
        <v>7</v>
      </c>
      <c r="AF34">
        <v>0</v>
      </c>
      <c r="AG34">
        <v>0</v>
      </c>
      <c r="AH34">
        <v>0</v>
      </c>
      <c r="AI34">
        <v>7</v>
      </c>
      <c r="AJ34">
        <v>0</v>
      </c>
      <c r="AK34">
        <v>0</v>
      </c>
      <c r="AL34">
        <v>0</v>
      </c>
      <c r="AM34">
        <v>7</v>
      </c>
      <c r="AN34">
        <v>0</v>
      </c>
      <c r="AO34">
        <v>0</v>
      </c>
      <c r="AP34">
        <v>0</v>
      </c>
      <c r="AQ34" t="s">
        <v>104</v>
      </c>
      <c r="AR34">
        <v>7</v>
      </c>
      <c r="AS34">
        <v>0</v>
      </c>
      <c r="AT34">
        <v>0</v>
      </c>
      <c r="AU34">
        <v>0</v>
      </c>
      <c r="AV34">
        <v>7</v>
      </c>
      <c r="AW34">
        <v>0</v>
      </c>
      <c r="AX34">
        <v>0</v>
      </c>
      <c r="AY34">
        <v>0</v>
      </c>
      <c r="AZ34">
        <v>7</v>
      </c>
      <c r="BA34">
        <v>0</v>
      </c>
      <c r="BB34">
        <v>0</v>
      </c>
      <c r="BC34">
        <v>0</v>
      </c>
      <c r="BD34">
        <v>7</v>
      </c>
      <c r="BE34">
        <v>0</v>
      </c>
      <c r="BF34">
        <v>0</v>
      </c>
      <c r="BG34">
        <v>0</v>
      </c>
      <c r="BH34">
        <v>7</v>
      </c>
      <c r="BI34">
        <v>0</v>
      </c>
      <c r="BJ34">
        <v>0</v>
      </c>
      <c r="BK34">
        <v>0</v>
      </c>
    </row>
    <row r="35" spans="1:63">
      <c r="A35" t="s">
        <v>16</v>
      </c>
      <c r="B35">
        <v>88</v>
      </c>
      <c r="C35">
        <v>0</v>
      </c>
      <c r="D35">
        <v>0</v>
      </c>
      <c r="E35">
        <v>0</v>
      </c>
      <c r="F35">
        <v>88</v>
      </c>
      <c r="G35">
        <v>0</v>
      </c>
      <c r="H35">
        <v>0</v>
      </c>
      <c r="I35">
        <v>0</v>
      </c>
      <c r="J35">
        <v>88</v>
      </c>
      <c r="K35">
        <v>0</v>
      </c>
      <c r="L35">
        <v>0</v>
      </c>
      <c r="M35">
        <v>0</v>
      </c>
      <c r="N35">
        <v>88</v>
      </c>
      <c r="O35">
        <v>0</v>
      </c>
      <c r="P35">
        <v>0</v>
      </c>
      <c r="Q35">
        <v>0</v>
      </c>
      <c r="R35">
        <v>88</v>
      </c>
      <c r="S35">
        <v>0</v>
      </c>
      <c r="T35">
        <v>0</v>
      </c>
      <c r="U35">
        <v>0</v>
      </c>
      <c r="V35" t="s">
        <v>16</v>
      </c>
      <c r="W35">
        <v>88</v>
      </c>
      <c r="X35">
        <v>0</v>
      </c>
      <c r="Y35">
        <v>0</v>
      </c>
      <c r="Z35">
        <v>0</v>
      </c>
      <c r="AA35">
        <v>88</v>
      </c>
      <c r="AB35">
        <v>0</v>
      </c>
      <c r="AC35">
        <v>0</v>
      </c>
      <c r="AD35">
        <v>0</v>
      </c>
      <c r="AE35">
        <v>88</v>
      </c>
      <c r="AF35">
        <v>0</v>
      </c>
      <c r="AG35">
        <v>0</v>
      </c>
      <c r="AH35">
        <v>0</v>
      </c>
      <c r="AI35">
        <v>88</v>
      </c>
      <c r="AJ35">
        <v>0</v>
      </c>
      <c r="AK35">
        <v>0</v>
      </c>
      <c r="AL35">
        <v>0</v>
      </c>
      <c r="AM35">
        <v>88</v>
      </c>
      <c r="AN35">
        <v>0</v>
      </c>
      <c r="AO35">
        <v>0</v>
      </c>
      <c r="AP35">
        <v>0</v>
      </c>
      <c r="AQ35" t="s">
        <v>16</v>
      </c>
      <c r="AR35">
        <v>88</v>
      </c>
      <c r="AS35">
        <v>0</v>
      </c>
      <c r="AT35">
        <v>0</v>
      </c>
      <c r="AU35">
        <v>0</v>
      </c>
      <c r="AV35">
        <v>88</v>
      </c>
      <c r="AW35">
        <v>0</v>
      </c>
      <c r="AX35">
        <v>0</v>
      </c>
      <c r="AY35">
        <v>0</v>
      </c>
      <c r="AZ35">
        <v>88</v>
      </c>
      <c r="BA35">
        <v>0</v>
      </c>
      <c r="BB35">
        <v>0</v>
      </c>
      <c r="BC35">
        <v>0</v>
      </c>
      <c r="BD35">
        <v>88</v>
      </c>
      <c r="BE35">
        <v>0</v>
      </c>
      <c r="BF35">
        <v>0</v>
      </c>
      <c r="BG35">
        <v>0</v>
      </c>
      <c r="BH35">
        <v>88</v>
      </c>
      <c r="BI35">
        <v>0</v>
      </c>
      <c r="BJ35">
        <v>0</v>
      </c>
      <c r="BK35">
        <v>0</v>
      </c>
    </row>
    <row r="36" spans="1:63">
      <c r="A36" t="s">
        <v>91</v>
      </c>
      <c r="B36">
        <v>65</v>
      </c>
      <c r="C36">
        <v>6</v>
      </c>
      <c r="D36">
        <v>0</v>
      </c>
      <c r="E36">
        <v>0</v>
      </c>
      <c r="F36">
        <v>65</v>
      </c>
      <c r="G36">
        <v>6</v>
      </c>
      <c r="H36">
        <v>0</v>
      </c>
      <c r="I36">
        <v>0</v>
      </c>
      <c r="J36">
        <v>71</v>
      </c>
      <c r="K36">
        <v>0</v>
      </c>
      <c r="L36">
        <v>0</v>
      </c>
      <c r="M36">
        <v>0</v>
      </c>
      <c r="N36">
        <v>65</v>
      </c>
      <c r="O36">
        <v>0</v>
      </c>
      <c r="P36">
        <v>6</v>
      </c>
      <c r="Q36">
        <v>0</v>
      </c>
      <c r="R36">
        <v>71</v>
      </c>
      <c r="S36">
        <v>0</v>
      </c>
      <c r="T36">
        <v>0</v>
      </c>
      <c r="U36">
        <v>0</v>
      </c>
      <c r="V36" t="s">
        <v>91</v>
      </c>
      <c r="W36">
        <v>65</v>
      </c>
      <c r="X36">
        <v>6</v>
      </c>
      <c r="Y36">
        <v>0</v>
      </c>
      <c r="Z36">
        <v>0</v>
      </c>
      <c r="AA36">
        <v>65</v>
      </c>
      <c r="AB36">
        <v>6</v>
      </c>
      <c r="AC36">
        <v>0</v>
      </c>
      <c r="AD36">
        <v>0</v>
      </c>
      <c r="AE36">
        <v>71</v>
      </c>
      <c r="AF36">
        <v>0</v>
      </c>
      <c r="AG36">
        <v>0</v>
      </c>
      <c r="AH36">
        <v>0</v>
      </c>
      <c r="AI36">
        <v>65</v>
      </c>
      <c r="AJ36">
        <v>0</v>
      </c>
      <c r="AK36">
        <v>6</v>
      </c>
      <c r="AL36">
        <v>0</v>
      </c>
      <c r="AM36">
        <v>71</v>
      </c>
      <c r="AN36">
        <v>0</v>
      </c>
      <c r="AO36">
        <v>0</v>
      </c>
      <c r="AP36">
        <v>0</v>
      </c>
      <c r="AQ36" t="s">
        <v>91</v>
      </c>
      <c r="AR36">
        <v>65</v>
      </c>
      <c r="AS36">
        <v>6</v>
      </c>
      <c r="AT36">
        <v>0</v>
      </c>
      <c r="AU36">
        <v>0</v>
      </c>
      <c r="AV36">
        <v>65</v>
      </c>
      <c r="AW36">
        <v>6</v>
      </c>
      <c r="AX36">
        <v>0</v>
      </c>
      <c r="AY36">
        <v>0</v>
      </c>
      <c r="AZ36">
        <v>71</v>
      </c>
      <c r="BA36">
        <v>0</v>
      </c>
      <c r="BB36">
        <v>0</v>
      </c>
      <c r="BC36">
        <v>0</v>
      </c>
      <c r="BD36">
        <v>65</v>
      </c>
      <c r="BE36">
        <v>0</v>
      </c>
      <c r="BF36">
        <v>6</v>
      </c>
      <c r="BG36">
        <v>0</v>
      </c>
      <c r="BH36">
        <v>71</v>
      </c>
      <c r="BI36">
        <v>0</v>
      </c>
      <c r="BJ36">
        <v>0</v>
      </c>
      <c r="BK36">
        <v>0</v>
      </c>
    </row>
    <row r="37" spans="1:63">
      <c r="A37" t="s">
        <v>64</v>
      </c>
      <c r="B37">
        <v>336</v>
      </c>
      <c r="C37">
        <v>0</v>
      </c>
      <c r="D37">
        <v>0</v>
      </c>
      <c r="E37">
        <v>0</v>
      </c>
      <c r="F37">
        <v>336</v>
      </c>
      <c r="G37">
        <v>0</v>
      </c>
      <c r="H37">
        <v>0</v>
      </c>
      <c r="I37">
        <v>0</v>
      </c>
      <c r="J37">
        <v>336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336</v>
      </c>
      <c r="S37">
        <v>0</v>
      </c>
      <c r="T37">
        <v>0</v>
      </c>
      <c r="U37">
        <v>0</v>
      </c>
      <c r="V37" t="s">
        <v>64</v>
      </c>
      <c r="W37">
        <v>336</v>
      </c>
      <c r="X37">
        <v>0</v>
      </c>
      <c r="Y37">
        <v>0</v>
      </c>
      <c r="Z37">
        <v>0</v>
      </c>
      <c r="AA37">
        <v>336</v>
      </c>
      <c r="AB37">
        <v>0</v>
      </c>
      <c r="AC37">
        <v>0</v>
      </c>
      <c r="AD37">
        <v>0</v>
      </c>
      <c r="AE37">
        <v>336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336</v>
      </c>
      <c r="AN37">
        <v>0</v>
      </c>
      <c r="AO37">
        <v>0</v>
      </c>
      <c r="AP37">
        <v>0</v>
      </c>
      <c r="AQ37" t="s">
        <v>64</v>
      </c>
      <c r="AR37">
        <v>336</v>
      </c>
      <c r="AS37">
        <v>0</v>
      </c>
      <c r="AT37">
        <v>0</v>
      </c>
      <c r="AU37">
        <v>0</v>
      </c>
      <c r="AV37">
        <v>336</v>
      </c>
      <c r="AW37">
        <v>0</v>
      </c>
      <c r="AX37">
        <v>0</v>
      </c>
      <c r="AY37">
        <v>0</v>
      </c>
      <c r="AZ37">
        <v>336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336</v>
      </c>
      <c r="BI37">
        <v>0</v>
      </c>
      <c r="BJ37">
        <v>0</v>
      </c>
      <c r="BK37">
        <v>0</v>
      </c>
    </row>
    <row r="38" spans="1:63">
      <c r="A38" t="s">
        <v>25</v>
      </c>
      <c r="B38">
        <v>152</v>
      </c>
      <c r="C38">
        <v>2</v>
      </c>
      <c r="D38">
        <v>0</v>
      </c>
      <c r="E38">
        <v>0</v>
      </c>
      <c r="F38">
        <v>152</v>
      </c>
      <c r="G38">
        <v>2</v>
      </c>
      <c r="H38">
        <v>0</v>
      </c>
      <c r="I38">
        <v>0</v>
      </c>
      <c r="J38">
        <v>166</v>
      </c>
      <c r="K38">
        <v>1</v>
      </c>
      <c r="L38">
        <v>0</v>
      </c>
      <c r="M38">
        <v>0</v>
      </c>
      <c r="N38">
        <v>141</v>
      </c>
      <c r="O38">
        <v>0</v>
      </c>
      <c r="P38">
        <v>2</v>
      </c>
      <c r="Q38">
        <v>0</v>
      </c>
      <c r="R38">
        <v>154</v>
      </c>
      <c r="S38">
        <v>0</v>
      </c>
      <c r="T38">
        <v>0</v>
      </c>
      <c r="U38">
        <v>0</v>
      </c>
      <c r="V38" t="s">
        <v>25</v>
      </c>
      <c r="W38">
        <v>152</v>
      </c>
      <c r="X38">
        <v>2</v>
      </c>
      <c r="Y38">
        <v>0</v>
      </c>
      <c r="Z38">
        <v>0</v>
      </c>
      <c r="AA38">
        <v>152</v>
      </c>
      <c r="AB38">
        <v>2</v>
      </c>
      <c r="AC38">
        <v>0</v>
      </c>
      <c r="AD38">
        <v>0</v>
      </c>
      <c r="AE38">
        <v>166</v>
      </c>
      <c r="AF38">
        <v>1</v>
      </c>
      <c r="AG38">
        <v>0</v>
      </c>
      <c r="AH38">
        <v>0</v>
      </c>
      <c r="AI38">
        <v>141</v>
      </c>
      <c r="AJ38">
        <v>0</v>
      </c>
      <c r="AK38">
        <v>2</v>
      </c>
      <c r="AL38">
        <v>0</v>
      </c>
      <c r="AM38">
        <v>154</v>
      </c>
      <c r="AN38">
        <v>0</v>
      </c>
      <c r="AO38">
        <v>0</v>
      </c>
      <c r="AP38">
        <v>0</v>
      </c>
      <c r="AQ38" t="s">
        <v>25</v>
      </c>
      <c r="AR38">
        <v>152</v>
      </c>
      <c r="AS38">
        <v>2</v>
      </c>
      <c r="AT38">
        <v>0</v>
      </c>
      <c r="AU38">
        <v>0</v>
      </c>
      <c r="AV38">
        <v>152</v>
      </c>
      <c r="AW38">
        <v>2</v>
      </c>
      <c r="AX38">
        <v>0</v>
      </c>
      <c r="AY38">
        <v>0</v>
      </c>
      <c r="AZ38">
        <v>167</v>
      </c>
      <c r="BA38">
        <v>0</v>
      </c>
      <c r="BB38">
        <v>0</v>
      </c>
      <c r="BC38">
        <v>0</v>
      </c>
      <c r="BD38">
        <v>141</v>
      </c>
      <c r="BE38">
        <v>0</v>
      </c>
      <c r="BF38">
        <v>2</v>
      </c>
      <c r="BG38">
        <v>0</v>
      </c>
      <c r="BH38">
        <v>154</v>
      </c>
      <c r="BI38">
        <v>0</v>
      </c>
      <c r="BJ38">
        <v>0</v>
      </c>
      <c r="BK38">
        <v>0</v>
      </c>
    </row>
    <row r="39" spans="1:63">
      <c r="A39" t="s">
        <v>36</v>
      </c>
      <c r="B39">
        <v>102</v>
      </c>
      <c r="C39">
        <v>15</v>
      </c>
      <c r="D39">
        <v>0</v>
      </c>
      <c r="E39">
        <v>0</v>
      </c>
      <c r="F39">
        <v>102</v>
      </c>
      <c r="G39">
        <v>15</v>
      </c>
      <c r="H39">
        <v>0</v>
      </c>
      <c r="I39">
        <v>0</v>
      </c>
      <c r="J39">
        <v>121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117</v>
      </c>
      <c r="S39">
        <v>0</v>
      </c>
      <c r="T39">
        <v>0</v>
      </c>
      <c r="U39">
        <v>0</v>
      </c>
      <c r="V39" t="s">
        <v>36</v>
      </c>
      <c r="W39">
        <v>102</v>
      </c>
      <c r="X39">
        <v>15</v>
      </c>
      <c r="Y39">
        <v>0</v>
      </c>
      <c r="Z39">
        <v>0</v>
      </c>
      <c r="AA39">
        <v>102</v>
      </c>
      <c r="AB39">
        <v>15</v>
      </c>
      <c r="AC39">
        <v>0</v>
      </c>
      <c r="AD39">
        <v>0</v>
      </c>
      <c r="AE39">
        <v>121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117</v>
      </c>
      <c r="AN39">
        <v>0</v>
      </c>
      <c r="AO39">
        <v>0</v>
      </c>
      <c r="AP39">
        <v>0</v>
      </c>
      <c r="AQ39" t="s">
        <v>36</v>
      </c>
      <c r="AR39">
        <v>102</v>
      </c>
      <c r="AS39">
        <v>15</v>
      </c>
      <c r="AT39">
        <v>0</v>
      </c>
      <c r="AU39">
        <v>0</v>
      </c>
      <c r="AV39">
        <v>102</v>
      </c>
      <c r="AW39">
        <v>15</v>
      </c>
      <c r="AX39">
        <v>0</v>
      </c>
      <c r="AY39">
        <v>0</v>
      </c>
      <c r="AZ39">
        <v>121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117</v>
      </c>
      <c r="BI39">
        <v>0</v>
      </c>
      <c r="BJ39">
        <v>0</v>
      </c>
      <c r="BK39">
        <v>0</v>
      </c>
    </row>
    <row r="40" spans="1:63">
      <c r="A40" t="s">
        <v>100</v>
      </c>
      <c r="B40">
        <v>142</v>
      </c>
      <c r="C40">
        <v>32</v>
      </c>
      <c r="D40">
        <v>0</v>
      </c>
      <c r="E40">
        <v>0</v>
      </c>
      <c r="F40">
        <v>142</v>
      </c>
      <c r="G40">
        <v>32</v>
      </c>
      <c r="H40">
        <v>0</v>
      </c>
      <c r="I40">
        <v>0</v>
      </c>
      <c r="J40">
        <v>150</v>
      </c>
      <c r="K40">
        <v>24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174</v>
      </c>
      <c r="S40">
        <v>0</v>
      </c>
      <c r="T40">
        <v>0</v>
      </c>
      <c r="U40">
        <v>0</v>
      </c>
      <c r="V40" t="s">
        <v>100</v>
      </c>
      <c r="W40">
        <v>142</v>
      </c>
      <c r="X40">
        <v>32</v>
      </c>
      <c r="Y40">
        <v>0</v>
      </c>
      <c r="Z40">
        <v>0</v>
      </c>
      <c r="AA40">
        <v>142</v>
      </c>
      <c r="AB40">
        <v>32</v>
      </c>
      <c r="AC40">
        <v>0</v>
      </c>
      <c r="AD40">
        <v>0</v>
      </c>
      <c r="AE40">
        <v>150</v>
      </c>
      <c r="AF40">
        <v>24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174</v>
      </c>
      <c r="AN40">
        <v>0</v>
      </c>
      <c r="AO40">
        <v>0</v>
      </c>
      <c r="AP40">
        <v>0</v>
      </c>
      <c r="AQ40" t="s">
        <v>100</v>
      </c>
      <c r="AR40">
        <v>142</v>
      </c>
      <c r="AS40">
        <v>32</v>
      </c>
      <c r="AT40">
        <v>0</v>
      </c>
      <c r="AU40">
        <v>0</v>
      </c>
      <c r="AV40">
        <v>142</v>
      </c>
      <c r="AW40">
        <v>32</v>
      </c>
      <c r="AX40">
        <v>0</v>
      </c>
      <c r="AY40">
        <v>0</v>
      </c>
      <c r="AZ40">
        <v>174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174</v>
      </c>
      <c r="BI40">
        <v>0</v>
      </c>
      <c r="BJ40">
        <v>0</v>
      </c>
      <c r="BK40">
        <v>0</v>
      </c>
    </row>
    <row r="41" spans="1:63">
      <c r="A41" t="s">
        <v>66</v>
      </c>
      <c r="B41">
        <v>129</v>
      </c>
      <c r="C41">
        <v>14</v>
      </c>
      <c r="D41">
        <v>0</v>
      </c>
      <c r="E41">
        <v>0</v>
      </c>
      <c r="F41">
        <v>129</v>
      </c>
      <c r="G41">
        <v>14</v>
      </c>
      <c r="H41">
        <v>0</v>
      </c>
      <c r="I41">
        <v>0</v>
      </c>
      <c r="J41">
        <v>147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142</v>
      </c>
      <c r="S41">
        <v>1</v>
      </c>
      <c r="T41">
        <v>0</v>
      </c>
      <c r="U41">
        <v>0</v>
      </c>
      <c r="V41" t="s">
        <v>66</v>
      </c>
      <c r="W41">
        <v>129</v>
      </c>
      <c r="X41">
        <v>14</v>
      </c>
      <c r="Y41">
        <v>0</v>
      </c>
      <c r="Z41">
        <v>0</v>
      </c>
      <c r="AA41">
        <v>129</v>
      </c>
      <c r="AB41">
        <v>14</v>
      </c>
      <c r="AC41">
        <v>0</v>
      </c>
      <c r="AD41">
        <v>0</v>
      </c>
      <c r="AE41">
        <v>147</v>
      </c>
      <c r="AF41">
        <v>1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142</v>
      </c>
      <c r="AN41">
        <v>1</v>
      </c>
      <c r="AO41">
        <v>0</v>
      </c>
      <c r="AP41">
        <v>0</v>
      </c>
      <c r="AQ41" t="s">
        <v>66</v>
      </c>
      <c r="AR41">
        <v>129</v>
      </c>
      <c r="AS41">
        <v>14</v>
      </c>
      <c r="AT41">
        <v>0</v>
      </c>
      <c r="AU41">
        <v>0</v>
      </c>
      <c r="AV41">
        <v>129</v>
      </c>
      <c r="AW41">
        <v>14</v>
      </c>
      <c r="AX41">
        <v>0</v>
      </c>
      <c r="AY41">
        <v>0</v>
      </c>
      <c r="AZ41">
        <v>148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143</v>
      </c>
      <c r="BI41">
        <v>0</v>
      </c>
      <c r="BJ41">
        <v>0</v>
      </c>
      <c r="BK41">
        <v>0</v>
      </c>
    </row>
    <row r="42" spans="1:63">
      <c r="A42" t="s">
        <v>60</v>
      </c>
      <c r="B42">
        <v>116</v>
      </c>
      <c r="C42">
        <v>13</v>
      </c>
      <c r="D42">
        <v>0</v>
      </c>
      <c r="E42">
        <v>0</v>
      </c>
      <c r="F42">
        <v>116</v>
      </c>
      <c r="G42">
        <v>13</v>
      </c>
      <c r="H42">
        <v>0</v>
      </c>
      <c r="I42">
        <v>0</v>
      </c>
      <c r="J42">
        <v>129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129</v>
      </c>
      <c r="S42">
        <v>0</v>
      </c>
      <c r="T42">
        <v>0</v>
      </c>
      <c r="U42">
        <v>0</v>
      </c>
      <c r="V42" t="s">
        <v>60</v>
      </c>
      <c r="W42">
        <v>116</v>
      </c>
      <c r="X42">
        <v>13</v>
      </c>
      <c r="Y42">
        <v>0</v>
      </c>
      <c r="Z42">
        <v>0</v>
      </c>
      <c r="AA42">
        <v>116</v>
      </c>
      <c r="AB42">
        <v>13</v>
      </c>
      <c r="AC42">
        <v>0</v>
      </c>
      <c r="AD42">
        <v>0</v>
      </c>
      <c r="AE42">
        <v>129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129</v>
      </c>
      <c r="AN42">
        <v>0</v>
      </c>
      <c r="AO42">
        <v>0</v>
      </c>
      <c r="AP42">
        <v>0</v>
      </c>
      <c r="AQ42" t="s">
        <v>60</v>
      </c>
      <c r="AR42">
        <v>116</v>
      </c>
      <c r="AS42">
        <v>13</v>
      </c>
      <c r="AT42">
        <v>0</v>
      </c>
      <c r="AU42">
        <v>0</v>
      </c>
      <c r="AV42">
        <v>116</v>
      </c>
      <c r="AW42">
        <v>13</v>
      </c>
      <c r="AX42">
        <v>0</v>
      </c>
      <c r="AY42">
        <v>0</v>
      </c>
      <c r="AZ42">
        <v>129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129</v>
      </c>
      <c r="BI42">
        <v>0</v>
      </c>
      <c r="BJ42">
        <v>0</v>
      </c>
      <c r="BK42">
        <v>0</v>
      </c>
    </row>
    <row r="43" spans="1:63">
      <c r="A43" t="s">
        <v>12</v>
      </c>
      <c r="B43">
        <v>43</v>
      </c>
      <c r="C43">
        <v>0</v>
      </c>
      <c r="D43">
        <v>0</v>
      </c>
      <c r="E43">
        <v>0</v>
      </c>
      <c r="F43">
        <v>43</v>
      </c>
      <c r="G43">
        <v>0</v>
      </c>
      <c r="H43">
        <v>0</v>
      </c>
      <c r="I43">
        <v>0</v>
      </c>
      <c r="J43">
        <v>43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43</v>
      </c>
      <c r="S43">
        <v>0</v>
      </c>
      <c r="T43">
        <v>0</v>
      </c>
      <c r="U43">
        <v>0</v>
      </c>
      <c r="V43" t="s">
        <v>12</v>
      </c>
      <c r="W43">
        <v>43</v>
      </c>
      <c r="X43">
        <v>0</v>
      </c>
      <c r="Y43">
        <v>0</v>
      </c>
      <c r="Z43">
        <v>0</v>
      </c>
      <c r="AA43">
        <v>43</v>
      </c>
      <c r="AB43">
        <v>0</v>
      </c>
      <c r="AC43">
        <v>0</v>
      </c>
      <c r="AD43">
        <v>0</v>
      </c>
      <c r="AE43">
        <v>43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43</v>
      </c>
      <c r="AN43">
        <v>0</v>
      </c>
      <c r="AO43">
        <v>0</v>
      </c>
      <c r="AP43">
        <v>0</v>
      </c>
      <c r="AQ43" t="s">
        <v>12</v>
      </c>
      <c r="AR43">
        <v>43</v>
      </c>
      <c r="AS43">
        <v>0</v>
      </c>
      <c r="AT43">
        <v>0</v>
      </c>
      <c r="AU43">
        <v>0</v>
      </c>
      <c r="AV43">
        <v>43</v>
      </c>
      <c r="AW43">
        <v>0</v>
      </c>
      <c r="AX43">
        <v>0</v>
      </c>
      <c r="AY43">
        <v>0</v>
      </c>
      <c r="AZ43">
        <v>43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43</v>
      </c>
      <c r="BI43">
        <v>0</v>
      </c>
      <c r="BJ43">
        <v>0</v>
      </c>
      <c r="BK43">
        <v>0</v>
      </c>
    </row>
    <row r="44" spans="1:63">
      <c r="A44" t="s">
        <v>21</v>
      </c>
      <c r="B44">
        <v>137</v>
      </c>
      <c r="C44">
        <v>2</v>
      </c>
      <c r="D44">
        <v>0</v>
      </c>
      <c r="E44">
        <v>0</v>
      </c>
      <c r="F44">
        <v>137</v>
      </c>
      <c r="G44">
        <v>2</v>
      </c>
      <c r="H44">
        <v>0</v>
      </c>
      <c r="I44">
        <v>0</v>
      </c>
      <c r="J44">
        <v>139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139</v>
      </c>
      <c r="S44">
        <v>0</v>
      </c>
      <c r="T44">
        <v>0</v>
      </c>
      <c r="U44">
        <v>0</v>
      </c>
      <c r="V44" t="s">
        <v>21</v>
      </c>
      <c r="W44">
        <v>137</v>
      </c>
      <c r="X44">
        <v>2</v>
      </c>
      <c r="Y44">
        <v>0</v>
      </c>
      <c r="Z44">
        <v>0</v>
      </c>
      <c r="AA44">
        <v>137</v>
      </c>
      <c r="AB44">
        <v>2</v>
      </c>
      <c r="AC44">
        <v>0</v>
      </c>
      <c r="AD44">
        <v>0</v>
      </c>
      <c r="AE44">
        <v>139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139</v>
      </c>
      <c r="AN44">
        <v>0</v>
      </c>
      <c r="AO44">
        <v>0</v>
      </c>
      <c r="AP44">
        <v>0</v>
      </c>
      <c r="AQ44" t="s">
        <v>21</v>
      </c>
      <c r="AR44">
        <v>137</v>
      </c>
      <c r="AS44">
        <v>2</v>
      </c>
      <c r="AT44">
        <v>0</v>
      </c>
      <c r="AU44">
        <v>0</v>
      </c>
      <c r="AV44">
        <v>137</v>
      </c>
      <c r="AW44">
        <v>2</v>
      </c>
      <c r="AX44">
        <v>0</v>
      </c>
      <c r="AY44">
        <v>0</v>
      </c>
      <c r="AZ44">
        <v>139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139</v>
      </c>
      <c r="BI44">
        <v>0</v>
      </c>
      <c r="BJ44">
        <v>0</v>
      </c>
      <c r="BK44">
        <v>0</v>
      </c>
    </row>
    <row r="45" spans="1:63">
      <c r="A45" t="s">
        <v>44</v>
      </c>
      <c r="B45">
        <v>50</v>
      </c>
      <c r="C45">
        <v>12</v>
      </c>
      <c r="D45">
        <v>0</v>
      </c>
      <c r="E45">
        <v>0</v>
      </c>
      <c r="F45">
        <v>50</v>
      </c>
      <c r="G45">
        <v>12</v>
      </c>
      <c r="H45">
        <v>0</v>
      </c>
      <c r="I45">
        <v>0</v>
      </c>
      <c r="J45">
        <v>62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62</v>
      </c>
      <c r="S45">
        <v>0</v>
      </c>
      <c r="T45">
        <v>0</v>
      </c>
      <c r="U45">
        <v>0</v>
      </c>
      <c r="V45" t="s">
        <v>44</v>
      </c>
      <c r="W45">
        <v>50</v>
      </c>
      <c r="X45">
        <v>12</v>
      </c>
      <c r="Y45">
        <v>0</v>
      </c>
      <c r="Z45">
        <v>0</v>
      </c>
      <c r="AA45">
        <v>50</v>
      </c>
      <c r="AB45">
        <v>12</v>
      </c>
      <c r="AC45">
        <v>0</v>
      </c>
      <c r="AD45">
        <v>0</v>
      </c>
      <c r="AE45">
        <v>62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62</v>
      </c>
      <c r="AN45">
        <v>0</v>
      </c>
      <c r="AO45">
        <v>0</v>
      </c>
      <c r="AP45">
        <v>0</v>
      </c>
      <c r="AQ45" t="s">
        <v>44</v>
      </c>
      <c r="AR45">
        <v>50</v>
      </c>
      <c r="AS45">
        <v>12</v>
      </c>
      <c r="AT45">
        <v>0</v>
      </c>
      <c r="AU45">
        <v>0</v>
      </c>
      <c r="AV45">
        <v>50</v>
      </c>
      <c r="AW45">
        <v>12</v>
      </c>
      <c r="AX45">
        <v>0</v>
      </c>
      <c r="AY45">
        <v>0</v>
      </c>
      <c r="AZ45">
        <v>62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62</v>
      </c>
      <c r="BI45">
        <v>0</v>
      </c>
      <c r="BJ45">
        <v>0</v>
      </c>
      <c r="BK45">
        <v>0</v>
      </c>
    </row>
    <row r="46" spans="1:63">
      <c r="A46" t="s">
        <v>5</v>
      </c>
      <c r="B46">
        <v>30</v>
      </c>
      <c r="C46">
        <v>0</v>
      </c>
      <c r="D46">
        <v>0</v>
      </c>
      <c r="E46">
        <v>0</v>
      </c>
      <c r="F46">
        <v>30</v>
      </c>
      <c r="G46">
        <v>0</v>
      </c>
      <c r="H46">
        <v>0</v>
      </c>
      <c r="I46">
        <v>0</v>
      </c>
      <c r="J46">
        <v>30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30</v>
      </c>
      <c r="S46">
        <v>0</v>
      </c>
      <c r="T46">
        <v>0</v>
      </c>
      <c r="U46">
        <v>0</v>
      </c>
      <c r="V46" t="s">
        <v>5</v>
      </c>
      <c r="W46">
        <v>30</v>
      </c>
      <c r="X46">
        <v>0</v>
      </c>
      <c r="Y46">
        <v>0</v>
      </c>
      <c r="Z46">
        <v>0</v>
      </c>
      <c r="AA46">
        <v>30</v>
      </c>
      <c r="AB46">
        <v>0</v>
      </c>
      <c r="AC46">
        <v>0</v>
      </c>
      <c r="AD46">
        <v>0</v>
      </c>
      <c r="AE46">
        <v>30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30</v>
      </c>
      <c r="AN46">
        <v>0</v>
      </c>
      <c r="AO46">
        <v>0</v>
      </c>
      <c r="AP46">
        <v>0</v>
      </c>
      <c r="AQ46" t="s">
        <v>5</v>
      </c>
      <c r="AR46">
        <v>30</v>
      </c>
      <c r="AS46">
        <v>0</v>
      </c>
      <c r="AT46">
        <v>0</v>
      </c>
      <c r="AU46">
        <v>0</v>
      </c>
      <c r="AV46">
        <v>30</v>
      </c>
      <c r="AW46">
        <v>0</v>
      </c>
      <c r="AX46">
        <v>0</v>
      </c>
      <c r="AY46">
        <v>0</v>
      </c>
      <c r="AZ46">
        <v>30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30</v>
      </c>
      <c r="BI46">
        <v>0</v>
      </c>
      <c r="BJ46">
        <v>0</v>
      </c>
      <c r="BK46">
        <v>0</v>
      </c>
    </row>
    <row r="47" spans="1:63">
      <c r="A47" t="s">
        <v>62</v>
      </c>
      <c r="B47">
        <v>71</v>
      </c>
      <c r="C47">
        <v>15</v>
      </c>
      <c r="D47">
        <v>0</v>
      </c>
      <c r="E47">
        <v>0</v>
      </c>
      <c r="F47">
        <v>71</v>
      </c>
      <c r="G47">
        <v>15</v>
      </c>
      <c r="H47">
        <v>0</v>
      </c>
      <c r="I47">
        <v>0</v>
      </c>
      <c r="J47">
        <v>86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 t="s">
        <v>62</v>
      </c>
      <c r="W47">
        <v>71</v>
      </c>
      <c r="X47">
        <v>15</v>
      </c>
      <c r="Y47">
        <v>0</v>
      </c>
      <c r="Z47">
        <v>0</v>
      </c>
      <c r="AA47">
        <v>71</v>
      </c>
      <c r="AB47">
        <v>15</v>
      </c>
      <c r="AC47">
        <v>0</v>
      </c>
      <c r="AD47">
        <v>0</v>
      </c>
      <c r="AE47">
        <v>86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 t="s">
        <v>62</v>
      </c>
      <c r="AR47">
        <v>71</v>
      </c>
      <c r="AS47">
        <v>15</v>
      </c>
      <c r="AT47">
        <v>0</v>
      </c>
      <c r="AU47">
        <v>0</v>
      </c>
      <c r="AV47">
        <v>71</v>
      </c>
      <c r="AW47">
        <v>15</v>
      </c>
      <c r="AX47">
        <v>0</v>
      </c>
      <c r="AY47">
        <v>0</v>
      </c>
      <c r="AZ47">
        <v>86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86</v>
      </c>
      <c r="BI47">
        <v>0</v>
      </c>
      <c r="BJ47">
        <v>0</v>
      </c>
      <c r="BK47">
        <v>0</v>
      </c>
    </row>
    <row r="48" spans="1:63">
      <c r="A48" t="s">
        <v>6</v>
      </c>
      <c r="B48">
        <v>0</v>
      </c>
      <c r="C48">
        <v>0</v>
      </c>
      <c r="D48">
        <v>0</v>
      </c>
      <c r="E48">
        <v>0</v>
      </c>
      <c r="F48">
        <v>50</v>
      </c>
      <c r="G48">
        <v>6</v>
      </c>
      <c r="H48">
        <v>0</v>
      </c>
      <c r="I48">
        <v>0</v>
      </c>
      <c r="J48">
        <v>56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 t="s">
        <v>6</v>
      </c>
      <c r="W48">
        <v>0</v>
      </c>
      <c r="X48">
        <v>0</v>
      </c>
      <c r="Y48">
        <v>0</v>
      </c>
      <c r="Z48">
        <v>0</v>
      </c>
      <c r="AA48">
        <v>50</v>
      </c>
      <c r="AB48">
        <v>6</v>
      </c>
      <c r="AC48">
        <v>0</v>
      </c>
      <c r="AD48">
        <v>0</v>
      </c>
      <c r="AE48">
        <v>56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 t="s">
        <v>6</v>
      </c>
      <c r="AR48">
        <v>50</v>
      </c>
      <c r="AS48">
        <v>6</v>
      </c>
      <c r="AT48">
        <v>0</v>
      </c>
      <c r="AU48">
        <v>0</v>
      </c>
      <c r="AV48">
        <v>50</v>
      </c>
      <c r="AW48">
        <v>6</v>
      </c>
      <c r="AX48">
        <v>0</v>
      </c>
      <c r="AY48">
        <v>0</v>
      </c>
      <c r="AZ48">
        <v>56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56</v>
      </c>
      <c r="BI48">
        <v>0</v>
      </c>
      <c r="BJ48">
        <v>0</v>
      </c>
      <c r="BK48">
        <v>0</v>
      </c>
    </row>
    <row r="49" spans="1:63">
      <c r="A49" t="s">
        <v>82</v>
      </c>
      <c r="B49">
        <v>2</v>
      </c>
      <c r="C49">
        <v>0</v>
      </c>
      <c r="D49">
        <v>0</v>
      </c>
      <c r="E49">
        <v>0</v>
      </c>
      <c r="F49">
        <v>2</v>
      </c>
      <c r="G49">
        <v>0</v>
      </c>
      <c r="H49">
        <v>0</v>
      </c>
      <c r="I49">
        <v>0</v>
      </c>
      <c r="J49">
        <v>2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2</v>
      </c>
      <c r="S49">
        <v>0</v>
      </c>
      <c r="T49">
        <v>0</v>
      </c>
      <c r="U49">
        <v>0</v>
      </c>
      <c r="V49" t="s">
        <v>82</v>
      </c>
      <c r="W49">
        <v>2</v>
      </c>
      <c r="X49">
        <v>0</v>
      </c>
      <c r="Y49">
        <v>0</v>
      </c>
      <c r="Z49">
        <v>0</v>
      </c>
      <c r="AA49">
        <v>2</v>
      </c>
      <c r="AB49">
        <v>0</v>
      </c>
      <c r="AC49">
        <v>0</v>
      </c>
      <c r="AD49">
        <v>0</v>
      </c>
      <c r="AE49">
        <v>2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2</v>
      </c>
      <c r="AN49">
        <v>0</v>
      </c>
      <c r="AO49">
        <v>0</v>
      </c>
      <c r="AP49">
        <v>0</v>
      </c>
      <c r="AQ49" t="s">
        <v>82</v>
      </c>
      <c r="AR49">
        <v>2</v>
      </c>
      <c r="AS49">
        <v>0</v>
      </c>
      <c r="AT49">
        <v>0</v>
      </c>
      <c r="AU49">
        <v>0</v>
      </c>
      <c r="AV49">
        <v>2</v>
      </c>
      <c r="AW49">
        <v>0</v>
      </c>
      <c r="AX49">
        <v>0</v>
      </c>
      <c r="AY49">
        <v>0</v>
      </c>
      <c r="AZ49">
        <v>2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2</v>
      </c>
      <c r="BI49">
        <v>0</v>
      </c>
      <c r="BJ49">
        <v>0</v>
      </c>
      <c r="BK49">
        <v>0</v>
      </c>
    </row>
    <row r="50" spans="1:63">
      <c r="A50" t="s">
        <v>92</v>
      </c>
      <c r="B50">
        <v>1</v>
      </c>
      <c r="C50">
        <v>0</v>
      </c>
      <c r="D50">
        <v>0</v>
      </c>
      <c r="E50">
        <v>0</v>
      </c>
      <c r="F50">
        <v>1</v>
      </c>
      <c r="G50">
        <v>0</v>
      </c>
      <c r="H50">
        <v>0</v>
      </c>
      <c r="I50">
        <v>0</v>
      </c>
      <c r="J50">
        <v>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1</v>
      </c>
      <c r="S50">
        <v>0</v>
      </c>
      <c r="T50">
        <v>0</v>
      </c>
      <c r="U50">
        <v>0</v>
      </c>
      <c r="V50" t="s">
        <v>92</v>
      </c>
      <c r="W50">
        <v>1</v>
      </c>
      <c r="X50">
        <v>0</v>
      </c>
      <c r="Y50">
        <v>0</v>
      </c>
      <c r="Z50">
        <v>0</v>
      </c>
      <c r="AA50">
        <v>1</v>
      </c>
      <c r="AB50">
        <v>0</v>
      </c>
      <c r="AC50">
        <v>0</v>
      </c>
      <c r="AD50">
        <v>0</v>
      </c>
      <c r="AE50">
        <v>1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1</v>
      </c>
      <c r="AN50">
        <v>0</v>
      </c>
      <c r="AO50">
        <v>0</v>
      </c>
      <c r="AP50">
        <v>0</v>
      </c>
      <c r="AQ50" t="s">
        <v>92</v>
      </c>
      <c r="AR50">
        <v>1</v>
      </c>
      <c r="AS50">
        <v>0</v>
      </c>
      <c r="AT50">
        <v>0</v>
      </c>
      <c r="AU50">
        <v>0</v>
      </c>
      <c r="AV50">
        <v>1</v>
      </c>
      <c r="AW50">
        <v>0</v>
      </c>
      <c r="AX50">
        <v>0</v>
      </c>
      <c r="AY50">
        <v>0</v>
      </c>
      <c r="AZ50">
        <v>1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1</v>
      </c>
      <c r="BI50">
        <v>0</v>
      </c>
      <c r="BJ50">
        <v>0</v>
      </c>
      <c r="BK50">
        <v>0</v>
      </c>
    </row>
    <row r="51" spans="1:63">
      <c r="A51" t="s">
        <v>53</v>
      </c>
      <c r="B51">
        <v>60</v>
      </c>
      <c r="C51">
        <v>2</v>
      </c>
      <c r="D51">
        <v>0</v>
      </c>
      <c r="E51">
        <v>0</v>
      </c>
      <c r="F51">
        <v>60</v>
      </c>
      <c r="G51">
        <v>2</v>
      </c>
      <c r="H51">
        <v>0</v>
      </c>
      <c r="I51">
        <v>0</v>
      </c>
      <c r="J51">
        <v>62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62</v>
      </c>
      <c r="S51">
        <v>0</v>
      </c>
      <c r="T51">
        <v>0</v>
      </c>
      <c r="U51">
        <v>0</v>
      </c>
      <c r="V51" t="s">
        <v>53</v>
      </c>
      <c r="W51">
        <v>60</v>
      </c>
      <c r="X51">
        <v>2</v>
      </c>
      <c r="Y51">
        <v>0</v>
      </c>
      <c r="Z51">
        <v>0</v>
      </c>
      <c r="AA51">
        <v>60</v>
      </c>
      <c r="AB51">
        <v>2</v>
      </c>
      <c r="AC51">
        <v>0</v>
      </c>
      <c r="AD51">
        <v>0</v>
      </c>
      <c r="AE51">
        <v>62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62</v>
      </c>
      <c r="AN51">
        <v>0</v>
      </c>
      <c r="AO51">
        <v>0</v>
      </c>
      <c r="AP51">
        <v>0</v>
      </c>
      <c r="AQ51" t="s">
        <v>53</v>
      </c>
      <c r="AR51">
        <v>60</v>
      </c>
      <c r="AS51">
        <v>2</v>
      </c>
      <c r="AT51">
        <v>0</v>
      </c>
      <c r="AU51">
        <v>0</v>
      </c>
      <c r="AV51">
        <v>60</v>
      </c>
      <c r="AW51">
        <v>2</v>
      </c>
      <c r="AX51">
        <v>0</v>
      </c>
      <c r="AY51">
        <v>0</v>
      </c>
      <c r="AZ51">
        <v>62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62</v>
      </c>
      <c r="BI51">
        <v>0</v>
      </c>
      <c r="BJ51">
        <v>0</v>
      </c>
      <c r="BK51">
        <v>0</v>
      </c>
    </row>
    <row r="52" spans="1:63">
      <c r="A52" t="s">
        <v>11</v>
      </c>
      <c r="B52">
        <v>7</v>
      </c>
      <c r="C52">
        <v>0</v>
      </c>
      <c r="D52">
        <v>0</v>
      </c>
      <c r="E52">
        <v>0</v>
      </c>
      <c r="F52">
        <v>7</v>
      </c>
      <c r="G52">
        <v>0</v>
      </c>
      <c r="H52">
        <v>0</v>
      </c>
      <c r="I52">
        <v>0</v>
      </c>
      <c r="J52">
        <v>6</v>
      </c>
      <c r="K52">
        <v>1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6</v>
      </c>
      <c r="S52">
        <v>1</v>
      </c>
      <c r="T52">
        <v>0</v>
      </c>
      <c r="U52">
        <v>0</v>
      </c>
      <c r="V52" t="s">
        <v>11</v>
      </c>
      <c r="W52">
        <v>7</v>
      </c>
      <c r="X52">
        <v>0</v>
      </c>
      <c r="Y52">
        <v>0</v>
      </c>
      <c r="Z52">
        <v>0</v>
      </c>
      <c r="AA52">
        <v>7</v>
      </c>
      <c r="AB52">
        <v>0</v>
      </c>
      <c r="AC52">
        <v>0</v>
      </c>
      <c r="AD52">
        <v>0</v>
      </c>
      <c r="AE52">
        <v>6</v>
      </c>
      <c r="AF52">
        <v>1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6</v>
      </c>
      <c r="AN52">
        <v>1</v>
      </c>
      <c r="AO52">
        <v>0</v>
      </c>
      <c r="AP52">
        <v>0</v>
      </c>
      <c r="AQ52" t="s">
        <v>11</v>
      </c>
      <c r="AR52">
        <v>7</v>
      </c>
      <c r="AS52">
        <v>0</v>
      </c>
      <c r="AT52">
        <v>0</v>
      </c>
      <c r="AU52">
        <v>0</v>
      </c>
      <c r="AV52">
        <v>7</v>
      </c>
      <c r="AW52">
        <v>0</v>
      </c>
      <c r="AX52">
        <v>0</v>
      </c>
      <c r="AY52">
        <v>0</v>
      </c>
      <c r="AZ52">
        <v>7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7</v>
      </c>
      <c r="BI52">
        <v>0</v>
      </c>
      <c r="BJ52">
        <v>0</v>
      </c>
      <c r="BK52">
        <v>0</v>
      </c>
    </row>
    <row r="53" spans="1:63">
      <c r="A53" t="s">
        <v>84</v>
      </c>
      <c r="B53">
        <v>36</v>
      </c>
      <c r="C53">
        <v>10</v>
      </c>
      <c r="D53">
        <v>0</v>
      </c>
      <c r="E53">
        <v>0</v>
      </c>
      <c r="F53">
        <v>36</v>
      </c>
      <c r="G53">
        <v>10</v>
      </c>
      <c r="H53">
        <v>0</v>
      </c>
      <c r="I53">
        <v>0</v>
      </c>
      <c r="J53">
        <v>46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 t="s">
        <v>84</v>
      </c>
      <c r="W53">
        <v>36</v>
      </c>
      <c r="X53">
        <v>10</v>
      </c>
      <c r="Y53">
        <v>0</v>
      </c>
      <c r="Z53">
        <v>0</v>
      </c>
      <c r="AA53">
        <v>36</v>
      </c>
      <c r="AB53">
        <v>10</v>
      </c>
      <c r="AC53">
        <v>0</v>
      </c>
      <c r="AD53">
        <v>0</v>
      </c>
      <c r="AE53">
        <v>46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 t="s">
        <v>84</v>
      </c>
      <c r="AR53">
        <v>36</v>
      </c>
      <c r="AS53">
        <v>10</v>
      </c>
      <c r="AT53">
        <v>0</v>
      </c>
      <c r="AU53">
        <v>0</v>
      </c>
      <c r="AV53">
        <v>36</v>
      </c>
      <c r="AW53">
        <v>10</v>
      </c>
      <c r="AX53">
        <v>0</v>
      </c>
      <c r="AY53">
        <v>0</v>
      </c>
      <c r="AZ53">
        <v>46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46</v>
      </c>
      <c r="BI53">
        <v>0</v>
      </c>
      <c r="BJ53">
        <v>0</v>
      </c>
      <c r="BK53">
        <v>0</v>
      </c>
    </row>
    <row r="54" spans="1:63">
      <c r="A54" t="s">
        <v>50</v>
      </c>
      <c r="B54">
        <v>26</v>
      </c>
      <c r="C54">
        <v>0</v>
      </c>
      <c r="D54">
        <v>0</v>
      </c>
      <c r="E54">
        <v>0</v>
      </c>
      <c r="F54">
        <v>26</v>
      </c>
      <c r="G54">
        <v>0</v>
      </c>
      <c r="H54">
        <v>0</v>
      </c>
      <c r="I54">
        <v>0</v>
      </c>
      <c r="J54">
        <v>26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 t="s">
        <v>50</v>
      </c>
      <c r="W54">
        <v>26</v>
      </c>
      <c r="X54">
        <v>0</v>
      </c>
      <c r="Y54">
        <v>0</v>
      </c>
      <c r="Z54">
        <v>0</v>
      </c>
      <c r="AA54">
        <v>26</v>
      </c>
      <c r="AB54">
        <v>0</v>
      </c>
      <c r="AC54">
        <v>0</v>
      </c>
      <c r="AD54">
        <v>0</v>
      </c>
      <c r="AE54">
        <v>26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 t="s">
        <v>50</v>
      </c>
      <c r="AR54">
        <v>26</v>
      </c>
      <c r="AS54">
        <v>0</v>
      </c>
      <c r="AT54">
        <v>0</v>
      </c>
      <c r="AU54">
        <v>0</v>
      </c>
      <c r="AV54">
        <v>26</v>
      </c>
      <c r="AW54">
        <v>0</v>
      </c>
      <c r="AX54">
        <v>0</v>
      </c>
      <c r="AY54">
        <v>0</v>
      </c>
      <c r="AZ54">
        <v>26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26</v>
      </c>
      <c r="BI54">
        <v>0</v>
      </c>
      <c r="BJ54">
        <v>0</v>
      </c>
      <c r="BK54">
        <v>0</v>
      </c>
    </row>
    <row r="55" spans="1:63">
      <c r="A55" t="s">
        <v>47</v>
      </c>
      <c r="B55">
        <v>53</v>
      </c>
      <c r="C55">
        <v>0</v>
      </c>
      <c r="D55">
        <v>0</v>
      </c>
      <c r="E55">
        <v>0</v>
      </c>
      <c r="F55">
        <v>53</v>
      </c>
      <c r="G55">
        <v>0</v>
      </c>
      <c r="H55">
        <v>0</v>
      </c>
      <c r="I55">
        <v>0</v>
      </c>
      <c r="J55">
        <v>53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 t="s">
        <v>47</v>
      </c>
      <c r="W55">
        <v>53</v>
      </c>
      <c r="X55">
        <v>0</v>
      </c>
      <c r="Y55">
        <v>0</v>
      </c>
      <c r="Z55">
        <v>0</v>
      </c>
      <c r="AA55">
        <v>53</v>
      </c>
      <c r="AB55">
        <v>0</v>
      </c>
      <c r="AC55">
        <v>0</v>
      </c>
      <c r="AD55">
        <v>0</v>
      </c>
      <c r="AE55">
        <v>53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 t="s">
        <v>47</v>
      </c>
      <c r="AR55">
        <v>53</v>
      </c>
      <c r="AS55">
        <v>0</v>
      </c>
      <c r="AT55">
        <v>0</v>
      </c>
      <c r="AU55">
        <v>0</v>
      </c>
      <c r="AV55">
        <v>53</v>
      </c>
      <c r="AW55">
        <v>0</v>
      </c>
      <c r="AX55">
        <v>0</v>
      </c>
      <c r="AY55">
        <v>0</v>
      </c>
      <c r="AZ55">
        <v>53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53</v>
      </c>
      <c r="BI55">
        <v>0</v>
      </c>
      <c r="BJ55">
        <v>0</v>
      </c>
      <c r="BK55">
        <v>0</v>
      </c>
    </row>
    <row r="56" spans="1:63">
      <c r="A56" t="s">
        <v>57</v>
      </c>
      <c r="B56">
        <v>8</v>
      </c>
      <c r="C56">
        <v>2</v>
      </c>
      <c r="D56">
        <v>0</v>
      </c>
      <c r="E56">
        <v>0</v>
      </c>
      <c r="F56">
        <v>8</v>
      </c>
      <c r="G56">
        <v>2</v>
      </c>
      <c r="H56">
        <v>0</v>
      </c>
      <c r="I56">
        <v>0</v>
      </c>
      <c r="J56">
        <v>10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 t="s">
        <v>57</v>
      </c>
      <c r="W56">
        <v>8</v>
      </c>
      <c r="X56">
        <v>2</v>
      </c>
      <c r="Y56">
        <v>0</v>
      </c>
      <c r="Z56">
        <v>0</v>
      </c>
      <c r="AA56">
        <v>8</v>
      </c>
      <c r="AB56">
        <v>2</v>
      </c>
      <c r="AC56">
        <v>0</v>
      </c>
      <c r="AD56">
        <v>0</v>
      </c>
      <c r="AE56">
        <v>10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 t="s">
        <v>57</v>
      </c>
      <c r="AR56">
        <v>8</v>
      </c>
      <c r="AS56">
        <v>2</v>
      </c>
      <c r="AT56">
        <v>0</v>
      </c>
      <c r="AU56">
        <v>0</v>
      </c>
      <c r="AV56">
        <v>8</v>
      </c>
      <c r="AW56">
        <v>2</v>
      </c>
      <c r="AX56">
        <v>0</v>
      </c>
      <c r="AY56">
        <v>0</v>
      </c>
      <c r="AZ56">
        <v>10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10</v>
      </c>
      <c r="BI56">
        <v>0</v>
      </c>
      <c r="BJ56">
        <v>0</v>
      </c>
      <c r="BK56">
        <v>0</v>
      </c>
    </row>
    <row r="57" spans="1:63">
      <c r="A57" t="s">
        <v>95</v>
      </c>
      <c r="B57">
        <v>11</v>
      </c>
      <c r="C57">
        <v>1</v>
      </c>
      <c r="D57">
        <v>0</v>
      </c>
      <c r="E57">
        <v>0</v>
      </c>
      <c r="F57">
        <v>11</v>
      </c>
      <c r="G57">
        <v>1</v>
      </c>
      <c r="H57">
        <v>0</v>
      </c>
      <c r="I57">
        <v>0</v>
      </c>
      <c r="J57">
        <v>12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 t="s">
        <v>95</v>
      </c>
      <c r="W57">
        <v>11</v>
      </c>
      <c r="X57">
        <v>1</v>
      </c>
      <c r="Y57">
        <v>0</v>
      </c>
      <c r="Z57">
        <v>0</v>
      </c>
      <c r="AA57">
        <v>11</v>
      </c>
      <c r="AB57">
        <v>1</v>
      </c>
      <c r="AC57">
        <v>0</v>
      </c>
      <c r="AD57">
        <v>0</v>
      </c>
      <c r="AE57">
        <v>12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 t="s">
        <v>95</v>
      </c>
      <c r="AR57">
        <v>11</v>
      </c>
      <c r="AS57">
        <v>1</v>
      </c>
      <c r="AT57">
        <v>0</v>
      </c>
      <c r="AU57">
        <v>0</v>
      </c>
      <c r="AV57">
        <v>11</v>
      </c>
      <c r="AW57">
        <v>1</v>
      </c>
      <c r="AX57">
        <v>0</v>
      </c>
      <c r="AY57">
        <v>0</v>
      </c>
      <c r="AZ57">
        <v>12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12</v>
      </c>
      <c r="BI57">
        <v>0</v>
      </c>
      <c r="BJ57">
        <v>0</v>
      </c>
      <c r="BK57">
        <v>0</v>
      </c>
    </row>
    <row r="58" spans="1:63">
      <c r="A58" t="s">
        <v>41</v>
      </c>
      <c r="B58">
        <v>9</v>
      </c>
      <c r="C58">
        <v>0</v>
      </c>
      <c r="D58">
        <v>0</v>
      </c>
      <c r="E58">
        <v>0</v>
      </c>
      <c r="F58">
        <v>9</v>
      </c>
      <c r="G58">
        <v>0</v>
      </c>
      <c r="H58">
        <v>0</v>
      </c>
      <c r="I58">
        <v>0</v>
      </c>
      <c r="J58">
        <v>9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 t="s">
        <v>41</v>
      </c>
      <c r="W58">
        <v>9</v>
      </c>
      <c r="X58">
        <v>0</v>
      </c>
      <c r="Y58">
        <v>0</v>
      </c>
      <c r="Z58">
        <v>0</v>
      </c>
      <c r="AA58">
        <v>9</v>
      </c>
      <c r="AB58">
        <v>0</v>
      </c>
      <c r="AC58">
        <v>0</v>
      </c>
      <c r="AD58">
        <v>0</v>
      </c>
      <c r="AE58">
        <v>9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 t="s">
        <v>41</v>
      </c>
      <c r="AR58">
        <v>9</v>
      </c>
      <c r="AS58">
        <v>0</v>
      </c>
      <c r="AT58">
        <v>0</v>
      </c>
      <c r="AU58">
        <v>0</v>
      </c>
      <c r="AV58">
        <v>9</v>
      </c>
      <c r="AW58">
        <v>0</v>
      </c>
      <c r="AX58">
        <v>0</v>
      </c>
      <c r="AY58">
        <v>0</v>
      </c>
      <c r="AZ58">
        <v>9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9</v>
      </c>
      <c r="BI58">
        <v>0</v>
      </c>
      <c r="BJ58">
        <v>0</v>
      </c>
      <c r="BK58">
        <v>0</v>
      </c>
    </row>
    <row r="59" spans="1:63">
      <c r="A59" t="s">
        <v>81</v>
      </c>
      <c r="B59">
        <v>106</v>
      </c>
      <c r="C59">
        <v>6</v>
      </c>
      <c r="D59">
        <v>0</v>
      </c>
      <c r="E59">
        <v>0</v>
      </c>
      <c r="F59">
        <v>106</v>
      </c>
      <c r="G59">
        <v>6</v>
      </c>
      <c r="H59">
        <v>0</v>
      </c>
      <c r="I59">
        <v>0</v>
      </c>
      <c r="J59">
        <v>112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 t="s">
        <v>81</v>
      </c>
      <c r="W59">
        <v>106</v>
      </c>
      <c r="X59">
        <v>6</v>
      </c>
      <c r="Y59">
        <v>0</v>
      </c>
      <c r="Z59">
        <v>0</v>
      </c>
      <c r="AA59">
        <v>106</v>
      </c>
      <c r="AB59">
        <v>6</v>
      </c>
      <c r="AC59">
        <v>0</v>
      </c>
      <c r="AD59">
        <v>0</v>
      </c>
      <c r="AE59">
        <v>112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 t="s">
        <v>81</v>
      </c>
      <c r="AR59">
        <v>106</v>
      </c>
      <c r="AS59">
        <v>6</v>
      </c>
      <c r="AT59">
        <v>0</v>
      </c>
      <c r="AU59">
        <v>0</v>
      </c>
      <c r="AV59">
        <v>106</v>
      </c>
      <c r="AW59">
        <v>6</v>
      </c>
      <c r="AX59">
        <v>0</v>
      </c>
      <c r="AY59">
        <v>0</v>
      </c>
      <c r="AZ59">
        <v>112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112</v>
      </c>
      <c r="BI59">
        <v>0</v>
      </c>
      <c r="BJ59">
        <v>0</v>
      </c>
      <c r="BK59">
        <v>0</v>
      </c>
    </row>
    <row r="60" spans="1:63">
      <c r="A60" t="s">
        <v>45</v>
      </c>
      <c r="B60">
        <v>926</v>
      </c>
      <c r="C60">
        <v>32</v>
      </c>
      <c r="D60">
        <v>0</v>
      </c>
      <c r="E60">
        <v>0</v>
      </c>
      <c r="F60">
        <v>926</v>
      </c>
      <c r="G60">
        <v>32</v>
      </c>
      <c r="H60">
        <v>0</v>
      </c>
      <c r="I60">
        <v>0</v>
      </c>
      <c r="J60">
        <v>956</v>
      </c>
      <c r="K60">
        <v>2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 t="s">
        <v>45</v>
      </c>
      <c r="W60">
        <v>926</v>
      </c>
      <c r="X60">
        <v>32</v>
      </c>
      <c r="Y60">
        <v>0</v>
      </c>
      <c r="Z60">
        <v>0</v>
      </c>
      <c r="AA60">
        <v>926</v>
      </c>
      <c r="AB60">
        <v>32</v>
      </c>
      <c r="AC60">
        <v>0</v>
      </c>
      <c r="AD60">
        <v>0</v>
      </c>
      <c r="AE60">
        <v>956</v>
      </c>
      <c r="AF60">
        <v>2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 t="s">
        <v>45</v>
      </c>
      <c r="AR60">
        <v>926</v>
      </c>
      <c r="AS60">
        <v>32</v>
      </c>
      <c r="AT60">
        <v>0</v>
      </c>
      <c r="AU60">
        <v>0</v>
      </c>
      <c r="AV60">
        <v>926</v>
      </c>
      <c r="AW60">
        <v>32</v>
      </c>
      <c r="AX60">
        <v>0</v>
      </c>
      <c r="AY60">
        <v>0</v>
      </c>
      <c r="AZ60">
        <v>958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958</v>
      </c>
      <c r="BI60">
        <v>0</v>
      </c>
      <c r="BJ60">
        <v>0</v>
      </c>
      <c r="BK60">
        <v>0</v>
      </c>
    </row>
    <row r="61" spans="1:63">
      <c r="A61" t="s">
        <v>54</v>
      </c>
      <c r="B61">
        <v>472</v>
      </c>
      <c r="C61">
        <v>4</v>
      </c>
      <c r="D61">
        <v>0</v>
      </c>
      <c r="E61">
        <v>0</v>
      </c>
      <c r="F61">
        <v>472</v>
      </c>
      <c r="G61">
        <v>4</v>
      </c>
      <c r="H61">
        <v>0</v>
      </c>
      <c r="I61">
        <v>0</v>
      </c>
      <c r="J61">
        <v>476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 t="s">
        <v>54</v>
      </c>
      <c r="W61">
        <v>472</v>
      </c>
      <c r="X61">
        <v>4</v>
      </c>
      <c r="Y61">
        <v>0</v>
      </c>
      <c r="Z61">
        <v>0</v>
      </c>
      <c r="AA61">
        <v>472</v>
      </c>
      <c r="AB61">
        <v>4</v>
      </c>
      <c r="AC61">
        <v>0</v>
      </c>
      <c r="AD61">
        <v>0</v>
      </c>
      <c r="AE61">
        <v>476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 t="s">
        <v>54</v>
      </c>
      <c r="AR61">
        <v>472</v>
      </c>
      <c r="AS61">
        <v>4</v>
      </c>
      <c r="AT61">
        <v>0</v>
      </c>
      <c r="AU61">
        <v>0</v>
      </c>
      <c r="AV61">
        <v>472</v>
      </c>
      <c r="AW61">
        <v>4</v>
      </c>
      <c r="AX61">
        <v>0</v>
      </c>
      <c r="AY61">
        <v>0</v>
      </c>
      <c r="AZ61">
        <v>476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476</v>
      </c>
      <c r="BI61">
        <v>0</v>
      </c>
      <c r="BJ61">
        <v>0</v>
      </c>
      <c r="BK61">
        <v>0</v>
      </c>
    </row>
    <row r="62" spans="1:63">
      <c r="A62" t="s">
        <v>79</v>
      </c>
      <c r="B62">
        <v>580</v>
      </c>
      <c r="C62">
        <v>27</v>
      </c>
      <c r="D62">
        <v>0</v>
      </c>
      <c r="E62">
        <v>0</v>
      </c>
      <c r="F62">
        <v>580</v>
      </c>
      <c r="G62">
        <v>27</v>
      </c>
      <c r="H62">
        <v>0</v>
      </c>
      <c r="I62">
        <v>0</v>
      </c>
      <c r="J62">
        <v>607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 t="s">
        <v>79</v>
      </c>
      <c r="W62">
        <v>580</v>
      </c>
      <c r="X62">
        <v>27</v>
      </c>
      <c r="Y62">
        <v>0</v>
      </c>
      <c r="Z62">
        <v>0</v>
      </c>
      <c r="AA62">
        <v>580</v>
      </c>
      <c r="AB62">
        <v>27</v>
      </c>
      <c r="AC62">
        <v>0</v>
      </c>
      <c r="AD62">
        <v>0</v>
      </c>
      <c r="AE62">
        <v>607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 t="s">
        <v>79</v>
      </c>
      <c r="AR62">
        <v>580</v>
      </c>
      <c r="AS62">
        <v>27</v>
      </c>
      <c r="AT62">
        <v>0</v>
      </c>
      <c r="AU62">
        <v>0</v>
      </c>
      <c r="AV62">
        <v>580</v>
      </c>
      <c r="AW62">
        <v>27</v>
      </c>
      <c r="AX62">
        <v>0</v>
      </c>
      <c r="AY62">
        <v>0</v>
      </c>
      <c r="AZ62">
        <v>607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607</v>
      </c>
      <c r="BI62">
        <v>0</v>
      </c>
      <c r="BJ62">
        <v>0</v>
      </c>
      <c r="BK62">
        <v>0</v>
      </c>
    </row>
    <row r="63" spans="1:63">
      <c r="A63" t="s">
        <v>9</v>
      </c>
      <c r="B63">
        <v>732</v>
      </c>
      <c r="C63">
        <v>5</v>
      </c>
      <c r="D63">
        <v>0</v>
      </c>
      <c r="E63">
        <v>0</v>
      </c>
      <c r="F63">
        <v>732</v>
      </c>
      <c r="G63">
        <v>5</v>
      </c>
      <c r="H63">
        <v>0</v>
      </c>
      <c r="I63">
        <v>0</v>
      </c>
      <c r="J63">
        <v>737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 t="s">
        <v>9</v>
      </c>
      <c r="W63">
        <v>732</v>
      </c>
      <c r="X63">
        <v>5</v>
      </c>
      <c r="Y63">
        <v>0</v>
      </c>
      <c r="Z63">
        <v>0</v>
      </c>
      <c r="AA63">
        <v>732</v>
      </c>
      <c r="AB63">
        <v>5</v>
      </c>
      <c r="AC63">
        <v>0</v>
      </c>
      <c r="AD63">
        <v>0</v>
      </c>
      <c r="AE63">
        <v>737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 t="s">
        <v>9</v>
      </c>
      <c r="AR63">
        <v>732</v>
      </c>
      <c r="AS63">
        <v>5</v>
      </c>
      <c r="AT63">
        <v>0</v>
      </c>
      <c r="AU63">
        <v>0</v>
      </c>
      <c r="AV63">
        <v>732</v>
      </c>
      <c r="AW63">
        <v>5</v>
      </c>
      <c r="AX63">
        <v>0</v>
      </c>
      <c r="AY63">
        <v>0</v>
      </c>
      <c r="AZ63">
        <v>737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737</v>
      </c>
      <c r="BI63">
        <v>0</v>
      </c>
      <c r="BJ63">
        <v>0</v>
      </c>
      <c r="BK63">
        <v>0</v>
      </c>
    </row>
    <row r="64" spans="1:63">
      <c r="A64" t="s">
        <v>7</v>
      </c>
      <c r="B64">
        <v>56</v>
      </c>
      <c r="C64">
        <v>1</v>
      </c>
      <c r="D64">
        <v>0</v>
      </c>
      <c r="E64">
        <v>0</v>
      </c>
      <c r="F64">
        <v>56</v>
      </c>
      <c r="G64">
        <v>1</v>
      </c>
      <c r="H64">
        <v>0</v>
      </c>
      <c r="I64">
        <v>0</v>
      </c>
      <c r="J64">
        <v>57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 t="s">
        <v>7</v>
      </c>
      <c r="W64">
        <v>56</v>
      </c>
      <c r="X64">
        <v>1</v>
      </c>
      <c r="Y64">
        <v>0</v>
      </c>
      <c r="Z64">
        <v>0</v>
      </c>
      <c r="AA64">
        <v>56</v>
      </c>
      <c r="AB64">
        <v>1</v>
      </c>
      <c r="AC64">
        <v>0</v>
      </c>
      <c r="AD64">
        <v>0</v>
      </c>
      <c r="AE64">
        <v>57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 t="s">
        <v>7</v>
      </c>
      <c r="AR64">
        <v>56</v>
      </c>
      <c r="AS64">
        <v>1</v>
      </c>
      <c r="AT64">
        <v>0</v>
      </c>
      <c r="AU64">
        <v>0</v>
      </c>
      <c r="AV64">
        <v>56</v>
      </c>
      <c r="AW64">
        <v>1</v>
      </c>
      <c r="AX64">
        <v>0</v>
      </c>
      <c r="AY64">
        <v>0</v>
      </c>
      <c r="AZ64">
        <v>57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57</v>
      </c>
      <c r="BI64">
        <v>0</v>
      </c>
      <c r="BJ64">
        <v>0</v>
      </c>
      <c r="BK64">
        <v>0</v>
      </c>
    </row>
    <row r="65" spans="1:63">
      <c r="A65" t="s">
        <v>46</v>
      </c>
      <c r="B65">
        <v>26</v>
      </c>
      <c r="C65">
        <v>1</v>
      </c>
      <c r="D65">
        <v>0</v>
      </c>
      <c r="E65">
        <v>0</v>
      </c>
      <c r="F65">
        <v>26</v>
      </c>
      <c r="G65">
        <v>1</v>
      </c>
      <c r="H65">
        <v>0</v>
      </c>
      <c r="I65">
        <v>0</v>
      </c>
      <c r="J65">
        <v>27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 t="s">
        <v>46</v>
      </c>
      <c r="W65">
        <v>26</v>
      </c>
      <c r="X65">
        <v>1</v>
      </c>
      <c r="Y65">
        <v>0</v>
      </c>
      <c r="Z65">
        <v>0</v>
      </c>
      <c r="AA65">
        <v>26</v>
      </c>
      <c r="AB65">
        <v>1</v>
      </c>
      <c r="AC65">
        <v>0</v>
      </c>
      <c r="AD65">
        <v>0</v>
      </c>
      <c r="AE65">
        <v>27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 t="s">
        <v>46</v>
      </c>
      <c r="AR65">
        <v>26</v>
      </c>
      <c r="AS65">
        <v>1</v>
      </c>
      <c r="AT65">
        <v>0</v>
      </c>
      <c r="AU65">
        <v>0</v>
      </c>
      <c r="AV65">
        <v>26</v>
      </c>
      <c r="AW65">
        <v>1</v>
      </c>
      <c r="AX65">
        <v>0</v>
      </c>
      <c r="AY65">
        <v>0</v>
      </c>
      <c r="AZ65">
        <v>27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27</v>
      </c>
      <c r="BI65">
        <v>0</v>
      </c>
      <c r="BJ65">
        <v>0</v>
      </c>
      <c r="BK65">
        <v>0</v>
      </c>
    </row>
    <row r="66" spans="1:63">
      <c r="A66" t="s">
        <v>99</v>
      </c>
      <c r="B66">
        <v>171</v>
      </c>
      <c r="C66">
        <v>4</v>
      </c>
      <c r="D66">
        <v>0</v>
      </c>
      <c r="E66">
        <v>0</v>
      </c>
      <c r="F66">
        <v>171</v>
      </c>
      <c r="G66">
        <v>4</v>
      </c>
      <c r="H66">
        <v>0</v>
      </c>
      <c r="I66">
        <v>0</v>
      </c>
      <c r="J66">
        <v>175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 t="s">
        <v>99</v>
      </c>
      <c r="W66">
        <v>171</v>
      </c>
      <c r="X66">
        <v>4</v>
      </c>
      <c r="Y66">
        <v>0</v>
      </c>
      <c r="Z66">
        <v>0</v>
      </c>
      <c r="AA66">
        <v>171</v>
      </c>
      <c r="AB66">
        <v>4</v>
      </c>
      <c r="AC66">
        <v>0</v>
      </c>
      <c r="AD66">
        <v>0</v>
      </c>
      <c r="AE66">
        <v>175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 t="s">
        <v>99</v>
      </c>
      <c r="AR66">
        <v>171</v>
      </c>
      <c r="AS66">
        <v>4</v>
      </c>
      <c r="AT66">
        <v>0</v>
      </c>
      <c r="AU66">
        <v>0</v>
      </c>
      <c r="AV66">
        <v>171</v>
      </c>
      <c r="AW66">
        <v>4</v>
      </c>
      <c r="AX66">
        <v>0</v>
      </c>
      <c r="AY66">
        <v>0</v>
      </c>
      <c r="AZ66">
        <v>175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175</v>
      </c>
      <c r="BI66">
        <v>0</v>
      </c>
      <c r="BJ66">
        <v>0</v>
      </c>
      <c r="BK66">
        <v>0</v>
      </c>
    </row>
    <row r="67" spans="1:63">
      <c r="A67" t="s">
        <v>96</v>
      </c>
      <c r="B67">
        <v>268</v>
      </c>
      <c r="C67">
        <v>4</v>
      </c>
      <c r="D67">
        <v>0</v>
      </c>
      <c r="E67">
        <v>0</v>
      </c>
      <c r="F67">
        <v>268</v>
      </c>
      <c r="G67">
        <v>4</v>
      </c>
      <c r="H67">
        <v>0</v>
      </c>
      <c r="I67">
        <v>0</v>
      </c>
      <c r="J67">
        <v>272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 t="s">
        <v>96</v>
      </c>
      <c r="W67">
        <v>268</v>
      </c>
      <c r="X67">
        <v>4</v>
      </c>
      <c r="Y67">
        <v>0</v>
      </c>
      <c r="Z67">
        <v>0</v>
      </c>
      <c r="AA67">
        <v>268</v>
      </c>
      <c r="AB67">
        <v>4</v>
      </c>
      <c r="AC67">
        <v>0</v>
      </c>
      <c r="AD67">
        <v>0</v>
      </c>
      <c r="AE67">
        <v>272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 t="s">
        <v>96</v>
      </c>
      <c r="AR67">
        <v>268</v>
      </c>
      <c r="AS67">
        <v>4</v>
      </c>
      <c r="AT67">
        <v>0</v>
      </c>
      <c r="AU67">
        <v>0</v>
      </c>
      <c r="AV67">
        <v>268</v>
      </c>
      <c r="AW67">
        <v>4</v>
      </c>
      <c r="AX67">
        <v>0</v>
      </c>
      <c r="AY67">
        <v>0</v>
      </c>
      <c r="AZ67">
        <v>272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272</v>
      </c>
      <c r="BI67">
        <v>0</v>
      </c>
      <c r="BJ67">
        <v>0</v>
      </c>
      <c r="BK67">
        <v>0</v>
      </c>
    </row>
    <row r="68" spans="1:63">
      <c r="A68" t="s">
        <v>13</v>
      </c>
      <c r="B68">
        <v>22</v>
      </c>
      <c r="C68">
        <v>0</v>
      </c>
      <c r="D68">
        <v>0</v>
      </c>
      <c r="E68">
        <v>0</v>
      </c>
      <c r="F68">
        <v>22</v>
      </c>
      <c r="G68">
        <v>0</v>
      </c>
      <c r="H68">
        <v>0</v>
      </c>
      <c r="I68">
        <v>0</v>
      </c>
      <c r="J68">
        <v>22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 t="s">
        <v>13</v>
      </c>
      <c r="W68">
        <v>22</v>
      </c>
      <c r="X68">
        <v>0</v>
      </c>
      <c r="Y68">
        <v>0</v>
      </c>
      <c r="Z68">
        <v>0</v>
      </c>
      <c r="AA68">
        <v>22</v>
      </c>
      <c r="AB68">
        <v>0</v>
      </c>
      <c r="AC68">
        <v>0</v>
      </c>
      <c r="AD68">
        <v>0</v>
      </c>
      <c r="AE68">
        <v>22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 t="s">
        <v>13</v>
      </c>
      <c r="AR68">
        <v>22</v>
      </c>
      <c r="AS68">
        <v>0</v>
      </c>
      <c r="AT68">
        <v>0</v>
      </c>
      <c r="AU68">
        <v>0</v>
      </c>
      <c r="AV68">
        <v>22</v>
      </c>
      <c r="AW68">
        <v>0</v>
      </c>
      <c r="AX68">
        <v>0</v>
      </c>
      <c r="AY68">
        <v>0</v>
      </c>
      <c r="AZ68">
        <v>22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22</v>
      </c>
      <c r="BI68">
        <v>0</v>
      </c>
      <c r="BJ68">
        <v>0</v>
      </c>
      <c r="BK68">
        <v>0</v>
      </c>
    </row>
    <row r="69" spans="1:63">
      <c r="A69" t="s">
        <v>93</v>
      </c>
      <c r="B69">
        <v>21</v>
      </c>
      <c r="C69">
        <v>0</v>
      </c>
      <c r="D69">
        <v>0</v>
      </c>
      <c r="E69">
        <v>0</v>
      </c>
      <c r="F69">
        <v>21</v>
      </c>
      <c r="G69">
        <v>0</v>
      </c>
      <c r="H69">
        <v>0</v>
      </c>
      <c r="I69">
        <v>0</v>
      </c>
      <c r="J69">
        <v>21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 t="s">
        <v>93</v>
      </c>
      <c r="W69">
        <v>21</v>
      </c>
      <c r="X69">
        <v>0</v>
      </c>
      <c r="Y69">
        <v>0</v>
      </c>
      <c r="Z69">
        <v>0</v>
      </c>
      <c r="AA69">
        <v>21</v>
      </c>
      <c r="AB69">
        <v>0</v>
      </c>
      <c r="AC69">
        <v>0</v>
      </c>
      <c r="AD69">
        <v>0</v>
      </c>
      <c r="AE69">
        <v>21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 t="s">
        <v>93</v>
      </c>
      <c r="AR69">
        <v>21</v>
      </c>
      <c r="AS69">
        <v>0</v>
      </c>
      <c r="AT69">
        <v>0</v>
      </c>
      <c r="AU69">
        <v>0</v>
      </c>
      <c r="AV69">
        <v>21</v>
      </c>
      <c r="AW69">
        <v>0</v>
      </c>
      <c r="AX69">
        <v>0</v>
      </c>
      <c r="AY69">
        <v>0</v>
      </c>
      <c r="AZ69">
        <v>21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21</v>
      </c>
      <c r="BI69">
        <v>0</v>
      </c>
      <c r="BJ69">
        <v>0</v>
      </c>
      <c r="BK69">
        <v>0</v>
      </c>
    </row>
    <row r="70" spans="1:63">
      <c r="A70" t="s">
        <v>48</v>
      </c>
      <c r="B70">
        <v>117</v>
      </c>
      <c r="C70">
        <v>3</v>
      </c>
      <c r="D70">
        <v>0</v>
      </c>
      <c r="E70">
        <v>0</v>
      </c>
      <c r="F70">
        <v>117</v>
      </c>
      <c r="G70">
        <v>3</v>
      </c>
      <c r="H70">
        <v>0</v>
      </c>
      <c r="I70">
        <v>0</v>
      </c>
      <c r="J70">
        <v>119</v>
      </c>
      <c r="K70">
        <v>1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 t="s">
        <v>48</v>
      </c>
      <c r="W70">
        <v>117</v>
      </c>
      <c r="X70">
        <v>3</v>
      </c>
      <c r="Y70">
        <v>0</v>
      </c>
      <c r="Z70">
        <v>0</v>
      </c>
      <c r="AA70">
        <v>117</v>
      </c>
      <c r="AB70">
        <v>3</v>
      </c>
      <c r="AC70">
        <v>0</v>
      </c>
      <c r="AD70">
        <v>0</v>
      </c>
      <c r="AE70">
        <v>119</v>
      </c>
      <c r="AF70">
        <v>1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 t="s">
        <v>48</v>
      </c>
      <c r="AR70">
        <v>117</v>
      </c>
      <c r="AS70">
        <v>3</v>
      </c>
      <c r="AT70">
        <v>0</v>
      </c>
      <c r="AU70">
        <v>0</v>
      </c>
      <c r="AV70">
        <v>117</v>
      </c>
      <c r="AW70">
        <v>3</v>
      </c>
      <c r="AX70">
        <v>0</v>
      </c>
      <c r="AY70">
        <v>0</v>
      </c>
      <c r="AZ70">
        <v>120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120</v>
      </c>
      <c r="BI70">
        <v>0</v>
      </c>
      <c r="BJ70">
        <v>0</v>
      </c>
      <c r="BK70">
        <v>0</v>
      </c>
    </row>
    <row r="71" spans="1:63">
      <c r="A71" t="s">
        <v>103</v>
      </c>
      <c r="B71">
        <v>158</v>
      </c>
      <c r="C71">
        <v>4</v>
      </c>
      <c r="D71">
        <v>0</v>
      </c>
      <c r="E71">
        <v>0</v>
      </c>
      <c r="F71">
        <v>158</v>
      </c>
      <c r="G71">
        <v>4</v>
      </c>
      <c r="H71">
        <v>0</v>
      </c>
      <c r="I71">
        <v>0</v>
      </c>
      <c r="J71">
        <v>161</v>
      </c>
      <c r="K71">
        <v>1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 t="s">
        <v>103</v>
      </c>
      <c r="W71">
        <v>158</v>
      </c>
      <c r="X71">
        <v>4</v>
      </c>
      <c r="Y71">
        <v>0</v>
      </c>
      <c r="Z71">
        <v>0</v>
      </c>
      <c r="AA71">
        <v>158</v>
      </c>
      <c r="AB71">
        <v>4</v>
      </c>
      <c r="AC71">
        <v>0</v>
      </c>
      <c r="AD71">
        <v>0</v>
      </c>
      <c r="AE71">
        <v>161</v>
      </c>
      <c r="AF71">
        <v>1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 t="s">
        <v>103</v>
      </c>
      <c r="AR71">
        <v>158</v>
      </c>
      <c r="AS71">
        <v>4</v>
      </c>
      <c r="AT71">
        <v>0</v>
      </c>
      <c r="AU71">
        <v>0</v>
      </c>
      <c r="AV71">
        <v>158</v>
      </c>
      <c r="AW71">
        <v>4</v>
      </c>
      <c r="AX71">
        <v>0</v>
      </c>
      <c r="AY71">
        <v>0</v>
      </c>
      <c r="AZ71">
        <v>162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162</v>
      </c>
      <c r="BI71">
        <v>0</v>
      </c>
      <c r="BJ71">
        <v>0</v>
      </c>
      <c r="BK71">
        <v>0</v>
      </c>
    </row>
    <row r="72" spans="1:63">
      <c r="A72" t="s">
        <v>31</v>
      </c>
      <c r="B72">
        <v>254</v>
      </c>
      <c r="C72">
        <v>4</v>
      </c>
      <c r="D72">
        <v>0</v>
      </c>
      <c r="E72">
        <v>0</v>
      </c>
      <c r="F72">
        <v>254</v>
      </c>
      <c r="G72">
        <v>4</v>
      </c>
      <c r="H72">
        <v>0</v>
      </c>
      <c r="I72">
        <v>0</v>
      </c>
      <c r="J72">
        <v>257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 t="s">
        <v>31</v>
      </c>
      <c r="W72">
        <v>254</v>
      </c>
      <c r="X72">
        <v>4</v>
      </c>
      <c r="Y72">
        <v>0</v>
      </c>
      <c r="Z72">
        <v>0</v>
      </c>
      <c r="AA72">
        <v>254</v>
      </c>
      <c r="AB72">
        <v>4</v>
      </c>
      <c r="AC72">
        <v>0</v>
      </c>
      <c r="AD72">
        <v>0</v>
      </c>
      <c r="AE72">
        <v>257</v>
      </c>
      <c r="AF72">
        <v>1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 t="s">
        <v>31</v>
      </c>
      <c r="AR72">
        <v>254</v>
      </c>
      <c r="AS72">
        <v>4</v>
      </c>
      <c r="AT72">
        <v>0</v>
      </c>
      <c r="AU72">
        <v>0</v>
      </c>
      <c r="AV72">
        <v>254</v>
      </c>
      <c r="AW72">
        <v>4</v>
      </c>
      <c r="AX72">
        <v>0</v>
      </c>
      <c r="AY72">
        <v>0</v>
      </c>
      <c r="AZ72">
        <v>258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258</v>
      </c>
      <c r="BI72">
        <v>0</v>
      </c>
      <c r="BJ72">
        <v>0</v>
      </c>
      <c r="BK72">
        <v>0</v>
      </c>
    </row>
    <row r="73" spans="1:63">
      <c r="A73" t="s">
        <v>33</v>
      </c>
      <c r="B73">
        <v>294</v>
      </c>
      <c r="C73">
        <v>20</v>
      </c>
      <c r="D73">
        <v>0</v>
      </c>
      <c r="E73">
        <v>0</v>
      </c>
      <c r="F73">
        <v>294</v>
      </c>
      <c r="G73">
        <v>20</v>
      </c>
      <c r="H73">
        <v>0</v>
      </c>
      <c r="I73">
        <v>0</v>
      </c>
      <c r="J73">
        <v>314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 t="s">
        <v>33</v>
      </c>
      <c r="W73">
        <v>294</v>
      </c>
      <c r="X73">
        <v>20</v>
      </c>
      <c r="Y73">
        <v>0</v>
      </c>
      <c r="Z73">
        <v>0</v>
      </c>
      <c r="AA73">
        <v>294</v>
      </c>
      <c r="AB73">
        <v>20</v>
      </c>
      <c r="AC73">
        <v>0</v>
      </c>
      <c r="AD73">
        <v>0</v>
      </c>
      <c r="AE73">
        <v>314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 t="s">
        <v>33</v>
      </c>
      <c r="AR73">
        <v>294</v>
      </c>
      <c r="AS73">
        <v>20</v>
      </c>
      <c r="AT73">
        <v>0</v>
      </c>
      <c r="AU73">
        <v>0</v>
      </c>
      <c r="AV73">
        <v>294</v>
      </c>
      <c r="AW73">
        <v>20</v>
      </c>
      <c r="AX73">
        <v>0</v>
      </c>
      <c r="AY73">
        <v>0</v>
      </c>
      <c r="AZ73">
        <v>314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314</v>
      </c>
      <c r="BI73">
        <v>0</v>
      </c>
      <c r="BJ73">
        <v>0</v>
      </c>
      <c r="BK73">
        <v>0</v>
      </c>
    </row>
    <row r="74" spans="1:63">
      <c r="A74" t="s">
        <v>75</v>
      </c>
      <c r="B74">
        <v>300</v>
      </c>
      <c r="C74">
        <v>12</v>
      </c>
      <c r="D74">
        <v>0</v>
      </c>
      <c r="E74">
        <v>0</v>
      </c>
      <c r="F74">
        <v>300</v>
      </c>
      <c r="G74">
        <v>12</v>
      </c>
      <c r="H74">
        <v>0</v>
      </c>
      <c r="I74">
        <v>0</v>
      </c>
      <c r="J74">
        <v>312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 t="s">
        <v>75</v>
      </c>
      <c r="W74">
        <v>300</v>
      </c>
      <c r="X74">
        <v>12</v>
      </c>
      <c r="Y74">
        <v>0</v>
      </c>
      <c r="Z74">
        <v>0</v>
      </c>
      <c r="AA74">
        <v>300</v>
      </c>
      <c r="AB74">
        <v>12</v>
      </c>
      <c r="AC74">
        <v>0</v>
      </c>
      <c r="AD74">
        <v>0</v>
      </c>
      <c r="AE74">
        <v>312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 t="s">
        <v>75</v>
      </c>
      <c r="AR74">
        <v>300</v>
      </c>
      <c r="AS74">
        <v>12</v>
      </c>
      <c r="AT74">
        <v>0</v>
      </c>
      <c r="AU74">
        <v>0</v>
      </c>
      <c r="AV74">
        <v>300</v>
      </c>
      <c r="AW74">
        <v>12</v>
      </c>
      <c r="AX74">
        <v>0</v>
      </c>
      <c r="AY74">
        <v>0</v>
      </c>
      <c r="AZ74">
        <v>312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312</v>
      </c>
      <c r="BI74">
        <v>0</v>
      </c>
      <c r="BJ74">
        <v>0</v>
      </c>
      <c r="BK74">
        <v>0</v>
      </c>
    </row>
    <row r="75" spans="1:63">
      <c r="A75" t="s">
        <v>23</v>
      </c>
      <c r="B75">
        <v>89</v>
      </c>
      <c r="C75">
        <v>12</v>
      </c>
      <c r="D75">
        <v>0</v>
      </c>
      <c r="E75">
        <v>0</v>
      </c>
      <c r="F75">
        <v>89</v>
      </c>
      <c r="G75">
        <v>12</v>
      </c>
      <c r="H75">
        <v>0</v>
      </c>
      <c r="I75">
        <v>0</v>
      </c>
      <c r="J75">
        <v>240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 t="s">
        <v>23</v>
      </c>
      <c r="W75">
        <v>89</v>
      </c>
      <c r="X75">
        <v>12</v>
      </c>
      <c r="Y75">
        <v>0</v>
      </c>
      <c r="Z75">
        <v>0</v>
      </c>
      <c r="AA75">
        <v>89</v>
      </c>
      <c r="AB75">
        <v>12</v>
      </c>
      <c r="AC75">
        <v>0</v>
      </c>
      <c r="AD75">
        <v>0</v>
      </c>
      <c r="AE75">
        <v>240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 t="s">
        <v>23</v>
      </c>
      <c r="AR75">
        <v>89</v>
      </c>
      <c r="AS75">
        <v>12</v>
      </c>
      <c r="AT75">
        <v>0</v>
      </c>
      <c r="AU75">
        <v>0</v>
      </c>
      <c r="AV75">
        <v>89</v>
      </c>
      <c r="AW75">
        <v>12</v>
      </c>
      <c r="AX75">
        <v>0</v>
      </c>
      <c r="AY75">
        <v>0</v>
      </c>
      <c r="AZ75">
        <v>240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101</v>
      </c>
      <c r="BI75">
        <v>0</v>
      </c>
      <c r="BJ75">
        <v>0</v>
      </c>
      <c r="BK75">
        <v>0</v>
      </c>
    </row>
    <row r="76" spans="1:63">
      <c r="A76" t="s">
        <v>102</v>
      </c>
      <c r="B76">
        <v>62</v>
      </c>
      <c r="C76">
        <v>8</v>
      </c>
      <c r="D76">
        <v>0</v>
      </c>
      <c r="E76">
        <v>0</v>
      </c>
      <c r="F76">
        <v>62</v>
      </c>
      <c r="G76">
        <v>8</v>
      </c>
      <c r="H76">
        <v>0</v>
      </c>
      <c r="I76">
        <v>0</v>
      </c>
      <c r="J76">
        <v>70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 t="s">
        <v>102</v>
      </c>
      <c r="W76">
        <v>62</v>
      </c>
      <c r="X76">
        <v>8</v>
      </c>
      <c r="Y76">
        <v>0</v>
      </c>
      <c r="Z76">
        <v>0</v>
      </c>
      <c r="AA76">
        <v>62</v>
      </c>
      <c r="AB76">
        <v>8</v>
      </c>
      <c r="AC76">
        <v>0</v>
      </c>
      <c r="AD76">
        <v>0</v>
      </c>
      <c r="AE76">
        <v>70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 t="s">
        <v>102</v>
      </c>
      <c r="AR76">
        <v>62</v>
      </c>
      <c r="AS76">
        <v>8</v>
      </c>
      <c r="AT76">
        <v>0</v>
      </c>
      <c r="AU76">
        <v>0</v>
      </c>
      <c r="AV76">
        <v>62</v>
      </c>
      <c r="AW76">
        <v>8</v>
      </c>
      <c r="AX76">
        <v>0</v>
      </c>
      <c r="AY76">
        <v>0</v>
      </c>
      <c r="AZ76">
        <v>70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70</v>
      </c>
      <c r="BI76">
        <v>0</v>
      </c>
      <c r="BJ76">
        <v>0</v>
      </c>
      <c r="BK76">
        <v>0</v>
      </c>
    </row>
    <row r="77" spans="1:63">
      <c r="A77" t="s">
        <v>67</v>
      </c>
      <c r="B77">
        <v>147</v>
      </c>
      <c r="C77">
        <v>0</v>
      </c>
      <c r="D77">
        <v>0</v>
      </c>
      <c r="E77">
        <v>0</v>
      </c>
      <c r="F77">
        <v>147</v>
      </c>
      <c r="G77">
        <v>0</v>
      </c>
      <c r="H77">
        <v>0</v>
      </c>
      <c r="I77">
        <v>0</v>
      </c>
      <c r="J77">
        <v>147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 t="s">
        <v>67</v>
      </c>
      <c r="W77">
        <v>147</v>
      </c>
      <c r="X77">
        <v>0</v>
      </c>
      <c r="Y77">
        <v>0</v>
      </c>
      <c r="Z77">
        <v>0</v>
      </c>
      <c r="AA77">
        <v>147</v>
      </c>
      <c r="AB77">
        <v>0</v>
      </c>
      <c r="AC77">
        <v>0</v>
      </c>
      <c r="AD77">
        <v>0</v>
      </c>
      <c r="AE77">
        <v>147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 t="s">
        <v>67</v>
      </c>
      <c r="AR77">
        <v>147</v>
      </c>
      <c r="AS77">
        <v>0</v>
      </c>
      <c r="AT77">
        <v>0</v>
      </c>
      <c r="AU77">
        <v>0</v>
      </c>
      <c r="AV77">
        <v>147</v>
      </c>
      <c r="AW77">
        <v>0</v>
      </c>
      <c r="AX77">
        <v>0</v>
      </c>
      <c r="AY77">
        <v>0</v>
      </c>
      <c r="AZ77">
        <v>147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147</v>
      </c>
      <c r="BI77">
        <v>0</v>
      </c>
      <c r="BJ77">
        <v>0</v>
      </c>
      <c r="BK77">
        <v>0</v>
      </c>
    </row>
    <row r="78" spans="1:63">
      <c r="A78" t="s">
        <v>52</v>
      </c>
      <c r="B78">
        <v>94</v>
      </c>
      <c r="C78">
        <v>19</v>
      </c>
      <c r="D78">
        <v>0</v>
      </c>
      <c r="E78">
        <v>0</v>
      </c>
      <c r="F78">
        <v>94</v>
      </c>
      <c r="G78">
        <v>19</v>
      </c>
      <c r="H78">
        <v>0</v>
      </c>
      <c r="I78">
        <v>0</v>
      </c>
      <c r="J78">
        <v>113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 t="s">
        <v>52</v>
      </c>
      <c r="W78">
        <v>94</v>
      </c>
      <c r="X78">
        <v>19</v>
      </c>
      <c r="Y78">
        <v>0</v>
      </c>
      <c r="Z78">
        <v>0</v>
      </c>
      <c r="AA78">
        <v>94</v>
      </c>
      <c r="AB78">
        <v>19</v>
      </c>
      <c r="AC78">
        <v>0</v>
      </c>
      <c r="AD78">
        <v>0</v>
      </c>
      <c r="AE78">
        <v>113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 t="s">
        <v>52</v>
      </c>
      <c r="AR78">
        <v>94</v>
      </c>
      <c r="AS78">
        <v>19</v>
      </c>
      <c r="AT78">
        <v>0</v>
      </c>
      <c r="AU78">
        <v>0</v>
      </c>
      <c r="AV78">
        <v>94</v>
      </c>
      <c r="AW78">
        <v>19</v>
      </c>
      <c r="AX78">
        <v>0</v>
      </c>
      <c r="AY78">
        <v>0</v>
      </c>
      <c r="AZ78">
        <v>113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113</v>
      </c>
      <c r="BI78">
        <v>0</v>
      </c>
      <c r="BJ78">
        <v>0</v>
      </c>
      <c r="BK78">
        <v>0</v>
      </c>
    </row>
    <row r="79" spans="1:63">
      <c r="A79" t="s">
        <v>74</v>
      </c>
      <c r="B79">
        <v>13</v>
      </c>
      <c r="C79">
        <v>6</v>
      </c>
      <c r="D79">
        <v>0</v>
      </c>
      <c r="E79">
        <v>0</v>
      </c>
      <c r="F79">
        <v>13</v>
      </c>
      <c r="G79">
        <v>6</v>
      </c>
      <c r="H79">
        <v>0</v>
      </c>
      <c r="I79">
        <v>0</v>
      </c>
      <c r="J79">
        <v>19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 t="s">
        <v>74</v>
      </c>
      <c r="W79">
        <v>13</v>
      </c>
      <c r="X79">
        <v>6</v>
      </c>
      <c r="Y79">
        <v>0</v>
      </c>
      <c r="Z79">
        <v>0</v>
      </c>
      <c r="AA79">
        <v>13</v>
      </c>
      <c r="AB79">
        <v>6</v>
      </c>
      <c r="AC79">
        <v>0</v>
      </c>
      <c r="AD79">
        <v>0</v>
      </c>
      <c r="AE79">
        <v>19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 t="s">
        <v>74</v>
      </c>
      <c r="AR79">
        <v>13</v>
      </c>
      <c r="AS79">
        <v>6</v>
      </c>
      <c r="AT79">
        <v>0</v>
      </c>
      <c r="AU79">
        <v>0</v>
      </c>
      <c r="AV79">
        <v>13</v>
      </c>
      <c r="AW79">
        <v>6</v>
      </c>
      <c r="AX79">
        <v>0</v>
      </c>
      <c r="AY79">
        <v>0</v>
      </c>
      <c r="AZ79">
        <v>19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19</v>
      </c>
      <c r="BI79">
        <v>0</v>
      </c>
      <c r="BJ79">
        <v>0</v>
      </c>
      <c r="BK79">
        <v>0</v>
      </c>
    </row>
    <row r="80" spans="1:63">
      <c r="A80" t="s">
        <v>1</v>
      </c>
      <c r="B80">
        <v>8</v>
      </c>
      <c r="C80">
        <v>0</v>
      </c>
      <c r="D80">
        <v>0</v>
      </c>
      <c r="E80">
        <v>0</v>
      </c>
      <c r="F80">
        <v>8</v>
      </c>
      <c r="G80">
        <v>0</v>
      </c>
      <c r="H80">
        <v>0</v>
      </c>
      <c r="I80">
        <v>0</v>
      </c>
      <c r="J80">
        <v>10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 t="s">
        <v>1</v>
      </c>
      <c r="W80">
        <v>8</v>
      </c>
      <c r="X80">
        <v>0</v>
      </c>
      <c r="Y80">
        <v>0</v>
      </c>
      <c r="Z80">
        <v>0</v>
      </c>
      <c r="AA80">
        <v>8</v>
      </c>
      <c r="AB80">
        <v>0</v>
      </c>
      <c r="AC80">
        <v>0</v>
      </c>
      <c r="AD80">
        <v>0</v>
      </c>
      <c r="AE80">
        <v>10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 t="s">
        <v>1</v>
      </c>
      <c r="AR80">
        <v>8</v>
      </c>
      <c r="AS80">
        <v>0</v>
      </c>
      <c r="AT80">
        <v>0</v>
      </c>
      <c r="AU80">
        <v>0</v>
      </c>
      <c r="AV80">
        <v>8</v>
      </c>
      <c r="AW80">
        <v>0</v>
      </c>
      <c r="AX80">
        <v>0</v>
      </c>
      <c r="AY80">
        <v>0</v>
      </c>
      <c r="AZ80">
        <v>10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8</v>
      </c>
      <c r="BI80">
        <v>0</v>
      </c>
      <c r="BJ80">
        <v>0</v>
      </c>
      <c r="BK80">
        <v>0</v>
      </c>
    </row>
    <row r="81" spans="1:63">
      <c r="A81" t="s">
        <v>0</v>
      </c>
      <c r="B81">
        <v>62</v>
      </c>
      <c r="C81">
        <v>32</v>
      </c>
      <c r="D81">
        <v>0</v>
      </c>
      <c r="E81">
        <v>0</v>
      </c>
      <c r="F81">
        <v>50</v>
      </c>
      <c r="G81">
        <v>44</v>
      </c>
      <c r="H81">
        <v>0</v>
      </c>
      <c r="I81">
        <v>0</v>
      </c>
      <c r="J81">
        <v>94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 t="s">
        <v>0</v>
      </c>
      <c r="W81">
        <v>62</v>
      </c>
      <c r="X81">
        <v>32</v>
      </c>
      <c r="Y81">
        <v>0</v>
      </c>
      <c r="Z81">
        <v>0</v>
      </c>
      <c r="AA81">
        <v>50</v>
      </c>
      <c r="AB81">
        <v>44</v>
      </c>
      <c r="AC81">
        <v>0</v>
      </c>
      <c r="AD81">
        <v>0</v>
      </c>
      <c r="AE81">
        <v>94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 t="s">
        <v>0</v>
      </c>
      <c r="AR81">
        <v>50</v>
      </c>
      <c r="AS81">
        <v>44</v>
      </c>
      <c r="AT81">
        <v>0</v>
      </c>
      <c r="AU81">
        <v>0</v>
      </c>
      <c r="AV81">
        <v>50</v>
      </c>
      <c r="AW81">
        <v>44</v>
      </c>
      <c r="AX81">
        <v>0</v>
      </c>
      <c r="AY81">
        <v>0</v>
      </c>
      <c r="AZ81">
        <v>94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94</v>
      </c>
      <c r="BI81">
        <v>0</v>
      </c>
      <c r="BJ81">
        <v>0</v>
      </c>
      <c r="BK81">
        <v>0</v>
      </c>
    </row>
    <row r="82" spans="1:63">
      <c r="A82" t="s">
        <v>90</v>
      </c>
      <c r="B82">
        <v>5</v>
      </c>
      <c r="C82">
        <v>0</v>
      </c>
      <c r="D82">
        <v>0</v>
      </c>
      <c r="E82">
        <v>0</v>
      </c>
      <c r="F82">
        <v>5</v>
      </c>
      <c r="G82">
        <v>0</v>
      </c>
      <c r="H82">
        <v>0</v>
      </c>
      <c r="I82">
        <v>0</v>
      </c>
      <c r="J82">
        <v>5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 t="s">
        <v>90</v>
      </c>
      <c r="W82">
        <v>5</v>
      </c>
      <c r="X82">
        <v>0</v>
      </c>
      <c r="Y82">
        <v>0</v>
      </c>
      <c r="Z82">
        <v>0</v>
      </c>
      <c r="AA82">
        <v>5</v>
      </c>
      <c r="AB82">
        <v>0</v>
      </c>
      <c r="AC82">
        <v>0</v>
      </c>
      <c r="AD82">
        <v>0</v>
      </c>
      <c r="AE82">
        <v>5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 t="s">
        <v>90</v>
      </c>
      <c r="AR82">
        <v>5</v>
      </c>
      <c r="AS82">
        <v>0</v>
      </c>
      <c r="AT82">
        <v>0</v>
      </c>
      <c r="AU82">
        <v>0</v>
      </c>
      <c r="AV82">
        <v>5</v>
      </c>
      <c r="AW82">
        <v>0</v>
      </c>
      <c r="AX82">
        <v>0</v>
      </c>
      <c r="AY82">
        <v>0</v>
      </c>
      <c r="AZ82">
        <v>5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5</v>
      </c>
      <c r="BI82">
        <v>0</v>
      </c>
      <c r="BJ82">
        <v>0</v>
      </c>
      <c r="BK82">
        <v>0</v>
      </c>
    </row>
    <row r="83" spans="1:63">
      <c r="A83" t="s">
        <v>65</v>
      </c>
      <c r="B83">
        <v>50</v>
      </c>
      <c r="C83">
        <v>0</v>
      </c>
      <c r="D83">
        <v>0</v>
      </c>
      <c r="E83">
        <v>0</v>
      </c>
      <c r="F83">
        <v>50</v>
      </c>
      <c r="G83">
        <v>0</v>
      </c>
      <c r="H83">
        <v>0</v>
      </c>
      <c r="I83">
        <v>0</v>
      </c>
      <c r="J83">
        <v>50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 t="s">
        <v>65</v>
      </c>
      <c r="W83">
        <v>50</v>
      </c>
      <c r="X83">
        <v>0</v>
      </c>
      <c r="Y83">
        <v>0</v>
      </c>
      <c r="Z83">
        <v>0</v>
      </c>
      <c r="AA83">
        <v>50</v>
      </c>
      <c r="AB83">
        <v>0</v>
      </c>
      <c r="AC83">
        <v>0</v>
      </c>
      <c r="AD83">
        <v>0</v>
      </c>
      <c r="AE83">
        <v>50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 t="s">
        <v>65</v>
      </c>
      <c r="AR83">
        <v>50</v>
      </c>
      <c r="AS83">
        <v>0</v>
      </c>
      <c r="AT83">
        <v>0</v>
      </c>
      <c r="AU83">
        <v>0</v>
      </c>
      <c r="AV83">
        <v>50</v>
      </c>
      <c r="AW83">
        <v>0</v>
      </c>
      <c r="AX83">
        <v>0</v>
      </c>
      <c r="AY83">
        <v>0</v>
      </c>
      <c r="AZ83">
        <v>50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50</v>
      </c>
      <c r="BI83">
        <v>0</v>
      </c>
      <c r="BJ83">
        <v>0</v>
      </c>
      <c r="BK83">
        <v>0</v>
      </c>
    </row>
    <row r="84" spans="1:63">
      <c r="A84" t="s">
        <v>86</v>
      </c>
      <c r="B84">
        <v>33</v>
      </c>
      <c r="C84">
        <v>0</v>
      </c>
      <c r="D84">
        <v>0</v>
      </c>
      <c r="E84">
        <v>0</v>
      </c>
      <c r="F84">
        <v>33</v>
      </c>
      <c r="G84">
        <v>0</v>
      </c>
      <c r="H84">
        <v>0</v>
      </c>
      <c r="I84">
        <v>0</v>
      </c>
      <c r="J84">
        <v>33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 t="s">
        <v>86</v>
      </c>
      <c r="W84">
        <v>33</v>
      </c>
      <c r="X84">
        <v>0</v>
      </c>
      <c r="Y84">
        <v>0</v>
      </c>
      <c r="Z84">
        <v>0</v>
      </c>
      <c r="AA84">
        <v>33</v>
      </c>
      <c r="AB84">
        <v>0</v>
      </c>
      <c r="AC84">
        <v>0</v>
      </c>
      <c r="AD84">
        <v>0</v>
      </c>
      <c r="AE84">
        <v>33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 t="s">
        <v>86</v>
      </c>
      <c r="AR84">
        <v>33</v>
      </c>
      <c r="AS84">
        <v>0</v>
      </c>
      <c r="AT84">
        <v>0</v>
      </c>
      <c r="AU84">
        <v>0</v>
      </c>
      <c r="AV84">
        <v>33</v>
      </c>
      <c r="AW84">
        <v>0</v>
      </c>
      <c r="AX84">
        <v>0</v>
      </c>
      <c r="AY84">
        <v>0</v>
      </c>
      <c r="AZ84">
        <v>33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33</v>
      </c>
      <c r="BI84">
        <v>0</v>
      </c>
      <c r="BJ84">
        <v>0</v>
      </c>
      <c r="BK84">
        <v>0</v>
      </c>
    </row>
    <row r="85" spans="1:63">
      <c r="A85" t="s">
        <v>88</v>
      </c>
      <c r="B85">
        <v>55</v>
      </c>
      <c r="C85">
        <v>1</v>
      </c>
      <c r="D85">
        <v>0</v>
      </c>
      <c r="E85">
        <v>0</v>
      </c>
      <c r="F85">
        <v>55</v>
      </c>
      <c r="G85">
        <v>1</v>
      </c>
      <c r="H85">
        <v>0</v>
      </c>
      <c r="I85">
        <v>0</v>
      </c>
      <c r="J85">
        <v>56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 t="s">
        <v>88</v>
      </c>
      <c r="W85">
        <v>55</v>
      </c>
      <c r="X85">
        <v>1</v>
      </c>
      <c r="Y85">
        <v>0</v>
      </c>
      <c r="Z85">
        <v>0</v>
      </c>
      <c r="AA85">
        <v>55</v>
      </c>
      <c r="AB85">
        <v>1</v>
      </c>
      <c r="AC85">
        <v>0</v>
      </c>
      <c r="AD85">
        <v>0</v>
      </c>
      <c r="AE85">
        <v>56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 t="s">
        <v>88</v>
      </c>
      <c r="AR85">
        <v>55</v>
      </c>
      <c r="AS85">
        <v>1</v>
      </c>
      <c r="AT85">
        <v>0</v>
      </c>
      <c r="AU85">
        <v>0</v>
      </c>
      <c r="AV85">
        <v>55</v>
      </c>
      <c r="AW85">
        <v>1</v>
      </c>
      <c r="AX85">
        <v>0</v>
      </c>
      <c r="AY85">
        <v>0</v>
      </c>
      <c r="AZ85">
        <v>56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56</v>
      </c>
      <c r="BI85">
        <v>0</v>
      </c>
      <c r="BJ85">
        <v>0</v>
      </c>
      <c r="BK85">
        <v>0</v>
      </c>
    </row>
    <row r="86" spans="1:63">
      <c r="A86" t="s">
        <v>77</v>
      </c>
      <c r="B86">
        <v>86</v>
      </c>
      <c r="C86">
        <v>2</v>
      </c>
      <c r="D86">
        <v>0</v>
      </c>
      <c r="E86">
        <v>0</v>
      </c>
      <c r="F86">
        <v>86</v>
      </c>
      <c r="G86">
        <v>2</v>
      </c>
      <c r="H86">
        <v>0</v>
      </c>
      <c r="I86">
        <v>0</v>
      </c>
      <c r="J86">
        <v>88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 t="s">
        <v>77</v>
      </c>
      <c r="W86">
        <v>86</v>
      </c>
      <c r="X86">
        <v>2</v>
      </c>
      <c r="Y86">
        <v>0</v>
      </c>
      <c r="Z86">
        <v>0</v>
      </c>
      <c r="AA86">
        <v>86</v>
      </c>
      <c r="AB86">
        <v>2</v>
      </c>
      <c r="AC86">
        <v>0</v>
      </c>
      <c r="AD86">
        <v>0</v>
      </c>
      <c r="AE86">
        <v>88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 t="s">
        <v>77</v>
      </c>
      <c r="AR86">
        <v>86</v>
      </c>
      <c r="AS86">
        <v>2</v>
      </c>
      <c r="AT86">
        <v>0</v>
      </c>
      <c r="AU86">
        <v>0</v>
      </c>
      <c r="AV86">
        <v>86</v>
      </c>
      <c r="AW86">
        <v>2</v>
      </c>
      <c r="AX86">
        <v>0</v>
      </c>
      <c r="AY86">
        <v>0</v>
      </c>
      <c r="AZ86">
        <v>88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88</v>
      </c>
      <c r="BI86">
        <v>0</v>
      </c>
      <c r="BJ86">
        <v>0</v>
      </c>
      <c r="BK86">
        <v>0</v>
      </c>
    </row>
    <row r="87" spans="1:63">
      <c r="A87" t="s">
        <v>17</v>
      </c>
      <c r="B87">
        <v>35</v>
      </c>
      <c r="C87">
        <v>1</v>
      </c>
      <c r="D87">
        <v>0</v>
      </c>
      <c r="E87">
        <v>0</v>
      </c>
      <c r="F87">
        <v>35</v>
      </c>
      <c r="G87">
        <v>1</v>
      </c>
      <c r="H87">
        <v>0</v>
      </c>
      <c r="I87">
        <v>0</v>
      </c>
      <c r="J87">
        <v>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 t="s">
        <v>17</v>
      </c>
      <c r="W87">
        <v>35</v>
      </c>
      <c r="X87">
        <v>1</v>
      </c>
      <c r="Y87">
        <v>0</v>
      </c>
      <c r="Z87">
        <v>0</v>
      </c>
      <c r="AA87">
        <v>35</v>
      </c>
      <c r="AB87">
        <v>1</v>
      </c>
      <c r="AC87">
        <v>0</v>
      </c>
      <c r="AD87">
        <v>0</v>
      </c>
      <c r="AE87">
        <v>36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 t="s">
        <v>17</v>
      </c>
      <c r="AR87">
        <v>35</v>
      </c>
      <c r="AS87">
        <v>1</v>
      </c>
      <c r="AT87">
        <v>0</v>
      </c>
      <c r="AU87">
        <v>0</v>
      </c>
      <c r="AV87">
        <v>35</v>
      </c>
      <c r="AW87">
        <v>1</v>
      </c>
      <c r="AX87">
        <v>0</v>
      </c>
      <c r="AY87">
        <v>0</v>
      </c>
      <c r="AZ87">
        <v>36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36</v>
      </c>
      <c r="BI87">
        <v>0</v>
      </c>
      <c r="BJ87">
        <v>0</v>
      </c>
      <c r="BK87">
        <v>0</v>
      </c>
    </row>
    <row r="88" spans="1:63">
      <c r="A88" t="s">
        <v>35</v>
      </c>
      <c r="B88">
        <v>11</v>
      </c>
      <c r="C88">
        <v>0</v>
      </c>
      <c r="D88">
        <v>0</v>
      </c>
      <c r="E88">
        <v>0</v>
      </c>
      <c r="F88">
        <v>11</v>
      </c>
      <c r="G88">
        <v>0</v>
      </c>
      <c r="H88">
        <v>0</v>
      </c>
      <c r="I88">
        <v>0</v>
      </c>
      <c r="J88">
        <v>11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 t="s">
        <v>35</v>
      </c>
      <c r="W88">
        <v>11</v>
      </c>
      <c r="X88">
        <v>0</v>
      </c>
      <c r="Y88">
        <v>0</v>
      </c>
      <c r="Z88">
        <v>0</v>
      </c>
      <c r="AA88">
        <v>11</v>
      </c>
      <c r="AB88">
        <v>0</v>
      </c>
      <c r="AC88">
        <v>0</v>
      </c>
      <c r="AD88">
        <v>0</v>
      </c>
      <c r="AE88">
        <v>11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 t="s">
        <v>35</v>
      </c>
      <c r="AR88">
        <v>11</v>
      </c>
      <c r="AS88">
        <v>0</v>
      </c>
      <c r="AT88">
        <v>0</v>
      </c>
      <c r="AU88">
        <v>0</v>
      </c>
      <c r="AV88">
        <v>11</v>
      </c>
      <c r="AW88">
        <v>0</v>
      </c>
      <c r="AX88">
        <v>0</v>
      </c>
      <c r="AY88">
        <v>0</v>
      </c>
      <c r="AZ88">
        <v>11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11</v>
      </c>
      <c r="BI88">
        <v>0</v>
      </c>
      <c r="BJ88">
        <v>0</v>
      </c>
      <c r="BK88">
        <v>0</v>
      </c>
    </row>
    <row r="89" spans="1:63">
      <c r="A89" t="s">
        <v>83</v>
      </c>
      <c r="B89">
        <v>82</v>
      </c>
      <c r="C89">
        <v>0</v>
      </c>
      <c r="D89">
        <v>0</v>
      </c>
      <c r="E89">
        <v>0</v>
      </c>
      <c r="F89">
        <v>82</v>
      </c>
      <c r="G89">
        <v>0</v>
      </c>
      <c r="H89">
        <v>0</v>
      </c>
      <c r="I89">
        <v>0</v>
      </c>
      <c r="J89">
        <v>82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 t="s">
        <v>83</v>
      </c>
      <c r="W89">
        <v>82</v>
      </c>
      <c r="X89">
        <v>0</v>
      </c>
      <c r="Y89">
        <v>0</v>
      </c>
      <c r="Z89">
        <v>0</v>
      </c>
      <c r="AA89">
        <v>82</v>
      </c>
      <c r="AB89">
        <v>0</v>
      </c>
      <c r="AC89">
        <v>0</v>
      </c>
      <c r="AD89">
        <v>0</v>
      </c>
      <c r="AE89">
        <v>82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 t="s">
        <v>83</v>
      </c>
      <c r="AR89">
        <v>82</v>
      </c>
      <c r="AS89">
        <v>0</v>
      </c>
      <c r="AT89">
        <v>0</v>
      </c>
      <c r="AU89">
        <v>0</v>
      </c>
      <c r="AV89">
        <v>82</v>
      </c>
      <c r="AW89">
        <v>0</v>
      </c>
      <c r="AX89">
        <v>0</v>
      </c>
      <c r="AY89">
        <v>0</v>
      </c>
      <c r="AZ89">
        <v>82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82</v>
      </c>
      <c r="BI89">
        <v>0</v>
      </c>
      <c r="BJ89">
        <v>0</v>
      </c>
      <c r="BK89">
        <v>0</v>
      </c>
    </row>
    <row r="90" spans="1:63">
      <c r="A90" t="s">
        <v>80</v>
      </c>
      <c r="B90">
        <v>126</v>
      </c>
      <c r="C90">
        <v>6</v>
      </c>
      <c r="D90">
        <v>0</v>
      </c>
      <c r="E90">
        <v>0</v>
      </c>
      <c r="F90">
        <v>126</v>
      </c>
      <c r="G90">
        <v>6</v>
      </c>
      <c r="H90">
        <v>0</v>
      </c>
      <c r="I90">
        <v>0</v>
      </c>
      <c r="J90">
        <v>132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 t="s">
        <v>80</v>
      </c>
      <c r="W90">
        <v>126</v>
      </c>
      <c r="X90">
        <v>6</v>
      </c>
      <c r="Y90">
        <v>0</v>
      </c>
      <c r="Z90">
        <v>0</v>
      </c>
      <c r="AA90">
        <v>126</v>
      </c>
      <c r="AB90">
        <v>6</v>
      </c>
      <c r="AC90">
        <v>0</v>
      </c>
      <c r="AD90">
        <v>0</v>
      </c>
      <c r="AE90">
        <v>132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 t="s">
        <v>80</v>
      </c>
      <c r="AR90">
        <v>126</v>
      </c>
      <c r="AS90">
        <v>6</v>
      </c>
      <c r="AT90">
        <v>0</v>
      </c>
      <c r="AU90">
        <v>0</v>
      </c>
      <c r="AV90">
        <v>126</v>
      </c>
      <c r="AW90">
        <v>6</v>
      </c>
      <c r="AX90">
        <v>0</v>
      </c>
      <c r="AY90">
        <v>0</v>
      </c>
      <c r="AZ90">
        <v>132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132</v>
      </c>
      <c r="BI90">
        <v>0</v>
      </c>
      <c r="BJ90">
        <v>0</v>
      </c>
      <c r="BK90">
        <v>0</v>
      </c>
    </row>
    <row r="91" spans="1:63">
      <c r="A91" t="s">
        <v>10</v>
      </c>
      <c r="B91">
        <v>30</v>
      </c>
      <c r="C91">
        <v>0</v>
      </c>
      <c r="D91">
        <v>0</v>
      </c>
      <c r="E91">
        <v>0</v>
      </c>
      <c r="F91">
        <v>30</v>
      </c>
      <c r="G91">
        <v>0</v>
      </c>
      <c r="H91">
        <v>0</v>
      </c>
      <c r="I91">
        <v>0</v>
      </c>
      <c r="J91">
        <v>30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 t="s">
        <v>10</v>
      </c>
      <c r="W91">
        <v>30</v>
      </c>
      <c r="X91">
        <v>0</v>
      </c>
      <c r="Y91">
        <v>0</v>
      </c>
      <c r="Z91">
        <v>0</v>
      </c>
      <c r="AA91">
        <v>30</v>
      </c>
      <c r="AB91">
        <v>0</v>
      </c>
      <c r="AC91">
        <v>0</v>
      </c>
      <c r="AD91">
        <v>0</v>
      </c>
      <c r="AE91">
        <v>30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 t="s">
        <v>10</v>
      </c>
      <c r="AR91">
        <v>30</v>
      </c>
      <c r="AS91">
        <v>0</v>
      </c>
      <c r="AT91">
        <v>0</v>
      </c>
      <c r="AU91">
        <v>0</v>
      </c>
      <c r="AV91">
        <v>30</v>
      </c>
      <c r="AW91">
        <v>0</v>
      </c>
      <c r="AX91">
        <v>0</v>
      </c>
      <c r="AY91">
        <v>0</v>
      </c>
      <c r="AZ91">
        <v>30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30</v>
      </c>
      <c r="BI91">
        <v>0</v>
      </c>
      <c r="BJ91">
        <v>0</v>
      </c>
      <c r="BK91">
        <v>0</v>
      </c>
    </row>
    <row r="92" spans="1:63">
      <c r="A92" t="s">
        <v>97</v>
      </c>
      <c r="B92">
        <v>41</v>
      </c>
      <c r="C92">
        <v>0</v>
      </c>
      <c r="D92">
        <v>0</v>
      </c>
      <c r="E92">
        <v>0</v>
      </c>
      <c r="F92">
        <v>41</v>
      </c>
      <c r="G92">
        <v>0</v>
      </c>
      <c r="H92">
        <v>0</v>
      </c>
      <c r="I92">
        <v>0</v>
      </c>
      <c r="J92">
        <v>41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 t="s">
        <v>97</v>
      </c>
      <c r="W92">
        <v>41</v>
      </c>
      <c r="X92">
        <v>0</v>
      </c>
      <c r="Y92">
        <v>0</v>
      </c>
      <c r="Z92">
        <v>0</v>
      </c>
      <c r="AA92">
        <v>41</v>
      </c>
      <c r="AB92">
        <v>0</v>
      </c>
      <c r="AC92">
        <v>0</v>
      </c>
      <c r="AD92">
        <v>0</v>
      </c>
      <c r="AE92">
        <v>41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 t="s">
        <v>97</v>
      </c>
      <c r="AR92">
        <v>41</v>
      </c>
      <c r="AS92">
        <v>0</v>
      </c>
      <c r="AT92">
        <v>0</v>
      </c>
      <c r="AU92">
        <v>0</v>
      </c>
      <c r="AV92">
        <v>41</v>
      </c>
      <c r="AW92">
        <v>0</v>
      </c>
      <c r="AX92">
        <v>0</v>
      </c>
      <c r="AY92">
        <v>0</v>
      </c>
      <c r="AZ92">
        <v>41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41</v>
      </c>
      <c r="BI92">
        <v>0</v>
      </c>
      <c r="BJ92">
        <v>0</v>
      </c>
      <c r="BK92">
        <v>0</v>
      </c>
    </row>
    <row r="93" spans="1:63">
      <c r="A93" t="s">
        <v>15</v>
      </c>
      <c r="B93">
        <v>7</v>
      </c>
      <c r="C93">
        <v>0</v>
      </c>
      <c r="D93">
        <v>0</v>
      </c>
      <c r="E93">
        <v>0</v>
      </c>
      <c r="F93">
        <v>7</v>
      </c>
      <c r="G93">
        <v>0</v>
      </c>
      <c r="H93">
        <v>0</v>
      </c>
      <c r="I93">
        <v>0</v>
      </c>
      <c r="J93">
        <v>7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 t="s">
        <v>15</v>
      </c>
      <c r="W93">
        <v>7</v>
      </c>
      <c r="X93">
        <v>0</v>
      </c>
      <c r="Y93">
        <v>0</v>
      </c>
      <c r="Z93">
        <v>0</v>
      </c>
      <c r="AA93">
        <v>7</v>
      </c>
      <c r="AB93">
        <v>0</v>
      </c>
      <c r="AC93">
        <v>0</v>
      </c>
      <c r="AD93">
        <v>0</v>
      </c>
      <c r="AE93">
        <v>7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 t="s">
        <v>15</v>
      </c>
      <c r="AR93">
        <v>7</v>
      </c>
      <c r="AS93">
        <v>0</v>
      </c>
      <c r="AT93">
        <v>0</v>
      </c>
      <c r="AU93">
        <v>0</v>
      </c>
      <c r="AV93">
        <v>7</v>
      </c>
      <c r="AW93">
        <v>0</v>
      </c>
      <c r="AX93">
        <v>0</v>
      </c>
      <c r="AY93">
        <v>0</v>
      </c>
      <c r="AZ93">
        <v>7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7</v>
      </c>
      <c r="BI93">
        <v>0</v>
      </c>
      <c r="BJ93">
        <v>0</v>
      </c>
      <c r="BK93">
        <v>0</v>
      </c>
    </row>
    <row r="94" spans="1:63">
      <c r="A94" t="s">
        <v>61</v>
      </c>
      <c r="B94">
        <v>48</v>
      </c>
      <c r="C94">
        <v>5</v>
      </c>
      <c r="D94">
        <v>0</v>
      </c>
      <c r="E94">
        <v>0</v>
      </c>
      <c r="F94">
        <v>48</v>
      </c>
      <c r="G94">
        <v>5</v>
      </c>
      <c r="H94">
        <v>0</v>
      </c>
      <c r="I94">
        <v>0</v>
      </c>
      <c r="J94">
        <v>53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 t="s">
        <v>61</v>
      </c>
      <c r="W94">
        <v>48</v>
      </c>
      <c r="X94">
        <v>5</v>
      </c>
      <c r="Y94">
        <v>0</v>
      </c>
      <c r="Z94">
        <v>0</v>
      </c>
      <c r="AA94">
        <v>48</v>
      </c>
      <c r="AB94">
        <v>5</v>
      </c>
      <c r="AC94">
        <v>0</v>
      </c>
      <c r="AD94">
        <v>0</v>
      </c>
      <c r="AE94">
        <v>53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 t="s">
        <v>61</v>
      </c>
      <c r="AR94">
        <v>48</v>
      </c>
      <c r="AS94">
        <v>5</v>
      </c>
      <c r="AT94">
        <v>0</v>
      </c>
      <c r="AU94">
        <v>0</v>
      </c>
      <c r="AV94">
        <v>48</v>
      </c>
      <c r="AW94">
        <v>5</v>
      </c>
      <c r="AX94">
        <v>0</v>
      </c>
      <c r="AY94">
        <v>0</v>
      </c>
      <c r="AZ94">
        <v>53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53</v>
      </c>
      <c r="BI94">
        <v>0</v>
      </c>
      <c r="BJ94">
        <v>0</v>
      </c>
      <c r="BK94">
        <v>0</v>
      </c>
    </row>
    <row r="95" spans="1:63">
      <c r="A95" t="s">
        <v>49</v>
      </c>
      <c r="B95">
        <v>18</v>
      </c>
      <c r="C95">
        <v>1</v>
      </c>
      <c r="D95">
        <v>0</v>
      </c>
      <c r="E95">
        <v>0</v>
      </c>
      <c r="F95">
        <v>18</v>
      </c>
      <c r="G95">
        <v>1</v>
      </c>
      <c r="H95">
        <v>0</v>
      </c>
      <c r="I95">
        <v>0</v>
      </c>
      <c r="J95">
        <v>19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 t="s">
        <v>49</v>
      </c>
      <c r="W95">
        <v>18</v>
      </c>
      <c r="X95">
        <v>1</v>
      </c>
      <c r="Y95">
        <v>0</v>
      </c>
      <c r="Z95">
        <v>0</v>
      </c>
      <c r="AA95">
        <v>18</v>
      </c>
      <c r="AB95">
        <v>1</v>
      </c>
      <c r="AC95">
        <v>0</v>
      </c>
      <c r="AD95">
        <v>0</v>
      </c>
      <c r="AE95">
        <v>19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 t="s">
        <v>49</v>
      </c>
      <c r="AR95">
        <v>18</v>
      </c>
      <c r="AS95">
        <v>1</v>
      </c>
      <c r="AT95">
        <v>0</v>
      </c>
      <c r="AU95">
        <v>0</v>
      </c>
      <c r="AV95">
        <v>18</v>
      </c>
      <c r="AW95">
        <v>1</v>
      </c>
      <c r="AX95">
        <v>0</v>
      </c>
      <c r="AY95">
        <v>0</v>
      </c>
      <c r="AZ95">
        <v>19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19</v>
      </c>
      <c r="BI95">
        <v>0</v>
      </c>
      <c r="BJ95">
        <v>0</v>
      </c>
      <c r="BK95">
        <v>0</v>
      </c>
    </row>
    <row r="96" spans="1:63">
      <c r="A96" t="s">
        <v>78</v>
      </c>
      <c r="B96">
        <v>15</v>
      </c>
      <c r="C96">
        <v>0</v>
      </c>
      <c r="D96">
        <v>0</v>
      </c>
      <c r="E96">
        <v>0</v>
      </c>
      <c r="F96">
        <v>15</v>
      </c>
      <c r="G96">
        <v>0</v>
      </c>
      <c r="H96">
        <v>0</v>
      </c>
      <c r="I96">
        <v>0</v>
      </c>
      <c r="J96">
        <v>15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 t="s">
        <v>78</v>
      </c>
      <c r="W96">
        <v>15</v>
      </c>
      <c r="X96">
        <v>0</v>
      </c>
      <c r="Y96">
        <v>0</v>
      </c>
      <c r="Z96">
        <v>0</v>
      </c>
      <c r="AA96">
        <v>15</v>
      </c>
      <c r="AB96">
        <v>0</v>
      </c>
      <c r="AC96">
        <v>0</v>
      </c>
      <c r="AD96">
        <v>0</v>
      </c>
      <c r="AE96">
        <v>15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 t="s">
        <v>78</v>
      </c>
      <c r="AR96">
        <v>15</v>
      </c>
      <c r="AS96">
        <v>0</v>
      </c>
      <c r="AT96">
        <v>0</v>
      </c>
      <c r="AU96">
        <v>0</v>
      </c>
      <c r="AV96">
        <v>15</v>
      </c>
      <c r="AW96">
        <v>0</v>
      </c>
      <c r="AX96">
        <v>0</v>
      </c>
      <c r="AY96">
        <v>0</v>
      </c>
      <c r="AZ96">
        <v>15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15</v>
      </c>
      <c r="BI96">
        <v>0</v>
      </c>
      <c r="BJ96">
        <v>0</v>
      </c>
      <c r="BK96">
        <v>0</v>
      </c>
    </row>
    <row r="97" spans="1:63">
      <c r="A97" t="s">
        <v>73</v>
      </c>
      <c r="B97">
        <v>29</v>
      </c>
      <c r="C97">
        <v>2</v>
      </c>
      <c r="D97">
        <v>0</v>
      </c>
      <c r="E97">
        <v>0</v>
      </c>
      <c r="F97">
        <v>29</v>
      </c>
      <c r="G97">
        <v>2</v>
      </c>
      <c r="H97">
        <v>0</v>
      </c>
      <c r="I97">
        <v>0</v>
      </c>
      <c r="J97">
        <v>31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 t="s">
        <v>73</v>
      </c>
      <c r="W97">
        <v>29</v>
      </c>
      <c r="X97">
        <v>2</v>
      </c>
      <c r="Y97">
        <v>0</v>
      </c>
      <c r="Z97">
        <v>0</v>
      </c>
      <c r="AA97">
        <v>29</v>
      </c>
      <c r="AB97">
        <v>2</v>
      </c>
      <c r="AC97">
        <v>0</v>
      </c>
      <c r="AD97">
        <v>0</v>
      </c>
      <c r="AE97">
        <v>31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 t="s">
        <v>73</v>
      </c>
      <c r="AR97">
        <v>29</v>
      </c>
      <c r="AS97">
        <v>2</v>
      </c>
      <c r="AT97">
        <v>0</v>
      </c>
      <c r="AU97">
        <v>0</v>
      </c>
      <c r="AV97">
        <v>29</v>
      </c>
      <c r="AW97">
        <v>2</v>
      </c>
      <c r="AX97">
        <v>0</v>
      </c>
      <c r="AY97">
        <v>0</v>
      </c>
      <c r="AZ97">
        <v>31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31</v>
      </c>
      <c r="BI97">
        <v>0</v>
      </c>
      <c r="BJ97">
        <v>0</v>
      </c>
      <c r="BK97">
        <v>0</v>
      </c>
    </row>
    <row r="98" spans="1:63">
      <c r="A98" t="s">
        <v>63</v>
      </c>
      <c r="B98">
        <v>29</v>
      </c>
      <c r="C98">
        <v>0</v>
      </c>
      <c r="D98">
        <v>0</v>
      </c>
      <c r="E98">
        <v>0</v>
      </c>
      <c r="F98">
        <v>29</v>
      </c>
      <c r="G98">
        <v>0</v>
      </c>
      <c r="H98">
        <v>0</v>
      </c>
      <c r="I98">
        <v>0</v>
      </c>
      <c r="J98">
        <v>29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 t="s">
        <v>63</v>
      </c>
      <c r="W98">
        <v>29</v>
      </c>
      <c r="X98">
        <v>0</v>
      </c>
      <c r="Y98">
        <v>0</v>
      </c>
      <c r="Z98">
        <v>0</v>
      </c>
      <c r="AA98">
        <v>29</v>
      </c>
      <c r="AB98">
        <v>0</v>
      </c>
      <c r="AC98">
        <v>0</v>
      </c>
      <c r="AD98">
        <v>0</v>
      </c>
      <c r="AE98">
        <v>29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 t="s">
        <v>63</v>
      </c>
      <c r="AR98">
        <v>29</v>
      </c>
      <c r="AS98">
        <v>0</v>
      </c>
      <c r="AT98">
        <v>0</v>
      </c>
      <c r="AU98">
        <v>0</v>
      </c>
      <c r="AV98">
        <v>29</v>
      </c>
      <c r="AW98">
        <v>0</v>
      </c>
      <c r="AX98">
        <v>0</v>
      </c>
      <c r="AY98">
        <v>0</v>
      </c>
      <c r="AZ98">
        <v>29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29</v>
      </c>
      <c r="BI98">
        <v>0</v>
      </c>
      <c r="BJ98">
        <v>0</v>
      </c>
      <c r="BK98">
        <v>0</v>
      </c>
    </row>
    <row r="99" spans="1:63">
      <c r="A99" t="s">
        <v>59</v>
      </c>
      <c r="B99">
        <v>22</v>
      </c>
      <c r="C99">
        <v>0</v>
      </c>
      <c r="D99">
        <v>0</v>
      </c>
      <c r="E99">
        <v>0</v>
      </c>
      <c r="F99">
        <v>22</v>
      </c>
      <c r="G99">
        <v>0</v>
      </c>
      <c r="H99">
        <v>0</v>
      </c>
      <c r="I99">
        <v>0</v>
      </c>
      <c r="J99">
        <v>22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 t="s">
        <v>59</v>
      </c>
      <c r="W99">
        <v>22</v>
      </c>
      <c r="X99">
        <v>0</v>
      </c>
      <c r="Y99">
        <v>0</v>
      </c>
      <c r="Z99">
        <v>0</v>
      </c>
      <c r="AA99">
        <v>22</v>
      </c>
      <c r="AB99">
        <v>0</v>
      </c>
      <c r="AC99">
        <v>0</v>
      </c>
      <c r="AD99">
        <v>0</v>
      </c>
      <c r="AE99">
        <v>22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 t="s">
        <v>59</v>
      </c>
      <c r="AR99">
        <v>22</v>
      </c>
      <c r="AS99">
        <v>0</v>
      </c>
      <c r="AT99">
        <v>0</v>
      </c>
      <c r="AU99">
        <v>0</v>
      </c>
      <c r="AV99">
        <v>22</v>
      </c>
      <c r="AW99">
        <v>0</v>
      </c>
      <c r="AX99">
        <v>0</v>
      </c>
      <c r="AY99">
        <v>0</v>
      </c>
      <c r="AZ99">
        <v>22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22</v>
      </c>
      <c r="BI99">
        <v>0</v>
      </c>
      <c r="BJ99">
        <v>0</v>
      </c>
      <c r="BK99">
        <v>0</v>
      </c>
    </row>
    <row r="100" spans="1:63">
      <c r="A100" t="s">
        <v>68</v>
      </c>
      <c r="B100">
        <v>130</v>
      </c>
      <c r="C100">
        <v>4</v>
      </c>
      <c r="D100">
        <v>0</v>
      </c>
      <c r="E100">
        <v>0</v>
      </c>
      <c r="F100">
        <v>130</v>
      </c>
      <c r="G100">
        <v>4</v>
      </c>
      <c r="H100">
        <v>0</v>
      </c>
      <c r="I100">
        <v>0</v>
      </c>
      <c r="J100">
        <v>134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 t="s">
        <v>68</v>
      </c>
      <c r="W100">
        <v>130</v>
      </c>
      <c r="X100">
        <v>4</v>
      </c>
      <c r="Y100">
        <v>0</v>
      </c>
      <c r="Z100">
        <v>0</v>
      </c>
      <c r="AA100">
        <v>130</v>
      </c>
      <c r="AB100">
        <v>4</v>
      </c>
      <c r="AC100">
        <v>0</v>
      </c>
      <c r="AD100">
        <v>0</v>
      </c>
      <c r="AE100">
        <v>134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 t="s">
        <v>68</v>
      </c>
      <c r="AR100">
        <v>130</v>
      </c>
      <c r="AS100">
        <v>4</v>
      </c>
      <c r="AT100">
        <v>0</v>
      </c>
      <c r="AU100">
        <v>0</v>
      </c>
      <c r="AV100">
        <v>130</v>
      </c>
      <c r="AW100">
        <v>4</v>
      </c>
      <c r="AX100">
        <v>0</v>
      </c>
      <c r="AY100">
        <v>0</v>
      </c>
      <c r="AZ100">
        <v>134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134</v>
      </c>
      <c r="BI100">
        <v>0</v>
      </c>
      <c r="BJ100">
        <v>0</v>
      </c>
      <c r="BK100">
        <v>0</v>
      </c>
    </row>
    <row r="101" spans="1:63">
      <c r="A101" t="s">
        <v>34</v>
      </c>
      <c r="B101">
        <v>111</v>
      </c>
      <c r="C101">
        <v>0</v>
      </c>
      <c r="D101">
        <v>0</v>
      </c>
      <c r="E101">
        <v>0</v>
      </c>
      <c r="F101">
        <v>111</v>
      </c>
      <c r="G101">
        <v>0</v>
      </c>
      <c r="H101">
        <v>0</v>
      </c>
      <c r="I101">
        <v>0</v>
      </c>
      <c r="J101">
        <v>111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 t="s">
        <v>34</v>
      </c>
      <c r="W101">
        <v>111</v>
      </c>
      <c r="X101">
        <v>0</v>
      </c>
      <c r="Y101">
        <v>0</v>
      </c>
      <c r="Z101">
        <v>0</v>
      </c>
      <c r="AA101">
        <v>111</v>
      </c>
      <c r="AB101">
        <v>0</v>
      </c>
      <c r="AC101">
        <v>0</v>
      </c>
      <c r="AD101">
        <v>0</v>
      </c>
      <c r="AE101">
        <v>111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 t="s">
        <v>34</v>
      </c>
      <c r="AR101">
        <v>111</v>
      </c>
      <c r="AS101">
        <v>0</v>
      </c>
      <c r="AT101">
        <v>0</v>
      </c>
      <c r="AU101">
        <v>0</v>
      </c>
      <c r="AV101">
        <v>111</v>
      </c>
      <c r="AW101">
        <v>0</v>
      </c>
      <c r="AX101">
        <v>0</v>
      </c>
      <c r="AY101">
        <v>0</v>
      </c>
      <c r="AZ101">
        <v>111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111</v>
      </c>
      <c r="BI101">
        <v>0</v>
      </c>
      <c r="BJ101">
        <v>0</v>
      </c>
      <c r="BK101">
        <v>0</v>
      </c>
    </row>
    <row r="102" spans="1:63">
      <c r="A102" t="s">
        <v>4</v>
      </c>
      <c r="B102">
        <v>71</v>
      </c>
      <c r="C102">
        <v>0</v>
      </c>
      <c r="D102">
        <v>0</v>
      </c>
      <c r="E102">
        <v>0</v>
      </c>
      <c r="F102">
        <v>71</v>
      </c>
      <c r="G102">
        <v>0</v>
      </c>
      <c r="H102">
        <v>0</v>
      </c>
      <c r="I102">
        <v>0</v>
      </c>
      <c r="J102">
        <v>71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 t="s">
        <v>4</v>
      </c>
      <c r="W102">
        <v>71</v>
      </c>
      <c r="X102">
        <v>0</v>
      </c>
      <c r="Y102">
        <v>0</v>
      </c>
      <c r="Z102">
        <v>0</v>
      </c>
      <c r="AA102">
        <v>71</v>
      </c>
      <c r="AB102">
        <v>0</v>
      </c>
      <c r="AC102">
        <v>0</v>
      </c>
      <c r="AD102">
        <v>0</v>
      </c>
      <c r="AE102">
        <v>71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 t="s">
        <v>4</v>
      </c>
      <c r="AR102">
        <v>71</v>
      </c>
      <c r="AS102">
        <v>0</v>
      </c>
      <c r="AT102">
        <v>0</v>
      </c>
      <c r="AU102">
        <v>0</v>
      </c>
      <c r="AV102">
        <v>71</v>
      </c>
      <c r="AW102">
        <v>0</v>
      </c>
      <c r="AX102">
        <v>0</v>
      </c>
      <c r="AY102">
        <v>0</v>
      </c>
      <c r="AZ102">
        <v>71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71</v>
      </c>
      <c r="BI102">
        <v>0</v>
      </c>
      <c r="BJ102">
        <v>0</v>
      </c>
      <c r="BK102">
        <v>0</v>
      </c>
    </row>
    <row r="103" spans="1:63">
      <c r="A103" t="s">
        <v>70</v>
      </c>
      <c r="B103">
        <v>32</v>
      </c>
      <c r="C103">
        <v>0</v>
      </c>
      <c r="D103">
        <v>0</v>
      </c>
      <c r="E103">
        <v>0</v>
      </c>
      <c r="F103">
        <v>32</v>
      </c>
      <c r="G103">
        <v>0</v>
      </c>
      <c r="H103">
        <v>0</v>
      </c>
      <c r="I103">
        <v>0</v>
      </c>
      <c r="J103">
        <v>32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 t="s">
        <v>70</v>
      </c>
      <c r="W103">
        <v>32</v>
      </c>
      <c r="X103">
        <v>0</v>
      </c>
      <c r="Y103">
        <v>0</v>
      </c>
      <c r="Z103">
        <v>0</v>
      </c>
      <c r="AA103">
        <v>32</v>
      </c>
      <c r="AB103">
        <v>0</v>
      </c>
      <c r="AC103">
        <v>0</v>
      </c>
      <c r="AD103">
        <v>0</v>
      </c>
      <c r="AE103">
        <v>32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 t="s">
        <v>70</v>
      </c>
      <c r="AR103">
        <v>32</v>
      </c>
      <c r="AS103">
        <v>0</v>
      </c>
      <c r="AT103">
        <v>0</v>
      </c>
      <c r="AU103">
        <v>0</v>
      </c>
      <c r="AV103">
        <v>32</v>
      </c>
      <c r="AW103">
        <v>0</v>
      </c>
      <c r="AX103">
        <v>0</v>
      </c>
      <c r="AY103">
        <v>0</v>
      </c>
      <c r="AZ103">
        <v>32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32</v>
      </c>
      <c r="BI103">
        <v>0</v>
      </c>
      <c r="BJ103">
        <v>0</v>
      </c>
      <c r="BK103">
        <v>0</v>
      </c>
    </row>
    <row r="104" spans="1:63">
      <c r="A104" t="s">
        <v>87</v>
      </c>
      <c r="B104">
        <v>7</v>
      </c>
      <c r="C104">
        <v>0</v>
      </c>
      <c r="D104">
        <v>0</v>
      </c>
      <c r="E104">
        <v>0</v>
      </c>
      <c r="F104">
        <v>7</v>
      </c>
      <c r="G104">
        <v>0</v>
      </c>
      <c r="H104">
        <v>0</v>
      </c>
      <c r="I104">
        <v>0</v>
      </c>
      <c r="J104">
        <v>7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 t="s">
        <v>87</v>
      </c>
      <c r="W104">
        <v>7</v>
      </c>
      <c r="X104">
        <v>0</v>
      </c>
      <c r="Y104">
        <v>0</v>
      </c>
      <c r="Z104">
        <v>0</v>
      </c>
      <c r="AA104">
        <v>7</v>
      </c>
      <c r="AB104">
        <v>0</v>
      </c>
      <c r="AC104">
        <v>0</v>
      </c>
      <c r="AD104">
        <v>0</v>
      </c>
      <c r="AE104">
        <v>7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 t="s">
        <v>87</v>
      </c>
      <c r="AR104">
        <v>7</v>
      </c>
      <c r="AS104">
        <v>0</v>
      </c>
      <c r="AT104">
        <v>0</v>
      </c>
      <c r="AU104">
        <v>0</v>
      </c>
      <c r="AV104">
        <v>7</v>
      </c>
      <c r="AW104">
        <v>0</v>
      </c>
      <c r="AX104">
        <v>0</v>
      </c>
      <c r="AY104">
        <v>0</v>
      </c>
      <c r="AZ104">
        <v>7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7</v>
      </c>
      <c r="BI104">
        <v>0</v>
      </c>
      <c r="BJ104">
        <v>0</v>
      </c>
      <c r="BK104">
        <v>0</v>
      </c>
    </row>
    <row r="105" spans="1:63">
      <c r="A105" t="s">
        <v>19</v>
      </c>
      <c r="B105">
        <v>156</v>
      </c>
      <c r="C105">
        <v>12</v>
      </c>
      <c r="D105">
        <v>0</v>
      </c>
      <c r="E105">
        <v>0</v>
      </c>
      <c r="F105">
        <v>156</v>
      </c>
      <c r="G105">
        <v>12</v>
      </c>
      <c r="H105">
        <v>0</v>
      </c>
      <c r="I105">
        <v>0</v>
      </c>
      <c r="J105">
        <v>168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 t="s">
        <v>19</v>
      </c>
      <c r="W105">
        <v>156</v>
      </c>
      <c r="X105">
        <v>12</v>
      </c>
      <c r="Y105">
        <v>0</v>
      </c>
      <c r="Z105">
        <v>0</v>
      </c>
      <c r="AA105">
        <v>156</v>
      </c>
      <c r="AB105">
        <v>12</v>
      </c>
      <c r="AC105">
        <v>0</v>
      </c>
      <c r="AD105">
        <v>0</v>
      </c>
      <c r="AE105">
        <v>168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 t="s">
        <v>19</v>
      </c>
      <c r="AR105">
        <v>156</v>
      </c>
      <c r="AS105">
        <v>12</v>
      </c>
      <c r="AT105">
        <v>0</v>
      </c>
      <c r="AU105">
        <v>0</v>
      </c>
      <c r="AV105">
        <v>156</v>
      </c>
      <c r="AW105">
        <v>12</v>
      </c>
      <c r="AX105">
        <v>0</v>
      </c>
      <c r="AY105">
        <v>0</v>
      </c>
      <c r="AZ105">
        <v>168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168</v>
      </c>
      <c r="BI105">
        <v>0</v>
      </c>
      <c r="BJ105">
        <v>0</v>
      </c>
      <c r="BK105">
        <v>0</v>
      </c>
    </row>
    <row r="106" spans="1:63">
      <c r="A106" t="s">
        <v>38</v>
      </c>
      <c r="B106">
        <v>638</v>
      </c>
      <c r="C106">
        <v>16</v>
      </c>
      <c r="D106">
        <v>0</v>
      </c>
      <c r="E106">
        <v>0</v>
      </c>
      <c r="F106">
        <v>638</v>
      </c>
      <c r="G106">
        <v>16</v>
      </c>
      <c r="H106">
        <v>0</v>
      </c>
      <c r="I106">
        <v>0</v>
      </c>
      <c r="J106">
        <v>642</v>
      </c>
      <c r="K106">
        <v>12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 t="s">
        <v>38</v>
      </c>
      <c r="W106">
        <v>638</v>
      </c>
      <c r="X106">
        <v>16</v>
      </c>
      <c r="Y106">
        <v>0</v>
      </c>
      <c r="Z106">
        <v>0</v>
      </c>
      <c r="AA106">
        <v>638</v>
      </c>
      <c r="AB106">
        <v>16</v>
      </c>
      <c r="AC106">
        <v>0</v>
      </c>
      <c r="AD106">
        <v>0</v>
      </c>
      <c r="AE106">
        <v>642</v>
      </c>
      <c r="AF106">
        <v>12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 t="s">
        <v>38</v>
      </c>
      <c r="AR106">
        <v>638</v>
      </c>
      <c r="AS106">
        <v>16</v>
      </c>
      <c r="AT106">
        <v>0</v>
      </c>
      <c r="AU106">
        <v>0</v>
      </c>
      <c r="AV106">
        <v>638</v>
      </c>
      <c r="AW106">
        <v>16</v>
      </c>
      <c r="AX106">
        <v>0</v>
      </c>
      <c r="AY106">
        <v>0</v>
      </c>
      <c r="AZ106">
        <v>654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654</v>
      </c>
      <c r="BI106">
        <v>0</v>
      </c>
      <c r="BJ106">
        <v>0</v>
      </c>
      <c r="BK106">
        <v>0</v>
      </c>
    </row>
    <row r="107" spans="1:63">
      <c r="A107" t="s">
        <v>42</v>
      </c>
      <c r="B107">
        <v>149</v>
      </c>
      <c r="C107">
        <v>20</v>
      </c>
      <c r="D107">
        <v>0</v>
      </c>
      <c r="E107">
        <v>0</v>
      </c>
      <c r="F107">
        <v>149</v>
      </c>
      <c r="G107">
        <v>20</v>
      </c>
      <c r="H107">
        <v>0</v>
      </c>
      <c r="I107">
        <v>0</v>
      </c>
      <c r="J107">
        <v>169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 t="s">
        <v>42</v>
      </c>
      <c r="W107">
        <v>149</v>
      </c>
      <c r="X107">
        <v>20</v>
      </c>
      <c r="Y107">
        <v>0</v>
      </c>
      <c r="Z107">
        <v>0</v>
      </c>
      <c r="AA107">
        <v>149</v>
      </c>
      <c r="AB107">
        <v>20</v>
      </c>
      <c r="AC107">
        <v>0</v>
      </c>
      <c r="AD107">
        <v>0</v>
      </c>
      <c r="AE107">
        <v>169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 t="s">
        <v>42</v>
      </c>
      <c r="AR107">
        <v>149</v>
      </c>
      <c r="AS107">
        <v>20</v>
      </c>
      <c r="AT107">
        <v>0</v>
      </c>
      <c r="AU107">
        <v>0</v>
      </c>
      <c r="AV107">
        <v>149</v>
      </c>
      <c r="AW107">
        <v>20</v>
      </c>
      <c r="AX107">
        <v>0</v>
      </c>
      <c r="AY107">
        <v>0</v>
      </c>
      <c r="AZ107">
        <v>169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169</v>
      </c>
      <c r="BI107">
        <v>0</v>
      </c>
      <c r="BJ107">
        <v>0</v>
      </c>
      <c r="BK107">
        <v>0</v>
      </c>
    </row>
    <row r="108" spans="1:63" s="1" customFormat="1">
      <c r="B108" s="1">
        <f t="shared" ref="B108:U108" si="0">SUM(B3:B107)</f>
        <v>10761</v>
      </c>
      <c r="C108" s="1">
        <f t="shared" si="0"/>
        <v>420</v>
      </c>
      <c r="D108" s="1">
        <f t="shared" si="0"/>
        <v>0</v>
      </c>
      <c r="E108" s="1">
        <f t="shared" si="0"/>
        <v>0</v>
      </c>
      <c r="F108" s="1">
        <f t="shared" si="0"/>
        <v>10799</v>
      </c>
      <c r="G108" s="1">
        <f t="shared" si="0"/>
        <v>438</v>
      </c>
      <c r="H108" s="1">
        <f t="shared" si="0"/>
        <v>0</v>
      </c>
      <c r="I108" s="1">
        <f t="shared" si="0"/>
        <v>0</v>
      </c>
      <c r="J108" s="1">
        <f t="shared" si="0"/>
        <v>11343</v>
      </c>
      <c r="K108" s="1">
        <f t="shared" si="0"/>
        <v>57</v>
      </c>
      <c r="L108" s="1">
        <f t="shared" si="0"/>
        <v>0</v>
      </c>
      <c r="M108" s="1">
        <f t="shared" si="0"/>
        <v>0</v>
      </c>
      <c r="N108" s="1">
        <f t="shared" si="0"/>
        <v>2374</v>
      </c>
      <c r="O108" s="1">
        <f t="shared" si="0"/>
        <v>13</v>
      </c>
      <c r="P108" s="1">
        <f t="shared" si="0"/>
        <v>28</v>
      </c>
      <c r="Q108" s="1">
        <f t="shared" si="0"/>
        <v>0</v>
      </c>
      <c r="R108" s="1">
        <f t="shared" si="0"/>
        <v>3656</v>
      </c>
      <c r="S108" s="1">
        <f t="shared" si="0"/>
        <v>15</v>
      </c>
      <c r="T108" s="1">
        <f t="shared" si="0"/>
        <v>0</v>
      </c>
      <c r="U108" s="1">
        <f t="shared" si="0"/>
        <v>0</v>
      </c>
      <c r="V108" s="1">
        <f t="shared" ref="V108:BK108" si="1">SUM(V3:V107)</f>
        <v>0</v>
      </c>
      <c r="W108" s="1">
        <f t="shared" si="1"/>
        <v>10761</v>
      </c>
      <c r="X108" s="1">
        <f t="shared" si="1"/>
        <v>420</v>
      </c>
      <c r="Y108" s="1">
        <f t="shared" si="1"/>
        <v>0</v>
      </c>
      <c r="Z108" s="1">
        <f t="shared" si="1"/>
        <v>0</v>
      </c>
      <c r="AA108" s="1">
        <f t="shared" si="1"/>
        <v>10799</v>
      </c>
      <c r="AB108" s="1">
        <f t="shared" si="1"/>
        <v>438</v>
      </c>
      <c r="AC108" s="1">
        <f t="shared" si="1"/>
        <v>0</v>
      </c>
      <c r="AD108" s="1">
        <f t="shared" si="1"/>
        <v>0</v>
      </c>
      <c r="AE108" s="1">
        <f t="shared" si="1"/>
        <v>11343</v>
      </c>
      <c r="AF108" s="1">
        <f t="shared" si="1"/>
        <v>57</v>
      </c>
      <c r="AG108" s="1">
        <f t="shared" si="1"/>
        <v>0</v>
      </c>
      <c r="AH108" s="1">
        <f t="shared" si="1"/>
        <v>0</v>
      </c>
      <c r="AI108" s="1">
        <f t="shared" si="1"/>
        <v>2374</v>
      </c>
      <c r="AJ108" s="1">
        <f t="shared" si="1"/>
        <v>13</v>
      </c>
      <c r="AK108" s="1">
        <f t="shared" si="1"/>
        <v>28</v>
      </c>
      <c r="AL108" s="1">
        <f t="shared" si="1"/>
        <v>0</v>
      </c>
      <c r="AM108" s="1">
        <f t="shared" si="1"/>
        <v>3656</v>
      </c>
      <c r="AN108" s="1">
        <f t="shared" si="1"/>
        <v>15</v>
      </c>
      <c r="AO108" s="1">
        <f t="shared" si="1"/>
        <v>0</v>
      </c>
      <c r="AP108" s="1">
        <f t="shared" si="1"/>
        <v>0</v>
      </c>
      <c r="AQ108" s="1">
        <f t="shared" si="1"/>
        <v>0</v>
      </c>
      <c r="AR108" s="1">
        <f t="shared" si="1"/>
        <v>10799</v>
      </c>
      <c r="AS108" s="1">
        <f t="shared" si="1"/>
        <v>438</v>
      </c>
      <c r="AT108" s="1">
        <f t="shared" si="1"/>
        <v>0</v>
      </c>
      <c r="AU108" s="1">
        <f t="shared" si="1"/>
        <v>0</v>
      </c>
      <c r="AV108" s="1">
        <f t="shared" si="1"/>
        <v>10799</v>
      </c>
      <c r="AW108" s="1">
        <f t="shared" si="1"/>
        <v>438</v>
      </c>
      <c r="AX108" s="1">
        <f t="shared" si="1"/>
        <v>0</v>
      </c>
      <c r="AY108" s="1">
        <f t="shared" si="1"/>
        <v>0</v>
      </c>
      <c r="AZ108" s="1">
        <f t="shared" si="1"/>
        <v>11400</v>
      </c>
      <c r="BA108" s="1">
        <f t="shared" si="1"/>
        <v>0</v>
      </c>
      <c r="BB108" s="1">
        <f t="shared" si="1"/>
        <v>0</v>
      </c>
      <c r="BC108" s="1">
        <f t="shared" si="1"/>
        <v>0</v>
      </c>
      <c r="BD108" s="1">
        <f t="shared" si="1"/>
        <v>2387</v>
      </c>
      <c r="BE108" s="1">
        <f t="shared" si="1"/>
        <v>0</v>
      </c>
      <c r="BF108" s="1">
        <f t="shared" si="1"/>
        <v>28</v>
      </c>
      <c r="BG108" s="1">
        <f t="shared" si="1"/>
        <v>0</v>
      </c>
      <c r="BH108" s="1">
        <f t="shared" si="1"/>
        <v>11237</v>
      </c>
      <c r="BI108" s="1">
        <f t="shared" si="1"/>
        <v>0</v>
      </c>
      <c r="BJ108" s="1">
        <f t="shared" si="1"/>
        <v>0</v>
      </c>
      <c r="BK108" s="1">
        <f t="shared" si="1"/>
        <v>0</v>
      </c>
    </row>
  </sheetData>
  <sortState ref="A3:U107">
    <sortCondition ref="A3:A107"/>
  </sortState>
  <mergeCells count="15">
    <mergeCell ref="W1:Z1"/>
    <mergeCell ref="B1:E1"/>
    <mergeCell ref="F1:I1"/>
    <mergeCell ref="J1:M1"/>
    <mergeCell ref="N1:Q1"/>
    <mergeCell ref="R1:U1"/>
    <mergeCell ref="AZ1:BC1"/>
    <mergeCell ref="BD1:BG1"/>
    <mergeCell ref="BH1:BK1"/>
    <mergeCell ref="AA1:AD1"/>
    <mergeCell ref="AE1:AH1"/>
    <mergeCell ref="AI1:AL1"/>
    <mergeCell ref="AM1:AP1"/>
    <mergeCell ref="AR1:AU1"/>
    <mergeCell ref="AV1:AY1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D108"/>
  <sheetViews>
    <sheetView topLeftCell="AA1" workbookViewId="0">
      <pane ySplit="2" topLeftCell="A3" activePane="bottomLeft" state="frozen"/>
      <selection pane="bottomLeft" activeCell="AJ42" sqref="AJ42"/>
    </sheetView>
  </sheetViews>
  <sheetFormatPr baseColWidth="10" defaultRowHeight="15" x14ac:dyDescent="0"/>
  <cols>
    <col min="1" max="1" width="19" customWidth="1"/>
    <col min="22" max="22" width="10.83203125" hidden="1" customWidth="1"/>
    <col min="43" max="43" width="10.83203125" hidden="1" customWidth="1"/>
  </cols>
  <sheetData>
    <row r="1" spans="1:63">
      <c r="B1" s="12" t="s">
        <v>269</v>
      </c>
      <c r="C1" s="12"/>
      <c r="D1" s="12"/>
      <c r="E1" s="12"/>
      <c r="F1" s="12" t="s">
        <v>268</v>
      </c>
      <c r="G1" s="12"/>
      <c r="H1" s="12"/>
      <c r="I1" s="12"/>
      <c r="J1" s="12" t="s">
        <v>270</v>
      </c>
      <c r="K1" s="12"/>
      <c r="L1" s="12"/>
      <c r="M1" s="12"/>
      <c r="N1" s="12" t="s">
        <v>271</v>
      </c>
      <c r="O1" s="12"/>
      <c r="P1" s="12"/>
      <c r="Q1" s="12"/>
      <c r="R1" s="12" t="s">
        <v>272</v>
      </c>
      <c r="S1" s="12"/>
      <c r="T1" s="12"/>
      <c r="U1" s="12"/>
      <c r="W1" s="12" t="s">
        <v>269</v>
      </c>
      <c r="X1" s="12"/>
      <c r="Y1" s="12"/>
      <c r="Z1" s="12"/>
      <c r="AA1" s="12" t="s">
        <v>273</v>
      </c>
      <c r="AB1" s="12"/>
      <c r="AC1" s="12"/>
      <c r="AD1" s="12"/>
      <c r="AE1" s="12" t="s">
        <v>274</v>
      </c>
      <c r="AF1" s="12"/>
      <c r="AG1" s="12"/>
      <c r="AH1" s="12"/>
      <c r="AI1" s="12" t="s">
        <v>275</v>
      </c>
      <c r="AJ1" s="12"/>
      <c r="AK1" s="12"/>
      <c r="AL1" s="12"/>
      <c r="AM1" s="12" t="s">
        <v>276</v>
      </c>
      <c r="AN1" s="12"/>
      <c r="AO1" s="12"/>
      <c r="AP1" s="12"/>
      <c r="AR1" s="12" t="s">
        <v>268</v>
      </c>
      <c r="AS1" s="12"/>
      <c r="AT1" s="12"/>
      <c r="AU1" s="12"/>
      <c r="AV1" s="12" t="s">
        <v>273</v>
      </c>
      <c r="AW1" s="12"/>
      <c r="AX1" s="12"/>
      <c r="AY1" s="12"/>
      <c r="AZ1" s="12" t="s">
        <v>277</v>
      </c>
      <c r="BA1" s="12"/>
      <c r="BB1" s="12"/>
      <c r="BC1" s="12"/>
      <c r="BD1" s="12" t="s">
        <v>278</v>
      </c>
      <c r="BE1" s="12"/>
      <c r="BF1" s="12"/>
      <c r="BG1" s="12"/>
      <c r="BH1" s="12" t="s">
        <v>279</v>
      </c>
      <c r="BI1" s="12"/>
      <c r="BJ1" s="12"/>
      <c r="BK1" s="12"/>
    </row>
    <row r="2" spans="1:63">
      <c r="A2" t="s">
        <v>114</v>
      </c>
      <c r="B2" t="s">
        <v>105</v>
      </c>
      <c r="C2" t="s">
        <v>106</v>
      </c>
      <c r="D2" t="s">
        <v>107</v>
      </c>
      <c r="E2" t="s">
        <v>108</v>
      </c>
      <c r="F2" t="s">
        <v>105</v>
      </c>
      <c r="G2" t="s">
        <v>106</v>
      </c>
      <c r="H2" t="s">
        <v>107</v>
      </c>
      <c r="I2" t="s">
        <v>108</v>
      </c>
      <c r="J2" t="s">
        <v>105</v>
      </c>
      <c r="K2" t="s">
        <v>106</v>
      </c>
      <c r="L2" t="s">
        <v>107</v>
      </c>
      <c r="M2" t="s">
        <v>108</v>
      </c>
      <c r="N2" t="s">
        <v>105</v>
      </c>
      <c r="O2" t="s">
        <v>106</v>
      </c>
      <c r="P2" t="s">
        <v>107</v>
      </c>
      <c r="Q2" t="s">
        <v>108</v>
      </c>
      <c r="R2" t="s">
        <v>105</v>
      </c>
      <c r="S2" t="s">
        <v>106</v>
      </c>
      <c r="T2" t="s">
        <v>107</v>
      </c>
      <c r="U2" t="s">
        <v>108</v>
      </c>
      <c r="V2" t="s">
        <v>114</v>
      </c>
      <c r="W2" t="s">
        <v>105</v>
      </c>
      <c r="X2" t="s">
        <v>106</v>
      </c>
      <c r="Y2" t="s">
        <v>107</v>
      </c>
      <c r="Z2" t="s">
        <v>108</v>
      </c>
      <c r="AA2" t="s">
        <v>105</v>
      </c>
      <c r="AB2" t="s">
        <v>106</v>
      </c>
      <c r="AC2" t="s">
        <v>107</v>
      </c>
      <c r="AD2" t="s">
        <v>108</v>
      </c>
      <c r="AE2" t="s">
        <v>105</v>
      </c>
      <c r="AF2" t="s">
        <v>106</v>
      </c>
      <c r="AG2" t="s">
        <v>107</v>
      </c>
      <c r="AH2" t="s">
        <v>108</v>
      </c>
      <c r="AI2" t="s">
        <v>105</v>
      </c>
      <c r="AJ2" t="s">
        <v>106</v>
      </c>
      <c r="AK2" t="s">
        <v>107</v>
      </c>
      <c r="AL2" t="s">
        <v>108</v>
      </c>
      <c r="AM2" t="s">
        <v>105</v>
      </c>
      <c r="AN2" t="s">
        <v>106</v>
      </c>
      <c r="AO2" t="s">
        <v>107</v>
      </c>
      <c r="AP2" t="s">
        <v>108</v>
      </c>
      <c r="AQ2" t="s">
        <v>114</v>
      </c>
      <c r="AR2" t="s">
        <v>105</v>
      </c>
      <c r="AS2" t="s">
        <v>106</v>
      </c>
      <c r="AT2" t="s">
        <v>107</v>
      </c>
      <c r="AU2" t="s">
        <v>108</v>
      </c>
      <c r="AV2" t="s">
        <v>105</v>
      </c>
      <c r="AW2" t="s">
        <v>106</v>
      </c>
      <c r="AX2" t="s">
        <v>107</v>
      </c>
      <c r="AY2" t="s">
        <v>108</v>
      </c>
      <c r="AZ2" t="s">
        <v>105</v>
      </c>
      <c r="BA2" t="s">
        <v>106</v>
      </c>
      <c r="BB2" t="s">
        <v>107</v>
      </c>
      <c r="BC2" t="s">
        <v>108</v>
      </c>
      <c r="BD2" t="s">
        <v>105</v>
      </c>
      <c r="BE2" t="s">
        <v>106</v>
      </c>
      <c r="BF2" t="s">
        <v>107</v>
      </c>
      <c r="BG2" t="s">
        <v>108</v>
      </c>
      <c r="BH2" t="s">
        <v>105</v>
      </c>
      <c r="BI2" t="s">
        <v>106</v>
      </c>
      <c r="BJ2" t="s">
        <v>107</v>
      </c>
      <c r="BK2" t="s">
        <v>108</v>
      </c>
    </row>
    <row r="3" spans="1:63">
      <c r="A3" t="s">
        <v>32</v>
      </c>
      <c r="B3">
        <v>14</v>
      </c>
      <c r="C3">
        <v>0</v>
      </c>
      <c r="D3">
        <v>0</v>
      </c>
      <c r="E3">
        <v>0</v>
      </c>
      <c r="F3">
        <v>14</v>
      </c>
      <c r="G3">
        <v>0</v>
      </c>
      <c r="H3">
        <v>0</v>
      </c>
      <c r="I3">
        <v>0</v>
      </c>
      <c r="J3">
        <v>14</v>
      </c>
      <c r="K3">
        <v>0</v>
      </c>
      <c r="L3">
        <v>0</v>
      </c>
      <c r="M3">
        <v>0</v>
      </c>
      <c r="N3">
        <v>14</v>
      </c>
      <c r="O3">
        <v>0</v>
      </c>
      <c r="P3">
        <v>0</v>
      </c>
      <c r="Q3">
        <v>0</v>
      </c>
      <c r="R3">
        <v>14</v>
      </c>
      <c r="S3">
        <v>0</v>
      </c>
      <c r="T3">
        <v>0</v>
      </c>
      <c r="U3">
        <v>0</v>
      </c>
      <c r="V3" t="s">
        <v>32</v>
      </c>
      <c r="W3">
        <v>14</v>
      </c>
      <c r="X3">
        <v>0</v>
      </c>
      <c r="Y3">
        <v>0</v>
      </c>
      <c r="Z3">
        <v>0</v>
      </c>
      <c r="AA3">
        <v>14</v>
      </c>
      <c r="AB3">
        <v>0</v>
      </c>
      <c r="AC3">
        <v>0</v>
      </c>
      <c r="AD3">
        <v>0</v>
      </c>
      <c r="AE3">
        <v>14</v>
      </c>
      <c r="AF3">
        <v>0</v>
      </c>
      <c r="AG3">
        <v>0</v>
      </c>
      <c r="AH3">
        <v>0</v>
      </c>
      <c r="AI3">
        <v>14</v>
      </c>
      <c r="AJ3">
        <v>0</v>
      </c>
      <c r="AK3">
        <v>0</v>
      </c>
      <c r="AL3">
        <v>0</v>
      </c>
      <c r="AM3">
        <v>14</v>
      </c>
      <c r="AN3">
        <v>0</v>
      </c>
      <c r="AO3">
        <v>0</v>
      </c>
      <c r="AP3">
        <v>0</v>
      </c>
      <c r="AQ3" t="s">
        <v>32</v>
      </c>
      <c r="AR3">
        <v>14</v>
      </c>
      <c r="AS3">
        <v>0</v>
      </c>
      <c r="AT3">
        <v>0</v>
      </c>
      <c r="AU3">
        <v>0</v>
      </c>
      <c r="AV3">
        <v>14</v>
      </c>
      <c r="AW3">
        <v>0</v>
      </c>
      <c r="AX3">
        <v>0</v>
      </c>
      <c r="AY3">
        <v>0</v>
      </c>
      <c r="AZ3">
        <v>14</v>
      </c>
      <c r="BA3">
        <v>0</v>
      </c>
      <c r="BB3">
        <v>0</v>
      </c>
      <c r="BC3">
        <v>0</v>
      </c>
      <c r="BD3">
        <v>14</v>
      </c>
      <c r="BE3">
        <v>0</v>
      </c>
      <c r="BF3">
        <v>0</v>
      </c>
      <c r="BG3">
        <v>0</v>
      </c>
      <c r="BH3">
        <v>14</v>
      </c>
      <c r="BI3">
        <v>0</v>
      </c>
      <c r="BJ3">
        <v>0</v>
      </c>
      <c r="BK3">
        <v>0</v>
      </c>
    </row>
    <row r="4" spans="1:63">
      <c r="A4" t="s">
        <v>58</v>
      </c>
      <c r="B4">
        <v>14</v>
      </c>
      <c r="C4">
        <v>0</v>
      </c>
      <c r="D4">
        <v>0</v>
      </c>
      <c r="E4">
        <v>0</v>
      </c>
      <c r="F4">
        <v>14</v>
      </c>
      <c r="G4">
        <v>0</v>
      </c>
      <c r="H4">
        <v>0</v>
      </c>
      <c r="I4">
        <v>0</v>
      </c>
      <c r="J4">
        <v>14</v>
      </c>
      <c r="K4">
        <v>0</v>
      </c>
      <c r="L4">
        <v>0</v>
      </c>
      <c r="M4">
        <v>0</v>
      </c>
      <c r="N4">
        <v>14</v>
      </c>
      <c r="O4">
        <v>0</v>
      </c>
      <c r="P4">
        <v>0</v>
      </c>
      <c r="Q4">
        <v>0</v>
      </c>
      <c r="R4">
        <v>14</v>
      </c>
      <c r="S4">
        <v>0</v>
      </c>
      <c r="T4">
        <v>0</v>
      </c>
      <c r="U4">
        <v>0</v>
      </c>
      <c r="V4" t="s">
        <v>58</v>
      </c>
      <c r="W4">
        <v>14</v>
      </c>
      <c r="X4">
        <v>0</v>
      </c>
      <c r="Y4">
        <v>0</v>
      </c>
      <c r="Z4">
        <v>0</v>
      </c>
      <c r="AA4">
        <v>14</v>
      </c>
      <c r="AB4">
        <v>0</v>
      </c>
      <c r="AC4">
        <v>0</v>
      </c>
      <c r="AD4">
        <v>0</v>
      </c>
      <c r="AE4">
        <v>14</v>
      </c>
      <c r="AF4">
        <v>0</v>
      </c>
      <c r="AG4">
        <v>0</v>
      </c>
      <c r="AH4">
        <v>0</v>
      </c>
      <c r="AI4">
        <v>14</v>
      </c>
      <c r="AJ4">
        <v>0</v>
      </c>
      <c r="AK4">
        <v>0</v>
      </c>
      <c r="AL4">
        <v>0</v>
      </c>
      <c r="AM4">
        <v>14</v>
      </c>
      <c r="AN4">
        <v>0</v>
      </c>
      <c r="AO4">
        <v>0</v>
      </c>
      <c r="AP4">
        <v>0</v>
      </c>
      <c r="AQ4" t="s">
        <v>58</v>
      </c>
      <c r="AR4">
        <v>14</v>
      </c>
      <c r="AS4">
        <v>0</v>
      </c>
      <c r="AT4">
        <v>0</v>
      </c>
      <c r="AU4">
        <v>0</v>
      </c>
      <c r="AV4">
        <v>14</v>
      </c>
      <c r="AW4">
        <v>0</v>
      </c>
      <c r="AX4">
        <v>0</v>
      </c>
      <c r="AY4">
        <v>0</v>
      </c>
      <c r="AZ4">
        <v>14</v>
      </c>
      <c r="BA4">
        <v>0</v>
      </c>
      <c r="BB4">
        <v>0</v>
      </c>
      <c r="BC4">
        <v>0</v>
      </c>
      <c r="BD4">
        <v>14</v>
      </c>
      <c r="BE4">
        <v>0</v>
      </c>
      <c r="BF4">
        <v>0</v>
      </c>
      <c r="BG4">
        <v>0</v>
      </c>
      <c r="BH4">
        <v>14</v>
      </c>
      <c r="BI4">
        <v>0</v>
      </c>
      <c r="BJ4">
        <v>0</v>
      </c>
      <c r="BK4">
        <v>0</v>
      </c>
    </row>
    <row r="5" spans="1:63">
      <c r="A5" t="s">
        <v>14</v>
      </c>
      <c r="B5">
        <v>18</v>
      </c>
      <c r="C5">
        <v>0</v>
      </c>
      <c r="D5">
        <v>0</v>
      </c>
      <c r="E5">
        <v>0</v>
      </c>
      <c r="F5">
        <v>18</v>
      </c>
      <c r="G5">
        <v>0</v>
      </c>
      <c r="H5">
        <v>0</v>
      </c>
      <c r="I5">
        <v>0</v>
      </c>
      <c r="J5">
        <v>18</v>
      </c>
      <c r="K5">
        <v>0</v>
      </c>
      <c r="L5">
        <v>0</v>
      </c>
      <c r="M5">
        <v>0</v>
      </c>
      <c r="N5">
        <v>18</v>
      </c>
      <c r="O5">
        <v>0</v>
      </c>
      <c r="P5">
        <v>0</v>
      </c>
      <c r="Q5">
        <v>0</v>
      </c>
      <c r="R5">
        <v>18</v>
      </c>
      <c r="S5">
        <v>0</v>
      </c>
      <c r="T5">
        <v>0</v>
      </c>
      <c r="U5">
        <v>0</v>
      </c>
      <c r="V5" t="s">
        <v>14</v>
      </c>
      <c r="W5">
        <v>18</v>
      </c>
      <c r="X5">
        <v>0</v>
      </c>
      <c r="Y5">
        <v>0</v>
      </c>
      <c r="Z5">
        <v>0</v>
      </c>
      <c r="AA5">
        <v>18</v>
      </c>
      <c r="AB5">
        <v>0</v>
      </c>
      <c r="AC5">
        <v>0</v>
      </c>
      <c r="AD5">
        <v>0</v>
      </c>
      <c r="AE5">
        <v>18</v>
      </c>
      <c r="AF5">
        <v>0</v>
      </c>
      <c r="AG5">
        <v>0</v>
      </c>
      <c r="AH5">
        <v>0</v>
      </c>
      <c r="AI5">
        <v>18</v>
      </c>
      <c r="AJ5">
        <v>0</v>
      </c>
      <c r="AK5">
        <v>0</v>
      </c>
      <c r="AL5">
        <v>0</v>
      </c>
      <c r="AM5">
        <v>18</v>
      </c>
      <c r="AN5">
        <v>0</v>
      </c>
      <c r="AO5">
        <v>0</v>
      </c>
      <c r="AP5">
        <v>0</v>
      </c>
      <c r="AQ5" t="s">
        <v>14</v>
      </c>
      <c r="AR5">
        <v>18</v>
      </c>
      <c r="AS5">
        <v>0</v>
      </c>
      <c r="AT5">
        <v>0</v>
      </c>
      <c r="AU5">
        <v>0</v>
      </c>
      <c r="AV5">
        <v>18</v>
      </c>
      <c r="AW5">
        <v>0</v>
      </c>
      <c r="AX5">
        <v>0</v>
      </c>
      <c r="AY5">
        <v>0</v>
      </c>
      <c r="AZ5">
        <v>18</v>
      </c>
      <c r="BA5">
        <v>0</v>
      </c>
      <c r="BB5">
        <v>0</v>
      </c>
      <c r="BC5">
        <v>0</v>
      </c>
      <c r="BD5">
        <v>18</v>
      </c>
      <c r="BE5">
        <v>0</v>
      </c>
      <c r="BF5">
        <v>0</v>
      </c>
      <c r="BG5">
        <v>0</v>
      </c>
      <c r="BH5">
        <v>18</v>
      </c>
      <c r="BI5">
        <v>0</v>
      </c>
      <c r="BJ5">
        <v>0</v>
      </c>
      <c r="BK5">
        <v>0</v>
      </c>
    </row>
    <row r="6" spans="1:63">
      <c r="A6" t="s">
        <v>39</v>
      </c>
      <c r="B6">
        <v>60</v>
      </c>
      <c r="C6">
        <v>0</v>
      </c>
      <c r="D6">
        <v>0</v>
      </c>
      <c r="E6">
        <v>0</v>
      </c>
      <c r="F6">
        <v>60</v>
      </c>
      <c r="G6">
        <v>0</v>
      </c>
      <c r="H6">
        <v>0</v>
      </c>
      <c r="I6">
        <v>0</v>
      </c>
      <c r="J6">
        <v>60</v>
      </c>
      <c r="K6">
        <v>0</v>
      </c>
      <c r="L6">
        <v>0</v>
      </c>
      <c r="M6">
        <v>0</v>
      </c>
      <c r="N6">
        <v>60</v>
      </c>
      <c r="O6">
        <v>0</v>
      </c>
      <c r="P6">
        <v>0</v>
      </c>
      <c r="Q6">
        <v>0</v>
      </c>
      <c r="R6">
        <v>60</v>
      </c>
      <c r="S6">
        <v>0</v>
      </c>
      <c r="T6">
        <v>0</v>
      </c>
      <c r="U6">
        <v>0</v>
      </c>
      <c r="V6" t="s">
        <v>39</v>
      </c>
      <c r="W6">
        <v>60</v>
      </c>
      <c r="X6">
        <v>0</v>
      </c>
      <c r="Y6">
        <v>0</v>
      </c>
      <c r="Z6">
        <v>0</v>
      </c>
      <c r="AA6">
        <v>60</v>
      </c>
      <c r="AB6">
        <v>0</v>
      </c>
      <c r="AC6">
        <v>0</v>
      </c>
      <c r="AD6">
        <v>0</v>
      </c>
      <c r="AE6">
        <v>60</v>
      </c>
      <c r="AF6">
        <v>0</v>
      </c>
      <c r="AG6">
        <v>0</v>
      </c>
      <c r="AH6">
        <v>0</v>
      </c>
      <c r="AI6">
        <v>60</v>
      </c>
      <c r="AJ6">
        <v>0</v>
      </c>
      <c r="AK6">
        <v>0</v>
      </c>
      <c r="AL6">
        <v>0</v>
      </c>
      <c r="AM6">
        <v>60</v>
      </c>
      <c r="AN6">
        <v>0</v>
      </c>
      <c r="AO6">
        <v>0</v>
      </c>
      <c r="AP6">
        <v>0</v>
      </c>
      <c r="AQ6" t="s">
        <v>39</v>
      </c>
      <c r="AR6">
        <v>60</v>
      </c>
      <c r="AS6">
        <v>0</v>
      </c>
      <c r="AT6">
        <v>0</v>
      </c>
      <c r="AU6">
        <v>0</v>
      </c>
      <c r="AV6">
        <v>60</v>
      </c>
      <c r="AW6">
        <v>0</v>
      </c>
      <c r="AX6">
        <v>0</v>
      </c>
      <c r="AY6">
        <v>0</v>
      </c>
      <c r="AZ6">
        <v>60</v>
      </c>
      <c r="BA6">
        <v>0</v>
      </c>
      <c r="BB6">
        <v>0</v>
      </c>
      <c r="BC6">
        <v>0</v>
      </c>
      <c r="BD6">
        <v>60</v>
      </c>
      <c r="BE6">
        <v>0</v>
      </c>
      <c r="BF6">
        <v>0</v>
      </c>
      <c r="BG6">
        <v>0</v>
      </c>
      <c r="BH6">
        <v>60</v>
      </c>
      <c r="BI6">
        <v>0</v>
      </c>
      <c r="BJ6">
        <v>0</v>
      </c>
      <c r="BK6">
        <v>0</v>
      </c>
    </row>
    <row r="7" spans="1:63">
      <c r="A7" t="s">
        <v>51</v>
      </c>
      <c r="B7">
        <v>9</v>
      </c>
      <c r="C7">
        <v>2</v>
      </c>
      <c r="D7">
        <v>0</v>
      </c>
      <c r="E7">
        <v>0</v>
      </c>
      <c r="F7">
        <v>9</v>
      </c>
      <c r="G7">
        <v>2</v>
      </c>
      <c r="H7">
        <v>0</v>
      </c>
      <c r="I7">
        <v>0</v>
      </c>
      <c r="J7">
        <v>11</v>
      </c>
      <c r="K7">
        <v>0</v>
      </c>
      <c r="L7">
        <v>0</v>
      </c>
      <c r="M7">
        <v>0</v>
      </c>
      <c r="N7">
        <v>9</v>
      </c>
      <c r="O7">
        <v>0</v>
      </c>
      <c r="P7">
        <v>2</v>
      </c>
      <c r="Q7">
        <v>0</v>
      </c>
      <c r="R7">
        <v>11</v>
      </c>
      <c r="S7">
        <v>0</v>
      </c>
      <c r="T7">
        <v>0</v>
      </c>
      <c r="U7">
        <v>0</v>
      </c>
      <c r="V7" t="s">
        <v>51</v>
      </c>
      <c r="W7">
        <v>9</v>
      </c>
      <c r="X7">
        <v>2</v>
      </c>
      <c r="Y7">
        <v>0</v>
      </c>
      <c r="Z7">
        <v>0</v>
      </c>
      <c r="AA7">
        <v>9</v>
      </c>
      <c r="AB7">
        <v>2</v>
      </c>
      <c r="AC7">
        <v>0</v>
      </c>
      <c r="AD7">
        <v>0</v>
      </c>
      <c r="AE7">
        <v>11</v>
      </c>
      <c r="AF7">
        <v>0</v>
      </c>
      <c r="AG7">
        <v>0</v>
      </c>
      <c r="AH7">
        <v>0</v>
      </c>
      <c r="AI7">
        <v>9</v>
      </c>
      <c r="AJ7">
        <v>0</v>
      </c>
      <c r="AK7">
        <v>2</v>
      </c>
      <c r="AL7">
        <v>0</v>
      </c>
      <c r="AM7">
        <v>11</v>
      </c>
      <c r="AN7">
        <v>0</v>
      </c>
      <c r="AO7">
        <v>0</v>
      </c>
      <c r="AP7">
        <v>0</v>
      </c>
      <c r="AQ7" t="s">
        <v>51</v>
      </c>
      <c r="AR7">
        <v>9</v>
      </c>
      <c r="AS7">
        <v>2</v>
      </c>
      <c r="AT7">
        <v>0</v>
      </c>
      <c r="AU7">
        <v>0</v>
      </c>
      <c r="AV7">
        <v>9</v>
      </c>
      <c r="AW7">
        <v>2</v>
      </c>
      <c r="AX7">
        <v>0</v>
      </c>
      <c r="AY7">
        <v>0</v>
      </c>
      <c r="AZ7">
        <v>11</v>
      </c>
      <c r="BA7">
        <v>0</v>
      </c>
      <c r="BB7">
        <v>0</v>
      </c>
      <c r="BC7">
        <v>0</v>
      </c>
      <c r="BD7">
        <v>9</v>
      </c>
      <c r="BE7">
        <v>0</v>
      </c>
      <c r="BF7">
        <v>2</v>
      </c>
      <c r="BG7">
        <v>0</v>
      </c>
      <c r="BH7">
        <v>11</v>
      </c>
      <c r="BI7">
        <v>0</v>
      </c>
      <c r="BJ7">
        <v>0</v>
      </c>
      <c r="BK7">
        <v>0</v>
      </c>
    </row>
    <row r="8" spans="1:63">
      <c r="A8" t="s">
        <v>55</v>
      </c>
      <c r="B8">
        <v>33</v>
      </c>
      <c r="C8">
        <v>0</v>
      </c>
      <c r="D8">
        <v>0</v>
      </c>
      <c r="E8">
        <v>0</v>
      </c>
      <c r="F8">
        <v>33</v>
      </c>
      <c r="G8">
        <v>0</v>
      </c>
      <c r="H8">
        <v>0</v>
      </c>
      <c r="I8">
        <v>0</v>
      </c>
      <c r="J8">
        <v>33</v>
      </c>
      <c r="K8">
        <v>0</v>
      </c>
      <c r="L8">
        <v>0</v>
      </c>
      <c r="M8">
        <v>0</v>
      </c>
      <c r="N8">
        <v>33</v>
      </c>
      <c r="O8">
        <v>0</v>
      </c>
      <c r="P8">
        <v>0</v>
      </c>
      <c r="Q8">
        <v>0</v>
      </c>
      <c r="R8">
        <v>33</v>
      </c>
      <c r="S8">
        <v>0</v>
      </c>
      <c r="T8">
        <v>0</v>
      </c>
      <c r="U8">
        <v>0</v>
      </c>
      <c r="V8" t="s">
        <v>55</v>
      </c>
      <c r="W8">
        <v>33</v>
      </c>
      <c r="X8">
        <v>0</v>
      </c>
      <c r="Y8">
        <v>0</v>
      </c>
      <c r="Z8">
        <v>0</v>
      </c>
      <c r="AA8">
        <v>33</v>
      </c>
      <c r="AB8">
        <v>0</v>
      </c>
      <c r="AC8">
        <v>0</v>
      </c>
      <c r="AD8">
        <v>0</v>
      </c>
      <c r="AE8">
        <v>33</v>
      </c>
      <c r="AF8">
        <v>0</v>
      </c>
      <c r="AG8">
        <v>0</v>
      </c>
      <c r="AH8">
        <v>0</v>
      </c>
      <c r="AI8">
        <v>33</v>
      </c>
      <c r="AJ8">
        <v>0</v>
      </c>
      <c r="AK8">
        <v>0</v>
      </c>
      <c r="AL8">
        <v>0</v>
      </c>
      <c r="AM8">
        <v>33</v>
      </c>
      <c r="AN8">
        <v>0</v>
      </c>
      <c r="AO8">
        <v>0</v>
      </c>
      <c r="AP8">
        <v>0</v>
      </c>
      <c r="AQ8" t="s">
        <v>55</v>
      </c>
      <c r="AR8">
        <v>33</v>
      </c>
      <c r="AS8">
        <v>0</v>
      </c>
      <c r="AT8">
        <v>0</v>
      </c>
      <c r="AU8">
        <v>0</v>
      </c>
      <c r="AV8">
        <v>33</v>
      </c>
      <c r="AW8">
        <v>0</v>
      </c>
      <c r="AX8">
        <v>0</v>
      </c>
      <c r="AY8">
        <v>0</v>
      </c>
      <c r="AZ8">
        <v>33</v>
      </c>
      <c r="BA8">
        <v>0</v>
      </c>
      <c r="BB8">
        <v>0</v>
      </c>
      <c r="BC8">
        <v>0</v>
      </c>
      <c r="BD8">
        <v>33</v>
      </c>
      <c r="BE8">
        <v>0</v>
      </c>
      <c r="BF8">
        <v>0</v>
      </c>
      <c r="BG8">
        <v>0</v>
      </c>
      <c r="BH8">
        <v>33</v>
      </c>
      <c r="BI8">
        <v>0</v>
      </c>
      <c r="BJ8">
        <v>0</v>
      </c>
      <c r="BK8">
        <v>0</v>
      </c>
    </row>
    <row r="9" spans="1:63">
      <c r="A9" t="s">
        <v>85</v>
      </c>
      <c r="B9">
        <v>132</v>
      </c>
      <c r="C9">
        <v>0</v>
      </c>
      <c r="D9">
        <v>0</v>
      </c>
      <c r="E9">
        <v>0</v>
      </c>
      <c r="F9">
        <v>132</v>
      </c>
      <c r="G9">
        <v>0</v>
      </c>
      <c r="H9">
        <v>0</v>
      </c>
      <c r="I9">
        <v>0</v>
      </c>
      <c r="J9">
        <v>132</v>
      </c>
      <c r="K9">
        <v>0</v>
      </c>
      <c r="L9">
        <v>0</v>
      </c>
      <c r="M9">
        <v>0</v>
      </c>
      <c r="N9">
        <v>132</v>
      </c>
      <c r="O9">
        <v>0</v>
      </c>
      <c r="P9">
        <v>0</v>
      </c>
      <c r="Q9">
        <v>0</v>
      </c>
      <c r="R9">
        <v>132</v>
      </c>
      <c r="S9">
        <v>0</v>
      </c>
      <c r="T9">
        <v>0</v>
      </c>
      <c r="U9">
        <v>0</v>
      </c>
      <c r="V9" t="s">
        <v>85</v>
      </c>
      <c r="W9">
        <v>132</v>
      </c>
      <c r="X9">
        <v>0</v>
      </c>
      <c r="Y9">
        <v>0</v>
      </c>
      <c r="Z9">
        <v>0</v>
      </c>
      <c r="AA9">
        <v>132</v>
      </c>
      <c r="AB9">
        <v>0</v>
      </c>
      <c r="AC9">
        <v>0</v>
      </c>
      <c r="AD9">
        <v>0</v>
      </c>
      <c r="AE9">
        <v>132</v>
      </c>
      <c r="AF9">
        <v>0</v>
      </c>
      <c r="AG9">
        <v>0</v>
      </c>
      <c r="AH9">
        <v>0</v>
      </c>
      <c r="AI9">
        <v>132</v>
      </c>
      <c r="AJ9">
        <v>0</v>
      </c>
      <c r="AK9">
        <v>0</v>
      </c>
      <c r="AL9">
        <v>0</v>
      </c>
      <c r="AM9">
        <v>132</v>
      </c>
      <c r="AN9">
        <v>0</v>
      </c>
      <c r="AO9">
        <v>0</v>
      </c>
      <c r="AP9">
        <v>0</v>
      </c>
      <c r="AQ9" t="s">
        <v>85</v>
      </c>
      <c r="AR9">
        <v>132</v>
      </c>
      <c r="AS9">
        <v>0</v>
      </c>
      <c r="AT9">
        <v>0</v>
      </c>
      <c r="AU9">
        <v>0</v>
      </c>
      <c r="AV9">
        <v>132</v>
      </c>
      <c r="AW9">
        <v>0</v>
      </c>
      <c r="AX9">
        <v>0</v>
      </c>
      <c r="AY9">
        <v>0</v>
      </c>
      <c r="AZ9">
        <v>132</v>
      </c>
      <c r="BA9">
        <v>0</v>
      </c>
      <c r="BB9">
        <v>0</v>
      </c>
      <c r="BC9">
        <v>0</v>
      </c>
      <c r="BD9">
        <v>132</v>
      </c>
      <c r="BE9">
        <v>0</v>
      </c>
      <c r="BF9">
        <v>0</v>
      </c>
      <c r="BG9">
        <v>0</v>
      </c>
      <c r="BH9">
        <v>132</v>
      </c>
      <c r="BI9">
        <v>0</v>
      </c>
      <c r="BJ9">
        <v>0</v>
      </c>
      <c r="BK9">
        <v>0</v>
      </c>
    </row>
    <row r="10" spans="1:63">
      <c r="A10" t="s">
        <v>30</v>
      </c>
      <c r="B10">
        <v>51</v>
      </c>
      <c r="C10">
        <v>3</v>
      </c>
      <c r="D10">
        <v>0</v>
      </c>
      <c r="E10">
        <v>0</v>
      </c>
      <c r="F10">
        <v>51</v>
      </c>
      <c r="G10">
        <v>3</v>
      </c>
      <c r="H10">
        <v>0</v>
      </c>
      <c r="I10">
        <v>0</v>
      </c>
      <c r="J10">
        <v>54</v>
      </c>
      <c r="K10">
        <v>0</v>
      </c>
      <c r="L10">
        <v>0</v>
      </c>
      <c r="M10">
        <v>0</v>
      </c>
      <c r="N10">
        <v>51</v>
      </c>
      <c r="O10">
        <v>0</v>
      </c>
      <c r="P10">
        <v>3</v>
      </c>
      <c r="Q10">
        <v>0</v>
      </c>
      <c r="R10">
        <v>54</v>
      </c>
      <c r="S10">
        <v>0</v>
      </c>
      <c r="T10">
        <v>0</v>
      </c>
      <c r="U10">
        <v>0</v>
      </c>
      <c r="V10" t="s">
        <v>30</v>
      </c>
      <c r="W10">
        <v>51</v>
      </c>
      <c r="X10">
        <v>3</v>
      </c>
      <c r="Y10">
        <v>0</v>
      </c>
      <c r="Z10">
        <v>0</v>
      </c>
      <c r="AA10">
        <v>51</v>
      </c>
      <c r="AB10">
        <v>3</v>
      </c>
      <c r="AC10">
        <v>0</v>
      </c>
      <c r="AD10">
        <v>0</v>
      </c>
      <c r="AE10">
        <v>54</v>
      </c>
      <c r="AF10">
        <v>0</v>
      </c>
      <c r="AG10">
        <v>0</v>
      </c>
      <c r="AH10">
        <v>0</v>
      </c>
      <c r="AI10">
        <v>51</v>
      </c>
      <c r="AJ10">
        <v>0</v>
      </c>
      <c r="AK10">
        <v>3</v>
      </c>
      <c r="AL10">
        <v>0</v>
      </c>
      <c r="AM10">
        <v>54</v>
      </c>
      <c r="AN10">
        <v>0</v>
      </c>
      <c r="AO10">
        <v>0</v>
      </c>
      <c r="AP10">
        <v>0</v>
      </c>
      <c r="AQ10" t="s">
        <v>30</v>
      </c>
      <c r="AR10">
        <v>51</v>
      </c>
      <c r="AS10">
        <v>3</v>
      </c>
      <c r="AT10">
        <v>0</v>
      </c>
      <c r="AU10">
        <v>0</v>
      </c>
      <c r="AV10">
        <v>51</v>
      </c>
      <c r="AW10">
        <v>3</v>
      </c>
      <c r="AX10">
        <v>0</v>
      </c>
      <c r="AY10">
        <v>0</v>
      </c>
      <c r="AZ10">
        <v>54</v>
      </c>
      <c r="BA10">
        <v>0</v>
      </c>
      <c r="BB10">
        <v>0</v>
      </c>
      <c r="BC10">
        <v>0</v>
      </c>
      <c r="BD10">
        <v>51</v>
      </c>
      <c r="BE10">
        <v>0</v>
      </c>
      <c r="BF10">
        <v>3</v>
      </c>
      <c r="BG10">
        <v>0</v>
      </c>
      <c r="BH10">
        <v>54</v>
      </c>
      <c r="BI10">
        <v>0</v>
      </c>
      <c r="BJ10">
        <v>0</v>
      </c>
      <c r="BK10">
        <v>0</v>
      </c>
    </row>
    <row r="11" spans="1:63">
      <c r="A11" t="s">
        <v>89</v>
      </c>
      <c r="B11">
        <v>51</v>
      </c>
      <c r="C11">
        <v>0</v>
      </c>
      <c r="D11">
        <v>0</v>
      </c>
      <c r="E11">
        <v>0</v>
      </c>
      <c r="F11">
        <v>51</v>
      </c>
      <c r="G11">
        <v>0</v>
      </c>
      <c r="H11">
        <v>0</v>
      </c>
      <c r="I11">
        <v>0</v>
      </c>
      <c r="J11">
        <v>51</v>
      </c>
      <c r="K11">
        <v>0</v>
      </c>
      <c r="L11">
        <v>0</v>
      </c>
      <c r="M11">
        <v>0</v>
      </c>
      <c r="N11">
        <v>51</v>
      </c>
      <c r="O11">
        <v>0</v>
      </c>
      <c r="P11">
        <v>0</v>
      </c>
      <c r="Q11">
        <v>0</v>
      </c>
      <c r="R11">
        <v>51</v>
      </c>
      <c r="S11">
        <v>0</v>
      </c>
      <c r="T11">
        <v>0</v>
      </c>
      <c r="U11">
        <v>0</v>
      </c>
      <c r="V11" t="s">
        <v>89</v>
      </c>
      <c r="W11">
        <v>51</v>
      </c>
      <c r="X11">
        <v>0</v>
      </c>
      <c r="Y11">
        <v>0</v>
      </c>
      <c r="Z11">
        <v>0</v>
      </c>
      <c r="AA11">
        <v>51</v>
      </c>
      <c r="AB11">
        <v>0</v>
      </c>
      <c r="AC11">
        <v>0</v>
      </c>
      <c r="AD11">
        <v>0</v>
      </c>
      <c r="AE11">
        <v>51</v>
      </c>
      <c r="AF11">
        <v>0</v>
      </c>
      <c r="AG11">
        <v>0</v>
      </c>
      <c r="AH11">
        <v>0</v>
      </c>
      <c r="AI11">
        <v>51</v>
      </c>
      <c r="AJ11">
        <v>0</v>
      </c>
      <c r="AK11">
        <v>0</v>
      </c>
      <c r="AL11">
        <v>0</v>
      </c>
      <c r="AM11">
        <v>51</v>
      </c>
      <c r="AN11">
        <v>0</v>
      </c>
      <c r="AO11">
        <v>0</v>
      </c>
      <c r="AP11">
        <v>0</v>
      </c>
      <c r="AQ11" t="s">
        <v>89</v>
      </c>
      <c r="AR11">
        <v>51</v>
      </c>
      <c r="AS11">
        <v>0</v>
      </c>
      <c r="AT11">
        <v>0</v>
      </c>
      <c r="AU11">
        <v>0</v>
      </c>
      <c r="AV11">
        <v>51</v>
      </c>
      <c r="AW11">
        <v>0</v>
      </c>
      <c r="AX11">
        <v>0</v>
      </c>
      <c r="AY11">
        <v>0</v>
      </c>
      <c r="AZ11">
        <v>51</v>
      </c>
      <c r="BA11">
        <v>0</v>
      </c>
      <c r="BB11">
        <v>0</v>
      </c>
      <c r="BC11">
        <v>0</v>
      </c>
      <c r="BD11">
        <v>51</v>
      </c>
      <c r="BE11">
        <v>0</v>
      </c>
      <c r="BF11">
        <v>0</v>
      </c>
      <c r="BG11">
        <v>0</v>
      </c>
      <c r="BH11">
        <v>51</v>
      </c>
      <c r="BI11">
        <v>0</v>
      </c>
      <c r="BJ11">
        <v>0</v>
      </c>
      <c r="BK11">
        <v>0</v>
      </c>
    </row>
    <row r="12" spans="1:63">
      <c r="A12" t="s">
        <v>2</v>
      </c>
      <c r="B12">
        <v>3</v>
      </c>
      <c r="C12">
        <v>0</v>
      </c>
      <c r="D12">
        <v>0</v>
      </c>
      <c r="E12">
        <v>0</v>
      </c>
      <c r="F12">
        <v>3</v>
      </c>
      <c r="G12">
        <v>0</v>
      </c>
      <c r="H12">
        <v>0</v>
      </c>
      <c r="I12">
        <v>0</v>
      </c>
      <c r="J12">
        <v>3</v>
      </c>
      <c r="K12">
        <v>0</v>
      </c>
      <c r="L12">
        <v>0</v>
      </c>
      <c r="M12">
        <v>0</v>
      </c>
      <c r="N12">
        <v>3</v>
      </c>
      <c r="O12">
        <v>0</v>
      </c>
      <c r="P12">
        <v>0</v>
      </c>
      <c r="Q12">
        <v>0</v>
      </c>
      <c r="R12">
        <v>3</v>
      </c>
      <c r="S12">
        <v>0</v>
      </c>
      <c r="T12">
        <v>0</v>
      </c>
      <c r="U12">
        <v>0</v>
      </c>
      <c r="V12" t="s">
        <v>2</v>
      </c>
      <c r="W12">
        <v>3</v>
      </c>
      <c r="X12">
        <v>0</v>
      </c>
      <c r="Y12">
        <v>0</v>
      </c>
      <c r="Z12">
        <v>0</v>
      </c>
      <c r="AA12">
        <v>3</v>
      </c>
      <c r="AB12">
        <v>0</v>
      </c>
      <c r="AC12">
        <v>0</v>
      </c>
      <c r="AD12">
        <v>0</v>
      </c>
      <c r="AE12">
        <v>3</v>
      </c>
      <c r="AF12">
        <v>0</v>
      </c>
      <c r="AG12">
        <v>0</v>
      </c>
      <c r="AH12">
        <v>0</v>
      </c>
      <c r="AI12">
        <v>3</v>
      </c>
      <c r="AJ12">
        <v>0</v>
      </c>
      <c r="AK12">
        <v>0</v>
      </c>
      <c r="AL12">
        <v>0</v>
      </c>
      <c r="AM12">
        <v>3</v>
      </c>
      <c r="AN12">
        <v>0</v>
      </c>
      <c r="AO12">
        <v>0</v>
      </c>
      <c r="AP12">
        <v>0</v>
      </c>
      <c r="AQ12" t="s">
        <v>2</v>
      </c>
      <c r="AR12">
        <v>3</v>
      </c>
      <c r="AS12">
        <v>0</v>
      </c>
      <c r="AT12">
        <v>0</v>
      </c>
      <c r="AU12">
        <v>0</v>
      </c>
      <c r="AV12">
        <v>3</v>
      </c>
      <c r="AW12">
        <v>0</v>
      </c>
      <c r="AX12">
        <v>0</v>
      </c>
      <c r="AY12">
        <v>0</v>
      </c>
      <c r="AZ12">
        <v>3</v>
      </c>
      <c r="BA12">
        <v>0</v>
      </c>
      <c r="BB12">
        <v>0</v>
      </c>
      <c r="BC12">
        <v>0</v>
      </c>
      <c r="BD12">
        <v>3</v>
      </c>
      <c r="BE12">
        <v>0</v>
      </c>
      <c r="BF12">
        <v>0</v>
      </c>
      <c r="BG12">
        <v>0</v>
      </c>
      <c r="BH12">
        <v>3</v>
      </c>
      <c r="BI12">
        <v>0</v>
      </c>
      <c r="BJ12">
        <v>0</v>
      </c>
      <c r="BK12">
        <v>0</v>
      </c>
    </row>
    <row r="13" spans="1:63">
      <c r="A13" t="s">
        <v>37</v>
      </c>
      <c r="B13">
        <v>2</v>
      </c>
      <c r="C13">
        <v>0</v>
      </c>
      <c r="D13">
        <v>0</v>
      </c>
      <c r="E13">
        <v>0</v>
      </c>
      <c r="F13">
        <v>2</v>
      </c>
      <c r="G13">
        <v>0</v>
      </c>
      <c r="H13">
        <v>0</v>
      </c>
      <c r="I13">
        <v>0</v>
      </c>
      <c r="J13">
        <v>2</v>
      </c>
      <c r="K13">
        <v>0</v>
      </c>
      <c r="L13">
        <v>0</v>
      </c>
      <c r="M13">
        <v>0</v>
      </c>
      <c r="N13">
        <v>2</v>
      </c>
      <c r="O13">
        <v>0</v>
      </c>
      <c r="P13">
        <v>0</v>
      </c>
      <c r="Q13">
        <v>0</v>
      </c>
      <c r="R13">
        <v>2</v>
      </c>
      <c r="S13">
        <v>0</v>
      </c>
      <c r="T13">
        <v>0</v>
      </c>
      <c r="U13">
        <v>0</v>
      </c>
      <c r="V13" t="s">
        <v>37</v>
      </c>
      <c r="W13">
        <v>2</v>
      </c>
      <c r="X13">
        <v>0</v>
      </c>
      <c r="Y13">
        <v>0</v>
      </c>
      <c r="Z13">
        <v>0</v>
      </c>
      <c r="AA13">
        <v>2</v>
      </c>
      <c r="AB13">
        <v>0</v>
      </c>
      <c r="AC13">
        <v>0</v>
      </c>
      <c r="AD13">
        <v>0</v>
      </c>
      <c r="AE13">
        <v>2</v>
      </c>
      <c r="AF13">
        <v>0</v>
      </c>
      <c r="AG13">
        <v>0</v>
      </c>
      <c r="AH13">
        <v>0</v>
      </c>
      <c r="AI13">
        <v>2</v>
      </c>
      <c r="AJ13">
        <v>0</v>
      </c>
      <c r="AK13">
        <v>0</v>
      </c>
      <c r="AL13">
        <v>0</v>
      </c>
      <c r="AM13">
        <v>2</v>
      </c>
      <c r="AN13">
        <v>0</v>
      </c>
      <c r="AO13">
        <v>0</v>
      </c>
      <c r="AP13">
        <v>0</v>
      </c>
      <c r="AQ13" t="s">
        <v>37</v>
      </c>
      <c r="AR13">
        <v>2</v>
      </c>
      <c r="AS13">
        <v>0</v>
      </c>
      <c r="AT13">
        <v>0</v>
      </c>
      <c r="AU13">
        <v>0</v>
      </c>
      <c r="AV13">
        <v>2</v>
      </c>
      <c r="AW13">
        <v>0</v>
      </c>
      <c r="AX13">
        <v>0</v>
      </c>
      <c r="AY13">
        <v>0</v>
      </c>
      <c r="AZ13">
        <v>2</v>
      </c>
      <c r="BA13">
        <v>0</v>
      </c>
      <c r="BB13">
        <v>0</v>
      </c>
      <c r="BC13">
        <v>0</v>
      </c>
      <c r="BD13">
        <v>2</v>
      </c>
      <c r="BE13">
        <v>0</v>
      </c>
      <c r="BF13">
        <v>0</v>
      </c>
      <c r="BG13">
        <v>0</v>
      </c>
      <c r="BH13">
        <v>2</v>
      </c>
      <c r="BI13">
        <v>0</v>
      </c>
      <c r="BJ13">
        <v>0</v>
      </c>
      <c r="BK13">
        <v>0</v>
      </c>
    </row>
    <row r="14" spans="1:63">
      <c r="A14" t="s">
        <v>72</v>
      </c>
      <c r="B14">
        <v>8</v>
      </c>
      <c r="C14">
        <v>0</v>
      </c>
      <c r="D14">
        <v>0</v>
      </c>
      <c r="E14">
        <v>0</v>
      </c>
      <c r="F14">
        <v>8</v>
      </c>
      <c r="G14">
        <v>0</v>
      </c>
      <c r="H14">
        <v>0</v>
      </c>
      <c r="I14">
        <v>0</v>
      </c>
      <c r="J14">
        <v>8</v>
      </c>
      <c r="K14">
        <v>0</v>
      </c>
      <c r="L14">
        <v>0</v>
      </c>
      <c r="M14">
        <v>0</v>
      </c>
      <c r="N14">
        <v>8</v>
      </c>
      <c r="O14">
        <v>0</v>
      </c>
      <c r="P14">
        <v>0</v>
      </c>
      <c r="Q14">
        <v>0</v>
      </c>
      <c r="R14">
        <v>8</v>
      </c>
      <c r="S14">
        <v>0</v>
      </c>
      <c r="T14">
        <v>0</v>
      </c>
      <c r="U14">
        <v>0</v>
      </c>
      <c r="V14" t="s">
        <v>72</v>
      </c>
      <c r="W14">
        <v>8</v>
      </c>
      <c r="X14">
        <v>0</v>
      </c>
      <c r="Y14">
        <v>0</v>
      </c>
      <c r="Z14">
        <v>0</v>
      </c>
      <c r="AA14">
        <v>8</v>
      </c>
      <c r="AB14">
        <v>0</v>
      </c>
      <c r="AC14">
        <v>0</v>
      </c>
      <c r="AD14">
        <v>0</v>
      </c>
      <c r="AE14">
        <v>8</v>
      </c>
      <c r="AF14">
        <v>0</v>
      </c>
      <c r="AG14">
        <v>0</v>
      </c>
      <c r="AH14">
        <v>0</v>
      </c>
      <c r="AI14">
        <v>8</v>
      </c>
      <c r="AJ14">
        <v>0</v>
      </c>
      <c r="AK14">
        <v>0</v>
      </c>
      <c r="AL14">
        <v>0</v>
      </c>
      <c r="AM14">
        <v>8</v>
      </c>
      <c r="AN14">
        <v>0</v>
      </c>
      <c r="AO14">
        <v>0</v>
      </c>
      <c r="AP14">
        <v>0</v>
      </c>
      <c r="AQ14" t="s">
        <v>72</v>
      </c>
      <c r="AR14">
        <v>8</v>
      </c>
      <c r="AS14">
        <v>0</v>
      </c>
      <c r="AT14">
        <v>0</v>
      </c>
      <c r="AU14">
        <v>0</v>
      </c>
      <c r="AV14">
        <v>8</v>
      </c>
      <c r="AW14">
        <v>0</v>
      </c>
      <c r="AX14">
        <v>0</v>
      </c>
      <c r="AY14">
        <v>0</v>
      </c>
      <c r="AZ14">
        <v>8</v>
      </c>
      <c r="BA14">
        <v>0</v>
      </c>
      <c r="BB14">
        <v>0</v>
      </c>
      <c r="BC14">
        <v>0</v>
      </c>
      <c r="BD14">
        <v>8</v>
      </c>
      <c r="BE14">
        <v>0</v>
      </c>
      <c r="BF14">
        <v>0</v>
      </c>
      <c r="BG14">
        <v>0</v>
      </c>
      <c r="BH14">
        <v>8</v>
      </c>
      <c r="BI14">
        <v>0</v>
      </c>
      <c r="BJ14">
        <v>0</v>
      </c>
      <c r="BK14">
        <v>0</v>
      </c>
    </row>
    <row r="15" spans="1:63">
      <c r="A15" t="s">
        <v>8</v>
      </c>
      <c r="B15">
        <v>3</v>
      </c>
      <c r="C15">
        <v>0</v>
      </c>
      <c r="D15">
        <v>0</v>
      </c>
      <c r="E15">
        <v>0</v>
      </c>
      <c r="F15">
        <v>3</v>
      </c>
      <c r="G15">
        <v>0</v>
      </c>
      <c r="H15">
        <v>0</v>
      </c>
      <c r="I15">
        <v>0</v>
      </c>
      <c r="J15">
        <v>3</v>
      </c>
      <c r="K15">
        <v>0</v>
      </c>
      <c r="L15">
        <v>0</v>
      </c>
      <c r="M15">
        <v>0</v>
      </c>
      <c r="N15">
        <v>3</v>
      </c>
      <c r="O15">
        <v>0</v>
      </c>
      <c r="P15">
        <v>0</v>
      </c>
      <c r="Q15">
        <v>0</v>
      </c>
      <c r="R15">
        <v>3</v>
      </c>
      <c r="S15">
        <v>0</v>
      </c>
      <c r="T15">
        <v>0</v>
      </c>
      <c r="U15">
        <v>0</v>
      </c>
      <c r="V15" t="s">
        <v>8</v>
      </c>
      <c r="W15">
        <v>3</v>
      </c>
      <c r="X15">
        <v>0</v>
      </c>
      <c r="Y15">
        <v>0</v>
      </c>
      <c r="Z15">
        <v>0</v>
      </c>
      <c r="AA15">
        <v>3</v>
      </c>
      <c r="AB15">
        <v>0</v>
      </c>
      <c r="AC15">
        <v>0</v>
      </c>
      <c r="AD15">
        <v>0</v>
      </c>
      <c r="AE15">
        <v>3</v>
      </c>
      <c r="AF15">
        <v>0</v>
      </c>
      <c r="AG15">
        <v>0</v>
      </c>
      <c r="AH15">
        <v>0</v>
      </c>
      <c r="AI15">
        <v>3</v>
      </c>
      <c r="AJ15">
        <v>0</v>
      </c>
      <c r="AK15">
        <v>0</v>
      </c>
      <c r="AL15">
        <v>0</v>
      </c>
      <c r="AM15">
        <v>3</v>
      </c>
      <c r="AN15">
        <v>0</v>
      </c>
      <c r="AO15">
        <v>0</v>
      </c>
      <c r="AP15">
        <v>0</v>
      </c>
      <c r="AQ15" t="s">
        <v>8</v>
      </c>
      <c r="AR15">
        <v>3</v>
      </c>
      <c r="AS15">
        <v>0</v>
      </c>
      <c r="AT15">
        <v>0</v>
      </c>
      <c r="AU15">
        <v>0</v>
      </c>
      <c r="AV15">
        <v>3</v>
      </c>
      <c r="AW15">
        <v>0</v>
      </c>
      <c r="AX15">
        <v>0</v>
      </c>
      <c r="AY15">
        <v>0</v>
      </c>
      <c r="AZ15">
        <v>3</v>
      </c>
      <c r="BA15">
        <v>0</v>
      </c>
      <c r="BB15">
        <v>0</v>
      </c>
      <c r="BC15">
        <v>0</v>
      </c>
      <c r="BD15">
        <v>3</v>
      </c>
      <c r="BE15">
        <v>0</v>
      </c>
      <c r="BF15">
        <v>0</v>
      </c>
      <c r="BG15">
        <v>0</v>
      </c>
      <c r="BH15">
        <v>3</v>
      </c>
      <c r="BI15">
        <v>0</v>
      </c>
      <c r="BJ15">
        <v>0</v>
      </c>
      <c r="BK15">
        <v>0</v>
      </c>
    </row>
    <row r="16" spans="1:63">
      <c r="A16" t="s">
        <v>101</v>
      </c>
      <c r="B16">
        <v>132</v>
      </c>
      <c r="C16">
        <v>9</v>
      </c>
      <c r="D16">
        <v>0</v>
      </c>
      <c r="E16">
        <v>0</v>
      </c>
      <c r="F16">
        <v>132</v>
      </c>
      <c r="G16">
        <v>9</v>
      </c>
      <c r="H16">
        <v>0</v>
      </c>
      <c r="I16">
        <v>0</v>
      </c>
      <c r="J16">
        <v>141</v>
      </c>
      <c r="K16">
        <v>0</v>
      </c>
      <c r="L16">
        <v>0</v>
      </c>
      <c r="M16">
        <v>0</v>
      </c>
      <c r="N16">
        <v>132</v>
      </c>
      <c r="O16">
        <v>0</v>
      </c>
      <c r="P16">
        <v>9</v>
      </c>
      <c r="Q16">
        <v>0</v>
      </c>
      <c r="R16">
        <v>141</v>
      </c>
      <c r="S16">
        <v>0</v>
      </c>
      <c r="T16">
        <v>0</v>
      </c>
      <c r="U16">
        <v>0</v>
      </c>
      <c r="V16" t="s">
        <v>101</v>
      </c>
      <c r="W16">
        <v>132</v>
      </c>
      <c r="X16">
        <v>9</v>
      </c>
      <c r="Y16">
        <v>0</v>
      </c>
      <c r="Z16">
        <v>0</v>
      </c>
      <c r="AA16">
        <v>132</v>
      </c>
      <c r="AB16">
        <v>9</v>
      </c>
      <c r="AC16">
        <v>0</v>
      </c>
      <c r="AD16">
        <v>0</v>
      </c>
      <c r="AE16">
        <v>141</v>
      </c>
      <c r="AF16">
        <v>0</v>
      </c>
      <c r="AG16">
        <v>0</v>
      </c>
      <c r="AH16">
        <v>0</v>
      </c>
      <c r="AI16">
        <v>132</v>
      </c>
      <c r="AJ16">
        <v>0</v>
      </c>
      <c r="AK16">
        <v>9</v>
      </c>
      <c r="AL16">
        <v>0</v>
      </c>
      <c r="AM16">
        <v>141</v>
      </c>
      <c r="AN16">
        <v>0</v>
      </c>
      <c r="AO16">
        <v>0</v>
      </c>
      <c r="AP16">
        <v>0</v>
      </c>
      <c r="AQ16" t="s">
        <v>101</v>
      </c>
      <c r="AR16">
        <v>132</v>
      </c>
      <c r="AS16">
        <v>9</v>
      </c>
      <c r="AT16">
        <v>0</v>
      </c>
      <c r="AU16">
        <v>0</v>
      </c>
      <c r="AV16">
        <v>132</v>
      </c>
      <c r="AW16">
        <v>9</v>
      </c>
      <c r="AX16">
        <v>0</v>
      </c>
      <c r="AY16">
        <v>0</v>
      </c>
      <c r="AZ16">
        <v>141</v>
      </c>
      <c r="BA16">
        <v>0</v>
      </c>
      <c r="BB16">
        <v>0</v>
      </c>
      <c r="BC16">
        <v>0</v>
      </c>
      <c r="BD16">
        <v>132</v>
      </c>
      <c r="BE16">
        <v>0</v>
      </c>
      <c r="BF16">
        <v>9</v>
      </c>
      <c r="BG16">
        <v>0</v>
      </c>
      <c r="BH16">
        <v>141</v>
      </c>
      <c r="BI16">
        <v>0</v>
      </c>
      <c r="BJ16">
        <v>0</v>
      </c>
      <c r="BK16">
        <v>0</v>
      </c>
    </row>
    <row r="17" spans="1:63">
      <c r="A17" t="s">
        <v>3</v>
      </c>
      <c r="B17">
        <v>31</v>
      </c>
      <c r="C17">
        <v>0</v>
      </c>
      <c r="D17">
        <v>0</v>
      </c>
      <c r="E17">
        <v>0</v>
      </c>
      <c r="F17">
        <v>31</v>
      </c>
      <c r="G17">
        <v>0</v>
      </c>
      <c r="H17">
        <v>0</v>
      </c>
      <c r="I17">
        <v>0</v>
      </c>
      <c r="J17">
        <v>31</v>
      </c>
      <c r="K17">
        <v>0</v>
      </c>
      <c r="L17">
        <v>0</v>
      </c>
      <c r="M17">
        <v>0</v>
      </c>
      <c r="N17">
        <v>31</v>
      </c>
      <c r="O17">
        <v>0</v>
      </c>
      <c r="P17">
        <v>0</v>
      </c>
      <c r="Q17">
        <v>0</v>
      </c>
      <c r="R17">
        <v>31</v>
      </c>
      <c r="S17">
        <v>0</v>
      </c>
      <c r="T17">
        <v>0</v>
      </c>
      <c r="U17">
        <v>0</v>
      </c>
      <c r="V17" t="s">
        <v>3</v>
      </c>
      <c r="W17">
        <v>31</v>
      </c>
      <c r="X17">
        <v>0</v>
      </c>
      <c r="Y17">
        <v>0</v>
      </c>
      <c r="Z17">
        <v>0</v>
      </c>
      <c r="AA17">
        <v>31</v>
      </c>
      <c r="AB17">
        <v>0</v>
      </c>
      <c r="AC17">
        <v>0</v>
      </c>
      <c r="AD17">
        <v>0</v>
      </c>
      <c r="AE17">
        <v>31</v>
      </c>
      <c r="AF17">
        <v>0</v>
      </c>
      <c r="AG17">
        <v>0</v>
      </c>
      <c r="AH17">
        <v>0</v>
      </c>
      <c r="AI17">
        <v>31</v>
      </c>
      <c r="AJ17">
        <v>0</v>
      </c>
      <c r="AK17">
        <v>0</v>
      </c>
      <c r="AL17">
        <v>0</v>
      </c>
      <c r="AM17">
        <v>31</v>
      </c>
      <c r="AN17">
        <v>0</v>
      </c>
      <c r="AO17">
        <v>0</v>
      </c>
      <c r="AP17">
        <v>0</v>
      </c>
      <c r="AQ17" t="s">
        <v>3</v>
      </c>
      <c r="AR17">
        <v>31</v>
      </c>
      <c r="AS17">
        <v>0</v>
      </c>
      <c r="AT17">
        <v>0</v>
      </c>
      <c r="AU17">
        <v>0</v>
      </c>
      <c r="AV17">
        <v>31</v>
      </c>
      <c r="AW17">
        <v>0</v>
      </c>
      <c r="AX17">
        <v>0</v>
      </c>
      <c r="AY17">
        <v>0</v>
      </c>
      <c r="AZ17">
        <v>31</v>
      </c>
      <c r="BA17">
        <v>0</v>
      </c>
      <c r="BB17">
        <v>0</v>
      </c>
      <c r="BC17">
        <v>0</v>
      </c>
      <c r="BD17">
        <v>31</v>
      </c>
      <c r="BE17">
        <v>0</v>
      </c>
      <c r="BF17">
        <v>0</v>
      </c>
      <c r="BG17">
        <v>0</v>
      </c>
      <c r="BH17">
        <v>31</v>
      </c>
      <c r="BI17">
        <v>0</v>
      </c>
      <c r="BJ17">
        <v>0</v>
      </c>
      <c r="BK17">
        <v>0</v>
      </c>
    </row>
    <row r="18" spans="1:63">
      <c r="A18" t="s">
        <v>76</v>
      </c>
      <c r="B18">
        <v>31</v>
      </c>
      <c r="C18">
        <v>0</v>
      </c>
      <c r="D18">
        <v>0</v>
      </c>
      <c r="E18">
        <v>0</v>
      </c>
      <c r="F18">
        <v>31</v>
      </c>
      <c r="G18">
        <v>0</v>
      </c>
      <c r="H18">
        <v>0</v>
      </c>
      <c r="I18">
        <v>0</v>
      </c>
      <c r="J18">
        <v>31</v>
      </c>
      <c r="K18">
        <v>0</v>
      </c>
      <c r="L18">
        <v>0</v>
      </c>
      <c r="M18">
        <v>0</v>
      </c>
      <c r="N18">
        <v>31</v>
      </c>
      <c r="O18">
        <v>0</v>
      </c>
      <c r="P18">
        <v>0</v>
      </c>
      <c r="Q18">
        <v>0</v>
      </c>
      <c r="R18">
        <v>31</v>
      </c>
      <c r="S18">
        <v>0</v>
      </c>
      <c r="T18">
        <v>0</v>
      </c>
      <c r="U18">
        <v>0</v>
      </c>
      <c r="V18" t="s">
        <v>76</v>
      </c>
      <c r="W18">
        <v>31</v>
      </c>
      <c r="X18">
        <v>0</v>
      </c>
      <c r="Y18">
        <v>0</v>
      </c>
      <c r="Z18">
        <v>0</v>
      </c>
      <c r="AA18">
        <v>31</v>
      </c>
      <c r="AB18">
        <v>0</v>
      </c>
      <c r="AC18">
        <v>0</v>
      </c>
      <c r="AD18">
        <v>0</v>
      </c>
      <c r="AE18">
        <v>31</v>
      </c>
      <c r="AF18">
        <v>0</v>
      </c>
      <c r="AG18">
        <v>0</v>
      </c>
      <c r="AH18">
        <v>0</v>
      </c>
      <c r="AI18">
        <v>31</v>
      </c>
      <c r="AJ18">
        <v>0</v>
      </c>
      <c r="AK18">
        <v>0</v>
      </c>
      <c r="AL18">
        <v>0</v>
      </c>
      <c r="AM18">
        <v>31</v>
      </c>
      <c r="AN18">
        <v>0</v>
      </c>
      <c r="AO18">
        <v>0</v>
      </c>
      <c r="AP18">
        <v>0</v>
      </c>
      <c r="AQ18" t="s">
        <v>76</v>
      </c>
      <c r="AR18">
        <v>31</v>
      </c>
      <c r="AS18">
        <v>0</v>
      </c>
      <c r="AT18">
        <v>0</v>
      </c>
      <c r="AU18">
        <v>0</v>
      </c>
      <c r="AV18">
        <v>31</v>
      </c>
      <c r="AW18">
        <v>0</v>
      </c>
      <c r="AX18">
        <v>0</v>
      </c>
      <c r="AY18">
        <v>0</v>
      </c>
      <c r="AZ18">
        <v>31</v>
      </c>
      <c r="BA18">
        <v>0</v>
      </c>
      <c r="BB18">
        <v>0</v>
      </c>
      <c r="BC18">
        <v>0</v>
      </c>
      <c r="BD18">
        <v>31</v>
      </c>
      <c r="BE18">
        <v>0</v>
      </c>
      <c r="BF18">
        <v>0</v>
      </c>
      <c r="BG18">
        <v>0</v>
      </c>
      <c r="BH18">
        <v>31</v>
      </c>
      <c r="BI18">
        <v>0</v>
      </c>
      <c r="BJ18">
        <v>0</v>
      </c>
      <c r="BK18">
        <v>0</v>
      </c>
    </row>
    <row r="19" spans="1:63">
      <c r="A19" t="s">
        <v>29</v>
      </c>
      <c r="B19">
        <v>14</v>
      </c>
      <c r="C19">
        <v>0</v>
      </c>
      <c r="D19">
        <v>0</v>
      </c>
      <c r="E19">
        <v>0</v>
      </c>
      <c r="F19">
        <v>14</v>
      </c>
      <c r="G19">
        <v>0</v>
      </c>
      <c r="H19">
        <v>0</v>
      </c>
      <c r="I19">
        <v>0</v>
      </c>
      <c r="J19">
        <v>14</v>
      </c>
      <c r="K19">
        <v>0</v>
      </c>
      <c r="L19">
        <v>0</v>
      </c>
      <c r="M19">
        <v>0</v>
      </c>
      <c r="N19">
        <v>14</v>
      </c>
      <c r="O19">
        <v>0</v>
      </c>
      <c r="P19">
        <v>0</v>
      </c>
      <c r="Q19">
        <v>0</v>
      </c>
      <c r="R19">
        <v>14</v>
      </c>
      <c r="S19">
        <v>0</v>
      </c>
      <c r="T19">
        <v>0</v>
      </c>
      <c r="U19">
        <v>0</v>
      </c>
      <c r="V19" t="s">
        <v>29</v>
      </c>
      <c r="W19">
        <v>14</v>
      </c>
      <c r="X19">
        <v>0</v>
      </c>
      <c r="Y19">
        <v>0</v>
      </c>
      <c r="Z19">
        <v>0</v>
      </c>
      <c r="AA19">
        <v>14</v>
      </c>
      <c r="AB19">
        <v>0</v>
      </c>
      <c r="AC19">
        <v>0</v>
      </c>
      <c r="AD19">
        <v>0</v>
      </c>
      <c r="AE19">
        <v>14</v>
      </c>
      <c r="AF19">
        <v>0</v>
      </c>
      <c r="AG19">
        <v>0</v>
      </c>
      <c r="AH19">
        <v>0</v>
      </c>
      <c r="AI19">
        <v>14</v>
      </c>
      <c r="AJ19">
        <v>0</v>
      </c>
      <c r="AK19">
        <v>0</v>
      </c>
      <c r="AL19">
        <v>0</v>
      </c>
      <c r="AM19">
        <v>14</v>
      </c>
      <c r="AN19">
        <v>0</v>
      </c>
      <c r="AO19">
        <v>0</v>
      </c>
      <c r="AP19">
        <v>0</v>
      </c>
      <c r="AQ19" t="s">
        <v>29</v>
      </c>
      <c r="AR19">
        <v>14</v>
      </c>
      <c r="AS19">
        <v>0</v>
      </c>
      <c r="AT19">
        <v>0</v>
      </c>
      <c r="AU19">
        <v>0</v>
      </c>
      <c r="AV19">
        <v>14</v>
      </c>
      <c r="AW19">
        <v>0</v>
      </c>
      <c r="AX19">
        <v>0</v>
      </c>
      <c r="AY19">
        <v>0</v>
      </c>
      <c r="AZ19">
        <v>14</v>
      </c>
      <c r="BA19">
        <v>0</v>
      </c>
      <c r="BB19">
        <v>0</v>
      </c>
      <c r="BC19">
        <v>0</v>
      </c>
      <c r="BD19">
        <v>14</v>
      </c>
      <c r="BE19">
        <v>0</v>
      </c>
      <c r="BF19">
        <v>0</v>
      </c>
      <c r="BG19">
        <v>0</v>
      </c>
      <c r="BH19">
        <v>14</v>
      </c>
      <c r="BI19">
        <v>0</v>
      </c>
      <c r="BJ19">
        <v>0</v>
      </c>
      <c r="BK19">
        <v>0</v>
      </c>
    </row>
    <row r="20" spans="1:63">
      <c r="A20" t="s">
        <v>98</v>
      </c>
      <c r="B20">
        <v>176</v>
      </c>
      <c r="C20">
        <v>7</v>
      </c>
      <c r="D20">
        <v>0</v>
      </c>
      <c r="E20">
        <v>0</v>
      </c>
      <c r="F20">
        <v>176</v>
      </c>
      <c r="G20">
        <v>7</v>
      </c>
      <c r="H20">
        <v>0</v>
      </c>
      <c r="I20">
        <v>0</v>
      </c>
      <c r="J20">
        <v>183</v>
      </c>
      <c r="K20">
        <v>0</v>
      </c>
      <c r="L20">
        <v>0</v>
      </c>
      <c r="M20">
        <v>0</v>
      </c>
      <c r="N20">
        <v>176</v>
      </c>
      <c r="O20">
        <v>0</v>
      </c>
      <c r="P20">
        <v>7</v>
      </c>
      <c r="Q20">
        <v>0</v>
      </c>
      <c r="R20">
        <v>183</v>
      </c>
      <c r="S20">
        <v>0</v>
      </c>
      <c r="T20">
        <v>0</v>
      </c>
      <c r="U20">
        <v>0</v>
      </c>
      <c r="V20" t="s">
        <v>98</v>
      </c>
      <c r="W20">
        <v>176</v>
      </c>
      <c r="X20">
        <v>7</v>
      </c>
      <c r="Y20">
        <v>0</v>
      </c>
      <c r="Z20">
        <v>0</v>
      </c>
      <c r="AA20">
        <v>176</v>
      </c>
      <c r="AB20">
        <v>7</v>
      </c>
      <c r="AC20">
        <v>0</v>
      </c>
      <c r="AD20">
        <v>0</v>
      </c>
      <c r="AE20">
        <v>183</v>
      </c>
      <c r="AF20">
        <v>0</v>
      </c>
      <c r="AG20">
        <v>0</v>
      </c>
      <c r="AH20">
        <v>0</v>
      </c>
      <c r="AI20">
        <v>176</v>
      </c>
      <c r="AJ20">
        <v>0</v>
      </c>
      <c r="AK20">
        <v>7</v>
      </c>
      <c r="AL20">
        <v>0</v>
      </c>
      <c r="AM20">
        <v>183</v>
      </c>
      <c r="AN20">
        <v>0</v>
      </c>
      <c r="AO20">
        <v>0</v>
      </c>
      <c r="AP20">
        <v>0</v>
      </c>
      <c r="AQ20" t="s">
        <v>98</v>
      </c>
      <c r="AR20">
        <v>176</v>
      </c>
      <c r="AS20">
        <v>7</v>
      </c>
      <c r="AT20">
        <v>0</v>
      </c>
      <c r="AU20">
        <v>0</v>
      </c>
      <c r="AV20">
        <v>176</v>
      </c>
      <c r="AW20">
        <v>7</v>
      </c>
      <c r="AX20">
        <v>0</v>
      </c>
      <c r="AY20">
        <v>0</v>
      </c>
      <c r="AZ20">
        <v>183</v>
      </c>
      <c r="BA20">
        <v>0</v>
      </c>
      <c r="BB20">
        <v>0</v>
      </c>
      <c r="BC20">
        <v>0</v>
      </c>
      <c r="BD20">
        <v>176</v>
      </c>
      <c r="BE20">
        <v>0</v>
      </c>
      <c r="BF20">
        <v>7</v>
      </c>
      <c r="BG20">
        <v>0</v>
      </c>
      <c r="BH20">
        <v>183</v>
      </c>
      <c r="BI20">
        <v>0</v>
      </c>
      <c r="BJ20">
        <v>0</v>
      </c>
      <c r="BK20">
        <v>0</v>
      </c>
    </row>
    <row r="21" spans="1:63">
      <c r="A21" t="s">
        <v>43</v>
      </c>
      <c r="B21">
        <v>127</v>
      </c>
      <c r="C21">
        <v>0</v>
      </c>
      <c r="D21">
        <v>0</v>
      </c>
      <c r="E21">
        <v>0</v>
      </c>
      <c r="F21">
        <v>127</v>
      </c>
      <c r="G21">
        <v>0</v>
      </c>
      <c r="H21">
        <v>0</v>
      </c>
      <c r="I21">
        <v>0</v>
      </c>
      <c r="J21">
        <v>127</v>
      </c>
      <c r="K21">
        <v>0</v>
      </c>
      <c r="L21">
        <v>0</v>
      </c>
      <c r="M21">
        <v>0</v>
      </c>
      <c r="N21">
        <v>127</v>
      </c>
      <c r="O21">
        <v>0</v>
      </c>
      <c r="P21">
        <v>0</v>
      </c>
      <c r="Q21">
        <v>0</v>
      </c>
      <c r="R21">
        <v>127</v>
      </c>
      <c r="S21">
        <v>0</v>
      </c>
      <c r="T21">
        <v>0</v>
      </c>
      <c r="U21">
        <v>0</v>
      </c>
      <c r="V21" t="s">
        <v>43</v>
      </c>
      <c r="W21">
        <v>127</v>
      </c>
      <c r="X21">
        <v>0</v>
      </c>
      <c r="Y21">
        <v>0</v>
      </c>
      <c r="Z21">
        <v>0</v>
      </c>
      <c r="AA21">
        <v>127</v>
      </c>
      <c r="AB21">
        <v>0</v>
      </c>
      <c r="AC21">
        <v>0</v>
      </c>
      <c r="AD21">
        <v>0</v>
      </c>
      <c r="AE21">
        <v>127</v>
      </c>
      <c r="AF21">
        <v>0</v>
      </c>
      <c r="AG21">
        <v>0</v>
      </c>
      <c r="AH21">
        <v>0</v>
      </c>
      <c r="AI21">
        <v>127</v>
      </c>
      <c r="AJ21">
        <v>0</v>
      </c>
      <c r="AK21">
        <v>0</v>
      </c>
      <c r="AL21">
        <v>0</v>
      </c>
      <c r="AM21">
        <v>127</v>
      </c>
      <c r="AN21">
        <v>0</v>
      </c>
      <c r="AO21">
        <v>0</v>
      </c>
      <c r="AP21">
        <v>0</v>
      </c>
      <c r="AQ21" t="s">
        <v>43</v>
      </c>
      <c r="AR21">
        <v>127</v>
      </c>
      <c r="AS21">
        <v>0</v>
      </c>
      <c r="AT21">
        <v>0</v>
      </c>
      <c r="AU21">
        <v>0</v>
      </c>
      <c r="AV21">
        <v>127</v>
      </c>
      <c r="AW21">
        <v>0</v>
      </c>
      <c r="AX21">
        <v>0</v>
      </c>
      <c r="AY21">
        <v>0</v>
      </c>
      <c r="AZ21">
        <v>127</v>
      </c>
      <c r="BA21">
        <v>0</v>
      </c>
      <c r="BB21">
        <v>0</v>
      </c>
      <c r="BC21">
        <v>0</v>
      </c>
      <c r="BD21">
        <v>127</v>
      </c>
      <c r="BE21">
        <v>0</v>
      </c>
      <c r="BF21">
        <v>0</v>
      </c>
      <c r="BG21">
        <v>0</v>
      </c>
      <c r="BH21">
        <v>127</v>
      </c>
      <c r="BI21">
        <v>0</v>
      </c>
      <c r="BJ21">
        <v>0</v>
      </c>
      <c r="BK21">
        <v>0</v>
      </c>
    </row>
    <row r="22" spans="1:63">
      <c r="A22" t="s">
        <v>28</v>
      </c>
      <c r="B22">
        <v>106</v>
      </c>
      <c r="C22">
        <v>0</v>
      </c>
      <c r="D22">
        <v>0</v>
      </c>
      <c r="E22">
        <v>0</v>
      </c>
      <c r="F22">
        <v>106</v>
      </c>
      <c r="G22">
        <v>0</v>
      </c>
      <c r="H22">
        <v>0</v>
      </c>
      <c r="I22">
        <v>0</v>
      </c>
      <c r="J22">
        <v>106</v>
      </c>
      <c r="K22">
        <v>0</v>
      </c>
      <c r="L22">
        <v>0</v>
      </c>
      <c r="M22">
        <v>0</v>
      </c>
      <c r="N22">
        <v>106</v>
      </c>
      <c r="O22">
        <v>0</v>
      </c>
      <c r="P22">
        <v>0</v>
      </c>
      <c r="Q22">
        <v>0</v>
      </c>
      <c r="R22">
        <v>106</v>
      </c>
      <c r="S22">
        <v>0</v>
      </c>
      <c r="T22">
        <v>0</v>
      </c>
      <c r="U22">
        <v>0</v>
      </c>
      <c r="V22" t="s">
        <v>28</v>
      </c>
      <c r="W22">
        <v>106</v>
      </c>
      <c r="X22">
        <v>0</v>
      </c>
      <c r="Y22">
        <v>0</v>
      </c>
      <c r="Z22">
        <v>0</v>
      </c>
      <c r="AA22">
        <v>106</v>
      </c>
      <c r="AB22">
        <v>0</v>
      </c>
      <c r="AC22">
        <v>0</v>
      </c>
      <c r="AD22">
        <v>0</v>
      </c>
      <c r="AE22">
        <v>106</v>
      </c>
      <c r="AF22">
        <v>0</v>
      </c>
      <c r="AG22">
        <v>0</v>
      </c>
      <c r="AH22">
        <v>0</v>
      </c>
      <c r="AI22">
        <v>106</v>
      </c>
      <c r="AJ22">
        <v>0</v>
      </c>
      <c r="AK22">
        <v>0</v>
      </c>
      <c r="AL22">
        <v>0</v>
      </c>
      <c r="AM22">
        <v>106</v>
      </c>
      <c r="AN22">
        <v>0</v>
      </c>
      <c r="AO22">
        <v>0</v>
      </c>
      <c r="AP22">
        <v>0</v>
      </c>
      <c r="AQ22" t="s">
        <v>28</v>
      </c>
      <c r="AR22">
        <v>106</v>
      </c>
      <c r="AS22">
        <v>0</v>
      </c>
      <c r="AT22">
        <v>0</v>
      </c>
      <c r="AU22">
        <v>0</v>
      </c>
      <c r="AV22">
        <v>106</v>
      </c>
      <c r="AW22">
        <v>0</v>
      </c>
      <c r="AX22">
        <v>0</v>
      </c>
      <c r="AY22">
        <v>0</v>
      </c>
      <c r="AZ22">
        <v>106</v>
      </c>
      <c r="BA22">
        <v>0</v>
      </c>
      <c r="BB22">
        <v>0</v>
      </c>
      <c r="BC22">
        <v>0</v>
      </c>
      <c r="BD22">
        <v>106</v>
      </c>
      <c r="BE22">
        <v>0</v>
      </c>
      <c r="BF22">
        <v>0</v>
      </c>
      <c r="BG22">
        <v>0</v>
      </c>
      <c r="BH22">
        <v>106</v>
      </c>
      <c r="BI22">
        <v>0</v>
      </c>
      <c r="BJ22">
        <v>0</v>
      </c>
      <c r="BK22">
        <v>0</v>
      </c>
    </row>
    <row r="23" spans="1:63">
      <c r="A23" t="s">
        <v>40</v>
      </c>
      <c r="B23">
        <v>3</v>
      </c>
      <c r="C23">
        <v>0</v>
      </c>
      <c r="D23">
        <v>0</v>
      </c>
      <c r="E23">
        <v>0</v>
      </c>
      <c r="F23">
        <v>3</v>
      </c>
      <c r="G23">
        <v>0</v>
      </c>
      <c r="H23">
        <v>0</v>
      </c>
      <c r="I23">
        <v>0</v>
      </c>
      <c r="J23">
        <v>3</v>
      </c>
      <c r="K23">
        <v>0</v>
      </c>
      <c r="L23">
        <v>0</v>
      </c>
      <c r="M23">
        <v>0</v>
      </c>
      <c r="N23">
        <v>3</v>
      </c>
      <c r="O23">
        <v>0</v>
      </c>
      <c r="P23">
        <v>0</v>
      </c>
      <c r="Q23">
        <v>0</v>
      </c>
      <c r="R23">
        <v>3</v>
      </c>
      <c r="S23">
        <v>0</v>
      </c>
      <c r="T23">
        <v>0</v>
      </c>
      <c r="U23">
        <v>0</v>
      </c>
      <c r="V23" t="s">
        <v>40</v>
      </c>
      <c r="W23">
        <v>3</v>
      </c>
      <c r="X23">
        <v>0</v>
      </c>
      <c r="Y23">
        <v>0</v>
      </c>
      <c r="Z23">
        <v>0</v>
      </c>
      <c r="AA23">
        <v>3</v>
      </c>
      <c r="AB23">
        <v>0</v>
      </c>
      <c r="AC23">
        <v>0</v>
      </c>
      <c r="AD23">
        <v>0</v>
      </c>
      <c r="AE23">
        <v>3</v>
      </c>
      <c r="AF23">
        <v>0</v>
      </c>
      <c r="AG23">
        <v>0</v>
      </c>
      <c r="AH23">
        <v>0</v>
      </c>
      <c r="AI23">
        <v>3</v>
      </c>
      <c r="AJ23">
        <v>0</v>
      </c>
      <c r="AK23">
        <v>0</v>
      </c>
      <c r="AL23">
        <v>0</v>
      </c>
      <c r="AM23">
        <v>3</v>
      </c>
      <c r="AN23">
        <v>0</v>
      </c>
      <c r="AO23">
        <v>0</v>
      </c>
      <c r="AP23">
        <v>0</v>
      </c>
      <c r="AQ23" t="s">
        <v>40</v>
      </c>
      <c r="AR23">
        <v>3</v>
      </c>
      <c r="AS23">
        <v>0</v>
      </c>
      <c r="AT23">
        <v>0</v>
      </c>
      <c r="AU23">
        <v>0</v>
      </c>
      <c r="AV23">
        <v>3</v>
      </c>
      <c r="AW23">
        <v>0</v>
      </c>
      <c r="AX23">
        <v>0</v>
      </c>
      <c r="AY23">
        <v>0</v>
      </c>
      <c r="AZ23">
        <v>3</v>
      </c>
      <c r="BA23">
        <v>0</v>
      </c>
      <c r="BB23">
        <v>0</v>
      </c>
      <c r="BC23">
        <v>0</v>
      </c>
      <c r="BD23">
        <v>3</v>
      </c>
      <c r="BE23">
        <v>0</v>
      </c>
      <c r="BF23">
        <v>0</v>
      </c>
      <c r="BG23">
        <v>0</v>
      </c>
      <c r="BH23">
        <v>3</v>
      </c>
      <c r="BI23">
        <v>0</v>
      </c>
      <c r="BJ23">
        <v>0</v>
      </c>
      <c r="BK23">
        <v>0</v>
      </c>
    </row>
    <row r="24" spans="1:63">
      <c r="A24" t="s">
        <v>56</v>
      </c>
      <c r="B24">
        <v>406</v>
      </c>
      <c r="C24">
        <v>0</v>
      </c>
      <c r="D24">
        <v>0</v>
      </c>
      <c r="E24">
        <v>0</v>
      </c>
      <c r="F24">
        <v>406</v>
      </c>
      <c r="G24">
        <v>0</v>
      </c>
      <c r="H24">
        <v>0</v>
      </c>
      <c r="I24">
        <v>0</v>
      </c>
      <c r="J24">
        <v>406</v>
      </c>
      <c r="K24">
        <v>0</v>
      </c>
      <c r="L24">
        <v>0</v>
      </c>
      <c r="M24">
        <v>0</v>
      </c>
      <c r="N24">
        <v>406</v>
      </c>
      <c r="O24">
        <v>0</v>
      </c>
      <c r="P24">
        <v>0</v>
      </c>
      <c r="Q24">
        <v>0</v>
      </c>
      <c r="R24">
        <v>406</v>
      </c>
      <c r="S24">
        <v>0</v>
      </c>
      <c r="T24">
        <v>0</v>
      </c>
      <c r="U24">
        <v>0</v>
      </c>
      <c r="V24" t="s">
        <v>56</v>
      </c>
      <c r="W24">
        <v>406</v>
      </c>
      <c r="X24">
        <v>0</v>
      </c>
      <c r="Y24">
        <v>0</v>
      </c>
      <c r="Z24">
        <v>0</v>
      </c>
      <c r="AA24">
        <v>406</v>
      </c>
      <c r="AB24">
        <v>0</v>
      </c>
      <c r="AC24">
        <v>0</v>
      </c>
      <c r="AD24">
        <v>0</v>
      </c>
      <c r="AE24">
        <v>406</v>
      </c>
      <c r="AF24">
        <v>0</v>
      </c>
      <c r="AG24">
        <v>0</v>
      </c>
      <c r="AH24">
        <v>0</v>
      </c>
      <c r="AI24">
        <v>406</v>
      </c>
      <c r="AJ24">
        <v>0</v>
      </c>
      <c r="AK24">
        <v>0</v>
      </c>
      <c r="AL24">
        <v>0</v>
      </c>
      <c r="AM24">
        <v>406</v>
      </c>
      <c r="AN24">
        <v>0</v>
      </c>
      <c r="AO24">
        <v>0</v>
      </c>
      <c r="AP24">
        <v>0</v>
      </c>
      <c r="AQ24" t="s">
        <v>56</v>
      </c>
      <c r="AR24">
        <v>406</v>
      </c>
      <c r="AS24">
        <v>0</v>
      </c>
      <c r="AT24">
        <v>0</v>
      </c>
      <c r="AU24">
        <v>0</v>
      </c>
      <c r="AV24">
        <v>406</v>
      </c>
      <c r="AW24">
        <v>0</v>
      </c>
      <c r="AX24">
        <v>0</v>
      </c>
      <c r="AY24">
        <v>0</v>
      </c>
      <c r="AZ24">
        <v>406</v>
      </c>
      <c r="BA24">
        <v>0</v>
      </c>
      <c r="BB24">
        <v>0</v>
      </c>
      <c r="BC24">
        <v>0</v>
      </c>
      <c r="BD24">
        <v>406</v>
      </c>
      <c r="BE24">
        <v>0</v>
      </c>
      <c r="BF24">
        <v>0</v>
      </c>
      <c r="BG24">
        <v>0</v>
      </c>
      <c r="BH24">
        <v>406</v>
      </c>
      <c r="BI24">
        <v>0</v>
      </c>
      <c r="BJ24">
        <v>0</v>
      </c>
      <c r="BK24">
        <v>0</v>
      </c>
    </row>
    <row r="25" spans="1:63">
      <c r="A25" t="s">
        <v>18</v>
      </c>
      <c r="B25">
        <v>192</v>
      </c>
      <c r="C25">
        <v>0</v>
      </c>
      <c r="D25">
        <v>0</v>
      </c>
      <c r="E25">
        <v>0</v>
      </c>
      <c r="F25">
        <v>192</v>
      </c>
      <c r="G25">
        <v>0</v>
      </c>
      <c r="H25">
        <v>0</v>
      </c>
      <c r="I25">
        <v>0</v>
      </c>
      <c r="J25">
        <v>192</v>
      </c>
      <c r="K25">
        <v>0</v>
      </c>
      <c r="L25">
        <v>0</v>
      </c>
      <c r="M25">
        <v>0</v>
      </c>
      <c r="N25">
        <v>192</v>
      </c>
      <c r="O25">
        <v>0</v>
      </c>
      <c r="P25">
        <v>0</v>
      </c>
      <c r="Q25">
        <v>0</v>
      </c>
      <c r="R25">
        <v>192</v>
      </c>
      <c r="S25">
        <v>0</v>
      </c>
      <c r="T25">
        <v>0</v>
      </c>
      <c r="U25">
        <v>0</v>
      </c>
      <c r="V25" t="s">
        <v>18</v>
      </c>
      <c r="W25">
        <v>192</v>
      </c>
      <c r="X25">
        <v>0</v>
      </c>
      <c r="Y25">
        <v>0</v>
      </c>
      <c r="Z25">
        <v>0</v>
      </c>
      <c r="AA25">
        <v>192</v>
      </c>
      <c r="AB25">
        <v>0</v>
      </c>
      <c r="AC25">
        <v>0</v>
      </c>
      <c r="AD25">
        <v>0</v>
      </c>
      <c r="AE25">
        <v>192</v>
      </c>
      <c r="AF25">
        <v>0</v>
      </c>
      <c r="AG25">
        <v>0</v>
      </c>
      <c r="AH25">
        <v>0</v>
      </c>
      <c r="AI25">
        <v>192</v>
      </c>
      <c r="AJ25">
        <v>0</v>
      </c>
      <c r="AK25">
        <v>0</v>
      </c>
      <c r="AL25">
        <v>0</v>
      </c>
      <c r="AM25">
        <v>192</v>
      </c>
      <c r="AN25">
        <v>0</v>
      </c>
      <c r="AO25">
        <v>0</v>
      </c>
      <c r="AP25">
        <v>0</v>
      </c>
      <c r="AQ25" t="s">
        <v>18</v>
      </c>
      <c r="AR25">
        <v>192</v>
      </c>
      <c r="AS25">
        <v>0</v>
      </c>
      <c r="AT25">
        <v>0</v>
      </c>
      <c r="AU25">
        <v>0</v>
      </c>
      <c r="AV25">
        <v>192</v>
      </c>
      <c r="AW25">
        <v>0</v>
      </c>
      <c r="AX25">
        <v>0</v>
      </c>
      <c r="AY25">
        <v>0</v>
      </c>
      <c r="AZ25">
        <v>192</v>
      </c>
      <c r="BA25">
        <v>0</v>
      </c>
      <c r="BB25">
        <v>0</v>
      </c>
      <c r="BC25">
        <v>0</v>
      </c>
      <c r="BD25">
        <v>192</v>
      </c>
      <c r="BE25">
        <v>0</v>
      </c>
      <c r="BF25">
        <v>0</v>
      </c>
      <c r="BG25">
        <v>0</v>
      </c>
      <c r="BH25">
        <v>192</v>
      </c>
      <c r="BI25">
        <v>0</v>
      </c>
      <c r="BJ25">
        <v>0</v>
      </c>
      <c r="BK25">
        <v>0</v>
      </c>
    </row>
    <row r="26" spans="1:63">
      <c r="A26" t="s">
        <v>27</v>
      </c>
      <c r="B26">
        <v>118</v>
      </c>
      <c r="C26">
        <v>0</v>
      </c>
      <c r="D26">
        <v>0</v>
      </c>
      <c r="E26">
        <v>0</v>
      </c>
      <c r="F26">
        <v>118</v>
      </c>
      <c r="G26">
        <v>0</v>
      </c>
      <c r="H26">
        <v>0</v>
      </c>
      <c r="I26">
        <v>0</v>
      </c>
      <c r="J26">
        <v>118</v>
      </c>
      <c r="K26">
        <v>0</v>
      </c>
      <c r="L26">
        <v>0</v>
      </c>
      <c r="M26">
        <v>0</v>
      </c>
      <c r="N26">
        <v>118</v>
      </c>
      <c r="O26">
        <v>0</v>
      </c>
      <c r="P26">
        <v>0</v>
      </c>
      <c r="Q26">
        <v>0</v>
      </c>
      <c r="R26">
        <v>118</v>
      </c>
      <c r="S26">
        <v>0</v>
      </c>
      <c r="T26">
        <v>0</v>
      </c>
      <c r="U26">
        <v>0</v>
      </c>
      <c r="V26" t="s">
        <v>27</v>
      </c>
      <c r="W26">
        <v>118</v>
      </c>
      <c r="X26">
        <v>0</v>
      </c>
      <c r="Y26">
        <v>0</v>
      </c>
      <c r="Z26">
        <v>0</v>
      </c>
      <c r="AA26">
        <v>118</v>
      </c>
      <c r="AB26">
        <v>0</v>
      </c>
      <c r="AC26">
        <v>0</v>
      </c>
      <c r="AD26">
        <v>0</v>
      </c>
      <c r="AE26">
        <v>118</v>
      </c>
      <c r="AF26">
        <v>0</v>
      </c>
      <c r="AG26">
        <v>0</v>
      </c>
      <c r="AH26">
        <v>0</v>
      </c>
      <c r="AI26">
        <v>118</v>
      </c>
      <c r="AJ26">
        <v>0</v>
      </c>
      <c r="AK26">
        <v>0</v>
      </c>
      <c r="AL26">
        <v>0</v>
      </c>
      <c r="AM26">
        <v>118</v>
      </c>
      <c r="AN26">
        <v>0</v>
      </c>
      <c r="AO26">
        <v>0</v>
      </c>
      <c r="AP26">
        <v>0</v>
      </c>
      <c r="AQ26" t="s">
        <v>27</v>
      </c>
      <c r="AR26">
        <v>118</v>
      </c>
      <c r="AS26">
        <v>0</v>
      </c>
      <c r="AT26">
        <v>0</v>
      </c>
      <c r="AU26">
        <v>0</v>
      </c>
      <c r="AV26">
        <v>118</v>
      </c>
      <c r="AW26">
        <v>0</v>
      </c>
      <c r="AX26">
        <v>0</v>
      </c>
      <c r="AY26">
        <v>0</v>
      </c>
      <c r="AZ26">
        <v>118</v>
      </c>
      <c r="BA26">
        <v>0</v>
      </c>
      <c r="BB26">
        <v>0</v>
      </c>
      <c r="BC26">
        <v>0</v>
      </c>
      <c r="BD26">
        <v>118</v>
      </c>
      <c r="BE26">
        <v>0</v>
      </c>
      <c r="BF26">
        <v>0</v>
      </c>
      <c r="BG26">
        <v>0</v>
      </c>
      <c r="BH26">
        <v>118</v>
      </c>
      <c r="BI26">
        <v>0</v>
      </c>
      <c r="BJ26">
        <v>0</v>
      </c>
      <c r="BK26">
        <v>0</v>
      </c>
    </row>
    <row r="27" spans="1:63">
      <c r="A27" t="s">
        <v>69</v>
      </c>
      <c r="B27">
        <v>30</v>
      </c>
      <c r="C27">
        <v>0</v>
      </c>
      <c r="D27">
        <v>0</v>
      </c>
      <c r="E27">
        <v>0</v>
      </c>
      <c r="F27">
        <v>30</v>
      </c>
      <c r="G27">
        <v>0</v>
      </c>
      <c r="H27">
        <v>0</v>
      </c>
      <c r="I27">
        <v>0</v>
      </c>
      <c r="J27">
        <v>30</v>
      </c>
      <c r="K27">
        <v>0</v>
      </c>
      <c r="L27">
        <v>0</v>
      </c>
      <c r="M27">
        <v>0</v>
      </c>
      <c r="N27">
        <v>30</v>
      </c>
      <c r="O27">
        <v>0</v>
      </c>
      <c r="P27">
        <v>0</v>
      </c>
      <c r="Q27">
        <v>0</v>
      </c>
      <c r="R27">
        <v>30</v>
      </c>
      <c r="S27">
        <v>0</v>
      </c>
      <c r="T27">
        <v>0</v>
      </c>
      <c r="U27">
        <v>0</v>
      </c>
      <c r="V27" t="s">
        <v>69</v>
      </c>
      <c r="W27">
        <v>30</v>
      </c>
      <c r="X27">
        <v>0</v>
      </c>
      <c r="Y27">
        <v>0</v>
      </c>
      <c r="Z27">
        <v>0</v>
      </c>
      <c r="AA27">
        <v>30</v>
      </c>
      <c r="AB27">
        <v>0</v>
      </c>
      <c r="AC27">
        <v>0</v>
      </c>
      <c r="AD27">
        <v>0</v>
      </c>
      <c r="AE27">
        <v>30</v>
      </c>
      <c r="AF27">
        <v>0</v>
      </c>
      <c r="AG27">
        <v>0</v>
      </c>
      <c r="AH27">
        <v>0</v>
      </c>
      <c r="AI27">
        <v>30</v>
      </c>
      <c r="AJ27">
        <v>0</v>
      </c>
      <c r="AK27">
        <v>0</v>
      </c>
      <c r="AL27">
        <v>0</v>
      </c>
      <c r="AM27">
        <v>30</v>
      </c>
      <c r="AN27">
        <v>0</v>
      </c>
      <c r="AO27">
        <v>0</v>
      </c>
      <c r="AP27">
        <v>0</v>
      </c>
      <c r="AQ27" t="s">
        <v>69</v>
      </c>
      <c r="AR27">
        <v>30</v>
      </c>
      <c r="AS27">
        <v>0</v>
      </c>
      <c r="AT27">
        <v>0</v>
      </c>
      <c r="AU27">
        <v>0</v>
      </c>
      <c r="AV27">
        <v>30</v>
      </c>
      <c r="AW27">
        <v>0</v>
      </c>
      <c r="AX27">
        <v>0</v>
      </c>
      <c r="AY27">
        <v>0</v>
      </c>
      <c r="AZ27">
        <v>30</v>
      </c>
      <c r="BA27">
        <v>0</v>
      </c>
      <c r="BB27">
        <v>0</v>
      </c>
      <c r="BC27">
        <v>0</v>
      </c>
      <c r="BD27">
        <v>30</v>
      </c>
      <c r="BE27">
        <v>0</v>
      </c>
      <c r="BF27">
        <v>0</v>
      </c>
      <c r="BG27">
        <v>0</v>
      </c>
      <c r="BH27">
        <v>30</v>
      </c>
      <c r="BI27">
        <v>0</v>
      </c>
      <c r="BJ27">
        <v>0</v>
      </c>
      <c r="BK27">
        <v>0</v>
      </c>
    </row>
    <row r="28" spans="1:63">
      <c r="A28" t="s">
        <v>71</v>
      </c>
      <c r="B28">
        <v>112</v>
      </c>
      <c r="C28">
        <v>0</v>
      </c>
      <c r="D28">
        <v>0</v>
      </c>
      <c r="E28">
        <v>0</v>
      </c>
      <c r="F28">
        <v>112</v>
      </c>
      <c r="G28">
        <v>0</v>
      </c>
      <c r="H28">
        <v>0</v>
      </c>
      <c r="I28">
        <v>0</v>
      </c>
      <c r="J28">
        <v>112</v>
      </c>
      <c r="K28">
        <v>0</v>
      </c>
      <c r="L28">
        <v>0</v>
      </c>
      <c r="M28">
        <v>0</v>
      </c>
      <c r="N28">
        <v>112</v>
      </c>
      <c r="O28">
        <v>0</v>
      </c>
      <c r="P28">
        <v>0</v>
      </c>
      <c r="Q28">
        <v>0</v>
      </c>
      <c r="R28">
        <v>112</v>
      </c>
      <c r="S28">
        <v>0</v>
      </c>
      <c r="T28">
        <v>0</v>
      </c>
      <c r="U28">
        <v>0</v>
      </c>
      <c r="V28" t="s">
        <v>71</v>
      </c>
      <c r="W28">
        <v>112</v>
      </c>
      <c r="X28">
        <v>0</v>
      </c>
      <c r="Y28">
        <v>0</v>
      </c>
      <c r="Z28">
        <v>0</v>
      </c>
      <c r="AA28">
        <v>112</v>
      </c>
      <c r="AB28">
        <v>0</v>
      </c>
      <c r="AC28">
        <v>0</v>
      </c>
      <c r="AD28">
        <v>0</v>
      </c>
      <c r="AE28">
        <v>112</v>
      </c>
      <c r="AF28">
        <v>0</v>
      </c>
      <c r="AG28">
        <v>0</v>
      </c>
      <c r="AH28">
        <v>0</v>
      </c>
      <c r="AI28">
        <v>112</v>
      </c>
      <c r="AJ28">
        <v>0</v>
      </c>
      <c r="AK28">
        <v>0</v>
      </c>
      <c r="AL28">
        <v>0</v>
      </c>
      <c r="AM28">
        <v>112</v>
      </c>
      <c r="AN28">
        <v>0</v>
      </c>
      <c r="AO28">
        <v>0</v>
      </c>
      <c r="AP28">
        <v>0</v>
      </c>
      <c r="AQ28" t="s">
        <v>71</v>
      </c>
      <c r="AR28">
        <v>112</v>
      </c>
      <c r="AS28">
        <v>0</v>
      </c>
      <c r="AT28">
        <v>0</v>
      </c>
      <c r="AU28">
        <v>0</v>
      </c>
      <c r="AV28">
        <v>112</v>
      </c>
      <c r="AW28">
        <v>0</v>
      </c>
      <c r="AX28">
        <v>0</v>
      </c>
      <c r="AY28">
        <v>0</v>
      </c>
      <c r="AZ28">
        <v>112</v>
      </c>
      <c r="BA28">
        <v>0</v>
      </c>
      <c r="BB28">
        <v>0</v>
      </c>
      <c r="BC28">
        <v>0</v>
      </c>
      <c r="BD28">
        <v>112</v>
      </c>
      <c r="BE28">
        <v>0</v>
      </c>
      <c r="BF28">
        <v>0</v>
      </c>
      <c r="BG28">
        <v>0</v>
      </c>
      <c r="BH28">
        <v>112</v>
      </c>
      <c r="BI28">
        <v>0</v>
      </c>
      <c r="BJ28">
        <v>0</v>
      </c>
      <c r="BK28">
        <v>0</v>
      </c>
    </row>
    <row r="29" spans="1:63">
      <c r="A29" t="s">
        <v>22</v>
      </c>
      <c r="B29">
        <v>44</v>
      </c>
      <c r="C29">
        <v>0</v>
      </c>
      <c r="D29">
        <v>0</v>
      </c>
      <c r="E29">
        <v>0</v>
      </c>
      <c r="F29">
        <v>44</v>
      </c>
      <c r="G29">
        <v>0</v>
      </c>
      <c r="H29">
        <v>0</v>
      </c>
      <c r="I29">
        <v>0</v>
      </c>
      <c r="J29">
        <v>44</v>
      </c>
      <c r="K29">
        <v>0</v>
      </c>
      <c r="L29">
        <v>0</v>
      </c>
      <c r="M29">
        <v>0</v>
      </c>
      <c r="N29">
        <v>44</v>
      </c>
      <c r="O29">
        <v>0</v>
      </c>
      <c r="P29">
        <v>0</v>
      </c>
      <c r="Q29">
        <v>0</v>
      </c>
      <c r="R29">
        <v>44</v>
      </c>
      <c r="S29">
        <v>0</v>
      </c>
      <c r="T29">
        <v>0</v>
      </c>
      <c r="U29">
        <v>0</v>
      </c>
      <c r="V29" t="s">
        <v>22</v>
      </c>
      <c r="W29">
        <v>44</v>
      </c>
      <c r="X29">
        <v>0</v>
      </c>
      <c r="Y29">
        <v>0</v>
      </c>
      <c r="Z29">
        <v>0</v>
      </c>
      <c r="AA29">
        <v>44</v>
      </c>
      <c r="AB29">
        <v>0</v>
      </c>
      <c r="AC29">
        <v>0</v>
      </c>
      <c r="AD29">
        <v>0</v>
      </c>
      <c r="AE29">
        <v>44</v>
      </c>
      <c r="AF29">
        <v>0</v>
      </c>
      <c r="AG29">
        <v>0</v>
      </c>
      <c r="AH29">
        <v>0</v>
      </c>
      <c r="AI29">
        <v>44</v>
      </c>
      <c r="AJ29">
        <v>0</v>
      </c>
      <c r="AK29">
        <v>0</v>
      </c>
      <c r="AL29">
        <v>0</v>
      </c>
      <c r="AM29">
        <v>44</v>
      </c>
      <c r="AN29">
        <v>0</v>
      </c>
      <c r="AO29">
        <v>0</v>
      </c>
      <c r="AP29">
        <v>0</v>
      </c>
      <c r="AQ29" t="s">
        <v>22</v>
      </c>
      <c r="AR29">
        <v>44</v>
      </c>
      <c r="AS29">
        <v>0</v>
      </c>
      <c r="AT29">
        <v>0</v>
      </c>
      <c r="AU29">
        <v>0</v>
      </c>
      <c r="AV29">
        <v>44</v>
      </c>
      <c r="AW29">
        <v>0</v>
      </c>
      <c r="AX29">
        <v>0</v>
      </c>
      <c r="AY29">
        <v>0</v>
      </c>
      <c r="AZ29">
        <v>44</v>
      </c>
      <c r="BA29">
        <v>0</v>
      </c>
      <c r="BB29">
        <v>0</v>
      </c>
      <c r="BC29">
        <v>0</v>
      </c>
      <c r="BD29">
        <v>44</v>
      </c>
      <c r="BE29">
        <v>0</v>
      </c>
      <c r="BF29">
        <v>0</v>
      </c>
      <c r="BG29">
        <v>0</v>
      </c>
      <c r="BH29">
        <v>44</v>
      </c>
      <c r="BI29">
        <v>0</v>
      </c>
      <c r="BJ29">
        <v>0</v>
      </c>
      <c r="BK29">
        <v>0</v>
      </c>
    </row>
    <row r="30" spans="1:63">
      <c r="A30" t="s">
        <v>94</v>
      </c>
      <c r="B30">
        <v>6</v>
      </c>
      <c r="C30">
        <v>0</v>
      </c>
      <c r="D30">
        <v>0</v>
      </c>
      <c r="E30">
        <v>0</v>
      </c>
      <c r="F30">
        <v>6</v>
      </c>
      <c r="G30">
        <v>0</v>
      </c>
      <c r="H30">
        <v>0</v>
      </c>
      <c r="I30">
        <v>0</v>
      </c>
      <c r="J30">
        <v>6</v>
      </c>
      <c r="K30">
        <v>0</v>
      </c>
      <c r="L30">
        <v>0</v>
      </c>
      <c r="M30">
        <v>0</v>
      </c>
      <c r="N30">
        <v>6</v>
      </c>
      <c r="O30">
        <v>0</v>
      </c>
      <c r="P30">
        <v>0</v>
      </c>
      <c r="Q30">
        <v>0</v>
      </c>
      <c r="R30">
        <v>6</v>
      </c>
      <c r="S30">
        <v>0</v>
      </c>
      <c r="T30">
        <v>0</v>
      </c>
      <c r="U30">
        <v>0</v>
      </c>
      <c r="V30" t="s">
        <v>94</v>
      </c>
      <c r="W30">
        <v>6</v>
      </c>
      <c r="X30">
        <v>0</v>
      </c>
      <c r="Y30">
        <v>0</v>
      </c>
      <c r="Z30">
        <v>0</v>
      </c>
      <c r="AA30">
        <v>6</v>
      </c>
      <c r="AB30">
        <v>0</v>
      </c>
      <c r="AC30">
        <v>0</v>
      </c>
      <c r="AD30">
        <v>0</v>
      </c>
      <c r="AE30">
        <v>6</v>
      </c>
      <c r="AF30">
        <v>0</v>
      </c>
      <c r="AG30">
        <v>0</v>
      </c>
      <c r="AH30">
        <v>0</v>
      </c>
      <c r="AI30">
        <v>6</v>
      </c>
      <c r="AJ30">
        <v>0</v>
      </c>
      <c r="AK30">
        <v>0</v>
      </c>
      <c r="AL30">
        <v>0</v>
      </c>
      <c r="AM30">
        <v>6</v>
      </c>
      <c r="AN30">
        <v>0</v>
      </c>
      <c r="AO30">
        <v>0</v>
      </c>
      <c r="AP30">
        <v>0</v>
      </c>
      <c r="AQ30" t="s">
        <v>94</v>
      </c>
      <c r="AR30">
        <v>6</v>
      </c>
      <c r="AS30">
        <v>0</v>
      </c>
      <c r="AT30">
        <v>0</v>
      </c>
      <c r="AU30">
        <v>0</v>
      </c>
      <c r="AV30">
        <v>6</v>
      </c>
      <c r="AW30">
        <v>0</v>
      </c>
      <c r="AX30">
        <v>0</v>
      </c>
      <c r="AY30">
        <v>0</v>
      </c>
      <c r="AZ30">
        <v>6</v>
      </c>
      <c r="BA30">
        <v>0</v>
      </c>
      <c r="BB30">
        <v>0</v>
      </c>
      <c r="BC30">
        <v>0</v>
      </c>
      <c r="BD30">
        <v>6</v>
      </c>
      <c r="BE30">
        <v>0</v>
      </c>
      <c r="BF30">
        <v>0</v>
      </c>
      <c r="BG30">
        <v>0</v>
      </c>
      <c r="BH30">
        <v>6</v>
      </c>
      <c r="BI30">
        <v>0</v>
      </c>
      <c r="BJ30">
        <v>0</v>
      </c>
      <c r="BK30">
        <v>0</v>
      </c>
    </row>
    <row r="31" spans="1:63">
      <c r="A31" t="s">
        <v>20</v>
      </c>
      <c r="B31">
        <v>112</v>
      </c>
      <c r="C31">
        <v>0</v>
      </c>
      <c r="D31">
        <v>0</v>
      </c>
      <c r="E31">
        <v>0</v>
      </c>
      <c r="F31">
        <v>112</v>
      </c>
      <c r="G31">
        <v>0</v>
      </c>
      <c r="H31">
        <v>0</v>
      </c>
      <c r="I31">
        <v>0</v>
      </c>
      <c r="J31">
        <v>112</v>
      </c>
      <c r="K31">
        <v>0</v>
      </c>
      <c r="L31">
        <v>0</v>
      </c>
      <c r="M31">
        <v>0</v>
      </c>
      <c r="N31">
        <v>112</v>
      </c>
      <c r="O31">
        <v>0</v>
      </c>
      <c r="P31">
        <v>0</v>
      </c>
      <c r="Q31">
        <v>0</v>
      </c>
      <c r="R31">
        <v>112</v>
      </c>
      <c r="S31">
        <v>0</v>
      </c>
      <c r="T31">
        <v>0</v>
      </c>
      <c r="U31">
        <v>0</v>
      </c>
      <c r="V31" t="s">
        <v>20</v>
      </c>
      <c r="W31">
        <v>112</v>
      </c>
      <c r="X31">
        <v>0</v>
      </c>
      <c r="Y31">
        <v>0</v>
      </c>
      <c r="Z31">
        <v>0</v>
      </c>
      <c r="AA31">
        <v>112</v>
      </c>
      <c r="AB31">
        <v>0</v>
      </c>
      <c r="AC31">
        <v>0</v>
      </c>
      <c r="AD31">
        <v>0</v>
      </c>
      <c r="AE31">
        <v>112</v>
      </c>
      <c r="AF31">
        <v>0</v>
      </c>
      <c r="AG31">
        <v>0</v>
      </c>
      <c r="AH31">
        <v>0</v>
      </c>
      <c r="AI31">
        <v>112</v>
      </c>
      <c r="AJ31">
        <v>0</v>
      </c>
      <c r="AK31">
        <v>0</v>
      </c>
      <c r="AL31">
        <v>0</v>
      </c>
      <c r="AM31">
        <v>112</v>
      </c>
      <c r="AN31">
        <v>0</v>
      </c>
      <c r="AO31">
        <v>0</v>
      </c>
      <c r="AP31">
        <v>0</v>
      </c>
      <c r="AQ31" t="s">
        <v>20</v>
      </c>
      <c r="AR31">
        <v>112</v>
      </c>
      <c r="AS31">
        <v>0</v>
      </c>
      <c r="AT31">
        <v>0</v>
      </c>
      <c r="AU31">
        <v>0</v>
      </c>
      <c r="AV31">
        <v>112</v>
      </c>
      <c r="AW31">
        <v>0</v>
      </c>
      <c r="AX31">
        <v>0</v>
      </c>
      <c r="AY31">
        <v>0</v>
      </c>
      <c r="AZ31">
        <v>112</v>
      </c>
      <c r="BA31">
        <v>0</v>
      </c>
      <c r="BB31">
        <v>0</v>
      </c>
      <c r="BC31">
        <v>0</v>
      </c>
      <c r="BD31">
        <v>112</v>
      </c>
      <c r="BE31">
        <v>0</v>
      </c>
      <c r="BF31">
        <v>0</v>
      </c>
      <c r="BG31">
        <v>0</v>
      </c>
      <c r="BH31">
        <v>112</v>
      </c>
      <c r="BI31">
        <v>0</v>
      </c>
      <c r="BJ31">
        <v>0</v>
      </c>
      <c r="BK31">
        <v>0</v>
      </c>
    </row>
    <row r="32" spans="1:63">
      <c r="A32" t="s">
        <v>24</v>
      </c>
      <c r="B32">
        <v>43</v>
      </c>
      <c r="C32">
        <v>0</v>
      </c>
      <c r="D32">
        <v>0</v>
      </c>
      <c r="E32">
        <v>0</v>
      </c>
      <c r="F32">
        <v>43</v>
      </c>
      <c r="G32">
        <v>0</v>
      </c>
      <c r="H32">
        <v>0</v>
      </c>
      <c r="I32">
        <v>0</v>
      </c>
      <c r="J32">
        <v>43</v>
      </c>
      <c r="K32">
        <v>0</v>
      </c>
      <c r="L32">
        <v>0</v>
      </c>
      <c r="M32">
        <v>0</v>
      </c>
      <c r="N32">
        <v>43</v>
      </c>
      <c r="O32">
        <v>0</v>
      </c>
      <c r="P32">
        <v>0</v>
      </c>
      <c r="Q32">
        <v>0</v>
      </c>
      <c r="R32">
        <v>43</v>
      </c>
      <c r="S32">
        <v>0</v>
      </c>
      <c r="T32">
        <v>0</v>
      </c>
      <c r="U32">
        <v>0</v>
      </c>
      <c r="V32" t="s">
        <v>24</v>
      </c>
      <c r="W32">
        <v>43</v>
      </c>
      <c r="X32">
        <v>0</v>
      </c>
      <c r="Y32">
        <v>0</v>
      </c>
      <c r="Z32">
        <v>0</v>
      </c>
      <c r="AA32">
        <v>43</v>
      </c>
      <c r="AB32">
        <v>0</v>
      </c>
      <c r="AC32">
        <v>0</v>
      </c>
      <c r="AD32">
        <v>0</v>
      </c>
      <c r="AE32">
        <v>43</v>
      </c>
      <c r="AF32">
        <v>0</v>
      </c>
      <c r="AG32">
        <v>0</v>
      </c>
      <c r="AH32">
        <v>0</v>
      </c>
      <c r="AI32">
        <v>43</v>
      </c>
      <c r="AJ32">
        <v>0</v>
      </c>
      <c r="AK32">
        <v>0</v>
      </c>
      <c r="AL32">
        <v>0</v>
      </c>
      <c r="AM32">
        <v>43</v>
      </c>
      <c r="AN32">
        <v>0</v>
      </c>
      <c r="AO32">
        <v>0</v>
      </c>
      <c r="AP32">
        <v>0</v>
      </c>
      <c r="AQ32" t="s">
        <v>24</v>
      </c>
      <c r="AR32">
        <v>43</v>
      </c>
      <c r="AS32">
        <v>0</v>
      </c>
      <c r="AT32">
        <v>0</v>
      </c>
      <c r="AU32">
        <v>0</v>
      </c>
      <c r="AV32">
        <v>43</v>
      </c>
      <c r="AW32">
        <v>0</v>
      </c>
      <c r="AX32">
        <v>0</v>
      </c>
      <c r="AY32">
        <v>0</v>
      </c>
      <c r="AZ32">
        <v>43</v>
      </c>
      <c r="BA32">
        <v>0</v>
      </c>
      <c r="BB32">
        <v>0</v>
      </c>
      <c r="BC32">
        <v>0</v>
      </c>
      <c r="BD32">
        <v>43</v>
      </c>
      <c r="BE32">
        <v>0</v>
      </c>
      <c r="BF32">
        <v>0</v>
      </c>
      <c r="BG32">
        <v>0</v>
      </c>
      <c r="BH32">
        <v>43</v>
      </c>
      <c r="BI32">
        <v>0</v>
      </c>
      <c r="BJ32">
        <v>0</v>
      </c>
      <c r="BK32">
        <v>0</v>
      </c>
    </row>
    <row r="33" spans="1:63">
      <c r="A33" t="s">
        <v>26</v>
      </c>
      <c r="B33">
        <v>4</v>
      </c>
      <c r="C33">
        <v>0</v>
      </c>
      <c r="D33">
        <v>0</v>
      </c>
      <c r="E33">
        <v>0</v>
      </c>
      <c r="F33">
        <v>4</v>
      </c>
      <c r="G33">
        <v>0</v>
      </c>
      <c r="H33">
        <v>0</v>
      </c>
      <c r="I33">
        <v>0</v>
      </c>
      <c r="J33">
        <v>4</v>
      </c>
      <c r="K33">
        <v>0</v>
      </c>
      <c r="L33">
        <v>0</v>
      </c>
      <c r="M33">
        <v>0</v>
      </c>
      <c r="N33">
        <v>4</v>
      </c>
      <c r="O33">
        <v>0</v>
      </c>
      <c r="P33">
        <v>0</v>
      </c>
      <c r="Q33">
        <v>0</v>
      </c>
      <c r="R33">
        <v>4</v>
      </c>
      <c r="S33">
        <v>0</v>
      </c>
      <c r="T33">
        <v>0</v>
      </c>
      <c r="U33">
        <v>0</v>
      </c>
      <c r="V33" t="s">
        <v>26</v>
      </c>
      <c r="W33">
        <v>4</v>
      </c>
      <c r="X33">
        <v>0</v>
      </c>
      <c r="Y33">
        <v>0</v>
      </c>
      <c r="Z33">
        <v>0</v>
      </c>
      <c r="AA33">
        <v>4</v>
      </c>
      <c r="AB33">
        <v>0</v>
      </c>
      <c r="AC33">
        <v>0</v>
      </c>
      <c r="AD33">
        <v>0</v>
      </c>
      <c r="AE33">
        <v>4</v>
      </c>
      <c r="AF33">
        <v>0</v>
      </c>
      <c r="AG33">
        <v>0</v>
      </c>
      <c r="AH33">
        <v>0</v>
      </c>
      <c r="AI33">
        <v>4</v>
      </c>
      <c r="AJ33">
        <v>0</v>
      </c>
      <c r="AK33">
        <v>0</v>
      </c>
      <c r="AL33">
        <v>0</v>
      </c>
      <c r="AM33">
        <v>4</v>
      </c>
      <c r="AN33">
        <v>0</v>
      </c>
      <c r="AO33">
        <v>0</v>
      </c>
      <c r="AP33">
        <v>0</v>
      </c>
      <c r="AQ33" t="s">
        <v>26</v>
      </c>
      <c r="AR33">
        <v>4</v>
      </c>
      <c r="AS33">
        <v>0</v>
      </c>
      <c r="AT33">
        <v>0</v>
      </c>
      <c r="AU33">
        <v>0</v>
      </c>
      <c r="AV33">
        <v>4</v>
      </c>
      <c r="AW33">
        <v>0</v>
      </c>
      <c r="AX33">
        <v>0</v>
      </c>
      <c r="AY33">
        <v>0</v>
      </c>
      <c r="AZ33">
        <v>4</v>
      </c>
      <c r="BA33">
        <v>0</v>
      </c>
      <c r="BB33">
        <v>0</v>
      </c>
      <c r="BC33">
        <v>0</v>
      </c>
      <c r="BD33">
        <v>4</v>
      </c>
      <c r="BE33">
        <v>0</v>
      </c>
      <c r="BF33">
        <v>0</v>
      </c>
      <c r="BG33">
        <v>0</v>
      </c>
      <c r="BH33">
        <v>4</v>
      </c>
      <c r="BI33">
        <v>0</v>
      </c>
      <c r="BJ33">
        <v>0</v>
      </c>
      <c r="BK33">
        <v>0</v>
      </c>
    </row>
    <row r="34" spans="1:63">
      <c r="A34" t="s">
        <v>104</v>
      </c>
      <c r="B34">
        <v>7</v>
      </c>
      <c r="C34">
        <v>0</v>
      </c>
      <c r="D34">
        <v>0</v>
      </c>
      <c r="E34">
        <v>0</v>
      </c>
      <c r="F34">
        <v>7</v>
      </c>
      <c r="G34">
        <v>0</v>
      </c>
      <c r="H34">
        <v>0</v>
      </c>
      <c r="I34">
        <v>0</v>
      </c>
      <c r="J34">
        <v>7</v>
      </c>
      <c r="K34">
        <v>0</v>
      </c>
      <c r="L34">
        <v>0</v>
      </c>
      <c r="M34">
        <v>0</v>
      </c>
      <c r="N34">
        <v>7</v>
      </c>
      <c r="O34">
        <v>0</v>
      </c>
      <c r="P34">
        <v>0</v>
      </c>
      <c r="Q34">
        <v>0</v>
      </c>
      <c r="R34">
        <v>7</v>
      </c>
      <c r="S34">
        <v>0</v>
      </c>
      <c r="T34">
        <v>0</v>
      </c>
      <c r="U34">
        <v>0</v>
      </c>
      <c r="V34" t="s">
        <v>104</v>
      </c>
      <c r="W34">
        <v>7</v>
      </c>
      <c r="X34">
        <v>0</v>
      </c>
      <c r="Y34">
        <v>0</v>
      </c>
      <c r="Z34">
        <v>0</v>
      </c>
      <c r="AA34">
        <v>7</v>
      </c>
      <c r="AB34">
        <v>0</v>
      </c>
      <c r="AC34">
        <v>0</v>
      </c>
      <c r="AD34">
        <v>0</v>
      </c>
      <c r="AE34">
        <v>7</v>
      </c>
      <c r="AF34">
        <v>0</v>
      </c>
      <c r="AG34">
        <v>0</v>
      </c>
      <c r="AH34">
        <v>0</v>
      </c>
      <c r="AI34">
        <v>7</v>
      </c>
      <c r="AJ34">
        <v>0</v>
      </c>
      <c r="AK34">
        <v>0</v>
      </c>
      <c r="AL34">
        <v>0</v>
      </c>
      <c r="AM34">
        <v>7</v>
      </c>
      <c r="AN34">
        <v>0</v>
      </c>
      <c r="AO34">
        <v>0</v>
      </c>
      <c r="AP34">
        <v>0</v>
      </c>
      <c r="AQ34" t="s">
        <v>104</v>
      </c>
      <c r="AR34">
        <v>7</v>
      </c>
      <c r="AS34">
        <v>0</v>
      </c>
      <c r="AT34">
        <v>0</v>
      </c>
      <c r="AU34">
        <v>0</v>
      </c>
      <c r="AV34">
        <v>7</v>
      </c>
      <c r="AW34">
        <v>0</v>
      </c>
      <c r="AX34">
        <v>0</v>
      </c>
      <c r="AY34">
        <v>0</v>
      </c>
      <c r="AZ34">
        <v>7</v>
      </c>
      <c r="BA34">
        <v>0</v>
      </c>
      <c r="BB34">
        <v>0</v>
      </c>
      <c r="BC34">
        <v>0</v>
      </c>
      <c r="BD34">
        <v>7</v>
      </c>
      <c r="BE34">
        <v>0</v>
      </c>
      <c r="BF34">
        <v>0</v>
      </c>
      <c r="BG34">
        <v>0</v>
      </c>
      <c r="BH34">
        <v>7</v>
      </c>
      <c r="BI34">
        <v>0</v>
      </c>
      <c r="BJ34">
        <v>0</v>
      </c>
      <c r="BK34">
        <v>0</v>
      </c>
    </row>
    <row r="35" spans="1:63">
      <c r="A35" t="s">
        <v>16</v>
      </c>
      <c r="B35">
        <v>88</v>
      </c>
      <c r="C35">
        <v>0</v>
      </c>
      <c r="D35">
        <v>0</v>
      </c>
      <c r="E35">
        <v>0</v>
      </c>
      <c r="F35">
        <v>88</v>
      </c>
      <c r="G35">
        <v>0</v>
      </c>
      <c r="H35">
        <v>0</v>
      </c>
      <c r="I35">
        <v>0</v>
      </c>
      <c r="J35">
        <v>88</v>
      </c>
      <c r="K35">
        <v>0</v>
      </c>
      <c r="L35">
        <v>0</v>
      </c>
      <c r="M35">
        <v>0</v>
      </c>
      <c r="N35">
        <v>88</v>
      </c>
      <c r="O35">
        <v>0</v>
      </c>
      <c r="P35">
        <v>0</v>
      </c>
      <c r="Q35">
        <v>0</v>
      </c>
      <c r="R35">
        <v>88</v>
      </c>
      <c r="S35">
        <v>0</v>
      </c>
      <c r="T35">
        <v>0</v>
      </c>
      <c r="U35">
        <v>0</v>
      </c>
      <c r="V35" t="s">
        <v>16</v>
      </c>
      <c r="W35">
        <v>88</v>
      </c>
      <c r="X35">
        <v>0</v>
      </c>
      <c r="Y35">
        <v>0</v>
      </c>
      <c r="Z35">
        <v>0</v>
      </c>
      <c r="AA35">
        <v>88</v>
      </c>
      <c r="AB35">
        <v>0</v>
      </c>
      <c r="AC35">
        <v>0</v>
      </c>
      <c r="AD35">
        <v>0</v>
      </c>
      <c r="AE35">
        <v>88</v>
      </c>
      <c r="AF35">
        <v>0</v>
      </c>
      <c r="AG35">
        <v>0</v>
      </c>
      <c r="AH35">
        <v>0</v>
      </c>
      <c r="AI35">
        <v>88</v>
      </c>
      <c r="AJ35">
        <v>0</v>
      </c>
      <c r="AK35">
        <v>0</v>
      </c>
      <c r="AL35">
        <v>0</v>
      </c>
      <c r="AM35">
        <v>88</v>
      </c>
      <c r="AN35">
        <v>0</v>
      </c>
      <c r="AO35">
        <v>0</v>
      </c>
      <c r="AP35">
        <v>0</v>
      </c>
      <c r="AQ35" t="s">
        <v>16</v>
      </c>
      <c r="AR35">
        <v>88</v>
      </c>
      <c r="AS35">
        <v>0</v>
      </c>
      <c r="AT35">
        <v>0</v>
      </c>
      <c r="AU35">
        <v>0</v>
      </c>
      <c r="AV35">
        <v>88</v>
      </c>
      <c r="AW35">
        <v>0</v>
      </c>
      <c r="AX35">
        <v>0</v>
      </c>
      <c r="AY35">
        <v>0</v>
      </c>
      <c r="AZ35">
        <v>88</v>
      </c>
      <c r="BA35">
        <v>0</v>
      </c>
      <c r="BB35">
        <v>0</v>
      </c>
      <c r="BC35">
        <v>0</v>
      </c>
      <c r="BD35">
        <v>88</v>
      </c>
      <c r="BE35">
        <v>0</v>
      </c>
      <c r="BF35">
        <v>0</v>
      </c>
      <c r="BG35">
        <v>0</v>
      </c>
      <c r="BH35">
        <v>88</v>
      </c>
      <c r="BI35">
        <v>0</v>
      </c>
      <c r="BJ35">
        <v>0</v>
      </c>
      <c r="BK35">
        <v>0</v>
      </c>
    </row>
    <row r="36" spans="1:63">
      <c r="A36" t="s">
        <v>91</v>
      </c>
      <c r="B36">
        <v>65</v>
      </c>
      <c r="C36">
        <v>6</v>
      </c>
      <c r="D36">
        <v>0</v>
      </c>
      <c r="E36">
        <v>0</v>
      </c>
      <c r="F36">
        <v>65</v>
      </c>
      <c r="G36">
        <v>6</v>
      </c>
      <c r="H36">
        <v>0</v>
      </c>
      <c r="I36">
        <v>0</v>
      </c>
      <c r="J36">
        <v>71</v>
      </c>
      <c r="K36">
        <v>0</v>
      </c>
      <c r="L36">
        <v>0</v>
      </c>
      <c r="M36">
        <v>0</v>
      </c>
      <c r="N36">
        <v>65</v>
      </c>
      <c r="O36">
        <v>0</v>
      </c>
      <c r="P36">
        <v>6</v>
      </c>
      <c r="Q36">
        <v>0</v>
      </c>
      <c r="R36">
        <v>71</v>
      </c>
      <c r="S36">
        <v>0</v>
      </c>
      <c r="T36">
        <v>0</v>
      </c>
      <c r="U36">
        <v>0</v>
      </c>
      <c r="V36" t="s">
        <v>91</v>
      </c>
      <c r="W36">
        <v>65</v>
      </c>
      <c r="X36">
        <v>6</v>
      </c>
      <c r="Y36">
        <v>0</v>
      </c>
      <c r="Z36">
        <v>0</v>
      </c>
      <c r="AA36">
        <v>65</v>
      </c>
      <c r="AB36">
        <v>6</v>
      </c>
      <c r="AC36">
        <v>0</v>
      </c>
      <c r="AD36">
        <v>0</v>
      </c>
      <c r="AE36">
        <v>71</v>
      </c>
      <c r="AF36">
        <v>0</v>
      </c>
      <c r="AG36">
        <v>0</v>
      </c>
      <c r="AH36">
        <v>0</v>
      </c>
      <c r="AI36">
        <v>65</v>
      </c>
      <c r="AJ36">
        <v>0</v>
      </c>
      <c r="AK36">
        <v>6</v>
      </c>
      <c r="AL36">
        <v>0</v>
      </c>
      <c r="AM36">
        <v>71</v>
      </c>
      <c r="AN36">
        <v>0</v>
      </c>
      <c r="AO36">
        <v>0</v>
      </c>
      <c r="AP36">
        <v>0</v>
      </c>
      <c r="AQ36" t="s">
        <v>91</v>
      </c>
      <c r="AR36">
        <v>65</v>
      </c>
      <c r="AS36">
        <v>6</v>
      </c>
      <c r="AT36">
        <v>0</v>
      </c>
      <c r="AU36">
        <v>0</v>
      </c>
      <c r="AV36">
        <v>65</v>
      </c>
      <c r="AW36">
        <v>6</v>
      </c>
      <c r="AX36">
        <v>0</v>
      </c>
      <c r="AY36">
        <v>0</v>
      </c>
      <c r="AZ36">
        <v>71</v>
      </c>
      <c r="BA36">
        <v>0</v>
      </c>
      <c r="BB36">
        <v>0</v>
      </c>
      <c r="BC36">
        <v>0</v>
      </c>
      <c r="BD36">
        <v>65</v>
      </c>
      <c r="BE36">
        <v>0</v>
      </c>
      <c r="BF36">
        <v>6</v>
      </c>
      <c r="BG36">
        <v>0</v>
      </c>
      <c r="BH36">
        <v>71</v>
      </c>
      <c r="BI36">
        <v>0</v>
      </c>
      <c r="BJ36">
        <v>0</v>
      </c>
      <c r="BK36">
        <v>0</v>
      </c>
    </row>
    <row r="37" spans="1:63">
      <c r="A37" t="s">
        <v>64</v>
      </c>
      <c r="B37">
        <v>336</v>
      </c>
      <c r="C37">
        <v>0</v>
      </c>
      <c r="D37">
        <v>0</v>
      </c>
      <c r="E37">
        <v>0</v>
      </c>
      <c r="F37">
        <v>336</v>
      </c>
      <c r="G37">
        <v>0</v>
      </c>
      <c r="H37">
        <v>0</v>
      </c>
      <c r="I37">
        <v>0</v>
      </c>
      <c r="J37">
        <v>336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336</v>
      </c>
      <c r="S37">
        <v>0</v>
      </c>
      <c r="T37">
        <v>0</v>
      </c>
      <c r="U37">
        <v>0</v>
      </c>
      <c r="V37" t="s">
        <v>64</v>
      </c>
      <c r="W37">
        <v>336</v>
      </c>
      <c r="X37">
        <v>0</v>
      </c>
      <c r="Y37">
        <v>0</v>
      </c>
      <c r="Z37">
        <v>0</v>
      </c>
      <c r="AA37">
        <v>336</v>
      </c>
      <c r="AB37">
        <v>0</v>
      </c>
      <c r="AC37">
        <v>0</v>
      </c>
      <c r="AD37">
        <v>0</v>
      </c>
      <c r="AE37">
        <v>336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336</v>
      </c>
      <c r="AN37">
        <v>0</v>
      </c>
      <c r="AO37">
        <v>0</v>
      </c>
      <c r="AP37">
        <v>0</v>
      </c>
      <c r="AQ37" t="s">
        <v>64</v>
      </c>
      <c r="AR37">
        <v>336</v>
      </c>
      <c r="AS37">
        <v>0</v>
      </c>
      <c r="AT37">
        <v>0</v>
      </c>
      <c r="AU37">
        <v>0</v>
      </c>
      <c r="AV37">
        <v>336</v>
      </c>
      <c r="AW37">
        <v>0</v>
      </c>
      <c r="AX37">
        <v>0</v>
      </c>
      <c r="AY37">
        <v>0</v>
      </c>
      <c r="AZ37">
        <v>336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336</v>
      </c>
      <c r="BI37">
        <v>0</v>
      </c>
      <c r="BJ37">
        <v>0</v>
      </c>
      <c r="BK37">
        <v>0</v>
      </c>
    </row>
    <row r="38" spans="1:63">
      <c r="A38" t="s">
        <v>25</v>
      </c>
      <c r="B38">
        <v>152</v>
      </c>
      <c r="C38">
        <v>2</v>
      </c>
      <c r="D38">
        <v>0</v>
      </c>
      <c r="E38">
        <v>0</v>
      </c>
      <c r="F38">
        <v>152</v>
      </c>
      <c r="G38">
        <v>2</v>
      </c>
      <c r="H38">
        <v>0</v>
      </c>
      <c r="I38">
        <v>0</v>
      </c>
      <c r="J38">
        <v>152</v>
      </c>
      <c r="K38">
        <v>13</v>
      </c>
      <c r="L38">
        <v>0</v>
      </c>
      <c r="M38">
        <v>0</v>
      </c>
      <c r="N38">
        <v>139</v>
      </c>
      <c r="O38">
        <v>2</v>
      </c>
      <c r="P38">
        <v>2</v>
      </c>
      <c r="Q38">
        <v>0</v>
      </c>
      <c r="R38">
        <v>141</v>
      </c>
      <c r="S38">
        <v>13</v>
      </c>
      <c r="T38">
        <v>0</v>
      </c>
      <c r="U38">
        <v>0</v>
      </c>
      <c r="V38" t="s">
        <v>25</v>
      </c>
      <c r="W38">
        <v>152</v>
      </c>
      <c r="X38">
        <v>2</v>
      </c>
      <c r="Y38">
        <v>0</v>
      </c>
      <c r="Z38">
        <v>0</v>
      </c>
      <c r="AA38">
        <v>152</v>
      </c>
      <c r="AB38">
        <v>2</v>
      </c>
      <c r="AC38">
        <v>0</v>
      </c>
      <c r="AD38">
        <v>0</v>
      </c>
      <c r="AE38">
        <v>152</v>
      </c>
      <c r="AF38">
        <v>13</v>
      </c>
      <c r="AG38">
        <v>0</v>
      </c>
      <c r="AH38">
        <v>0</v>
      </c>
      <c r="AI38">
        <v>139</v>
      </c>
      <c r="AJ38">
        <v>2</v>
      </c>
      <c r="AK38">
        <v>2</v>
      </c>
      <c r="AL38">
        <v>0</v>
      </c>
      <c r="AM38">
        <v>141</v>
      </c>
      <c r="AN38">
        <v>13</v>
      </c>
      <c r="AO38">
        <v>0</v>
      </c>
      <c r="AP38">
        <v>0</v>
      </c>
      <c r="AQ38" t="s">
        <v>25</v>
      </c>
      <c r="AR38">
        <v>152</v>
      </c>
      <c r="AS38">
        <v>2</v>
      </c>
      <c r="AT38">
        <v>0</v>
      </c>
      <c r="AU38">
        <v>0</v>
      </c>
      <c r="AV38">
        <v>152</v>
      </c>
      <c r="AW38">
        <v>2</v>
      </c>
      <c r="AX38">
        <v>0</v>
      </c>
      <c r="AY38">
        <v>0</v>
      </c>
      <c r="AZ38">
        <v>165</v>
      </c>
      <c r="BA38">
        <v>0</v>
      </c>
      <c r="BB38">
        <v>0</v>
      </c>
      <c r="BC38">
        <v>0</v>
      </c>
      <c r="BD38">
        <v>141</v>
      </c>
      <c r="BE38">
        <v>0</v>
      </c>
      <c r="BF38">
        <v>2</v>
      </c>
      <c r="BG38">
        <v>0</v>
      </c>
      <c r="BH38">
        <v>154</v>
      </c>
      <c r="BI38">
        <v>0</v>
      </c>
      <c r="BJ38">
        <v>0</v>
      </c>
      <c r="BK38">
        <v>0</v>
      </c>
    </row>
    <row r="39" spans="1:63">
      <c r="A39" t="s">
        <v>36</v>
      </c>
      <c r="B39">
        <v>102</v>
      </c>
      <c r="C39">
        <v>15</v>
      </c>
      <c r="D39">
        <v>0</v>
      </c>
      <c r="E39">
        <v>0</v>
      </c>
      <c r="F39">
        <v>102</v>
      </c>
      <c r="G39">
        <v>15</v>
      </c>
      <c r="H39">
        <v>0</v>
      </c>
      <c r="I39">
        <v>0</v>
      </c>
      <c r="J39">
        <v>119</v>
      </c>
      <c r="K39">
        <v>2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117</v>
      </c>
      <c r="S39">
        <v>0</v>
      </c>
      <c r="T39">
        <v>0</v>
      </c>
      <c r="U39">
        <v>0</v>
      </c>
      <c r="V39" t="s">
        <v>36</v>
      </c>
      <c r="W39">
        <v>102</v>
      </c>
      <c r="X39">
        <v>15</v>
      </c>
      <c r="Y39">
        <v>0</v>
      </c>
      <c r="Z39">
        <v>0</v>
      </c>
      <c r="AA39">
        <v>102</v>
      </c>
      <c r="AB39">
        <v>15</v>
      </c>
      <c r="AC39">
        <v>0</v>
      </c>
      <c r="AD39">
        <v>0</v>
      </c>
      <c r="AE39">
        <v>119</v>
      </c>
      <c r="AF39">
        <v>2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117</v>
      </c>
      <c r="AN39">
        <v>0</v>
      </c>
      <c r="AO39">
        <v>0</v>
      </c>
      <c r="AP39">
        <v>0</v>
      </c>
      <c r="AQ39" t="s">
        <v>36</v>
      </c>
      <c r="AR39">
        <v>102</v>
      </c>
      <c r="AS39">
        <v>15</v>
      </c>
      <c r="AT39">
        <v>0</v>
      </c>
      <c r="AU39">
        <v>0</v>
      </c>
      <c r="AV39">
        <v>102</v>
      </c>
      <c r="AW39">
        <v>15</v>
      </c>
      <c r="AX39">
        <v>0</v>
      </c>
      <c r="AY39">
        <v>0</v>
      </c>
      <c r="AZ39">
        <v>121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117</v>
      </c>
      <c r="BI39">
        <v>0</v>
      </c>
      <c r="BJ39">
        <v>0</v>
      </c>
      <c r="BK39">
        <v>0</v>
      </c>
    </row>
    <row r="40" spans="1:63">
      <c r="A40" t="s">
        <v>100</v>
      </c>
      <c r="B40">
        <v>142</v>
      </c>
      <c r="C40">
        <v>32</v>
      </c>
      <c r="D40">
        <v>0</v>
      </c>
      <c r="E40">
        <v>0</v>
      </c>
      <c r="F40">
        <v>142</v>
      </c>
      <c r="G40">
        <v>32</v>
      </c>
      <c r="H40">
        <v>0</v>
      </c>
      <c r="I40">
        <v>0</v>
      </c>
      <c r="J40">
        <v>146</v>
      </c>
      <c r="K40">
        <v>28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170</v>
      </c>
      <c r="S40">
        <v>4</v>
      </c>
      <c r="T40">
        <v>0</v>
      </c>
      <c r="U40">
        <v>0</v>
      </c>
      <c r="V40" t="s">
        <v>100</v>
      </c>
      <c r="W40">
        <v>142</v>
      </c>
      <c r="X40">
        <v>32</v>
      </c>
      <c r="Y40">
        <v>0</v>
      </c>
      <c r="Z40">
        <v>0</v>
      </c>
      <c r="AA40">
        <v>142</v>
      </c>
      <c r="AB40">
        <v>32</v>
      </c>
      <c r="AC40">
        <v>0</v>
      </c>
      <c r="AD40">
        <v>0</v>
      </c>
      <c r="AE40">
        <v>146</v>
      </c>
      <c r="AF40">
        <v>28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170</v>
      </c>
      <c r="AN40">
        <v>4</v>
      </c>
      <c r="AO40">
        <v>0</v>
      </c>
      <c r="AP40">
        <v>0</v>
      </c>
      <c r="AQ40" t="s">
        <v>100</v>
      </c>
      <c r="AR40">
        <v>142</v>
      </c>
      <c r="AS40">
        <v>32</v>
      </c>
      <c r="AT40">
        <v>0</v>
      </c>
      <c r="AU40">
        <v>0</v>
      </c>
      <c r="AV40">
        <v>142</v>
      </c>
      <c r="AW40">
        <v>32</v>
      </c>
      <c r="AX40">
        <v>0</v>
      </c>
      <c r="AY40">
        <v>0</v>
      </c>
      <c r="AZ40">
        <v>174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174</v>
      </c>
      <c r="BI40">
        <v>0</v>
      </c>
      <c r="BJ40">
        <v>0</v>
      </c>
      <c r="BK40">
        <v>0</v>
      </c>
    </row>
    <row r="41" spans="1:63">
      <c r="A41" t="s">
        <v>66</v>
      </c>
      <c r="B41">
        <v>129</v>
      </c>
      <c r="C41">
        <v>14</v>
      </c>
      <c r="D41">
        <v>0</v>
      </c>
      <c r="E41">
        <v>0</v>
      </c>
      <c r="F41">
        <v>129</v>
      </c>
      <c r="G41">
        <v>14</v>
      </c>
      <c r="H41">
        <v>0</v>
      </c>
      <c r="I41">
        <v>0</v>
      </c>
      <c r="J41">
        <v>148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143</v>
      </c>
      <c r="S41">
        <v>0</v>
      </c>
      <c r="T41">
        <v>0</v>
      </c>
      <c r="U41">
        <v>0</v>
      </c>
      <c r="V41" t="s">
        <v>66</v>
      </c>
      <c r="W41">
        <v>129</v>
      </c>
      <c r="X41">
        <v>14</v>
      </c>
      <c r="Y41">
        <v>0</v>
      </c>
      <c r="Z41">
        <v>0</v>
      </c>
      <c r="AA41">
        <v>129</v>
      </c>
      <c r="AB41">
        <v>14</v>
      </c>
      <c r="AC41">
        <v>0</v>
      </c>
      <c r="AD41">
        <v>0</v>
      </c>
      <c r="AE41">
        <v>148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143</v>
      </c>
      <c r="AN41">
        <v>0</v>
      </c>
      <c r="AO41">
        <v>0</v>
      </c>
      <c r="AP41">
        <v>0</v>
      </c>
      <c r="AQ41" t="s">
        <v>66</v>
      </c>
      <c r="AR41">
        <v>129</v>
      </c>
      <c r="AS41">
        <v>14</v>
      </c>
      <c r="AT41">
        <v>0</v>
      </c>
      <c r="AU41">
        <v>0</v>
      </c>
      <c r="AV41">
        <v>129</v>
      </c>
      <c r="AW41">
        <v>14</v>
      </c>
      <c r="AX41">
        <v>0</v>
      </c>
      <c r="AY41">
        <v>0</v>
      </c>
      <c r="AZ41">
        <v>148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143</v>
      </c>
      <c r="BI41">
        <v>0</v>
      </c>
      <c r="BJ41">
        <v>0</v>
      </c>
      <c r="BK41">
        <v>0</v>
      </c>
    </row>
    <row r="42" spans="1:63">
      <c r="A42" t="s">
        <v>60</v>
      </c>
      <c r="B42">
        <v>116</v>
      </c>
      <c r="C42">
        <v>13</v>
      </c>
      <c r="D42">
        <v>0</v>
      </c>
      <c r="E42">
        <v>0</v>
      </c>
      <c r="F42">
        <v>116</v>
      </c>
      <c r="G42">
        <v>13</v>
      </c>
      <c r="H42">
        <v>0</v>
      </c>
      <c r="I42">
        <v>0</v>
      </c>
      <c r="J42">
        <v>125</v>
      </c>
      <c r="K42">
        <v>4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126</v>
      </c>
      <c r="S42">
        <v>3</v>
      </c>
      <c r="T42">
        <v>0</v>
      </c>
      <c r="U42">
        <v>0</v>
      </c>
      <c r="V42" t="s">
        <v>60</v>
      </c>
      <c r="W42">
        <v>116</v>
      </c>
      <c r="X42">
        <v>13</v>
      </c>
      <c r="Y42">
        <v>0</v>
      </c>
      <c r="Z42">
        <v>0</v>
      </c>
      <c r="AA42">
        <v>116</v>
      </c>
      <c r="AB42">
        <v>13</v>
      </c>
      <c r="AC42">
        <v>0</v>
      </c>
      <c r="AD42">
        <v>0</v>
      </c>
      <c r="AE42">
        <v>125</v>
      </c>
      <c r="AF42">
        <v>4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126</v>
      </c>
      <c r="AN42">
        <v>3</v>
      </c>
      <c r="AO42">
        <v>0</v>
      </c>
      <c r="AP42">
        <v>0</v>
      </c>
      <c r="AQ42" t="s">
        <v>60</v>
      </c>
      <c r="AR42">
        <v>116</v>
      </c>
      <c r="AS42">
        <v>13</v>
      </c>
      <c r="AT42">
        <v>0</v>
      </c>
      <c r="AU42">
        <v>0</v>
      </c>
      <c r="AV42">
        <v>116</v>
      </c>
      <c r="AW42">
        <v>13</v>
      </c>
      <c r="AX42">
        <v>0</v>
      </c>
      <c r="AY42">
        <v>0</v>
      </c>
      <c r="AZ42">
        <v>129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129</v>
      </c>
      <c r="BI42">
        <v>0</v>
      </c>
      <c r="BJ42">
        <v>0</v>
      </c>
      <c r="BK42">
        <v>0</v>
      </c>
    </row>
    <row r="43" spans="1:63">
      <c r="A43" t="s">
        <v>12</v>
      </c>
      <c r="B43">
        <v>43</v>
      </c>
      <c r="C43">
        <v>0</v>
      </c>
      <c r="D43">
        <v>0</v>
      </c>
      <c r="E43">
        <v>0</v>
      </c>
      <c r="F43">
        <v>43</v>
      </c>
      <c r="G43">
        <v>0</v>
      </c>
      <c r="H43">
        <v>0</v>
      </c>
      <c r="I43">
        <v>0</v>
      </c>
      <c r="J43">
        <v>38</v>
      </c>
      <c r="K43">
        <v>5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38</v>
      </c>
      <c r="S43">
        <v>5</v>
      </c>
      <c r="T43">
        <v>0</v>
      </c>
      <c r="U43">
        <v>0</v>
      </c>
      <c r="V43" t="s">
        <v>12</v>
      </c>
      <c r="W43">
        <v>43</v>
      </c>
      <c r="X43">
        <v>0</v>
      </c>
      <c r="Y43">
        <v>0</v>
      </c>
      <c r="Z43">
        <v>0</v>
      </c>
      <c r="AA43">
        <v>43</v>
      </c>
      <c r="AB43">
        <v>0</v>
      </c>
      <c r="AC43">
        <v>0</v>
      </c>
      <c r="AD43">
        <v>0</v>
      </c>
      <c r="AE43">
        <v>38</v>
      </c>
      <c r="AF43">
        <v>5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38</v>
      </c>
      <c r="AN43">
        <v>5</v>
      </c>
      <c r="AO43">
        <v>0</v>
      </c>
      <c r="AP43">
        <v>0</v>
      </c>
      <c r="AQ43" t="s">
        <v>12</v>
      </c>
      <c r="AR43">
        <v>43</v>
      </c>
      <c r="AS43">
        <v>0</v>
      </c>
      <c r="AT43">
        <v>0</v>
      </c>
      <c r="AU43">
        <v>0</v>
      </c>
      <c r="AV43">
        <v>43</v>
      </c>
      <c r="AW43">
        <v>0</v>
      </c>
      <c r="AX43">
        <v>0</v>
      </c>
      <c r="AY43">
        <v>0</v>
      </c>
      <c r="AZ43">
        <v>43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43</v>
      </c>
      <c r="BI43">
        <v>0</v>
      </c>
      <c r="BJ43">
        <v>0</v>
      </c>
      <c r="BK43">
        <v>0</v>
      </c>
    </row>
    <row r="44" spans="1:63">
      <c r="A44" t="s">
        <v>21</v>
      </c>
      <c r="B44">
        <v>137</v>
      </c>
      <c r="C44">
        <v>2</v>
      </c>
      <c r="D44">
        <v>0</v>
      </c>
      <c r="E44">
        <v>0</v>
      </c>
      <c r="F44">
        <v>137</v>
      </c>
      <c r="G44">
        <v>2</v>
      </c>
      <c r="H44">
        <v>0</v>
      </c>
      <c r="I44">
        <v>0</v>
      </c>
      <c r="J44">
        <v>135</v>
      </c>
      <c r="K44">
        <v>4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136</v>
      </c>
      <c r="S44">
        <v>3</v>
      </c>
      <c r="T44">
        <v>0</v>
      </c>
      <c r="U44">
        <v>0</v>
      </c>
      <c r="V44" t="s">
        <v>21</v>
      </c>
      <c r="W44">
        <v>137</v>
      </c>
      <c r="X44">
        <v>2</v>
      </c>
      <c r="Y44">
        <v>0</v>
      </c>
      <c r="Z44">
        <v>0</v>
      </c>
      <c r="AA44">
        <v>137</v>
      </c>
      <c r="AB44">
        <v>2</v>
      </c>
      <c r="AC44">
        <v>0</v>
      </c>
      <c r="AD44">
        <v>0</v>
      </c>
      <c r="AE44">
        <v>135</v>
      </c>
      <c r="AF44">
        <v>4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136</v>
      </c>
      <c r="AN44">
        <v>3</v>
      </c>
      <c r="AO44">
        <v>0</v>
      </c>
      <c r="AP44">
        <v>0</v>
      </c>
      <c r="AQ44" t="s">
        <v>21</v>
      </c>
      <c r="AR44">
        <v>137</v>
      </c>
      <c r="AS44">
        <v>2</v>
      </c>
      <c r="AT44">
        <v>0</v>
      </c>
      <c r="AU44">
        <v>0</v>
      </c>
      <c r="AV44">
        <v>137</v>
      </c>
      <c r="AW44">
        <v>2</v>
      </c>
      <c r="AX44">
        <v>0</v>
      </c>
      <c r="AY44">
        <v>0</v>
      </c>
      <c r="AZ44">
        <v>139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139</v>
      </c>
      <c r="BI44">
        <v>0</v>
      </c>
      <c r="BJ44">
        <v>0</v>
      </c>
      <c r="BK44">
        <v>0</v>
      </c>
    </row>
    <row r="45" spans="1:63">
      <c r="A45" t="s">
        <v>44</v>
      </c>
      <c r="B45">
        <v>50</v>
      </c>
      <c r="C45">
        <v>12</v>
      </c>
      <c r="D45">
        <v>0</v>
      </c>
      <c r="E45">
        <v>0</v>
      </c>
      <c r="F45">
        <v>50</v>
      </c>
      <c r="G45">
        <v>12</v>
      </c>
      <c r="H45">
        <v>0</v>
      </c>
      <c r="I45">
        <v>0</v>
      </c>
      <c r="J45">
        <v>62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62</v>
      </c>
      <c r="S45">
        <v>0</v>
      </c>
      <c r="T45">
        <v>0</v>
      </c>
      <c r="U45">
        <v>0</v>
      </c>
      <c r="V45" t="s">
        <v>44</v>
      </c>
      <c r="W45">
        <v>50</v>
      </c>
      <c r="X45">
        <v>12</v>
      </c>
      <c r="Y45">
        <v>0</v>
      </c>
      <c r="Z45">
        <v>0</v>
      </c>
      <c r="AA45">
        <v>50</v>
      </c>
      <c r="AB45">
        <v>12</v>
      </c>
      <c r="AC45">
        <v>0</v>
      </c>
      <c r="AD45">
        <v>0</v>
      </c>
      <c r="AE45">
        <v>62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62</v>
      </c>
      <c r="AN45">
        <v>0</v>
      </c>
      <c r="AO45">
        <v>0</v>
      </c>
      <c r="AP45">
        <v>0</v>
      </c>
      <c r="AQ45" t="s">
        <v>44</v>
      </c>
      <c r="AR45">
        <v>50</v>
      </c>
      <c r="AS45">
        <v>12</v>
      </c>
      <c r="AT45">
        <v>0</v>
      </c>
      <c r="AU45">
        <v>0</v>
      </c>
      <c r="AV45">
        <v>50</v>
      </c>
      <c r="AW45">
        <v>12</v>
      </c>
      <c r="AX45">
        <v>0</v>
      </c>
      <c r="AY45">
        <v>0</v>
      </c>
      <c r="AZ45">
        <v>62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62</v>
      </c>
      <c r="BI45">
        <v>0</v>
      </c>
      <c r="BJ45">
        <v>0</v>
      </c>
      <c r="BK45">
        <v>0</v>
      </c>
    </row>
    <row r="46" spans="1:63">
      <c r="A46" t="s">
        <v>5</v>
      </c>
      <c r="B46">
        <v>30</v>
      </c>
      <c r="C46">
        <v>0</v>
      </c>
      <c r="D46">
        <v>0</v>
      </c>
      <c r="E46">
        <v>0</v>
      </c>
      <c r="F46">
        <v>30</v>
      </c>
      <c r="G46">
        <v>0</v>
      </c>
      <c r="H46">
        <v>0</v>
      </c>
      <c r="I46">
        <v>0</v>
      </c>
      <c r="J46">
        <v>30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30</v>
      </c>
      <c r="S46">
        <v>0</v>
      </c>
      <c r="T46">
        <v>0</v>
      </c>
      <c r="U46">
        <v>0</v>
      </c>
      <c r="V46" t="s">
        <v>5</v>
      </c>
      <c r="W46">
        <v>30</v>
      </c>
      <c r="X46">
        <v>0</v>
      </c>
      <c r="Y46">
        <v>0</v>
      </c>
      <c r="Z46">
        <v>0</v>
      </c>
      <c r="AA46">
        <v>30</v>
      </c>
      <c r="AB46">
        <v>0</v>
      </c>
      <c r="AC46">
        <v>0</v>
      </c>
      <c r="AD46">
        <v>0</v>
      </c>
      <c r="AE46">
        <v>30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30</v>
      </c>
      <c r="AN46">
        <v>0</v>
      </c>
      <c r="AO46">
        <v>0</v>
      </c>
      <c r="AP46">
        <v>0</v>
      </c>
      <c r="AQ46" t="s">
        <v>5</v>
      </c>
      <c r="AR46">
        <v>30</v>
      </c>
      <c r="AS46">
        <v>0</v>
      </c>
      <c r="AT46">
        <v>0</v>
      </c>
      <c r="AU46">
        <v>0</v>
      </c>
      <c r="AV46">
        <v>30</v>
      </c>
      <c r="AW46">
        <v>0</v>
      </c>
      <c r="AX46">
        <v>0</v>
      </c>
      <c r="AY46">
        <v>0</v>
      </c>
      <c r="AZ46">
        <v>30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30</v>
      </c>
      <c r="BI46">
        <v>0</v>
      </c>
      <c r="BJ46">
        <v>0</v>
      </c>
      <c r="BK46">
        <v>0</v>
      </c>
    </row>
    <row r="47" spans="1:63">
      <c r="A47" t="s">
        <v>62</v>
      </c>
      <c r="B47">
        <v>71</v>
      </c>
      <c r="C47">
        <v>15</v>
      </c>
      <c r="D47">
        <v>0</v>
      </c>
      <c r="E47">
        <v>0</v>
      </c>
      <c r="F47">
        <v>71</v>
      </c>
      <c r="G47">
        <v>15</v>
      </c>
      <c r="H47">
        <v>0</v>
      </c>
      <c r="I47">
        <v>0</v>
      </c>
      <c r="J47">
        <v>86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86</v>
      </c>
      <c r="S47">
        <v>0</v>
      </c>
      <c r="T47">
        <v>0</v>
      </c>
      <c r="U47">
        <v>0</v>
      </c>
      <c r="V47" t="s">
        <v>62</v>
      </c>
      <c r="W47">
        <v>71</v>
      </c>
      <c r="X47">
        <v>15</v>
      </c>
      <c r="Y47">
        <v>0</v>
      </c>
      <c r="Z47">
        <v>0</v>
      </c>
      <c r="AA47">
        <v>71</v>
      </c>
      <c r="AB47">
        <v>15</v>
      </c>
      <c r="AC47">
        <v>0</v>
      </c>
      <c r="AD47">
        <v>0</v>
      </c>
      <c r="AE47">
        <v>86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86</v>
      </c>
      <c r="AN47">
        <v>0</v>
      </c>
      <c r="AO47">
        <v>0</v>
      </c>
      <c r="AP47">
        <v>0</v>
      </c>
      <c r="AQ47" t="s">
        <v>62</v>
      </c>
      <c r="AR47">
        <v>71</v>
      </c>
      <c r="AS47">
        <v>15</v>
      </c>
      <c r="AT47">
        <v>0</v>
      </c>
      <c r="AU47">
        <v>0</v>
      </c>
      <c r="AV47">
        <v>71</v>
      </c>
      <c r="AW47">
        <v>15</v>
      </c>
      <c r="AX47">
        <v>0</v>
      </c>
      <c r="AY47">
        <v>0</v>
      </c>
      <c r="AZ47">
        <v>86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86</v>
      </c>
      <c r="BI47">
        <v>0</v>
      </c>
      <c r="BJ47">
        <v>0</v>
      </c>
      <c r="BK47">
        <v>0</v>
      </c>
    </row>
    <row r="48" spans="1:63">
      <c r="A48" t="s">
        <v>6</v>
      </c>
      <c r="B48">
        <v>50</v>
      </c>
      <c r="C48">
        <v>6</v>
      </c>
      <c r="D48">
        <v>0</v>
      </c>
      <c r="E48">
        <v>0</v>
      </c>
      <c r="F48">
        <v>50</v>
      </c>
      <c r="G48">
        <v>6</v>
      </c>
      <c r="H48">
        <v>0</v>
      </c>
      <c r="I48">
        <v>0</v>
      </c>
      <c r="J48">
        <v>54</v>
      </c>
      <c r="K48">
        <v>2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54</v>
      </c>
      <c r="S48">
        <v>2</v>
      </c>
      <c r="T48">
        <v>0</v>
      </c>
      <c r="U48">
        <v>0</v>
      </c>
      <c r="V48" t="s">
        <v>6</v>
      </c>
      <c r="W48">
        <v>50</v>
      </c>
      <c r="X48">
        <v>6</v>
      </c>
      <c r="Y48">
        <v>0</v>
      </c>
      <c r="Z48">
        <v>0</v>
      </c>
      <c r="AA48">
        <v>50</v>
      </c>
      <c r="AB48">
        <v>6</v>
      </c>
      <c r="AC48">
        <v>0</v>
      </c>
      <c r="AD48">
        <v>0</v>
      </c>
      <c r="AE48">
        <v>54</v>
      </c>
      <c r="AF48">
        <v>2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54</v>
      </c>
      <c r="AN48">
        <v>2</v>
      </c>
      <c r="AO48">
        <v>0</v>
      </c>
      <c r="AP48">
        <v>0</v>
      </c>
      <c r="AQ48" t="s">
        <v>6</v>
      </c>
      <c r="AR48">
        <v>50</v>
      </c>
      <c r="AS48">
        <v>6</v>
      </c>
      <c r="AT48">
        <v>0</v>
      </c>
      <c r="AU48">
        <v>0</v>
      </c>
      <c r="AV48">
        <v>50</v>
      </c>
      <c r="AW48">
        <v>6</v>
      </c>
      <c r="AX48">
        <v>0</v>
      </c>
      <c r="AY48">
        <v>0</v>
      </c>
      <c r="AZ48">
        <v>56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56</v>
      </c>
      <c r="BI48">
        <v>0</v>
      </c>
      <c r="BJ48">
        <v>0</v>
      </c>
      <c r="BK48">
        <v>0</v>
      </c>
    </row>
    <row r="49" spans="1:63">
      <c r="A49" t="s">
        <v>82</v>
      </c>
      <c r="B49">
        <v>2</v>
      </c>
      <c r="C49">
        <v>0</v>
      </c>
      <c r="D49">
        <v>0</v>
      </c>
      <c r="E49">
        <v>0</v>
      </c>
      <c r="F49">
        <v>2</v>
      </c>
      <c r="G49">
        <v>0</v>
      </c>
      <c r="H49">
        <v>0</v>
      </c>
      <c r="I49">
        <v>0</v>
      </c>
      <c r="J49">
        <v>2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2</v>
      </c>
      <c r="S49">
        <v>0</v>
      </c>
      <c r="T49">
        <v>0</v>
      </c>
      <c r="U49">
        <v>0</v>
      </c>
      <c r="V49" t="s">
        <v>82</v>
      </c>
      <c r="W49">
        <v>2</v>
      </c>
      <c r="X49">
        <v>0</v>
      </c>
      <c r="Y49">
        <v>0</v>
      </c>
      <c r="Z49">
        <v>0</v>
      </c>
      <c r="AA49">
        <v>2</v>
      </c>
      <c r="AB49">
        <v>0</v>
      </c>
      <c r="AC49">
        <v>0</v>
      </c>
      <c r="AD49">
        <v>0</v>
      </c>
      <c r="AE49">
        <v>2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2</v>
      </c>
      <c r="AN49">
        <v>0</v>
      </c>
      <c r="AO49">
        <v>0</v>
      </c>
      <c r="AP49">
        <v>0</v>
      </c>
      <c r="AQ49" t="s">
        <v>82</v>
      </c>
      <c r="AR49">
        <v>2</v>
      </c>
      <c r="AS49">
        <v>0</v>
      </c>
      <c r="AT49">
        <v>0</v>
      </c>
      <c r="AU49">
        <v>0</v>
      </c>
      <c r="AV49">
        <v>2</v>
      </c>
      <c r="AW49">
        <v>0</v>
      </c>
      <c r="AX49">
        <v>0</v>
      </c>
      <c r="AY49">
        <v>0</v>
      </c>
      <c r="AZ49">
        <v>2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2</v>
      </c>
      <c r="BI49">
        <v>0</v>
      </c>
      <c r="BJ49">
        <v>0</v>
      </c>
      <c r="BK49">
        <v>0</v>
      </c>
    </row>
    <row r="50" spans="1:63">
      <c r="A50" t="s">
        <v>92</v>
      </c>
      <c r="B50">
        <v>1</v>
      </c>
      <c r="C50">
        <v>0</v>
      </c>
      <c r="D50">
        <v>0</v>
      </c>
      <c r="E50">
        <v>0</v>
      </c>
      <c r="F50">
        <v>1</v>
      </c>
      <c r="G50">
        <v>0</v>
      </c>
      <c r="H50">
        <v>0</v>
      </c>
      <c r="I50">
        <v>0</v>
      </c>
      <c r="J50">
        <v>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1</v>
      </c>
      <c r="S50">
        <v>0</v>
      </c>
      <c r="T50">
        <v>0</v>
      </c>
      <c r="U50">
        <v>0</v>
      </c>
      <c r="V50" t="s">
        <v>92</v>
      </c>
      <c r="W50">
        <v>1</v>
      </c>
      <c r="X50">
        <v>0</v>
      </c>
      <c r="Y50">
        <v>0</v>
      </c>
      <c r="Z50">
        <v>0</v>
      </c>
      <c r="AA50">
        <v>1</v>
      </c>
      <c r="AB50">
        <v>0</v>
      </c>
      <c r="AC50">
        <v>0</v>
      </c>
      <c r="AD50">
        <v>0</v>
      </c>
      <c r="AE50">
        <v>1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1</v>
      </c>
      <c r="AN50">
        <v>0</v>
      </c>
      <c r="AO50">
        <v>0</v>
      </c>
      <c r="AP50">
        <v>0</v>
      </c>
      <c r="AQ50" t="s">
        <v>92</v>
      </c>
      <c r="AR50">
        <v>1</v>
      </c>
      <c r="AS50">
        <v>0</v>
      </c>
      <c r="AT50">
        <v>0</v>
      </c>
      <c r="AU50">
        <v>0</v>
      </c>
      <c r="AV50">
        <v>1</v>
      </c>
      <c r="AW50">
        <v>0</v>
      </c>
      <c r="AX50">
        <v>0</v>
      </c>
      <c r="AY50">
        <v>0</v>
      </c>
      <c r="AZ50">
        <v>1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1</v>
      </c>
      <c r="BI50">
        <v>0</v>
      </c>
      <c r="BJ50">
        <v>0</v>
      </c>
      <c r="BK50">
        <v>0</v>
      </c>
    </row>
    <row r="51" spans="1:63">
      <c r="A51" t="s">
        <v>53</v>
      </c>
      <c r="B51">
        <v>60</v>
      </c>
      <c r="C51">
        <v>2</v>
      </c>
      <c r="D51">
        <v>0</v>
      </c>
      <c r="E51">
        <v>0</v>
      </c>
      <c r="F51">
        <v>60</v>
      </c>
      <c r="G51">
        <v>2</v>
      </c>
      <c r="H51">
        <v>0</v>
      </c>
      <c r="I51">
        <v>0</v>
      </c>
      <c r="J51">
        <v>62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62</v>
      </c>
      <c r="S51">
        <v>0</v>
      </c>
      <c r="T51">
        <v>0</v>
      </c>
      <c r="U51">
        <v>0</v>
      </c>
      <c r="V51" t="s">
        <v>53</v>
      </c>
      <c r="W51">
        <v>60</v>
      </c>
      <c r="X51">
        <v>2</v>
      </c>
      <c r="Y51">
        <v>0</v>
      </c>
      <c r="Z51">
        <v>0</v>
      </c>
      <c r="AA51">
        <v>60</v>
      </c>
      <c r="AB51">
        <v>2</v>
      </c>
      <c r="AC51">
        <v>0</v>
      </c>
      <c r="AD51">
        <v>0</v>
      </c>
      <c r="AE51">
        <v>62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62</v>
      </c>
      <c r="AN51">
        <v>0</v>
      </c>
      <c r="AO51">
        <v>0</v>
      </c>
      <c r="AP51">
        <v>0</v>
      </c>
      <c r="AQ51" t="s">
        <v>53</v>
      </c>
      <c r="AR51">
        <v>60</v>
      </c>
      <c r="AS51">
        <v>2</v>
      </c>
      <c r="AT51">
        <v>0</v>
      </c>
      <c r="AU51">
        <v>0</v>
      </c>
      <c r="AV51">
        <v>60</v>
      </c>
      <c r="AW51">
        <v>2</v>
      </c>
      <c r="AX51">
        <v>0</v>
      </c>
      <c r="AY51">
        <v>0</v>
      </c>
      <c r="AZ51">
        <v>62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62</v>
      </c>
      <c r="BI51">
        <v>0</v>
      </c>
      <c r="BJ51">
        <v>0</v>
      </c>
      <c r="BK51">
        <v>0</v>
      </c>
    </row>
    <row r="52" spans="1:63">
      <c r="A52" t="s">
        <v>11</v>
      </c>
      <c r="B52">
        <v>7</v>
      </c>
      <c r="C52">
        <v>0</v>
      </c>
      <c r="D52">
        <v>0</v>
      </c>
      <c r="E52">
        <v>0</v>
      </c>
      <c r="F52">
        <v>7</v>
      </c>
      <c r="G52">
        <v>0</v>
      </c>
      <c r="H52">
        <v>0</v>
      </c>
      <c r="I52">
        <v>0</v>
      </c>
      <c r="J52">
        <v>7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7</v>
      </c>
      <c r="S52">
        <v>0</v>
      </c>
      <c r="T52">
        <v>0</v>
      </c>
      <c r="U52">
        <v>0</v>
      </c>
      <c r="V52" t="s">
        <v>11</v>
      </c>
      <c r="W52">
        <v>7</v>
      </c>
      <c r="X52">
        <v>0</v>
      </c>
      <c r="Y52">
        <v>0</v>
      </c>
      <c r="Z52">
        <v>0</v>
      </c>
      <c r="AA52">
        <v>7</v>
      </c>
      <c r="AB52">
        <v>0</v>
      </c>
      <c r="AC52">
        <v>0</v>
      </c>
      <c r="AD52">
        <v>0</v>
      </c>
      <c r="AE52">
        <v>7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7</v>
      </c>
      <c r="AN52">
        <v>0</v>
      </c>
      <c r="AO52">
        <v>0</v>
      </c>
      <c r="AP52">
        <v>0</v>
      </c>
      <c r="AQ52" t="s">
        <v>11</v>
      </c>
      <c r="AR52">
        <v>7</v>
      </c>
      <c r="AS52">
        <v>0</v>
      </c>
      <c r="AT52">
        <v>0</v>
      </c>
      <c r="AU52">
        <v>0</v>
      </c>
      <c r="AV52">
        <v>7</v>
      </c>
      <c r="AW52">
        <v>0</v>
      </c>
      <c r="AX52">
        <v>0</v>
      </c>
      <c r="AY52">
        <v>0</v>
      </c>
      <c r="AZ52">
        <v>7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7</v>
      </c>
      <c r="BI52">
        <v>0</v>
      </c>
      <c r="BJ52">
        <v>0</v>
      </c>
      <c r="BK52">
        <v>0</v>
      </c>
    </row>
    <row r="53" spans="1:63">
      <c r="A53" t="s">
        <v>84</v>
      </c>
      <c r="B53">
        <v>36</v>
      </c>
      <c r="C53">
        <v>10</v>
      </c>
      <c r="D53">
        <v>0</v>
      </c>
      <c r="E53">
        <v>0</v>
      </c>
      <c r="F53">
        <v>36</v>
      </c>
      <c r="G53">
        <v>10</v>
      </c>
      <c r="H53">
        <v>0</v>
      </c>
      <c r="I53">
        <v>0</v>
      </c>
      <c r="J53">
        <v>46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46</v>
      </c>
      <c r="S53">
        <v>0</v>
      </c>
      <c r="T53">
        <v>0</v>
      </c>
      <c r="U53">
        <v>0</v>
      </c>
      <c r="V53" t="s">
        <v>84</v>
      </c>
      <c r="W53">
        <v>36</v>
      </c>
      <c r="X53">
        <v>10</v>
      </c>
      <c r="Y53">
        <v>0</v>
      </c>
      <c r="Z53">
        <v>0</v>
      </c>
      <c r="AA53">
        <v>36</v>
      </c>
      <c r="AB53">
        <v>10</v>
      </c>
      <c r="AC53">
        <v>0</v>
      </c>
      <c r="AD53">
        <v>0</v>
      </c>
      <c r="AE53">
        <v>46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46</v>
      </c>
      <c r="AN53">
        <v>0</v>
      </c>
      <c r="AO53">
        <v>0</v>
      </c>
      <c r="AP53">
        <v>0</v>
      </c>
      <c r="AQ53" t="s">
        <v>84</v>
      </c>
      <c r="AR53">
        <v>36</v>
      </c>
      <c r="AS53">
        <v>10</v>
      </c>
      <c r="AT53">
        <v>0</v>
      </c>
      <c r="AU53">
        <v>0</v>
      </c>
      <c r="AV53">
        <v>36</v>
      </c>
      <c r="AW53">
        <v>10</v>
      </c>
      <c r="AX53">
        <v>0</v>
      </c>
      <c r="AY53">
        <v>0</v>
      </c>
      <c r="AZ53">
        <v>46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46</v>
      </c>
      <c r="BI53">
        <v>0</v>
      </c>
      <c r="BJ53">
        <v>0</v>
      </c>
      <c r="BK53">
        <v>0</v>
      </c>
    </row>
    <row r="54" spans="1:63">
      <c r="A54" t="s">
        <v>50</v>
      </c>
      <c r="B54">
        <v>26</v>
      </c>
      <c r="C54">
        <v>0</v>
      </c>
      <c r="D54">
        <v>0</v>
      </c>
      <c r="E54">
        <v>0</v>
      </c>
      <c r="F54">
        <v>26</v>
      </c>
      <c r="G54">
        <v>0</v>
      </c>
      <c r="H54">
        <v>0</v>
      </c>
      <c r="I54">
        <v>0</v>
      </c>
      <c r="J54">
        <v>26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26</v>
      </c>
      <c r="S54">
        <v>0</v>
      </c>
      <c r="T54">
        <v>0</v>
      </c>
      <c r="U54">
        <v>0</v>
      </c>
      <c r="V54" t="s">
        <v>50</v>
      </c>
      <c r="W54">
        <v>26</v>
      </c>
      <c r="X54">
        <v>0</v>
      </c>
      <c r="Y54">
        <v>0</v>
      </c>
      <c r="Z54">
        <v>0</v>
      </c>
      <c r="AA54">
        <v>26</v>
      </c>
      <c r="AB54">
        <v>0</v>
      </c>
      <c r="AC54">
        <v>0</v>
      </c>
      <c r="AD54">
        <v>0</v>
      </c>
      <c r="AE54">
        <v>26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26</v>
      </c>
      <c r="AN54">
        <v>0</v>
      </c>
      <c r="AO54">
        <v>0</v>
      </c>
      <c r="AP54">
        <v>0</v>
      </c>
      <c r="AQ54" t="s">
        <v>50</v>
      </c>
      <c r="AR54">
        <v>26</v>
      </c>
      <c r="AS54">
        <v>0</v>
      </c>
      <c r="AT54">
        <v>0</v>
      </c>
      <c r="AU54">
        <v>0</v>
      </c>
      <c r="AV54">
        <v>26</v>
      </c>
      <c r="AW54">
        <v>0</v>
      </c>
      <c r="AX54">
        <v>0</v>
      </c>
      <c r="AY54">
        <v>0</v>
      </c>
      <c r="AZ54">
        <v>26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26</v>
      </c>
      <c r="BI54">
        <v>0</v>
      </c>
      <c r="BJ54">
        <v>0</v>
      </c>
      <c r="BK54">
        <v>0</v>
      </c>
    </row>
    <row r="55" spans="1:63">
      <c r="A55" t="s">
        <v>47</v>
      </c>
      <c r="B55">
        <v>53</v>
      </c>
      <c r="C55">
        <v>0</v>
      </c>
      <c r="D55">
        <v>0</v>
      </c>
      <c r="E55">
        <v>0</v>
      </c>
      <c r="F55">
        <v>53</v>
      </c>
      <c r="G55">
        <v>0</v>
      </c>
      <c r="H55">
        <v>0</v>
      </c>
      <c r="I55">
        <v>0</v>
      </c>
      <c r="J55">
        <v>50</v>
      </c>
      <c r="K55">
        <v>3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50</v>
      </c>
      <c r="S55">
        <v>3</v>
      </c>
      <c r="T55">
        <v>0</v>
      </c>
      <c r="U55">
        <v>0</v>
      </c>
      <c r="V55" t="s">
        <v>47</v>
      </c>
      <c r="W55">
        <v>53</v>
      </c>
      <c r="X55">
        <v>0</v>
      </c>
      <c r="Y55">
        <v>0</v>
      </c>
      <c r="Z55">
        <v>0</v>
      </c>
      <c r="AA55">
        <v>53</v>
      </c>
      <c r="AB55">
        <v>0</v>
      </c>
      <c r="AC55">
        <v>0</v>
      </c>
      <c r="AD55">
        <v>0</v>
      </c>
      <c r="AE55">
        <v>50</v>
      </c>
      <c r="AF55">
        <v>3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50</v>
      </c>
      <c r="AN55">
        <v>3</v>
      </c>
      <c r="AO55">
        <v>0</v>
      </c>
      <c r="AP55">
        <v>0</v>
      </c>
      <c r="AQ55" t="s">
        <v>47</v>
      </c>
      <c r="AR55">
        <v>53</v>
      </c>
      <c r="AS55">
        <v>0</v>
      </c>
      <c r="AT55">
        <v>0</v>
      </c>
      <c r="AU55">
        <v>0</v>
      </c>
      <c r="AV55">
        <v>53</v>
      </c>
      <c r="AW55">
        <v>0</v>
      </c>
      <c r="AX55">
        <v>0</v>
      </c>
      <c r="AY55">
        <v>0</v>
      </c>
      <c r="AZ55">
        <v>53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53</v>
      </c>
      <c r="BI55">
        <v>0</v>
      </c>
      <c r="BJ55">
        <v>0</v>
      </c>
      <c r="BK55">
        <v>0</v>
      </c>
    </row>
    <row r="56" spans="1:63">
      <c r="A56" t="s">
        <v>57</v>
      </c>
      <c r="B56">
        <v>8</v>
      </c>
      <c r="C56">
        <v>2</v>
      </c>
      <c r="D56">
        <v>0</v>
      </c>
      <c r="E56">
        <v>0</v>
      </c>
      <c r="F56">
        <v>8</v>
      </c>
      <c r="G56">
        <v>2</v>
      </c>
      <c r="H56">
        <v>0</v>
      </c>
      <c r="I56">
        <v>0</v>
      </c>
      <c r="J56">
        <v>10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10</v>
      </c>
      <c r="S56">
        <v>0</v>
      </c>
      <c r="T56">
        <v>0</v>
      </c>
      <c r="U56">
        <v>0</v>
      </c>
      <c r="V56" t="s">
        <v>57</v>
      </c>
      <c r="W56">
        <v>8</v>
      </c>
      <c r="X56">
        <v>2</v>
      </c>
      <c r="Y56">
        <v>0</v>
      </c>
      <c r="Z56">
        <v>0</v>
      </c>
      <c r="AA56">
        <v>8</v>
      </c>
      <c r="AB56">
        <v>2</v>
      </c>
      <c r="AC56">
        <v>0</v>
      </c>
      <c r="AD56">
        <v>0</v>
      </c>
      <c r="AE56">
        <v>10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10</v>
      </c>
      <c r="AN56">
        <v>0</v>
      </c>
      <c r="AO56">
        <v>0</v>
      </c>
      <c r="AP56">
        <v>0</v>
      </c>
      <c r="AQ56" t="s">
        <v>57</v>
      </c>
      <c r="AR56">
        <v>8</v>
      </c>
      <c r="AS56">
        <v>2</v>
      </c>
      <c r="AT56">
        <v>0</v>
      </c>
      <c r="AU56">
        <v>0</v>
      </c>
      <c r="AV56">
        <v>8</v>
      </c>
      <c r="AW56">
        <v>2</v>
      </c>
      <c r="AX56">
        <v>0</v>
      </c>
      <c r="AY56">
        <v>0</v>
      </c>
      <c r="AZ56">
        <v>10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10</v>
      </c>
      <c r="BI56">
        <v>0</v>
      </c>
      <c r="BJ56">
        <v>0</v>
      </c>
      <c r="BK56">
        <v>0</v>
      </c>
    </row>
    <row r="57" spans="1:63">
      <c r="A57" t="s">
        <v>95</v>
      </c>
      <c r="B57">
        <v>11</v>
      </c>
      <c r="C57">
        <v>1</v>
      </c>
      <c r="D57">
        <v>0</v>
      </c>
      <c r="E57">
        <v>0</v>
      </c>
      <c r="F57">
        <v>11</v>
      </c>
      <c r="G57">
        <v>1</v>
      </c>
      <c r="H57">
        <v>0</v>
      </c>
      <c r="I57">
        <v>0</v>
      </c>
      <c r="J57">
        <v>12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12</v>
      </c>
      <c r="S57">
        <v>0</v>
      </c>
      <c r="T57">
        <v>0</v>
      </c>
      <c r="U57">
        <v>0</v>
      </c>
      <c r="V57" t="s">
        <v>95</v>
      </c>
      <c r="W57">
        <v>11</v>
      </c>
      <c r="X57">
        <v>1</v>
      </c>
      <c r="Y57">
        <v>0</v>
      </c>
      <c r="Z57">
        <v>0</v>
      </c>
      <c r="AA57">
        <v>11</v>
      </c>
      <c r="AB57">
        <v>1</v>
      </c>
      <c r="AC57">
        <v>0</v>
      </c>
      <c r="AD57">
        <v>0</v>
      </c>
      <c r="AE57">
        <v>12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12</v>
      </c>
      <c r="AN57">
        <v>0</v>
      </c>
      <c r="AO57">
        <v>0</v>
      </c>
      <c r="AP57">
        <v>0</v>
      </c>
      <c r="AQ57" t="s">
        <v>95</v>
      </c>
      <c r="AR57">
        <v>11</v>
      </c>
      <c r="AS57">
        <v>1</v>
      </c>
      <c r="AT57">
        <v>0</v>
      </c>
      <c r="AU57">
        <v>0</v>
      </c>
      <c r="AV57">
        <v>11</v>
      </c>
      <c r="AW57">
        <v>1</v>
      </c>
      <c r="AX57">
        <v>0</v>
      </c>
      <c r="AY57">
        <v>0</v>
      </c>
      <c r="AZ57">
        <v>12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12</v>
      </c>
      <c r="BI57">
        <v>0</v>
      </c>
      <c r="BJ57">
        <v>0</v>
      </c>
      <c r="BK57">
        <v>0</v>
      </c>
    </row>
    <row r="58" spans="1:63">
      <c r="A58" t="s">
        <v>41</v>
      </c>
      <c r="B58">
        <v>9</v>
      </c>
      <c r="C58">
        <v>0</v>
      </c>
      <c r="D58">
        <v>0</v>
      </c>
      <c r="E58">
        <v>0</v>
      </c>
      <c r="F58">
        <v>9</v>
      </c>
      <c r="G58">
        <v>0</v>
      </c>
      <c r="H58">
        <v>0</v>
      </c>
      <c r="I58">
        <v>0</v>
      </c>
      <c r="J58">
        <v>9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9</v>
      </c>
      <c r="S58">
        <v>0</v>
      </c>
      <c r="T58">
        <v>0</v>
      </c>
      <c r="U58">
        <v>0</v>
      </c>
      <c r="V58" t="s">
        <v>41</v>
      </c>
      <c r="W58">
        <v>9</v>
      </c>
      <c r="X58">
        <v>0</v>
      </c>
      <c r="Y58">
        <v>0</v>
      </c>
      <c r="Z58">
        <v>0</v>
      </c>
      <c r="AA58">
        <v>9</v>
      </c>
      <c r="AB58">
        <v>0</v>
      </c>
      <c r="AC58">
        <v>0</v>
      </c>
      <c r="AD58">
        <v>0</v>
      </c>
      <c r="AE58">
        <v>9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9</v>
      </c>
      <c r="AN58">
        <v>0</v>
      </c>
      <c r="AO58">
        <v>0</v>
      </c>
      <c r="AP58">
        <v>0</v>
      </c>
      <c r="AQ58" t="s">
        <v>41</v>
      </c>
      <c r="AR58">
        <v>9</v>
      </c>
      <c r="AS58">
        <v>0</v>
      </c>
      <c r="AT58">
        <v>0</v>
      </c>
      <c r="AU58">
        <v>0</v>
      </c>
      <c r="AV58">
        <v>9</v>
      </c>
      <c r="AW58">
        <v>0</v>
      </c>
      <c r="AX58">
        <v>0</v>
      </c>
      <c r="AY58">
        <v>0</v>
      </c>
      <c r="AZ58">
        <v>9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9</v>
      </c>
      <c r="BI58">
        <v>0</v>
      </c>
      <c r="BJ58">
        <v>0</v>
      </c>
      <c r="BK58">
        <v>0</v>
      </c>
    </row>
    <row r="59" spans="1:63">
      <c r="A59" t="s">
        <v>81</v>
      </c>
      <c r="B59">
        <v>106</v>
      </c>
      <c r="C59">
        <v>6</v>
      </c>
      <c r="D59">
        <v>0</v>
      </c>
      <c r="E59">
        <v>0</v>
      </c>
      <c r="F59">
        <v>106</v>
      </c>
      <c r="G59">
        <v>6</v>
      </c>
      <c r="H59">
        <v>0</v>
      </c>
      <c r="I59">
        <v>0</v>
      </c>
      <c r="J59">
        <v>106</v>
      </c>
      <c r="K59">
        <v>6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103</v>
      </c>
      <c r="S59">
        <v>9</v>
      </c>
      <c r="T59">
        <v>0</v>
      </c>
      <c r="U59">
        <v>0</v>
      </c>
      <c r="V59" t="s">
        <v>81</v>
      </c>
      <c r="W59">
        <v>106</v>
      </c>
      <c r="X59">
        <v>6</v>
      </c>
      <c r="Y59">
        <v>0</v>
      </c>
      <c r="Z59">
        <v>0</v>
      </c>
      <c r="AA59">
        <v>106</v>
      </c>
      <c r="AB59">
        <v>6</v>
      </c>
      <c r="AC59">
        <v>0</v>
      </c>
      <c r="AD59">
        <v>0</v>
      </c>
      <c r="AE59">
        <v>106</v>
      </c>
      <c r="AF59">
        <v>6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103</v>
      </c>
      <c r="AN59">
        <v>9</v>
      </c>
      <c r="AO59">
        <v>0</v>
      </c>
      <c r="AP59">
        <v>0</v>
      </c>
      <c r="AQ59" t="s">
        <v>81</v>
      </c>
      <c r="AR59">
        <v>106</v>
      </c>
      <c r="AS59">
        <v>6</v>
      </c>
      <c r="AT59">
        <v>0</v>
      </c>
      <c r="AU59">
        <v>0</v>
      </c>
      <c r="AV59">
        <v>106</v>
      </c>
      <c r="AW59">
        <v>6</v>
      </c>
      <c r="AX59">
        <v>0</v>
      </c>
      <c r="AY59">
        <v>0</v>
      </c>
      <c r="AZ59">
        <v>112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112</v>
      </c>
      <c r="BI59">
        <v>0</v>
      </c>
      <c r="BJ59">
        <v>0</v>
      </c>
      <c r="BK59">
        <v>0</v>
      </c>
    </row>
    <row r="60" spans="1:63">
      <c r="A60" t="s">
        <v>45</v>
      </c>
      <c r="B60">
        <v>926</v>
      </c>
      <c r="C60">
        <v>32</v>
      </c>
      <c r="D60">
        <v>0</v>
      </c>
      <c r="E60">
        <v>0</v>
      </c>
      <c r="F60">
        <v>926</v>
      </c>
      <c r="G60">
        <v>32</v>
      </c>
      <c r="H60">
        <v>0</v>
      </c>
      <c r="I60">
        <v>0</v>
      </c>
      <c r="J60">
        <v>957</v>
      </c>
      <c r="K60">
        <v>1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956</v>
      </c>
      <c r="S60">
        <v>2</v>
      </c>
      <c r="T60">
        <v>0</v>
      </c>
      <c r="U60">
        <v>0</v>
      </c>
      <c r="V60" t="s">
        <v>45</v>
      </c>
      <c r="W60">
        <v>926</v>
      </c>
      <c r="X60">
        <v>32</v>
      </c>
      <c r="Y60">
        <v>0</v>
      </c>
      <c r="Z60">
        <v>0</v>
      </c>
      <c r="AA60">
        <v>926</v>
      </c>
      <c r="AB60">
        <v>32</v>
      </c>
      <c r="AC60">
        <v>0</v>
      </c>
      <c r="AD60">
        <v>0</v>
      </c>
      <c r="AE60">
        <v>957</v>
      </c>
      <c r="AF60">
        <v>1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956</v>
      </c>
      <c r="AN60">
        <v>2</v>
      </c>
      <c r="AO60">
        <v>0</v>
      </c>
      <c r="AP60">
        <v>0</v>
      </c>
      <c r="AQ60" t="s">
        <v>45</v>
      </c>
      <c r="AR60">
        <v>926</v>
      </c>
      <c r="AS60">
        <v>32</v>
      </c>
      <c r="AT60">
        <v>0</v>
      </c>
      <c r="AU60">
        <v>0</v>
      </c>
      <c r="AV60">
        <v>926</v>
      </c>
      <c r="AW60">
        <v>32</v>
      </c>
      <c r="AX60">
        <v>0</v>
      </c>
      <c r="AY60">
        <v>0</v>
      </c>
      <c r="AZ60">
        <v>958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958</v>
      </c>
      <c r="BI60">
        <v>0</v>
      </c>
      <c r="BJ60">
        <v>0</v>
      </c>
      <c r="BK60">
        <v>0</v>
      </c>
    </row>
    <row r="61" spans="1:63">
      <c r="A61" t="s">
        <v>54</v>
      </c>
      <c r="B61">
        <v>472</v>
      </c>
      <c r="C61">
        <v>4</v>
      </c>
      <c r="D61">
        <v>0</v>
      </c>
      <c r="E61">
        <v>0</v>
      </c>
      <c r="F61">
        <v>472</v>
      </c>
      <c r="G61">
        <v>4</v>
      </c>
      <c r="H61">
        <v>0</v>
      </c>
      <c r="I61">
        <v>0</v>
      </c>
      <c r="J61">
        <v>465</v>
      </c>
      <c r="K61">
        <v>11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464</v>
      </c>
      <c r="S61">
        <v>12</v>
      </c>
      <c r="T61">
        <v>0</v>
      </c>
      <c r="U61">
        <v>0</v>
      </c>
      <c r="V61" t="s">
        <v>54</v>
      </c>
      <c r="W61">
        <v>472</v>
      </c>
      <c r="X61">
        <v>4</v>
      </c>
      <c r="Y61">
        <v>0</v>
      </c>
      <c r="Z61">
        <v>0</v>
      </c>
      <c r="AA61">
        <v>472</v>
      </c>
      <c r="AB61">
        <v>4</v>
      </c>
      <c r="AC61">
        <v>0</v>
      </c>
      <c r="AD61">
        <v>0</v>
      </c>
      <c r="AE61">
        <v>465</v>
      </c>
      <c r="AF61">
        <v>11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464</v>
      </c>
      <c r="AN61">
        <v>12</v>
      </c>
      <c r="AO61">
        <v>0</v>
      </c>
      <c r="AP61">
        <v>0</v>
      </c>
      <c r="AQ61" t="s">
        <v>54</v>
      </c>
      <c r="AR61">
        <v>472</v>
      </c>
      <c r="AS61">
        <v>4</v>
      </c>
      <c r="AT61">
        <v>0</v>
      </c>
      <c r="AU61">
        <v>0</v>
      </c>
      <c r="AV61">
        <v>472</v>
      </c>
      <c r="AW61">
        <v>4</v>
      </c>
      <c r="AX61">
        <v>0</v>
      </c>
      <c r="AY61">
        <v>0</v>
      </c>
      <c r="AZ61">
        <v>476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476</v>
      </c>
      <c r="BI61">
        <v>0</v>
      </c>
      <c r="BJ61">
        <v>0</v>
      </c>
      <c r="BK61">
        <v>0</v>
      </c>
    </row>
    <row r="62" spans="1:63">
      <c r="A62" t="s">
        <v>79</v>
      </c>
      <c r="B62">
        <v>580</v>
      </c>
      <c r="C62">
        <v>27</v>
      </c>
      <c r="D62">
        <v>0</v>
      </c>
      <c r="E62">
        <v>0</v>
      </c>
      <c r="F62">
        <v>580</v>
      </c>
      <c r="G62">
        <v>27</v>
      </c>
      <c r="H62">
        <v>0</v>
      </c>
      <c r="I62">
        <v>0</v>
      </c>
      <c r="J62">
        <v>595</v>
      </c>
      <c r="K62">
        <v>12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593</v>
      </c>
      <c r="S62">
        <v>14</v>
      </c>
      <c r="T62">
        <v>0</v>
      </c>
      <c r="U62">
        <v>0</v>
      </c>
      <c r="V62" t="s">
        <v>79</v>
      </c>
      <c r="W62">
        <v>580</v>
      </c>
      <c r="X62">
        <v>27</v>
      </c>
      <c r="Y62">
        <v>0</v>
      </c>
      <c r="Z62">
        <v>0</v>
      </c>
      <c r="AA62">
        <v>580</v>
      </c>
      <c r="AB62">
        <v>27</v>
      </c>
      <c r="AC62">
        <v>0</v>
      </c>
      <c r="AD62">
        <v>0</v>
      </c>
      <c r="AE62">
        <v>595</v>
      </c>
      <c r="AF62">
        <v>12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593</v>
      </c>
      <c r="AN62">
        <v>14</v>
      </c>
      <c r="AO62">
        <v>0</v>
      </c>
      <c r="AP62">
        <v>0</v>
      </c>
      <c r="AQ62" t="s">
        <v>79</v>
      </c>
      <c r="AR62">
        <v>580</v>
      </c>
      <c r="AS62">
        <v>27</v>
      </c>
      <c r="AT62">
        <v>0</v>
      </c>
      <c r="AU62">
        <v>0</v>
      </c>
      <c r="AV62">
        <v>580</v>
      </c>
      <c r="AW62">
        <v>27</v>
      </c>
      <c r="AX62">
        <v>0</v>
      </c>
      <c r="AY62">
        <v>0</v>
      </c>
      <c r="AZ62">
        <v>607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607</v>
      </c>
      <c r="BI62">
        <v>0</v>
      </c>
      <c r="BJ62">
        <v>0</v>
      </c>
      <c r="BK62">
        <v>0</v>
      </c>
    </row>
    <row r="63" spans="1:63">
      <c r="A63" t="s">
        <v>9</v>
      </c>
      <c r="B63">
        <v>732</v>
      </c>
      <c r="C63">
        <v>5</v>
      </c>
      <c r="D63">
        <v>0</v>
      </c>
      <c r="E63">
        <v>0</v>
      </c>
      <c r="F63">
        <v>732</v>
      </c>
      <c r="G63">
        <v>5</v>
      </c>
      <c r="H63">
        <v>0</v>
      </c>
      <c r="I63">
        <v>0</v>
      </c>
      <c r="J63">
        <v>715</v>
      </c>
      <c r="K63">
        <v>22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713</v>
      </c>
      <c r="S63">
        <v>24</v>
      </c>
      <c r="T63">
        <v>0</v>
      </c>
      <c r="U63">
        <v>0</v>
      </c>
      <c r="V63" t="s">
        <v>9</v>
      </c>
      <c r="W63">
        <v>732</v>
      </c>
      <c r="X63">
        <v>5</v>
      </c>
      <c r="Y63">
        <v>0</v>
      </c>
      <c r="Z63">
        <v>0</v>
      </c>
      <c r="AA63">
        <v>732</v>
      </c>
      <c r="AB63">
        <v>5</v>
      </c>
      <c r="AC63">
        <v>0</v>
      </c>
      <c r="AD63">
        <v>0</v>
      </c>
      <c r="AE63">
        <v>715</v>
      </c>
      <c r="AF63">
        <v>22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713</v>
      </c>
      <c r="AN63">
        <v>24</v>
      </c>
      <c r="AO63">
        <v>0</v>
      </c>
      <c r="AP63">
        <v>0</v>
      </c>
      <c r="AQ63" t="s">
        <v>9</v>
      </c>
      <c r="AR63">
        <v>732</v>
      </c>
      <c r="AS63">
        <v>5</v>
      </c>
      <c r="AT63">
        <v>0</v>
      </c>
      <c r="AU63">
        <v>0</v>
      </c>
      <c r="AV63">
        <v>732</v>
      </c>
      <c r="AW63">
        <v>5</v>
      </c>
      <c r="AX63">
        <v>0</v>
      </c>
      <c r="AY63">
        <v>0</v>
      </c>
      <c r="AZ63">
        <v>737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737</v>
      </c>
      <c r="BI63">
        <v>0</v>
      </c>
      <c r="BJ63">
        <v>0</v>
      </c>
      <c r="BK63">
        <v>0</v>
      </c>
    </row>
    <row r="64" spans="1:63">
      <c r="A64" t="s">
        <v>7</v>
      </c>
      <c r="B64">
        <v>56</v>
      </c>
      <c r="C64">
        <v>1</v>
      </c>
      <c r="D64">
        <v>0</v>
      </c>
      <c r="E64">
        <v>0</v>
      </c>
      <c r="F64">
        <v>56</v>
      </c>
      <c r="G64">
        <v>1</v>
      </c>
      <c r="H64">
        <v>0</v>
      </c>
      <c r="I64">
        <v>0</v>
      </c>
      <c r="J64">
        <v>55</v>
      </c>
      <c r="K64">
        <v>2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54</v>
      </c>
      <c r="S64">
        <v>3</v>
      </c>
      <c r="T64">
        <v>0</v>
      </c>
      <c r="U64">
        <v>0</v>
      </c>
      <c r="V64" t="s">
        <v>7</v>
      </c>
      <c r="W64">
        <v>56</v>
      </c>
      <c r="X64">
        <v>1</v>
      </c>
      <c r="Y64">
        <v>0</v>
      </c>
      <c r="Z64">
        <v>0</v>
      </c>
      <c r="AA64">
        <v>56</v>
      </c>
      <c r="AB64">
        <v>1</v>
      </c>
      <c r="AC64">
        <v>0</v>
      </c>
      <c r="AD64">
        <v>0</v>
      </c>
      <c r="AE64">
        <v>55</v>
      </c>
      <c r="AF64">
        <v>2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54</v>
      </c>
      <c r="AN64">
        <v>3</v>
      </c>
      <c r="AO64">
        <v>0</v>
      </c>
      <c r="AP64">
        <v>0</v>
      </c>
      <c r="AQ64" t="s">
        <v>7</v>
      </c>
      <c r="AR64">
        <v>56</v>
      </c>
      <c r="AS64">
        <v>1</v>
      </c>
      <c r="AT64">
        <v>0</v>
      </c>
      <c r="AU64">
        <v>0</v>
      </c>
      <c r="AV64">
        <v>56</v>
      </c>
      <c r="AW64">
        <v>1</v>
      </c>
      <c r="AX64">
        <v>0</v>
      </c>
      <c r="AY64">
        <v>0</v>
      </c>
      <c r="AZ64">
        <v>57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57</v>
      </c>
      <c r="BI64">
        <v>0</v>
      </c>
      <c r="BJ64">
        <v>0</v>
      </c>
      <c r="BK64">
        <v>0</v>
      </c>
    </row>
    <row r="65" spans="1:63">
      <c r="A65" t="s">
        <v>46</v>
      </c>
      <c r="B65">
        <v>26</v>
      </c>
      <c r="C65">
        <v>1</v>
      </c>
      <c r="D65">
        <v>0</v>
      </c>
      <c r="E65">
        <v>0</v>
      </c>
      <c r="F65">
        <v>26</v>
      </c>
      <c r="G65">
        <v>1</v>
      </c>
      <c r="H65">
        <v>0</v>
      </c>
      <c r="I65">
        <v>0</v>
      </c>
      <c r="J65">
        <v>25</v>
      </c>
      <c r="K65">
        <v>2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24</v>
      </c>
      <c r="S65">
        <v>3</v>
      </c>
      <c r="T65">
        <v>0</v>
      </c>
      <c r="U65">
        <v>0</v>
      </c>
      <c r="V65" t="s">
        <v>46</v>
      </c>
      <c r="W65">
        <v>26</v>
      </c>
      <c r="X65">
        <v>1</v>
      </c>
      <c r="Y65">
        <v>0</v>
      </c>
      <c r="Z65">
        <v>0</v>
      </c>
      <c r="AA65">
        <v>26</v>
      </c>
      <c r="AB65">
        <v>1</v>
      </c>
      <c r="AC65">
        <v>0</v>
      </c>
      <c r="AD65">
        <v>0</v>
      </c>
      <c r="AE65">
        <v>25</v>
      </c>
      <c r="AF65">
        <v>2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24</v>
      </c>
      <c r="AN65">
        <v>3</v>
      </c>
      <c r="AO65">
        <v>0</v>
      </c>
      <c r="AP65">
        <v>0</v>
      </c>
      <c r="AQ65" t="s">
        <v>46</v>
      </c>
      <c r="AR65">
        <v>26</v>
      </c>
      <c r="AS65">
        <v>1</v>
      </c>
      <c r="AT65">
        <v>0</v>
      </c>
      <c r="AU65">
        <v>0</v>
      </c>
      <c r="AV65">
        <v>26</v>
      </c>
      <c r="AW65">
        <v>1</v>
      </c>
      <c r="AX65">
        <v>0</v>
      </c>
      <c r="AY65">
        <v>0</v>
      </c>
      <c r="AZ65">
        <v>27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27</v>
      </c>
      <c r="BI65">
        <v>0</v>
      </c>
      <c r="BJ65">
        <v>0</v>
      </c>
      <c r="BK65">
        <v>0</v>
      </c>
    </row>
    <row r="66" spans="1:63">
      <c r="A66" t="s">
        <v>99</v>
      </c>
      <c r="B66">
        <v>171</v>
      </c>
      <c r="C66">
        <v>4</v>
      </c>
      <c r="D66">
        <v>0</v>
      </c>
      <c r="E66">
        <v>0</v>
      </c>
      <c r="F66">
        <v>171</v>
      </c>
      <c r="G66">
        <v>4</v>
      </c>
      <c r="H66">
        <v>0</v>
      </c>
      <c r="I66">
        <v>0</v>
      </c>
      <c r="J66">
        <v>175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175</v>
      </c>
      <c r="S66">
        <v>0</v>
      </c>
      <c r="T66">
        <v>0</v>
      </c>
      <c r="U66">
        <v>0</v>
      </c>
      <c r="V66" t="s">
        <v>99</v>
      </c>
      <c r="W66">
        <v>171</v>
      </c>
      <c r="X66">
        <v>4</v>
      </c>
      <c r="Y66">
        <v>0</v>
      </c>
      <c r="Z66">
        <v>0</v>
      </c>
      <c r="AA66">
        <v>171</v>
      </c>
      <c r="AB66">
        <v>4</v>
      </c>
      <c r="AC66">
        <v>0</v>
      </c>
      <c r="AD66">
        <v>0</v>
      </c>
      <c r="AE66">
        <v>175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175</v>
      </c>
      <c r="AN66">
        <v>0</v>
      </c>
      <c r="AO66">
        <v>0</v>
      </c>
      <c r="AP66">
        <v>0</v>
      </c>
      <c r="AQ66" t="s">
        <v>99</v>
      </c>
      <c r="AR66">
        <v>171</v>
      </c>
      <c r="AS66">
        <v>4</v>
      </c>
      <c r="AT66">
        <v>0</v>
      </c>
      <c r="AU66">
        <v>0</v>
      </c>
      <c r="AV66">
        <v>171</v>
      </c>
      <c r="AW66">
        <v>4</v>
      </c>
      <c r="AX66">
        <v>0</v>
      </c>
      <c r="AY66">
        <v>0</v>
      </c>
      <c r="AZ66">
        <v>175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175</v>
      </c>
      <c r="BI66">
        <v>0</v>
      </c>
      <c r="BJ66">
        <v>0</v>
      </c>
      <c r="BK66">
        <v>0</v>
      </c>
    </row>
    <row r="67" spans="1:63">
      <c r="A67" t="s">
        <v>96</v>
      </c>
      <c r="B67">
        <v>268</v>
      </c>
      <c r="C67">
        <v>4</v>
      </c>
      <c r="D67">
        <v>0</v>
      </c>
      <c r="E67">
        <v>0</v>
      </c>
      <c r="F67">
        <v>268</v>
      </c>
      <c r="G67">
        <v>4</v>
      </c>
      <c r="H67">
        <v>0</v>
      </c>
      <c r="I67">
        <v>0</v>
      </c>
      <c r="J67">
        <v>266</v>
      </c>
      <c r="K67">
        <v>6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266</v>
      </c>
      <c r="S67">
        <v>6</v>
      </c>
      <c r="T67">
        <v>0</v>
      </c>
      <c r="U67">
        <v>0</v>
      </c>
      <c r="V67" t="s">
        <v>96</v>
      </c>
      <c r="W67">
        <v>268</v>
      </c>
      <c r="X67">
        <v>4</v>
      </c>
      <c r="Y67">
        <v>0</v>
      </c>
      <c r="Z67">
        <v>0</v>
      </c>
      <c r="AA67">
        <v>268</v>
      </c>
      <c r="AB67">
        <v>4</v>
      </c>
      <c r="AC67">
        <v>0</v>
      </c>
      <c r="AD67">
        <v>0</v>
      </c>
      <c r="AE67">
        <v>266</v>
      </c>
      <c r="AF67">
        <v>6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266</v>
      </c>
      <c r="AN67">
        <v>6</v>
      </c>
      <c r="AO67">
        <v>0</v>
      </c>
      <c r="AP67">
        <v>0</v>
      </c>
      <c r="AQ67" t="s">
        <v>96</v>
      </c>
      <c r="AR67">
        <v>268</v>
      </c>
      <c r="AS67">
        <v>4</v>
      </c>
      <c r="AT67">
        <v>0</v>
      </c>
      <c r="AU67">
        <v>0</v>
      </c>
      <c r="AV67">
        <v>268</v>
      </c>
      <c r="AW67">
        <v>4</v>
      </c>
      <c r="AX67">
        <v>0</v>
      </c>
      <c r="AY67">
        <v>0</v>
      </c>
      <c r="AZ67">
        <v>272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272</v>
      </c>
      <c r="BI67">
        <v>0</v>
      </c>
      <c r="BJ67">
        <v>0</v>
      </c>
      <c r="BK67">
        <v>0</v>
      </c>
    </row>
    <row r="68" spans="1:63">
      <c r="A68" t="s">
        <v>13</v>
      </c>
      <c r="B68">
        <v>22</v>
      </c>
      <c r="C68">
        <v>0</v>
      </c>
      <c r="D68">
        <v>0</v>
      </c>
      <c r="E68">
        <v>0</v>
      </c>
      <c r="F68">
        <v>22</v>
      </c>
      <c r="G68">
        <v>0</v>
      </c>
      <c r="H68">
        <v>0</v>
      </c>
      <c r="I68">
        <v>0</v>
      </c>
      <c r="J68">
        <v>22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22</v>
      </c>
      <c r="S68">
        <v>0</v>
      </c>
      <c r="T68">
        <v>0</v>
      </c>
      <c r="U68">
        <v>0</v>
      </c>
      <c r="V68" t="s">
        <v>13</v>
      </c>
      <c r="W68">
        <v>22</v>
      </c>
      <c r="X68">
        <v>0</v>
      </c>
      <c r="Y68">
        <v>0</v>
      </c>
      <c r="Z68">
        <v>0</v>
      </c>
      <c r="AA68">
        <v>22</v>
      </c>
      <c r="AB68">
        <v>0</v>
      </c>
      <c r="AC68">
        <v>0</v>
      </c>
      <c r="AD68">
        <v>0</v>
      </c>
      <c r="AE68">
        <v>22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22</v>
      </c>
      <c r="AN68">
        <v>0</v>
      </c>
      <c r="AO68">
        <v>0</v>
      </c>
      <c r="AP68">
        <v>0</v>
      </c>
      <c r="AQ68" t="s">
        <v>13</v>
      </c>
      <c r="AR68">
        <v>22</v>
      </c>
      <c r="AS68">
        <v>0</v>
      </c>
      <c r="AT68">
        <v>0</v>
      </c>
      <c r="AU68">
        <v>0</v>
      </c>
      <c r="AV68">
        <v>22</v>
      </c>
      <c r="AW68">
        <v>0</v>
      </c>
      <c r="AX68">
        <v>0</v>
      </c>
      <c r="AY68">
        <v>0</v>
      </c>
      <c r="AZ68">
        <v>22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22</v>
      </c>
      <c r="BI68">
        <v>0</v>
      </c>
      <c r="BJ68">
        <v>0</v>
      </c>
      <c r="BK68">
        <v>0</v>
      </c>
    </row>
    <row r="69" spans="1:63">
      <c r="A69" t="s">
        <v>93</v>
      </c>
      <c r="B69">
        <v>21</v>
      </c>
      <c r="C69">
        <v>0</v>
      </c>
      <c r="D69">
        <v>0</v>
      </c>
      <c r="E69">
        <v>0</v>
      </c>
      <c r="F69">
        <v>21</v>
      </c>
      <c r="G69">
        <v>0</v>
      </c>
      <c r="H69">
        <v>0</v>
      </c>
      <c r="I69">
        <v>0</v>
      </c>
      <c r="J69">
        <v>21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21</v>
      </c>
      <c r="S69">
        <v>0</v>
      </c>
      <c r="T69">
        <v>0</v>
      </c>
      <c r="U69">
        <v>0</v>
      </c>
      <c r="V69" t="s">
        <v>93</v>
      </c>
      <c r="W69">
        <v>21</v>
      </c>
      <c r="X69">
        <v>0</v>
      </c>
      <c r="Y69">
        <v>0</v>
      </c>
      <c r="Z69">
        <v>0</v>
      </c>
      <c r="AA69">
        <v>21</v>
      </c>
      <c r="AB69">
        <v>0</v>
      </c>
      <c r="AC69">
        <v>0</v>
      </c>
      <c r="AD69">
        <v>0</v>
      </c>
      <c r="AE69">
        <v>21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21</v>
      </c>
      <c r="AN69">
        <v>0</v>
      </c>
      <c r="AO69">
        <v>0</v>
      </c>
      <c r="AP69">
        <v>0</v>
      </c>
      <c r="AQ69" t="s">
        <v>93</v>
      </c>
      <c r="AR69">
        <v>21</v>
      </c>
      <c r="AS69">
        <v>0</v>
      </c>
      <c r="AT69">
        <v>0</v>
      </c>
      <c r="AU69">
        <v>0</v>
      </c>
      <c r="AV69">
        <v>21</v>
      </c>
      <c r="AW69">
        <v>0</v>
      </c>
      <c r="AX69">
        <v>0</v>
      </c>
      <c r="AY69">
        <v>0</v>
      </c>
      <c r="AZ69">
        <v>21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21</v>
      </c>
      <c r="BI69">
        <v>0</v>
      </c>
      <c r="BJ69">
        <v>0</v>
      </c>
      <c r="BK69">
        <v>0</v>
      </c>
    </row>
    <row r="70" spans="1:63">
      <c r="A70" t="s">
        <v>48</v>
      </c>
      <c r="B70">
        <v>117</v>
      </c>
      <c r="C70">
        <v>3</v>
      </c>
      <c r="D70">
        <v>0</v>
      </c>
      <c r="E70">
        <v>0</v>
      </c>
      <c r="F70">
        <v>117</v>
      </c>
      <c r="G70">
        <v>3</v>
      </c>
      <c r="H70">
        <v>0</v>
      </c>
      <c r="I70">
        <v>0</v>
      </c>
      <c r="J70">
        <v>120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120</v>
      </c>
      <c r="S70">
        <v>0</v>
      </c>
      <c r="T70">
        <v>0</v>
      </c>
      <c r="U70">
        <v>0</v>
      </c>
      <c r="V70" t="s">
        <v>48</v>
      </c>
      <c r="W70">
        <v>117</v>
      </c>
      <c r="X70">
        <v>3</v>
      </c>
      <c r="Y70">
        <v>0</v>
      </c>
      <c r="Z70">
        <v>0</v>
      </c>
      <c r="AA70">
        <v>117</v>
      </c>
      <c r="AB70">
        <v>3</v>
      </c>
      <c r="AC70">
        <v>0</v>
      </c>
      <c r="AD70">
        <v>0</v>
      </c>
      <c r="AE70">
        <v>120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120</v>
      </c>
      <c r="AN70">
        <v>0</v>
      </c>
      <c r="AO70">
        <v>0</v>
      </c>
      <c r="AP70">
        <v>0</v>
      </c>
      <c r="AQ70" t="s">
        <v>48</v>
      </c>
      <c r="AR70">
        <v>117</v>
      </c>
      <c r="AS70">
        <v>3</v>
      </c>
      <c r="AT70">
        <v>0</v>
      </c>
      <c r="AU70">
        <v>0</v>
      </c>
      <c r="AV70">
        <v>117</v>
      </c>
      <c r="AW70">
        <v>3</v>
      </c>
      <c r="AX70">
        <v>0</v>
      </c>
      <c r="AY70">
        <v>0</v>
      </c>
      <c r="AZ70">
        <v>120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120</v>
      </c>
      <c r="BI70">
        <v>0</v>
      </c>
      <c r="BJ70">
        <v>0</v>
      </c>
      <c r="BK70">
        <v>0</v>
      </c>
    </row>
    <row r="71" spans="1:63">
      <c r="A71" t="s">
        <v>103</v>
      </c>
      <c r="B71">
        <v>158</v>
      </c>
      <c r="C71">
        <v>4</v>
      </c>
      <c r="D71">
        <v>0</v>
      </c>
      <c r="E71">
        <v>0</v>
      </c>
      <c r="F71">
        <v>158</v>
      </c>
      <c r="G71">
        <v>4</v>
      </c>
      <c r="H71">
        <v>0</v>
      </c>
      <c r="I71">
        <v>0</v>
      </c>
      <c r="J71">
        <v>162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162</v>
      </c>
      <c r="S71">
        <v>0</v>
      </c>
      <c r="T71">
        <v>0</v>
      </c>
      <c r="U71">
        <v>0</v>
      </c>
      <c r="V71" t="s">
        <v>103</v>
      </c>
      <c r="W71">
        <v>158</v>
      </c>
      <c r="X71">
        <v>4</v>
      </c>
      <c r="Y71">
        <v>0</v>
      </c>
      <c r="Z71">
        <v>0</v>
      </c>
      <c r="AA71">
        <v>158</v>
      </c>
      <c r="AB71">
        <v>4</v>
      </c>
      <c r="AC71">
        <v>0</v>
      </c>
      <c r="AD71">
        <v>0</v>
      </c>
      <c r="AE71">
        <v>162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162</v>
      </c>
      <c r="AN71">
        <v>0</v>
      </c>
      <c r="AO71">
        <v>0</v>
      </c>
      <c r="AP71">
        <v>0</v>
      </c>
      <c r="AQ71" t="s">
        <v>103</v>
      </c>
      <c r="AR71">
        <v>158</v>
      </c>
      <c r="AS71">
        <v>4</v>
      </c>
      <c r="AT71">
        <v>0</v>
      </c>
      <c r="AU71">
        <v>0</v>
      </c>
      <c r="AV71">
        <v>158</v>
      </c>
      <c r="AW71">
        <v>4</v>
      </c>
      <c r="AX71">
        <v>0</v>
      </c>
      <c r="AY71">
        <v>0</v>
      </c>
      <c r="AZ71">
        <v>162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162</v>
      </c>
      <c r="BI71">
        <v>0</v>
      </c>
      <c r="BJ71">
        <v>0</v>
      </c>
      <c r="BK71">
        <v>0</v>
      </c>
    </row>
    <row r="72" spans="1:63">
      <c r="A72" t="s">
        <v>31</v>
      </c>
      <c r="B72">
        <v>254</v>
      </c>
      <c r="C72">
        <v>4</v>
      </c>
      <c r="D72">
        <v>0</v>
      </c>
      <c r="E72">
        <v>0</v>
      </c>
      <c r="F72">
        <v>254</v>
      </c>
      <c r="G72">
        <v>4</v>
      </c>
      <c r="H72">
        <v>0</v>
      </c>
      <c r="I72">
        <v>0</v>
      </c>
      <c r="J72">
        <v>258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258</v>
      </c>
      <c r="S72">
        <v>0</v>
      </c>
      <c r="T72">
        <v>0</v>
      </c>
      <c r="U72">
        <v>0</v>
      </c>
      <c r="V72" t="s">
        <v>31</v>
      </c>
      <c r="W72">
        <v>254</v>
      </c>
      <c r="X72">
        <v>4</v>
      </c>
      <c r="Y72">
        <v>0</v>
      </c>
      <c r="Z72">
        <v>0</v>
      </c>
      <c r="AA72">
        <v>254</v>
      </c>
      <c r="AB72">
        <v>4</v>
      </c>
      <c r="AC72">
        <v>0</v>
      </c>
      <c r="AD72">
        <v>0</v>
      </c>
      <c r="AE72">
        <v>258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258</v>
      </c>
      <c r="AN72">
        <v>0</v>
      </c>
      <c r="AO72">
        <v>0</v>
      </c>
      <c r="AP72">
        <v>0</v>
      </c>
      <c r="AQ72" t="s">
        <v>31</v>
      </c>
      <c r="AR72">
        <v>254</v>
      </c>
      <c r="AS72">
        <v>4</v>
      </c>
      <c r="AT72">
        <v>0</v>
      </c>
      <c r="AU72">
        <v>0</v>
      </c>
      <c r="AV72">
        <v>254</v>
      </c>
      <c r="AW72">
        <v>4</v>
      </c>
      <c r="AX72">
        <v>0</v>
      </c>
      <c r="AY72">
        <v>0</v>
      </c>
      <c r="AZ72">
        <v>258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258</v>
      </c>
      <c r="BI72">
        <v>0</v>
      </c>
      <c r="BJ72">
        <v>0</v>
      </c>
      <c r="BK72">
        <v>0</v>
      </c>
    </row>
    <row r="73" spans="1:63">
      <c r="A73" t="s">
        <v>33</v>
      </c>
      <c r="B73">
        <v>294</v>
      </c>
      <c r="C73">
        <v>20</v>
      </c>
      <c r="D73">
        <v>0</v>
      </c>
      <c r="E73">
        <v>0</v>
      </c>
      <c r="F73">
        <v>294</v>
      </c>
      <c r="G73">
        <v>20</v>
      </c>
      <c r="H73">
        <v>0</v>
      </c>
      <c r="I73">
        <v>0</v>
      </c>
      <c r="J73">
        <v>314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314</v>
      </c>
      <c r="S73">
        <v>0</v>
      </c>
      <c r="T73">
        <v>0</v>
      </c>
      <c r="U73">
        <v>0</v>
      </c>
      <c r="V73" t="s">
        <v>33</v>
      </c>
      <c r="W73">
        <v>294</v>
      </c>
      <c r="X73">
        <v>20</v>
      </c>
      <c r="Y73">
        <v>0</v>
      </c>
      <c r="Z73">
        <v>0</v>
      </c>
      <c r="AA73">
        <v>294</v>
      </c>
      <c r="AB73">
        <v>20</v>
      </c>
      <c r="AC73">
        <v>0</v>
      </c>
      <c r="AD73">
        <v>0</v>
      </c>
      <c r="AE73">
        <v>314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314</v>
      </c>
      <c r="AN73">
        <v>0</v>
      </c>
      <c r="AO73">
        <v>0</v>
      </c>
      <c r="AP73">
        <v>0</v>
      </c>
      <c r="AQ73" t="s">
        <v>33</v>
      </c>
      <c r="AR73">
        <v>294</v>
      </c>
      <c r="AS73">
        <v>20</v>
      </c>
      <c r="AT73">
        <v>0</v>
      </c>
      <c r="AU73">
        <v>0</v>
      </c>
      <c r="AV73">
        <v>294</v>
      </c>
      <c r="AW73">
        <v>20</v>
      </c>
      <c r="AX73">
        <v>0</v>
      </c>
      <c r="AY73">
        <v>0</v>
      </c>
      <c r="AZ73">
        <v>314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314</v>
      </c>
      <c r="BI73">
        <v>0</v>
      </c>
      <c r="BJ73">
        <v>0</v>
      </c>
      <c r="BK73">
        <v>0</v>
      </c>
    </row>
    <row r="74" spans="1:63">
      <c r="A74" t="s">
        <v>75</v>
      </c>
      <c r="B74">
        <v>300</v>
      </c>
      <c r="C74">
        <v>12</v>
      </c>
      <c r="D74">
        <v>0</v>
      </c>
      <c r="E74">
        <v>0</v>
      </c>
      <c r="F74">
        <v>300</v>
      </c>
      <c r="G74">
        <v>12</v>
      </c>
      <c r="H74">
        <v>0</v>
      </c>
      <c r="I74">
        <v>0</v>
      </c>
      <c r="J74">
        <v>312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312</v>
      </c>
      <c r="S74">
        <v>0</v>
      </c>
      <c r="T74">
        <v>0</v>
      </c>
      <c r="U74">
        <v>0</v>
      </c>
      <c r="V74" t="s">
        <v>75</v>
      </c>
      <c r="W74">
        <v>300</v>
      </c>
      <c r="X74">
        <v>12</v>
      </c>
      <c r="Y74">
        <v>0</v>
      </c>
      <c r="Z74">
        <v>0</v>
      </c>
      <c r="AA74">
        <v>300</v>
      </c>
      <c r="AB74">
        <v>12</v>
      </c>
      <c r="AC74">
        <v>0</v>
      </c>
      <c r="AD74">
        <v>0</v>
      </c>
      <c r="AE74">
        <v>312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312</v>
      </c>
      <c r="AN74">
        <v>0</v>
      </c>
      <c r="AO74">
        <v>0</v>
      </c>
      <c r="AP74">
        <v>0</v>
      </c>
      <c r="AQ74" t="s">
        <v>75</v>
      </c>
      <c r="AR74">
        <v>300</v>
      </c>
      <c r="AS74">
        <v>12</v>
      </c>
      <c r="AT74">
        <v>0</v>
      </c>
      <c r="AU74">
        <v>0</v>
      </c>
      <c r="AV74">
        <v>300</v>
      </c>
      <c r="AW74">
        <v>12</v>
      </c>
      <c r="AX74">
        <v>0</v>
      </c>
      <c r="AY74">
        <v>0</v>
      </c>
      <c r="AZ74">
        <v>312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312</v>
      </c>
      <c r="BI74">
        <v>0</v>
      </c>
      <c r="BJ74">
        <v>0</v>
      </c>
      <c r="BK74">
        <v>0</v>
      </c>
    </row>
    <row r="75" spans="1:63">
      <c r="A75" t="s">
        <v>23</v>
      </c>
      <c r="B75">
        <v>89</v>
      </c>
      <c r="C75">
        <v>12</v>
      </c>
      <c r="D75">
        <v>0</v>
      </c>
      <c r="E75">
        <v>0</v>
      </c>
      <c r="F75">
        <v>89</v>
      </c>
      <c r="G75">
        <v>12</v>
      </c>
      <c r="H75">
        <v>0</v>
      </c>
      <c r="I75">
        <v>0</v>
      </c>
      <c r="J75">
        <v>240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101</v>
      </c>
      <c r="S75">
        <v>0</v>
      </c>
      <c r="T75">
        <v>0</v>
      </c>
      <c r="U75">
        <v>0</v>
      </c>
      <c r="V75" t="s">
        <v>23</v>
      </c>
      <c r="W75">
        <v>89</v>
      </c>
      <c r="X75">
        <v>12</v>
      </c>
      <c r="Y75">
        <v>0</v>
      </c>
      <c r="Z75">
        <v>0</v>
      </c>
      <c r="AA75">
        <v>89</v>
      </c>
      <c r="AB75">
        <v>12</v>
      </c>
      <c r="AC75">
        <v>0</v>
      </c>
      <c r="AD75">
        <v>0</v>
      </c>
      <c r="AE75">
        <v>240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101</v>
      </c>
      <c r="AN75">
        <v>0</v>
      </c>
      <c r="AO75">
        <v>0</v>
      </c>
      <c r="AP75">
        <v>0</v>
      </c>
      <c r="AQ75" t="s">
        <v>23</v>
      </c>
      <c r="AR75">
        <v>89</v>
      </c>
      <c r="AS75">
        <v>12</v>
      </c>
      <c r="AT75">
        <v>0</v>
      </c>
      <c r="AU75">
        <v>0</v>
      </c>
      <c r="AV75">
        <v>89</v>
      </c>
      <c r="AW75">
        <v>12</v>
      </c>
      <c r="AX75">
        <v>0</v>
      </c>
      <c r="AY75">
        <v>0</v>
      </c>
      <c r="AZ75">
        <v>240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101</v>
      </c>
      <c r="BI75">
        <v>0</v>
      </c>
      <c r="BJ75">
        <v>0</v>
      </c>
      <c r="BK75">
        <v>0</v>
      </c>
    </row>
    <row r="76" spans="1:63">
      <c r="A76" t="s">
        <v>102</v>
      </c>
      <c r="B76">
        <v>62</v>
      </c>
      <c r="C76">
        <v>8</v>
      </c>
      <c r="D76">
        <v>0</v>
      </c>
      <c r="E76">
        <v>0</v>
      </c>
      <c r="F76">
        <v>62</v>
      </c>
      <c r="G76">
        <v>8</v>
      </c>
      <c r="H76">
        <v>0</v>
      </c>
      <c r="I76">
        <v>0</v>
      </c>
      <c r="J76">
        <v>70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70</v>
      </c>
      <c r="S76">
        <v>0</v>
      </c>
      <c r="T76">
        <v>0</v>
      </c>
      <c r="U76">
        <v>0</v>
      </c>
      <c r="V76" t="s">
        <v>102</v>
      </c>
      <c r="W76">
        <v>62</v>
      </c>
      <c r="X76">
        <v>8</v>
      </c>
      <c r="Y76">
        <v>0</v>
      </c>
      <c r="Z76">
        <v>0</v>
      </c>
      <c r="AA76">
        <v>62</v>
      </c>
      <c r="AB76">
        <v>8</v>
      </c>
      <c r="AC76">
        <v>0</v>
      </c>
      <c r="AD76">
        <v>0</v>
      </c>
      <c r="AE76">
        <v>70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70</v>
      </c>
      <c r="AN76">
        <v>0</v>
      </c>
      <c r="AO76">
        <v>0</v>
      </c>
      <c r="AP76">
        <v>0</v>
      </c>
      <c r="AQ76" t="s">
        <v>102</v>
      </c>
      <c r="AR76">
        <v>62</v>
      </c>
      <c r="AS76">
        <v>8</v>
      </c>
      <c r="AT76">
        <v>0</v>
      </c>
      <c r="AU76">
        <v>0</v>
      </c>
      <c r="AV76">
        <v>62</v>
      </c>
      <c r="AW76">
        <v>8</v>
      </c>
      <c r="AX76">
        <v>0</v>
      </c>
      <c r="AY76">
        <v>0</v>
      </c>
      <c r="AZ76">
        <v>70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70</v>
      </c>
      <c r="BI76">
        <v>0</v>
      </c>
      <c r="BJ76">
        <v>0</v>
      </c>
      <c r="BK76">
        <v>0</v>
      </c>
    </row>
    <row r="77" spans="1:63">
      <c r="A77" t="s">
        <v>67</v>
      </c>
      <c r="B77">
        <v>147</v>
      </c>
      <c r="C77">
        <v>0</v>
      </c>
      <c r="D77">
        <v>0</v>
      </c>
      <c r="E77">
        <v>0</v>
      </c>
      <c r="F77">
        <v>147</v>
      </c>
      <c r="G77">
        <v>0</v>
      </c>
      <c r="H77">
        <v>0</v>
      </c>
      <c r="I77">
        <v>0</v>
      </c>
      <c r="J77">
        <v>147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147</v>
      </c>
      <c r="S77">
        <v>0</v>
      </c>
      <c r="T77">
        <v>0</v>
      </c>
      <c r="U77">
        <v>0</v>
      </c>
      <c r="V77" t="s">
        <v>67</v>
      </c>
      <c r="W77">
        <v>147</v>
      </c>
      <c r="X77">
        <v>0</v>
      </c>
      <c r="Y77">
        <v>0</v>
      </c>
      <c r="Z77">
        <v>0</v>
      </c>
      <c r="AA77">
        <v>147</v>
      </c>
      <c r="AB77">
        <v>0</v>
      </c>
      <c r="AC77">
        <v>0</v>
      </c>
      <c r="AD77">
        <v>0</v>
      </c>
      <c r="AE77">
        <v>147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147</v>
      </c>
      <c r="AN77">
        <v>0</v>
      </c>
      <c r="AO77">
        <v>0</v>
      </c>
      <c r="AP77">
        <v>0</v>
      </c>
      <c r="AQ77" t="s">
        <v>67</v>
      </c>
      <c r="AR77">
        <v>147</v>
      </c>
      <c r="AS77">
        <v>0</v>
      </c>
      <c r="AT77">
        <v>0</v>
      </c>
      <c r="AU77">
        <v>0</v>
      </c>
      <c r="AV77">
        <v>147</v>
      </c>
      <c r="AW77">
        <v>0</v>
      </c>
      <c r="AX77">
        <v>0</v>
      </c>
      <c r="AY77">
        <v>0</v>
      </c>
      <c r="AZ77">
        <v>147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147</v>
      </c>
      <c r="BI77">
        <v>0</v>
      </c>
      <c r="BJ77">
        <v>0</v>
      </c>
      <c r="BK77">
        <v>0</v>
      </c>
    </row>
    <row r="78" spans="1:63">
      <c r="A78" t="s">
        <v>52</v>
      </c>
      <c r="B78">
        <v>94</v>
      </c>
      <c r="C78">
        <v>19</v>
      </c>
      <c r="D78">
        <v>0</v>
      </c>
      <c r="E78">
        <v>0</v>
      </c>
      <c r="F78">
        <v>94</v>
      </c>
      <c r="G78">
        <v>19</v>
      </c>
      <c r="H78">
        <v>0</v>
      </c>
      <c r="I78">
        <v>0</v>
      </c>
      <c r="J78">
        <v>113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113</v>
      </c>
      <c r="S78">
        <v>0</v>
      </c>
      <c r="T78">
        <v>0</v>
      </c>
      <c r="U78">
        <v>0</v>
      </c>
      <c r="V78" t="s">
        <v>52</v>
      </c>
      <c r="W78">
        <v>94</v>
      </c>
      <c r="X78">
        <v>19</v>
      </c>
      <c r="Y78">
        <v>0</v>
      </c>
      <c r="Z78">
        <v>0</v>
      </c>
      <c r="AA78">
        <v>94</v>
      </c>
      <c r="AB78">
        <v>19</v>
      </c>
      <c r="AC78">
        <v>0</v>
      </c>
      <c r="AD78">
        <v>0</v>
      </c>
      <c r="AE78">
        <v>113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113</v>
      </c>
      <c r="AN78">
        <v>0</v>
      </c>
      <c r="AO78">
        <v>0</v>
      </c>
      <c r="AP78">
        <v>0</v>
      </c>
      <c r="AQ78" t="s">
        <v>52</v>
      </c>
      <c r="AR78">
        <v>94</v>
      </c>
      <c r="AS78">
        <v>19</v>
      </c>
      <c r="AT78">
        <v>0</v>
      </c>
      <c r="AU78">
        <v>0</v>
      </c>
      <c r="AV78">
        <v>94</v>
      </c>
      <c r="AW78">
        <v>19</v>
      </c>
      <c r="AX78">
        <v>0</v>
      </c>
      <c r="AY78">
        <v>0</v>
      </c>
      <c r="AZ78">
        <v>113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113</v>
      </c>
      <c r="BI78">
        <v>0</v>
      </c>
      <c r="BJ78">
        <v>0</v>
      </c>
      <c r="BK78">
        <v>0</v>
      </c>
    </row>
    <row r="79" spans="1:63">
      <c r="A79" t="s">
        <v>74</v>
      </c>
      <c r="B79">
        <v>13</v>
      </c>
      <c r="C79">
        <v>6</v>
      </c>
      <c r="D79">
        <v>0</v>
      </c>
      <c r="E79">
        <v>0</v>
      </c>
      <c r="F79">
        <v>13</v>
      </c>
      <c r="G79">
        <v>6</v>
      </c>
      <c r="H79">
        <v>0</v>
      </c>
      <c r="I79">
        <v>0</v>
      </c>
      <c r="J79">
        <v>17</v>
      </c>
      <c r="K79">
        <v>2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16</v>
      </c>
      <c r="S79">
        <v>3</v>
      </c>
      <c r="T79">
        <v>0</v>
      </c>
      <c r="U79">
        <v>0</v>
      </c>
      <c r="V79" t="s">
        <v>74</v>
      </c>
      <c r="W79">
        <v>13</v>
      </c>
      <c r="X79">
        <v>6</v>
      </c>
      <c r="Y79">
        <v>0</v>
      </c>
      <c r="Z79">
        <v>0</v>
      </c>
      <c r="AA79">
        <v>13</v>
      </c>
      <c r="AB79">
        <v>6</v>
      </c>
      <c r="AC79">
        <v>0</v>
      </c>
      <c r="AD79">
        <v>0</v>
      </c>
      <c r="AE79">
        <v>17</v>
      </c>
      <c r="AF79">
        <v>2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16</v>
      </c>
      <c r="AN79">
        <v>3</v>
      </c>
      <c r="AO79">
        <v>0</v>
      </c>
      <c r="AP79">
        <v>0</v>
      </c>
      <c r="AQ79" t="s">
        <v>74</v>
      </c>
      <c r="AR79">
        <v>13</v>
      </c>
      <c r="AS79">
        <v>6</v>
      </c>
      <c r="AT79">
        <v>0</v>
      </c>
      <c r="AU79">
        <v>0</v>
      </c>
      <c r="AV79">
        <v>13</v>
      </c>
      <c r="AW79">
        <v>6</v>
      </c>
      <c r="AX79">
        <v>0</v>
      </c>
      <c r="AY79">
        <v>0</v>
      </c>
      <c r="AZ79">
        <v>19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19</v>
      </c>
      <c r="BI79">
        <v>0</v>
      </c>
      <c r="BJ79">
        <v>0</v>
      </c>
      <c r="BK79">
        <v>0</v>
      </c>
    </row>
    <row r="80" spans="1:63">
      <c r="A80" t="s">
        <v>1</v>
      </c>
      <c r="B80">
        <v>8</v>
      </c>
      <c r="C80">
        <v>0</v>
      </c>
      <c r="D80">
        <v>0</v>
      </c>
      <c r="E80">
        <v>0</v>
      </c>
      <c r="F80">
        <v>8</v>
      </c>
      <c r="G80">
        <v>0</v>
      </c>
      <c r="H80">
        <v>0</v>
      </c>
      <c r="I80">
        <v>0</v>
      </c>
      <c r="J80">
        <v>10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8</v>
      </c>
      <c r="S80">
        <v>0</v>
      </c>
      <c r="T80">
        <v>0</v>
      </c>
      <c r="U80">
        <v>0</v>
      </c>
      <c r="V80" t="s">
        <v>1</v>
      </c>
      <c r="W80">
        <v>8</v>
      </c>
      <c r="X80">
        <v>0</v>
      </c>
      <c r="Y80">
        <v>0</v>
      </c>
      <c r="Z80">
        <v>0</v>
      </c>
      <c r="AA80">
        <v>8</v>
      </c>
      <c r="AB80">
        <v>0</v>
      </c>
      <c r="AC80">
        <v>0</v>
      </c>
      <c r="AD80">
        <v>0</v>
      </c>
      <c r="AE80">
        <v>10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8</v>
      </c>
      <c r="AN80">
        <v>0</v>
      </c>
      <c r="AO80">
        <v>0</v>
      </c>
      <c r="AP80">
        <v>0</v>
      </c>
      <c r="AQ80" t="s">
        <v>1</v>
      </c>
      <c r="AR80">
        <v>8</v>
      </c>
      <c r="AS80">
        <v>0</v>
      </c>
      <c r="AT80">
        <v>0</v>
      </c>
      <c r="AU80">
        <v>0</v>
      </c>
      <c r="AV80">
        <v>8</v>
      </c>
      <c r="AW80">
        <v>0</v>
      </c>
      <c r="AX80">
        <v>0</v>
      </c>
      <c r="AY80">
        <v>0</v>
      </c>
      <c r="AZ80">
        <v>10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8</v>
      </c>
      <c r="BI80">
        <v>0</v>
      </c>
      <c r="BJ80">
        <v>0</v>
      </c>
      <c r="BK80">
        <v>0</v>
      </c>
    </row>
    <row r="81" spans="1:63">
      <c r="A81" t="s">
        <v>0</v>
      </c>
      <c r="B81">
        <v>52</v>
      </c>
      <c r="C81">
        <v>42</v>
      </c>
      <c r="D81">
        <v>0</v>
      </c>
      <c r="E81">
        <v>0</v>
      </c>
      <c r="F81">
        <v>52</v>
      </c>
      <c r="G81">
        <v>42</v>
      </c>
      <c r="H81">
        <v>0</v>
      </c>
      <c r="I81">
        <v>0</v>
      </c>
      <c r="J81">
        <v>94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94</v>
      </c>
      <c r="S81">
        <v>0</v>
      </c>
      <c r="T81">
        <v>0</v>
      </c>
      <c r="U81">
        <v>0</v>
      </c>
      <c r="V81" t="s">
        <v>0</v>
      </c>
      <c r="W81">
        <v>52</v>
      </c>
      <c r="X81">
        <v>42</v>
      </c>
      <c r="Y81">
        <v>0</v>
      </c>
      <c r="Z81">
        <v>0</v>
      </c>
      <c r="AA81">
        <v>52</v>
      </c>
      <c r="AB81">
        <v>42</v>
      </c>
      <c r="AC81">
        <v>0</v>
      </c>
      <c r="AD81">
        <v>0</v>
      </c>
      <c r="AE81">
        <v>94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94</v>
      </c>
      <c r="AN81">
        <v>0</v>
      </c>
      <c r="AO81">
        <v>0</v>
      </c>
      <c r="AP81">
        <v>0</v>
      </c>
      <c r="AQ81" t="s">
        <v>0</v>
      </c>
      <c r="AR81">
        <v>52</v>
      </c>
      <c r="AS81">
        <v>42</v>
      </c>
      <c r="AT81">
        <v>0</v>
      </c>
      <c r="AU81">
        <v>0</v>
      </c>
      <c r="AV81">
        <v>52</v>
      </c>
      <c r="AW81">
        <v>42</v>
      </c>
      <c r="AX81">
        <v>0</v>
      </c>
      <c r="AY81">
        <v>0</v>
      </c>
      <c r="AZ81">
        <v>94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94</v>
      </c>
      <c r="BI81">
        <v>0</v>
      </c>
      <c r="BJ81">
        <v>0</v>
      </c>
      <c r="BK81">
        <v>0</v>
      </c>
    </row>
    <row r="82" spans="1:63">
      <c r="A82" t="s">
        <v>90</v>
      </c>
      <c r="B82">
        <v>5</v>
      </c>
      <c r="C82">
        <v>0</v>
      </c>
      <c r="D82">
        <v>0</v>
      </c>
      <c r="E82">
        <v>0</v>
      </c>
      <c r="F82">
        <v>5</v>
      </c>
      <c r="G82">
        <v>0</v>
      </c>
      <c r="H82">
        <v>0</v>
      </c>
      <c r="I82">
        <v>0</v>
      </c>
      <c r="J82">
        <v>5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5</v>
      </c>
      <c r="S82">
        <v>0</v>
      </c>
      <c r="T82">
        <v>0</v>
      </c>
      <c r="U82">
        <v>0</v>
      </c>
      <c r="V82" t="s">
        <v>90</v>
      </c>
      <c r="W82">
        <v>5</v>
      </c>
      <c r="X82">
        <v>0</v>
      </c>
      <c r="Y82">
        <v>0</v>
      </c>
      <c r="Z82">
        <v>0</v>
      </c>
      <c r="AA82">
        <v>5</v>
      </c>
      <c r="AB82">
        <v>0</v>
      </c>
      <c r="AC82">
        <v>0</v>
      </c>
      <c r="AD82">
        <v>0</v>
      </c>
      <c r="AE82">
        <v>5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5</v>
      </c>
      <c r="AN82">
        <v>0</v>
      </c>
      <c r="AO82">
        <v>0</v>
      </c>
      <c r="AP82">
        <v>0</v>
      </c>
      <c r="AQ82" t="s">
        <v>90</v>
      </c>
      <c r="AR82">
        <v>5</v>
      </c>
      <c r="AS82">
        <v>0</v>
      </c>
      <c r="AT82">
        <v>0</v>
      </c>
      <c r="AU82">
        <v>0</v>
      </c>
      <c r="AV82">
        <v>5</v>
      </c>
      <c r="AW82">
        <v>0</v>
      </c>
      <c r="AX82">
        <v>0</v>
      </c>
      <c r="AY82">
        <v>0</v>
      </c>
      <c r="AZ82">
        <v>5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5</v>
      </c>
      <c r="BI82">
        <v>0</v>
      </c>
      <c r="BJ82">
        <v>0</v>
      </c>
      <c r="BK82">
        <v>0</v>
      </c>
    </row>
    <row r="83" spans="1:63">
      <c r="A83" t="s">
        <v>65</v>
      </c>
      <c r="B83">
        <v>50</v>
      </c>
      <c r="C83">
        <v>0</v>
      </c>
      <c r="D83">
        <v>0</v>
      </c>
      <c r="E83">
        <v>0</v>
      </c>
      <c r="F83">
        <v>50</v>
      </c>
      <c r="G83">
        <v>0</v>
      </c>
      <c r="H83">
        <v>0</v>
      </c>
      <c r="I83">
        <v>0</v>
      </c>
      <c r="J83">
        <v>50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50</v>
      </c>
      <c r="S83">
        <v>0</v>
      </c>
      <c r="T83">
        <v>0</v>
      </c>
      <c r="U83">
        <v>0</v>
      </c>
      <c r="V83" t="s">
        <v>65</v>
      </c>
      <c r="W83">
        <v>50</v>
      </c>
      <c r="X83">
        <v>0</v>
      </c>
      <c r="Y83">
        <v>0</v>
      </c>
      <c r="Z83">
        <v>0</v>
      </c>
      <c r="AA83">
        <v>50</v>
      </c>
      <c r="AB83">
        <v>0</v>
      </c>
      <c r="AC83">
        <v>0</v>
      </c>
      <c r="AD83">
        <v>0</v>
      </c>
      <c r="AE83">
        <v>50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50</v>
      </c>
      <c r="AN83">
        <v>0</v>
      </c>
      <c r="AO83">
        <v>0</v>
      </c>
      <c r="AP83">
        <v>0</v>
      </c>
      <c r="AQ83" t="s">
        <v>65</v>
      </c>
      <c r="AR83">
        <v>50</v>
      </c>
      <c r="AS83">
        <v>0</v>
      </c>
      <c r="AT83">
        <v>0</v>
      </c>
      <c r="AU83">
        <v>0</v>
      </c>
      <c r="AV83">
        <v>50</v>
      </c>
      <c r="AW83">
        <v>0</v>
      </c>
      <c r="AX83">
        <v>0</v>
      </c>
      <c r="AY83">
        <v>0</v>
      </c>
      <c r="AZ83">
        <v>50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50</v>
      </c>
      <c r="BI83">
        <v>0</v>
      </c>
      <c r="BJ83">
        <v>0</v>
      </c>
      <c r="BK83">
        <v>0</v>
      </c>
    </row>
    <row r="84" spans="1:63">
      <c r="A84" t="s">
        <v>86</v>
      </c>
      <c r="B84">
        <v>33</v>
      </c>
      <c r="C84">
        <v>0</v>
      </c>
      <c r="D84">
        <v>0</v>
      </c>
      <c r="E84">
        <v>0</v>
      </c>
      <c r="F84">
        <v>33</v>
      </c>
      <c r="G84">
        <v>0</v>
      </c>
      <c r="H84">
        <v>0</v>
      </c>
      <c r="I84">
        <v>0</v>
      </c>
      <c r="J84">
        <v>33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33</v>
      </c>
      <c r="S84">
        <v>0</v>
      </c>
      <c r="T84">
        <v>0</v>
      </c>
      <c r="U84">
        <v>0</v>
      </c>
      <c r="V84" t="s">
        <v>86</v>
      </c>
      <c r="W84">
        <v>33</v>
      </c>
      <c r="X84">
        <v>0</v>
      </c>
      <c r="Y84">
        <v>0</v>
      </c>
      <c r="Z84">
        <v>0</v>
      </c>
      <c r="AA84">
        <v>33</v>
      </c>
      <c r="AB84">
        <v>0</v>
      </c>
      <c r="AC84">
        <v>0</v>
      </c>
      <c r="AD84">
        <v>0</v>
      </c>
      <c r="AE84">
        <v>33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33</v>
      </c>
      <c r="AN84">
        <v>0</v>
      </c>
      <c r="AO84">
        <v>0</v>
      </c>
      <c r="AP84">
        <v>0</v>
      </c>
      <c r="AQ84" t="s">
        <v>86</v>
      </c>
      <c r="AR84">
        <v>33</v>
      </c>
      <c r="AS84">
        <v>0</v>
      </c>
      <c r="AT84">
        <v>0</v>
      </c>
      <c r="AU84">
        <v>0</v>
      </c>
      <c r="AV84">
        <v>33</v>
      </c>
      <c r="AW84">
        <v>0</v>
      </c>
      <c r="AX84">
        <v>0</v>
      </c>
      <c r="AY84">
        <v>0</v>
      </c>
      <c r="AZ84">
        <v>33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33</v>
      </c>
      <c r="BI84">
        <v>0</v>
      </c>
      <c r="BJ84">
        <v>0</v>
      </c>
      <c r="BK84">
        <v>0</v>
      </c>
    </row>
    <row r="85" spans="1:63">
      <c r="A85" t="s">
        <v>88</v>
      </c>
      <c r="B85">
        <v>55</v>
      </c>
      <c r="C85">
        <v>1</v>
      </c>
      <c r="D85">
        <v>0</v>
      </c>
      <c r="E85">
        <v>0</v>
      </c>
      <c r="F85">
        <v>55</v>
      </c>
      <c r="G85">
        <v>1</v>
      </c>
      <c r="H85">
        <v>0</v>
      </c>
      <c r="I85">
        <v>0</v>
      </c>
      <c r="J85">
        <v>56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56</v>
      </c>
      <c r="S85">
        <v>0</v>
      </c>
      <c r="T85">
        <v>0</v>
      </c>
      <c r="U85">
        <v>0</v>
      </c>
      <c r="V85" t="s">
        <v>88</v>
      </c>
      <c r="W85">
        <v>55</v>
      </c>
      <c r="X85">
        <v>1</v>
      </c>
      <c r="Y85">
        <v>0</v>
      </c>
      <c r="Z85">
        <v>0</v>
      </c>
      <c r="AA85">
        <v>55</v>
      </c>
      <c r="AB85">
        <v>1</v>
      </c>
      <c r="AC85">
        <v>0</v>
      </c>
      <c r="AD85">
        <v>0</v>
      </c>
      <c r="AE85">
        <v>56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56</v>
      </c>
      <c r="AN85">
        <v>0</v>
      </c>
      <c r="AO85">
        <v>0</v>
      </c>
      <c r="AP85">
        <v>0</v>
      </c>
      <c r="AQ85" t="s">
        <v>88</v>
      </c>
      <c r="AR85">
        <v>55</v>
      </c>
      <c r="AS85">
        <v>1</v>
      </c>
      <c r="AT85">
        <v>0</v>
      </c>
      <c r="AU85">
        <v>0</v>
      </c>
      <c r="AV85">
        <v>55</v>
      </c>
      <c r="AW85">
        <v>1</v>
      </c>
      <c r="AX85">
        <v>0</v>
      </c>
      <c r="AY85">
        <v>0</v>
      </c>
      <c r="AZ85">
        <v>56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56</v>
      </c>
      <c r="BI85">
        <v>0</v>
      </c>
      <c r="BJ85">
        <v>0</v>
      </c>
      <c r="BK85">
        <v>0</v>
      </c>
    </row>
    <row r="86" spans="1:63">
      <c r="A86" t="s">
        <v>77</v>
      </c>
      <c r="B86">
        <v>85</v>
      </c>
      <c r="C86">
        <v>3</v>
      </c>
      <c r="D86">
        <v>0</v>
      </c>
      <c r="E86">
        <v>0</v>
      </c>
      <c r="F86">
        <v>85</v>
      </c>
      <c r="G86">
        <v>3</v>
      </c>
      <c r="H86">
        <v>0</v>
      </c>
      <c r="I86">
        <v>0</v>
      </c>
      <c r="J86">
        <v>88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88</v>
      </c>
      <c r="S86">
        <v>0</v>
      </c>
      <c r="T86">
        <v>0</v>
      </c>
      <c r="U86">
        <v>0</v>
      </c>
      <c r="V86" t="s">
        <v>77</v>
      </c>
      <c r="W86">
        <v>85</v>
      </c>
      <c r="X86">
        <v>3</v>
      </c>
      <c r="Y86">
        <v>0</v>
      </c>
      <c r="Z86">
        <v>0</v>
      </c>
      <c r="AA86">
        <v>85</v>
      </c>
      <c r="AB86">
        <v>3</v>
      </c>
      <c r="AC86">
        <v>0</v>
      </c>
      <c r="AD86">
        <v>0</v>
      </c>
      <c r="AE86">
        <v>88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88</v>
      </c>
      <c r="AN86">
        <v>0</v>
      </c>
      <c r="AO86">
        <v>0</v>
      </c>
      <c r="AP86">
        <v>0</v>
      </c>
      <c r="AQ86" t="s">
        <v>77</v>
      </c>
      <c r="AR86">
        <v>85</v>
      </c>
      <c r="AS86">
        <v>3</v>
      </c>
      <c r="AT86">
        <v>0</v>
      </c>
      <c r="AU86">
        <v>0</v>
      </c>
      <c r="AV86">
        <v>85</v>
      </c>
      <c r="AW86">
        <v>3</v>
      </c>
      <c r="AX86">
        <v>0</v>
      </c>
      <c r="AY86">
        <v>0</v>
      </c>
      <c r="AZ86">
        <v>88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88</v>
      </c>
      <c r="BI86">
        <v>0</v>
      </c>
      <c r="BJ86">
        <v>0</v>
      </c>
      <c r="BK86">
        <v>0</v>
      </c>
    </row>
    <row r="87" spans="1:63">
      <c r="A87" t="s">
        <v>17</v>
      </c>
      <c r="B87">
        <v>35</v>
      </c>
      <c r="C87">
        <v>1</v>
      </c>
      <c r="D87">
        <v>0</v>
      </c>
      <c r="E87">
        <v>0</v>
      </c>
      <c r="F87">
        <v>35</v>
      </c>
      <c r="G87">
        <v>1</v>
      </c>
      <c r="H87">
        <v>0</v>
      </c>
      <c r="I87">
        <v>0</v>
      </c>
      <c r="J87">
        <v>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36</v>
      </c>
      <c r="S87">
        <v>0</v>
      </c>
      <c r="T87">
        <v>0</v>
      </c>
      <c r="U87">
        <v>0</v>
      </c>
      <c r="V87" t="s">
        <v>17</v>
      </c>
      <c r="W87">
        <v>35</v>
      </c>
      <c r="X87">
        <v>1</v>
      </c>
      <c r="Y87">
        <v>0</v>
      </c>
      <c r="Z87">
        <v>0</v>
      </c>
      <c r="AA87">
        <v>35</v>
      </c>
      <c r="AB87">
        <v>1</v>
      </c>
      <c r="AC87">
        <v>0</v>
      </c>
      <c r="AD87">
        <v>0</v>
      </c>
      <c r="AE87">
        <v>36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36</v>
      </c>
      <c r="AN87">
        <v>0</v>
      </c>
      <c r="AO87">
        <v>0</v>
      </c>
      <c r="AP87">
        <v>0</v>
      </c>
      <c r="AQ87" t="s">
        <v>17</v>
      </c>
      <c r="AR87">
        <v>35</v>
      </c>
      <c r="AS87">
        <v>1</v>
      </c>
      <c r="AT87">
        <v>0</v>
      </c>
      <c r="AU87">
        <v>0</v>
      </c>
      <c r="AV87">
        <v>35</v>
      </c>
      <c r="AW87">
        <v>1</v>
      </c>
      <c r="AX87">
        <v>0</v>
      </c>
      <c r="AY87">
        <v>0</v>
      </c>
      <c r="AZ87">
        <v>36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36</v>
      </c>
      <c r="BI87">
        <v>0</v>
      </c>
      <c r="BJ87">
        <v>0</v>
      </c>
      <c r="BK87">
        <v>0</v>
      </c>
    </row>
    <row r="88" spans="1:63">
      <c r="A88" t="s">
        <v>35</v>
      </c>
      <c r="B88">
        <v>11</v>
      </c>
      <c r="C88">
        <v>0</v>
      </c>
      <c r="D88">
        <v>0</v>
      </c>
      <c r="E88">
        <v>0</v>
      </c>
      <c r="F88">
        <v>11</v>
      </c>
      <c r="G88">
        <v>0</v>
      </c>
      <c r="H88">
        <v>0</v>
      </c>
      <c r="I88">
        <v>0</v>
      </c>
      <c r="J88">
        <v>11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11</v>
      </c>
      <c r="S88">
        <v>0</v>
      </c>
      <c r="T88">
        <v>0</v>
      </c>
      <c r="U88">
        <v>0</v>
      </c>
      <c r="V88" t="s">
        <v>35</v>
      </c>
      <c r="W88">
        <v>11</v>
      </c>
      <c r="X88">
        <v>0</v>
      </c>
      <c r="Y88">
        <v>0</v>
      </c>
      <c r="Z88">
        <v>0</v>
      </c>
      <c r="AA88">
        <v>11</v>
      </c>
      <c r="AB88">
        <v>0</v>
      </c>
      <c r="AC88">
        <v>0</v>
      </c>
      <c r="AD88">
        <v>0</v>
      </c>
      <c r="AE88">
        <v>11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11</v>
      </c>
      <c r="AN88">
        <v>0</v>
      </c>
      <c r="AO88">
        <v>0</v>
      </c>
      <c r="AP88">
        <v>0</v>
      </c>
      <c r="AQ88" t="s">
        <v>35</v>
      </c>
      <c r="AR88">
        <v>11</v>
      </c>
      <c r="AS88">
        <v>0</v>
      </c>
      <c r="AT88">
        <v>0</v>
      </c>
      <c r="AU88">
        <v>0</v>
      </c>
      <c r="AV88">
        <v>11</v>
      </c>
      <c r="AW88">
        <v>0</v>
      </c>
      <c r="AX88">
        <v>0</v>
      </c>
      <c r="AY88">
        <v>0</v>
      </c>
      <c r="AZ88">
        <v>11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11</v>
      </c>
      <c r="BI88">
        <v>0</v>
      </c>
      <c r="BJ88">
        <v>0</v>
      </c>
      <c r="BK88">
        <v>0</v>
      </c>
    </row>
    <row r="89" spans="1:63">
      <c r="A89" t="s">
        <v>83</v>
      </c>
      <c r="B89">
        <v>82</v>
      </c>
      <c r="C89">
        <v>0</v>
      </c>
      <c r="D89">
        <v>0</v>
      </c>
      <c r="E89">
        <v>0</v>
      </c>
      <c r="F89">
        <v>82</v>
      </c>
      <c r="G89">
        <v>0</v>
      </c>
      <c r="H89">
        <v>0</v>
      </c>
      <c r="I89">
        <v>0</v>
      </c>
      <c r="J89">
        <v>82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82</v>
      </c>
      <c r="S89">
        <v>0</v>
      </c>
      <c r="T89">
        <v>0</v>
      </c>
      <c r="U89">
        <v>0</v>
      </c>
      <c r="V89" t="s">
        <v>83</v>
      </c>
      <c r="W89">
        <v>82</v>
      </c>
      <c r="X89">
        <v>0</v>
      </c>
      <c r="Y89">
        <v>0</v>
      </c>
      <c r="Z89">
        <v>0</v>
      </c>
      <c r="AA89">
        <v>82</v>
      </c>
      <c r="AB89">
        <v>0</v>
      </c>
      <c r="AC89">
        <v>0</v>
      </c>
      <c r="AD89">
        <v>0</v>
      </c>
      <c r="AE89">
        <v>82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82</v>
      </c>
      <c r="AN89">
        <v>0</v>
      </c>
      <c r="AO89">
        <v>0</v>
      </c>
      <c r="AP89">
        <v>0</v>
      </c>
      <c r="AQ89" t="s">
        <v>83</v>
      </c>
      <c r="AR89">
        <v>82</v>
      </c>
      <c r="AS89">
        <v>0</v>
      </c>
      <c r="AT89">
        <v>0</v>
      </c>
      <c r="AU89">
        <v>0</v>
      </c>
      <c r="AV89">
        <v>82</v>
      </c>
      <c r="AW89">
        <v>0</v>
      </c>
      <c r="AX89">
        <v>0</v>
      </c>
      <c r="AY89">
        <v>0</v>
      </c>
      <c r="AZ89">
        <v>82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82</v>
      </c>
      <c r="BI89">
        <v>0</v>
      </c>
      <c r="BJ89">
        <v>0</v>
      </c>
      <c r="BK89">
        <v>0</v>
      </c>
    </row>
    <row r="90" spans="1:63">
      <c r="A90" t="s">
        <v>80</v>
      </c>
      <c r="B90">
        <v>126</v>
      </c>
      <c r="C90">
        <v>6</v>
      </c>
      <c r="D90">
        <v>0</v>
      </c>
      <c r="E90">
        <v>0</v>
      </c>
      <c r="F90">
        <v>126</v>
      </c>
      <c r="G90">
        <v>6</v>
      </c>
      <c r="H90">
        <v>0</v>
      </c>
      <c r="I90">
        <v>0</v>
      </c>
      <c r="J90">
        <v>132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132</v>
      </c>
      <c r="S90">
        <v>0</v>
      </c>
      <c r="T90">
        <v>0</v>
      </c>
      <c r="U90">
        <v>0</v>
      </c>
      <c r="V90" t="s">
        <v>80</v>
      </c>
      <c r="W90">
        <v>126</v>
      </c>
      <c r="X90">
        <v>6</v>
      </c>
      <c r="Y90">
        <v>0</v>
      </c>
      <c r="Z90">
        <v>0</v>
      </c>
      <c r="AA90">
        <v>126</v>
      </c>
      <c r="AB90">
        <v>6</v>
      </c>
      <c r="AC90">
        <v>0</v>
      </c>
      <c r="AD90">
        <v>0</v>
      </c>
      <c r="AE90">
        <v>132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132</v>
      </c>
      <c r="AN90">
        <v>0</v>
      </c>
      <c r="AO90">
        <v>0</v>
      </c>
      <c r="AP90">
        <v>0</v>
      </c>
      <c r="AQ90" t="s">
        <v>80</v>
      </c>
      <c r="AR90">
        <v>126</v>
      </c>
      <c r="AS90">
        <v>6</v>
      </c>
      <c r="AT90">
        <v>0</v>
      </c>
      <c r="AU90">
        <v>0</v>
      </c>
      <c r="AV90">
        <v>126</v>
      </c>
      <c r="AW90">
        <v>6</v>
      </c>
      <c r="AX90">
        <v>0</v>
      </c>
      <c r="AY90">
        <v>0</v>
      </c>
      <c r="AZ90">
        <v>132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132</v>
      </c>
      <c r="BI90">
        <v>0</v>
      </c>
      <c r="BJ90">
        <v>0</v>
      </c>
      <c r="BK90">
        <v>0</v>
      </c>
    </row>
    <row r="91" spans="1:63">
      <c r="A91" t="s">
        <v>10</v>
      </c>
      <c r="B91">
        <v>30</v>
      </c>
      <c r="C91">
        <v>0</v>
      </c>
      <c r="D91">
        <v>0</v>
      </c>
      <c r="E91">
        <v>0</v>
      </c>
      <c r="F91">
        <v>30</v>
      </c>
      <c r="G91">
        <v>0</v>
      </c>
      <c r="H91">
        <v>0</v>
      </c>
      <c r="I91">
        <v>0</v>
      </c>
      <c r="J91">
        <v>30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30</v>
      </c>
      <c r="S91">
        <v>0</v>
      </c>
      <c r="T91">
        <v>0</v>
      </c>
      <c r="U91">
        <v>0</v>
      </c>
      <c r="V91" t="s">
        <v>10</v>
      </c>
      <c r="W91">
        <v>30</v>
      </c>
      <c r="X91">
        <v>0</v>
      </c>
      <c r="Y91">
        <v>0</v>
      </c>
      <c r="Z91">
        <v>0</v>
      </c>
      <c r="AA91">
        <v>30</v>
      </c>
      <c r="AB91">
        <v>0</v>
      </c>
      <c r="AC91">
        <v>0</v>
      </c>
      <c r="AD91">
        <v>0</v>
      </c>
      <c r="AE91">
        <v>30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30</v>
      </c>
      <c r="AN91">
        <v>0</v>
      </c>
      <c r="AO91">
        <v>0</v>
      </c>
      <c r="AP91">
        <v>0</v>
      </c>
      <c r="AQ91" t="s">
        <v>10</v>
      </c>
      <c r="AR91">
        <v>30</v>
      </c>
      <c r="AS91">
        <v>0</v>
      </c>
      <c r="AT91">
        <v>0</v>
      </c>
      <c r="AU91">
        <v>0</v>
      </c>
      <c r="AV91">
        <v>30</v>
      </c>
      <c r="AW91">
        <v>0</v>
      </c>
      <c r="AX91">
        <v>0</v>
      </c>
      <c r="AY91">
        <v>0</v>
      </c>
      <c r="AZ91">
        <v>30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30</v>
      </c>
      <c r="BI91">
        <v>0</v>
      </c>
      <c r="BJ91">
        <v>0</v>
      </c>
      <c r="BK91">
        <v>0</v>
      </c>
    </row>
    <row r="92" spans="1:63">
      <c r="A92" t="s">
        <v>97</v>
      </c>
      <c r="B92">
        <v>41</v>
      </c>
      <c r="C92">
        <v>0</v>
      </c>
      <c r="D92">
        <v>0</v>
      </c>
      <c r="E92">
        <v>0</v>
      </c>
      <c r="F92">
        <v>41</v>
      </c>
      <c r="G92">
        <v>0</v>
      </c>
      <c r="H92">
        <v>0</v>
      </c>
      <c r="I92">
        <v>0</v>
      </c>
      <c r="J92">
        <v>41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41</v>
      </c>
      <c r="S92">
        <v>0</v>
      </c>
      <c r="T92">
        <v>0</v>
      </c>
      <c r="U92">
        <v>0</v>
      </c>
      <c r="V92" t="s">
        <v>97</v>
      </c>
      <c r="W92">
        <v>41</v>
      </c>
      <c r="X92">
        <v>0</v>
      </c>
      <c r="Y92">
        <v>0</v>
      </c>
      <c r="Z92">
        <v>0</v>
      </c>
      <c r="AA92">
        <v>41</v>
      </c>
      <c r="AB92">
        <v>0</v>
      </c>
      <c r="AC92">
        <v>0</v>
      </c>
      <c r="AD92">
        <v>0</v>
      </c>
      <c r="AE92">
        <v>41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41</v>
      </c>
      <c r="AN92">
        <v>0</v>
      </c>
      <c r="AO92">
        <v>0</v>
      </c>
      <c r="AP92">
        <v>0</v>
      </c>
      <c r="AQ92" t="s">
        <v>97</v>
      </c>
      <c r="AR92">
        <v>41</v>
      </c>
      <c r="AS92">
        <v>0</v>
      </c>
      <c r="AT92">
        <v>0</v>
      </c>
      <c r="AU92">
        <v>0</v>
      </c>
      <c r="AV92">
        <v>41</v>
      </c>
      <c r="AW92">
        <v>0</v>
      </c>
      <c r="AX92">
        <v>0</v>
      </c>
      <c r="AY92">
        <v>0</v>
      </c>
      <c r="AZ92">
        <v>41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41</v>
      </c>
      <c r="BI92">
        <v>0</v>
      </c>
      <c r="BJ92">
        <v>0</v>
      </c>
      <c r="BK92">
        <v>0</v>
      </c>
    </row>
    <row r="93" spans="1:63">
      <c r="A93" t="s">
        <v>15</v>
      </c>
      <c r="B93">
        <v>7</v>
      </c>
      <c r="C93">
        <v>0</v>
      </c>
      <c r="D93">
        <v>0</v>
      </c>
      <c r="E93">
        <v>0</v>
      </c>
      <c r="F93">
        <v>7</v>
      </c>
      <c r="G93">
        <v>0</v>
      </c>
      <c r="H93">
        <v>0</v>
      </c>
      <c r="I93">
        <v>0</v>
      </c>
      <c r="J93">
        <v>7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7</v>
      </c>
      <c r="S93">
        <v>0</v>
      </c>
      <c r="T93">
        <v>0</v>
      </c>
      <c r="U93">
        <v>0</v>
      </c>
      <c r="V93" t="s">
        <v>15</v>
      </c>
      <c r="W93">
        <v>7</v>
      </c>
      <c r="X93">
        <v>0</v>
      </c>
      <c r="Y93">
        <v>0</v>
      </c>
      <c r="Z93">
        <v>0</v>
      </c>
      <c r="AA93">
        <v>7</v>
      </c>
      <c r="AB93">
        <v>0</v>
      </c>
      <c r="AC93">
        <v>0</v>
      </c>
      <c r="AD93">
        <v>0</v>
      </c>
      <c r="AE93">
        <v>7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7</v>
      </c>
      <c r="AN93">
        <v>0</v>
      </c>
      <c r="AO93">
        <v>0</v>
      </c>
      <c r="AP93">
        <v>0</v>
      </c>
      <c r="AQ93" t="s">
        <v>15</v>
      </c>
      <c r="AR93">
        <v>7</v>
      </c>
      <c r="AS93">
        <v>0</v>
      </c>
      <c r="AT93">
        <v>0</v>
      </c>
      <c r="AU93">
        <v>0</v>
      </c>
      <c r="AV93">
        <v>7</v>
      </c>
      <c r="AW93">
        <v>0</v>
      </c>
      <c r="AX93">
        <v>0</v>
      </c>
      <c r="AY93">
        <v>0</v>
      </c>
      <c r="AZ93">
        <v>7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7</v>
      </c>
      <c r="BI93">
        <v>0</v>
      </c>
      <c r="BJ93">
        <v>0</v>
      </c>
      <c r="BK93">
        <v>0</v>
      </c>
    </row>
    <row r="94" spans="1:63">
      <c r="A94" t="s">
        <v>61</v>
      </c>
      <c r="B94">
        <v>48</v>
      </c>
      <c r="C94">
        <v>5</v>
      </c>
      <c r="D94">
        <v>0</v>
      </c>
      <c r="E94">
        <v>0</v>
      </c>
      <c r="F94">
        <v>48</v>
      </c>
      <c r="G94">
        <v>5</v>
      </c>
      <c r="H94">
        <v>0</v>
      </c>
      <c r="I94">
        <v>0</v>
      </c>
      <c r="J94">
        <v>50</v>
      </c>
      <c r="K94">
        <v>3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50</v>
      </c>
      <c r="S94">
        <v>3</v>
      </c>
      <c r="T94">
        <v>0</v>
      </c>
      <c r="U94">
        <v>0</v>
      </c>
      <c r="V94" t="s">
        <v>61</v>
      </c>
      <c r="W94">
        <v>48</v>
      </c>
      <c r="X94">
        <v>5</v>
      </c>
      <c r="Y94">
        <v>0</v>
      </c>
      <c r="Z94">
        <v>0</v>
      </c>
      <c r="AA94">
        <v>48</v>
      </c>
      <c r="AB94">
        <v>5</v>
      </c>
      <c r="AC94">
        <v>0</v>
      </c>
      <c r="AD94">
        <v>0</v>
      </c>
      <c r="AE94">
        <v>50</v>
      </c>
      <c r="AF94">
        <v>3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50</v>
      </c>
      <c r="AN94">
        <v>3</v>
      </c>
      <c r="AO94">
        <v>0</v>
      </c>
      <c r="AP94">
        <v>0</v>
      </c>
      <c r="AQ94" t="s">
        <v>61</v>
      </c>
      <c r="AR94">
        <v>48</v>
      </c>
      <c r="AS94">
        <v>5</v>
      </c>
      <c r="AT94">
        <v>0</v>
      </c>
      <c r="AU94">
        <v>0</v>
      </c>
      <c r="AV94">
        <v>48</v>
      </c>
      <c r="AW94">
        <v>5</v>
      </c>
      <c r="AX94">
        <v>0</v>
      </c>
      <c r="AY94">
        <v>0</v>
      </c>
      <c r="AZ94">
        <v>53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53</v>
      </c>
      <c r="BI94">
        <v>0</v>
      </c>
      <c r="BJ94">
        <v>0</v>
      </c>
      <c r="BK94">
        <v>0</v>
      </c>
    </row>
    <row r="95" spans="1:63">
      <c r="A95" t="s">
        <v>49</v>
      </c>
      <c r="B95">
        <v>18</v>
      </c>
      <c r="C95">
        <v>1</v>
      </c>
      <c r="D95">
        <v>0</v>
      </c>
      <c r="E95">
        <v>0</v>
      </c>
      <c r="F95">
        <v>18</v>
      </c>
      <c r="G95">
        <v>1</v>
      </c>
      <c r="H95">
        <v>0</v>
      </c>
      <c r="I95">
        <v>0</v>
      </c>
      <c r="J95">
        <v>18</v>
      </c>
      <c r="K95">
        <v>1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18</v>
      </c>
      <c r="S95">
        <v>1</v>
      </c>
      <c r="T95">
        <v>0</v>
      </c>
      <c r="U95">
        <v>0</v>
      </c>
      <c r="V95" t="s">
        <v>49</v>
      </c>
      <c r="W95">
        <v>18</v>
      </c>
      <c r="X95">
        <v>1</v>
      </c>
      <c r="Y95">
        <v>0</v>
      </c>
      <c r="Z95">
        <v>0</v>
      </c>
      <c r="AA95">
        <v>18</v>
      </c>
      <c r="AB95">
        <v>1</v>
      </c>
      <c r="AC95">
        <v>0</v>
      </c>
      <c r="AD95">
        <v>0</v>
      </c>
      <c r="AE95">
        <v>18</v>
      </c>
      <c r="AF95">
        <v>1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18</v>
      </c>
      <c r="AN95">
        <v>1</v>
      </c>
      <c r="AO95">
        <v>0</v>
      </c>
      <c r="AP95">
        <v>0</v>
      </c>
      <c r="AQ95" t="s">
        <v>49</v>
      </c>
      <c r="AR95">
        <v>18</v>
      </c>
      <c r="AS95">
        <v>1</v>
      </c>
      <c r="AT95">
        <v>0</v>
      </c>
      <c r="AU95">
        <v>0</v>
      </c>
      <c r="AV95">
        <v>18</v>
      </c>
      <c r="AW95">
        <v>1</v>
      </c>
      <c r="AX95">
        <v>0</v>
      </c>
      <c r="AY95">
        <v>0</v>
      </c>
      <c r="AZ95">
        <v>19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19</v>
      </c>
      <c r="BI95">
        <v>0</v>
      </c>
      <c r="BJ95">
        <v>0</v>
      </c>
      <c r="BK95">
        <v>0</v>
      </c>
    </row>
    <row r="96" spans="1:63">
      <c r="A96" t="s">
        <v>78</v>
      </c>
      <c r="B96">
        <v>15</v>
      </c>
      <c r="C96">
        <v>0</v>
      </c>
      <c r="D96">
        <v>0</v>
      </c>
      <c r="E96">
        <v>0</v>
      </c>
      <c r="F96">
        <v>15</v>
      </c>
      <c r="G96">
        <v>0</v>
      </c>
      <c r="H96">
        <v>0</v>
      </c>
      <c r="I96">
        <v>0</v>
      </c>
      <c r="J96">
        <v>14</v>
      </c>
      <c r="K96">
        <v>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14</v>
      </c>
      <c r="S96">
        <v>1</v>
      </c>
      <c r="T96">
        <v>0</v>
      </c>
      <c r="U96">
        <v>0</v>
      </c>
      <c r="V96" t="s">
        <v>78</v>
      </c>
      <c r="W96">
        <v>15</v>
      </c>
      <c r="X96">
        <v>0</v>
      </c>
      <c r="Y96">
        <v>0</v>
      </c>
      <c r="Z96">
        <v>0</v>
      </c>
      <c r="AA96">
        <v>15</v>
      </c>
      <c r="AB96">
        <v>0</v>
      </c>
      <c r="AC96">
        <v>0</v>
      </c>
      <c r="AD96">
        <v>0</v>
      </c>
      <c r="AE96">
        <v>14</v>
      </c>
      <c r="AF96">
        <v>1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14</v>
      </c>
      <c r="AN96">
        <v>1</v>
      </c>
      <c r="AO96">
        <v>0</v>
      </c>
      <c r="AP96">
        <v>0</v>
      </c>
      <c r="AQ96" t="s">
        <v>78</v>
      </c>
      <c r="AR96">
        <v>15</v>
      </c>
      <c r="AS96">
        <v>0</v>
      </c>
      <c r="AT96">
        <v>0</v>
      </c>
      <c r="AU96">
        <v>0</v>
      </c>
      <c r="AV96">
        <v>15</v>
      </c>
      <c r="AW96">
        <v>0</v>
      </c>
      <c r="AX96">
        <v>0</v>
      </c>
      <c r="AY96">
        <v>0</v>
      </c>
      <c r="AZ96">
        <v>15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15</v>
      </c>
      <c r="BI96">
        <v>0</v>
      </c>
      <c r="BJ96">
        <v>0</v>
      </c>
      <c r="BK96">
        <v>0</v>
      </c>
    </row>
    <row r="97" spans="1:16384">
      <c r="A97" t="s">
        <v>73</v>
      </c>
      <c r="B97">
        <v>29</v>
      </c>
      <c r="C97">
        <v>2</v>
      </c>
      <c r="D97">
        <v>0</v>
      </c>
      <c r="E97">
        <v>0</v>
      </c>
      <c r="F97">
        <v>29</v>
      </c>
      <c r="G97">
        <v>2</v>
      </c>
      <c r="H97">
        <v>0</v>
      </c>
      <c r="I97">
        <v>0</v>
      </c>
      <c r="J97">
        <v>30</v>
      </c>
      <c r="K97">
        <v>1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30</v>
      </c>
      <c r="S97">
        <v>1</v>
      </c>
      <c r="T97">
        <v>0</v>
      </c>
      <c r="U97">
        <v>0</v>
      </c>
      <c r="V97" t="s">
        <v>73</v>
      </c>
      <c r="W97">
        <v>29</v>
      </c>
      <c r="X97">
        <v>2</v>
      </c>
      <c r="Y97">
        <v>0</v>
      </c>
      <c r="Z97">
        <v>0</v>
      </c>
      <c r="AA97">
        <v>29</v>
      </c>
      <c r="AB97">
        <v>2</v>
      </c>
      <c r="AC97">
        <v>0</v>
      </c>
      <c r="AD97">
        <v>0</v>
      </c>
      <c r="AE97">
        <v>30</v>
      </c>
      <c r="AF97">
        <v>1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30</v>
      </c>
      <c r="AN97">
        <v>1</v>
      </c>
      <c r="AO97">
        <v>0</v>
      </c>
      <c r="AP97">
        <v>0</v>
      </c>
      <c r="AQ97" t="s">
        <v>73</v>
      </c>
      <c r="AR97">
        <v>29</v>
      </c>
      <c r="AS97">
        <v>2</v>
      </c>
      <c r="AT97">
        <v>0</v>
      </c>
      <c r="AU97">
        <v>0</v>
      </c>
      <c r="AV97">
        <v>29</v>
      </c>
      <c r="AW97">
        <v>2</v>
      </c>
      <c r="AX97">
        <v>0</v>
      </c>
      <c r="AY97">
        <v>0</v>
      </c>
      <c r="AZ97">
        <v>31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31</v>
      </c>
      <c r="BI97">
        <v>0</v>
      </c>
      <c r="BJ97">
        <v>0</v>
      </c>
      <c r="BK97">
        <v>0</v>
      </c>
    </row>
    <row r="98" spans="1:16384">
      <c r="A98" t="s">
        <v>63</v>
      </c>
      <c r="B98">
        <v>29</v>
      </c>
      <c r="C98">
        <v>0</v>
      </c>
      <c r="D98">
        <v>0</v>
      </c>
      <c r="E98">
        <v>0</v>
      </c>
      <c r="F98">
        <v>29</v>
      </c>
      <c r="G98">
        <v>0</v>
      </c>
      <c r="H98">
        <v>0</v>
      </c>
      <c r="I98">
        <v>0</v>
      </c>
      <c r="J98">
        <v>29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29</v>
      </c>
      <c r="S98">
        <v>0</v>
      </c>
      <c r="T98">
        <v>0</v>
      </c>
      <c r="U98">
        <v>0</v>
      </c>
      <c r="V98" t="s">
        <v>63</v>
      </c>
      <c r="W98">
        <v>29</v>
      </c>
      <c r="X98">
        <v>0</v>
      </c>
      <c r="Y98">
        <v>0</v>
      </c>
      <c r="Z98">
        <v>0</v>
      </c>
      <c r="AA98">
        <v>29</v>
      </c>
      <c r="AB98">
        <v>0</v>
      </c>
      <c r="AC98">
        <v>0</v>
      </c>
      <c r="AD98">
        <v>0</v>
      </c>
      <c r="AE98">
        <v>29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29</v>
      </c>
      <c r="AN98">
        <v>0</v>
      </c>
      <c r="AO98">
        <v>0</v>
      </c>
      <c r="AP98">
        <v>0</v>
      </c>
      <c r="AQ98" t="s">
        <v>63</v>
      </c>
      <c r="AR98">
        <v>29</v>
      </c>
      <c r="AS98">
        <v>0</v>
      </c>
      <c r="AT98">
        <v>0</v>
      </c>
      <c r="AU98">
        <v>0</v>
      </c>
      <c r="AV98">
        <v>29</v>
      </c>
      <c r="AW98">
        <v>0</v>
      </c>
      <c r="AX98">
        <v>0</v>
      </c>
      <c r="AY98">
        <v>0</v>
      </c>
      <c r="AZ98">
        <v>29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29</v>
      </c>
      <c r="BI98">
        <v>0</v>
      </c>
      <c r="BJ98">
        <v>0</v>
      </c>
      <c r="BK98">
        <v>0</v>
      </c>
    </row>
    <row r="99" spans="1:16384">
      <c r="A99" t="s">
        <v>59</v>
      </c>
      <c r="B99">
        <v>22</v>
      </c>
      <c r="C99">
        <v>0</v>
      </c>
      <c r="D99">
        <v>0</v>
      </c>
      <c r="E99">
        <v>0</v>
      </c>
      <c r="F99">
        <v>22</v>
      </c>
      <c r="G99">
        <v>0</v>
      </c>
      <c r="H99">
        <v>0</v>
      </c>
      <c r="I99">
        <v>0</v>
      </c>
      <c r="J99">
        <v>21</v>
      </c>
      <c r="K99">
        <v>1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21</v>
      </c>
      <c r="S99">
        <v>1</v>
      </c>
      <c r="T99">
        <v>0</v>
      </c>
      <c r="U99">
        <v>0</v>
      </c>
      <c r="V99" t="s">
        <v>59</v>
      </c>
      <c r="W99">
        <v>22</v>
      </c>
      <c r="X99">
        <v>0</v>
      </c>
      <c r="Y99">
        <v>0</v>
      </c>
      <c r="Z99">
        <v>0</v>
      </c>
      <c r="AA99">
        <v>22</v>
      </c>
      <c r="AB99">
        <v>0</v>
      </c>
      <c r="AC99">
        <v>0</v>
      </c>
      <c r="AD99">
        <v>0</v>
      </c>
      <c r="AE99">
        <v>21</v>
      </c>
      <c r="AF99">
        <v>1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21</v>
      </c>
      <c r="AN99">
        <v>1</v>
      </c>
      <c r="AO99">
        <v>0</v>
      </c>
      <c r="AP99">
        <v>0</v>
      </c>
      <c r="AQ99" t="s">
        <v>59</v>
      </c>
      <c r="AR99">
        <v>22</v>
      </c>
      <c r="AS99">
        <v>0</v>
      </c>
      <c r="AT99">
        <v>0</v>
      </c>
      <c r="AU99">
        <v>0</v>
      </c>
      <c r="AV99">
        <v>22</v>
      </c>
      <c r="AW99">
        <v>0</v>
      </c>
      <c r="AX99">
        <v>0</v>
      </c>
      <c r="AY99">
        <v>0</v>
      </c>
      <c r="AZ99">
        <v>22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22</v>
      </c>
      <c r="BI99">
        <v>0</v>
      </c>
      <c r="BJ99">
        <v>0</v>
      </c>
      <c r="BK99">
        <v>0</v>
      </c>
    </row>
    <row r="100" spans="1:16384">
      <c r="A100" t="s">
        <v>68</v>
      </c>
      <c r="B100">
        <v>130</v>
      </c>
      <c r="C100">
        <v>4</v>
      </c>
      <c r="D100">
        <v>0</v>
      </c>
      <c r="E100">
        <v>0</v>
      </c>
      <c r="F100">
        <v>130</v>
      </c>
      <c r="G100">
        <v>4</v>
      </c>
      <c r="H100">
        <v>0</v>
      </c>
      <c r="I100">
        <v>0</v>
      </c>
      <c r="J100">
        <v>133</v>
      </c>
      <c r="K100">
        <v>1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133</v>
      </c>
      <c r="S100">
        <v>1</v>
      </c>
      <c r="T100">
        <v>0</v>
      </c>
      <c r="U100">
        <v>0</v>
      </c>
      <c r="V100" t="s">
        <v>68</v>
      </c>
      <c r="W100">
        <v>130</v>
      </c>
      <c r="X100">
        <v>4</v>
      </c>
      <c r="Y100">
        <v>0</v>
      </c>
      <c r="Z100">
        <v>0</v>
      </c>
      <c r="AA100">
        <v>130</v>
      </c>
      <c r="AB100">
        <v>4</v>
      </c>
      <c r="AC100">
        <v>0</v>
      </c>
      <c r="AD100">
        <v>0</v>
      </c>
      <c r="AE100">
        <v>133</v>
      </c>
      <c r="AF100">
        <v>1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133</v>
      </c>
      <c r="AN100">
        <v>1</v>
      </c>
      <c r="AO100">
        <v>0</v>
      </c>
      <c r="AP100">
        <v>0</v>
      </c>
      <c r="AQ100" t="s">
        <v>68</v>
      </c>
      <c r="AR100">
        <v>130</v>
      </c>
      <c r="AS100">
        <v>4</v>
      </c>
      <c r="AT100">
        <v>0</v>
      </c>
      <c r="AU100">
        <v>0</v>
      </c>
      <c r="AV100">
        <v>130</v>
      </c>
      <c r="AW100">
        <v>4</v>
      </c>
      <c r="AX100">
        <v>0</v>
      </c>
      <c r="AY100">
        <v>0</v>
      </c>
      <c r="AZ100">
        <v>134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134</v>
      </c>
      <c r="BI100">
        <v>0</v>
      </c>
      <c r="BJ100">
        <v>0</v>
      </c>
      <c r="BK100">
        <v>0</v>
      </c>
    </row>
    <row r="101" spans="1:16384">
      <c r="A101" t="s">
        <v>34</v>
      </c>
      <c r="B101">
        <v>111</v>
      </c>
      <c r="C101">
        <v>0</v>
      </c>
      <c r="D101">
        <v>0</v>
      </c>
      <c r="E101">
        <v>0</v>
      </c>
      <c r="F101">
        <v>111</v>
      </c>
      <c r="G101">
        <v>0</v>
      </c>
      <c r="H101">
        <v>0</v>
      </c>
      <c r="I101">
        <v>0</v>
      </c>
      <c r="J101">
        <v>111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111</v>
      </c>
      <c r="S101">
        <v>0</v>
      </c>
      <c r="T101">
        <v>0</v>
      </c>
      <c r="U101">
        <v>0</v>
      </c>
      <c r="V101" t="s">
        <v>34</v>
      </c>
      <c r="W101">
        <v>111</v>
      </c>
      <c r="X101">
        <v>0</v>
      </c>
      <c r="Y101">
        <v>0</v>
      </c>
      <c r="Z101">
        <v>0</v>
      </c>
      <c r="AA101">
        <v>111</v>
      </c>
      <c r="AB101">
        <v>0</v>
      </c>
      <c r="AC101">
        <v>0</v>
      </c>
      <c r="AD101">
        <v>0</v>
      </c>
      <c r="AE101">
        <v>111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111</v>
      </c>
      <c r="AN101">
        <v>0</v>
      </c>
      <c r="AO101">
        <v>0</v>
      </c>
      <c r="AP101">
        <v>0</v>
      </c>
      <c r="AQ101" t="s">
        <v>34</v>
      </c>
      <c r="AR101">
        <v>111</v>
      </c>
      <c r="AS101">
        <v>0</v>
      </c>
      <c r="AT101">
        <v>0</v>
      </c>
      <c r="AU101">
        <v>0</v>
      </c>
      <c r="AV101">
        <v>111</v>
      </c>
      <c r="AW101">
        <v>0</v>
      </c>
      <c r="AX101">
        <v>0</v>
      </c>
      <c r="AY101">
        <v>0</v>
      </c>
      <c r="AZ101">
        <v>111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111</v>
      </c>
      <c r="BI101">
        <v>0</v>
      </c>
      <c r="BJ101">
        <v>0</v>
      </c>
      <c r="BK101">
        <v>0</v>
      </c>
    </row>
    <row r="102" spans="1:16384">
      <c r="A102" t="s">
        <v>4</v>
      </c>
      <c r="B102">
        <v>71</v>
      </c>
      <c r="C102">
        <v>0</v>
      </c>
      <c r="D102">
        <v>0</v>
      </c>
      <c r="E102">
        <v>0</v>
      </c>
      <c r="F102">
        <v>71</v>
      </c>
      <c r="G102">
        <v>0</v>
      </c>
      <c r="H102">
        <v>0</v>
      </c>
      <c r="I102">
        <v>0</v>
      </c>
      <c r="J102">
        <v>71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71</v>
      </c>
      <c r="S102">
        <v>0</v>
      </c>
      <c r="T102">
        <v>0</v>
      </c>
      <c r="U102">
        <v>0</v>
      </c>
      <c r="V102" t="s">
        <v>4</v>
      </c>
      <c r="W102">
        <v>71</v>
      </c>
      <c r="X102">
        <v>0</v>
      </c>
      <c r="Y102">
        <v>0</v>
      </c>
      <c r="Z102">
        <v>0</v>
      </c>
      <c r="AA102">
        <v>71</v>
      </c>
      <c r="AB102">
        <v>0</v>
      </c>
      <c r="AC102">
        <v>0</v>
      </c>
      <c r="AD102">
        <v>0</v>
      </c>
      <c r="AE102">
        <v>71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71</v>
      </c>
      <c r="AN102">
        <v>0</v>
      </c>
      <c r="AO102">
        <v>0</v>
      </c>
      <c r="AP102">
        <v>0</v>
      </c>
      <c r="AQ102" t="s">
        <v>4</v>
      </c>
      <c r="AR102">
        <v>71</v>
      </c>
      <c r="AS102">
        <v>0</v>
      </c>
      <c r="AT102">
        <v>0</v>
      </c>
      <c r="AU102">
        <v>0</v>
      </c>
      <c r="AV102">
        <v>71</v>
      </c>
      <c r="AW102">
        <v>0</v>
      </c>
      <c r="AX102">
        <v>0</v>
      </c>
      <c r="AY102">
        <v>0</v>
      </c>
      <c r="AZ102">
        <v>71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71</v>
      </c>
      <c r="BI102">
        <v>0</v>
      </c>
      <c r="BJ102">
        <v>0</v>
      </c>
      <c r="BK102">
        <v>0</v>
      </c>
    </row>
    <row r="103" spans="1:16384">
      <c r="A103" t="s">
        <v>70</v>
      </c>
      <c r="B103">
        <v>32</v>
      </c>
      <c r="C103">
        <v>0</v>
      </c>
      <c r="D103">
        <v>0</v>
      </c>
      <c r="E103">
        <v>0</v>
      </c>
      <c r="F103">
        <v>32</v>
      </c>
      <c r="G103">
        <v>0</v>
      </c>
      <c r="H103">
        <v>0</v>
      </c>
      <c r="I103">
        <v>0</v>
      </c>
      <c r="J103">
        <v>32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32</v>
      </c>
      <c r="S103">
        <v>0</v>
      </c>
      <c r="T103">
        <v>0</v>
      </c>
      <c r="U103">
        <v>0</v>
      </c>
      <c r="V103" t="s">
        <v>70</v>
      </c>
      <c r="W103">
        <v>32</v>
      </c>
      <c r="X103">
        <v>0</v>
      </c>
      <c r="Y103">
        <v>0</v>
      </c>
      <c r="Z103">
        <v>0</v>
      </c>
      <c r="AA103">
        <v>32</v>
      </c>
      <c r="AB103">
        <v>0</v>
      </c>
      <c r="AC103">
        <v>0</v>
      </c>
      <c r="AD103">
        <v>0</v>
      </c>
      <c r="AE103">
        <v>32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32</v>
      </c>
      <c r="AN103">
        <v>0</v>
      </c>
      <c r="AO103">
        <v>0</v>
      </c>
      <c r="AP103">
        <v>0</v>
      </c>
      <c r="AQ103" t="s">
        <v>70</v>
      </c>
      <c r="AR103">
        <v>32</v>
      </c>
      <c r="AS103">
        <v>0</v>
      </c>
      <c r="AT103">
        <v>0</v>
      </c>
      <c r="AU103">
        <v>0</v>
      </c>
      <c r="AV103">
        <v>32</v>
      </c>
      <c r="AW103">
        <v>0</v>
      </c>
      <c r="AX103">
        <v>0</v>
      </c>
      <c r="AY103">
        <v>0</v>
      </c>
      <c r="AZ103">
        <v>32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32</v>
      </c>
      <c r="BI103">
        <v>0</v>
      </c>
      <c r="BJ103">
        <v>0</v>
      </c>
      <c r="BK103">
        <v>0</v>
      </c>
    </row>
    <row r="104" spans="1:16384">
      <c r="A104" t="s">
        <v>87</v>
      </c>
      <c r="B104">
        <v>7</v>
      </c>
      <c r="C104">
        <v>0</v>
      </c>
      <c r="D104">
        <v>0</v>
      </c>
      <c r="E104">
        <v>0</v>
      </c>
      <c r="F104">
        <v>7</v>
      </c>
      <c r="G104">
        <v>0</v>
      </c>
      <c r="H104">
        <v>0</v>
      </c>
      <c r="I104">
        <v>0</v>
      </c>
      <c r="J104">
        <v>7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7</v>
      </c>
      <c r="S104">
        <v>0</v>
      </c>
      <c r="T104">
        <v>0</v>
      </c>
      <c r="U104">
        <v>0</v>
      </c>
      <c r="V104" t="s">
        <v>87</v>
      </c>
      <c r="W104">
        <v>7</v>
      </c>
      <c r="X104">
        <v>0</v>
      </c>
      <c r="Y104">
        <v>0</v>
      </c>
      <c r="Z104">
        <v>0</v>
      </c>
      <c r="AA104">
        <v>7</v>
      </c>
      <c r="AB104">
        <v>0</v>
      </c>
      <c r="AC104">
        <v>0</v>
      </c>
      <c r="AD104">
        <v>0</v>
      </c>
      <c r="AE104">
        <v>7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7</v>
      </c>
      <c r="AN104">
        <v>0</v>
      </c>
      <c r="AO104">
        <v>0</v>
      </c>
      <c r="AP104">
        <v>0</v>
      </c>
      <c r="AQ104" t="s">
        <v>87</v>
      </c>
      <c r="AR104">
        <v>7</v>
      </c>
      <c r="AS104">
        <v>0</v>
      </c>
      <c r="AT104">
        <v>0</v>
      </c>
      <c r="AU104">
        <v>0</v>
      </c>
      <c r="AV104">
        <v>7</v>
      </c>
      <c r="AW104">
        <v>0</v>
      </c>
      <c r="AX104">
        <v>0</v>
      </c>
      <c r="AY104">
        <v>0</v>
      </c>
      <c r="AZ104">
        <v>7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7</v>
      </c>
      <c r="BI104">
        <v>0</v>
      </c>
      <c r="BJ104">
        <v>0</v>
      </c>
      <c r="BK104">
        <v>0</v>
      </c>
    </row>
    <row r="105" spans="1:16384">
      <c r="A105" t="s">
        <v>19</v>
      </c>
      <c r="B105">
        <v>157</v>
      </c>
      <c r="C105">
        <v>11</v>
      </c>
      <c r="D105">
        <v>0</v>
      </c>
      <c r="E105">
        <v>0</v>
      </c>
      <c r="F105">
        <v>157</v>
      </c>
      <c r="G105">
        <v>11</v>
      </c>
      <c r="H105">
        <v>0</v>
      </c>
      <c r="I105">
        <v>0</v>
      </c>
      <c r="J105">
        <v>168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168</v>
      </c>
      <c r="S105">
        <v>0</v>
      </c>
      <c r="T105">
        <v>0</v>
      </c>
      <c r="U105">
        <v>0</v>
      </c>
      <c r="V105" t="s">
        <v>19</v>
      </c>
      <c r="W105">
        <v>157</v>
      </c>
      <c r="X105">
        <v>11</v>
      </c>
      <c r="Y105">
        <v>0</v>
      </c>
      <c r="Z105">
        <v>0</v>
      </c>
      <c r="AA105">
        <v>157</v>
      </c>
      <c r="AB105">
        <v>11</v>
      </c>
      <c r="AC105">
        <v>0</v>
      </c>
      <c r="AD105">
        <v>0</v>
      </c>
      <c r="AE105">
        <v>168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168</v>
      </c>
      <c r="AN105">
        <v>0</v>
      </c>
      <c r="AO105">
        <v>0</v>
      </c>
      <c r="AP105">
        <v>0</v>
      </c>
      <c r="AQ105" t="s">
        <v>19</v>
      </c>
      <c r="AR105">
        <v>157</v>
      </c>
      <c r="AS105">
        <v>11</v>
      </c>
      <c r="AT105">
        <v>0</v>
      </c>
      <c r="AU105">
        <v>0</v>
      </c>
      <c r="AV105">
        <v>157</v>
      </c>
      <c r="AW105">
        <v>11</v>
      </c>
      <c r="AX105">
        <v>0</v>
      </c>
      <c r="AY105">
        <v>0</v>
      </c>
      <c r="AZ105">
        <v>168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168</v>
      </c>
      <c r="BI105">
        <v>0</v>
      </c>
      <c r="BJ105">
        <v>0</v>
      </c>
      <c r="BK105">
        <v>0</v>
      </c>
    </row>
    <row r="106" spans="1:16384">
      <c r="A106" t="s">
        <v>38</v>
      </c>
      <c r="B106">
        <v>635</v>
      </c>
      <c r="C106">
        <v>19</v>
      </c>
      <c r="D106">
        <v>0</v>
      </c>
      <c r="E106">
        <v>0</v>
      </c>
      <c r="F106">
        <v>635</v>
      </c>
      <c r="G106">
        <v>19</v>
      </c>
      <c r="H106">
        <v>0</v>
      </c>
      <c r="I106">
        <v>0</v>
      </c>
      <c r="J106">
        <v>639</v>
      </c>
      <c r="K106">
        <v>15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632</v>
      </c>
      <c r="S106">
        <v>22</v>
      </c>
      <c r="T106">
        <v>0</v>
      </c>
      <c r="U106">
        <v>0</v>
      </c>
      <c r="V106" t="s">
        <v>38</v>
      </c>
      <c r="W106">
        <v>635</v>
      </c>
      <c r="X106">
        <v>19</v>
      </c>
      <c r="Y106">
        <v>0</v>
      </c>
      <c r="Z106">
        <v>0</v>
      </c>
      <c r="AA106">
        <v>635</v>
      </c>
      <c r="AB106">
        <v>19</v>
      </c>
      <c r="AC106">
        <v>0</v>
      </c>
      <c r="AD106">
        <v>0</v>
      </c>
      <c r="AE106">
        <v>639</v>
      </c>
      <c r="AF106">
        <v>15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632</v>
      </c>
      <c r="AN106">
        <v>22</v>
      </c>
      <c r="AO106">
        <v>0</v>
      </c>
      <c r="AP106">
        <v>0</v>
      </c>
      <c r="AQ106" t="s">
        <v>38</v>
      </c>
      <c r="AR106">
        <v>635</v>
      </c>
      <c r="AS106">
        <v>19</v>
      </c>
      <c r="AT106">
        <v>0</v>
      </c>
      <c r="AU106">
        <v>0</v>
      </c>
      <c r="AV106">
        <v>635</v>
      </c>
      <c r="AW106">
        <v>19</v>
      </c>
      <c r="AX106">
        <v>0</v>
      </c>
      <c r="AY106">
        <v>0</v>
      </c>
      <c r="AZ106">
        <v>654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654</v>
      </c>
      <c r="BI106">
        <v>0</v>
      </c>
      <c r="BJ106">
        <v>0</v>
      </c>
      <c r="BK106">
        <v>0</v>
      </c>
    </row>
    <row r="107" spans="1:16384">
      <c r="A107" t="s">
        <v>42</v>
      </c>
      <c r="B107">
        <v>149</v>
      </c>
      <c r="C107">
        <v>20</v>
      </c>
      <c r="D107">
        <v>0</v>
      </c>
      <c r="E107">
        <v>0</v>
      </c>
      <c r="F107">
        <v>149</v>
      </c>
      <c r="G107">
        <v>20</v>
      </c>
      <c r="H107">
        <v>0</v>
      </c>
      <c r="I107">
        <v>0</v>
      </c>
      <c r="J107">
        <v>169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169</v>
      </c>
      <c r="S107">
        <v>0</v>
      </c>
      <c r="T107">
        <v>0</v>
      </c>
      <c r="U107">
        <v>0</v>
      </c>
      <c r="V107" t="s">
        <v>42</v>
      </c>
      <c r="W107">
        <v>149</v>
      </c>
      <c r="X107">
        <v>20</v>
      </c>
      <c r="Y107">
        <v>0</v>
      </c>
      <c r="Z107">
        <v>0</v>
      </c>
      <c r="AA107">
        <v>149</v>
      </c>
      <c r="AB107">
        <v>20</v>
      </c>
      <c r="AC107">
        <v>0</v>
      </c>
      <c r="AD107">
        <v>0</v>
      </c>
      <c r="AE107">
        <v>169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169</v>
      </c>
      <c r="AN107">
        <v>0</v>
      </c>
      <c r="AO107">
        <v>0</v>
      </c>
      <c r="AP107">
        <v>0</v>
      </c>
      <c r="AQ107" t="s">
        <v>42</v>
      </c>
      <c r="AR107">
        <v>149</v>
      </c>
      <c r="AS107">
        <v>20</v>
      </c>
      <c r="AT107">
        <v>0</v>
      </c>
      <c r="AU107">
        <v>0</v>
      </c>
      <c r="AV107">
        <v>149</v>
      </c>
      <c r="AW107">
        <v>20</v>
      </c>
      <c r="AX107">
        <v>0</v>
      </c>
      <c r="AY107">
        <v>0</v>
      </c>
      <c r="AZ107">
        <v>169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169</v>
      </c>
      <c r="BI107">
        <v>0</v>
      </c>
      <c r="BJ107">
        <v>0</v>
      </c>
      <c r="BK107">
        <v>0</v>
      </c>
    </row>
    <row r="108" spans="1:16384">
      <c r="A108" s="1" t="s">
        <v>122</v>
      </c>
      <c r="B108" s="1">
        <f>SUM('accuracy dom72dom62'!B3:B107)</f>
        <v>10797</v>
      </c>
      <c r="C108" s="1">
        <f>SUM('accuracy dom72dom62'!C3:C107)</f>
        <v>440</v>
      </c>
      <c r="D108" s="1">
        <f>SUM('accuracy dom72dom62'!D3:D107)</f>
        <v>0</v>
      </c>
      <c r="E108" s="1">
        <f>SUM('accuracy dom72dom62'!E3:E107)</f>
        <v>0</v>
      </c>
      <c r="F108" s="1">
        <f>SUM('accuracy dom72dom62'!F3:F107)</f>
        <v>10797</v>
      </c>
      <c r="G108" s="1">
        <f>SUM('accuracy dom72dom62'!G3:G107)</f>
        <v>440</v>
      </c>
      <c r="H108" s="1">
        <f>SUM('accuracy dom72dom62'!H3:H107)</f>
        <v>0</v>
      </c>
      <c r="I108" s="1">
        <f>SUM('accuracy dom72dom62'!I3:I107)</f>
        <v>0</v>
      </c>
      <c r="J108" s="1">
        <f>SUM('accuracy dom72dom62'!J3:J107)</f>
        <v>11250</v>
      </c>
      <c r="K108" s="1">
        <f>SUM('accuracy dom72dom62'!K3:K107)</f>
        <v>148</v>
      </c>
      <c r="L108" s="1">
        <f>SUM('accuracy dom72dom62'!L3:L107)</f>
        <v>0</v>
      </c>
      <c r="M108" s="1">
        <f>SUM('accuracy dom72dom62'!M3:M107)</f>
        <v>0</v>
      </c>
      <c r="N108" s="1">
        <f>SUM('accuracy dom72dom62'!N3:N107)</f>
        <v>2384</v>
      </c>
      <c r="O108" s="1">
        <f>SUM('accuracy dom72dom62'!O3:O107)</f>
        <v>2</v>
      </c>
      <c r="P108" s="1">
        <f>SUM('accuracy dom72dom62'!P3:P107)</f>
        <v>29</v>
      </c>
      <c r="Q108" s="1">
        <f>SUM('accuracy dom72dom62'!Q3:Q107)</f>
        <v>0</v>
      </c>
      <c r="R108" s="1">
        <f>SUM('accuracy dom72dom62'!R3:R107)</f>
        <v>11098</v>
      </c>
      <c r="S108" s="1">
        <f>SUM('accuracy dom72dom62'!S3:S107)</f>
        <v>139</v>
      </c>
      <c r="T108" s="1">
        <f>SUM('accuracy dom72dom62'!T3:T107)</f>
        <v>0</v>
      </c>
      <c r="U108" s="1">
        <f>SUM('accuracy dom72dom62'!U3:U107)</f>
        <v>0</v>
      </c>
      <c r="V108" s="1">
        <f>SUM('accuracy dom72dom62'!V3:V107)</f>
        <v>0</v>
      </c>
      <c r="W108" s="1">
        <f>SUM('accuracy dom72dom62'!W3:W107)</f>
        <v>10797</v>
      </c>
      <c r="X108" s="1">
        <f>SUM('accuracy dom72dom62'!X3:X107)</f>
        <v>440</v>
      </c>
      <c r="Y108" s="1">
        <f>SUM('accuracy dom72dom62'!Y3:Y107)</f>
        <v>0</v>
      </c>
      <c r="Z108" s="1">
        <f>SUM('accuracy dom72dom62'!Z3:Z107)</f>
        <v>0</v>
      </c>
      <c r="AA108" s="1">
        <f>SUM('accuracy dom72dom62'!AA3:AA107)</f>
        <v>10797</v>
      </c>
      <c r="AB108" s="1">
        <f>SUM('accuracy dom72dom62'!AB3:AB107)</f>
        <v>440</v>
      </c>
      <c r="AC108" s="1">
        <f>SUM('accuracy dom72dom62'!AC3:AC107)</f>
        <v>0</v>
      </c>
      <c r="AD108" s="1">
        <f>SUM('accuracy dom72dom62'!AD3:AD107)</f>
        <v>0</v>
      </c>
      <c r="AE108" s="1">
        <f>SUM('accuracy dom72dom62'!AE3:AE107)</f>
        <v>11250</v>
      </c>
      <c r="AF108" s="1">
        <f>SUM('accuracy dom72dom62'!AF3:AF107)</f>
        <v>148</v>
      </c>
      <c r="AG108" s="1">
        <f>SUM('accuracy dom72dom62'!AG3:AG107)</f>
        <v>0</v>
      </c>
      <c r="AH108" s="1">
        <f>SUM('accuracy dom72dom62'!AH3:AH107)</f>
        <v>0</v>
      </c>
      <c r="AI108" s="1">
        <f>SUM('accuracy dom72dom62'!AI3:AI107)</f>
        <v>2384</v>
      </c>
      <c r="AJ108" s="1">
        <f>SUM('accuracy dom72dom62'!AJ3:AJ107)</f>
        <v>2</v>
      </c>
      <c r="AK108" s="1">
        <f>SUM('accuracy dom72dom62'!AK3:AK107)</f>
        <v>29</v>
      </c>
      <c r="AL108" s="1">
        <f>SUM('accuracy dom72dom62'!AL3:AL107)</f>
        <v>0</v>
      </c>
      <c r="AM108" s="1">
        <f>SUM('accuracy dom72dom62'!AM3:AM107)</f>
        <v>11098</v>
      </c>
      <c r="AN108" s="1">
        <f>SUM('accuracy dom72dom62'!AN3:AN107)</f>
        <v>139</v>
      </c>
      <c r="AO108" s="1">
        <f>SUM('accuracy dom72dom62'!AO3:AO107)</f>
        <v>0</v>
      </c>
      <c r="AP108" s="1">
        <f>SUM('accuracy dom72dom62'!AP3:AP107)</f>
        <v>0</v>
      </c>
      <c r="AQ108" s="1">
        <f>SUM('accuracy dom72dom62'!AQ3:AQ107)</f>
        <v>0</v>
      </c>
      <c r="AR108" s="1">
        <f>SUM('accuracy dom72dom62'!AR3:AR107)</f>
        <v>10797</v>
      </c>
      <c r="AS108" s="1">
        <f>SUM('accuracy dom72dom62'!AS3:AS107)</f>
        <v>440</v>
      </c>
      <c r="AT108" s="1">
        <f>SUM('accuracy dom72dom62'!AT3:AT107)</f>
        <v>0</v>
      </c>
      <c r="AU108" s="1">
        <f>SUM('accuracy dom72dom62'!AU3:AU107)</f>
        <v>0</v>
      </c>
      <c r="AV108" s="1">
        <f>SUM('accuracy dom72dom62'!AV3:AV107)</f>
        <v>10797</v>
      </c>
      <c r="AW108" s="1">
        <f>SUM('accuracy dom72dom62'!AW3:AW107)</f>
        <v>440</v>
      </c>
      <c r="AX108" s="1">
        <f>SUM('accuracy dom72dom62'!AX3:AX107)</f>
        <v>0</v>
      </c>
      <c r="AY108" s="1">
        <f>SUM('accuracy dom72dom62'!AY3:AY107)</f>
        <v>0</v>
      </c>
      <c r="AZ108" s="1">
        <f>SUM('accuracy dom72dom62'!AZ3:AZ107)</f>
        <v>11398</v>
      </c>
      <c r="BA108" s="1">
        <f>SUM('accuracy dom72dom62'!BA3:BA107)</f>
        <v>0</v>
      </c>
      <c r="BB108" s="1">
        <f>SUM('accuracy dom72dom62'!BB3:BB107)</f>
        <v>0</v>
      </c>
      <c r="BC108" s="1">
        <f>SUM('accuracy dom72dom62'!BC3:BC107)</f>
        <v>0</v>
      </c>
      <c r="BD108" s="1">
        <f>SUM('accuracy dom72dom62'!BD3:BD107)</f>
        <v>2386</v>
      </c>
      <c r="BE108" s="1">
        <f>SUM('accuracy dom72dom62'!BE3:BE107)</f>
        <v>0</v>
      </c>
      <c r="BF108" s="1">
        <f>SUM('accuracy dom72dom62'!BF3:BF107)</f>
        <v>29</v>
      </c>
      <c r="BG108" s="1">
        <f>SUM('accuracy dom72dom62'!BG3:BG107)</f>
        <v>0</v>
      </c>
      <c r="BH108" s="1">
        <f>SUM('accuracy dom72dom62'!BH3:BH107)</f>
        <v>11237</v>
      </c>
      <c r="BI108" s="1">
        <f>SUM('accuracy dom72dom62'!BI3:BI107)</f>
        <v>0</v>
      </c>
      <c r="BJ108" s="1">
        <f>SUM('accuracy dom72dom62'!BJ3:BJ107)</f>
        <v>0</v>
      </c>
      <c r="BK108" s="1">
        <f>SUM('accuracy dom72dom62'!BK3:BK107)</f>
        <v>0</v>
      </c>
      <c r="CE108" s="1" t="s">
        <v>122</v>
      </c>
      <c r="CF108" s="1" t="s">
        <v>122</v>
      </c>
      <c r="CG108" s="1" t="s">
        <v>122</v>
      </c>
      <c r="CH108" s="1" t="s">
        <v>122</v>
      </c>
      <c r="CI108" s="1" t="s">
        <v>122</v>
      </c>
      <c r="CJ108" s="1" t="s">
        <v>122</v>
      </c>
      <c r="CK108" s="1" t="s">
        <v>122</v>
      </c>
      <c r="CL108" s="1" t="s">
        <v>122</v>
      </c>
      <c r="CM108" s="1" t="s">
        <v>122</v>
      </c>
      <c r="CN108" s="1" t="s">
        <v>122</v>
      </c>
      <c r="CO108" s="1" t="s">
        <v>122</v>
      </c>
      <c r="CP108" s="1" t="s">
        <v>122</v>
      </c>
      <c r="CQ108" s="1" t="s">
        <v>122</v>
      </c>
      <c r="CR108" s="1" t="s">
        <v>122</v>
      </c>
      <c r="CS108" s="1" t="s">
        <v>122</v>
      </c>
      <c r="CT108" s="1" t="s">
        <v>122</v>
      </c>
      <c r="CU108" s="1" t="s">
        <v>122</v>
      </c>
      <c r="CV108" s="1" t="s">
        <v>122</v>
      </c>
      <c r="CW108" s="1" t="s">
        <v>122</v>
      </c>
      <c r="CX108" s="1" t="s">
        <v>122</v>
      </c>
      <c r="CY108" s="1" t="s">
        <v>122</v>
      </c>
      <c r="CZ108" s="1" t="s">
        <v>122</v>
      </c>
      <c r="DA108" s="1" t="s">
        <v>122</v>
      </c>
      <c r="DB108" s="1" t="s">
        <v>122</v>
      </c>
      <c r="DC108" s="1" t="s">
        <v>122</v>
      </c>
      <c r="DD108" s="1" t="s">
        <v>122</v>
      </c>
      <c r="DE108" s="1" t="s">
        <v>122</v>
      </c>
      <c r="DF108" s="1" t="s">
        <v>122</v>
      </c>
      <c r="DG108" s="1" t="s">
        <v>122</v>
      </c>
      <c r="DH108" s="1" t="s">
        <v>122</v>
      </c>
      <c r="DI108" s="1" t="s">
        <v>122</v>
      </c>
      <c r="DJ108" s="1" t="s">
        <v>122</v>
      </c>
      <c r="DK108" s="1" t="s">
        <v>122</v>
      </c>
      <c r="DL108" s="1" t="s">
        <v>122</v>
      </c>
      <c r="DM108" s="1" t="s">
        <v>122</v>
      </c>
      <c r="DN108" s="1" t="s">
        <v>122</v>
      </c>
      <c r="DO108" s="1" t="s">
        <v>122</v>
      </c>
      <c r="DP108" s="1" t="s">
        <v>122</v>
      </c>
      <c r="DQ108" s="1" t="s">
        <v>122</v>
      </c>
      <c r="DR108" s="1" t="s">
        <v>122</v>
      </c>
      <c r="DS108" s="1" t="s">
        <v>122</v>
      </c>
      <c r="DT108" s="1" t="s">
        <v>122</v>
      </c>
      <c r="DU108" s="1" t="s">
        <v>122</v>
      </c>
      <c r="DV108" s="1" t="s">
        <v>122</v>
      </c>
      <c r="DW108" s="1" t="s">
        <v>122</v>
      </c>
      <c r="DX108" s="1" t="s">
        <v>122</v>
      </c>
      <c r="DY108" s="1" t="s">
        <v>122</v>
      </c>
      <c r="DZ108" s="1" t="s">
        <v>122</v>
      </c>
      <c r="EA108" s="1" t="s">
        <v>122</v>
      </c>
      <c r="EB108" s="1" t="s">
        <v>122</v>
      </c>
      <c r="EC108" s="1" t="s">
        <v>122</v>
      </c>
      <c r="ED108" s="1" t="s">
        <v>122</v>
      </c>
      <c r="EE108" s="1" t="s">
        <v>122</v>
      </c>
      <c r="EF108" s="1" t="s">
        <v>122</v>
      </c>
      <c r="EG108" s="1" t="s">
        <v>122</v>
      </c>
      <c r="EH108" s="1" t="s">
        <v>122</v>
      </c>
      <c r="EI108" s="1" t="s">
        <v>122</v>
      </c>
      <c r="EJ108" s="1" t="s">
        <v>122</v>
      </c>
      <c r="EK108" s="1" t="s">
        <v>122</v>
      </c>
      <c r="EL108" s="1" t="s">
        <v>122</v>
      </c>
      <c r="EM108" s="1" t="s">
        <v>122</v>
      </c>
      <c r="EN108" s="1" t="s">
        <v>122</v>
      </c>
      <c r="EO108" s="1" t="s">
        <v>122</v>
      </c>
      <c r="EP108" s="1" t="s">
        <v>122</v>
      </c>
      <c r="EQ108" s="1" t="s">
        <v>122</v>
      </c>
      <c r="ER108" s="1" t="s">
        <v>122</v>
      </c>
      <c r="ES108" s="1" t="s">
        <v>122</v>
      </c>
      <c r="ET108" s="1" t="s">
        <v>122</v>
      </c>
      <c r="EU108" s="1" t="s">
        <v>122</v>
      </c>
      <c r="EV108" s="1" t="s">
        <v>122</v>
      </c>
      <c r="EW108" s="1" t="s">
        <v>122</v>
      </c>
      <c r="EX108" s="1" t="s">
        <v>122</v>
      </c>
      <c r="EY108" s="1" t="s">
        <v>122</v>
      </c>
      <c r="EZ108" s="1" t="s">
        <v>122</v>
      </c>
      <c r="FA108" s="1" t="s">
        <v>122</v>
      </c>
      <c r="FB108" s="1" t="s">
        <v>122</v>
      </c>
      <c r="FC108" s="1" t="s">
        <v>122</v>
      </c>
      <c r="FD108" s="1" t="s">
        <v>122</v>
      </c>
      <c r="FE108" s="1" t="s">
        <v>122</v>
      </c>
      <c r="FF108" s="1" t="s">
        <v>122</v>
      </c>
      <c r="FG108" s="1" t="s">
        <v>122</v>
      </c>
      <c r="FH108" s="1" t="s">
        <v>122</v>
      </c>
      <c r="FI108" s="1" t="s">
        <v>122</v>
      </c>
      <c r="FJ108" s="1" t="s">
        <v>122</v>
      </c>
      <c r="FK108" s="1" t="s">
        <v>122</v>
      </c>
      <c r="FL108" s="1" t="s">
        <v>122</v>
      </c>
      <c r="FM108" s="1" t="s">
        <v>122</v>
      </c>
      <c r="FN108" s="1" t="s">
        <v>122</v>
      </c>
      <c r="FO108" s="1" t="s">
        <v>122</v>
      </c>
      <c r="FP108" s="1" t="s">
        <v>122</v>
      </c>
      <c r="FQ108" s="1" t="s">
        <v>122</v>
      </c>
      <c r="FR108" s="1" t="s">
        <v>122</v>
      </c>
      <c r="FS108" s="1" t="s">
        <v>122</v>
      </c>
      <c r="FT108" s="1" t="s">
        <v>122</v>
      </c>
      <c r="FU108" s="1" t="s">
        <v>122</v>
      </c>
      <c r="FV108" s="1" t="s">
        <v>122</v>
      </c>
      <c r="FW108" s="1" t="s">
        <v>122</v>
      </c>
      <c r="FX108" s="1" t="s">
        <v>122</v>
      </c>
      <c r="FY108" s="1" t="s">
        <v>122</v>
      </c>
      <c r="FZ108" s="1" t="s">
        <v>122</v>
      </c>
      <c r="GA108" s="1" t="s">
        <v>122</v>
      </c>
      <c r="GB108" s="1" t="s">
        <v>122</v>
      </c>
      <c r="GC108" s="1" t="s">
        <v>122</v>
      </c>
      <c r="GD108" s="1" t="s">
        <v>122</v>
      </c>
      <c r="GE108" s="1" t="s">
        <v>122</v>
      </c>
      <c r="GF108" s="1" t="s">
        <v>122</v>
      </c>
      <c r="GG108" s="1" t="s">
        <v>122</v>
      </c>
      <c r="GH108" s="1" t="s">
        <v>122</v>
      </c>
      <c r="GI108" s="1" t="s">
        <v>122</v>
      </c>
      <c r="GJ108" s="1" t="s">
        <v>122</v>
      </c>
      <c r="GK108" s="1" t="s">
        <v>122</v>
      </c>
      <c r="GL108" s="1" t="s">
        <v>122</v>
      </c>
      <c r="GM108" s="1" t="s">
        <v>122</v>
      </c>
      <c r="GN108" s="1" t="s">
        <v>122</v>
      </c>
      <c r="GO108" s="1" t="s">
        <v>122</v>
      </c>
      <c r="GP108" s="1" t="s">
        <v>122</v>
      </c>
      <c r="GQ108" s="1" t="s">
        <v>122</v>
      </c>
      <c r="GR108" s="1" t="s">
        <v>122</v>
      </c>
      <c r="GS108" s="1" t="s">
        <v>122</v>
      </c>
      <c r="GT108" s="1" t="s">
        <v>122</v>
      </c>
      <c r="GU108" s="1" t="s">
        <v>122</v>
      </c>
      <c r="GV108" s="1" t="s">
        <v>122</v>
      </c>
      <c r="GW108" s="1" t="s">
        <v>122</v>
      </c>
      <c r="GX108" s="1" t="s">
        <v>122</v>
      </c>
      <c r="GY108" s="1" t="s">
        <v>122</v>
      </c>
      <c r="GZ108" s="1" t="s">
        <v>122</v>
      </c>
      <c r="HA108" s="1" t="s">
        <v>122</v>
      </c>
      <c r="HB108" s="1" t="s">
        <v>122</v>
      </c>
      <c r="HC108" s="1" t="s">
        <v>122</v>
      </c>
      <c r="HD108" s="1" t="s">
        <v>122</v>
      </c>
      <c r="HE108" s="1" t="s">
        <v>122</v>
      </c>
      <c r="HF108" s="1" t="s">
        <v>122</v>
      </c>
      <c r="HG108" s="1" t="s">
        <v>122</v>
      </c>
      <c r="HH108" s="1" t="s">
        <v>122</v>
      </c>
      <c r="HI108" s="1" t="s">
        <v>122</v>
      </c>
      <c r="HJ108" s="1" t="s">
        <v>122</v>
      </c>
      <c r="HK108" s="1" t="s">
        <v>122</v>
      </c>
      <c r="HL108" s="1" t="s">
        <v>122</v>
      </c>
      <c r="HM108" s="1" t="s">
        <v>122</v>
      </c>
      <c r="HN108" s="1" t="s">
        <v>122</v>
      </c>
      <c r="HO108" s="1" t="s">
        <v>122</v>
      </c>
      <c r="HP108" s="1" t="s">
        <v>122</v>
      </c>
      <c r="HQ108" s="1" t="s">
        <v>122</v>
      </c>
      <c r="HR108" s="1" t="s">
        <v>122</v>
      </c>
      <c r="HS108" s="1" t="s">
        <v>122</v>
      </c>
      <c r="HT108" s="1" t="s">
        <v>122</v>
      </c>
      <c r="HU108" s="1" t="s">
        <v>122</v>
      </c>
      <c r="HV108" s="1" t="s">
        <v>122</v>
      </c>
      <c r="HW108" s="1" t="s">
        <v>122</v>
      </c>
      <c r="HX108" s="1" t="s">
        <v>122</v>
      </c>
      <c r="HY108" s="1" t="s">
        <v>122</v>
      </c>
      <c r="HZ108" s="1" t="s">
        <v>122</v>
      </c>
      <c r="IA108" s="1" t="s">
        <v>122</v>
      </c>
      <c r="IB108" s="1" t="s">
        <v>122</v>
      </c>
      <c r="IC108" s="1" t="s">
        <v>122</v>
      </c>
      <c r="ID108" s="1" t="s">
        <v>122</v>
      </c>
      <c r="IE108" s="1" t="s">
        <v>122</v>
      </c>
      <c r="IF108" s="1" t="s">
        <v>122</v>
      </c>
      <c r="IG108" s="1" t="s">
        <v>122</v>
      </c>
      <c r="IH108" s="1" t="s">
        <v>122</v>
      </c>
      <c r="II108" s="1" t="s">
        <v>122</v>
      </c>
      <c r="IJ108" s="1" t="s">
        <v>122</v>
      </c>
      <c r="IK108" s="1" t="s">
        <v>122</v>
      </c>
      <c r="IL108" s="1" t="s">
        <v>122</v>
      </c>
      <c r="IM108" s="1" t="s">
        <v>122</v>
      </c>
      <c r="IN108" s="1" t="s">
        <v>122</v>
      </c>
      <c r="IO108" s="1" t="s">
        <v>122</v>
      </c>
      <c r="IP108" s="1" t="s">
        <v>122</v>
      </c>
      <c r="IQ108" s="1" t="s">
        <v>122</v>
      </c>
      <c r="IR108" s="1" t="s">
        <v>122</v>
      </c>
      <c r="IS108" s="1" t="s">
        <v>122</v>
      </c>
      <c r="IT108" s="1" t="s">
        <v>122</v>
      </c>
      <c r="IU108" s="1" t="s">
        <v>122</v>
      </c>
      <c r="IV108" s="1" t="s">
        <v>122</v>
      </c>
      <c r="IW108" s="1" t="s">
        <v>122</v>
      </c>
      <c r="IX108" s="1" t="s">
        <v>122</v>
      </c>
      <c r="IY108" s="1" t="s">
        <v>122</v>
      </c>
      <c r="IZ108" s="1" t="s">
        <v>122</v>
      </c>
      <c r="JA108" s="1" t="s">
        <v>122</v>
      </c>
      <c r="JB108" s="1" t="s">
        <v>122</v>
      </c>
      <c r="JC108" s="1" t="s">
        <v>122</v>
      </c>
      <c r="JD108" s="1" t="s">
        <v>122</v>
      </c>
      <c r="JE108" s="1" t="s">
        <v>122</v>
      </c>
      <c r="JF108" s="1" t="s">
        <v>122</v>
      </c>
      <c r="JG108" s="1" t="s">
        <v>122</v>
      </c>
      <c r="JH108" s="1" t="s">
        <v>122</v>
      </c>
      <c r="JI108" s="1" t="s">
        <v>122</v>
      </c>
      <c r="JJ108" s="1" t="s">
        <v>122</v>
      </c>
      <c r="JK108" s="1" t="s">
        <v>122</v>
      </c>
      <c r="JL108" s="1" t="s">
        <v>122</v>
      </c>
      <c r="JM108" s="1" t="s">
        <v>122</v>
      </c>
      <c r="JN108" s="1" t="s">
        <v>122</v>
      </c>
      <c r="JO108" s="1" t="s">
        <v>122</v>
      </c>
      <c r="JP108" s="1" t="s">
        <v>122</v>
      </c>
      <c r="JQ108" s="1" t="s">
        <v>122</v>
      </c>
      <c r="JR108" s="1" t="s">
        <v>122</v>
      </c>
      <c r="JS108" s="1" t="s">
        <v>122</v>
      </c>
      <c r="JT108" s="1" t="s">
        <v>122</v>
      </c>
      <c r="JU108" s="1" t="s">
        <v>122</v>
      </c>
      <c r="JV108" s="1" t="s">
        <v>122</v>
      </c>
      <c r="JW108" s="1" t="s">
        <v>122</v>
      </c>
      <c r="JX108" s="1" t="s">
        <v>122</v>
      </c>
      <c r="JY108" s="1" t="s">
        <v>122</v>
      </c>
      <c r="JZ108" s="1" t="s">
        <v>122</v>
      </c>
      <c r="KA108" s="1" t="s">
        <v>122</v>
      </c>
      <c r="KB108" s="1" t="s">
        <v>122</v>
      </c>
      <c r="KC108" s="1" t="s">
        <v>122</v>
      </c>
      <c r="KD108" s="1" t="s">
        <v>122</v>
      </c>
      <c r="KE108" s="1" t="s">
        <v>122</v>
      </c>
      <c r="KF108" s="1" t="s">
        <v>122</v>
      </c>
      <c r="KG108" s="1" t="s">
        <v>122</v>
      </c>
      <c r="KH108" s="1" t="s">
        <v>122</v>
      </c>
      <c r="KI108" s="1" t="s">
        <v>122</v>
      </c>
      <c r="KJ108" s="1" t="s">
        <v>122</v>
      </c>
      <c r="KK108" s="1" t="s">
        <v>122</v>
      </c>
      <c r="KL108" s="1" t="s">
        <v>122</v>
      </c>
      <c r="KM108" s="1" t="s">
        <v>122</v>
      </c>
      <c r="KN108" s="1" t="s">
        <v>122</v>
      </c>
      <c r="KO108" s="1" t="s">
        <v>122</v>
      </c>
      <c r="KP108" s="1" t="s">
        <v>122</v>
      </c>
      <c r="KQ108" s="1" t="s">
        <v>122</v>
      </c>
      <c r="KR108" s="1" t="s">
        <v>122</v>
      </c>
      <c r="KS108" s="1" t="s">
        <v>122</v>
      </c>
      <c r="KT108" s="1" t="s">
        <v>122</v>
      </c>
      <c r="KU108" s="1" t="s">
        <v>122</v>
      </c>
      <c r="KV108" s="1" t="s">
        <v>122</v>
      </c>
      <c r="KW108" s="1" t="s">
        <v>122</v>
      </c>
      <c r="KX108" s="1" t="s">
        <v>122</v>
      </c>
      <c r="KY108" s="1" t="s">
        <v>122</v>
      </c>
      <c r="KZ108" s="1" t="s">
        <v>122</v>
      </c>
      <c r="LA108" s="1" t="s">
        <v>122</v>
      </c>
      <c r="LB108" s="1" t="s">
        <v>122</v>
      </c>
      <c r="LC108" s="1" t="s">
        <v>122</v>
      </c>
      <c r="LD108" s="1" t="s">
        <v>122</v>
      </c>
      <c r="LE108" s="1" t="s">
        <v>122</v>
      </c>
      <c r="LF108" s="1" t="s">
        <v>122</v>
      </c>
      <c r="LG108" s="1" t="s">
        <v>122</v>
      </c>
      <c r="LH108" s="1" t="s">
        <v>122</v>
      </c>
      <c r="LI108" s="1" t="s">
        <v>122</v>
      </c>
      <c r="LJ108" s="1" t="s">
        <v>122</v>
      </c>
      <c r="LK108" s="1" t="s">
        <v>122</v>
      </c>
      <c r="LL108" s="1" t="s">
        <v>122</v>
      </c>
      <c r="LM108" s="1" t="s">
        <v>122</v>
      </c>
      <c r="LN108" s="1" t="s">
        <v>122</v>
      </c>
      <c r="LO108" s="1" t="s">
        <v>122</v>
      </c>
      <c r="LP108" s="1" t="s">
        <v>122</v>
      </c>
      <c r="LQ108" s="1" t="s">
        <v>122</v>
      </c>
      <c r="LR108" s="1" t="s">
        <v>122</v>
      </c>
      <c r="LS108" s="1" t="s">
        <v>122</v>
      </c>
      <c r="LT108" s="1" t="s">
        <v>122</v>
      </c>
      <c r="LU108" s="1" t="s">
        <v>122</v>
      </c>
      <c r="LV108" s="1" t="s">
        <v>122</v>
      </c>
      <c r="LW108" s="1" t="s">
        <v>122</v>
      </c>
      <c r="LX108" s="1" t="s">
        <v>122</v>
      </c>
      <c r="LY108" s="1" t="s">
        <v>122</v>
      </c>
      <c r="LZ108" s="1" t="s">
        <v>122</v>
      </c>
      <c r="MA108" s="1" t="s">
        <v>122</v>
      </c>
      <c r="MB108" s="1" t="s">
        <v>122</v>
      </c>
      <c r="MC108" s="1" t="s">
        <v>122</v>
      </c>
      <c r="MD108" s="1" t="s">
        <v>122</v>
      </c>
      <c r="ME108" s="1" t="s">
        <v>122</v>
      </c>
      <c r="MF108" s="1" t="s">
        <v>122</v>
      </c>
      <c r="MG108" s="1" t="s">
        <v>122</v>
      </c>
      <c r="MH108" s="1" t="s">
        <v>122</v>
      </c>
      <c r="MI108" s="1" t="s">
        <v>122</v>
      </c>
      <c r="MJ108" s="1" t="s">
        <v>122</v>
      </c>
      <c r="MK108" s="1" t="s">
        <v>122</v>
      </c>
      <c r="ML108" s="1" t="s">
        <v>122</v>
      </c>
      <c r="MM108" s="1" t="s">
        <v>122</v>
      </c>
      <c r="MN108" s="1" t="s">
        <v>122</v>
      </c>
      <c r="MO108" s="1" t="s">
        <v>122</v>
      </c>
      <c r="MP108" s="1" t="s">
        <v>122</v>
      </c>
      <c r="MQ108" s="1" t="s">
        <v>122</v>
      </c>
      <c r="MR108" s="1" t="s">
        <v>122</v>
      </c>
      <c r="MS108" s="1" t="s">
        <v>122</v>
      </c>
      <c r="MT108" s="1" t="s">
        <v>122</v>
      </c>
      <c r="MU108" s="1" t="s">
        <v>122</v>
      </c>
      <c r="MV108" s="1" t="s">
        <v>122</v>
      </c>
      <c r="MW108" s="1" t="s">
        <v>122</v>
      </c>
      <c r="MX108" s="1" t="s">
        <v>122</v>
      </c>
      <c r="MY108" s="1" t="s">
        <v>122</v>
      </c>
      <c r="MZ108" s="1" t="s">
        <v>122</v>
      </c>
      <c r="NA108" s="1" t="s">
        <v>122</v>
      </c>
      <c r="NB108" s="1" t="s">
        <v>122</v>
      </c>
      <c r="NC108" s="1" t="s">
        <v>122</v>
      </c>
      <c r="ND108" s="1" t="s">
        <v>122</v>
      </c>
      <c r="NE108" s="1" t="s">
        <v>122</v>
      </c>
      <c r="NF108" s="1" t="s">
        <v>122</v>
      </c>
      <c r="NG108" s="1" t="s">
        <v>122</v>
      </c>
      <c r="NH108" s="1" t="s">
        <v>122</v>
      </c>
      <c r="NI108" s="1" t="s">
        <v>122</v>
      </c>
      <c r="NJ108" s="1" t="s">
        <v>122</v>
      </c>
      <c r="NK108" s="1" t="s">
        <v>122</v>
      </c>
      <c r="NL108" s="1" t="s">
        <v>122</v>
      </c>
      <c r="NM108" s="1" t="s">
        <v>122</v>
      </c>
      <c r="NN108" s="1" t="s">
        <v>122</v>
      </c>
      <c r="NO108" s="1" t="s">
        <v>122</v>
      </c>
      <c r="NP108" s="1" t="s">
        <v>122</v>
      </c>
      <c r="NQ108" s="1" t="s">
        <v>122</v>
      </c>
      <c r="NR108" s="1" t="s">
        <v>122</v>
      </c>
      <c r="NS108" s="1" t="s">
        <v>122</v>
      </c>
      <c r="NT108" s="1" t="s">
        <v>122</v>
      </c>
      <c r="NU108" s="1" t="s">
        <v>122</v>
      </c>
      <c r="NV108" s="1" t="s">
        <v>122</v>
      </c>
      <c r="NW108" s="1" t="s">
        <v>122</v>
      </c>
      <c r="NX108" s="1" t="s">
        <v>122</v>
      </c>
      <c r="NY108" s="1" t="s">
        <v>122</v>
      </c>
      <c r="NZ108" s="1" t="s">
        <v>122</v>
      </c>
      <c r="OA108" s="1" t="s">
        <v>122</v>
      </c>
      <c r="OB108" s="1" t="s">
        <v>122</v>
      </c>
      <c r="OC108" s="1" t="s">
        <v>122</v>
      </c>
      <c r="OD108" s="1" t="s">
        <v>122</v>
      </c>
      <c r="OE108" s="1" t="s">
        <v>122</v>
      </c>
      <c r="OF108" s="1" t="s">
        <v>122</v>
      </c>
      <c r="OG108" s="1" t="s">
        <v>122</v>
      </c>
      <c r="OH108" s="1" t="s">
        <v>122</v>
      </c>
      <c r="OI108" s="1" t="s">
        <v>122</v>
      </c>
      <c r="OJ108" s="1" t="s">
        <v>122</v>
      </c>
      <c r="OK108" s="1" t="s">
        <v>122</v>
      </c>
      <c r="OL108" s="1" t="s">
        <v>122</v>
      </c>
      <c r="OM108" s="1" t="s">
        <v>122</v>
      </c>
      <c r="ON108" s="1" t="s">
        <v>122</v>
      </c>
      <c r="OO108" s="1" t="s">
        <v>122</v>
      </c>
      <c r="OP108" s="1" t="s">
        <v>122</v>
      </c>
      <c r="OQ108" s="1" t="s">
        <v>122</v>
      </c>
      <c r="OR108" s="1" t="s">
        <v>122</v>
      </c>
      <c r="OS108" s="1" t="s">
        <v>122</v>
      </c>
      <c r="OT108" s="1" t="s">
        <v>122</v>
      </c>
      <c r="OU108" s="1" t="s">
        <v>122</v>
      </c>
      <c r="OV108" s="1" t="s">
        <v>122</v>
      </c>
      <c r="OW108" s="1" t="s">
        <v>122</v>
      </c>
      <c r="OX108" s="1" t="s">
        <v>122</v>
      </c>
      <c r="OY108" s="1" t="s">
        <v>122</v>
      </c>
      <c r="OZ108" s="1" t="s">
        <v>122</v>
      </c>
      <c r="PA108" s="1" t="s">
        <v>122</v>
      </c>
      <c r="PB108" s="1" t="s">
        <v>122</v>
      </c>
      <c r="PC108" s="1" t="s">
        <v>122</v>
      </c>
      <c r="PD108" s="1" t="s">
        <v>122</v>
      </c>
      <c r="PE108" s="1" t="s">
        <v>122</v>
      </c>
      <c r="PF108" s="1" t="s">
        <v>122</v>
      </c>
      <c r="PG108" s="1" t="s">
        <v>122</v>
      </c>
      <c r="PH108" s="1" t="s">
        <v>122</v>
      </c>
      <c r="PI108" s="1" t="s">
        <v>122</v>
      </c>
      <c r="PJ108" s="1" t="s">
        <v>122</v>
      </c>
      <c r="PK108" s="1" t="s">
        <v>122</v>
      </c>
      <c r="PL108" s="1" t="s">
        <v>122</v>
      </c>
      <c r="PM108" s="1" t="s">
        <v>122</v>
      </c>
      <c r="PN108" s="1" t="s">
        <v>122</v>
      </c>
      <c r="PO108" s="1" t="s">
        <v>122</v>
      </c>
      <c r="PP108" s="1" t="s">
        <v>122</v>
      </c>
      <c r="PQ108" s="1" t="s">
        <v>122</v>
      </c>
      <c r="PR108" s="1" t="s">
        <v>122</v>
      </c>
      <c r="PS108" s="1" t="s">
        <v>122</v>
      </c>
      <c r="PT108" s="1" t="s">
        <v>122</v>
      </c>
      <c r="PU108" s="1" t="s">
        <v>122</v>
      </c>
      <c r="PV108" s="1" t="s">
        <v>122</v>
      </c>
      <c r="PW108" s="1" t="s">
        <v>122</v>
      </c>
      <c r="PX108" s="1" t="s">
        <v>122</v>
      </c>
      <c r="PY108" s="1" t="s">
        <v>122</v>
      </c>
      <c r="PZ108" s="1" t="s">
        <v>122</v>
      </c>
      <c r="QA108" s="1" t="s">
        <v>122</v>
      </c>
      <c r="QB108" s="1" t="s">
        <v>122</v>
      </c>
      <c r="QC108" s="1" t="s">
        <v>122</v>
      </c>
      <c r="QD108" s="1" t="s">
        <v>122</v>
      </c>
      <c r="QE108" s="1" t="s">
        <v>122</v>
      </c>
      <c r="QF108" s="1" t="s">
        <v>122</v>
      </c>
      <c r="QG108" s="1" t="s">
        <v>122</v>
      </c>
      <c r="QH108" s="1" t="s">
        <v>122</v>
      </c>
      <c r="QI108" s="1" t="s">
        <v>122</v>
      </c>
      <c r="QJ108" s="1" t="s">
        <v>122</v>
      </c>
      <c r="QK108" s="1" t="s">
        <v>122</v>
      </c>
      <c r="QL108" s="1" t="s">
        <v>122</v>
      </c>
      <c r="QM108" s="1" t="s">
        <v>122</v>
      </c>
      <c r="QN108" s="1" t="s">
        <v>122</v>
      </c>
      <c r="QO108" s="1" t="s">
        <v>122</v>
      </c>
      <c r="QP108" s="1" t="s">
        <v>122</v>
      </c>
      <c r="QQ108" s="1" t="s">
        <v>122</v>
      </c>
      <c r="QR108" s="1" t="s">
        <v>122</v>
      </c>
      <c r="QS108" s="1" t="s">
        <v>122</v>
      </c>
      <c r="QT108" s="1" t="s">
        <v>122</v>
      </c>
      <c r="QU108" s="1" t="s">
        <v>122</v>
      </c>
      <c r="QV108" s="1" t="s">
        <v>122</v>
      </c>
      <c r="QW108" s="1" t="s">
        <v>122</v>
      </c>
      <c r="QX108" s="1" t="s">
        <v>122</v>
      </c>
      <c r="QY108" s="1" t="s">
        <v>122</v>
      </c>
      <c r="QZ108" s="1" t="s">
        <v>122</v>
      </c>
      <c r="RA108" s="1" t="s">
        <v>122</v>
      </c>
      <c r="RB108" s="1" t="s">
        <v>122</v>
      </c>
      <c r="RC108" s="1" t="s">
        <v>122</v>
      </c>
      <c r="RD108" s="1" t="s">
        <v>122</v>
      </c>
      <c r="RE108" s="1" t="s">
        <v>122</v>
      </c>
      <c r="RF108" s="1" t="s">
        <v>122</v>
      </c>
      <c r="RG108" s="1" t="s">
        <v>122</v>
      </c>
      <c r="RH108" s="1" t="s">
        <v>122</v>
      </c>
      <c r="RI108" s="1" t="s">
        <v>122</v>
      </c>
      <c r="RJ108" s="1" t="s">
        <v>122</v>
      </c>
      <c r="RK108" s="1" t="s">
        <v>122</v>
      </c>
      <c r="RL108" s="1" t="s">
        <v>122</v>
      </c>
      <c r="RM108" s="1" t="s">
        <v>122</v>
      </c>
      <c r="RN108" s="1" t="s">
        <v>122</v>
      </c>
      <c r="RO108" s="1" t="s">
        <v>122</v>
      </c>
      <c r="RP108" s="1" t="s">
        <v>122</v>
      </c>
      <c r="RQ108" s="1" t="s">
        <v>122</v>
      </c>
      <c r="RR108" s="1" t="s">
        <v>122</v>
      </c>
      <c r="RS108" s="1" t="s">
        <v>122</v>
      </c>
      <c r="RT108" s="1" t="s">
        <v>122</v>
      </c>
      <c r="RU108" s="1" t="s">
        <v>122</v>
      </c>
      <c r="RV108" s="1" t="s">
        <v>122</v>
      </c>
      <c r="RW108" s="1" t="s">
        <v>122</v>
      </c>
      <c r="RX108" s="1" t="s">
        <v>122</v>
      </c>
      <c r="RY108" s="1" t="s">
        <v>122</v>
      </c>
      <c r="RZ108" s="1" t="s">
        <v>122</v>
      </c>
      <c r="SA108" s="1" t="s">
        <v>122</v>
      </c>
      <c r="SB108" s="1" t="s">
        <v>122</v>
      </c>
      <c r="SC108" s="1" t="s">
        <v>122</v>
      </c>
      <c r="SD108" s="1" t="s">
        <v>122</v>
      </c>
      <c r="SE108" s="1" t="s">
        <v>122</v>
      </c>
      <c r="SF108" s="1" t="s">
        <v>122</v>
      </c>
      <c r="SG108" s="1" t="s">
        <v>122</v>
      </c>
      <c r="SH108" s="1" t="s">
        <v>122</v>
      </c>
      <c r="SI108" s="1" t="s">
        <v>122</v>
      </c>
      <c r="SJ108" s="1" t="s">
        <v>122</v>
      </c>
      <c r="SK108" s="1" t="s">
        <v>122</v>
      </c>
      <c r="SL108" s="1" t="s">
        <v>122</v>
      </c>
      <c r="SM108" s="1" t="s">
        <v>122</v>
      </c>
      <c r="SN108" s="1" t="s">
        <v>122</v>
      </c>
      <c r="SO108" s="1" t="s">
        <v>122</v>
      </c>
      <c r="SP108" s="1" t="s">
        <v>122</v>
      </c>
      <c r="SQ108" s="1" t="s">
        <v>122</v>
      </c>
      <c r="SR108" s="1" t="s">
        <v>122</v>
      </c>
      <c r="SS108" s="1" t="s">
        <v>122</v>
      </c>
      <c r="ST108" s="1" t="s">
        <v>122</v>
      </c>
      <c r="SU108" s="1" t="s">
        <v>122</v>
      </c>
      <c r="SV108" s="1" t="s">
        <v>122</v>
      </c>
      <c r="SW108" s="1" t="s">
        <v>122</v>
      </c>
      <c r="SX108" s="1" t="s">
        <v>122</v>
      </c>
      <c r="SY108" s="1" t="s">
        <v>122</v>
      </c>
      <c r="SZ108" s="1" t="s">
        <v>122</v>
      </c>
      <c r="TA108" s="1" t="s">
        <v>122</v>
      </c>
      <c r="TB108" s="1" t="s">
        <v>122</v>
      </c>
      <c r="TC108" s="1" t="s">
        <v>122</v>
      </c>
      <c r="TD108" s="1" t="s">
        <v>122</v>
      </c>
      <c r="TE108" s="1" t="s">
        <v>122</v>
      </c>
      <c r="TF108" s="1" t="s">
        <v>122</v>
      </c>
      <c r="TG108" s="1" t="s">
        <v>122</v>
      </c>
      <c r="TH108" s="1" t="s">
        <v>122</v>
      </c>
      <c r="TI108" s="1" t="s">
        <v>122</v>
      </c>
      <c r="TJ108" s="1" t="s">
        <v>122</v>
      </c>
      <c r="TK108" s="1" t="s">
        <v>122</v>
      </c>
      <c r="TL108" s="1" t="s">
        <v>122</v>
      </c>
      <c r="TM108" s="1" t="s">
        <v>122</v>
      </c>
      <c r="TN108" s="1" t="s">
        <v>122</v>
      </c>
      <c r="TO108" s="1" t="s">
        <v>122</v>
      </c>
      <c r="TP108" s="1" t="s">
        <v>122</v>
      </c>
      <c r="TQ108" s="1" t="s">
        <v>122</v>
      </c>
      <c r="TR108" s="1" t="s">
        <v>122</v>
      </c>
      <c r="TS108" s="1" t="s">
        <v>122</v>
      </c>
      <c r="TT108" s="1" t="s">
        <v>122</v>
      </c>
      <c r="TU108" s="1" t="s">
        <v>122</v>
      </c>
      <c r="TV108" s="1" t="s">
        <v>122</v>
      </c>
      <c r="TW108" s="1" t="s">
        <v>122</v>
      </c>
      <c r="TX108" s="1" t="s">
        <v>122</v>
      </c>
      <c r="TY108" s="1" t="s">
        <v>122</v>
      </c>
      <c r="TZ108" s="1" t="s">
        <v>122</v>
      </c>
      <c r="UA108" s="1" t="s">
        <v>122</v>
      </c>
      <c r="UB108" s="1" t="s">
        <v>122</v>
      </c>
      <c r="UC108" s="1" t="s">
        <v>122</v>
      </c>
      <c r="UD108" s="1" t="s">
        <v>122</v>
      </c>
      <c r="UE108" s="1" t="s">
        <v>122</v>
      </c>
      <c r="UF108" s="1" t="s">
        <v>122</v>
      </c>
      <c r="UG108" s="1" t="s">
        <v>122</v>
      </c>
      <c r="UH108" s="1" t="s">
        <v>122</v>
      </c>
      <c r="UI108" s="1" t="s">
        <v>122</v>
      </c>
      <c r="UJ108" s="1" t="s">
        <v>122</v>
      </c>
      <c r="UK108" s="1" t="s">
        <v>122</v>
      </c>
      <c r="UL108" s="1" t="s">
        <v>122</v>
      </c>
      <c r="UM108" s="1" t="s">
        <v>122</v>
      </c>
      <c r="UN108" s="1" t="s">
        <v>122</v>
      </c>
      <c r="UO108" s="1" t="s">
        <v>122</v>
      </c>
      <c r="UP108" s="1" t="s">
        <v>122</v>
      </c>
      <c r="UQ108" s="1" t="s">
        <v>122</v>
      </c>
      <c r="UR108" s="1" t="s">
        <v>122</v>
      </c>
      <c r="US108" s="1" t="s">
        <v>122</v>
      </c>
      <c r="UT108" s="1" t="s">
        <v>122</v>
      </c>
      <c r="UU108" s="1" t="s">
        <v>122</v>
      </c>
      <c r="UV108" s="1" t="s">
        <v>122</v>
      </c>
      <c r="UW108" s="1" t="s">
        <v>122</v>
      </c>
      <c r="UX108" s="1" t="s">
        <v>122</v>
      </c>
      <c r="UY108" s="1" t="s">
        <v>122</v>
      </c>
      <c r="UZ108" s="1" t="s">
        <v>122</v>
      </c>
      <c r="VA108" s="1" t="s">
        <v>122</v>
      </c>
      <c r="VB108" s="1" t="s">
        <v>122</v>
      </c>
      <c r="VC108" s="1" t="s">
        <v>122</v>
      </c>
      <c r="VD108" s="1" t="s">
        <v>122</v>
      </c>
      <c r="VE108" s="1" t="s">
        <v>122</v>
      </c>
      <c r="VF108" s="1" t="s">
        <v>122</v>
      </c>
      <c r="VG108" s="1" t="s">
        <v>122</v>
      </c>
      <c r="VH108" s="1" t="s">
        <v>122</v>
      </c>
      <c r="VI108" s="1" t="s">
        <v>122</v>
      </c>
      <c r="VJ108" s="1" t="s">
        <v>122</v>
      </c>
      <c r="VK108" s="1" t="s">
        <v>122</v>
      </c>
      <c r="VL108" s="1" t="s">
        <v>122</v>
      </c>
      <c r="VM108" s="1" t="s">
        <v>122</v>
      </c>
      <c r="VN108" s="1" t="s">
        <v>122</v>
      </c>
      <c r="VO108" s="1" t="s">
        <v>122</v>
      </c>
      <c r="VP108" s="1" t="s">
        <v>122</v>
      </c>
      <c r="VQ108" s="1" t="s">
        <v>122</v>
      </c>
      <c r="VR108" s="1" t="s">
        <v>122</v>
      </c>
      <c r="VS108" s="1" t="s">
        <v>122</v>
      </c>
      <c r="VT108" s="1" t="s">
        <v>122</v>
      </c>
      <c r="VU108" s="1" t="s">
        <v>122</v>
      </c>
      <c r="VV108" s="1" t="s">
        <v>122</v>
      </c>
      <c r="VW108" s="1" t="s">
        <v>122</v>
      </c>
      <c r="VX108" s="1" t="s">
        <v>122</v>
      </c>
      <c r="VY108" s="1" t="s">
        <v>122</v>
      </c>
      <c r="VZ108" s="1" t="s">
        <v>122</v>
      </c>
      <c r="WA108" s="1" t="s">
        <v>122</v>
      </c>
      <c r="WB108" s="1" t="s">
        <v>122</v>
      </c>
      <c r="WC108" s="1" t="s">
        <v>122</v>
      </c>
      <c r="WD108" s="1" t="s">
        <v>122</v>
      </c>
      <c r="WE108" s="1" t="s">
        <v>122</v>
      </c>
      <c r="WF108" s="1" t="s">
        <v>122</v>
      </c>
      <c r="WG108" s="1" t="s">
        <v>122</v>
      </c>
      <c r="WH108" s="1" t="s">
        <v>122</v>
      </c>
      <c r="WI108" s="1" t="s">
        <v>122</v>
      </c>
      <c r="WJ108" s="1" t="s">
        <v>122</v>
      </c>
      <c r="WK108" s="1" t="s">
        <v>122</v>
      </c>
      <c r="WL108" s="1" t="s">
        <v>122</v>
      </c>
      <c r="WM108" s="1" t="s">
        <v>122</v>
      </c>
      <c r="WN108" s="1" t="s">
        <v>122</v>
      </c>
      <c r="WO108" s="1" t="s">
        <v>122</v>
      </c>
      <c r="WP108" s="1" t="s">
        <v>122</v>
      </c>
      <c r="WQ108" s="1" t="s">
        <v>122</v>
      </c>
      <c r="WR108" s="1" t="s">
        <v>122</v>
      </c>
      <c r="WS108" s="1" t="s">
        <v>122</v>
      </c>
      <c r="WT108" s="1" t="s">
        <v>122</v>
      </c>
      <c r="WU108" s="1" t="s">
        <v>122</v>
      </c>
      <c r="WV108" s="1" t="s">
        <v>122</v>
      </c>
      <c r="WW108" s="1" t="s">
        <v>122</v>
      </c>
      <c r="WX108" s="1" t="s">
        <v>122</v>
      </c>
      <c r="WY108" s="1" t="s">
        <v>122</v>
      </c>
      <c r="WZ108" s="1" t="s">
        <v>122</v>
      </c>
      <c r="XA108" s="1" t="s">
        <v>122</v>
      </c>
      <c r="XB108" s="1" t="s">
        <v>122</v>
      </c>
      <c r="XC108" s="1" t="s">
        <v>122</v>
      </c>
      <c r="XD108" s="1" t="s">
        <v>122</v>
      </c>
      <c r="XE108" s="1" t="s">
        <v>122</v>
      </c>
      <c r="XF108" s="1" t="s">
        <v>122</v>
      </c>
      <c r="XG108" s="1" t="s">
        <v>122</v>
      </c>
      <c r="XH108" s="1" t="s">
        <v>122</v>
      </c>
      <c r="XI108" s="1" t="s">
        <v>122</v>
      </c>
      <c r="XJ108" s="1" t="s">
        <v>122</v>
      </c>
      <c r="XK108" s="1" t="s">
        <v>122</v>
      </c>
      <c r="XL108" s="1" t="s">
        <v>122</v>
      </c>
      <c r="XM108" s="1" t="s">
        <v>122</v>
      </c>
      <c r="XN108" s="1" t="s">
        <v>122</v>
      </c>
      <c r="XO108" s="1" t="s">
        <v>122</v>
      </c>
      <c r="XP108" s="1" t="s">
        <v>122</v>
      </c>
      <c r="XQ108" s="1" t="s">
        <v>122</v>
      </c>
      <c r="XR108" s="1" t="s">
        <v>122</v>
      </c>
      <c r="XS108" s="1" t="s">
        <v>122</v>
      </c>
      <c r="XT108" s="1" t="s">
        <v>122</v>
      </c>
      <c r="XU108" s="1" t="s">
        <v>122</v>
      </c>
      <c r="XV108" s="1" t="s">
        <v>122</v>
      </c>
      <c r="XW108" s="1" t="s">
        <v>122</v>
      </c>
      <c r="XX108" s="1" t="s">
        <v>122</v>
      </c>
      <c r="XY108" s="1" t="s">
        <v>122</v>
      </c>
      <c r="XZ108" s="1" t="s">
        <v>122</v>
      </c>
      <c r="YA108" s="1" t="s">
        <v>122</v>
      </c>
      <c r="YB108" s="1" t="s">
        <v>122</v>
      </c>
      <c r="YC108" s="1" t="s">
        <v>122</v>
      </c>
      <c r="YD108" s="1" t="s">
        <v>122</v>
      </c>
      <c r="YE108" s="1" t="s">
        <v>122</v>
      </c>
      <c r="YF108" s="1" t="s">
        <v>122</v>
      </c>
      <c r="YG108" s="1" t="s">
        <v>122</v>
      </c>
      <c r="YH108" s="1" t="s">
        <v>122</v>
      </c>
      <c r="YI108" s="1" t="s">
        <v>122</v>
      </c>
      <c r="YJ108" s="1" t="s">
        <v>122</v>
      </c>
      <c r="YK108" s="1" t="s">
        <v>122</v>
      </c>
      <c r="YL108" s="1" t="s">
        <v>122</v>
      </c>
      <c r="YM108" s="1" t="s">
        <v>122</v>
      </c>
      <c r="YN108" s="1" t="s">
        <v>122</v>
      </c>
      <c r="YO108" s="1" t="s">
        <v>122</v>
      </c>
      <c r="YP108" s="1" t="s">
        <v>122</v>
      </c>
      <c r="YQ108" s="1" t="s">
        <v>122</v>
      </c>
      <c r="YR108" s="1" t="s">
        <v>122</v>
      </c>
      <c r="YS108" s="1" t="s">
        <v>122</v>
      </c>
      <c r="YT108" s="1" t="s">
        <v>122</v>
      </c>
      <c r="YU108" s="1" t="s">
        <v>122</v>
      </c>
      <c r="YV108" s="1" t="s">
        <v>122</v>
      </c>
      <c r="YW108" s="1" t="s">
        <v>122</v>
      </c>
      <c r="YX108" s="1" t="s">
        <v>122</v>
      </c>
      <c r="YY108" s="1" t="s">
        <v>122</v>
      </c>
      <c r="YZ108" s="1" t="s">
        <v>122</v>
      </c>
      <c r="ZA108" s="1" t="s">
        <v>122</v>
      </c>
      <c r="ZB108" s="1" t="s">
        <v>122</v>
      </c>
      <c r="ZC108" s="1" t="s">
        <v>122</v>
      </c>
      <c r="ZD108" s="1" t="s">
        <v>122</v>
      </c>
      <c r="ZE108" s="1" t="s">
        <v>122</v>
      </c>
      <c r="ZF108" s="1" t="s">
        <v>122</v>
      </c>
      <c r="ZG108" s="1" t="s">
        <v>122</v>
      </c>
      <c r="ZH108" s="1" t="s">
        <v>122</v>
      </c>
      <c r="ZI108" s="1" t="s">
        <v>122</v>
      </c>
      <c r="ZJ108" s="1" t="s">
        <v>122</v>
      </c>
      <c r="ZK108" s="1" t="s">
        <v>122</v>
      </c>
      <c r="ZL108" s="1" t="s">
        <v>122</v>
      </c>
      <c r="ZM108" s="1" t="s">
        <v>122</v>
      </c>
      <c r="ZN108" s="1" t="s">
        <v>122</v>
      </c>
      <c r="ZO108" s="1" t="s">
        <v>122</v>
      </c>
      <c r="ZP108" s="1" t="s">
        <v>122</v>
      </c>
      <c r="ZQ108" s="1" t="s">
        <v>122</v>
      </c>
      <c r="ZR108" s="1" t="s">
        <v>122</v>
      </c>
      <c r="ZS108" s="1" t="s">
        <v>122</v>
      </c>
      <c r="ZT108" s="1" t="s">
        <v>122</v>
      </c>
      <c r="ZU108" s="1" t="s">
        <v>122</v>
      </c>
      <c r="ZV108" s="1" t="s">
        <v>122</v>
      </c>
      <c r="ZW108" s="1" t="s">
        <v>122</v>
      </c>
      <c r="ZX108" s="1" t="s">
        <v>122</v>
      </c>
      <c r="ZY108" s="1" t="s">
        <v>122</v>
      </c>
      <c r="ZZ108" s="1" t="s">
        <v>122</v>
      </c>
      <c r="AAA108" s="1" t="s">
        <v>122</v>
      </c>
      <c r="AAB108" s="1" t="s">
        <v>122</v>
      </c>
      <c r="AAC108" s="1" t="s">
        <v>122</v>
      </c>
      <c r="AAD108" s="1" t="s">
        <v>122</v>
      </c>
      <c r="AAE108" s="1" t="s">
        <v>122</v>
      </c>
      <c r="AAF108" s="1" t="s">
        <v>122</v>
      </c>
      <c r="AAG108" s="1" t="s">
        <v>122</v>
      </c>
      <c r="AAH108" s="1" t="s">
        <v>122</v>
      </c>
      <c r="AAI108" s="1" t="s">
        <v>122</v>
      </c>
      <c r="AAJ108" s="1" t="s">
        <v>122</v>
      </c>
      <c r="AAK108" s="1" t="s">
        <v>122</v>
      </c>
      <c r="AAL108" s="1" t="s">
        <v>122</v>
      </c>
      <c r="AAM108" s="1" t="s">
        <v>122</v>
      </c>
      <c r="AAN108" s="1" t="s">
        <v>122</v>
      </c>
      <c r="AAO108" s="1" t="s">
        <v>122</v>
      </c>
      <c r="AAP108" s="1" t="s">
        <v>122</v>
      </c>
      <c r="AAQ108" s="1" t="s">
        <v>122</v>
      </c>
      <c r="AAR108" s="1" t="s">
        <v>122</v>
      </c>
      <c r="AAS108" s="1" t="s">
        <v>122</v>
      </c>
      <c r="AAT108" s="1" t="s">
        <v>122</v>
      </c>
      <c r="AAU108" s="1" t="s">
        <v>122</v>
      </c>
      <c r="AAV108" s="1" t="s">
        <v>122</v>
      </c>
      <c r="AAW108" s="1" t="s">
        <v>122</v>
      </c>
      <c r="AAX108" s="1" t="s">
        <v>122</v>
      </c>
      <c r="AAY108" s="1" t="s">
        <v>122</v>
      </c>
      <c r="AAZ108" s="1" t="s">
        <v>122</v>
      </c>
      <c r="ABA108" s="1" t="s">
        <v>122</v>
      </c>
      <c r="ABB108" s="1" t="s">
        <v>122</v>
      </c>
      <c r="ABC108" s="1" t="s">
        <v>122</v>
      </c>
      <c r="ABD108" s="1" t="s">
        <v>122</v>
      </c>
      <c r="ABE108" s="1" t="s">
        <v>122</v>
      </c>
      <c r="ABF108" s="1" t="s">
        <v>122</v>
      </c>
      <c r="ABG108" s="1" t="s">
        <v>122</v>
      </c>
      <c r="ABH108" s="1" t="s">
        <v>122</v>
      </c>
      <c r="ABI108" s="1" t="s">
        <v>122</v>
      </c>
      <c r="ABJ108" s="1" t="s">
        <v>122</v>
      </c>
      <c r="ABK108" s="1" t="s">
        <v>122</v>
      </c>
      <c r="ABL108" s="1" t="s">
        <v>122</v>
      </c>
      <c r="ABM108" s="1" t="s">
        <v>122</v>
      </c>
      <c r="ABN108" s="1" t="s">
        <v>122</v>
      </c>
      <c r="ABO108" s="1" t="s">
        <v>122</v>
      </c>
      <c r="ABP108" s="1" t="s">
        <v>122</v>
      </c>
      <c r="ABQ108" s="1" t="s">
        <v>122</v>
      </c>
      <c r="ABR108" s="1" t="s">
        <v>122</v>
      </c>
      <c r="ABS108" s="1" t="s">
        <v>122</v>
      </c>
      <c r="ABT108" s="1" t="s">
        <v>122</v>
      </c>
      <c r="ABU108" s="1" t="s">
        <v>122</v>
      </c>
      <c r="ABV108" s="1" t="s">
        <v>122</v>
      </c>
      <c r="ABW108" s="1" t="s">
        <v>122</v>
      </c>
      <c r="ABX108" s="1" t="s">
        <v>122</v>
      </c>
      <c r="ABY108" s="1" t="s">
        <v>122</v>
      </c>
      <c r="ABZ108" s="1" t="s">
        <v>122</v>
      </c>
      <c r="ACA108" s="1" t="s">
        <v>122</v>
      </c>
      <c r="ACB108" s="1" t="s">
        <v>122</v>
      </c>
      <c r="ACC108" s="1" t="s">
        <v>122</v>
      </c>
      <c r="ACD108" s="1" t="s">
        <v>122</v>
      </c>
      <c r="ACE108" s="1" t="s">
        <v>122</v>
      </c>
      <c r="ACF108" s="1" t="s">
        <v>122</v>
      </c>
      <c r="ACG108" s="1" t="s">
        <v>122</v>
      </c>
      <c r="ACH108" s="1" t="s">
        <v>122</v>
      </c>
      <c r="ACI108" s="1" t="s">
        <v>122</v>
      </c>
      <c r="ACJ108" s="1" t="s">
        <v>122</v>
      </c>
      <c r="ACK108" s="1" t="s">
        <v>122</v>
      </c>
      <c r="ACL108" s="1" t="s">
        <v>122</v>
      </c>
      <c r="ACM108" s="1" t="s">
        <v>122</v>
      </c>
      <c r="ACN108" s="1" t="s">
        <v>122</v>
      </c>
      <c r="ACO108" s="1" t="s">
        <v>122</v>
      </c>
      <c r="ACP108" s="1" t="s">
        <v>122</v>
      </c>
      <c r="ACQ108" s="1" t="s">
        <v>122</v>
      </c>
      <c r="ACR108" s="1" t="s">
        <v>122</v>
      </c>
      <c r="ACS108" s="1" t="s">
        <v>122</v>
      </c>
      <c r="ACT108" s="1" t="s">
        <v>122</v>
      </c>
      <c r="ACU108" s="1" t="s">
        <v>122</v>
      </c>
      <c r="ACV108" s="1" t="s">
        <v>122</v>
      </c>
      <c r="ACW108" s="1" t="s">
        <v>122</v>
      </c>
      <c r="ACX108" s="1" t="s">
        <v>122</v>
      </c>
      <c r="ACY108" s="1" t="s">
        <v>122</v>
      </c>
      <c r="ACZ108" s="1" t="s">
        <v>122</v>
      </c>
      <c r="ADA108" s="1" t="s">
        <v>122</v>
      </c>
      <c r="ADB108" s="1" t="s">
        <v>122</v>
      </c>
      <c r="ADC108" s="1" t="s">
        <v>122</v>
      </c>
      <c r="ADD108" s="1" t="s">
        <v>122</v>
      </c>
      <c r="ADE108" s="1" t="s">
        <v>122</v>
      </c>
      <c r="ADF108" s="1" t="s">
        <v>122</v>
      </c>
      <c r="ADG108" s="1" t="s">
        <v>122</v>
      </c>
      <c r="ADH108" s="1" t="s">
        <v>122</v>
      </c>
      <c r="ADI108" s="1" t="s">
        <v>122</v>
      </c>
      <c r="ADJ108" s="1" t="s">
        <v>122</v>
      </c>
      <c r="ADK108" s="1" t="s">
        <v>122</v>
      </c>
      <c r="ADL108" s="1" t="s">
        <v>122</v>
      </c>
      <c r="ADM108" s="1" t="s">
        <v>122</v>
      </c>
      <c r="ADN108" s="1" t="s">
        <v>122</v>
      </c>
      <c r="ADO108" s="1" t="s">
        <v>122</v>
      </c>
      <c r="ADP108" s="1" t="s">
        <v>122</v>
      </c>
      <c r="ADQ108" s="1" t="s">
        <v>122</v>
      </c>
      <c r="ADR108" s="1" t="s">
        <v>122</v>
      </c>
      <c r="ADS108" s="1" t="s">
        <v>122</v>
      </c>
      <c r="ADT108" s="1" t="s">
        <v>122</v>
      </c>
      <c r="ADU108" s="1" t="s">
        <v>122</v>
      </c>
      <c r="ADV108" s="1" t="s">
        <v>122</v>
      </c>
      <c r="ADW108" s="1" t="s">
        <v>122</v>
      </c>
      <c r="ADX108" s="1" t="s">
        <v>122</v>
      </c>
      <c r="ADY108" s="1" t="s">
        <v>122</v>
      </c>
      <c r="ADZ108" s="1" t="s">
        <v>122</v>
      </c>
      <c r="AEA108" s="1" t="s">
        <v>122</v>
      </c>
      <c r="AEB108" s="1" t="s">
        <v>122</v>
      </c>
      <c r="AEC108" s="1" t="s">
        <v>122</v>
      </c>
      <c r="AED108" s="1" t="s">
        <v>122</v>
      </c>
      <c r="AEE108" s="1" t="s">
        <v>122</v>
      </c>
      <c r="AEF108" s="1" t="s">
        <v>122</v>
      </c>
      <c r="AEG108" s="1" t="s">
        <v>122</v>
      </c>
      <c r="AEH108" s="1" t="s">
        <v>122</v>
      </c>
      <c r="AEI108" s="1" t="s">
        <v>122</v>
      </c>
      <c r="AEJ108" s="1" t="s">
        <v>122</v>
      </c>
      <c r="AEK108" s="1" t="s">
        <v>122</v>
      </c>
      <c r="AEL108" s="1" t="s">
        <v>122</v>
      </c>
      <c r="AEM108" s="1" t="s">
        <v>122</v>
      </c>
      <c r="AEN108" s="1" t="s">
        <v>122</v>
      </c>
      <c r="AEO108" s="1" t="s">
        <v>122</v>
      </c>
      <c r="AEP108" s="1" t="s">
        <v>122</v>
      </c>
      <c r="AEQ108" s="1" t="s">
        <v>122</v>
      </c>
      <c r="AER108" s="1" t="s">
        <v>122</v>
      </c>
      <c r="AES108" s="1" t="s">
        <v>122</v>
      </c>
      <c r="AET108" s="1" t="s">
        <v>122</v>
      </c>
      <c r="AEU108" s="1" t="s">
        <v>122</v>
      </c>
      <c r="AEV108" s="1" t="s">
        <v>122</v>
      </c>
      <c r="AEW108" s="1" t="s">
        <v>122</v>
      </c>
      <c r="AEX108" s="1" t="s">
        <v>122</v>
      </c>
      <c r="AEY108" s="1" t="s">
        <v>122</v>
      </c>
      <c r="AEZ108" s="1" t="s">
        <v>122</v>
      </c>
      <c r="AFA108" s="1" t="s">
        <v>122</v>
      </c>
      <c r="AFB108" s="1" t="s">
        <v>122</v>
      </c>
      <c r="AFC108" s="1" t="s">
        <v>122</v>
      </c>
      <c r="AFD108" s="1" t="s">
        <v>122</v>
      </c>
      <c r="AFE108" s="1" t="s">
        <v>122</v>
      </c>
      <c r="AFF108" s="1" t="s">
        <v>122</v>
      </c>
      <c r="AFG108" s="1" t="s">
        <v>122</v>
      </c>
      <c r="AFH108" s="1" t="s">
        <v>122</v>
      </c>
      <c r="AFI108" s="1" t="s">
        <v>122</v>
      </c>
      <c r="AFJ108" s="1" t="s">
        <v>122</v>
      </c>
      <c r="AFK108" s="1" t="s">
        <v>122</v>
      </c>
      <c r="AFL108" s="1" t="s">
        <v>122</v>
      </c>
      <c r="AFM108" s="1" t="s">
        <v>122</v>
      </c>
      <c r="AFN108" s="1" t="s">
        <v>122</v>
      </c>
      <c r="AFO108" s="1" t="s">
        <v>122</v>
      </c>
      <c r="AFP108" s="1" t="s">
        <v>122</v>
      </c>
      <c r="AFQ108" s="1" t="s">
        <v>122</v>
      </c>
      <c r="AFR108" s="1" t="s">
        <v>122</v>
      </c>
      <c r="AFS108" s="1" t="s">
        <v>122</v>
      </c>
      <c r="AFT108" s="1" t="s">
        <v>122</v>
      </c>
      <c r="AFU108" s="1" t="s">
        <v>122</v>
      </c>
      <c r="AFV108" s="1" t="s">
        <v>122</v>
      </c>
      <c r="AFW108" s="1" t="s">
        <v>122</v>
      </c>
      <c r="AFX108" s="1" t="s">
        <v>122</v>
      </c>
      <c r="AFY108" s="1" t="s">
        <v>122</v>
      </c>
      <c r="AFZ108" s="1" t="s">
        <v>122</v>
      </c>
      <c r="AGA108" s="1" t="s">
        <v>122</v>
      </c>
      <c r="AGB108" s="1" t="s">
        <v>122</v>
      </c>
      <c r="AGC108" s="1" t="s">
        <v>122</v>
      </c>
      <c r="AGD108" s="1" t="s">
        <v>122</v>
      </c>
      <c r="AGE108" s="1" t="s">
        <v>122</v>
      </c>
      <c r="AGF108" s="1" t="s">
        <v>122</v>
      </c>
      <c r="AGG108" s="1" t="s">
        <v>122</v>
      </c>
      <c r="AGH108" s="1" t="s">
        <v>122</v>
      </c>
      <c r="AGI108" s="1" t="s">
        <v>122</v>
      </c>
      <c r="AGJ108" s="1" t="s">
        <v>122</v>
      </c>
      <c r="AGK108" s="1" t="s">
        <v>122</v>
      </c>
      <c r="AGL108" s="1" t="s">
        <v>122</v>
      </c>
      <c r="AGM108" s="1" t="s">
        <v>122</v>
      </c>
      <c r="AGN108" s="1" t="s">
        <v>122</v>
      </c>
      <c r="AGO108" s="1" t="s">
        <v>122</v>
      </c>
      <c r="AGP108" s="1" t="s">
        <v>122</v>
      </c>
      <c r="AGQ108" s="1" t="s">
        <v>122</v>
      </c>
      <c r="AGR108" s="1" t="s">
        <v>122</v>
      </c>
      <c r="AGS108" s="1" t="s">
        <v>122</v>
      </c>
      <c r="AGT108" s="1" t="s">
        <v>122</v>
      </c>
      <c r="AGU108" s="1" t="s">
        <v>122</v>
      </c>
      <c r="AGV108" s="1" t="s">
        <v>122</v>
      </c>
      <c r="AGW108" s="1" t="s">
        <v>122</v>
      </c>
      <c r="AGX108" s="1" t="s">
        <v>122</v>
      </c>
      <c r="AGY108" s="1" t="s">
        <v>122</v>
      </c>
      <c r="AGZ108" s="1" t="s">
        <v>122</v>
      </c>
      <c r="AHA108" s="1" t="s">
        <v>122</v>
      </c>
      <c r="AHB108" s="1" t="s">
        <v>122</v>
      </c>
      <c r="AHC108" s="1" t="s">
        <v>122</v>
      </c>
      <c r="AHD108" s="1" t="s">
        <v>122</v>
      </c>
      <c r="AHE108" s="1" t="s">
        <v>122</v>
      </c>
      <c r="AHF108" s="1" t="s">
        <v>122</v>
      </c>
      <c r="AHG108" s="1" t="s">
        <v>122</v>
      </c>
      <c r="AHH108" s="1" t="s">
        <v>122</v>
      </c>
      <c r="AHI108" s="1" t="s">
        <v>122</v>
      </c>
      <c r="AHJ108" s="1" t="s">
        <v>122</v>
      </c>
      <c r="AHK108" s="1" t="s">
        <v>122</v>
      </c>
      <c r="AHL108" s="1" t="s">
        <v>122</v>
      </c>
      <c r="AHM108" s="1" t="s">
        <v>122</v>
      </c>
      <c r="AHN108" s="1" t="s">
        <v>122</v>
      </c>
      <c r="AHO108" s="1" t="s">
        <v>122</v>
      </c>
      <c r="AHP108" s="1" t="s">
        <v>122</v>
      </c>
      <c r="AHQ108" s="1" t="s">
        <v>122</v>
      </c>
      <c r="AHR108" s="1" t="s">
        <v>122</v>
      </c>
      <c r="AHS108" s="1" t="s">
        <v>122</v>
      </c>
      <c r="AHT108" s="1" t="s">
        <v>122</v>
      </c>
      <c r="AHU108" s="1" t="s">
        <v>122</v>
      </c>
      <c r="AHV108" s="1" t="s">
        <v>122</v>
      </c>
      <c r="AHW108" s="1" t="s">
        <v>122</v>
      </c>
      <c r="AHX108" s="1" t="s">
        <v>122</v>
      </c>
      <c r="AHY108" s="1" t="s">
        <v>122</v>
      </c>
      <c r="AHZ108" s="1" t="s">
        <v>122</v>
      </c>
      <c r="AIA108" s="1" t="s">
        <v>122</v>
      </c>
      <c r="AIB108" s="1" t="s">
        <v>122</v>
      </c>
      <c r="AIC108" s="1" t="s">
        <v>122</v>
      </c>
      <c r="AID108" s="1" t="s">
        <v>122</v>
      </c>
      <c r="AIE108" s="1" t="s">
        <v>122</v>
      </c>
      <c r="AIF108" s="1" t="s">
        <v>122</v>
      </c>
      <c r="AIG108" s="1" t="s">
        <v>122</v>
      </c>
      <c r="AIH108" s="1" t="s">
        <v>122</v>
      </c>
      <c r="AII108" s="1" t="s">
        <v>122</v>
      </c>
      <c r="AIJ108" s="1" t="s">
        <v>122</v>
      </c>
      <c r="AIK108" s="1" t="s">
        <v>122</v>
      </c>
      <c r="AIL108" s="1" t="s">
        <v>122</v>
      </c>
      <c r="AIM108" s="1" t="s">
        <v>122</v>
      </c>
      <c r="AIN108" s="1" t="s">
        <v>122</v>
      </c>
      <c r="AIO108" s="1" t="s">
        <v>122</v>
      </c>
      <c r="AIP108" s="1" t="s">
        <v>122</v>
      </c>
      <c r="AIQ108" s="1" t="s">
        <v>122</v>
      </c>
      <c r="AIR108" s="1" t="s">
        <v>122</v>
      </c>
      <c r="AIS108" s="1" t="s">
        <v>122</v>
      </c>
      <c r="AIT108" s="1" t="s">
        <v>122</v>
      </c>
      <c r="AIU108" s="1" t="s">
        <v>122</v>
      </c>
      <c r="AIV108" s="1" t="s">
        <v>122</v>
      </c>
      <c r="AIW108" s="1" t="s">
        <v>122</v>
      </c>
      <c r="AIX108" s="1" t="s">
        <v>122</v>
      </c>
      <c r="AIY108" s="1" t="s">
        <v>122</v>
      </c>
      <c r="AIZ108" s="1" t="s">
        <v>122</v>
      </c>
      <c r="AJA108" s="1" t="s">
        <v>122</v>
      </c>
      <c r="AJB108" s="1" t="s">
        <v>122</v>
      </c>
      <c r="AJC108" s="1" t="s">
        <v>122</v>
      </c>
      <c r="AJD108" s="1" t="s">
        <v>122</v>
      </c>
      <c r="AJE108" s="1" t="s">
        <v>122</v>
      </c>
      <c r="AJF108" s="1" t="s">
        <v>122</v>
      </c>
      <c r="AJG108" s="1" t="s">
        <v>122</v>
      </c>
      <c r="AJH108" s="1" t="s">
        <v>122</v>
      </c>
      <c r="AJI108" s="1" t="s">
        <v>122</v>
      </c>
      <c r="AJJ108" s="1" t="s">
        <v>122</v>
      </c>
      <c r="AJK108" s="1" t="s">
        <v>122</v>
      </c>
      <c r="AJL108" s="1" t="s">
        <v>122</v>
      </c>
      <c r="AJM108" s="1" t="s">
        <v>122</v>
      </c>
      <c r="AJN108" s="1" t="s">
        <v>122</v>
      </c>
      <c r="AJO108" s="1" t="s">
        <v>122</v>
      </c>
      <c r="AJP108" s="1" t="s">
        <v>122</v>
      </c>
      <c r="AJQ108" s="1" t="s">
        <v>122</v>
      </c>
      <c r="AJR108" s="1" t="s">
        <v>122</v>
      </c>
      <c r="AJS108" s="1" t="s">
        <v>122</v>
      </c>
      <c r="AJT108" s="1" t="s">
        <v>122</v>
      </c>
      <c r="AJU108" s="1" t="s">
        <v>122</v>
      </c>
      <c r="AJV108" s="1" t="s">
        <v>122</v>
      </c>
      <c r="AJW108" s="1" t="s">
        <v>122</v>
      </c>
      <c r="AJX108" s="1" t="s">
        <v>122</v>
      </c>
      <c r="AJY108" s="1" t="s">
        <v>122</v>
      </c>
      <c r="AJZ108" s="1" t="s">
        <v>122</v>
      </c>
      <c r="AKA108" s="1" t="s">
        <v>122</v>
      </c>
      <c r="AKB108" s="1" t="s">
        <v>122</v>
      </c>
      <c r="AKC108" s="1" t="s">
        <v>122</v>
      </c>
      <c r="AKD108" s="1" t="s">
        <v>122</v>
      </c>
      <c r="AKE108" s="1" t="s">
        <v>122</v>
      </c>
      <c r="AKF108" s="1" t="s">
        <v>122</v>
      </c>
      <c r="AKG108" s="1" t="s">
        <v>122</v>
      </c>
      <c r="AKH108" s="1" t="s">
        <v>122</v>
      </c>
      <c r="AKI108" s="1" t="s">
        <v>122</v>
      </c>
      <c r="AKJ108" s="1" t="s">
        <v>122</v>
      </c>
      <c r="AKK108" s="1" t="s">
        <v>122</v>
      </c>
      <c r="AKL108" s="1" t="s">
        <v>122</v>
      </c>
      <c r="AKM108" s="1" t="s">
        <v>122</v>
      </c>
      <c r="AKN108" s="1" t="s">
        <v>122</v>
      </c>
      <c r="AKO108" s="1" t="s">
        <v>122</v>
      </c>
      <c r="AKP108" s="1" t="s">
        <v>122</v>
      </c>
      <c r="AKQ108" s="1" t="s">
        <v>122</v>
      </c>
      <c r="AKR108" s="1" t="s">
        <v>122</v>
      </c>
      <c r="AKS108" s="1" t="s">
        <v>122</v>
      </c>
      <c r="AKT108" s="1" t="s">
        <v>122</v>
      </c>
      <c r="AKU108" s="1" t="s">
        <v>122</v>
      </c>
      <c r="AKV108" s="1" t="s">
        <v>122</v>
      </c>
      <c r="AKW108" s="1" t="s">
        <v>122</v>
      </c>
      <c r="AKX108" s="1" t="s">
        <v>122</v>
      </c>
      <c r="AKY108" s="1" t="s">
        <v>122</v>
      </c>
      <c r="AKZ108" s="1" t="s">
        <v>122</v>
      </c>
      <c r="ALA108" s="1" t="s">
        <v>122</v>
      </c>
      <c r="ALB108" s="1" t="s">
        <v>122</v>
      </c>
      <c r="ALC108" s="1" t="s">
        <v>122</v>
      </c>
      <c r="ALD108" s="1" t="s">
        <v>122</v>
      </c>
      <c r="ALE108" s="1" t="s">
        <v>122</v>
      </c>
      <c r="ALF108" s="1" t="s">
        <v>122</v>
      </c>
      <c r="ALG108" s="1" t="s">
        <v>122</v>
      </c>
      <c r="ALH108" s="1" t="s">
        <v>122</v>
      </c>
      <c r="ALI108" s="1" t="s">
        <v>122</v>
      </c>
      <c r="ALJ108" s="1" t="s">
        <v>122</v>
      </c>
      <c r="ALK108" s="1" t="s">
        <v>122</v>
      </c>
      <c r="ALL108" s="1" t="s">
        <v>122</v>
      </c>
      <c r="ALM108" s="1" t="s">
        <v>122</v>
      </c>
      <c r="ALN108" s="1" t="s">
        <v>122</v>
      </c>
      <c r="ALO108" s="1" t="s">
        <v>122</v>
      </c>
      <c r="ALP108" s="1" t="s">
        <v>122</v>
      </c>
      <c r="ALQ108" s="1" t="s">
        <v>122</v>
      </c>
      <c r="ALR108" s="1" t="s">
        <v>122</v>
      </c>
      <c r="ALS108" s="1" t="s">
        <v>122</v>
      </c>
      <c r="ALT108" s="1" t="s">
        <v>122</v>
      </c>
      <c r="ALU108" s="1" t="s">
        <v>122</v>
      </c>
      <c r="ALV108" s="1" t="s">
        <v>122</v>
      </c>
      <c r="ALW108" s="1" t="s">
        <v>122</v>
      </c>
      <c r="ALX108" s="1" t="s">
        <v>122</v>
      </c>
      <c r="ALY108" s="1" t="s">
        <v>122</v>
      </c>
      <c r="ALZ108" s="1" t="s">
        <v>122</v>
      </c>
      <c r="AMA108" s="1" t="s">
        <v>122</v>
      </c>
      <c r="AMB108" s="1" t="s">
        <v>122</v>
      </c>
      <c r="AMC108" s="1" t="s">
        <v>122</v>
      </c>
      <c r="AMD108" s="1" t="s">
        <v>122</v>
      </c>
      <c r="AME108" s="1" t="s">
        <v>122</v>
      </c>
      <c r="AMF108" s="1" t="s">
        <v>122</v>
      </c>
      <c r="AMG108" s="1" t="s">
        <v>122</v>
      </c>
      <c r="AMH108" s="1" t="s">
        <v>122</v>
      </c>
      <c r="AMI108" s="1" t="s">
        <v>122</v>
      </c>
      <c r="AMJ108" s="1" t="s">
        <v>122</v>
      </c>
      <c r="AMK108" s="1" t="s">
        <v>122</v>
      </c>
      <c r="AML108" s="1" t="s">
        <v>122</v>
      </c>
      <c r="AMM108" s="1" t="s">
        <v>122</v>
      </c>
      <c r="AMN108" s="1" t="s">
        <v>122</v>
      </c>
      <c r="AMO108" s="1" t="s">
        <v>122</v>
      </c>
      <c r="AMP108" s="1" t="s">
        <v>122</v>
      </c>
      <c r="AMQ108" s="1" t="s">
        <v>122</v>
      </c>
      <c r="AMR108" s="1" t="s">
        <v>122</v>
      </c>
      <c r="AMS108" s="1" t="s">
        <v>122</v>
      </c>
      <c r="AMT108" s="1" t="s">
        <v>122</v>
      </c>
      <c r="AMU108" s="1" t="s">
        <v>122</v>
      </c>
      <c r="AMV108" s="1" t="s">
        <v>122</v>
      </c>
      <c r="AMW108" s="1" t="s">
        <v>122</v>
      </c>
      <c r="AMX108" s="1" t="s">
        <v>122</v>
      </c>
      <c r="AMY108" s="1" t="s">
        <v>122</v>
      </c>
      <c r="AMZ108" s="1" t="s">
        <v>122</v>
      </c>
      <c r="ANA108" s="1" t="s">
        <v>122</v>
      </c>
      <c r="ANB108" s="1" t="s">
        <v>122</v>
      </c>
      <c r="ANC108" s="1" t="s">
        <v>122</v>
      </c>
      <c r="AND108" s="1" t="s">
        <v>122</v>
      </c>
      <c r="ANE108" s="1" t="s">
        <v>122</v>
      </c>
      <c r="ANF108" s="1" t="s">
        <v>122</v>
      </c>
      <c r="ANG108" s="1" t="s">
        <v>122</v>
      </c>
      <c r="ANH108" s="1" t="s">
        <v>122</v>
      </c>
      <c r="ANI108" s="1" t="s">
        <v>122</v>
      </c>
      <c r="ANJ108" s="1" t="s">
        <v>122</v>
      </c>
      <c r="ANK108" s="1" t="s">
        <v>122</v>
      </c>
      <c r="ANL108" s="1" t="s">
        <v>122</v>
      </c>
      <c r="ANM108" s="1" t="s">
        <v>122</v>
      </c>
      <c r="ANN108" s="1" t="s">
        <v>122</v>
      </c>
      <c r="ANO108" s="1" t="s">
        <v>122</v>
      </c>
      <c r="ANP108" s="1" t="s">
        <v>122</v>
      </c>
      <c r="ANQ108" s="1" t="s">
        <v>122</v>
      </c>
      <c r="ANR108" s="1" t="s">
        <v>122</v>
      </c>
      <c r="ANS108" s="1" t="s">
        <v>122</v>
      </c>
      <c r="ANT108" s="1" t="s">
        <v>122</v>
      </c>
      <c r="ANU108" s="1" t="s">
        <v>122</v>
      </c>
      <c r="ANV108" s="1" t="s">
        <v>122</v>
      </c>
      <c r="ANW108" s="1" t="s">
        <v>122</v>
      </c>
      <c r="ANX108" s="1" t="s">
        <v>122</v>
      </c>
      <c r="ANY108" s="1" t="s">
        <v>122</v>
      </c>
      <c r="ANZ108" s="1" t="s">
        <v>122</v>
      </c>
      <c r="AOA108" s="1" t="s">
        <v>122</v>
      </c>
      <c r="AOB108" s="1" t="s">
        <v>122</v>
      </c>
      <c r="AOC108" s="1" t="s">
        <v>122</v>
      </c>
      <c r="AOD108" s="1" t="s">
        <v>122</v>
      </c>
      <c r="AOE108" s="1" t="s">
        <v>122</v>
      </c>
      <c r="AOF108" s="1" t="s">
        <v>122</v>
      </c>
      <c r="AOG108" s="1" t="s">
        <v>122</v>
      </c>
      <c r="AOH108" s="1" t="s">
        <v>122</v>
      </c>
      <c r="AOI108" s="1" t="s">
        <v>122</v>
      </c>
      <c r="AOJ108" s="1" t="s">
        <v>122</v>
      </c>
      <c r="AOK108" s="1" t="s">
        <v>122</v>
      </c>
      <c r="AOL108" s="1" t="s">
        <v>122</v>
      </c>
      <c r="AOM108" s="1" t="s">
        <v>122</v>
      </c>
      <c r="AON108" s="1" t="s">
        <v>122</v>
      </c>
      <c r="AOO108" s="1" t="s">
        <v>122</v>
      </c>
      <c r="AOP108" s="1" t="s">
        <v>122</v>
      </c>
      <c r="AOQ108" s="1" t="s">
        <v>122</v>
      </c>
      <c r="AOR108" s="1" t="s">
        <v>122</v>
      </c>
      <c r="AOS108" s="1" t="s">
        <v>122</v>
      </c>
      <c r="AOT108" s="1" t="s">
        <v>122</v>
      </c>
      <c r="AOU108" s="1" t="s">
        <v>122</v>
      </c>
      <c r="AOV108" s="1" t="s">
        <v>122</v>
      </c>
      <c r="AOW108" s="1" t="s">
        <v>122</v>
      </c>
      <c r="AOX108" s="1" t="s">
        <v>122</v>
      </c>
      <c r="AOY108" s="1" t="s">
        <v>122</v>
      </c>
      <c r="AOZ108" s="1" t="s">
        <v>122</v>
      </c>
      <c r="APA108" s="1" t="s">
        <v>122</v>
      </c>
      <c r="APB108" s="1" t="s">
        <v>122</v>
      </c>
      <c r="APC108" s="1" t="s">
        <v>122</v>
      </c>
      <c r="APD108" s="1" t="s">
        <v>122</v>
      </c>
      <c r="APE108" s="1" t="s">
        <v>122</v>
      </c>
      <c r="APF108" s="1" t="s">
        <v>122</v>
      </c>
      <c r="APG108" s="1" t="s">
        <v>122</v>
      </c>
      <c r="APH108" s="1" t="s">
        <v>122</v>
      </c>
      <c r="API108" s="1" t="s">
        <v>122</v>
      </c>
      <c r="APJ108" s="1" t="s">
        <v>122</v>
      </c>
      <c r="APK108" s="1" t="s">
        <v>122</v>
      </c>
      <c r="APL108" s="1" t="s">
        <v>122</v>
      </c>
      <c r="APM108" s="1" t="s">
        <v>122</v>
      </c>
      <c r="APN108" s="1" t="s">
        <v>122</v>
      </c>
      <c r="APO108" s="1" t="s">
        <v>122</v>
      </c>
      <c r="APP108" s="1" t="s">
        <v>122</v>
      </c>
      <c r="APQ108" s="1" t="s">
        <v>122</v>
      </c>
      <c r="APR108" s="1" t="s">
        <v>122</v>
      </c>
      <c r="APS108" s="1" t="s">
        <v>122</v>
      </c>
      <c r="APT108" s="1" t="s">
        <v>122</v>
      </c>
      <c r="APU108" s="1" t="s">
        <v>122</v>
      </c>
      <c r="APV108" s="1" t="s">
        <v>122</v>
      </c>
      <c r="APW108" s="1" t="s">
        <v>122</v>
      </c>
      <c r="APX108" s="1" t="s">
        <v>122</v>
      </c>
      <c r="APY108" s="1" t="s">
        <v>122</v>
      </c>
      <c r="APZ108" s="1" t="s">
        <v>122</v>
      </c>
      <c r="AQA108" s="1" t="s">
        <v>122</v>
      </c>
      <c r="AQB108" s="1" t="s">
        <v>122</v>
      </c>
      <c r="AQC108" s="1" t="s">
        <v>122</v>
      </c>
      <c r="AQD108" s="1" t="s">
        <v>122</v>
      </c>
      <c r="AQE108" s="1" t="s">
        <v>122</v>
      </c>
      <c r="AQF108" s="1" t="s">
        <v>122</v>
      </c>
      <c r="AQG108" s="1" t="s">
        <v>122</v>
      </c>
      <c r="AQH108" s="1" t="s">
        <v>122</v>
      </c>
      <c r="AQI108" s="1" t="s">
        <v>122</v>
      </c>
      <c r="AQJ108" s="1" t="s">
        <v>122</v>
      </c>
      <c r="AQK108" s="1" t="s">
        <v>122</v>
      </c>
      <c r="AQL108" s="1" t="s">
        <v>122</v>
      </c>
      <c r="AQM108" s="1" t="s">
        <v>122</v>
      </c>
      <c r="AQN108" s="1" t="s">
        <v>122</v>
      </c>
      <c r="AQO108" s="1" t="s">
        <v>122</v>
      </c>
      <c r="AQP108" s="1" t="s">
        <v>122</v>
      </c>
      <c r="AQQ108" s="1" t="s">
        <v>122</v>
      </c>
      <c r="AQR108" s="1" t="s">
        <v>122</v>
      </c>
      <c r="AQS108" s="1" t="s">
        <v>122</v>
      </c>
      <c r="AQT108" s="1" t="s">
        <v>122</v>
      </c>
      <c r="AQU108" s="1" t="s">
        <v>122</v>
      </c>
      <c r="AQV108" s="1" t="s">
        <v>122</v>
      </c>
      <c r="AQW108" s="1" t="s">
        <v>122</v>
      </c>
      <c r="AQX108" s="1" t="s">
        <v>122</v>
      </c>
      <c r="AQY108" s="1" t="s">
        <v>122</v>
      </c>
      <c r="AQZ108" s="1" t="s">
        <v>122</v>
      </c>
      <c r="ARA108" s="1" t="s">
        <v>122</v>
      </c>
      <c r="ARB108" s="1" t="s">
        <v>122</v>
      </c>
      <c r="ARC108" s="1" t="s">
        <v>122</v>
      </c>
      <c r="ARD108" s="1" t="s">
        <v>122</v>
      </c>
      <c r="ARE108" s="1" t="s">
        <v>122</v>
      </c>
      <c r="ARF108" s="1" t="s">
        <v>122</v>
      </c>
      <c r="ARG108" s="1" t="s">
        <v>122</v>
      </c>
      <c r="ARH108" s="1" t="s">
        <v>122</v>
      </c>
      <c r="ARI108" s="1" t="s">
        <v>122</v>
      </c>
      <c r="ARJ108" s="1" t="s">
        <v>122</v>
      </c>
      <c r="ARK108" s="1" t="s">
        <v>122</v>
      </c>
      <c r="ARL108" s="1" t="s">
        <v>122</v>
      </c>
      <c r="ARM108" s="1" t="s">
        <v>122</v>
      </c>
      <c r="ARN108" s="1" t="s">
        <v>122</v>
      </c>
      <c r="ARO108" s="1" t="s">
        <v>122</v>
      </c>
      <c r="ARP108" s="1" t="s">
        <v>122</v>
      </c>
      <c r="ARQ108" s="1" t="s">
        <v>122</v>
      </c>
      <c r="ARR108" s="1" t="s">
        <v>122</v>
      </c>
      <c r="ARS108" s="1" t="s">
        <v>122</v>
      </c>
      <c r="ART108" s="1" t="s">
        <v>122</v>
      </c>
      <c r="ARU108" s="1" t="s">
        <v>122</v>
      </c>
      <c r="ARV108" s="1" t="s">
        <v>122</v>
      </c>
      <c r="ARW108" s="1" t="s">
        <v>122</v>
      </c>
      <c r="ARX108" s="1" t="s">
        <v>122</v>
      </c>
      <c r="ARY108" s="1" t="s">
        <v>122</v>
      </c>
      <c r="ARZ108" s="1" t="s">
        <v>122</v>
      </c>
      <c r="ASA108" s="1" t="s">
        <v>122</v>
      </c>
      <c r="ASB108" s="1" t="s">
        <v>122</v>
      </c>
      <c r="ASC108" s="1" t="s">
        <v>122</v>
      </c>
      <c r="ASD108" s="1" t="s">
        <v>122</v>
      </c>
      <c r="ASE108" s="1" t="s">
        <v>122</v>
      </c>
      <c r="ASF108" s="1" t="s">
        <v>122</v>
      </c>
      <c r="ASG108" s="1" t="s">
        <v>122</v>
      </c>
      <c r="ASH108" s="1" t="s">
        <v>122</v>
      </c>
      <c r="ASI108" s="1" t="s">
        <v>122</v>
      </c>
      <c r="ASJ108" s="1" t="s">
        <v>122</v>
      </c>
      <c r="ASK108" s="1" t="s">
        <v>122</v>
      </c>
      <c r="ASL108" s="1" t="s">
        <v>122</v>
      </c>
      <c r="ASM108" s="1" t="s">
        <v>122</v>
      </c>
      <c r="ASN108" s="1" t="s">
        <v>122</v>
      </c>
      <c r="ASO108" s="1" t="s">
        <v>122</v>
      </c>
      <c r="ASP108" s="1" t="s">
        <v>122</v>
      </c>
      <c r="ASQ108" s="1" t="s">
        <v>122</v>
      </c>
      <c r="ASR108" s="1" t="s">
        <v>122</v>
      </c>
      <c r="ASS108" s="1" t="s">
        <v>122</v>
      </c>
      <c r="AST108" s="1" t="s">
        <v>122</v>
      </c>
      <c r="ASU108" s="1" t="s">
        <v>122</v>
      </c>
      <c r="ASV108" s="1" t="s">
        <v>122</v>
      </c>
      <c r="ASW108" s="1" t="s">
        <v>122</v>
      </c>
      <c r="ASX108" s="1" t="s">
        <v>122</v>
      </c>
      <c r="ASY108" s="1" t="s">
        <v>122</v>
      </c>
      <c r="ASZ108" s="1" t="s">
        <v>122</v>
      </c>
      <c r="ATA108" s="1" t="s">
        <v>122</v>
      </c>
      <c r="ATB108" s="1" t="s">
        <v>122</v>
      </c>
      <c r="ATC108" s="1" t="s">
        <v>122</v>
      </c>
      <c r="ATD108" s="1" t="s">
        <v>122</v>
      </c>
      <c r="ATE108" s="1" t="s">
        <v>122</v>
      </c>
      <c r="ATF108" s="1" t="s">
        <v>122</v>
      </c>
      <c r="ATG108" s="1" t="s">
        <v>122</v>
      </c>
      <c r="ATH108" s="1" t="s">
        <v>122</v>
      </c>
      <c r="ATI108" s="1" t="s">
        <v>122</v>
      </c>
      <c r="ATJ108" s="1" t="s">
        <v>122</v>
      </c>
      <c r="ATK108" s="1" t="s">
        <v>122</v>
      </c>
      <c r="ATL108" s="1" t="s">
        <v>122</v>
      </c>
      <c r="ATM108" s="1" t="s">
        <v>122</v>
      </c>
      <c r="ATN108" s="1" t="s">
        <v>122</v>
      </c>
      <c r="ATO108" s="1" t="s">
        <v>122</v>
      </c>
      <c r="ATP108" s="1" t="s">
        <v>122</v>
      </c>
      <c r="ATQ108" s="1" t="s">
        <v>122</v>
      </c>
      <c r="ATR108" s="1" t="s">
        <v>122</v>
      </c>
      <c r="ATS108" s="1" t="s">
        <v>122</v>
      </c>
      <c r="ATT108" s="1" t="s">
        <v>122</v>
      </c>
      <c r="ATU108" s="1" t="s">
        <v>122</v>
      </c>
      <c r="ATV108" s="1" t="s">
        <v>122</v>
      </c>
      <c r="ATW108" s="1" t="s">
        <v>122</v>
      </c>
      <c r="ATX108" s="1" t="s">
        <v>122</v>
      </c>
      <c r="ATY108" s="1" t="s">
        <v>122</v>
      </c>
      <c r="ATZ108" s="1" t="s">
        <v>122</v>
      </c>
      <c r="AUA108" s="1" t="s">
        <v>122</v>
      </c>
      <c r="AUB108" s="1" t="s">
        <v>122</v>
      </c>
      <c r="AUC108" s="1" t="s">
        <v>122</v>
      </c>
      <c r="AUD108" s="1" t="s">
        <v>122</v>
      </c>
      <c r="AUE108" s="1" t="s">
        <v>122</v>
      </c>
      <c r="AUF108" s="1" t="s">
        <v>122</v>
      </c>
      <c r="AUG108" s="1" t="s">
        <v>122</v>
      </c>
      <c r="AUH108" s="1" t="s">
        <v>122</v>
      </c>
      <c r="AUI108" s="1" t="s">
        <v>122</v>
      </c>
      <c r="AUJ108" s="1" t="s">
        <v>122</v>
      </c>
      <c r="AUK108" s="1" t="s">
        <v>122</v>
      </c>
      <c r="AUL108" s="1" t="s">
        <v>122</v>
      </c>
      <c r="AUM108" s="1" t="s">
        <v>122</v>
      </c>
      <c r="AUN108" s="1" t="s">
        <v>122</v>
      </c>
      <c r="AUO108" s="1" t="s">
        <v>122</v>
      </c>
      <c r="AUP108" s="1" t="s">
        <v>122</v>
      </c>
      <c r="AUQ108" s="1" t="s">
        <v>122</v>
      </c>
      <c r="AUR108" s="1" t="s">
        <v>122</v>
      </c>
      <c r="AUS108" s="1" t="s">
        <v>122</v>
      </c>
      <c r="AUT108" s="1" t="s">
        <v>122</v>
      </c>
      <c r="AUU108" s="1" t="s">
        <v>122</v>
      </c>
      <c r="AUV108" s="1" t="s">
        <v>122</v>
      </c>
      <c r="AUW108" s="1" t="s">
        <v>122</v>
      </c>
      <c r="AUX108" s="1" t="s">
        <v>122</v>
      </c>
      <c r="AUY108" s="1" t="s">
        <v>122</v>
      </c>
      <c r="AUZ108" s="1" t="s">
        <v>122</v>
      </c>
      <c r="AVA108" s="1" t="s">
        <v>122</v>
      </c>
      <c r="AVB108" s="1" t="s">
        <v>122</v>
      </c>
      <c r="AVC108" s="1" t="s">
        <v>122</v>
      </c>
      <c r="AVD108" s="1" t="s">
        <v>122</v>
      </c>
      <c r="AVE108" s="1" t="s">
        <v>122</v>
      </c>
      <c r="AVF108" s="1" t="s">
        <v>122</v>
      </c>
      <c r="AVG108" s="1" t="s">
        <v>122</v>
      </c>
      <c r="AVH108" s="1" t="s">
        <v>122</v>
      </c>
      <c r="AVI108" s="1" t="s">
        <v>122</v>
      </c>
      <c r="AVJ108" s="1" t="s">
        <v>122</v>
      </c>
      <c r="AVK108" s="1" t="s">
        <v>122</v>
      </c>
      <c r="AVL108" s="1" t="s">
        <v>122</v>
      </c>
      <c r="AVM108" s="1" t="s">
        <v>122</v>
      </c>
      <c r="AVN108" s="1" t="s">
        <v>122</v>
      </c>
      <c r="AVO108" s="1" t="s">
        <v>122</v>
      </c>
      <c r="AVP108" s="1" t="s">
        <v>122</v>
      </c>
      <c r="AVQ108" s="1" t="s">
        <v>122</v>
      </c>
      <c r="AVR108" s="1" t="s">
        <v>122</v>
      </c>
      <c r="AVS108" s="1" t="s">
        <v>122</v>
      </c>
      <c r="AVT108" s="1" t="s">
        <v>122</v>
      </c>
      <c r="AVU108" s="1" t="s">
        <v>122</v>
      </c>
      <c r="AVV108" s="1" t="s">
        <v>122</v>
      </c>
      <c r="AVW108" s="1" t="s">
        <v>122</v>
      </c>
      <c r="AVX108" s="1" t="s">
        <v>122</v>
      </c>
      <c r="AVY108" s="1" t="s">
        <v>122</v>
      </c>
      <c r="AVZ108" s="1" t="s">
        <v>122</v>
      </c>
      <c r="AWA108" s="1" t="s">
        <v>122</v>
      </c>
      <c r="AWB108" s="1" t="s">
        <v>122</v>
      </c>
      <c r="AWC108" s="1" t="s">
        <v>122</v>
      </c>
      <c r="AWD108" s="1" t="s">
        <v>122</v>
      </c>
      <c r="AWE108" s="1" t="s">
        <v>122</v>
      </c>
      <c r="AWF108" s="1" t="s">
        <v>122</v>
      </c>
      <c r="AWG108" s="1" t="s">
        <v>122</v>
      </c>
      <c r="AWH108" s="1" t="s">
        <v>122</v>
      </c>
      <c r="AWI108" s="1" t="s">
        <v>122</v>
      </c>
      <c r="AWJ108" s="1" t="s">
        <v>122</v>
      </c>
      <c r="AWK108" s="1" t="s">
        <v>122</v>
      </c>
      <c r="AWL108" s="1" t="s">
        <v>122</v>
      </c>
      <c r="AWM108" s="1" t="s">
        <v>122</v>
      </c>
      <c r="AWN108" s="1" t="s">
        <v>122</v>
      </c>
      <c r="AWO108" s="1" t="s">
        <v>122</v>
      </c>
      <c r="AWP108" s="1" t="s">
        <v>122</v>
      </c>
      <c r="AWQ108" s="1" t="s">
        <v>122</v>
      </c>
      <c r="AWR108" s="1" t="s">
        <v>122</v>
      </c>
      <c r="AWS108" s="1" t="s">
        <v>122</v>
      </c>
      <c r="AWT108" s="1" t="s">
        <v>122</v>
      </c>
      <c r="AWU108" s="1" t="s">
        <v>122</v>
      </c>
      <c r="AWV108" s="1" t="s">
        <v>122</v>
      </c>
      <c r="AWW108" s="1" t="s">
        <v>122</v>
      </c>
      <c r="AWX108" s="1" t="s">
        <v>122</v>
      </c>
      <c r="AWY108" s="1" t="s">
        <v>122</v>
      </c>
      <c r="AWZ108" s="1" t="s">
        <v>122</v>
      </c>
      <c r="AXA108" s="1" t="s">
        <v>122</v>
      </c>
      <c r="AXB108" s="1" t="s">
        <v>122</v>
      </c>
      <c r="AXC108" s="1" t="s">
        <v>122</v>
      </c>
      <c r="AXD108" s="1" t="s">
        <v>122</v>
      </c>
      <c r="AXE108" s="1" t="s">
        <v>122</v>
      </c>
      <c r="AXF108" s="1" t="s">
        <v>122</v>
      </c>
      <c r="AXG108" s="1" t="s">
        <v>122</v>
      </c>
      <c r="AXH108" s="1" t="s">
        <v>122</v>
      </c>
      <c r="AXI108" s="1" t="s">
        <v>122</v>
      </c>
      <c r="AXJ108" s="1" t="s">
        <v>122</v>
      </c>
      <c r="AXK108" s="1" t="s">
        <v>122</v>
      </c>
      <c r="AXL108" s="1" t="s">
        <v>122</v>
      </c>
      <c r="AXM108" s="1" t="s">
        <v>122</v>
      </c>
      <c r="AXN108" s="1" t="s">
        <v>122</v>
      </c>
      <c r="AXO108" s="1" t="s">
        <v>122</v>
      </c>
      <c r="AXP108" s="1" t="s">
        <v>122</v>
      </c>
      <c r="AXQ108" s="1" t="s">
        <v>122</v>
      </c>
      <c r="AXR108" s="1" t="s">
        <v>122</v>
      </c>
      <c r="AXS108" s="1" t="s">
        <v>122</v>
      </c>
      <c r="AXT108" s="1" t="s">
        <v>122</v>
      </c>
      <c r="AXU108" s="1" t="s">
        <v>122</v>
      </c>
      <c r="AXV108" s="1" t="s">
        <v>122</v>
      </c>
      <c r="AXW108" s="1" t="s">
        <v>122</v>
      </c>
      <c r="AXX108" s="1" t="s">
        <v>122</v>
      </c>
      <c r="AXY108" s="1" t="s">
        <v>122</v>
      </c>
      <c r="AXZ108" s="1" t="s">
        <v>122</v>
      </c>
      <c r="AYA108" s="1" t="s">
        <v>122</v>
      </c>
      <c r="AYB108" s="1" t="s">
        <v>122</v>
      </c>
      <c r="AYC108" s="1" t="s">
        <v>122</v>
      </c>
      <c r="AYD108" s="1" t="s">
        <v>122</v>
      </c>
      <c r="AYE108" s="1" t="s">
        <v>122</v>
      </c>
      <c r="AYF108" s="1" t="s">
        <v>122</v>
      </c>
      <c r="AYG108" s="1" t="s">
        <v>122</v>
      </c>
      <c r="AYH108" s="1" t="s">
        <v>122</v>
      </c>
      <c r="AYI108" s="1" t="s">
        <v>122</v>
      </c>
      <c r="AYJ108" s="1" t="s">
        <v>122</v>
      </c>
      <c r="AYK108" s="1" t="s">
        <v>122</v>
      </c>
      <c r="AYL108" s="1" t="s">
        <v>122</v>
      </c>
      <c r="AYM108" s="1" t="s">
        <v>122</v>
      </c>
      <c r="AYN108" s="1" t="s">
        <v>122</v>
      </c>
      <c r="AYO108" s="1" t="s">
        <v>122</v>
      </c>
      <c r="AYP108" s="1" t="s">
        <v>122</v>
      </c>
      <c r="AYQ108" s="1" t="s">
        <v>122</v>
      </c>
      <c r="AYR108" s="1" t="s">
        <v>122</v>
      </c>
      <c r="AYS108" s="1" t="s">
        <v>122</v>
      </c>
      <c r="AYT108" s="1" t="s">
        <v>122</v>
      </c>
      <c r="AYU108" s="1" t="s">
        <v>122</v>
      </c>
      <c r="AYV108" s="1" t="s">
        <v>122</v>
      </c>
      <c r="AYW108" s="1" t="s">
        <v>122</v>
      </c>
      <c r="AYX108" s="1" t="s">
        <v>122</v>
      </c>
      <c r="AYY108" s="1" t="s">
        <v>122</v>
      </c>
      <c r="AYZ108" s="1" t="s">
        <v>122</v>
      </c>
      <c r="AZA108" s="1" t="s">
        <v>122</v>
      </c>
      <c r="AZB108" s="1" t="s">
        <v>122</v>
      </c>
      <c r="AZC108" s="1" t="s">
        <v>122</v>
      </c>
      <c r="AZD108" s="1" t="s">
        <v>122</v>
      </c>
      <c r="AZE108" s="1" t="s">
        <v>122</v>
      </c>
      <c r="AZF108" s="1" t="s">
        <v>122</v>
      </c>
      <c r="AZG108" s="1" t="s">
        <v>122</v>
      </c>
      <c r="AZH108" s="1" t="s">
        <v>122</v>
      </c>
      <c r="AZI108" s="1" t="s">
        <v>122</v>
      </c>
      <c r="AZJ108" s="1" t="s">
        <v>122</v>
      </c>
      <c r="AZK108" s="1" t="s">
        <v>122</v>
      </c>
      <c r="AZL108" s="1" t="s">
        <v>122</v>
      </c>
      <c r="AZM108" s="1" t="s">
        <v>122</v>
      </c>
      <c r="AZN108" s="1" t="s">
        <v>122</v>
      </c>
      <c r="AZO108" s="1" t="s">
        <v>122</v>
      </c>
      <c r="AZP108" s="1" t="s">
        <v>122</v>
      </c>
      <c r="AZQ108" s="1" t="s">
        <v>122</v>
      </c>
      <c r="AZR108" s="1" t="s">
        <v>122</v>
      </c>
      <c r="AZS108" s="1" t="s">
        <v>122</v>
      </c>
      <c r="AZT108" s="1" t="s">
        <v>122</v>
      </c>
      <c r="AZU108" s="1" t="s">
        <v>122</v>
      </c>
      <c r="AZV108" s="1" t="s">
        <v>122</v>
      </c>
      <c r="AZW108" s="1" t="s">
        <v>122</v>
      </c>
      <c r="AZX108" s="1" t="s">
        <v>122</v>
      </c>
      <c r="AZY108" s="1" t="s">
        <v>122</v>
      </c>
      <c r="AZZ108" s="1" t="s">
        <v>122</v>
      </c>
      <c r="BAA108" s="1" t="s">
        <v>122</v>
      </c>
      <c r="BAB108" s="1" t="s">
        <v>122</v>
      </c>
      <c r="BAC108" s="1" t="s">
        <v>122</v>
      </c>
      <c r="BAD108" s="1" t="s">
        <v>122</v>
      </c>
      <c r="BAE108" s="1" t="s">
        <v>122</v>
      </c>
      <c r="BAF108" s="1" t="s">
        <v>122</v>
      </c>
      <c r="BAG108" s="1" t="s">
        <v>122</v>
      </c>
      <c r="BAH108" s="1" t="s">
        <v>122</v>
      </c>
      <c r="BAI108" s="1" t="s">
        <v>122</v>
      </c>
      <c r="BAJ108" s="1" t="s">
        <v>122</v>
      </c>
      <c r="BAK108" s="1" t="s">
        <v>122</v>
      </c>
      <c r="BAL108" s="1" t="s">
        <v>122</v>
      </c>
      <c r="BAM108" s="1" t="s">
        <v>122</v>
      </c>
      <c r="BAN108" s="1" t="s">
        <v>122</v>
      </c>
      <c r="BAO108" s="1" t="s">
        <v>122</v>
      </c>
      <c r="BAP108" s="1" t="s">
        <v>122</v>
      </c>
      <c r="BAQ108" s="1" t="s">
        <v>122</v>
      </c>
      <c r="BAR108" s="1" t="s">
        <v>122</v>
      </c>
      <c r="BAS108" s="1" t="s">
        <v>122</v>
      </c>
      <c r="BAT108" s="1" t="s">
        <v>122</v>
      </c>
      <c r="BAU108" s="1" t="s">
        <v>122</v>
      </c>
      <c r="BAV108" s="1" t="s">
        <v>122</v>
      </c>
      <c r="BAW108" s="1" t="s">
        <v>122</v>
      </c>
      <c r="BAX108" s="1" t="s">
        <v>122</v>
      </c>
      <c r="BAY108" s="1" t="s">
        <v>122</v>
      </c>
      <c r="BAZ108" s="1" t="s">
        <v>122</v>
      </c>
      <c r="BBA108" s="1" t="s">
        <v>122</v>
      </c>
      <c r="BBB108" s="1" t="s">
        <v>122</v>
      </c>
      <c r="BBC108" s="1" t="s">
        <v>122</v>
      </c>
      <c r="BBD108" s="1" t="s">
        <v>122</v>
      </c>
      <c r="BBE108" s="1" t="s">
        <v>122</v>
      </c>
      <c r="BBF108" s="1" t="s">
        <v>122</v>
      </c>
      <c r="BBG108" s="1" t="s">
        <v>122</v>
      </c>
      <c r="BBH108" s="1" t="s">
        <v>122</v>
      </c>
      <c r="BBI108" s="1" t="s">
        <v>122</v>
      </c>
      <c r="BBJ108" s="1" t="s">
        <v>122</v>
      </c>
      <c r="BBK108" s="1" t="s">
        <v>122</v>
      </c>
      <c r="BBL108" s="1" t="s">
        <v>122</v>
      </c>
      <c r="BBM108" s="1" t="s">
        <v>122</v>
      </c>
      <c r="BBN108" s="1" t="s">
        <v>122</v>
      </c>
      <c r="BBO108" s="1" t="s">
        <v>122</v>
      </c>
      <c r="BBP108" s="1" t="s">
        <v>122</v>
      </c>
      <c r="BBQ108" s="1" t="s">
        <v>122</v>
      </c>
      <c r="BBR108" s="1" t="s">
        <v>122</v>
      </c>
      <c r="BBS108" s="1" t="s">
        <v>122</v>
      </c>
      <c r="BBT108" s="1" t="s">
        <v>122</v>
      </c>
      <c r="BBU108" s="1" t="s">
        <v>122</v>
      </c>
      <c r="BBV108" s="1" t="s">
        <v>122</v>
      </c>
      <c r="BBW108" s="1" t="s">
        <v>122</v>
      </c>
      <c r="BBX108" s="1" t="s">
        <v>122</v>
      </c>
      <c r="BBY108" s="1" t="s">
        <v>122</v>
      </c>
      <c r="BBZ108" s="1" t="s">
        <v>122</v>
      </c>
      <c r="BCA108" s="1" t="s">
        <v>122</v>
      </c>
      <c r="BCB108" s="1" t="s">
        <v>122</v>
      </c>
      <c r="BCC108" s="1" t="s">
        <v>122</v>
      </c>
      <c r="BCD108" s="1" t="s">
        <v>122</v>
      </c>
      <c r="BCE108" s="1" t="s">
        <v>122</v>
      </c>
      <c r="BCF108" s="1" t="s">
        <v>122</v>
      </c>
      <c r="BCG108" s="1" t="s">
        <v>122</v>
      </c>
      <c r="BCH108" s="1" t="s">
        <v>122</v>
      </c>
      <c r="BCI108" s="1" t="s">
        <v>122</v>
      </c>
      <c r="BCJ108" s="1" t="s">
        <v>122</v>
      </c>
      <c r="BCK108" s="1" t="s">
        <v>122</v>
      </c>
      <c r="BCL108" s="1" t="s">
        <v>122</v>
      </c>
      <c r="BCM108" s="1" t="s">
        <v>122</v>
      </c>
      <c r="BCN108" s="1" t="s">
        <v>122</v>
      </c>
      <c r="BCO108" s="1" t="s">
        <v>122</v>
      </c>
      <c r="BCP108" s="1" t="s">
        <v>122</v>
      </c>
      <c r="BCQ108" s="1" t="s">
        <v>122</v>
      </c>
      <c r="BCR108" s="1" t="s">
        <v>122</v>
      </c>
      <c r="BCS108" s="1" t="s">
        <v>122</v>
      </c>
      <c r="BCT108" s="1" t="s">
        <v>122</v>
      </c>
      <c r="BCU108" s="1" t="s">
        <v>122</v>
      </c>
      <c r="BCV108" s="1" t="s">
        <v>122</v>
      </c>
      <c r="BCW108" s="1" t="s">
        <v>122</v>
      </c>
      <c r="BCX108" s="1" t="s">
        <v>122</v>
      </c>
      <c r="BCY108" s="1" t="s">
        <v>122</v>
      </c>
      <c r="BCZ108" s="1" t="s">
        <v>122</v>
      </c>
      <c r="BDA108" s="1" t="s">
        <v>122</v>
      </c>
      <c r="BDB108" s="1" t="s">
        <v>122</v>
      </c>
      <c r="BDC108" s="1" t="s">
        <v>122</v>
      </c>
      <c r="BDD108" s="1" t="s">
        <v>122</v>
      </c>
      <c r="BDE108" s="1" t="s">
        <v>122</v>
      </c>
      <c r="BDF108" s="1" t="s">
        <v>122</v>
      </c>
      <c r="BDG108" s="1" t="s">
        <v>122</v>
      </c>
      <c r="BDH108" s="1" t="s">
        <v>122</v>
      </c>
      <c r="BDI108" s="1" t="s">
        <v>122</v>
      </c>
      <c r="BDJ108" s="1" t="s">
        <v>122</v>
      </c>
      <c r="BDK108" s="1" t="s">
        <v>122</v>
      </c>
      <c r="BDL108" s="1" t="s">
        <v>122</v>
      </c>
      <c r="BDM108" s="1" t="s">
        <v>122</v>
      </c>
      <c r="BDN108" s="1" t="s">
        <v>122</v>
      </c>
      <c r="BDO108" s="1" t="s">
        <v>122</v>
      </c>
      <c r="BDP108" s="1" t="s">
        <v>122</v>
      </c>
      <c r="BDQ108" s="1" t="s">
        <v>122</v>
      </c>
      <c r="BDR108" s="1" t="s">
        <v>122</v>
      </c>
      <c r="BDS108" s="1" t="s">
        <v>122</v>
      </c>
      <c r="BDT108" s="1" t="s">
        <v>122</v>
      </c>
      <c r="BDU108" s="1" t="s">
        <v>122</v>
      </c>
      <c r="BDV108" s="1" t="s">
        <v>122</v>
      </c>
      <c r="BDW108" s="1" t="s">
        <v>122</v>
      </c>
      <c r="BDX108" s="1" t="s">
        <v>122</v>
      </c>
      <c r="BDY108" s="1" t="s">
        <v>122</v>
      </c>
      <c r="BDZ108" s="1" t="s">
        <v>122</v>
      </c>
      <c r="BEA108" s="1" t="s">
        <v>122</v>
      </c>
      <c r="BEB108" s="1" t="s">
        <v>122</v>
      </c>
      <c r="BEC108" s="1" t="s">
        <v>122</v>
      </c>
      <c r="BED108" s="1" t="s">
        <v>122</v>
      </c>
      <c r="BEE108" s="1" t="s">
        <v>122</v>
      </c>
      <c r="BEF108" s="1" t="s">
        <v>122</v>
      </c>
      <c r="BEG108" s="1" t="s">
        <v>122</v>
      </c>
      <c r="BEH108" s="1" t="s">
        <v>122</v>
      </c>
      <c r="BEI108" s="1" t="s">
        <v>122</v>
      </c>
      <c r="BEJ108" s="1" t="s">
        <v>122</v>
      </c>
      <c r="BEK108" s="1" t="s">
        <v>122</v>
      </c>
      <c r="BEL108" s="1" t="s">
        <v>122</v>
      </c>
      <c r="BEM108" s="1" t="s">
        <v>122</v>
      </c>
      <c r="BEN108" s="1" t="s">
        <v>122</v>
      </c>
      <c r="BEO108" s="1" t="s">
        <v>122</v>
      </c>
      <c r="BEP108" s="1" t="s">
        <v>122</v>
      </c>
      <c r="BEQ108" s="1" t="s">
        <v>122</v>
      </c>
      <c r="BER108" s="1" t="s">
        <v>122</v>
      </c>
      <c r="BES108" s="1" t="s">
        <v>122</v>
      </c>
      <c r="BET108" s="1" t="s">
        <v>122</v>
      </c>
      <c r="BEU108" s="1" t="s">
        <v>122</v>
      </c>
      <c r="BEV108" s="1" t="s">
        <v>122</v>
      </c>
      <c r="BEW108" s="1" t="s">
        <v>122</v>
      </c>
      <c r="BEX108" s="1" t="s">
        <v>122</v>
      </c>
      <c r="BEY108" s="1" t="s">
        <v>122</v>
      </c>
      <c r="BEZ108" s="1" t="s">
        <v>122</v>
      </c>
      <c r="BFA108" s="1" t="s">
        <v>122</v>
      </c>
      <c r="BFB108" s="1" t="s">
        <v>122</v>
      </c>
      <c r="BFC108" s="1" t="s">
        <v>122</v>
      </c>
      <c r="BFD108" s="1" t="s">
        <v>122</v>
      </c>
      <c r="BFE108" s="1" t="s">
        <v>122</v>
      </c>
      <c r="BFF108" s="1" t="s">
        <v>122</v>
      </c>
      <c r="BFG108" s="1" t="s">
        <v>122</v>
      </c>
      <c r="BFH108" s="1" t="s">
        <v>122</v>
      </c>
      <c r="BFI108" s="1" t="s">
        <v>122</v>
      </c>
      <c r="BFJ108" s="1" t="s">
        <v>122</v>
      </c>
      <c r="BFK108" s="1" t="s">
        <v>122</v>
      </c>
      <c r="BFL108" s="1" t="s">
        <v>122</v>
      </c>
      <c r="BFM108" s="1" t="s">
        <v>122</v>
      </c>
      <c r="BFN108" s="1" t="s">
        <v>122</v>
      </c>
      <c r="BFO108" s="1" t="s">
        <v>122</v>
      </c>
      <c r="BFP108" s="1" t="s">
        <v>122</v>
      </c>
      <c r="BFQ108" s="1" t="s">
        <v>122</v>
      </c>
      <c r="BFR108" s="1" t="s">
        <v>122</v>
      </c>
      <c r="BFS108" s="1" t="s">
        <v>122</v>
      </c>
      <c r="BFT108" s="1" t="s">
        <v>122</v>
      </c>
      <c r="BFU108" s="1" t="s">
        <v>122</v>
      </c>
      <c r="BFV108" s="1" t="s">
        <v>122</v>
      </c>
      <c r="BFW108" s="1" t="s">
        <v>122</v>
      </c>
      <c r="BFX108" s="1" t="s">
        <v>122</v>
      </c>
      <c r="BFY108" s="1" t="s">
        <v>122</v>
      </c>
      <c r="BFZ108" s="1" t="s">
        <v>122</v>
      </c>
      <c r="BGA108" s="1" t="s">
        <v>122</v>
      </c>
      <c r="BGB108" s="1" t="s">
        <v>122</v>
      </c>
      <c r="BGC108" s="1" t="s">
        <v>122</v>
      </c>
      <c r="BGD108" s="1" t="s">
        <v>122</v>
      </c>
      <c r="BGE108" s="1" t="s">
        <v>122</v>
      </c>
      <c r="BGF108" s="1" t="s">
        <v>122</v>
      </c>
      <c r="BGG108" s="1" t="s">
        <v>122</v>
      </c>
      <c r="BGH108" s="1" t="s">
        <v>122</v>
      </c>
      <c r="BGI108" s="1" t="s">
        <v>122</v>
      </c>
      <c r="BGJ108" s="1" t="s">
        <v>122</v>
      </c>
      <c r="BGK108" s="1" t="s">
        <v>122</v>
      </c>
      <c r="BGL108" s="1" t="s">
        <v>122</v>
      </c>
      <c r="BGM108" s="1" t="s">
        <v>122</v>
      </c>
      <c r="BGN108" s="1" t="s">
        <v>122</v>
      </c>
      <c r="BGO108" s="1" t="s">
        <v>122</v>
      </c>
      <c r="BGP108" s="1" t="s">
        <v>122</v>
      </c>
      <c r="BGQ108" s="1" t="s">
        <v>122</v>
      </c>
      <c r="BGR108" s="1" t="s">
        <v>122</v>
      </c>
      <c r="BGS108" s="1" t="s">
        <v>122</v>
      </c>
      <c r="BGT108" s="1" t="s">
        <v>122</v>
      </c>
      <c r="BGU108" s="1" t="s">
        <v>122</v>
      </c>
      <c r="BGV108" s="1" t="s">
        <v>122</v>
      </c>
      <c r="BGW108" s="1" t="s">
        <v>122</v>
      </c>
      <c r="BGX108" s="1" t="s">
        <v>122</v>
      </c>
      <c r="BGY108" s="1" t="s">
        <v>122</v>
      </c>
      <c r="BGZ108" s="1" t="s">
        <v>122</v>
      </c>
      <c r="BHA108" s="1" t="s">
        <v>122</v>
      </c>
      <c r="BHB108" s="1" t="s">
        <v>122</v>
      </c>
      <c r="BHC108" s="1" t="s">
        <v>122</v>
      </c>
      <c r="BHD108" s="1" t="s">
        <v>122</v>
      </c>
      <c r="BHE108" s="1" t="s">
        <v>122</v>
      </c>
      <c r="BHF108" s="1" t="s">
        <v>122</v>
      </c>
      <c r="BHG108" s="1" t="s">
        <v>122</v>
      </c>
      <c r="BHH108" s="1" t="s">
        <v>122</v>
      </c>
      <c r="BHI108" s="1" t="s">
        <v>122</v>
      </c>
      <c r="BHJ108" s="1" t="s">
        <v>122</v>
      </c>
      <c r="BHK108" s="1" t="s">
        <v>122</v>
      </c>
      <c r="BHL108" s="1" t="s">
        <v>122</v>
      </c>
      <c r="BHM108" s="1" t="s">
        <v>122</v>
      </c>
      <c r="BHN108" s="1" t="s">
        <v>122</v>
      </c>
      <c r="BHO108" s="1" t="s">
        <v>122</v>
      </c>
      <c r="BHP108" s="1" t="s">
        <v>122</v>
      </c>
      <c r="BHQ108" s="1" t="s">
        <v>122</v>
      </c>
      <c r="BHR108" s="1" t="s">
        <v>122</v>
      </c>
      <c r="BHS108" s="1" t="s">
        <v>122</v>
      </c>
      <c r="BHT108" s="1" t="s">
        <v>122</v>
      </c>
      <c r="BHU108" s="1" t="s">
        <v>122</v>
      </c>
      <c r="BHV108" s="1" t="s">
        <v>122</v>
      </c>
      <c r="BHW108" s="1" t="s">
        <v>122</v>
      </c>
      <c r="BHX108" s="1" t="s">
        <v>122</v>
      </c>
      <c r="BHY108" s="1" t="s">
        <v>122</v>
      </c>
      <c r="BHZ108" s="1" t="s">
        <v>122</v>
      </c>
      <c r="BIA108" s="1" t="s">
        <v>122</v>
      </c>
      <c r="BIB108" s="1" t="s">
        <v>122</v>
      </c>
      <c r="BIC108" s="1" t="s">
        <v>122</v>
      </c>
      <c r="BID108" s="1" t="s">
        <v>122</v>
      </c>
      <c r="BIE108" s="1" t="s">
        <v>122</v>
      </c>
      <c r="BIF108" s="1" t="s">
        <v>122</v>
      </c>
      <c r="BIG108" s="1" t="s">
        <v>122</v>
      </c>
      <c r="BIH108" s="1" t="s">
        <v>122</v>
      </c>
      <c r="BII108" s="1" t="s">
        <v>122</v>
      </c>
      <c r="BIJ108" s="1" t="s">
        <v>122</v>
      </c>
      <c r="BIK108" s="1" t="s">
        <v>122</v>
      </c>
      <c r="BIL108" s="1" t="s">
        <v>122</v>
      </c>
      <c r="BIM108" s="1" t="s">
        <v>122</v>
      </c>
      <c r="BIN108" s="1" t="s">
        <v>122</v>
      </c>
      <c r="BIO108" s="1" t="s">
        <v>122</v>
      </c>
      <c r="BIP108" s="1" t="s">
        <v>122</v>
      </c>
      <c r="BIQ108" s="1" t="s">
        <v>122</v>
      </c>
      <c r="BIR108" s="1" t="s">
        <v>122</v>
      </c>
      <c r="BIS108" s="1" t="s">
        <v>122</v>
      </c>
      <c r="BIT108" s="1" t="s">
        <v>122</v>
      </c>
      <c r="BIU108" s="1" t="s">
        <v>122</v>
      </c>
      <c r="BIV108" s="1" t="s">
        <v>122</v>
      </c>
      <c r="BIW108" s="1" t="s">
        <v>122</v>
      </c>
      <c r="BIX108" s="1" t="s">
        <v>122</v>
      </c>
      <c r="BIY108" s="1" t="s">
        <v>122</v>
      </c>
      <c r="BIZ108" s="1" t="s">
        <v>122</v>
      </c>
      <c r="BJA108" s="1" t="s">
        <v>122</v>
      </c>
      <c r="BJB108" s="1" t="s">
        <v>122</v>
      </c>
      <c r="BJC108" s="1" t="s">
        <v>122</v>
      </c>
      <c r="BJD108" s="1" t="s">
        <v>122</v>
      </c>
      <c r="BJE108" s="1" t="s">
        <v>122</v>
      </c>
      <c r="BJF108" s="1" t="s">
        <v>122</v>
      </c>
      <c r="BJG108" s="1" t="s">
        <v>122</v>
      </c>
      <c r="BJH108" s="1" t="s">
        <v>122</v>
      </c>
      <c r="BJI108" s="1" t="s">
        <v>122</v>
      </c>
      <c r="BJJ108" s="1" t="s">
        <v>122</v>
      </c>
      <c r="BJK108" s="1" t="s">
        <v>122</v>
      </c>
      <c r="BJL108" s="1" t="s">
        <v>122</v>
      </c>
      <c r="BJM108" s="1" t="s">
        <v>122</v>
      </c>
      <c r="BJN108" s="1" t="s">
        <v>122</v>
      </c>
      <c r="BJO108" s="1" t="s">
        <v>122</v>
      </c>
      <c r="BJP108" s="1" t="s">
        <v>122</v>
      </c>
      <c r="BJQ108" s="1" t="s">
        <v>122</v>
      </c>
      <c r="BJR108" s="1" t="s">
        <v>122</v>
      </c>
      <c r="BJS108" s="1" t="s">
        <v>122</v>
      </c>
      <c r="BJT108" s="1" t="s">
        <v>122</v>
      </c>
      <c r="BJU108" s="1" t="s">
        <v>122</v>
      </c>
      <c r="BJV108" s="1" t="s">
        <v>122</v>
      </c>
      <c r="BJW108" s="1" t="s">
        <v>122</v>
      </c>
      <c r="BJX108" s="1" t="s">
        <v>122</v>
      </c>
      <c r="BJY108" s="1" t="s">
        <v>122</v>
      </c>
      <c r="BJZ108" s="1" t="s">
        <v>122</v>
      </c>
      <c r="BKA108" s="1" t="s">
        <v>122</v>
      </c>
      <c r="BKB108" s="1" t="s">
        <v>122</v>
      </c>
      <c r="BKC108" s="1" t="s">
        <v>122</v>
      </c>
      <c r="BKD108" s="1" t="s">
        <v>122</v>
      </c>
      <c r="BKE108" s="1" t="s">
        <v>122</v>
      </c>
      <c r="BKF108" s="1" t="s">
        <v>122</v>
      </c>
      <c r="BKG108" s="1" t="s">
        <v>122</v>
      </c>
      <c r="BKH108" s="1" t="s">
        <v>122</v>
      </c>
      <c r="BKI108" s="1" t="s">
        <v>122</v>
      </c>
      <c r="BKJ108" s="1" t="s">
        <v>122</v>
      </c>
      <c r="BKK108" s="1" t="s">
        <v>122</v>
      </c>
      <c r="BKL108" s="1" t="s">
        <v>122</v>
      </c>
      <c r="BKM108" s="1" t="s">
        <v>122</v>
      </c>
      <c r="BKN108" s="1" t="s">
        <v>122</v>
      </c>
      <c r="BKO108" s="1" t="s">
        <v>122</v>
      </c>
      <c r="BKP108" s="1" t="s">
        <v>122</v>
      </c>
      <c r="BKQ108" s="1" t="s">
        <v>122</v>
      </c>
      <c r="BKR108" s="1" t="s">
        <v>122</v>
      </c>
      <c r="BKS108" s="1" t="s">
        <v>122</v>
      </c>
      <c r="BKT108" s="1" t="s">
        <v>122</v>
      </c>
      <c r="BKU108" s="1" t="s">
        <v>122</v>
      </c>
      <c r="BKV108" s="1" t="s">
        <v>122</v>
      </c>
      <c r="BKW108" s="1" t="s">
        <v>122</v>
      </c>
      <c r="BKX108" s="1" t="s">
        <v>122</v>
      </c>
      <c r="BKY108" s="1" t="s">
        <v>122</v>
      </c>
      <c r="BKZ108" s="1" t="s">
        <v>122</v>
      </c>
      <c r="BLA108" s="1" t="s">
        <v>122</v>
      </c>
      <c r="BLB108" s="1" t="s">
        <v>122</v>
      </c>
      <c r="BLC108" s="1" t="s">
        <v>122</v>
      </c>
      <c r="BLD108" s="1" t="s">
        <v>122</v>
      </c>
      <c r="BLE108" s="1" t="s">
        <v>122</v>
      </c>
      <c r="BLF108" s="1" t="s">
        <v>122</v>
      </c>
      <c r="BLG108" s="1" t="s">
        <v>122</v>
      </c>
      <c r="BLH108" s="1" t="s">
        <v>122</v>
      </c>
      <c r="BLI108" s="1" t="s">
        <v>122</v>
      </c>
      <c r="BLJ108" s="1" t="s">
        <v>122</v>
      </c>
      <c r="BLK108" s="1" t="s">
        <v>122</v>
      </c>
      <c r="BLL108" s="1" t="s">
        <v>122</v>
      </c>
      <c r="BLM108" s="1" t="s">
        <v>122</v>
      </c>
      <c r="BLN108" s="1" t="s">
        <v>122</v>
      </c>
      <c r="BLO108" s="1" t="s">
        <v>122</v>
      </c>
      <c r="BLP108" s="1" t="s">
        <v>122</v>
      </c>
      <c r="BLQ108" s="1" t="s">
        <v>122</v>
      </c>
      <c r="BLR108" s="1" t="s">
        <v>122</v>
      </c>
      <c r="BLS108" s="1" t="s">
        <v>122</v>
      </c>
      <c r="BLT108" s="1" t="s">
        <v>122</v>
      </c>
      <c r="BLU108" s="1" t="s">
        <v>122</v>
      </c>
      <c r="BLV108" s="1" t="s">
        <v>122</v>
      </c>
      <c r="BLW108" s="1" t="s">
        <v>122</v>
      </c>
      <c r="BLX108" s="1" t="s">
        <v>122</v>
      </c>
      <c r="BLY108" s="1" t="s">
        <v>122</v>
      </c>
      <c r="BLZ108" s="1" t="s">
        <v>122</v>
      </c>
      <c r="BMA108" s="1" t="s">
        <v>122</v>
      </c>
      <c r="BMB108" s="1" t="s">
        <v>122</v>
      </c>
      <c r="BMC108" s="1" t="s">
        <v>122</v>
      </c>
      <c r="BMD108" s="1" t="s">
        <v>122</v>
      </c>
      <c r="BME108" s="1" t="s">
        <v>122</v>
      </c>
      <c r="BMF108" s="1" t="s">
        <v>122</v>
      </c>
      <c r="BMG108" s="1" t="s">
        <v>122</v>
      </c>
      <c r="BMH108" s="1" t="s">
        <v>122</v>
      </c>
      <c r="BMI108" s="1" t="s">
        <v>122</v>
      </c>
      <c r="BMJ108" s="1" t="s">
        <v>122</v>
      </c>
      <c r="BMK108" s="1" t="s">
        <v>122</v>
      </c>
      <c r="BML108" s="1" t="s">
        <v>122</v>
      </c>
      <c r="BMM108" s="1" t="s">
        <v>122</v>
      </c>
      <c r="BMN108" s="1" t="s">
        <v>122</v>
      </c>
      <c r="BMO108" s="1" t="s">
        <v>122</v>
      </c>
      <c r="BMP108" s="1" t="s">
        <v>122</v>
      </c>
      <c r="BMQ108" s="1" t="s">
        <v>122</v>
      </c>
      <c r="BMR108" s="1" t="s">
        <v>122</v>
      </c>
      <c r="BMS108" s="1" t="s">
        <v>122</v>
      </c>
      <c r="BMT108" s="1" t="s">
        <v>122</v>
      </c>
      <c r="BMU108" s="1" t="s">
        <v>122</v>
      </c>
      <c r="BMV108" s="1" t="s">
        <v>122</v>
      </c>
      <c r="BMW108" s="1" t="s">
        <v>122</v>
      </c>
      <c r="BMX108" s="1" t="s">
        <v>122</v>
      </c>
      <c r="BMY108" s="1" t="s">
        <v>122</v>
      </c>
      <c r="BMZ108" s="1" t="s">
        <v>122</v>
      </c>
      <c r="BNA108" s="1" t="s">
        <v>122</v>
      </c>
      <c r="BNB108" s="1" t="s">
        <v>122</v>
      </c>
      <c r="BNC108" s="1" t="s">
        <v>122</v>
      </c>
      <c r="BND108" s="1" t="s">
        <v>122</v>
      </c>
      <c r="BNE108" s="1" t="s">
        <v>122</v>
      </c>
      <c r="BNF108" s="1" t="s">
        <v>122</v>
      </c>
      <c r="BNG108" s="1" t="s">
        <v>122</v>
      </c>
      <c r="BNH108" s="1" t="s">
        <v>122</v>
      </c>
      <c r="BNI108" s="1" t="s">
        <v>122</v>
      </c>
      <c r="BNJ108" s="1" t="s">
        <v>122</v>
      </c>
      <c r="BNK108" s="1" t="s">
        <v>122</v>
      </c>
      <c r="BNL108" s="1" t="s">
        <v>122</v>
      </c>
      <c r="BNM108" s="1" t="s">
        <v>122</v>
      </c>
      <c r="BNN108" s="1" t="s">
        <v>122</v>
      </c>
      <c r="BNO108" s="1" t="s">
        <v>122</v>
      </c>
      <c r="BNP108" s="1" t="s">
        <v>122</v>
      </c>
      <c r="BNQ108" s="1" t="s">
        <v>122</v>
      </c>
      <c r="BNR108" s="1" t="s">
        <v>122</v>
      </c>
      <c r="BNS108" s="1" t="s">
        <v>122</v>
      </c>
      <c r="BNT108" s="1" t="s">
        <v>122</v>
      </c>
      <c r="BNU108" s="1" t="s">
        <v>122</v>
      </c>
      <c r="BNV108" s="1" t="s">
        <v>122</v>
      </c>
      <c r="BNW108" s="1" t="s">
        <v>122</v>
      </c>
      <c r="BNX108" s="1" t="s">
        <v>122</v>
      </c>
      <c r="BNY108" s="1" t="s">
        <v>122</v>
      </c>
      <c r="BNZ108" s="1" t="s">
        <v>122</v>
      </c>
      <c r="BOA108" s="1" t="s">
        <v>122</v>
      </c>
      <c r="BOB108" s="1" t="s">
        <v>122</v>
      </c>
      <c r="BOC108" s="1" t="s">
        <v>122</v>
      </c>
      <c r="BOD108" s="1" t="s">
        <v>122</v>
      </c>
      <c r="BOE108" s="1" t="s">
        <v>122</v>
      </c>
      <c r="BOF108" s="1" t="s">
        <v>122</v>
      </c>
      <c r="BOG108" s="1" t="s">
        <v>122</v>
      </c>
      <c r="BOH108" s="1" t="s">
        <v>122</v>
      </c>
      <c r="BOI108" s="1" t="s">
        <v>122</v>
      </c>
      <c r="BOJ108" s="1" t="s">
        <v>122</v>
      </c>
      <c r="BOK108" s="1" t="s">
        <v>122</v>
      </c>
      <c r="BOL108" s="1" t="s">
        <v>122</v>
      </c>
      <c r="BOM108" s="1" t="s">
        <v>122</v>
      </c>
      <c r="BON108" s="1" t="s">
        <v>122</v>
      </c>
      <c r="BOO108" s="1" t="s">
        <v>122</v>
      </c>
      <c r="BOP108" s="1" t="s">
        <v>122</v>
      </c>
      <c r="BOQ108" s="1" t="s">
        <v>122</v>
      </c>
      <c r="BOR108" s="1" t="s">
        <v>122</v>
      </c>
      <c r="BOS108" s="1" t="s">
        <v>122</v>
      </c>
      <c r="BOT108" s="1" t="s">
        <v>122</v>
      </c>
      <c r="BOU108" s="1" t="s">
        <v>122</v>
      </c>
      <c r="BOV108" s="1" t="s">
        <v>122</v>
      </c>
      <c r="BOW108" s="1" t="s">
        <v>122</v>
      </c>
      <c r="BOX108" s="1" t="s">
        <v>122</v>
      </c>
      <c r="BOY108" s="1" t="s">
        <v>122</v>
      </c>
      <c r="BOZ108" s="1" t="s">
        <v>122</v>
      </c>
      <c r="BPA108" s="1" t="s">
        <v>122</v>
      </c>
      <c r="BPB108" s="1" t="s">
        <v>122</v>
      </c>
      <c r="BPC108" s="1" t="s">
        <v>122</v>
      </c>
      <c r="BPD108" s="1" t="s">
        <v>122</v>
      </c>
      <c r="BPE108" s="1" t="s">
        <v>122</v>
      </c>
      <c r="BPF108" s="1" t="s">
        <v>122</v>
      </c>
      <c r="BPG108" s="1" t="s">
        <v>122</v>
      </c>
      <c r="BPH108" s="1" t="s">
        <v>122</v>
      </c>
      <c r="BPI108" s="1" t="s">
        <v>122</v>
      </c>
      <c r="BPJ108" s="1" t="s">
        <v>122</v>
      </c>
      <c r="BPK108" s="1" t="s">
        <v>122</v>
      </c>
      <c r="BPL108" s="1" t="s">
        <v>122</v>
      </c>
      <c r="BPM108" s="1" t="s">
        <v>122</v>
      </c>
      <c r="BPN108" s="1" t="s">
        <v>122</v>
      </c>
      <c r="BPO108" s="1" t="s">
        <v>122</v>
      </c>
      <c r="BPP108" s="1" t="s">
        <v>122</v>
      </c>
      <c r="BPQ108" s="1" t="s">
        <v>122</v>
      </c>
      <c r="BPR108" s="1" t="s">
        <v>122</v>
      </c>
      <c r="BPS108" s="1" t="s">
        <v>122</v>
      </c>
      <c r="BPT108" s="1" t="s">
        <v>122</v>
      </c>
      <c r="BPU108" s="1" t="s">
        <v>122</v>
      </c>
      <c r="BPV108" s="1" t="s">
        <v>122</v>
      </c>
      <c r="BPW108" s="1" t="s">
        <v>122</v>
      </c>
      <c r="BPX108" s="1" t="s">
        <v>122</v>
      </c>
      <c r="BPY108" s="1" t="s">
        <v>122</v>
      </c>
      <c r="BPZ108" s="1" t="s">
        <v>122</v>
      </c>
      <c r="BQA108" s="1" t="s">
        <v>122</v>
      </c>
      <c r="BQB108" s="1" t="s">
        <v>122</v>
      </c>
      <c r="BQC108" s="1" t="s">
        <v>122</v>
      </c>
      <c r="BQD108" s="1" t="s">
        <v>122</v>
      </c>
      <c r="BQE108" s="1" t="s">
        <v>122</v>
      </c>
      <c r="BQF108" s="1" t="s">
        <v>122</v>
      </c>
      <c r="BQG108" s="1" t="s">
        <v>122</v>
      </c>
      <c r="BQH108" s="1" t="s">
        <v>122</v>
      </c>
      <c r="BQI108" s="1" t="s">
        <v>122</v>
      </c>
      <c r="BQJ108" s="1" t="s">
        <v>122</v>
      </c>
      <c r="BQK108" s="1" t="s">
        <v>122</v>
      </c>
      <c r="BQL108" s="1" t="s">
        <v>122</v>
      </c>
      <c r="BQM108" s="1" t="s">
        <v>122</v>
      </c>
      <c r="BQN108" s="1" t="s">
        <v>122</v>
      </c>
      <c r="BQO108" s="1" t="s">
        <v>122</v>
      </c>
      <c r="BQP108" s="1" t="s">
        <v>122</v>
      </c>
      <c r="BQQ108" s="1" t="s">
        <v>122</v>
      </c>
      <c r="BQR108" s="1" t="s">
        <v>122</v>
      </c>
      <c r="BQS108" s="1" t="s">
        <v>122</v>
      </c>
      <c r="BQT108" s="1" t="s">
        <v>122</v>
      </c>
      <c r="BQU108" s="1" t="s">
        <v>122</v>
      </c>
      <c r="BQV108" s="1" t="s">
        <v>122</v>
      </c>
      <c r="BQW108" s="1" t="s">
        <v>122</v>
      </c>
      <c r="BQX108" s="1" t="s">
        <v>122</v>
      </c>
      <c r="BQY108" s="1" t="s">
        <v>122</v>
      </c>
      <c r="BQZ108" s="1" t="s">
        <v>122</v>
      </c>
      <c r="BRA108" s="1" t="s">
        <v>122</v>
      </c>
      <c r="BRB108" s="1" t="s">
        <v>122</v>
      </c>
      <c r="BRC108" s="1" t="s">
        <v>122</v>
      </c>
      <c r="BRD108" s="1" t="s">
        <v>122</v>
      </c>
      <c r="BRE108" s="1" t="s">
        <v>122</v>
      </c>
      <c r="BRF108" s="1" t="s">
        <v>122</v>
      </c>
      <c r="BRG108" s="1" t="s">
        <v>122</v>
      </c>
      <c r="BRH108" s="1" t="s">
        <v>122</v>
      </c>
      <c r="BRI108" s="1" t="s">
        <v>122</v>
      </c>
      <c r="BRJ108" s="1" t="s">
        <v>122</v>
      </c>
      <c r="BRK108" s="1" t="s">
        <v>122</v>
      </c>
      <c r="BRL108" s="1" t="s">
        <v>122</v>
      </c>
      <c r="BRM108" s="1" t="s">
        <v>122</v>
      </c>
      <c r="BRN108" s="1" t="s">
        <v>122</v>
      </c>
      <c r="BRO108" s="1" t="s">
        <v>122</v>
      </c>
      <c r="BRP108" s="1" t="s">
        <v>122</v>
      </c>
      <c r="BRQ108" s="1" t="s">
        <v>122</v>
      </c>
      <c r="BRR108" s="1" t="s">
        <v>122</v>
      </c>
      <c r="BRS108" s="1" t="s">
        <v>122</v>
      </c>
      <c r="BRT108" s="1" t="s">
        <v>122</v>
      </c>
      <c r="BRU108" s="1" t="s">
        <v>122</v>
      </c>
      <c r="BRV108" s="1" t="s">
        <v>122</v>
      </c>
      <c r="BRW108" s="1" t="s">
        <v>122</v>
      </c>
      <c r="BRX108" s="1" t="s">
        <v>122</v>
      </c>
      <c r="BRY108" s="1" t="s">
        <v>122</v>
      </c>
      <c r="BRZ108" s="1" t="s">
        <v>122</v>
      </c>
      <c r="BSA108" s="1" t="s">
        <v>122</v>
      </c>
      <c r="BSB108" s="1" t="s">
        <v>122</v>
      </c>
      <c r="BSC108" s="1" t="s">
        <v>122</v>
      </c>
      <c r="BSD108" s="1" t="s">
        <v>122</v>
      </c>
      <c r="BSE108" s="1" t="s">
        <v>122</v>
      </c>
      <c r="BSF108" s="1" t="s">
        <v>122</v>
      </c>
      <c r="BSG108" s="1" t="s">
        <v>122</v>
      </c>
      <c r="BSH108" s="1" t="s">
        <v>122</v>
      </c>
      <c r="BSI108" s="1" t="s">
        <v>122</v>
      </c>
      <c r="BSJ108" s="1" t="s">
        <v>122</v>
      </c>
      <c r="BSK108" s="1" t="s">
        <v>122</v>
      </c>
      <c r="BSL108" s="1" t="s">
        <v>122</v>
      </c>
      <c r="BSM108" s="1" t="s">
        <v>122</v>
      </c>
      <c r="BSN108" s="1" t="s">
        <v>122</v>
      </c>
      <c r="BSO108" s="1" t="s">
        <v>122</v>
      </c>
      <c r="BSP108" s="1" t="s">
        <v>122</v>
      </c>
      <c r="BSQ108" s="1" t="s">
        <v>122</v>
      </c>
      <c r="BSR108" s="1" t="s">
        <v>122</v>
      </c>
      <c r="BSS108" s="1" t="s">
        <v>122</v>
      </c>
      <c r="BST108" s="1" t="s">
        <v>122</v>
      </c>
      <c r="BSU108" s="1" t="s">
        <v>122</v>
      </c>
      <c r="BSV108" s="1" t="s">
        <v>122</v>
      </c>
      <c r="BSW108" s="1" t="s">
        <v>122</v>
      </c>
      <c r="BSX108" s="1" t="s">
        <v>122</v>
      </c>
      <c r="BSY108" s="1" t="s">
        <v>122</v>
      </c>
      <c r="BSZ108" s="1" t="s">
        <v>122</v>
      </c>
      <c r="BTA108" s="1" t="s">
        <v>122</v>
      </c>
      <c r="BTB108" s="1" t="s">
        <v>122</v>
      </c>
      <c r="BTC108" s="1" t="s">
        <v>122</v>
      </c>
      <c r="BTD108" s="1" t="s">
        <v>122</v>
      </c>
      <c r="BTE108" s="1" t="s">
        <v>122</v>
      </c>
      <c r="BTF108" s="1" t="s">
        <v>122</v>
      </c>
      <c r="BTG108" s="1" t="s">
        <v>122</v>
      </c>
      <c r="BTH108" s="1" t="s">
        <v>122</v>
      </c>
      <c r="BTI108" s="1" t="s">
        <v>122</v>
      </c>
      <c r="BTJ108" s="1" t="s">
        <v>122</v>
      </c>
      <c r="BTK108" s="1" t="s">
        <v>122</v>
      </c>
      <c r="BTL108" s="1" t="s">
        <v>122</v>
      </c>
      <c r="BTM108" s="1" t="s">
        <v>122</v>
      </c>
      <c r="BTN108" s="1" t="s">
        <v>122</v>
      </c>
      <c r="BTO108" s="1" t="s">
        <v>122</v>
      </c>
      <c r="BTP108" s="1" t="s">
        <v>122</v>
      </c>
      <c r="BTQ108" s="1" t="s">
        <v>122</v>
      </c>
      <c r="BTR108" s="1" t="s">
        <v>122</v>
      </c>
      <c r="BTS108" s="1" t="s">
        <v>122</v>
      </c>
      <c r="BTT108" s="1" t="s">
        <v>122</v>
      </c>
      <c r="BTU108" s="1" t="s">
        <v>122</v>
      </c>
      <c r="BTV108" s="1" t="s">
        <v>122</v>
      </c>
      <c r="BTW108" s="1" t="s">
        <v>122</v>
      </c>
      <c r="BTX108" s="1" t="s">
        <v>122</v>
      </c>
      <c r="BTY108" s="1" t="s">
        <v>122</v>
      </c>
      <c r="BTZ108" s="1" t="s">
        <v>122</v>
      </c>
      <c r="BUA108" s="1" t="s">
        <v>122</v>
      </c>
      <c r="BUB108" s="1" t="s">
        <v>122</v>
      </c>
      <c r="BUC108" s="1" t="s">
        <v>122</v>
      </c>
      <c r="BUD108" s="1" t="s">
        <v>122</v>
      </c>
      <c r="BUE108" s="1" t="s">
        <v>122</v>
      </c>
      <c r="BUF108" s="1" t="s">
        <v>122</v>
      </c>
      <c r="BUG108" s="1" t="s">
        <v>122</v>
      </c>
      <c r="BUH108" s="1" t="s">
        <v>122</v>
      </c>
      <c r="BUI108" s="1" t="s">
        <v>122</v>
      </c>
      <c r="BUJ108" s="1" t="s">
        <v>122</v>
      </c>
      <c r="BUK108" s="1" t="s">
        <v>122</v>
      </c>
      <c r="BUL108" s="1" t="s">
        <v>122</v>
      </c>
      <c r="BUM108" s="1" t="s">
        <v>122</v>
      </c>
      <c r="BUN108" s="1" t="s">
        <v>122</v>
      </c>
      <c r="BUO108" s="1" t="s">
        <v>122</v>
      </c>
      <c r="BUP108" s="1" t="s">
        <v>122</v>
      </c>
      <c r="BUQ108" s="1" t="s">
        <v>122</v>
      </c>
      <c r="BUR108" s="1" t="s">
        <v>122</v>
      </c>
      <c r="BUS108" s="1" t="s">
        <v>122</v>
      </c>
      <c r="BUT108" s="1" t="s">
        <v>122</v>
      </c>
      <c r="BUU108" s="1" t="s">
        <v>122</v>
      </c>
      <c r="BUV108" s="1" t="s">
        <v>122</v>
      </c>
      <c r="BUW108" s="1" t="s">
        <v>122</v>
      </c>
      <c r="BUX108" s="1" t="s">
        <v>122</v>
      </c>
      <c r="BUY108" s="1" t="s">
        <v>122</v>
      </c>
      <c r="BUZ108" s="1" t="s">
        <v>122</v>
      </c>
      <c r="BVA108" s="1" t="s">
        <v>122</v>
      </c>
      <c r="BVB108" s="1" t="s">
        <v>122</v>
      </c>
      <c r="BVC108" s="1" t="s">
        <v>122</v>
      </c>
      <c r="BVD108" s="1" t="s">
        <v>122</v>
      </c>
      <c r="BVE108" s="1" t="s">
        <v>122</v>
      </c>
      <c r="BVF108" s="1" t="s">
        <v>122</v>
      </c>
      <c r="BVG108" s="1" t="s">
        <v>122</v>
      </c>
      <c r="BVH108" s="1" t="s">
        <v>122</v>
      </c>
      <c r="BVI108" s="1" t="s">
        <v>122</v>
      </c>
      <c r="BVJ108" s="1" t="s">
        <v>122</v>
      </c>
      <c r="BVK108" s="1" t="s">
        <v>122</v>
      </c>
      <c r="BVL108" s="1" t="s">
        <v>122</v>
      </c>
      <c r="BVM108" s="1" t="s">
        <v>122</v>
      </c>
      <c r="BVN108" s="1" t="s">
        <v>122</v>
      </c>
      <c r="BVO108" s="1" t="s">
        <v>122</v>
      </c>
      <c r="BVP108" s="1" t="s">
        <v>122</v>
      </c>
      <c r="BVQ108" s="1" t="s">
        <v>122</v>
      </c>
      <c r="BVR108" s="1" t="s">
        <v>122</v>
      </c>
      <c r="BVS108" s="1" t="s">
        <v>122</v>
      </c>
      <c r="BVT108" s="1" t="s">
        <v>122</v>
      </c>
      <c r="BVU108" s="1" t="s">
        <v>122</v>
      </c>
      <c r="BVV108" s="1" t="s">
        <v>122</v>
      </c>
      <c r="BVW108" s="1" t="s">
        <v>122</v>
      </c>
      <c r="BVX108" s="1" t="s">
        <v>122</v>
      </c>
      <c r="BVY108" s="1" t="s">
        <v>122</v>
      </c>
      <c r="BVZ108" s="1" t="s">
        <v>122</v>
      </c>
      <c r="BWA108" s="1" t="s">
        <v>122</v>
      </c>
      <c r="BWB108" s="1" t="s">
        <v>122</v>
      </c>
      <c r="BWC108" s="1" t="s">
        <v>122</v>
      </c>
      <c r="BWD108" s="1" t="s">
        <v>122</v>
      </c>
      <c r="BWE108" s="1" t="s">
        <v>122</v>
      </c>
      <c r="BWF108" s="1" t="s">
        <v>122</v>
      </c>
      <c r="BWG108" s="1" t="s">
        <v>122</v>
      </c>
      <c r="BWH108" s="1" t="s">
        <v>122</v>
      </c>
      <c r="BWI108" s="1" t="s">
        <v>122</v>
      </c>
      <c r="BWJ108" s="1" t="s">
        <v>122</v>
      </c>
      <c r="BWK108" s="1" t="s">
        <v>122</v>
      </c>
      <c r="BWL108" s="1" t="s">
        <v>122</v>
      </c>
      <c r="BWM108" s="1" t="s">
        <v>122</v>
      </c>
      <c r="BWN108" s="1" t="s">
        <v>122</v>
      </c>
      <c r="BWO108" s="1" t="s">
        <v>122</v>
      </c>
      <c r="BWP108" s="1" t="s">
        <v>122</v>
      </c>
      <c r="BWQ108" s="1" t="s">
        <v>122</v>
      </c>
      <c r="BWR108" s="1" t="s">
        <v>122</v>
      </c>
      <c r="BWS108" s="1" t="s">
        <v>122</v>
      </c>
      <c r="BWT108" s="1" t="s">
        <v>122</v>
      </c>
      <c r="BWU108" s="1" t="s">
        <v>122</v>
      </c>
      <c r="BWV108" s="1" t="s">
        <v>122</v>
      </c>
      <c r="BWW108" s="1" t="s">
        <v>122</v>
      </c>
      <c r="BWX108" s="1" t="s">
        <v>122</v>
      </c>
      <c r="BWY108" s="1" t="s">
        <v>122</v>
      </c>
      <c r="BWZ108" s="1" t="s">
        <v>122</v>
      </c>
      <c r="BXA108" s="1" t="s">
        <v>122</v>
      </c>
      <c r="BXB108" s="1" t="s">
        <v>122</v>
      </c>
      <c r="BXC108" s="1" t="s">
        <v>122</v>
      </c>
      <c r="BXD108" s="1" t="s">
        <v>122</v>
      </c>
      <c r="BXE108" s="1" t="s">
        <v>122</v>
      </c>
      <c r="BXF108" s="1" t="s">
        <v>122</v>
      </c>
      <c r="BXG108" s="1" t="s">
        <v>122</v>
      </c>
      <c r="BXH108" s="1" t="s">
        <v>122</v>
      </c>
      <c r="BXI108" s="1" t="s">
        <v>122</v>
      </c>
      <c r="BXJ108" s="1" t="s">
        <v>122</v>
      </c>
      <c r="BXK108" s="1" t="s">
        <v>122</v>
      </c>
      <c r="BXL108" s="1" t="s">
        <v>122</v>
      </c>
      <c r="BXM108" s="1" t="s">
        <v>122</v>
      </c>
      <c r="BXN108" s="1" t="s">
        <v>122</v>
      </c>
      <c r="BXO108" s="1" t="s">
        <v>122</v>
      </c>
      <c r="BXP108" s="1" t="s">
        <v>122</v>
      </c>
      <c r="BXQ108" s="1" t="s">
        <v>122</v>
      </c>
      <c r="BXR108" s="1" t="s">
        <v>122</v>
      </c>
      <c r="BXS108" s="1" t="s">
        <v>122</v>
      </c>
      <c r="BXT108" s="1" t="s">
        <v>122</v>
      </c>
      <c r="BXU108" s="1" t="s">
        <v>122</v>
      </c>
      <c r="BXV108" s="1" t="s">
        <v>122</v>
      </c>
      <c r="BXW108" s="1" t="s">
        <v>122</v>
      </c>
      <c r="BXX108" s="1" t="s">
        <v>122</v>
      </c>
      <c r="BXY108" s="1" t="s">
        <v>122</v>
      </c>
      <c r="BXZ108" s="1" t="s">
        <v>122</v>
      </c>
      <c r="BYA108" s="1" t="s">
        <v>122</v>
      </c>
      <c r="BYB108" s="1" t="s">
        <v>122</v>
      </c>
      <c r="BYC108" s="1" t="s">
        <v>122</v>
      </c>
      <c r="BYD108" s="1" t="s">
        <v>122</v>
      </c>
      <c r="BYE108" s="1" t="s">
        <v>122</v>
      </c>
      <c r="BYF108" s="1" t="s">
        <v>122</v>
      </c>
      <c r="BYG108" s="1" t="s">
        <v>122</v>
      </c>
      <c r="BYH108" s="1" t="s">
        <v>122</v>
      </c>
      <c r="BYI108" s="1" t="s">
        <v>122</v>
      </c>
      <c r="BYJ108" s="1" t="s">
        <v>122</v>
      </c>
      <c r="BYK108" s="1" t="s">
        <v>122</v>
      </c>
      <c r="BYL108" s="1" t="s">
        <v>122</v>
      </c>
      <c r="BYM108" s="1" t="s">
        <v>122</v>
      </c>
      <c r="BYN108" s="1" t="s">
        <v>122</v>
      </c>
      <c r="BYO108" s="1" t="s">
        <v>122</v>
      </c>
      <c r="BYP108" s="1" t="s">
        <v>122</v>
      </c>
      <c r="BYQ108" s="1" t="s">
        <v>122</v>
      </c>
      <c r="BYR108" s="1" t="s">
        <v>122</v>
      </c>
      <c r="BYS108" s="1" t="s">
        <v>122</v>
      </c>
      <c r="BYT108" s="1" t="s">
        <v>122</v>
      </c>
      <c r="BYU108" s="1" t="s">
        <v>122</v>
      </c>
      <c r="BYV108" s="1" t="s">
        <v>122</v>
      </c>
      <c r="BYW108" s="1" t="s">
        <v>122</v>
      </c>
      <c r="BYX108" s="1" t="s">
        <v>122</v>
      </c>
      <c r="BYY108" s="1" t="s">
        <v>122</v>
      </c>
      <c r="BYZ108" s="1" t="s">
        <v>122</v>
      </c>
      <c r="BZA108" s="1" t="s">
        <v>122</v>
      </c>
      <c r="BZB108" s="1" t="s">
        <v>122</v>
      </c>
      <c r="BZC108" s="1" t="s">
        <v>122</v>
      </c>
      <c r="BZD108" s="1" t="s">
        <v>122</v>
      </c>
      <c r="BZE108" s="1" t="s">
        <v>122</v>
      </c>
      <c r="BZF108" s="1" t="s">
        <v>122</v>
      </c>
      <c r="BZG108" s="1" t="s">
        <v>122</v>
      </c>
      <c r="BZH108" s="1" t="s">
        <v>122</v>
      </c>
      <c r="BZI108" s="1" t="s">
        <v>122</v>
      </c>
      <c r="BZJ108" s="1" t="s">
        <v>122</v>
      </c>
      <c r="BZK108" s="1" t="s">
        <v>122</v>
      </c>
      <c r="BZL108" s="1" t="s">
        <v>122</v>
      </c>
      <c r="BZM108" s="1" t="s">
        <v>122</v>
      </c>
      <c r="BZN108" s="1" t="s">
        <v>122</v>
      </c>
      <c r="BZO108" s="1" t="s">
        <v>122</v>
      </c>
      <c r="BZP108" s="1" t="s">
        <v>122</v>
      </c>
      <c r="BZQ108" s="1" t="s">
        <v>122</v>
      </c>
      <c r="BZR108" s="1" t="s">
        <v>122</v>
      </c>
      <c r="BZS108" s="1" t="s">
        <v>122</v>
      </c>
      <c r="BZT108" s="1" t="s">
        <v>122</v>
      </c>
      <c r="BZU108" s="1" t="s">
        <v>122</v>
      </c>
      <c r="BZV108" s="1" t="s">
        <v>122</v>
      </c>
      <c r="BZW108" s="1" t="s">
        <v>122</v>
      </c>
      <c r="BZX108" s="1" t="s">
        <v>122</v>
      </c>
      <c r="BZY108" s="1" t="s">
        <v>122</v>
      </c>
      <c r="BZZ108" s="1" t="s">
        <v>122</v>
      </c>
      <c r="CAA108" s="1" t="s">
        <v>122</v>
      </c>
      <c r="CAB108" s="1" t="s">
        <v>122</v>
      </c>
      <c r="CAC108" s="1" t="s">
        <v>122</v>
      </c>
      <c r="CAD108" s="1" t="s">
        <v>122</v>
      </c>
      <c r="CAE108" s="1" t="s">
        <v>122</v>
      </c>
      <c r="CAF108" s="1" t="s">
        <v>122</v>
      </c>
      <c r="CAG108" s="1" t="s">
        <v>122</v>
      </c>
      <c r="CAH108" s="1" t="s">
        <v>122</v>
      </c>
      <c r="CAI108" s="1" t="s">
        <v>122</v>
      </c>
      <c r="CAJ108" s="1" t="s">
        <v>122</v>
      </c>
      <c r="CAK108" s="1" t="s">
        <v>122</v>
      </c>
      <c r="CAL108" s="1" t="s">
        <v>122</v>
      </c>
      <c r="CAM108" s="1" t="s">
        <v>122</v>
      </c>
      <c r="CAN108" s="1" t="s">
        <v>122</v>
      </c>
      <c r="CAO108" s="1" t="s">
        <v>122</v>
      </c>
      <c r="CAP108" s="1" t="s">
        <v>122</v>
      </c>
      <c r="CAQ108" s="1" t="s">
        <v>122</v>
      </c>
      <c r="CAR108" s="1" t="s">
        <v>122</v>
      </c>
      <c r="CAS108" s="1" t="s">
        <v>122</v>
      </c>
      <c r="CAT108" s="1" t="s">
        <v>122</v>
      </c>
      <c r="CAU108" s="1" t="s">
        <v>122</v>
      </c>
      <c r="CAV108" s="1" t="s">
        <v>122</v>
      </c>
      <c r="CAW108" s="1" t="s">
        <v>122</v>
      </c>
      <c r="CAX108" s="1" t="s">
        <v>122</v>
      </c>
      <c r="CAY108" s="1" t="s">
        <v>122</v>
      </c>
      <c r="CAZ108" s="1" t="s">
        <v>122</v>
      </c>
      <c r="CBA108" s="1" t="s">
        <v>122</v>
      </c>
      <c r="CBB108" s="1" t="s">
        <v>122</v>
      </c>
      <c r="CBC108" s="1" t="s">
        <v>122</v>
      </c>
      <c r="CBD108" s="1" t="s">
        <v>122</v>
      </c>
      <c r="CBE108" s="1" t="s">
        <v>122</v>
      </c>
      <c r="CBF108" s="1" t="s">
        <v>122</v>
      </c>
      <c r="CBG108" s="1" t="s">
        <v>122</v>
      </c>
      <c r="CBH108" s="1" t="s">
        <v>122</v>
      </c>
      <c r="CBI108" s="1" t="s">
        <v>122</v>
      </c>
      <c r="CBJ108" s="1" t="s">
        <v>122</v>
      </c>
      <c r="CBK108" s="1" t="s">
        <v>122</v>
      </c>
      <c r="CBL108" s="1" t="s">
        <v>122</v>
      </c>
      <c r="CBM108" s="1" t="s">
        <v>122</v>
      </c>
      <c r="CBN108" s="1" t="s">
        <v>122</v>
      </c>
      <c r="CBO108" s="1" t="s">
        <v>122</v>
      </c>
      <c r="CBP108" s="1" t="s">
        <v>122</v>
      </c>
      <c r="CBQ108" s="1" t="s">
        <v>122</v>
      </c>
      <c r="CBR108" s="1" t="s">
        <v>122</v>
      </c>
      <c r="CBS108" s="1" t="s">
        <v>122</v>
      </c>
      <c r="CBT108" s="1" t="s">
        <v>122</v>
      </c>
      <c r="CBU108" s="1" t="s">
        <v>122</v>
      </c>
      <c r="CBV108" s="1" t="s">
        <v>122</v>
      </c>
      <c r="CBW108" s="1" t="s">
        <v>122</v>
      </c>
      <c r="CBX108" s="1" t="s">
        <v>122</v>
      </c>
      <c r="CBY108" s="1" t="s">
        <v>122</v>
      </c>
      <c r="CBZ108" s="1" t="s">
        <v>122</v>
      </c>
      <c r="CCA108" s="1" t="s">
        <v>122</v>
      </c>
      <c r="CCB108" s="1" t="s">
        <v>122</v>
      </c>
      <c r="CCC108" s="1" t="s">
        <v>122</v>
      </c>
      <c r="CCD108" s="1" t="s">
        <v>122</v>
      </c>
      <c r="CCE108" s="1" t="s">
        <v>122</v>
      </c>
      <c r="CCF108" s="1" t="s">
        <v>122</v>
      </c>
      <c r="CCG108" s="1" t="s">
        <v>122</v>
      </c>
      <c r="CCH108" s="1" t="s">
        <v>122</v>
      </c>
      <c r="CCI108" s="1" t="s">
        <v>122</v>
      </c>
      <c r="CCJ108" s="1" t="s">
        <v>122</v>
      </c>
      <c r="CCK108" s="1" t="s">
        <v>122</v>
      </c>
      <c r="CCL108" s="1" t="s">
        <v>122</v>
      </c>
      <c r="CCM108" s="1" t="s">
        <v>122</v>
      </c>
      <c r="CCN108" s="1" t="s">
        <v>122</v>
      </c>
      <c r="CCO108" s="1" t="s">
        <v>122</v>
      </c>
      <c r="CCP108" s="1" t="s">
        <v>122</v>
      </c>
      <c r="CCQ108" s="1" t="s">
        <v>122</v>
      </c>
      <c r="CCR108" s="1" t="s">
        <v>122</v>
      </c>
      <c r="CCS108" s="1" t="s">
        <v>122</v>
      </c>
      <c r="CCT108" s="1" t="s">
        <v>122</v>
      </c>
      <c r="CCU108" s="1" t="s">
        <v>122</v>
      </c>
      <c r="CCV108" s="1" t="s">
        <v>122</v>
      </c>
      <c r="CCW108" s="1" t="s">
        <v>122</v>
      </c>
      <c r="CCX108" s="1" t="s">
        <v>122</v>
      </c>
      <c r="CCY108" s="1" t="s">
        <v>122</v>
      </c>
      <c r="CCZ108" s="1" t="s">
        <v>122</v>
      </c>
      <c r="CDA108" s="1" t="s">
        <v>122</v>
      </c>
      <c r="CDB108" s="1" t="s">
        <v>122</v>
      </c>
      <c r="CDC108" s="1" t="s">
        <v>122</v>
      </c>
      <c r="CDD108" s="1" t="s">
        <v>122</v>
      </c>
      <c r="CDE108" s="1" t="s">
        <v>122</v>
      </c>
      <c r="CDF108" s="1" t="s">
        <v>122</v>
      </c>
      <c r="CDG108" s="1" t="s">
        <v>122</v>
      </c>
      <c r="CDH108" s="1" t="s">
        <v>122</v>
      </c>
      <c r="CDI108" s="1" t="s">
        <v>122</v>
      </c>
      <c r="CDJ108" s="1" t="s">
        <v>122</v>
      </c>
      <c r="CDK108" s="1" t="s">
        <v>122</v>
      </c>
      <c r="CDL108" s="1" t="s">
        <v>122</v>
      </c>
      <c r="CDM108" s="1" t="s">
        <v>122</v>
      </c>
      <c r="CDN108" s="1" t="s">
        <v>122</v>
      </c>
      <c r="CDO108" s="1" t="s">
        <v>122</v>
      </c>
      <c r="CDP108" s="1" t="s">
        <v>122</v>
      </c>
      <c r="CDQ108" s="1" t="s">
        <v>122</v>
      </c>
      <c r="CDR108" s="1" t="s">
        <v>122</v>
      </c>
      <c r="CDS108" s="1" t="s">
        <v>122</v>
      </c>
      <c r="CDT108" s="1" t="s">
        <v>122</v>
      </c>
      <c r="CDU108" s="1" t="s">
        <v>122</v>
      </c>
      <c r="CDV108" s="1" t="s">
        <v>122</v>
      </c>
      <c r="CDW108" s="1" t="s">
        <v>122</v>
      </c>
      <c r="CDX108" s="1" t="s">
        <v>122</v>
      </c>
      <c r="CDY108" s="1" t="s">
        <v>122</v>
      </c>
      <c r="CDZ108" s="1" t="s">
        <v>122</v>
      </c>
      <c r="CEA108" s="1" t="s">
        <v>122</v>
      </c>
      <c r="CEB108" s="1" t="s">
        <v>122</v>
      </c>
      <c r="CEC108" s="1" t="s">
        <v>122</v>
      </c>
      <c r="CED108" s="1" t="s">
        <v>122</v>
      </c>
      <c r="CEE108" s="1" t="s">
        <v>122</v>
      </c>
      <c r="CEF108" s="1" t="s">
        <v>122</v>
      </c>
      <c r="CEG108" s="1" t="s">
        <v>122</v>
      </c>
      <c r="CEH108" s="1" t="s">
        <v>122</v>
      </c>
      <c r="CEI108" s="1" t="s">
        <v>122</v>
      </c>
      <c r="CEJ108" s="1" t="s">
        <v>122</v>
      </c>
      <c r="CEK108" s="1" t="s">
        <v>122</v>
      </c>
      <c r="CEL108" s="1" t="s">
        <v>122</v>
      </c>
      <c r="CEM108" s="1" t="s">
        <v>122</v>
      </c>
      <c r="CEN108" s="1" t="s">
        <v>122</v>
      </c>
      <c r="CEO108" s="1" t="s">
        <v>122</v>
      </c>
      <c r="CEP108" s="1" t="s">
        <v>122</v>
      </c>
      <c r="CEQ108" s="1" t="s">
        <v>122</v>
      </c>
      <c r="CER108" s="1" t="s">
        <v>122</v>
      </c>
      <c r="CES108" s="1" t="s">
        <v>122</v>
      </c>
      <c r="CET108" s="1" t="s">
        <v>122</v>
      </c>
      <c r="CEU108" s="1" t="s">
        <v>122</v>
      </c>
      <c r="CEV108" s="1" t="s">
        <v>122</v>
      </c>
      <c r="CEW108" s="1" t="s">
        <v>122</v>
      </c>
      <c r="CEX108" s="1" t="s">
        <v>122</v>
      </c>
      <c r="CEY108" s="1" t="s">
        <v>122</v>
      </c>
      <c r="CEZ108" s="1" t="s">
        <v>122</v>
      </c>
      <c r="CFA108" s="1" t="s">
        <v>122</v>
      </c>
      <c r="CFB108" s="1" t="s">
        <v>122</v>
      </c>
      <c r="CFC108" s="1" t="s">
        <v>122</v>
      </c>
      <c r="CFD108" s="1" t="s">
        <v>122</v>
      </c>
      <c r="CFE108" s="1" t="s">
        <v>122</v>
      </c>
      <c r="CFF108" s="1" t="s">
        <v>122</v>
      </c>
      <c r="CFG108" s="1" t="s">
        <v>122</v>
      </c>
      <c r="CFH108" s="1" t="s">
        <v>122</v>
      </c>
      <c r="CFI108" s="1" t="s">
        <v>122</v>
      </c>
      <c r="CFJ108" s="1" t="s">
        <v>122</v>
      </c>
      <c r="CFK108" s="1" t="s">
        <v>122</v>
      </c>
      <c r="CFL108" s="1" t="s">
        <v>122</v>
      </c>
      <c r="CFM108" s="1" t="s">
        <v>122</v>
      </c>
      <c r="CFN108" s="1" t="s">
        <v>122</v>
      </c>
      <c r="CFO108" s="1" t="s">
        <v>122</v>
      </c>
      <c r="CFP108" s="1" t="s">
        <v>122</v>
      </c>
      <c r="CFQ108" s="1" t="s">
        <v>122</v>
      </c>
      <c r="CFR108" s="1" t="s">
        <v>122</v>
      </c>
      <c r="CFS108" s="1" t="s">
        <v>122</v>
      </c>
      <c r="CFT108" s="1" t="s">
        <v>122</v>
      </c>
      <c r="CFU108" s="1" t="s">
        <v>122</v>
      </c>
      <c r="CFV108" s="1" t="s">
        <v>122</v>
      </c>
      <c r="CFW108" s="1" t="s">
        <v>122</v>
      </c>
      <c r="CFX108" s="1" t="s">
        <v>122</v>
      </c>
      <c r="CFY108" s="1" t="s">
        <v>122</v>
      </c>
      <c r="CFZ108" s="1" t="s">
        <v>122</v>
      </c>
      <c r="CGA108" s="1" t="s">
        <v>122</v>
      </c>
      <c r="CGB108" s="1" t="s">
        <v>122</v>
      </c>
      <c r="CGC108" s="1" t="s">
        <v>122</v>
      </c>
      <c r="CGD108" s="1" t="s">
        <v>122</v>
      </c>
      <c r="CGE108" s="1" t="s">
        <v>122</v>
      </c>
      <c r="CGF108" s="1" t="s">
        <v>122</v>
      </c>
      <c r="CGG108" s="1" t="s">
        <v>122</v>
      </c>
      <c r="CGH108" s="1" t="s">
        <v>122</v>
      </c>
      <c r="CGI108" s="1" t="s">
        <v>122</v>
      </c>
      <c r="CGJ108" s="1" t="s">
        <v>122</v>
      </c>
      <c r="CGK108" s="1" t="s">
        <v>122</v>
      </c>
      <c r="CGL108" s="1" t="s">
        <v>122</v>
      </c>
      <c r="CGM108" s="1" t="s">
        <v>122</v>
      </c>
      <c r="CGN108" s="1" t="s">
        <v>122</v>
      </c>
      <c r="CGO108" s="1" t="s">
        <v>122</v>
      </c>
      <c r="CGP108" s="1" t="s">
        <v>122</v>
      </c>
      <c r="CGQ108" s="1" t="s">
        <v>122</v>
      </c>
      <c r="CGR108" s="1" t="s">
        <v>122</v>
      </c>
      <c r="CGS108" s="1" t="s">
        <v>122</v>
      </c>
      <c r="CGT108" s="1" t="s">
        <v>122</v>
      </c>
      <c r="CGU108" s="1" t="s">
        <v>122</v>
      </c>
      <c r="CGV108" s="1" t="s">
        <v>122</v>
      </c>
      <c r="CGW108" s="1" t="s">
        <v>122</v>
      </c>
      <c r="CGX108" s="1" t="s">
        <v>122</v>
      </c>
      <c r="CGY108" s="1" t="s">
        <v>122</v>
      </c>
      <c r="CGZ108" s="1" t="s">
        <v>122</v>
      </c>
      <c r="CHA108" s="1" t="s">
        <v>122</v>
      </c>
      <c r="CHB108" s="1" t="s">
        <v>122</v>
      </c>
      <c r="CHC108" s="1" t="s">
        <v>122</v>
      </c>
      <c r="CHD108" s="1" t="s">
        <v>122</v>
      </c>
      <c r="CHE108" s="1" t="s">
        <v>122</v>
      </c>
      <c r="CHF108" s="1" t="s">
        <v>122</v>
      </c>
      <c r="CHG108" s="1" t="s">
        <v>122</v>
      </c>
      <c r="CHH108" s="1" t="s">
        <v>122</v>
      </c>
      <c r="CHI108" s="1" t="s">
        <v>122</v>
      </c>
      <c r="CHJ108" s="1" t="s">
        <v>122</v>
      </c>
      <c r="CHK108" s="1" t="s">
        <v>122</v>
      </c>
      <c r="CHL108" s="1" t="s">
        <v>122</v>
      </c>
      <c r="CHM108" s="1" t="s">
        <v>122</v>
      </c>
      <c r="CHN108" s="1" t="s">
        <v>122</v>
      </c>
      <c r="CHO108" s="1" t="s">
        <v>122</v>
      </c>
      <c r="CHP108" s="1" t="s">
        <v>122</v>
      </c>
      <c r="CHQ108" s="1" t="s">
        <v>122</v>
      </c>
      <c r="CHR108" s="1" t="s">
        <v>122</v>
      </c>
      <c r="CHS108" s="1" t="s">
        <v>122</v>
      </c>
      <c r="CHT108" s="1" t="s">
        <v>122</v>
      </c>
      <c r="CHU108" s="1" t="s">
        <v>122</v>
      </c>
      <c r="CHV108" s="1" t="s">
        <v>122</v>
      </c>
      <c r="CHW108" s="1" t="s">
        <v>122</v>
      </c>
      <c r="CHX108" s="1" t="s">
        <v>122</v>
      </c>
      <c r="CHY108" s="1" t="s">
        <v>122</v>
      </c>
      <c r="CHZ108" s="1" t="s">
        <v>122</v>
      </c>
      <c r="CIA108" s="1" t="s">
        <v>122</v>
      </c>
      <c r="CIB108" s="1" t="s">
        <v>122</v>
      </c>
      <c r="CIC108" s="1" t="s">
        <v>122</v>
      </c>
      <c r="CID108" s="1" t="s">
        <v>122</v>
      </c>
      <c r="CIE108" s="1" t="s">
        <v>122</v>
      </c>
      <c r="CIF108" s="1" t="s">
        <v>122</v>
      </c>
      <c r="CIG108" s="1" t="s">
        <v>122</v>
      </c>
      <c r="CIH108" s="1" t="s">
        <v>122</v>
      </c>
      <c r="CII108" s="1" t="s">
        <v>122</v>
      </c>
      <c r="CIJ108" s="1" t="s">
        <v>122</v>
      </c>
      <c r="CIK108" s="1" t="s">
        <v>122</v>
      </c>
      <c r="CIL108" s="1" t="s">
        <v>122</v>
      </c>
      <c r="CIM108" s="1" t="s">
        <v>122</v>
      </c>
      <c r="CIN108" s="1" t="s">
        <v>122</v>
      </c>
      <c r="CIO108" s="1" t="s">
        <v>122</v>
      </c>
      <c r="CIP108" s="1" t="s">
        <v>122</v>
      </c>
      <c r="CIQ108" s="1" t="s">
        <v>122</v>
      </c>
      <c r="CIR108" s="1" t="s">
        <v>122</v>
      </c>
      <c r="CIS108" s="1" t="s">
        <v>122</v>
      </c>
      <c r="CIT108" s="1" t="s">
        <v>122</v>
      </c>
      <c r="CIU108" s="1" t="s">
        <v>122</v>
      </c>
      <c r="CIV108" s="1" t="s">
        <v>122</v>
      </c>
      <c r="CIW108" s="1" t="s">
        <v>122</v>
      </c>
      <c r="CIX108" s="1" t="s">
        <v>122</v>
      </c>
      <c r="CIY108" s="1" t="s">
        <v>122</v>
      </c>
      <c r="CIZ108" s="1" t="s">
        <v>122</v>
      </c>
      <c r="CJA108" s="1" t="s">
        <v>122</v>
      </c>
      <c r="CJB108" s="1" t="s">
        <v>122</v>
      </c>
      <c r="CJC108" s="1" t="s">
        <v>122</v>
      </c>
      <c r="CJD108" s="1" t="s">
        <v>122</v>
      </c>
      <c r="CJE108" s="1" t="s">
        <v>122</v>
      </c>
      <c r="CJF108" s="1" t="s">
        <v>122</v>
      </c>
      <c r="CJG108" s="1" t="s">
        <v>122</v>
      </c>
      <c r="CJH108" s="1" t="s">
        <v>122</v>
      </c>
      <c r="CJI108" s="1" t="s">
        <v>122</v>
      </c>
      <c r="CJJ108" s="1" t="s">
        <v>122</v>
      </c>
      <c r="CJK108" s="1" t="s">
        <v>122</v>
      </c>
      <c r="CJL108" s="1" t="s">
        <v>122</v>
      </c>
      <c r="CJM108" s="1" t="s">
        <v>122</v>
      </c>
      <c r="CJN108" s="1" t="s">
        <v>122</v>
      </c>
      <c r="CJO108" s="1" t="s">
        <v>122</v>
      </c>
      <c r="CJP108" s="1" t="s">
        <v>122</v>
      </c>
      <c r="CJQ108" s="1" t="s">
        <v>122</v>
      </c>
      <c r="CJR108" s="1" t="s">
        <v>122</v>
      </c>
      <c r="CJS108" s="1" t="s">
        <v>122</v>
      </c>
      <c r="CJT108" s="1" t="s">
        <v>122</v>
      </c>
      <c r="CJU108" s="1" t="s">
        <v>122</v>
      </c>
      <c r="CJV108" s="1" t="s">
        <v>122</v>
      </c>
      <c r="CJW108" s="1" t="s">
        <v>122</v>
      </c>
      <c r="CJX108" s="1" t="s">
        <v>122</v>
      </c>
      <c r="CJY108" s="1" t="s">
        <v>122</v>
      </c>
      <c r="CJZ108" s="1" t="s">
        <v>122</v>
      </c>
      <c r="CKA108" s="1" t="s">
        <v>122</v>
      </c>
      <c r="CKB108" s="1" t="s">
        <v>122</v>
      </c>
      <c r="CKC108" s="1" t="s">
        <v>122</v>
      </c>
      <c r="CKD108" s="1" t="s">
        <v>122</v>
      </c>
      <c r="CKE108" s="1" t="s">
        <v>122</v>
      </c>
      <c r="CKF108" s="1" t="s">
        <v>122</v>
      </c>
      <c r="CKG108" s="1" t="s">
        <v>122</v>
      </c>
      <c r="CKH108" s="1" t="s">
        <v>122</v>
      </c>
      <c r="CKI108" s="1" t="s">
        <v>122</v>
      </c>
      <c r="CKJ108" s="1" t="s">
        <v>122</v>
      </c>
      <c r="CKK108" s="1" t="s">
        <v>122</v>
      </c>
      <c r="CKL108" s="1" t="s">
        <v>122</v>
      </c>
      <c r="CKM108" s="1" t="s">
        <v>122</v>
      </c>
      <c r="CKN108" s="1" t="s">
        <v>122</v>
      </c>
      <c r="CKO108" s="1" t="s">
        <v>122</v>
      </c>
      <c r="CKP108" s="1" t="s">
        <v>122</v>
      </c>
      <c r="CKQ108" s="1" t="s">
        <v>122</v>
      </c>
      <c r="CKR108" s="1" t="s">
        <v>122</v>
      </c>
      <c r="CKS108" s="1" t="s">
        <v>122</v>
      </c>
      <c r="CKT108" s="1" t="s">
        <v>122</v>
      </c>
      <c r="CKU108" s="1" t="s">
        <v>122</v>
      </c>
      <c r="CKV108" s="1" t="s">
        <v>122</v>
      </c>
      <c r="CKW108" s="1" t="s">
        <v>122</v>
      </c>
      <c r="CKX108" s="1" t="s">
        <v>122</v>
      </c>
      <c r="CKY108" s="1" t="s">
        <v>122</v>
      </c>
      <c r="CKZ108" s="1" t="s">
        <v>122</v>
      </c>
      <c r="CLA108" s="1" t="s">
        <v>122</v>
      </c>
      <c r="CLB108" s="1" t="s">
        <v>122</v>
      </c>
      <c r="CLC108" s="1" t="s">
        <v>122</v>
      </c>
      <c r="CLD108" s="1" t="s">
        <v>122</v>
      </c>
      <c r="CLE108" s="1" t="s">
        <v>122</v>
      </c>
      <c r="CLF108" s="1" t="s">
        <v>122</v>
      </c>
      <c r="CLG108" s="1" t="s">
        <v>122</v>
      </c>
      <c r="CLH108" s="1" t="s">
        <v>122</v>
      </c>
      <c r="CLI108" s="1" t="s">
        <v>122</v>
      </c>
      <c r="CLJ108" s="1" t="s">
        <v>122</v>
      </c>
      <c r="CLK108" s="1" t="s">
        <v>122</v>
      </c>
      <c r="CLL108" s="1" t="s">
        <v>122</v>
      </c>
      <c r="CLM108" s="1" t="s">
        <v>122</v>
      </c>
      <c r="CLN108" s="1" t="s">
        <v>122</v>
      </c>
      <c r="CLO108" s="1" t="s">
        <v>122</v>
      </c>
      <c r="CLP108" s="1" t="s">
        <v>122</v>
      </c>
      <c r="CLQ108" s="1" t="s">
        <v>122</v>
      </c>
      <c r="CLR108" s="1" t="s">
        <v>122</v>
      </c>
      <c r="CLS108" s="1" t="s">
        <v>122</v>
      </c>
      <c r="CLT108" s="1" t="s">
        <v>122</v>
      </c>
      <c r="CLU108" s="1" t="s">
        <v>122</v>
      </c>
      <c r="CLV108" s="1" t="s">
        <v>122</v>
      </c>
      <c r="CLW108" s="1" t="s">
        <v>122</v>
      </c>
      <c r="CLX108" s="1" t="s">
        <v>122</v>
      </c>
      <c r="CLY108" s="1" t="s">
        <v>122</v>
      </c>
      <c r="CLZ108" s="1" t="s">
        <v>122</v>
      </c>
      <c r="CMA108" s="1" t="s">
        <v>122</v>
      </c>
      <c r="CMB108" s="1" t="s">
        <v>122</v>
      </c>
      <c r="CMC108" s="1" t="s">
        <v>122</v>
      </c>
      <c r="CMD108" s="1" t="s">
        <v>122</v>
      </c>
      <c r="CME108" s="1" t="s">
        <v>122</v>
      </c>
      <c r="CMF108" s="1" t="s">
        <v>122</v>
      </c>
      <c r="CMG108" s="1" t="s">
        <v>122</v>
      </c>
      <c r="CMH108" s="1" t="s">
        <v>122</v>
      </c>
      <c r="CMI108" s="1" t="s">
        <v>122</v>
      </c>
      <c r="CMJ108" s="1" t="s">
        <v>122</v>
      </c>
      <c r="CMK108" s="1" t="s">
        <v>122</v>
      </c>
      <c r="CML108" s="1" t="s">
        <v>122</v>
      </c>
      <c r="CMM108" s="1" t="s">
        <v>122</v>
      </c>
      <c r="CMN108" s="1" t="s">
        <v>122</v>
      </c>
      <c r="CMO108" s="1" t="s">
        <v>122</v>
      </c>
      <c r="CMP108" s="1" t="s">
        <v>122</v>
      </c>
      <c r="CMQ108" s="1" t="s">
        <v>122</v>
      </c>
      <c r="CMR108" s="1" t="s">
        <v>122</v>
      </c>
      <c r="CMS108" s="1" t="s">
        <v>122</v>
      </c>
      <c r="CMT108" s="1" t="s">
        <v>122</v>
      </c>
      <c r="CMU108" s="1" t="s">
        <v>122</v>
      </c>
      <c r="CMV108" s="1" t="s">
        <v>122</v>
      </c>
      <c r="CMW108" s="1" t="s">
        <v>122</v>
      </c>
      <c r="CMX108" s="1" t="s">
        <v>122</v>
      </c>
      <c r="CMY108" s="1" t="s">
        <v>122</v>
      </c>
      <c r="CMZ108" s="1" t="s">
        <v>122</v>
      </c>
      <c r="CNA108" s="1" t="s">
        <v>122</v>
      </c>
      <c r="CNB108" s="1" t="s">
        <v>122</v>
      </c>
      <c r="CNC108" s="1" t="s">
        <v>122</v>
      </c>
      <c r="CND108" s="1" t="s">
        <v>122</v>
      </c>
      <c r="CNE108" s="1" t="s">
        <v>122</v>
      </c>
      <c r="CNF108" s="1" t="s">
        <v>122</v>
      </c>
      <c r="CNG108" s="1" t="s">
        <v>122</v>
      </c>
      <c r="CNH108" s="1" t="s">
        <v>122</v>
      </c>
      <c r="CNI108" s="1" t="s">
        <v>122</v>
      </c>
      <c r="CNJ108" s="1" t="s">
        <v>122</v>
      </c>
      <c r="CNK108" s="1" t="s">
        <v>122</v>
      </c>
      <c r="CNL108" s="1" t="s">
        <v>122</v>
      </c>
      <c r="CNM108" s="1" t="s">
        <v>122</v>
      </c>
      <c r="CNN108" s="1" t="s">
        <v>122</v>
      </c>
      <c r="CNO108" s="1" t="s">
        <v>122</v>
      </c>
      <c r="CNP108" s="1" t="s">
        <v>122</v>
      </c>
      <c r="CNQ108" s="1" t="s">
        <v>122</v>
      </c>
      <c r="CNR108" s="1" t="s">
        <v>122</v>
      </c>
      <c r="CNS108" s="1" t="s">
        <v>122</v>
      </c>
      <c r="CNT108" s="1" t="s">
        <v>122</v>
      </c>
      <c r="CNU108" s="1" t="s">
        <v>122</v>
      </c>
      <c r="CNV108" s="1" t="s">
        <v>122</v>
      </c>
      <c r="CNW108" s="1" t="s">
        <v>122</v>
      </c>
      <c r="CNX108" s="1" t="s">
        <v>122</v>
      </c>
      <c r="CNY108" s="1" t="s">
        <v>122</v>
      </c>
      <c r="CNZ108" s="1" t="s">
        <v>122</v>
      </c>
      <c r="COA108" s="1" t="s">
        <v>122</v>
      </c>
      <c r="COB108" s="1" t="s">
        <v>122</v>
      </c>
      <c r="COC108" s="1" t="s">
        <v>122</v>
      </c>
      <c r="COD108" s="1" t="s">
        <v>122</v>
      </c>
      <c r="COE108" s="1" t="s">
        <v>122</v>
      </c>
      <c r="COF108" s="1" t="s">
        <v>122</v>
      </c>
      <c r="COG108" s="1" t="s">
        <v>122</v>
      </c>
      <c r="COH108" s="1" t="s">
        <v>122</v>
      </c>
      <c r="COI108" s="1" t="s">
        <v>122</v>
      </c>
      <c r="COJ108" s="1" t="s">
        <v>122</v>
      </c>
      <c r="COK108" s="1" t="s">
        <v>122</v>
      </c>
      <c r="COL108" s="1" t="s">
        <v>122</v>
      </c>
      <c r="COM108" s="1" t="s">
        <v>122</v>
      </c>
      <c r="CON108" s="1" t="s">
        <v>122</v>
      </c>
      <c r="COO108" s="1" t="s">
        <v>122</v>
      </c>
      <c r="COP108" s="1" t="s">
        <v>122</v>
      </c>
      <c r="COQ108" s="1" t="s">
        <v>122</v>
      </c>
      <c r="COR108" s="1" t="s">
        <v>122</v>
      </c>
      <c r="COS108" s="1" t="s">
        <v>122</v>
      </c>
      <c r="COT108" s="1" t="s">
        <v>122</v>
      </c>
      <c r="COU108" s="1" t="s">
        <v>122</v>
      </c>
      <c r="COV108" s="1" t="s">
        <v>122</v>
      </c>
      <c r="COW108" s="1" t="s">
        <v>122</v>
      </c>
      <c r="COX108" s="1" t="s">
        <v>122</v>
      </c>
      <c r="COY108" s="1" t="s">
        <v>122</v>
      </c>
      <c r="COZ108" s="1" t="s">
        <v>122</v>
      </c>
      <c r="CPA108" s="1" t="s">
        <v>122</v>
      </c>
      <c r="CPB108" s="1" t="s">
        <v>122</v>
      </c>
      <c r="CPC108" s="1" t="s">
        <v>122</v>
      </c>
      <c r="CPD108" s="1" t="s">
        <v>122</v>
      </c>
      <c r="CPE108" s="1" t="s">
        <v>122</v>
      </c>
      <c r="CPF108" s="1" t="s">
        <v>122</v>
      </c>
      <c r="CPG108" s="1" t="s">
        <v>122</v>
      </c>
      <c r="CPH108" s="1" t="s">
        <v>122</v>
      </c>
      <c r="CPI108" s="1" t="s">
        <v>122</v>
      </c>
      <c r="CPJ108" s="1" t="s">
        <v>122</v>
      </c>
      <c r="CPK108" s="1" t="s">
        <v>122</v>
      </c>
      <c r="CPL108" s="1" t="s">
        <v>122</v>
      </c>
      <c r="CPM108" s="1" t="s">
        <v>122</v>
      </c>
      <c r="CPN108" s="1" t="s">
        <v>122</v>
      </c>
      <c r="CPO108" s="1" t="s">
        <v>122</v>
      </c>
      <c r="CPP108" s="1" t="s">
        <v>122</v>
      </c>
      <c r="CPQ108" s="1" t="s">
        <v>122</v>
      </c>
      <c r="CPR108" s="1" t="s">
        <v>122</v>
      </c>
      <c r="CPS108" s="1" t="s">
        <v>122</v>
      </c>
      <c r="CPT108" s="1" t="s">
        <v>122</v>
      </c>
      <c r="CPU108" s="1" t="s">
        <v>122</v>
      </c>
      <c r="CPV108" s="1" t="s">
        <v>122</v>
      </c>
      <c r="CPW108" s="1" t="s">
        <v>122</v>
      </c>
      <c r="CPX108" s="1" t="s">
        <v>122</v>
      </c>
      <c r="CPY108" s="1" t="s">
        <v>122</v>
      </c>
      <c r="CPZ108" s="1" t="s">
        <v>122</v>
      </c>
      <c r="CQA108" s="1" t="s">
        <v>122</v>
      </c>
      <c r="CQB108" s="1" t="s">
        <v>122</v>
      </c>
      <c r="CQC108" s="1" t="s">
        <v>122</v>
      </c>
      <c r="CQD108" s="1" t="s">
        <v>122</v>
      </c>
      <c r="CQE108" s="1" t="s">
        <v>122</v>
      </c>
      <c r="CQF108" s="1" t="s">
        <v>122</v>
      </c>
      <c r="CQG108" s="1" t="s">
        <v>122</v>
      </c>
      <c r="CQH108" s="1" t="s">
        <v>122</v>
      </c>
      <c r="CQI108" s="1" t="s">
        <v>122</v>
      </c>
      <c r="CQJ108" s="1" t="s">
        <v>122</v>
      </c>
      <c r="CQK108" s="1" t="s">
        <v>122</v>
      </c>
      <c r="CQL108" s="1" t="s">
        <v>122</v>
      </c>
      <c r="CQM108" s="1" t="s">
        <v>122</v>
      </c>
      <c r="CQN108" s="1" t="s">
        <v>122</v>
      </c>
      <c r="CQO108" s="1" t="s">
        <v>122</v>
      </c>
      <c r="CQP108" s="1" t="s">
        <v>122</v>
      </c>
      <c r="CQQ108" s="1" t="s">
        <v>122</v>
      </c>
      <c r="CQR108" s="1" t="s">
        <v>122</v>
      </c>
      <c r="CQS108" s="1" t="s">
        <v>122</v>
      </c>
      <c r="CQT108" s="1" t="s">
        <v>122</v>
      </c>
      <c r="CQU108" s="1" t="s">
        <v>122</v>
      </c>
      <c r="CQV108" s="1" t="s">
        <v>122</v>
      </c>
      <c r="CQW108" s="1" t="s">
        <v>122</v>
      </c>
      <c r="CQX108" s="1" t="s">
        <v>122</v>
      </c>
      <c r="CQY108" s="1" t="s">
        <v>122</v>
      </c>
      <c r="CQZ108" s="1" t="s">
        <v>122</v>
      </c>
      <c r="CRA108" s="1" t="s">
        <v>122</v>
      </c>
      <c r="CRB108" s="1" t="s">
        <v>122</v>
      </c>
      <c r="CRC108" s="1" t="s">
        <v>122</v>
      </c>
      <c r="CRD108" s="1" t="s">
        <v>122</v>
      </c>
      <c r="CRE108" s="1" t="s">
        <v>122</v>
      </c>
      <c r="CRF108" s="1" t="s">
        <v>122</v>
      </c>
      <c r="CRG108" s="1" t="s">
        <v>122</v>
      </c>
      <c r="CRH108" s="1" t="s">
        <v>122</v>
      </c>
      <c r="CRI108" s="1" t="s">
        <v>122</v>
      </c>
      <c r="CRJ108" s="1" t="s">
        <v>122</v>
      </c>
      <c r="CRK108" s="1" t="s">
        <v>122</v>
      </c>
      <c r="CRL108" s="1" t="s">
        <v>122</v>
      </c>
      <c r="CRM108" s="1" t="s">
        <v>122</v>
      </c>
      <c r="CRN108" s="1" t="s">
        <v>122</v>
      </c>
      <c r="CRO108" s="1" t="s">
        <v>122</v>
      </c>
      <c r="CRP108" s="1" t="s">
        <v>122</v>
      </c>
      <c r="CRQ108" s="1" t="s">
        <v>122</v>
      </c>
      <c r="CRR108" s="1" t="s">
        <v>122</v>
      </c>
      <c r="CRS108" s="1" t="s">
        <v>122</v>
      </c>
      <c r="CRT108" s="1" t="s">
        <v>122</v>
      </c>
      <c r="CRU108" s="1" t="s">
        <v>122</v>
      </c>
      <c r="CRV108" s="1" t="s">
        <v>122</v>
      </c>
      <c r="CRW108" s="1" t="s">
        <v>122</v>
      </c>
      <c r="CRX108" s="1" t="s">
        <v>122</v>
      </c>
      <c r="CRY108" s="1" t="s">
        <v>122</v>
      </c>
      <c r="CRZ108" s="1" t="s">
        <v>122</v>
      </c>
      <c r="CSA108" s="1" t="s">
        <v>122</v>
      </c>
      <c r="CSB108" s="1" t="s">
        <v>122</v>
      </c>
      <c r="CSC108" s="1" t="s">
        <v>122</v>
      </c>
      <c r="CSD108" s="1" t="s">
        <v>122</v>
      </c>
      <c r="CSE108" s="1" t="s">
        <v>122</v>
      </c>
      <c r="CSF108" s="1" t="s">
        <v>122</v>
      </c>
      <c r="CSG108" s="1" t="s">
        <v>122</v>
      </c>
      <c r="CSH108" s="1" t="s">
        <v>122</v>
      </c>
      <c r="CSI108" s="1" t="s">
        <v>122</v>
      </c>
      <c r="CSJ108" s="1" t="s">
        <v>122</v>
      </c>
      <c r="CSK108" s="1" t="s">
        <v>122</v>
      </c>
      <c r="CSL108" s="1" t="s">
        <v>122</v>
      </c>
      <c r="CSM108" s="1" t="s">
        <v>122</v>
      </c>
      <c r="CSN108" s="1" t="s">
        <v>122</v>
      </c>
      <c r="CSO108" s="1" t="s">
        <v>122</v>
      </c>
      <c r="CSP108" s="1" t="s">
        <v>122</v>
      </c>
      <c r="CSQ108" s="1" t="s">
        <v>122</v>
      </c>
      <c r="CSR108" s="1" t="s">
        <v>122</v>
      </c>
      <c r="CSS108" s="1" t="s">
        <v>122</v>
      </c>
      <c r="CST108" s="1" t="s">
        <v>122</v>
      </c>
      <c r="CSU108" s="1" t="s">
        <v>122</v>
      </c>
      <c r="CSV108" s="1" t="s">
        <v>122</v>
      </c>
      <c r="CSW108" s="1" t="s">
        <v>122</v>
      </c>
      <c r="CSX108" s="1" t="s">
        <v>122</v>
      </c>
      <c r="CSY108" s="1" t="s">
        <v>122</v>
      </c>
      <c r="CSZ108" s="1" t="s">
        <v>122</v>
      </c>
      <c r="CTA108" s="1" t="s">
        <v>122</v>
      </c>
      <c r="CTB108" s="1" t="s">
        <v>122</v>
      </c>
      <c r="CTC108" s="1" t="s">
        <v>122</v>
      </c>
      <c r="CTD108" s="1" t="s">
        <v>122</v>
      </c>
      <c r="CTE108" s="1" t="s">
        <v>122</v>
      </c>
      <c r="CTF108" s="1" t="s">
        <v>122</v>
      </c>
      <c r="CTG108" s="1" t="s">
        <v>122</v>
      </c>
      <c r="CTH108" s="1" t="s">
        <v>122</v>
      </c>
      <c r="CTI108" s="1" t="s">
        <v>122</v>
      </c>
      <c r="CTJ108" s="1" t="s">
        <v>122</v>
      </c>
      <c r="CTK108" s="1" t="s">
        <v>122</v>
      </c>
      <c r="CTL108" s="1" t="s">
        <v>122</v>
      </c>
      <c r="CTM108" s="1" t="s">
        <v>122</v>
      </c>
      <c r="CTN108" s="1" t="s">
        <v>122</v>
      </c>
      <c r="CTO108" s="1" t="s">
        <v>122</v>
      </c>
      <c r="CTP108" s="1" t="s">
        <v>122</v>
      </c>
      <c r="CTQ108" s="1" t="s">
        <v>122</v>
      </c>
      <c r="CTR108" s="1" t="s">
        <v>122</v>
      </c>
      <c r="CTS108" s="1" t="s">
        <v>122</v>
      </c>
      <c r="CTT108" s="1" t="s">
        <v>122</v>
      </c>
      <c r="CTU108" s="1" t="s">
        <v>122</v>
      </c>
      <c r="CTV108" s="1" t="s">
        <v>122</v>
      </c>
      <c r="CTW108" s="1" t="s">
        <v>122</v>
      </c>
      <c r="CTX108" s="1" t="s">
        <v>122</v>
      </c>
      <c r="CTY108" s="1" t="s">
        <v>122</v>
      </c>
      <c r="CTZ108" s="1" t="s">
        <v>122</v>
      </c>
      <c r="CUA108" s="1" t="s">
        <v>122</v>
      </c>
      <c r="CUB108" s="1" t="s">
        <v>122</v>
      </c>
      <c r="CUC108" s="1" t="s">
        <v>122</v>
      </c>
      <c r="CUD108" s="1" t="s">
        <v>122</v>
      </c>
      <c r="CUE108" s="1" t="s">
        <v>122</v>
      </c>
      <c r="CUF108" s="1" t="s">
        <v>122</v>
      </c>
      <c r="CUG108" s="1" t="s">
        <v>122</v>
      </c>
      <c r="CUH108" s="1" t="s">
        <v>122</v>
      </c>
      <c r="CUI108" s="1" t="s">
        <v>122</v>
      </c>
      <c r="CUJ108" s="1" t="s">
        <v>122</v>
      </c>
      <c r="CUK108" s="1" t="s">
        <v>122</v>
      </c>
      <c r="CUL108" s="1" t="s">
        <v>122</v>
      </c>
      <c r="CUM108" s="1" t="s">
        <v>122</v>
      </c>
      <c r="CUN108" s="1" t="s">
        <v>122</v>
      </c>
      <c r="CUO108" s="1" t="s">
        <v>122</v>
      </c>
      <c r="CUP108" s="1" t="s">
        <v>122</v>
      </c>
      <c r="CUQ108" s="1" t="s">
        <v>122</v>
      </c>
      <c r="CUR108" s="1" t="s">
        <v>122</v>
      </c>
      <c r="CUS108" s="1" t="s">
        <v>122</v>
      </c>
      <c r="CUT108" s="1" t="s">
        <v>122</v>
      </c>
      <c r="CUU108" s="1" t="s">
        <v>122</v>
      </c>
      <c r="CUV108" s="1" t="s">
        <v>122</v>
      </c>
      <c r="CUW108" s="1" t="s">
        <v>122</v>
      </c>
      <c r="CUX108" s="1" t="s">
        <v>122</v>
      </c>
      <c r="CUY108" s="1" t="s">
        <v>122</v>
      </c>
      <c r="CUZ108" s="1" t="s">
        <v>122</v>
      </c>
      <c r="CVA108" s="1" t="s">
        <v>122</v>
      </c>
      <c r="CVB108" s="1" t="s">
        <v>122</v>
      </c>
      <c r="CVC108" s="1" t="s">
        <v>122</v>
      </c>
      <c r="CVD108" s="1" t="s">
        <v>122</v>
      </c>
      <c r="CVE108" s="1" t="s">
        <v>122</v>
      </c>
      <c r="CVF108" s="1" t="s">
        <v>122</v>
      </c>
      <c r="CVG108" s="1" t="s">
        <v>122</v>
      </c>
      <c r="CVH108" s="1" t="s">
        <v>122</v>
      </c>
      <c r="CVI108" s="1" t="s">
        <v>122</v>
      </c>
      <c r="CVJ108" s="1" t="s">
        <v>122</v>
      </c>
      <c r="CVK108" s="1" t="s">
        <v>122</v>
      </c>
      <c r="CVL108" s="1" t="s">
        <v>122</v>
      </c>
      <c r="CVM108" s="1" t="s">
        <v>122</v>
      </c>
      <c r="CVN108" s="1" t="s">
        <v>122</v>
      </c>
      <c r="CVO108" s="1" t="s">
        <v>122</v>
      </c>
      <c r="CVP108" s="1" t="s">
        <v>122</v>
      </c>
      <c r="CVQ108" s="1" t="s">
        <v>122</v>
      </c>
      <c r="CVR108" s="1" t="s">
        <v>122</v>
      </c>
      <c r="CVS108" s="1" t="s">
        <v>122</v>
      </c>
      <c r="CVT108" s="1" t="s">
        <v>122</v>
      </c>
      <c r="CVU108" s="1" t="s">
        <v>122</v>
      </c>
      <c r="CVV108" s="1" t="s">
        <v>122</v>
      </c>
      <c r="CVW108" s="1" t="s">
        <v>122</v>
      </c>
      <c r="CVX108" s="1" t="s">
        <v>122</v>
      </c>
      <c r="CVY108" s="1" t="s">
        <v>122</v>
      </c>
      <c r="CVZ108" s="1" t="s">
        <v>122</v>
      </c>
      <c r="CWA108" s="1" t="s">
        <v>122</v>
      </c>
      <c r="CWB108" s="1" t="s">
        <v>122</v>
      </c>
      <c r="CWC108" s="1" t="s">
        <v>122</v>
      </c>
      <c r="CWD108" s="1" t="s">
        <v>122</v>
      </c>
      <c r="CWE108" s="1" t="s">
        <v>122</v>
      </c>
      <c r="CWF108" s="1" t="s">
        <v>122</v>
      </c>
      <c r="CWG108" s="1" t="s">
        <v>122</v>
      </c>
      <c r="CWH108" s="1" t="s">
        <v>122</v>
      </c>
      <c r="CWI108" s="1" t="s">
        <v>122</v>
      </c>
      <c r="CWJ108" s="1" t="s">
        <v>122</v>
      </c>
      <c r="CWK108" s="1" t="s">
        <v>122</v>
      </c>
      <c r="CWL108" s="1" t="s">
        <v>122</v>
      </c>
      <c r="CWM108" s="1" t="s">
        <v>122</v>
      </c>
      <c r="CWN108" s="1" t="s">
        <v>122</v>
      </c>
      <c r="CWO108" s="1" t="s">
        <v>122</v>
      </c>
      <c r="CWP108" s="1" t="s">
        <v>122</v>
      </c>
      <c r="CWQ108" s="1" t="s">
        <v>122</v>
      </c>
      <c r="CWR108" s="1" t="s">
        <v>122</v>
      </c>
      <c r="CWS108" s="1" t="s">
        <v>122</v>
      </c>
      <c r="CWT108" s="1" t="s">
        <v>122</v>
      </c>
      <c r="CWU108" s="1" t="s">
        <v>122</v>
      </c>
      <c r="CWV108" s="1" t="s">
        <v>122</v>
      </c>
      <c r="CWW108" s="1" t="s">
        <v>122</v>
      </c>
      <c r="CWX108" s="1" t="s">
        <v>122</v>
      </c>
      <c r="CWY108" s="1" t="s">
        <v>122</v>
      </c>
      <c r="CWZ108" s="1" t="s">
        <v>122</v>
      </c>
      <c r="CXA108" s="1" t="s">
        <v>122</v>
      </c>
      <c r="CXB108" s="1" t="s">
        <v>122</v>
      </c>
      <c r="CXC108" s="1" t="s">
        <v>122</v>
      </c>
      <c r="CXD108" s="1" t="s">
        <v>122</v>
      </c>
      <c r="CXE108" s="1" t="s">
        <v>122</v>
      </c>
      <c r="CXF108" s="1" t="s">
        <v>122</v>
      </c>
      <c r="CXG108" s="1" t="s">
        <v>122</v>
      </c>
      <c r="CXH108" s="1" t="s">
        <v>122</v>
      </c>
      <c r="CXI108" s="1" t="s">
        <v>122</v>
      </c>
      <c r="CXJ108" s="1" t="s">
        <v>122</v>
      </c>
      <c r="CXK108" s="1" t="s">
        <v>122</v>
      </c>
      <c r="CXL108" s="1" t="s">
        <v>122</v>
      </c>
      <c r="CXM108" s="1" t="s">
        <v>122</v>
      </c>
      <c r="CXN108" s="1" t="s">
        <v>122</v>
      </c>
      <c r="CXO108" s="1" t="s">
        <v>122</v>
      </c>
      <c r="CXP108" s="1" t="s">
        <v>122</v>
      </c>
      <c r="CXQ108" s="1" t="s">
        <v>122</v>
      </c>
      <c r="CXR108" s="1" t="s">
        <v>122</v>
      </c>
      <c r="CXS108" s="1" t="s">
        <v>122</v>
      </c>
      <c r="CXT108" s="1" t="s">
        <v>122</v>
      </c>
      <c r="CXU108" s="1" t="s">
        <v>122</v>
      </c>
      <c r="CXV108" s="1" t="s">
        <v>122</v>
      </c>
      <c r="CXW108" s="1" t="s">
        <v>122</v>
      </c>
      <c r="CXX108" s="1" t="s">
        <v>122</v>
      </c>
      <c r="CXY108" s="1" t="s">
        <v>122</v>
      </c>
      <c r="CXZ108" s="1" t="s">
        <v>122</v>
      </c>
      <c r="CYA108" s="1" t="s">
        <v>122</v>
      </c>
      <c r="CYB108" s="1" t="s">
        <v>122</v>
      </c>
      <c r="CYC108" s="1" t="s">
        <v>122</v>
      </c>
      <c r="CYD108" s="1" t="s">
        <v>122</v>
      </c>
      <c r="CYE108" s="1" t="s">
        <v>122</v>
      </c>
      <c r="CYF108" s="1" t="s">
        <v>122</v>
      </c>
      <c r="CYG108" s="1" t="s">
        <v>122</v>
      </c>
      <c r="CYH108" s="1" t="s">
        <v>122</v>
      </c>
      <c r="CYI108" s="1" t="s">
        <v>122</v>
      </c>
      <c r="CYJ108" s="1" t="s">
        <v>122</v>
      </c>
      <c r="CYK108" s="1" t="s">
        <v>122</v>
      </c>
      <c r="CYL108" s="1" t="s">
        <v>122</v>
      </c>
      <c r="CYM108" s="1" t="s">
        <v>122</v>
      </c>
      <c r="CYN108" s="1" t="s">
        <v>122</v>
      </c>
      <c r="CYO108" s="1" t="s">
        <v>122</v>
      </c>
      <c r="CYP108" s="1" t="s">
        <v>122</v>
      </c>
      <c r="CYQ108" s="1" t="s">
        <v>122</v>
      </c>
      <c r="CYR108" s="1" t="s">
        <v>122</v>
      </c>
      <c r="CYS108" s="1" t="s">
        <v>122</v>
      </c>
      <c r="CYT108" s="1" t="s">
        <v>122</v>
      </c>
      <c r="CYU108" s="1" t="s">
        <v>122</v>
      </c>
      <c r="CYV108" s="1" t="s">
        <v>122</v>
      </c>
      <c r="CYW108" s="1" t="s">
        <v>122</v>
      </c>
      <c r="CYX108" s="1" t="s">
        <v>122</v>
      </c>
      <c r="CYY108" s="1" t="s">
        <v>122</v>
      </c>
      <c r="CYZ108" s="1" t="s">
        <v>122</v>
      </c>
      <c r="CZA108" s="1" t="s">
        <v>122</v>
      </c>
      <c r="CZB108" s="1" t="s">
        <v>122</v>
      </c>
      <c r="CZC108" s="1" t="s">
        <v>122</v>
      </c>
      <c r="CZD108" s="1" t="s">
        <v>122</v>
      </c>
      <c r="CZE108" s="1" t="s">
        <v>122</v>
      </c>
      <c r="CZF108" s="1" t="s">
        <v>122</v>
      </c>
      <c r="CZG108" s="1" t="s">
        <v>122</v>
      </c>
      <c r="CZH108" s="1" t="s">
        <v>122</v>
      </c>
      <c r="CZI108" s="1" t="s">
        <v>122</v>
      </c>
      <c r="CZJ108" s="1" t="s">
        <v>122</v>
      </c>
      <c r="CZK108" s="1" t="s">
        <v>122</v>
      </c>
      <c r="CZL108" s="1" t="s">
        <v>122</v>
      </c>
      <c r="CZM108" s="1" t="s">
        <v>122</v>
      </c>
      <c r="CZN108" s="1" t="s">
        <v>122</v>
      </c>
      <c r="CZO108" s="1" t="s">
        <v>122</v>
      </c>
      <c r="CZP108" s="1" t="s">
        <v>122</v>
      </c>
      <c r="CZQ108" s="1" t="s">
        <v>122</v>
      </c>
      <c r="CZR108" s="1" t="s">
        <v>122</v>
      </c>
      <c r="CZS108" s="1" t="s">
        <v>122</v>
      </c>
      <c r="CZT108" s="1" t="s">
        <v>122</v>
      </c>
      <c r="CZU108" s="1" t="s">
        <v>122</v>
      </c>
      <c r="CZV108" s="1" t="s">
        <v>122</v>
      </c>
      <c r="CZW108" s="1" t="s">
        <v>122</v>
      </c>
      <c r="CZX108" s="1" t="s">
        <v>122</v>
      </c>
      <c r="CZY108" s="1" t="s">
        <v>122</v>
      </c>
      <c r="CZZ108" s="1" t="s">
        <v>122</v>
      </c>
      <c r="DAA108" s="1" t="s">
        <v>122</v>
      </c>
      <c r="DAB108" s="1" t="s">
        <v>122</v>
      </c>
      <c r="DAC108" s="1" t="s">
        <v>122</v>
      </c>
      <c r="DAD108" s="1" t="s">
        <v>122</v>
      </c>
      <c r="DAE108" s="1" t="s">
        <v>122</v>
      </c>
      <c r="DAF108" s="1" t="s">
        <v>122</v>
      </c>
      <c r="DAG108" s="1" t="s">
        <v>122</v>
      </c>
      <c r="DAH108" s="1" t="s">
        <v>122</v>
      </c>
      <c r="DAI108" s="1" t="s">
        <v>122</v>
      </c>
      <c r="DAJ108" s="1" t="s">
        <v>122</v>
      </c>
      <c r="DAK108" s="1" t="s">
        <v>122</v>
      </c>
      <c r="DAL108" s="1" t="s">
        <v>122</v>
      </c>
      <c r="DAM108" s="1" t="s">
        <v>122</v>
      </c>
      <c r="DAN108" s="1" t="s">
        <v>122</v>
      </c>
      <c r="DAO108" s="1" t="s">
        <v>122</v>
      </c>
      <c r="DAP108" s="1" t="s">
        <v>122</v>
      </c>
      <c r="DAQ108" s="1" t="s">
        <v>122</v>
      </c>
      <c r="DAR108" s="1" t="s">
        <v>122</v>
      </c>
      <c r="DAS108" s="1" t="s">
        <v>122</v>
      </c>
      <c r="DAT108" s="1" t="s">
        <v>122</v>
      </c>
      <c r="DAU108" s="1" t="s">
        <v>122</v>
      </c>
      <c r="DAV108" s="1" t="s">
        <v>122</v>
      </c>
      <c r="DAW108" s="1" t="s">
        <v>122</v>
      </c>
      <c r="DAX108" s="1" t="s">
        <v>122</v>
      </c>
      <c r="DAY108" s="1" t="s">
        <v>122</v>
      </c>
      <c r="DAZ108" s="1" t="s">
        <v>122</v>
      </c>
      <c r="DBA108" s="1" t="s">
        <v>122</v>
      </c>
      <c r="DBB108" s="1" t="s">
        <v>122</v>
      </c>
      <c r="DBC108" s="1" t="s">
        <v>122</v>
      </c>
      <c r="DBD108" s="1" t="s">
        <v>122</v>
      </c>
      <c r="DBE108" s="1" t="s">
        <v>122</v>
      </c>
      <c r="DBF108" s="1" t="s">
        <v>122</v>
      </c>
      <c r="DBG108" s="1" t="s">
        <v>122</v>
      </c>
      <c r="DBH108" s="1" t="s">
        <v>122</v>
      </c>
      <c r="DBI108" s="1" t="s">
        <v>122</v>
      </c>
      <c r="DBJ108" s="1" t="s">
        <v>122</v>
      </c>
      <c r="DBK108" s="1" t="s">
        <v>122</v>
      </c>
      <c r="DBL108" s="1" t="s">
        <v>122</v>
      </c>
      <c r="DBM108" s="1" t="s">
        <v>122</v>
      </c>
      <c r="DBN108" s="1" t="s">
        <v>122</v>
      </c>
      <c r="DBO108" s="1" t="s">
        <v>122</v>
      </c>
      <c r="DBP108" s="1" t="s">
        <v>122</v>
      </c>
      <c r="DBQ108" s="1" t="s">
        <v>122</v>
      </c>
      <c r="DBR108" s="1" t="s">
        <v>122</v>
      </c>
      <c r="DBS108" s="1" t="s">
        <v>122</v>
      </c>
      <c r="DBT108" s="1" t="s">
        <v>122</v>
      </c>
      <c r="DBU108" s="1" t="s">
        <v>122</v>
      </c>
      <c r="DBV108" s="1" t="s">
        <v>122</v>
      </c>
      <c r="DBW108" s="1" t="s">
        <v>122</v>
      </c>
      <c r="DBX108" s="1" t="s">
        <v>122</v>
      </c>
      <c r="DBY108" s="1" t="s">
        <v>122</v>
      </c>
      <c r="DBZ108" s="1" t="s">
        <v>122</v>
      </c>
      <c r="DCA108" s="1" t="s">
        <v>122</v>
      </c>
      <c r="DCB108" s="1" t="s">
        <v>122</v>
      </c>
      <c r="DCC108" s="1" t="s">
        <v>122</v>
      </c>
      <c r="DCD108" s="1" t="s">
        <v>122</v>
      </c>
      <c r="DCE108" s="1" t="s">
        <v>122</v>
      </c>
      <c r="DCF108" s="1" t="s">
        <v>122</v>
      </c>
      <c r="DCG108" s="1" t="s">
        <v>122</v>
      </c>
      <c r="DCH108" s="1" t="s">
        <v>122</v>
      </c>
      <c r="DCI108" s="1" t="s">
        <v>122</v>
      </c>
      <c r="DCJ108" s="1" t="s">
        <v>122</v>
      </c>
      <c r="DCK108" s="1" t="s">
        <v>122</v>
      </c>
      <c r="DCL108" s="1" t="s">
        <v>122</v>
      </c>
      <c r="DCM108" s="1" t="s">
        <v>122</v>
      </c>
      <c r="DCN108" s="1" t="s">
        <v>122</v>
      </c>
      <c r="DCO108" s="1" t="s">
        <v>122</v>
      </c>
      <c r="DCP108" s="1" t="s">
        <v>122</v>
      </c>
      <c r="DCQ108" s="1" t="s">
        <v>122</v>
      </c>
      <c r="DCR108" s="1" t="s">
        <v>122</v>
      </c>
      <c r="DCS108" s="1" t="s">
        <v>122</v>
      </c>
      <c r="DCT108" s="1" t="s">
        <v>122</v>
      </c>
      <c r="DCU108" s="1" t="s">
        <v>122</v>
      </c>
      <c r="DCV108" s="1" t="s">
        <v>122</v>
      </c>
      <c r="DCW108" s="1" t="s">
        <v>122</v>
      </c>
      <c r="DCX108" s="1" t="s">
        <v>122</v>
      </c>
      <c r="DCY108" s="1" t="s">
        <v>122</v>
      </c>
      <c r="DCZ108" s="1" t="s">
        <v>122</v>
      </c>
      <c r="DDA108" s="1" t="s">
        <v>122</v>
      </c>
      <c r="DDB108" s="1" t="s">
        <v>122</v>
      </c>
      <c r="DDC108" s="1" t="s">
        <v>122</v>
      </c>
      <c r="DDD108" s="1" t="s">
        <v>122</v>
      </c>
      <c r="DDE108" s="1" t="s">
        <v>122</v>
      </c>
      <c r="DDF108" s="1" t="s">
        <v>122</v>
      </c>
      <c r="DDG108" s="1" t="s">
        <v>122</v>
      </c>
      <c r="DDH108" s="1" t="s">
        <v>122</v>
      </c>
      <c r="DDI108" s="1" t="s">
        <v>122</v>
      </c>
      <c r="DDJ108" s="1" t="s">
        <v>122</v>
      </c>
      <c r="DDK108" s="1" t="s">
        <v>122</v>
      </c>
      <c r="DDL108" s="1" t="s">
        <v>122</v>
      </c>
      <c r="DDM108" s="1" t="s">
        <v>122</v>
      </c>
      <c r="DDN108" s="1" t="s">
        <v>122</v>
      </c>
      <c r="DDO108" s="1" t="s">
        <v>122</v>
      </c>
      <c r="DDP108" s="1" t="s">
        <v>122</v>
      </c>
      <c r="DDQ108" s="1" t="s">
        <v>122</v>
      </c>
      <c r="DDR108" s="1" t="s">
        <v>122</v>
      </c>
      <c r="DDS108" s="1" t="s">
        <v>122</v>
      </c>
      <c r="DDT108" s="1" t="s">
        <v>122</v>
      </c>
      <c r="DDU108" s="1" t="s">
        <v>122</v>
      </c>
      <c r="DDV108" s="1" t="s">
        <v>122</v>
      </c>
      <c r="DDW108" s="1" t="s">
        <v>122</v>
      </c>
      <c r="DDX108" s="1" t="s">
        <v>122</v>
      </c>
      <c r="DDY108" s="1" t="s">
        <v>122</v>
      </c>
      <c r="DDZ108" s="1" t="s">
        <v>122</v>
      </c>
      <c r="DEA108" s="1" t="s">
        <v>122</v>
      </c>
      <c r="DEB108" s="1" t="s">
        <v>122</v>
      </c>
      <c r="DEC108" s="1" t="s">
        <v>122</v>
      </c>
      <c r="DED108" s="1" t="s">
        <v>122</v>
      </c>
      <c r="DEE108" s="1" t="s">
        <v>122</v>
      </c>
      <c r="DEF108" s="1" t="s">
        <v>122</v>
      </c>
      <c r="DEG108" s="1" t="s">
        <v>122</v>
      </c>
      <c r="DEH108" s="1" t="s">
        <v>122</v>
      </c>
      <c r="DEI108" s="1" t="s">
        <v>122</v>
      </c>
      <c r="DEJ108" s="1" t="s">
        <v>122</v>
      </c>
      <c r="DEK108" s="1" t="s">
        <v>122</v>
      </c>
      <c r="DEL108" s="1" t="s">
        <v>122</v>
      </c>
      <c r="DEM108" s="1" t="s">
        <v>122</v>
      </c>
      <c r="DEN108" s="1" t="s">
        <v>122</v>
      </c>
      <c r="DEO108" s="1" t="s">
        <v>122</v>
      </c>
      <c r="DEP108" s="1" t="s">
        <v>122</v>
      </c>
      <c r="DEQ108" s="1" t="s">
        <v>122</v>
      </c>
      <c r="DER108" s="1" t="s">
        <v>122</v>
      </c>
      <c r="DES108" s="1" t="s">
        <v>122</v>
      </c>
      <c r="DET108" s="1" t="s">
        <v>122</v>
      </c>
      <c r="DEU108" s="1" t="s">
        <v>122</v>
      </c>
      <c r="DEV108" s="1" t="s">
        <v>122</v>
      </c>
      <c r="DEW108" s="1" t="s">
        <v>122</v>
      </c>
      <c r="DEX108" s="1" t="s">
        <v>122</v>
      </c>
      <c r="DEY108" s="1" t="s">
        <v>122</v>
      </c>
      <c r="DEZ108" s="1" t="s">
        <v>122</v>
      </c>
      <c r="DFA108" s="1" t="s">
        <v>122</v>
      </c>
      <c r="DFB108" s="1" t="s">
        <v>122</v>
      </c>
      <c r="DFC108" s="1" t="s">
        <v>122</v>
      </c>
      <c r="DFD108" s="1" t="s">
        <v>122</v>
      </c>
      <c r="DFE108" s="1" t="s">
        <v>122</v>
      </c>
      <c r="DFF108" s="1" t="s">
        <v>122</v>
      </c>
      <c r="DFG108" s="1" t="s">
        <v>122</v>
      </c>
      <c r="DFH108" s="1" t="s">
        <v>122</v>
      </c>
      <c r="DFI108" s="1" t="s">
        <v>122</v>
      </c>
      <c r="DFJ108" s="1" t="s">
        <v>122</v>
      </c>
      <c r="DFK108" s="1" t="s">
        <v>122</v>
      </c>
      <c r="DFL108" s="1" t="s">
        <v>122</v>
      </c>
      <c r="DFM108" s="1" t="s">
        <v>122</v>
      </c>
      <c r="DFN108" s="1" t="s">
        <v>122</v>
      </c>
      <c r="DFO108" s="1" t="s">
        <v>122</v>
      </c>
      <c r="DFP108" s="1" t="s">
        <v>122</v>
      </c>
      <c r="DFQ108" s="1" t="s">
        <v>122</v>
      </c>
      <c r="DFR108" s="1" t="s">
        <v>122</v>
      </c>
      <c r="DFS108" s="1" t="s">
        <v>122</v>
      </c>
      <c r="DFT108" s="1" t="s">
        <v>122</v>
      </c>
      <c r="DFU108" s="1" t="s">
        <v>122</v>
      </c>
      <c r="DFV108" s="1" t="s">
        <v>122</v>
      </c>
      <c r="DFW108" s="1" t="s">
        <v>122</v>
      </c>
      <c r="DFX108" s="1" t="s">
        <v>122</v>
      </c>
      <c r="DFY108" s="1" t="s">
        <v>122</v>
      </c>
      <c r="DFZ108" s="1" t="s">
        <v>122</v>
      </c>
      <c r="DGA108" s="1" t="s">
        <v>122</v>
      </c>
      <c r="DGB108" s="1" t="s">
        <v>122</v>
      </c>
      <c r="DGC108" s="1" t="s">
        <v>122</v>
      </c>
      <c r="DGD108" s="1" t="s">
        <v>122</v>
      </c>
      <c r="DGE108" s="1" t="s">
        <v>122</v>
      </c>
      <c r="DGF108" s="1" t="s">
        <v>122</v>
      </c>
      <c r="DGG108" s="1" t="s">
        <v>122</v>
      </c>
      <c r="DGH108" s="1" t="s">
        <v>122</v>
      </c>
      <c r="DGI108" s="1" t="s">
        <v>122</v>
      </c>
      <c r="DGJ108" s="1" t="s">
        <v>122</v>
      </c>
      <c r="DGK108" s="1" t="s">
        <v>122</v>
      </c>
      <c r="DGL108" s="1" t="s">
        <v>122</v>
      </c>
      <c r="DGM108" s="1" t="s">
        <v>122</v>
      </c>
      <c r="DGN108" s="1" t="s">
        <v>122</v>
      </c>
      <c r="DGO108" s="1" t="s">
        <v>122</v>
      </c>
      <c r="DGP108" s="1" t="s">
        <v>122</v>
      </c>
      <c r="DGQ108" s="1" t="s">
        <v>122</v>
      </c>
      <c r="DGR108" s="1" t="s">
        <v>122</v>
      </c>
      <c r="DGS108" s="1" t="s">
        <v>122</v>
      </c>
      <c r="DGT108" s="1" t="s">
        <v>122</v>
      </c>
      <c r="DGU108" s="1" t="s">
        <v>122</v>
      </c>
      <c r="DGV108" s="1" t="s">
        <v>122</v>
      </c>
      <c r="DGW108" s="1" t="s">
        <v>122</v>
      </c>
      <c r="DGX108" s="1" t="s">
        <v>122</v>
      </c>
      <c r="DGY108" s="1" t="s">
        <v>122</v>
      </c>
      <c r="DGZ108" s="1" t="s">
        <v>122</v>
      </c>
      <c r="DHA108" s="1" t="s">
        <v>122</v>
      </c>
      <c r="DHB108" s="1" t="s">
        <v>122</v>
      </c>
      <c r="DHC108" s="1" t="s">
        <v>122</v>
      </c>
      <c r="DHD108" s="1" t="s">
        <v>122</v>
      </c>
      <c r="DHE108" s="1" t="s">
        <v>122</v>
      </c>
      <c r="DHF108" s="1" t="s">
        <v>122</v>
      </c>
      <c r="DHG108" s="1" t="s">
        <v>122</v>
      </c>
      <c r="DHH108" s="1" t="s">
        <v>122</v>
      </c>
      <c r="DHI108" s="1" t="s">
        <v>122</v>
      </c>
      <c r="DHJ108" s="1" t="s">
        <v>122</v>
      </c>
      <c r="DHK108" s="1" t="s">
        <v>122</v>
      </c>
      <c r="DHL108" s="1" t="s">
        <v>122</v>
      </c>
      <c r="DHM108" s="1" t="s">
        <v>122</v>
      </c>
      <c r="DHN108" s="1" t="s">
        <v>122</v>
      </c>
      <c r="DHO108" s="1" t="s">
        <v>122</v>
      </c>
      <c r="DHP108" s="1" t="s">
        <v>122</v>
      </c>
      <c r="DHQ108" s="1" t="s">
        <v>122</v>
      </c>
      <c r="DHR108" s="1" t="s">
        <v>122</v>
      </c>
      <c r="DHS108" s="1" t="s">
        <v>122</v>
      </c>
      <c r="DHT108" s="1" t="s">
        <v>122</v>
      </c>
      <c r="DHU108" s="1" t="s">
        <v>122</v>
      </c>
      <c r="DHV108" s="1" t="s">
        <v>122</v>
      </c>
      <c r="DHW108" s="1" t="s">
        <v>122</v>
      </c>
      <c r="DHX108" s="1" t="s">
        <v>122</v>
      </c>
      <c r="DHY108" s="1" t="s">
        <v>122</v>
      </c>
      <c r="DHZ108" s="1" t="s">
        <v>122</v>
      </c>
      <c r="DIA108" s="1" t="s">
        <v>122</v>
      </c>
      <c r="DIB108" s="1" t="s">
        <v>122</v>
      </c>
      <c r="DIC108" s="1" t="s">
        <v>122</v>
      </c>
      <c r="DID108" s="1" t="s">
        <v>122</v>
      </c>
      <c r="DIE108" s="1" t="s">
        <v>122</v>
      </c>
      <c r="DIF108" s="1" t="s">
        <v>122</v>
      </c>
      <c r="DIG108" s="1" t="s">
        <v>122</v>
      </c>
      <c r="DIH108" s="1" t="s">
        <v>122</v>
      </c>
      <c r="DII108" s="1" t="s">
        <v>122</v>
      </c>
      <c r="DIJ108" s="1" t="s">
        <v>122</v>
      </c>
      <c r="DIK108" s="1" t="s">
        <v>122</v>
      </c>
      <c r="DIL108" s="1" t="s">
        <v>122</v>
      </c>
      <c r="DIM108" s="1" t="s">
        <v>122</v>
      </c>
      <c r="DIN108" s="1" t="s">
        <v>122</v>
      </c>
      <c r="DIO108" s="1" t="s">
        <v>122</v>
      </c>
      <c r="DIP108" s="1" t="s">
        <v>122</v>
      </c>
      <c r="DIQ108" s="1" t="s">
        <v>122</v>
      </c>
      <c r="DIR108" s="1" t="s">
        <v>122</v>
      </c>
      <c r="DIS108" s="1" t="s">
        <v>122</v>
      </c>
      <c r="DIT108" s="1" t="s">
        <v>122</v>
      </c>
      <c r="DIU108" s="1" t="s">
        <v>122</v>
      </c>
      <c r="DIV108" s="1" t="s">
        <v>122</v>
      </c>
      <c r="DIW108" s="1" t="s">
        <v>122</v>
      </c>
      <c r="DIX108" s="1" t="s">
        <v>122</v>
      </c>
      <c r="DIY108" s="1" t="s">
        <v>122</v>
      </c>
      <c r="DIZ108" s="1" t="s">
        <v>122</v>
      </c>
      <c r="DJA108" s="1" t="s">
        <v>122</v>
      </c>
      <c r="DJB108" s="1" t="s">
        <v>122</v>
      </c>
      <c r="DJC108" s="1" t="s">
        <v>122</v>
      </c>
      <c r="DJD108" s="1" t="s">
        <v>122</v>
      </c>
      <c r="DJE108" s="1" t="s">
        <v>122</v>
      </c>
      <c r="DJF108" s="1" t="s">
        <v>122</v>
      </c>
      <c r="DJG108" s="1" t="s">
        <v>122</v>
      </c>
      <c r="DJH108" s="1" t="s">
        <v>122</v>
      </c>
      <c r="DJI108" s="1" t="s">
        <v>122</v>
      </c>
      <c r="DJJ108" s="1" t="s">
        <v>122</v>
      </c>
      <c r="DJK108" s="1" t="s">
        <v>122</v>
      </c>
      <c r="DJL108" s="1" t="s">
        <v>122</v>
      </c>
      <c r="DJM108" s="1" t="s">
        <v>122</v>
      </c>
      <c r="DJN108" s="1" t="s">
        <v>122</v>
      </c>
      <c r="DJO108" s="1" t="s">
        <v>122</v>
      </c>
      <c r="DJP108" s="1" t="s">
        <v>122</v>
      </c>
      <c r="DJQ108" s="1" t="s">
        <v>122</v>
      </c>
      <c r="DJR108" s="1" t="s">
        <v>122</v>
      </c>
      <c r="DJS108" s="1" t="s">
        <v>122</v>
      </c>
      <c r="DJT108" s="1" t="s">
        <v>122</v>
      </c>
      <c r="DJU108" s="1" t="s">
        <v>122</v>
      </c>
      <c r="DJV108" s="1" t="s">
        <v>122</v>
      </c>
      <c r="DJW108" s="1" t="s">
        <v>122</v>
      </c>
      <c r="DJX108" s="1" t="s">
        <v>122</v>
      </c>
      <c r="DJY108" s="1" t="s">
        <v>122</v>
      </c>
      <c r="DJZ108" s="1" t="s">
        <v>122</v>
      </c>
      <c r="DKA108" s="1" t="s">
        <v>122</v>
      </c>
      <c r="DKB108" s="1" t="s">
        <v>122</v>
      </c>
      <c r="DKC108" s="1" t="s">
        <v>122</v>
      </c>
      <c r="DKD108" s="1" t="s">
        <v>122</v>
      </c>
      <c r="DKE108" s="1" t="s">
        <v>122</v>
      </c>
      <c r="DKF108" s="1" t="s">
        <v>122</v>
      </c>
      <c r="DKG108" s="1" t="s">
        <v>122</v>
      </c>
      <c r="DKH108" s="1" t="s">
        <v>122</v>
      </c>
      <c r="DKI108" s="1" t="s">
        <v>122</v>
      </c>
      <c r="DKJ108" s="1" t="s">
        <v>122</v>
      </c>
      <c r="DKK108" s="1" t="s">
        <v>122</v>
      </c>
      <c r="DKL108" s="1" t="s">
        <v>122</v>
      </c>
      <c r="DKM108" s="1" t="s">
        <v>122</v>
      </c>
      <c r="DKN108" s="1" t="s">
        <v>122</v>
      </c>
      <c r="DKO108" s="1" t="s">
        <v>122</v>
      </c>
      <c r="DKP108" s="1" t="s">
        <v>122</v>
      </c>
      <c r="DKQ108" s="1" t="s">
        <v>122</v>
      </c>
      <c r="DKR108" s="1" t="s">
        <v>122</v>
      </c>
      <c r="DKS108" s="1" t="s">
        <v>122</v>
      </c>
      <c r="DKT108" s="1" t="s">
        <v>122</v>
      </c>
      <c r="DKU108" s="1" t="s">
        <v>122</v>
      </c>
      <c r="DKV108" s="1" t="s">
        <v>122</v>
      </c>
      <c r="DKW108" s="1" t="s">
        <v>122</v>
      </c>
      <c r="DKX108" s="1" t="s">
        <v>122</v>
      </c>
      <c r="DKY108" s="1" t="s">
        <v>122</v>
      </c>
      <c r="DKZ108" s="1" t="s">
        <v>122</v>
      </c>
      <c r="DLA108" s="1" t="s">
        <v>122</v>
      </c>
      <c r="DLB108" s="1" t="s">
        <v>122</v>
      </c>
      <c r="DLC108" s="1" t="s">
        <v>122</v>
      </c>
      <c r="DLD108" s="1" t="s">
        <v>122</v>
      </c>
      <c r="DLE108" s="1" t="s">
        <v>122</v>
      </c>
      <c r="DLF108" s="1" t="s">
        <v>122</v>
      </c>
      <c r="DLG108" s="1" t="s">
        <v>122</v>
      </c>
      <c r="DLH108" s="1" t="s">
        <v>122</v>
      </c>
      <c r="DLI108" s="1" t="s">
        <v>122</v>
      </c>
      <c r="DLJ108" s="1" t="s">
        <v>122</v>
      </c>
      <c r="DLK108" s="1" t="s">
        <v>122</v>
      </c>
      <c r="DLL108" s="1" t="s">
        <v>122</v>
      </c>
      <c r="DLM108" s="1" t="s">
        <v>122</v>
      </c>
      <c r="DLN108" s="1" t="s">
        <v>122</v>
      </c>
      <c r="DLO108" s="1" t="s">
        <v>122</v>
      </c>
      <c r="DLP108" s="1" t="s">
        <v>122</v>
      </c>
      <c r="DLQ108" s="1" t="s">
        <v>122</v>
      </c>
      <c r="DLR108" s="1" t="s">
        <v>122</v>
      </c>
      <c r="DLS108" s="1" t="s">
        <v>122</v>
      </c>
      <c r="DLT108" s="1" t="s">
        <v>122</v>
      </c>
      <c r="DLU108" s="1" t="s">
        <v>122</v>
      </c>
      <c r="DLV108" s="1" t="s">
        <v>122</v>
      </c>
      <c r="DLW108" s="1" t="s">
        <v>122</v>
      </c>
      <c r="DLX108" s="1" t="s">
        <v>122</v>
      </c>
      <c r="DLY108" s="1" t="s">
        <v>122</v>
      </c>
      <c r="DLZ108" s="1" t="s">
        <v>122</v>
      </c>
      <c r="DMA108" s="1" t="s">
        <v>122</v>
      </c>
      <c r="DMB108" s="1" t="s">
        <v>122</v>
      </c>
      <c r="DMC108" s="1" t="s">
        <v>122</v>
      </c>
      <c r="DMD108" s="1" t="s">
        <v>122</v>
      </c>
      <c r="DME108" s="1" t="s">
        <v>122</v>
      </c>
      <c r="DMF108" s="1" t="s">
        <v>122</v>
      </c>
      <c r="DMG108" s="1" t="s">
        <v>122</v>
      </c>
      <c r="DMH108" s="1" t="s">
        <v>122</v>
      </c>
      <c r="DMI108" s="1" t="s">
        <v>122</v>
      </c>
      <c r="DMJ108" s="1" t="s">
        <v>122</v>
      </c>
      <c r="DMK108" s="1" t="s">
        <v>122</v>
      </c>
      <c r="DML108" s="1" t="s">
        <v>122</v>
      </c>
      <c r="DMM108" s="1" t="s">
        <v>122</v>
      </c>
      <c r="DMN108" s="1" t="s">
        <v>122</v>
      </c>
      <c r="DMO108" s="1" t="s">
        <v>122</v>
      </c>
      <c r="DMP108" s="1" t="s">
        <v>122</v>
      </c>
      <c r="DMQ108" s="1" t="s">
        <v>122</v>
      </c>
      <c r="DMR108" s="1" t="s">
        <v>122</v>
      </c>
      <c r="DMS108" s="1" t="s">
        <v>122</v>
      </c>
      <c r="DMT108" s="1" t="s">
        <v>122</v>
      </c>
      <c r="DMU108" s="1" t="s">
        <v>122</v>
      </c>
      <c r="DMV108" s="1" t="s">
        <v>122</v>
      </c>
      <c r="DMW108" s="1" t="s">
        <v>122</v>
      </c>
      <c r="DMX108" s="1" t="s">
        <v>122</v>
      </c>
      <c r="DMY108" s="1" t="s">
        <v>122</v>
      </c>
      <c r="DMZ108" s="1" t="s">
        <v>122</v>
      </c>
      <c r="DNA108" s="1" t="s">
        <v>122</v>
      </c>
      <c r="DNB108" s="1" t="s">
        <v>122</v>
      </c>
      <c r="DNC108" s="1" t="s">
        <v>122</v>
      </c>
      <c r="DND108" s="1" t="s">
        <v>122</v>
      </c>
      <c r="DNE108" s="1" t="s">
        <v>122</v>
      </c>
      <c r="DNF108" s="1" t="s">
        <v>122</v>
      </c>
      <c r="DNG108" s="1" t="s">
        <v>122</v>
      </c>
      <c r="DNH108" s="1" t="s">
        <v>122</v>
      </c>
      <c r="DNI108" s="1" t="s">
        <v>122</v>
      </c>
      <c r="DNJ108" s="1" t="s">
        <v>122</v>
      </c>
      <c r="DNK108" s="1" t="s">
        <v>122</v>
      </c>
      <c r="DNL108" s="1" t="s">
        <v>122</v>
      </c>
      <c r="DNM108" s="1" t="s">
        <v>122</v>
      </c>
      <c r="DNN108" s="1" t="s">
        <v>122</v>
      </c>
      <c r="DNO108" s="1" t="s">
        <v>122</v>
      </c>
      <c r="DNP108" s="1" t="s">
        <v>122</v>
      </c>
      <c r="DNQ108" s="1" t="s">
        <v>122</v>
      </c>
      <c r="DNR108" s="1" t="s">
        <v>122</v>
      </c>
      <c r="DNS108" s="1" t="s">
        <v>122</v>
      </c>
      <c r="DNT108" s="1" t="s">
        <v>122</v>
      </c>
      <c r="DNU108" s="1" t="s">
        <v>122</v>
      </c>
      <c r="DNV108" s="1" t="s">
        <v>122</v>
      </c>
      <c r="DNW108" s="1" t="s">
        <v>122</v>
      </c>
      <c r="DNX108" s="1" t="s">
        <v>122</v>
      </c>
      <c r="DNY108" s="1" t="s">
        <v>122</v>
      </c>
      <c r="DNZ108" s="1" t="s">
        <v>122</v>
      </c>
      <c r="DOA108" s="1" t="s">
        <v>122</v>
      </c>
      <c r="DOB108" s="1" t="s">
        <v>122</v>
      </c>
      <c r="DOC108" s="1" t="s">
        <v>122</v>
      </c>
      <c r="DOD108" s="1" t="s">
        <v>122</v>
      </c>
      <c r="DOE108" s="1" t="s">
        <v>122</v>
      </c>
      <c r="DOF108" s="1" t="s">
        <v>122</v>
      </c>
      <c r="DOG108" s="1" t="s">
        <v>122</v>
      </c>
      <c r="DOH108" s="1" t="s">
        <v>122</v>
      </c>
      <c r="DOI108" s="1" t="s">
        <v>122</v>
      </c>
      <c r="DOJ108" s="1" t="s">
        <v>122</v>
      </c>
      <c r="DOK108" s="1" t="s">
        <v>122</v>
      </c>
      <c r="DOL108" s="1" t="s">
        <v>122</v>
      </c>
      <c r="DOM108" s="1" t="s">
        <v>122</v>
      </c>
      <c r="DON108" s="1" t="s">
        <v>122</v>
      </c>
      <c r="DOO108" s="1" t="s">
        <v>122</v>
      </c>
      <c r="DOP108" s="1" t="s">
        <v>122</v>
      </c>
      <c r="DOQ108" s="1" t="s">
        <v>122</v>
      </c>
      <c r="DOR108" s="1" t="s">
        <v>122</v>
      </c>
      <c r="DOS108" s="1" t="s">
        <v>122</v>
      </c>
      <c r="DOT108" s="1" t="s">
        <v>122</v>
      </c>
      <c r="DOU108" s="1" t="s">
        <v>122</v>
      </c>
      <c r="DOV108" s="1" t="s">
        <v>122</v>
      </c>
      <c r="DOW108" s="1" t="s">
        <v>122</v>
      </c>
      <c r="DOX108" s="1" t="s">
        <v>122</v>
      </c>
      <c r="DOY108" s="1" t="s">
        <v>122</v>
      </c>
      <c r="DOZ108" s="1" t="s">
        <v>122</v>
      </c>
      <c r="DPA108" s="1" t="s">
        <v>122</v>
      </c>
      <c r="DPB108" s="1" t="s">
        <v>122</v>
      </c>
      <c r="DPC108" s="1" t="s">
        <v>122</v>
      </c>
      <c r="DPD108" s="1" t="s">
        <v>122</v>
      </c>
      <c r="DPE108" s="1" t="s">
        <v>122</v>
      </c>
      <c r="DPF108" s="1" t="s">
        <v>122</v>
      </c>
      <c r="DPG108" s="1" t="s">
        <v>122</v>
      </c>
      <c r="DPH108" s="1" t="s">
        <v>122</v>
      </c>
      <c r="DPI108" s="1" t="s">
        <v>122</v>
      </c>
      <c r="DPJ108" s="1" t="s">
        <v>122</v>
      </c>
      <c r="DPK108" s="1" t="s">
        <v>122</v>
      </c>
      <c r="DPL108" s="1" t="s">
        <v>122</v>
      </c>
      <c r="DPM108" s="1" t="s">
        <v>122</v>
      </c>
      <c r="DPN108" s="1" t="s">
        <v>122</v>
      </c>
      <c r="DPO108" s="1" t="s">
        <v>122</v>
      </c>
      <c r="DPP108" s="1" t="s">
        <v>122</v>
      </c>
      <c r="DPQ108" s="1" t="s">
        <v>122</v>
      </c>
      <c r="DPR108" s="1" t="s">
        <v>122</v>
      </c>
      <c r="DPS108" s="1" t="s">
        <v>122</v>
      </c>
      <c r="DPT108" s="1" t="s">
        <v>122</v>
      </c>
      <c r="DPU108" s="1" t="s">
        <v>122</v>
      </c>
      <c r="DPV108" s="1" t="s">
        <v>122</v>
      </c>
      <c r="DPW108" s="1" t="s">
        <v>122</v>
      </c>
      <c r="DPX108" s="1" t="s">
        <v>122</v>
      </c>
      <c r="DPY108" s="1" t="s">
        <v>122</v>
      </c>
      <c r="DPZ108" s="1" t="s">
        <v>122</v>
      </c>
      <c r="DQA108" s="1" t="s">
        <v>122</v>
      </c>
      <c r="DQB108" s="1" t="s">
        <v>122</v>
      </c>
      <c r="DQC108" s="1" t="s">
        <v>122</v>
      </c>
      <c r="DQD108" s="1" t="s">
        <v>122</v>
      </c>
      <c r="DQE108" s="1" t="s">
        <v>122</v>
      </c>
      <c r="DQF108" s="1" t="s">
        <v>122</v>
      </c>
      <c r="DQG108" s="1" t="s">
        <v>122</v>
      </c>
      <c r="DQH108" s="1" t="s">
        <v>122</v>
      </c>
      <c r="DQI108" s="1" t="s">
        <v>122</v>
      </c>
      <c r="DQJ108" s="1" t="s">
        <v>122</v>
      </c>
      <c r="DQK108" s="1" t="s">
        <v>122</v>
      </c>
      <c r="DQL108" s="1" t="s">
        <v>122</v>
      </c>
      <c r="DQM108" s="1" t="s">
        <v>122</v>
      </c>
      <c r="DQN108" s="1" t="s">
        <v>122</v>
      </c>
      <c r="DQO108" s="1" t="s">
        <v>122</v>
      </c>
      <c r="DQP108" s="1" t="s">
        <v>122</v>
      </c>
      <c r="DQQ108" s="1" t="s">
        <v>122</v>
      </c>
      <c r="DQR108" s="1" t="s">
        <v>122</v>
      </c>
      <c r="DQS108" s="1" t="s">
        <v>122</v>
      </c>
      <c r="DQT108" s="1" t="s">
        <v>122</v>
      </c>
      <c r="DQU108" s="1" t="s">
        <v>122</v>
      </c>
      <c r="DQV108" s="1" t="s">
        <v>122</v>
      </c>
      <c r="DQW108" s="1" t="s">
        <v>122</v>
      </c>
      <c r="DQX108" s="1" t="s">
        <v>122</v>
      </c>
      <c r="DQY108" s="1" t="s">
        <v>122</v>
      </c>
      <c r="DQZ108" s="1" t="s">
        <v>122</v>
      </c>
      <c r="DRA108" s="1" t="s">
        <v>122</v>
      </c>
      <c r="DRB108" s="1" t="s">
        <v>122</v>
      </c>
      <c r="DRC108" s="1" t="s">
        <v>122</v>
      </c>
      <c r="DRD108" s="1" t="s">
        <v>122</v>
      </c>
      <c r="DRE108" s="1" t="s">
        <v>122</v>
      </c>
      <c r="DRF108" s="1" t="s">
        <v>122</v>
      </c>
      <c r="DRG108" s="1" t="s">
        <v>122</v>
      </c>
      <c r="DRH108" s="1" t="s">
        <v>122</v>
      </c>
      <c r="DRI108" s="1" t="s">
        <v>122</v>
      </c>
      <c r="DRJ108" s="1" t="s">
        <v>122</v>
      </c>
      <c r="DRK108" s="1" t="s">
        <v>122</v>
      </c>
      <c r="DRL108" s="1" t="s">
        <v>122</v>
      </c>
      <c r="DRM108" s="1" t="s">
        <v>122</v>
      </c>
      <c r="DRN108" s="1" t="s">
        <v>122</v>
      </c>
      <c r="DRO108" s="1" t="s">
        <v>122</v>
      </c>
      <c r="DRP108" s="1" t="s">
        <v>122</v>
      </c>
      <c r="DRQ108" s="1" t="s">
        <v>122</v>
      </c>
      <c r="DRR108" s="1" t="s">
        <v>122</v>
      </c>
      <c r="DRS108" s="1" t="s">
        <v>122</v>
      </c>
      <c r="DRT108" s="1" t="s">
        <v>122</v>
      </c>
      <c r="DRU108" s="1" t="s">
        <v>122</v>
      </c>
      <c r="DRV108" s="1" t="s">
        <v>122</v>
      </c>
      <c r="DRW108" s="1" t="s">
        <v>122</v>
      </c>
      <c r="DRX108" s="1" t="s">
        <v>122</v>
      </c>
      <c r="DRY108" s="1" t="s">
        <v>122</v>
      </c>
      <c r="DRZ108" s="1" t="s">
        <v>122</v>
      </c>
      <c r="DSA108" s="1" t="s">
        <v>122</v>
      </c>
      <c r="DSB108" s="1" t="s">
        <v>122</v>
      </c>
      <c r="DSC108" s="1" t="s">
        <v>122</v>
      </c>
      <c r="DSD108" s="1" t="s">
        <v>122</v>
      </c>
      <c r="DSE108" s="1" t="s">
        <v>122</v>
      </c>
      <c r="DSF108" s="1" t="s">
        <v>122</v>
      </c>
      <c r="DSG108" s="1" t="s">
        <v>122</v>
      </c>
      <c r="DSH108" s="1" t="s">
        <v>122</v>
      </c>
      <c r="DSI108" s="1" t="s">
        <v>122</v>
      </c>
      <c r="DSJ108" s="1" t="s">
        <v>122</v>
      </c>
      <c r="DSK108" s="1" t="s">
        <v>122</v>
      </c>
      <c r="DSL108" s="1" t="s">
        <v>122</v>
      </c>
      <c r="DSM108" s="1" t="s">
        <v>122</v>
      </c>
      <c r="DSN108" s="1" t="s">
        <v>122</v>
      </c>
      <c r="DSO108" s="1" t="s">
        <v>122</v>
      </c>
      <c r="DSP108" s="1" t="s">
        <v>122</v>
      </c>
      <c r="DSQ108" s="1" t="s">
        <v>122</v>
      </c>
      <c r="DSR108" s="1" t="s">
        <v>122</v>
      </c>
      <c r="DSS108" s="1" t="s">
        <v>122</v>
      </c>
      <c r="DST108" s="1" t="s">
        <v>122</v>
      </c>
      <c r="DSU108" s="1" t="s">
        <v>122</v>
      </c>
      <c r="DSV108" s="1" t="s">
        <v>122</v>
      </c>
      <c r="DSW108" s="1" t="s">
        <v>122</v>
      </c>
      <c r="DSX108" s="1" t="s">
        <v>122</v>
      </c>
      <c r="DSY108" s="1" t="s">
        <v>122</v>
      </c>
      <c r="DSZ108" s="1" t="s">
        <v>122</v>
      </c>
      <c r="DTA108" s="1" t="s">
        <v>122</v>
      </c>
      <c r="DTB108" s="1" t="s">
        <v>122</v>
      </c>
      <c r="DTC108" s="1" t="s">
        <v>122</v>
      </c>
      <c r="DTD108" s="1" t="s">
        <v>122</v>
      </c>
      <c r="DTE108" s="1" t="s">
        <v>122</v>
      </c>
      <c r="DTF108" s="1" t="s">
        <v>122</v>
      </c>
      <c r="DTG108" s="1" t="s">
        <v>122</v>
      </c>
      <c r="DTH108" s="1" t="s">
        <v>122</v>
      </c>
      <c r="DTI108" s="1" t="s">
        <v>122</v>
      </c>
      <c r="DTJ108" s="1" t="s">
        <v>122</v>
      </c>
      <c r="DTK108" s="1" t="s">
        <v>122</v>
      </c>
      <c r="DTL108" s="1" t="s">
        <v>122</v>
      </c>
      <c r="DTM108" s="1" t="s">
        <v>122</v>
      </c>
      <c r="DTN108" s="1" t="s">
        <v>122</v>
      </c>
      <c r="DTO108" s="1" t="s">
        <v>122</v>
      </c>
      <c r="DTP108" s="1" t="s">
        <v>122</v>
      </c>
      <c r="DTQ108" s="1" t="s">
        <v>122</v>
      </c>
      <c r="DTR108" s="1" t="s">
        <v>122</v>
      </c>
      <c r="DTS108" s="1" t="s">
        <v>122</v>
      </c>
      <c r="DTT108" s="1" t="s">
        <v>122</v>
      </c>
      <c r="DTU108" s="1" t="s">
        <v>122</v>
      </c>
      <c r="DTV108" s="1" t="s">
        <v>122</v>
      </c>
      <c r="DTW108" s="1" t="s">
        <v>122</v>
      </c>
      <c r="DTX108" s="1" t="s">
        <v>122</v>
      </c>
      <c r="DTY108" s="1" t="s">
        <v>122</v>
      </c>
      <c r="DTZ108" s="1" t="s">
        <v>122</v>
      </c>
      <c r="DUA108" s="1" t="s">
        <v>122</v>
      </c>
      <c r="DUB108" s="1" t="s">
        <v>122</v>
      </c>
      <c r="DUC108" s="1" t="s">
        <v>122</v>
      </c>
      <c r="DUD108" s="1" t="s">
        <v>122</v>
      </c>
      <c r="DUE108" s="1" t="s">
        <v>122</v>
      </c>
      <c r="DUF108" s="1" t="s">
        <v>122</v>
      </c>
      <c r="DUG108" s="1" t="s">
        <v>122</v>
      </c>
      <c r="DUH108" s="1" t="s">
        <v>122</v>
      </c>
      <c r="DUI108" s="1" t="s">
        <v>122</v>
      </c>
      <c r="DUJ108" s="1" t="s">
        <v>122</v>
      </c>
      <c r="DUK108" s="1" t="s">
        <v>122</v>
      </c>
      <c r="DUL108" s="1" t="s">
        <v>122</v>
      </c>
      <c r="DUM108" s="1" t="s">
        <v>122</v>
      </c>
      <c r="DUN108" s="1" t="s">
        <v>122</v>
      </c>
      <c r="DUO108" s="1" t="s">
        <v>122</v>
      </c>
      <c r="DUP108" s="1" t="s">
        <v>122</v>
      </c>
      <c r="DUQ108" s="1" t="s">
        <v>122</v>
      </c>
      <c r="DUR108" s="1" t="s">
        <v>122</v>
      </c>
      <c r="DUS108" s="1" t="s">
        <v>122</v>
      </c>
      <c r="DUT108" s="1" t="s">
        <v>122</v>
      </c>
      <c r="DUU108" s="1" t="s">
        <v>122</v>
      </c>
      <c r="DUV108" s="1" t="s">
        <v>122</v>
      </c>
      <c r="DUW108" s="1" t="s">
        <v>122</v>
      </c>
      <c r="DUX108" s="1" t="s">
        <v>122</v>
      </c>
      <c r="DUY108" s="1" t="s">
        <v>122</v>
      </c>
      <c r="DUZ108" s="1" t="s">
        <v>122</v>
      </c>
      <c r="DVA108" s="1" t="s">
        <v>122</v>
      </c>
      <c r="DVB108" s="1" t="s">
        <v>122</v>
      </c>
      <c r="DVC108" s="1" t="s">
        <v>122</v>
      </c>
      <c r="DVD108" s="1" t="s">
        <v>122</v>
      </c>
      <c r="DVE108" s="1" t="s">
        <v>122</v>
      </c>
      <c r="DVF108" s="1" t="s">
        <v>122</v>
      </c>
      <c r="DVG108" s="1" t="s">
        <v>122</v>
      </c>
      <c r="DVH108" s="1" t="s">
        <v>122</v>
      </c>
      <c r="DVI108" s="1" t="s">
        <v>122</v>
      </c>
      <c r="DVJ108" s="1" t="s">
        <v>122</v>
      </c>
      <c r="DVK108" s="1" t="s">
        <v>122</v>
      </c>
      <c r="DVL108" s="1" t="s">
        <v>122</v>
      </c>
      <c r="DVM108" s="1" t="s">
        <v>122</v>
      </c>
      <c r="DVN108" s="1" t="s">
        <v>122</v>
      </c>
      <c r="DVO108" s="1" t="s">
        <v>122</v>
      </c>
      <c r="DVP108" s="1" t="s">
        <v>122</v>
      </c>
      <c r="DVQ108" s="1" t="s">
        <v>122</v>
      </c>
      <c r="DVR108" s="1" t="s">
        <v>122</v>
      </c>
      <c r="DVS108" s="1" t="s">
        <v>122</v>
      </c>
      <c r="DVT108" s="1" t="s">
        <v>122</v>
      </c>
      <c r="DVU108" s="1" t="s">
        <v>122</v>
      </c>
      <c r="DVV108" s="1" t="s">
        <v>122</v>
      </c>
      <c r="DVW108" s="1" t="s">
        <v>122</v>
      </c>
      <c r="DVX108" s="1" t="s">
        <v>122</v>
      </c>
      <c r="DVY108" s="1" t="s">
        <v>122</v>
      </c>
      <c r="DVZ108" s="1" t="s">
        <v>122</v>
      </c>
      <c r="DWA108" s="1" t="s">
        <v>122</v>
      </c>
      <c r="DWB108" s="1" t="s">
        <v>122</v>
      </c>
      <c r="DWC108" s="1" t="s">
        <v>122</v>
      </c>
      <c r="DWD108" s="1" t="s">
        <v>122</v>
      </c>
      <c r="DWE108" s="1" t="s">
        <v>122</v>
      </c>
      <c r="DWF108" s="1" t="s">
        <v>122</v>
      </c>
      <c r="DWG108" s="1" t="s">
        <v>122</v>
      </c>
      <c r="DWH108" s="1" t="s">
        <v>122</v>
      </c>
      <c r="DWI108" s="1" t="s">
        <v>122</v>
      </c>
      <c r="DWJ108" s="1" t="s">
        <v>122</v>
      </c>
      <c r="DWK108" s="1" t="s">
        <v>122</v>
      </c>
      <c r="DWL108" s="1" t="s">
        <v>122</v>
      </c>
      <c r="DWM108" s="1" t="s">
        <v>122</v>
      </c>
      <c r="DWN108" s="1" t="s">
        <v>122</v>
      </c>
      <c r="DWO108" s="1" t="s">
        <v>122</v>
      </c>
      <c r="DWP108" s="1" t="s">
        <v>122</v>
      </c>
      <c r="DWQ108" s="1" t="s">
        <v>122</v>
      </c>
      <c r="DWR108" s="1" t="s">
        <v>122</v>
      </c>
      <c r="DWS108" s="1" t="s">
        <v>122</v>
      </c>
      <c r="DWT108" s="1" t="s">
        <v>122</v>
      </c>
      <c r="DWU108" s="1" t="s">
        <v>122</v>
      </c>
      <c r="DWV108" s="1" t="s">
        <v>122</v>
      </c>
      <c r="DWW108" s="1" t="s">
        <v>122</v>
      </c>
      <c r="DWX108" s="1" t="s">
        <v>122</v>
      </c>
      <c r="DWY108" s="1" t="s">
        <v>122</v>
      </c>
      <c r="DWZ108" s="1" t="s">
        <v>122</v>
      </c>
      <c r="DXA108" s="1" t="s">
        <v>122</v>
      </c>
      <c r="DXB108" s="1" t="s">
        <v>122</v>
      </c>
      <c r="DXC108" s="1" t="s">
        <v>122</v>
      </c>
      <c r="DXD108" s="1" t="s">
        <v>122</v>
      </c>
      <c r="DXE108" s="1" t="s">
        <v>122</v>
      </c>
      <c r="DXF108" s="1" t="s">
        <v>122</v>
      </c>
      <c r="DXG108" s="1" t="s">
        <v>122</v>
      </c>
      <c r="DXH108" s="1" t="s">
        <v>122</v>
      </c>
      <c r="DXI108" s="1" t="s">
        <v>122</v>
      </c>
      <c r="DXJ108" s="1" t="s">
        <v>122</v>
      </c>
      <c r="DXK108" s="1" t="s">
        <v>122</v>
      </c>
      <c r="DXL108" s="1" t="s">
        <v>122</v>
      </c>
      <c r="DXM108" s="1" t="s">
        <v>122</v>
      </c>
      <c r="DXN108" s="1" t="s">
        <v>122</v>
      </c>
      <c r="DXO108" s="1" t="s">
        <v>122</v>
      </c>
      <c r="DXP108" s="1" t="s">
        <v>122</v>
      </c>
      <c r="DXQ108" s="1" t="s">
        <v>122</v>
      </c>
      <c r="DXR108" s="1" t="s">
        <v>122</v>
      </c>
      <c r="DXS108" s="1" t="s">
        <v>122</v>
      </c>
      <c r="DXT108" s="1" t="s">
        <v>122</v>
      </c>
      <c r="DXU108" s="1" t="s">
        <v>122</v>
      </c>
      <c r="DXV108" s="1" t="s">
        <v>122</v>
      </c>
      <c r="DXW108" s="1" t="s">
        <v>122</v>
      </c>
      <c r="DXX108" s="1" t="s">
        <v>122</v>
      </c>
      <c r="DXY108" s="1" t="s">
        <v>122</v>
      </c>
      <c r="DXZ108" s="1" t="s">
        <v>122</v>
      </c>
      <c r="DYA108" s="1" t="s">
        <v>122</v>
      </c>
      <c r="DYB108" s="1" t="s">
        <v>122</v>
      </c>
      <c r="DYC108" s="1" t="s">
        <v>122</v>
      </c>
      <c r="DYD108" s="1" t="s">
        <v>122</v>
      </c>
      <c r="DYE108" s="1" t="s">
        <v>122</v>
      </c>
      <c r="DYF108" s="1" t="s">
        <v>122</v>
      </c>
      <c r="DYG108" s="1" t="s">
        <v>122</v>
      </c>
      <c r="DYH108" s="1" t="s">
        <v>122</v>
      </c>
      <c r="DYI108" s="1" t="s">
        <v>122</v>
      </c>
      <c r="DYJ108" s="1" t="s">
        <v>122</v>
      </c>
      <c r="DYK108" s="1" t="s">
        <v>122</v>
      </c>
      <c r="DYL108" s="1" t="s">
        <v>122</v>
      </c>
      <c r="DYM108" s="1" t="s">
        <v>122</v>
      </c>
      <c r="DYN108" s="1" t="s">
        <v>122</v>
      </c>
      <c r="DYO108" s="1" t="s">
        <v>122</v>
      </c>
      <c r="DYP108" s="1" t="s">
        <v>122</v>
      </c>
      <c r="DYQ108" s="1" t="s">
        <v>122</v>
      </c>
      <c r="DYR108" s="1" t="s">
        <v>122</v>
      </c>
      <c r="DYS108" s="1" t="s">
        <v>122</v>
      </c>
      <c r="DYT108" s="1" t="s">
        <v>122</v>
      </c>
      <c r="DYU108" s="1" t="s">
        <v>122</v>
      </c>
      <c r="DYV108" s="1" t="s">
        <v>122</v>
      </c>
      <c r="DYW108" s="1" t="s">
        <v>122</v>
      </c>
      <c r="DYX108" s="1" t="s">
        <v>122</v>
      </c>
      <c r="DYY108" s="1" t="s">
        <v>122</v>
      </c>
      <c r="DYZ108" s="1" t="s">
        <v>122</v>
      </c>
      <c r="DZA108" s="1" t="s">
        <v>122</v>
      </c>
      <c r="DZB108" s="1" t="s">
        <v>122</v>
      </c>
      <c r="DZC108" s="1" t="s">
        <v>122</v>
      </c>
      <c r="DZD108" s="1" t="s">
        <v>122</v>
      </c>
      <c r="DZE108" s="1" t="s">
        <v>122</v>
      </c>
      <c r="DZF108" s="1" t="s">
        <v>122</v>
      </c>
      <c r="DZG108" s="1" t="s">
        <v>122</v>
      </c>
      <c r="DZH108" s="1" t="s">
        <v>122</v>
      </c>
      <c r="DZI108" s="1" t="s">
        <v>122</v>
      </c>
      <c r="DZJ108" s="1" t="s">
        <v>122</v>
      </c>
      <c r="DZK108" s="1" t="s">
        <v>122</v>
      </c>
      <c r="DZL108" s="1" t="s">
        <v>122</v>
      </c>
      <c r="DZM108" s="1" t="s">
        <v>122</v>
      </c>
      <c r="DZN108" s="1" t="s">
        <v>122</v>
      </c>
      <c r="DZO108" s="1" t="s">
        <v>122</v>
      </c>
      <c r="DZP108" s="1" t="s">
        <v>122</v>
      </c>
      <c r="DZQ108" s="1" t="s">
        <v>122</v>
      </c>
      <c r="DZR108" s="1" t="s">
        <v>122</v>
      </c>
      <c r="DZS108" s="1" t="s">
        <v>122</v>
      </c>
      <c r="DZT108" s="1" t="s">
        <v>122</v>
      </c>
      <c r="DZU108" s="1" t="s">
        <v>122</v>
      </c>
      <c r="DZV108" s="1" t="s">
        <v>122</v>
      </c>
      <c r="DZW108" s="1" t="s">
        <v>122</v>
      </c>
      <c r="DZX108" s="1" t="s">
        <v>122</v>
      </c>
      <c r="DZY108" s="1" t="s">
        <v>122</v>
      </c>
      <c r="DZZ108" s="1" t="s">
        <v>122</v>
      </c>
      <c r="EAA108" s="1" t="s">
        <v>122</v>
      </c>
      <c r="EAB108" s="1" t="s">
        <v>122</v>
      </c>
      <c r="EAC108" s="1" t="s">
        <v>122</v>
      </c>
      <c r="EAD108" s="1" t="s">
        <v>122</v>
      </c>
      <c r="EAE108" s="1" t="s">
        <v>122</v>
      </c>
      <c r="EAF108" s="1" t="s">
        <v>122</v>
      </c>
      <c r="EAG108" s="1" t="s">
        <v>122</v>
      </c>
      <c r="EAH108" s="1" t="s">
        <v>122</v>
      </c>
      <c r="EAI108" s="1" t="s">
        <v>122</v>
      </c>
      <c r="EAJ108" s="1" t="s">
        <v>122</v>
      </c>
      <c r="EAK108" s="1" t="s">
        <v>122</v>
      </c>
      <c r="EAL108" s="1" t="s">
        <v>122</v>
      </c>
      <c r="EAM108" s="1" t="s">
        <v>122</v>
      </c>
      <c r="EAN108" s="1" t="s">
        <v>122</v>
      </c>
      <c r="EAO108" s="1" t="s">
        <v>122</v>
      </c>
      <c r="EAP108" s="1" t="s">
        <v>122</v>
      </c>
      <c r="EAQ108" s="1" t="s">
        <v>122</v>
      </c>
      <c r="EAR108" s="1" t="s">
        <v>122</v>
      </c>
      <c r="EAS108" s="1" t="s">
        <v>122</v>
      </c>
      <c r="EAT108" s="1" t="s">
        <v>122</v>
      </c>
      <c r="EAU108" s="1" t="s">
        <v>122</v>
      </c>
      <c r="EAV108" s="1" t="s">
        <v>122</v>
      </c>
      <c r="EAW108" s="1" t="s">
        <v>122</v>
      </c>
      <c r="EAX108" s="1" t="s">
        <v>122</v>
      </c>
      <c r="EAY108" s="1" t="s">
        <v>122</v>
      </c>
      <c r="EAZ108" s="1" t="s">
        <v>122</v>
      </c>
      <c r="EBA108" s="1" t="s">
        <v>122</v>
      </c>
      <c r="EBB108" s="1" t="s">
        <v>122</v>
      </c>
      <c r="EBC108" s="1" t="s">
        <v>122</v>
      </c>
      <c r="EBD108" s="1" t="s">
        <v>122</v>
      </c>
      <c r="EBE108" s="1" t="s">
        <v>122</v>
      </c>
      <c r="EBF108" s="1" t="s">
        <v>122</v>
      </c>
      <c r="EBG108" s="1" t="s">
        <v>122</v>
      </c>
      <c r="EBH108" s="1" t="s">
        <v>122</v>
      </c>
      <c r="EBI108" s="1" t="s">
        <v>122</v>
      </c>
      <c r="EBJ108" s="1" t="s">
        <v>122</v>
      </c>
      <c r="EBK108" s="1" t="s">
        <v>122</v>
      </c>
      <c r="EBL108" s="1" t="s">
        <v>122</v>
      </c>
      <c r="EBM108" s="1" t="s">
        <v>122</v>
      </c>
      <c r="EBN108" s="1" t="s">
        <v>122</v>
      </c>
      <c r="EBO108" s="1" t="s">
        <v>122</v>
      </c>
      <c r="EBP108" s="1" t="s">
        <v>122</v>
      </c>
      <c r="EBQ108" s="1" t="s">
        <v>122</v>
      </c>
      <c r="EBR108" s="1" t="s">
        <v>122</v>
      </c>
      <c r="EBS108" s="1" t="s">
        <v>122</v>
      </c>
      <c r="EBT108" s="1" t="s">
        <v>122</v>
      </c>
      <c r="EBU108" s="1" t="s">
        <v>122</v>
      </c>
      <c r="EBV108" s="1" t="s">
        <v>122</v>
      </c>
      <c r="EBW108" s="1" t="s">
        <v>122</v>
      </c>
      <c r="EBX108" s="1" t="s">
        <v>122</v>
      </c>
      <c r="EBY108" s="1" t="s">
        <v>122</v>
      </c>
      <c r="EBZ108" s="1" t="s">
        <v>122</v>
      </c>
      <c r="ECA108" s="1" t="s">
        <v>122</v>
      </c>
      <c r="ECB108" s="1" t="s">
        <v>122</v>
      </c>
      <c r="ECC108" s="1" t="s">
        <v>122</v>
      </c>
      <c r="ECD108" s="1" t="s">
        <v>122</v>
      </c>
      <c r="ECE108" s="1" t="s">
        <v>122</v>
      </c>
      <c r="ECF108" s="1" t="s">
        <v>122</v>
      </c>
      <c r="ECG108" s="1" t="s">
        <v>122</v>
      </c>
      <c r="ECH108" s="1" t="s">
        <v>122</v>
      </c>
      <c r="ECI108" s="1" t="s">
        <v>122</v>
      </c>
      <c r="ECJ108" s="1" t="s">
        <v>122</v>
      </c>
      <c r="ECK108" s="1" t="s">
        <v>122</v>
      </c>
      <c r="ECL108" s="1" t="s">
        <v>122</v>
      </c>
      <c r="ECM108" s="1" t="s">
        <v>122</v>
      </c>
      <c r="ECN108" s="1" t="s">
        <v>122</v>
      </c>
      <c r="ECO108" s="1" t="s">
        <v>122</v>
      </c>
      <c r="ECP108" s="1" t="s">
        <v>122</v>
      </c>
      <c r="ECQ108" s="1" t="s">
        <v>122</v>
      </c>
      <c r="ECR108" s="1" t="s">
        <v>122</v>
      </c>
      <c r="ECS108" s="1" t="s">
        <v>122</v>
      </c>
      <c r="ECT108" s="1" t="s">
        <v>122</v>
      </c>
      <c r="ECU108" s="1" t="s">
        <v>122</v>
      </c>
      <c r="ECV108" s="1" t="s">
        <v>122</v>
      </c>
      <c r="ECW108" s="1" t="s">
        <v>122</v>
      </c>
      <c r="ECX108" s="1" t="s">
        <v>122</v>
      </c>
      <c r="ECY108" s="1" t="s">
        <v>122</v>
      </c>
      <c r="ECZ108" s="1" t="s">
        <v>122</v>
      </c>
      <c r="EDA108" s="1" t="s">
        <v>122</v>
      </c>
      <c r="EDB108" s="1" t="s">
        <v>122</v>
      </c>
      <c r="EDC108" s="1" t="s">
        <v>122</v>
      </c>
      <c r="EDD108" s="1" t="s">
        <v>122</v>
      </c>
      <c r="EDE108" s="1" t="s">
        <v>122</v>
      </c>
      <c r="EDF108" s="1" t="s">
        <v>122</v>
      </c>
      <c r="EDG108" s="1" t="s">
        <v>122</v>
      </c>
      <c r="EDH108" s="1" t="s">
        <v>122</v>
      </c>
      <c r="EDI108" s="1" t="s">
        <v>122</v>
      </c>
      <c r="EDJ108" s="1" t="s">
        <v>122</v>
      </c>
      <c r="EDK108" s="1" t="s">
        <v>122</v>
      </c>
      <c r="EDL108" s="1" t="s">
        <v>122</v>
      </c>
      <c r="EDM108" s="1" t="s">
        <v>122</v>
      </c>
      <c r="EDN108" s="1" t="s">
        <v>122</v>
      </c>
      <c r="EDO108" s="1" t="s">
        <v>122</v>
      </c>
      <c r="EDP108" s="1" t="s">
        <v>122</v>
      </c>
      <c r="EDQ108" s="1" t="s">
        <v>122</v>
      </c>
      <c r="EDR108" s="1" t="s">
        <v>122</v>
      </c>
      <c r="EDS108" s="1" t="s">
        <v>122</v>
      </c>
      <c r="EDT108" s="1" t="s">
        <v>122</v>
      </c>
      <c r="EDU108" s="1" t="s">
        <v>122</v>
      </c>
      <c r="EDV108" s="1" t="s">
        <v>122</v>
      </c>
      <c r="EDW108" s="1" t="s">
        <v>122</v>
      </c>
      <c r="EDX108" s="1" t="s">
        <v>122</v>
      </c>
      <c r="EDY108" s="1" t="s">
        <v>122</v>
      </c>
      <c r="EDZ108" s="1" t="s">
        <v>122</v>
      </c>
      <c r="EEA108" s="1" t="s">
        <v>122</v>
      </c>
      <c r="EEB108" s="1" t="s">
        <v>122</v>
      </c>
      <c r="EEC108" s="1" t="s">
        <v>122</v>
      </c>
      <c r="EED108" s="1" t="s">
        <v>122</v>
      </c>
      <c r="EEE108" s="1" t="s">
        <v>122</v>
      </c>
      <c r="EEF108" s="1" t="s">
        <v>122</v>
      </c>
      <c r="EEG108" s="1" t="s">
        <v>122</v>
      </c>
      <c r="EEH108" s="1" t="s">
        <v>122</v>
      </c>
      <c r="EEI108" s="1" t="s">
        <v>122</v>
      </c>
      <c r="EEJ108" s="1" t="s">
        <v>122</v>
      </c>
      <c r="EEK108" s="1" t="s">
        <v>122</v>
      </c>
      <c r="EEL108" s="1" t="s">
        <v>122</v>
      </c>
      <c r="EEM108" s="1" t="s">
        <v>122</v>
      </c>
      <c r="EEN108" s="1" t="s">
        <v>122</v>
      </c>
      <c r="EEO108" s="1" t="s">
        <v>122</v>
      </c>
      <c r="EEP108" s="1" t="s">
        <v>122</v>
      </c>
      <c r="EEQ108" s="1" t="s">
        <v>122</v>
      </c>
      <c r="EER108" s="1" t="s">
        <v>122</v>
      </c>
      <c r="EES108" s="1" t="s">
        <v>122</v>
      </c>
      <c r="EET108" s="1" t="s">
        <v>122</v>
      </c>
      <c r="EEU108" s="1" t="s">
        <v>122</v>
      </c>
      <c r="EEV108" s="1" t="s">
        <v>122</v>
      </c>
      <c r="EEW108" s="1" t="s">
        <v>122</v>
      </c>
      <c r="EEX108" s="1" t="s">
        <v>122</v>
      </c>
      <c r="EEY108" s="1" t="s">
        <v>122</v>
      </c>
      <c r="EEZ108" s="1" t="s">
        <v>122</v>
      </c>
      <c r="EFA108" s="1" t="s">
        <v>122</v>
      </c>
      <c r="EFB108" s="1" t="s">
        <v>122</v>
      </c>
      <c r="EFC108" s="1" t="s">
        <v>122</v>
      </c>
      <c r="EFD108" s="1" t="s">
        <v>122</v>
      </c>
      <c r="EFE108" s="1" t="s">
        <v>122</v>
      </c>
      <c r="EFF108" s="1" t="s">
        <v>122</v>
      </c>
      <c r="EFG108" s="1" t="s">
        <v>122</v>
      </c>
      <c r="EFH108" s="1" t="s">
        <v>122</v>
      </c>
      <c r="EFI108" s="1" t="s">
        <v>122</v>
      </c>
      <c r="EFJ108" s="1" t="s">
        <v>122</v>
      </c>
      <c r="EFK108" s="1" t="s">
        <v>122</v>
      </c>
      <c r="EFL108" s="1" t="s">
        <v>122</v>
      </c>
      <c r="EFM108" s="1" t="s">
        <v>122</v>
      </c>
      <c r="EFN108" s="1" t="s">
        <v>122</v>
      </c>
      <c r="EFO108" s="1" t="s">
        <v>122</v>
      </c>
      <c r="EFP108" s="1" t="s">
        <v>122</v>
      </c>
      <c r="EFQ108" s="1" t="s">
        <v>122</v>
      </c>
      <c r="EFR108" s="1" t="s">
        <v>122</v>
      </c>
      <c r="EFS108" s="1" t="s">
        <v>122</v>
      </c>
      <c r="EFT108" s="1" t="s">
        <v>122</v>
      </c>
      <c r="EFU108" s="1" t="s">
        <v>122</v>
      </c>
      <c r="EFV108" s="1" t="s">
        <v>122</v>
      </c>
      <c r="EFW108" s="1" t="s">
        <v>122</v>
      </c>
      <c r="EFX108" s="1" t="s">
        <v>122</v>
      </c>
      <c r="EFY108" s="1" t="s">
        <v>122</v>
      </c>
      <c r="EFZ108" s="1" t="s">
        <v>122</v>
      </c>
      <c r="EGA108" s="1" t="s">
        <v>122</v>
      </c>
      <c r="EGB108" s="1" t="s">
        <v>122</v>
      </c>
      <c r="EGC108" s="1" t="s">
        <v>122</v>
      </c>
      <c r="EGD108" s="1" t="s">
        <v>122</v>
      </c>
      <c r="EGE108" s="1" t="s">
        <v>122</v>
      </c>
      <c r="EGF108" s="1" t="s">
        <v>122</v>
      </c>
      <c r="EGG108" s="1" t="s">
        <v>122</v>
      </c>
      <c r="EGH108" s="1" t="s">
        <v>122</v>
      </c>
      <c r="EGI108" s="1" t="s">
        <v>122</v>
      </c>
      <c r="EGJ108" s="1" t="s">
        <v>122</v>
      </c>
      <c r="EGK108" s="1" t="s">
        <v>122</v>
      </c>
      <c r="EGL108" s="1" t="s">
        <v>122</v>
      </c>
      <c r="EGM108" s="1" t="s">
        <v>122</v>
      </c>
      <c r="EGN108" s="1" t="s">
        <v>122</v>
      </c>
      <c r="EGO108" s="1" t="s">
        <v>122</v>
      </c>
      <c r="EGP108" s="1" t="s">
        <v>122</v>
      </c>
      <c r="EGQ108" s="1" t="s">
        <v>122</v>
      </c>
      <c r="EGR108" s="1" t="s">
        <v>122</v>
      </c>
      <c r="EGS108" s="1" t="s">
        <v>122</v>
      </c>
      <c r="EGT108" s="1" t="s">
        <v>122</v>
      </c>
      <c r="EGU108" s="1" t="s">
        <v>122</v>
      </c>
      <c r="EGV108" s="1" t="s">
        <v>122</v>
      </c>
      <c r="EGW108" s="1" t="s">
        <v>122</v>
      </c>
      <c r="EGX108" s="1" t="s">
        <v>122</v>
      </c>
      <c r="EGY108" s="1" t="s">
        <v>122</v>
      </c>
      <c r="EGZ108" s="1" t="s">
        <v>122</v>
      </c>
      <c r="EHA108" s="1" t="s">
        <v>122</v>
      </c>
      <c r="EHB108" s="1" t="s">
        <v>122</v>
      </c>
      <c r="EHC108" s="1" t="s">
        <v>122</v>
      </c>
      <c r="EHD108" s="1" t="s">
        <v>122</v>
      </c>
      <c r="EHE108" s="1" t="s">
        <v>122</v>
      </c>
      <c r="EHF108" s="1" t="s">
        <v>122</v>
      </c>
      <c r="EHG108" s="1" t="s">
        <v>122</v>
      </c>
      <c r="EHH108" s="1" t="s">
        <v>122</v>
      </c>
      <c r="EHI108" s="1" t="s">
        <v>122</v>
      </c>
      <c r="EHJ108" s="1" t="s">
        <v>122</v>
      </c>
      <c r="EHK108" s="1" t="s">
        <v>122</v>
      </c>
      <c r="EHL108" s="1" t="s">
        <v>122</v>
      </c>
      <c r="EHM108" s="1" t="s">
        <v>122</v>
      </c>
      <c r="EHN108" s="1" t="s">
        <v>122</v>
      </c>
      <c r="EHO108" s="1" t="s">
        <v>122</v>
      </c>
      <c r="EHP108" s="1" t="s">
        <v>122</v>
      </c>
      <c r="EHQ108" s="1" t="s">
        <v>122</v>
      </c>
      <c r="EHR108" s="1" t="s">
        <v>122</v>
      </c>
      <c r="EHS108" s="1" t="s">
        <v>122</v>
      </c>
      <c r="EHT108" s="1" t="s">
        <v>122</v>
      </c>
      <c r="EHU108" s="1" t="s">
        <v>122</v>
      </c>
      <c r="EHV108" s="1" t="s">
        <v>122</v>
      </c>
      <c r="EHW108" s="1" t="s">
        <v>122</v>
      </c>
      <c r="EHX108" s="1" t="s">
        <v>122</v>
      </c>
      <c r="EHY108" s="1" t="s">
        <v>122</v>
      </c>
      <c r="EHZ108" s="1" t="s">
        <v>122</v>
      </c>
      <c r="EIA108" s="1" t="s">
        <v>122</v>
      </c>
      <c r="EIB108" s="1" t="s">
        <v>122</v>
      </c>
      <c r="EIC108" s="1" t="s">
        <v>122</v>
      </c>
      <c r="EID108" s="1" t="s">
        <v>122</v>
      </c>
      <c r="EIE108" s="1" t="s">
        <v>122</v>
      </c>
      <c r="EIF108" s="1" t="s">
        <v>122</v>
      </c>
      <c r="EIG108" s="1" t="s">
        <v>122</v>
      </c>
      <c r="EIH108" s="1" t="s">
        <v>122</v>
      </c>
      <c r="EII108" s="1" t="s">
        <v>122</v>
      </c>
      <c r="EIJ108" s="1" t="s">
        <v>122</v>
      </c>
      <c r="EIK108" s="1" t="s">
        <v>122</v>
      </c>
      <c r="EIL108" s="1" t="s">
        <v>122</v>
      </c>
      <c r="EIM108" s="1" t="s">
        <v>122</v>
      </c>
      <c r="EIN108" s="1" t="s">
        <v>122</v>
      </c>
      <c r="EIO108" s="1" t="s">
        <v>122</v>
      </c>
      <c r="EIP108" s="1" t="s">
        <v>122</v>
      </c>
      <c r="EIQ108" s="1" t="s">
        <v>122</v>
      </c>
      <c r="EIR108" s="1" t="s">
        <v>122</v>
      </c>
      <c r="EIS108" s="1" t="s">
        <v>122</v>
      </c>
      <c r="EIT108" s="1" t="s">
        <v>122</v>
      </c>
      <c r="EIU108" s="1" t="s">
        <v>122</v>
      </c>
      <c r="EIV108" s="1" t="s">
        <v>122</v>
      </c>
      <c r="EIW108" s="1" t="s">
        <v>122</v>
      </c>
      <c r="EIX108" s="1" t="s">
        <v>122</v>
      </c>
      <c r="EIY108" s="1" t="s">
        <v>122</v>
      </c>
      <c r="EIZ108" s="1" t="s">
        <v>122</v>
      </c>
      <c r="EJA108" s="1" t="s">
        <v>122</v>
      </c>
      <c r="EJB108" s="1" t="s">
        <v>122</v>
      </c>
      <c r="EJC108" s="1" t="s">
        <v>122</v>
      </c>
      <c r="EJD108" s="1" t="s">
        <v>122</v>
      </c>
      <c r="EJE108" s="1" t="s">
        <v>122</v>
      </c>
      <c r="EJF108" s="1" t="s">
        <v>122</v>
      </c>
      <c r="EJG108" s="1" t="s">
        <v>122</v>
      </c>
      <c r="EJH108" s="1" t="s">
        <v>122</v>
      </c>
      <c r="EJI108" s="1" t="s">
        <v>122</v>
      </c>
      <c r="EJJ108" s="1" t="s">
        <v>122</v>
      </c>
      <c r="EJK108" s="1" t="s">
        <v>122</v>
      </c>
      <c r="EJL108" s="1" t="s">
        <v>122</v>
      </c>
      <c r="EJM108" s="1" t="s">
        <v>122</v>
      </c>
      <c r="EJN108" s="1" t="s">
        <v>122</v>
      </c>
      <c r="EJO108" s="1" t="s">
        <v>122</v>
      </c>
      <c r="EJP108" s="1" t="s">
        <v>122</v>
      </c>
      <c r="EJQ108" s="1" t="s">
        <v>122</v>
      </c>
      <c r="EJR108" s="1" t="s">
        <v>122</v>
      </c>
      <c r="EJS108" s="1" t="s">
        <v>122</v>
      </c>
      <c r="EJT108" s="1" t="s">
        <v>122</v>
      </c>
      <c r="EJU108" s="1" t="s">
        <v>122</v>
      </c>
      <c r="EJV108" s="1" t="s">
        <v>122</v>
      </c>
      <c r="EJW108" s="1" t="s">
        <v>122</v>
      </c>
      <c r="EJX108" s="1" t="s">
        <v>122</v>
      </c>
      <c r="EJY108" s="1" t="s">
        <v>122</v>
      </c>
      <c r="EJZ108" s="1" t="s">
        <v>122</v>
      </c>
      <c r="EKA108" s="1" t="s">
        <v>122</v>
      </c>
      <c r="EKB108" s="1" t="s">
        <v>122</v>
      </c>
      <c r="EKC108" s="1" t="s">
        <v>122</v>
      </c>
      <c r="EKD108" s="1" t="s">
        <v>122</v>
      </c>
      <c r="EKE108" s="1" t="s">
        <v>122</v>
      </c>
      <c r="EKF108" s="1" t="s">
        <v>122</v>
      </c>
      <c r="EKG108" s="1" t="s">
        <v>122</v>
      </c>
      <c r="EKH108" s="1" t="s">
        <v>122</v>
      </c>
      <c r="EKI108" s="1" t="s">
        <v>122</v>
      </c>
      <c r="EKJ108" s="1" t="s">
        <v>122</v>
      </c>
      <c r="EKK108" s="1" t="s">
        <v>122</v>
      </c>
      <c r="EKL108" s="1" t="s">
        <v>122</v>
      </c>
      <c r="EKM108" s="1" t="s">
        <v>122</v>
      </c>
      <c r="EKN108" s="1" t="s">
        <v>122</v>
      </c>
      <c r="EKO108" s="1" t="s">
        <v>122</v>
      </c>
      <c r="EKP108" s="1" t="s">
        <v>122</v>
      </c>
      <c r="EKQ108" s="1" t="s">
        <v>122</v>
      </c>
      <c r="EKR108" s="1" t="s">
        <v>122</v>
      </c>
      <c r="EKS108" s="1" t="s">
        <v>122</v>
      </c>
      <c r="EKT108" s="1" t="s">
        <v>122</v>
      </c>
      <c r="EKU108" s="1" t="s">
        <v>122</v>
      </c>
      <c r="EKV108" s="1" t="s">
        <v>122</v>
      </c>
      <c r="EKW108" s="1" t="s">
        <v>122</v>
      </c>
      <c r="EKX108" s="1" t="s">
        <v>122</v>
      </c>
      <c r="EKY108" s="1" t="s">
        <v>122</v>
      </c>
      <c r="EKZ108" s="1" t="s">
        <v>122</v>
      </c>
      <c r="ELA108" s="1" t="s">
        <v>122</v>
      </c>
      <c r="ELB108" s="1" t="s">
        <v>122</v>
      </c>
      <c r="ELC108" s="1" t="s">
        <v>122</v>
      </c>
      <c r="ELD108" s="1" t="s">
        <v>122</v>
      </c>
      <c r="ELE108" s="1" t="s">
        <v>122</v>
      </c>
      <c r="ELF108" s="1" t="s">
        <v>122</v>
      </c>
      <c r="ELG108" s="1" t="s">
        <v>122</v>
      </c>
      <c r="ELH108" s="1" t="s">
        <v>122</v>
      </c>
      <c r="ELI108" s="1" t="s">
        <v>122</v>
      </c>
      <c r="ELJ108" s="1" t="s">
        <v>122</v>
      </c>
      <c r="ELK108" s="1" t="s">
        <v>122</v>
      </c>
      <c r="ELL108" s="1" t="s">
        <v>122</v>
      </c>
      <c r="ELM108" s="1" t="s">
        <v>122</v>
      </c>
      <c r="ELN108" s="1" t="s">
        <v>122</v>
      </c>
      <c r="ELO108" s="1" t="s">
        <v>122</v>
      </c>
      <c r="ELP108" s="1" t="s">
        <v>122</v>
      </c>
      <c r="ELQ108" s="1" t="s">
        <v>122</v>
      </c>
      <c r="ELR108" s="1" t="s">
        <v>122</v>
      </c>
      <c r="ELS108" s="1" t="s">
        <v>122</v>
      </c>
      <c r="ELT108" s="1" t="s">
        <v>122</v>
      </c>
      <c r="ELU108" s="1" t="s">
        <v>122</v>
      </c>
      <c r="ELV108" s="1" t="s">
        <v>122</v>
      </c>
      <c r="ELW108" s="1" t="s">
        <v>122</v>
      </c>
      <c r="ELX108" s="1" t="s">
        <v>122</v>
      </c>
      <c r="ELY108" s="1" t="s">
        <v>122</v>
      </c>
      <c r="ELZ108" s="1" t="s">
        <v>122</v>
      </c>
      <c r="EMA108" s="1" t="s">
        <v>122</v>
      </c>
      <c r="EMB108" s="1" t="s">
        <v>122</v>
      </c>
      <c r="EMC108" s="1" t="s">
        <v>122</v>
      </c>
      <c r="EMD108" s="1" t="s">
        <v>122</v>
      </c>
      <c r="EME108" s="1" t="s">
        <v>122</v>
      </c>
      <c r="EMF108" s="1" t="s">
        <v>122</v>
      </c>
      <c r="EMG108" s="1" t="s">
        <v>122</v>
      </c>
      <c r="EMH108" s="1" t="s">
        <v>122</v>
      </c>
      <c r="EMI108" s="1" t="s">
        <v>122</v>
      </c>
      <c r="EMJ108" s="1" t="s">
        <v>122</v>
      </c>
      <c r="EMK108" s="1" t="s">
        <v>122</v>
      </c>
      <c r="EML108" s="1" t="s">
        <v>122</v>
      </c>
      <c r="EMM108" s="1" t="s">
        <v>122</v>
      </c>
      <c r="EMN108" s="1" t="s">
        <v>122</v>
      </c>
      <c r="EMO108" s="1" t="s">
        <v>122</v>
      </c>
      <c r="EMP108" s="1" t="s">
        <v>122</v>
      </c>
      <c r="EMQ108" s="1" t="s">
        <v>122</v>
      </c>
      <c r="EMR108" s="1" t="s">
        <v>122</v>
      </c>
      <c r="EMS108" s="1" t="s">
        <v>122</v>
      </c>
      <c r="EMT108" s="1" t="s">
        <v>122</v>
      </c>
      <c r="EMU108" s="1" t="s">
        <v>122</v>
      </c>
      <c r="EMV108" s="1" t="s">
        <v>122</v>
      </c>
      <c r="EMW108" s="1" t="s">
        <v>122</v>
      </c>
      <c r="EMX108" s="1" t="s">
        <v>122</v>
      </c>
      <c r="EMY108" s="1" t="s">
        <v>122</v>
      </c>
      <c r="EMZ108" s="1" t="s">
        <v>122</v>
      </c>
      <c r="ENA108" s="1" t="s">
        <v>122</v>
      </c>
      <c r="ENB108" s="1" t="s">
        <v>122</v>
      </c>
      <c r="ENC108" s="1" t="s">
        <v>122</v>
      </c>
      <c r="END108" s="1" t="s">
        <v>122</v>
      </c>
      <c r="ENE108" s="1" t="s">
        <v>122</v>
      </c>
      <c r="ENF108" s="1" t="s">
        <v>122</v>
      </c>
      <c r="ENG108" s="1" t="s">
        <v>122</v>
      </c>
      <c r="ENH108" s="1" t="s">
        <v>122</v>
      </c>
      <c r="ENI108" s="1" t="s">
        <v>122</v>
      </c>
      <c r="ENJ108" s="1" t="s">
        <v>122</v>
      </c>
      <c r="ENK108" s="1" t="s">
        <v>122</v>
      </c>
      <c r="ENL108" s="1" t="s">
        <v>122</v>
      </c>
      <c r="ENM108" s="1" t="s">
        <v>122</v>
      </c>
      <c r="ENN108" s="1" t="s">
        <v>122</v>
      </c>
      <c r="ENO108" s="1" t="s">
        <v>122</v>
      </c>
      <c r="ENP108" s="1" t="s">
        <v>122</v>
      </c>
      <c r="ENQ108" s="1" t="s">
        <v>122</v>
      </c>
      <c r="ENR108" s="1" t="s">
        <v>122</v>
      </c>
      <c r="ENS108" s="1" t="s">
        <v>122</v>
      </c>
      <c r="ENT108" s="1" t="s">
        <v>122</v>
      </c>
      <c r="ENU108" s="1" t="s">
        <v>122</v>
      </c>
      <c r="ENV108" s="1" t="s">
        <v>122</v>
      </c>
      <c r="ENW108" s="1" t="s">
        <v>122</v>
      </c>
      <c r="ENX108" s="1" t="s">
        <v>122</v>
      </c>
      <c r="ENY108" s="1" t="s">
        <v>122</v>
      </c>
      <c r="ENZ108" s="1" t="s">
        <v>122</v>
      </c>
      <c r="EOA108" s="1" t="s">
        <v>122</v>
      </c>
      <c r="EOB108" s="1" t="s">
        <v>122</v>
      </c>
      <c r="EOC108" s="1" t="s">
        <v>122</v>
      </c>
      <c r="EOD108" s="1" t="s">
        <v>122</v>
      </c>
      <c r="EOE108" s="1" t="s">
        <v>122</v>
      </c>
      <c r="EOF108" s="1" t="s">
        <v>122</v>
      </c>
      <c r="EOG108" s="1" t="s">
        <v>122</v>
      </c>
      <c r="EOH108" s="1" t="s">
        <v>122</v>
      </c>
      <c r="EOI108" s="1" t="s">
        <v>122</v>
      </c>
      <c r="EOJ108" s="1" t="s">
        <v>122</v>
      </c>
      <c r="EOK108" s="1" t="s">
        <v>122</v>
      </c>
      <c r="EOL108" s="1" t="s">
        <v>122</v>
      </c>
      <c r="EOM108" s="1" t="s">
        <v>122</v>
      </c>
      <c r="EON108" s="1" t="s">
        <v>122</v>
      </c>
      <c r="EOO108" s="1" t="s">
        <v>122</v>
      </c>
      <c r="EOP108" s="1" t="s">
        <v>122</v>
      </c>
      <c r="EOQ108" s="1" t="s">
        <v>122</v>
      </c>
      <c r="EOR108" s="1" t="s">
        <v>122</v>
      </c>
      <c r="EOS108" s="1" t="s">
        <v>122</v>
      </c>
      <c r="EOT108" s="1" t="s">
        <v>122</v>
      </c>
      <c r="EOU108" s="1" t="s">
        <v>122</v>
      </c>
      <c r="EOV108" s="1" t="s">
        <v>122</v>
      </c>
      <c r="EOW108" s="1" t="s">
        <v>122</v>
      </c>
      <c r="EOX108" s="1" t="s">
        <v>122</v>
      </c>
      <c r="EOY108" s="1" t="s">
        <v>122</v>
      </c>
      <c r="EOZ108" s="1" t="s">
        <v>122</v>
      </c>
      <c r="EPA108" s="1" t="s">
        <v>122</v>
      </c>
      <c r="EPB108" s="1" t="s">
        <v>122</v>
      </c>
      <c r="EPC108" s="1" t="s">
        <v>122</v>
      </c>
      <c r="EPD108" s="1" t="s">
        <v>122</v>
      </c>
      <c r="EPE108" s="1" t="s">
        <v>122</v>
      </c>
      <c r="EPF108" s="1" t="s">
        <v>122</v>
      </c>
      <c r="EPG108" s="1" t="s">
        <v>122</v>
      </c>
      <c r="EPH108" s="1" t="s">
        <v>122</v>
      </c>
      <c r="EPI108" s="1" t="s">
        <v>122</v>
      </c>
      <c r="EPJ108" s="1" t="s">
        <v>122</v>
      </c>
      <c r="EPK108" s="1" t="s">
        <v>122</v>
      </c>
      <c r="EPL108" s="1" t="s">
        <v>122</v>
      </c>
      <c r="EPM108" s="1" t="s">
        <v>122</v>
      </c>
      <c r="EPN108" s="1" t="s">
        <v>122</v>
      </c>
      <c r="EPO108" s="1" t="s">
        <v>122</v>
      </c>
      <c r="EPP108" s="1" t="s">
        <v>122</v>
      </c>
      <c r="EPQ108" s="1" t="s">
        <v>122</v>
      </c>
      <c r="EPR108" s="1" t="s">
        <v>122</v>
      </c>
      <c r="EPS108" s="1" t="s">
        <v>122</v>
      </c>
      <c r="EPT108" s="1" t="s">
        <v>122</v>
      </c>
      <c r="EPU108" s="1" t="s">
        <v>122</v>
      </c>
      <c r="EPV108" s="1" t="s">
        <v>122</v>
      </c>
      <c r="EPW108" s="1" t="s">
        <v>122</v>
      </c>
      <c r="EPX108" s="1" t="s">
        <v>122</v>
      </c>
      <c r="EPY108" s="1" t="s">
        <v>122</v>
      </c>
      <c r="EPZ108" s="1" t="s">
        <v>122</v>
      </c>
      <c r="EQA108" s="1" t="s">
        <v>122</v>
      </c>
      <c r="EQB108" s="1" t="s">
        <v>122</v>
      </c>
      <c r="EQC108" s="1" t="s">
        <v>122</v>
      </c>
      <c r="EQD108" s="1" t="s">
        <v>122</v>
      </c>
      <c r="EQE108" s="1" t="s">
        <v>122</v>
      </c>
      <c r="EQF108" s="1" t="s">
        <v>122</v>
      </c>
      <c r="EQG108" s="1" t="s">
        <v>122</v>
      </c>
      <c r="EQH108" s="1" t="s">
        <v>122</v>
      </c>
      <c r="EQI108" s="1" t="s">
        <v>122</v>
      </c>
      <c r="EQJ108" s="1" t="s">
        <v>122</v>
      </c>
      <c r="EQK108" s="1" t="s">
        <v>122</v>
      </c>
      <c r="EQL108" s="1" t="s">
        <v>122</v>
      </c>
      <c r="EQM108" s="1" t="s">
        <v>122</v>
      </c>
      <c r="EQN108" s="1" t="s">
        <v>122</v>
      </c>
      <c r="EQO108" s="1" t="s">
        <v>122</v>
      </c>
      <c r="EQP108" s="1" t="s">
        <v>122</v>
      </c>
      <c r="EQQ108" s="1" t="s">
        <v>122</v>
      </c>
      <c r="EQR108" s="1" t="s">
        <v>122</v>
      </c>
      <c r="EQS108" s="1" t="s">
        <v>122</v>
      </c>
      <c r="EQT108" s="1" t="s">
        <v>122</v>
      </c>
      <c r="EQU108" s="1" t="s">
        <v>122</v>
      </c>
      <c r="EQV108" s="1" t="s">
        <v>122</v>
      </c>
      <c r="EQW108" s="1" t="s">
        <v>122</v>
      </c>
      <c r="EQX108" s="1" t="s">
        <v>122</v>
      </c>
      <c r="EQY108" s="1" t="s">
        <v>122</v>
      </c>
      <c r="EQZ108" s="1" t="s">
        <v>122</v>
      </c>
      <c r="ERA108" s="1" t="s">
        <v>122</v>
      </c>
      <c r="ERB108" s="1" t="s">
        <v>122</v>
      </c>
      <c r="ERC108" s="1" t="s">
        <v>122</v>
      </c>
      <c r="ERD108" s="1" t="s">
        <v>122</v>
      </c>
      <c r="ERE108" s="1" t="s">
        <v>122</v>
      </c>
      <c r="ERF108" s="1" t="s">
        <v>122</v>
      </c>
      <c r="ERG108" s="1" t="s">
        <v>122</v>
      </c>
      <c r="ERH108" s="1" t="s">
        <v>122</v>
      </c>
      <c r="ERI108" s="1" t="s">
        <v>122</v>
      </c>
      <c r="ERJ108" s="1" t="s">
        <v>122</v>
      </c>
      <c r="ERK108" s="1" t="s">
        <v>122</v>
      </c>
      <c r="ERL108" s="1" t="s">
        <v>122</v>
      </c>
      <c r="ERM108" s="1" t="s">
        <v>122</v>
      </c>
      <c r="ERN108" s="1" t="s">
        <v>122</v>
      </c>
      <c r="ERO108" s="1" t="s">
        <v>122</v>
      </c>
      <c r="ERP108" s="1" t="s">
        <v>122</v>
      </c>
      <c r="ERQ108" s="1" t="s">
        <v>122</v>
      </c>
      <c r="ERR108" s="1" t="s">
        <v>122</v>
      </c>
      <c r="ERS108" s="1" t="s">
        <v>122</v>
      </c>
      <c r="ERT108" s="1" t="s">
        <v>122</v>
      </c>
      <c r="ERU108" s="1" t="s">
        <v>122</v>
      </c>
      <c r="ERV108" s="1" t="s">
        <v>122</v>
      </c>
      <c r="ERW108" s="1" t="s">
        <v>122</v>
      </c>
      <c r="ERX108" s="1" t="s">
        <v>122</v>
      </c>
      <c r="ERY108" s="1" t="s">
        <v>122</v>
      </c>
      <c r="ERZ108" s="1" t="s">
        <v>122</v>
      </c>
      <c r="ESA108" s="1" t="s">
        <v>122</v>
      </c>
      <c r="ESB108" s="1" t="s">
        <v>122</v>
      </c>
      <c r="ESC108" s="1" t="s">
        <v>122</v>
      </c>
      <c r="ESD108" s="1" t="s">
        <v>122</v>
      </c>
      <c r="ESE108" s="1" t="s">
        <v>122</v>
      </c>
      <c r="ESF108" s="1" t="s">
        <v>122</v>
      </c>
      <c r="ESG108" s="1" t="s">
        <v>122</v>
      </c>
      <c r="ESH108" s="1" t="s">
        <v>122</v>
      </c>
      <c r="ESI108" s="1" t="s">
        <v>122</v>
      </c>
      <c r="ESJ108" s="1" t="s">
        <v>122</v>
      </c>
      <c r="ESK108" s="1" t="s">
        <v>122</v>
      </c>
      <c r="ESL108" s="1" t="s">
        <v>122</v>
      </c>
      <c r="ESM108" s="1" t="s">
        <v>122</v>
      </c>
      <c r="ESN108" s="1" t="s">
        <v>122</v>
      </c>
      <c r="ESO108" s="1" t="s">
        <v>122</v>
      </c>
      <c r="ESP108" s="1" t="s">
        <v>122</v>
      </c>
      <c r="ESQ108" s="1" t="s">
        <v>122</v>
      </c>
      <c r="ESR108" s="1" t="s">
        <v>122</v>
      </c>
      <c r="ESS108" s="1" t="s">
        <v>122</v>
      </c>
      <c r="EST108" s="1" t="s">
        <v>122</v>
      </c>
      <c r="ESU108" s="1" t="s">
        <v>122</v>
      </c>
      <c r="ESV108" s="1" t="s">
        <v>122</v>
      </c>
      <c r="ESW108" s="1" t="s">
        <v>122</v>
      </c>
      <c r="ESX108" s="1" t="s">
        <v>122</v>
      </c>
      <c r="ESY108" s="1" t="s">
        <v>122</v>
      </c>
      <c r="ESZ108" s="1" t="s">
        <v>122</v>
      </c>
      <c r="ETA108" s="1" t="s">
        <v>122</v>
      </c>
      <c r="ETB108" s="1" t="s">
        <v>122</v>
      </c>
      <c r="ETC108" s="1" t="s">
        <v>122</v>
      </c>
      <c r="ETD108" s="1" t="s">
        <v>122</v>
      </c>
      <c r="ETE108" s="1" t="s">
        <v>122</v>
      </c>
      <c r="ETF108" s="1" t="s">
        <v>122</v>
      </c>
      <c r="ETG108" s="1" t="s">
        <v>122</v>
      </c>
      <c r="ETH108" s="1" t="s">
        <v>122</v>
      </c>
      <c r="ETI108" s="1" t="s">
        <v>122</v>
      </c>
      <c r="ETJ108" s="1" t="s">
        <v>122</v>
      </c>
      <c r="ETK108" s="1" t="s">
        <v>122</v>
      </c>
      <c r="ETL108" s="1" t="s">
        <v>122</v>
      </c>
      <c r="ETM108" s="1" t="s">
        <v>122</v>
      </c>
      <c r="ETN108" s="1" t="s">
        <v>122</v>
      </c>
      <c r="ETO108" s="1" t="s">
        <v>122</v>
      </c>
      <c r="ETP108" s="1" t="s">
        <v>122</v>
      </c>
      <c r="ETQ108" s="1" t="s">
        <v>122</v>
      </c>
      <c r="ETR108" s="1" t="s">
        <v>122</v>
      </c>
      <c r="ETS108" s="1" t="s">
        <v>122</v>
      </c>
      <c r="ETT108" s="1" t="s">
        <v>122</v>
      </c>
      <c r="ETU108" s="1" t="s">
        <v>122</v>
      </c>
      <c r="ETV108" s="1" t="s">
        <v>122</v>
      </c>
      <c r="ETW108" s="1" t="s">
        <v>122</v>
      </c>
      <c r="ETX108" s="1" t="s">
        <v>122</v>
      </c>
      <c r="ETY108" s="1" t="s">
        <v>122</v>
      </c>
      <c r="ETZ108" s="1" t="s">
        <v>122</v>
      </c>
      <c r="EUA108" s="1" t="s">
        <v>122</v>
      </c>
      <c r="EUB108" s="1" t="s">
        <v>122</v>
      </c>
      <c r="EUC108" s="1" t="s">
        <v>122</v>
      </c>
      <c r="EUD108" s="1" t="s">
        <v>122</v>
      </c>
      <c r="EUE108" s="1" t="s">
        <v>122</v>
      </c>
      <c r="EUF108" s="1" t="s">
        <v>122</v>
      </c>
      <c r="EUG108" s="1" t="s">
        <v>122</v>
      </c>
      <c r="EUH108" s="1" t="s">
        <v>122</v>
      </c>
      <c r="EUI108" s="1" t="s">
        <v>122</v>
      </c>
      <c r="EUJ108" s="1" t="s">
        <v>122</v>
      </c>
      <c r="EUK108" s="1" t="s">
        <v>122</v>
      </c>
      <c r="EUL108" s="1" t="s">
        <v>122</v>
      </c>
      <c r="EUM108" s="1" t="s">
        <v>122</v>
      </c>
      <c r="EUN108" s="1" t="s">
        <v>122</v>
      </c>
      <c r="EUO108" s="1" t="s">
        <v>122</v>
      </c>
      <c r="EUP108" s="1" t="s">
        <v>122</v>
      </c>
      <c r="EUQ108" s="1" t="s">
        <v>122</v>
      </c>
      <c r="EUR108" s="1" t="s">
        <v>122</v>
      </c>
      <c r="EUS108" s="1" t="s">
        <v>122</v>
      </c>
      <c r="EUT108" s="1" t="s">
        <v>122</v>
      </c>
      <c r="EUU108" s="1" t="s">
        <v>122</v>
      </c>
      <c r="EUV108" s="1" t="s">
        <v>122</v>
      </c>
      <c r="EUW108" s="1" t="s">
        <v>122</v>
      </c>
      <c r="EUX108" s="1" t="s">
        <v>122</v>
      </c>
      <c r="EUY108" s="1" t="s">
        <v>122</v>
      </c>
      <c r="EUZ108" s="1" t="s">
        <v>122</v>
      </c>
      <c r="EVA108" s="1" t="s">
        <v>122</v>
      </c>
      <c r="EVB108" s="1" t="s">
        <v>122</v>
      </c>
      <c r="EVC108" s="1" t="s">
        <v>122</v>
      </c>
      <c r="EVD108" s="1" t="s">
        <v>122</v>
      </c>
      <c r="EVE108" s="1" t="s">
        <v>122</v>
      </c>
      <c r="EVF108" s="1" t="s">
        <v>122</v>
      </c>
      <c r="EVG108" s="1" t="s">
        <v>122</v>
      </c>
      <c r="EVH108" s="1" t="s">
        <v>122</v>
      </c>
      <c r="EVI108" s="1" t="s">
        <v>122</v>
      </c>
      <c r="EVJ108" s="1" t="s">
        <v>122</v>
      </c>
      <c r="EVK108" s="1" t="s">
        <v>122</v>
      </c>
      <c r="EVL108" s="1" t="s">
        <v>122</v>
      </c>
      <c r="EVM108" s="1" t="s">
        <v>122</v>
      </c>
      <c r="EVN108" s="1" t="s">
        <v>122</v>
      </c>
      <c r="EVO108" s="1" t="s">
        <v>122</v>
      </c>
      <c r="EVP108" s="1" t="s">
        <v>122</v>
      </c>
      <c r="EVQ108" s="1" t="s">
        <v>122</v>
      </c>
      <c r="EVR108" s="1" t="s">
        <v>122</v>
      </c>
      <c r="EVS108" s="1" t="s">
        <v>122</v>
      </c>
      <c r="EVT108" s="1" t="s">
        <v>122</v>
      </c>
      <c r="EVU108" s="1" t="s">
        <v>122</v>
      </c>
      <c r="EVV108" s="1" t="s">
        <v>122</v>
      </c>
      <c r="EVW108" s="1" t="s">
        <v>122</v>
      </c>
      <c r="EVX108" s="1" t="s">
        <v>122</v>
      </c>
      <c r="EVY108" s="1" t="s">
        <v>122</v>
      </c>
      <c r="EVZ108" s="1" t="s">
        <v>122</v>
      </c>
      <c r="EWA108" s="1" t="s">
        <v>122</v>
      </c>
      <c r="EWB108" s="1" t="s">
        <v>122</v>
      </c>
      <c r="EWC108" s="1" t="s">
        <v>122</v>
      </c>
      <c r="EWD108" s="1" t="s">
        <v>122</v>
      </c>
      <c r="EWE108" s="1" t="s">
        <v>122</v>
      </c>
      <c r="EWF108" s="1" t="s">
        <v>122</v>
      </c>
      <c r="EWG108" s="1" t="s">
        <v>122</v>
      </c>
      <c r="EWH108" s="1" t="s">
        <v>122</v>
      </c>
      <c r="EWI108" s="1" t="s">
        <v>122</v>
      </c>
      <c r="EWJ108" s="1" t="s">
        <v>122</v>
      </c>
      <c r="EWK108" s="1" t="s">
        <v>122</v>
      </c>
      <c r="EWL108" s="1" t="s">
        <v>122</v>
      </c>
      <c r="EWM108" s="1" t="s">
        <v>122</v>
      </c>
      <c r="EWN108" s="1" t="s">
        <v>122</v>
      </c>
      <c r="EWO108" s="1" t="s">
        <v>122</v>
      </c>
      <c r="EWP108" s="1" t="s">
        <v>122</v>
      </c>
      <c r="EWQ108" s="1" t="s">
        <v>122</v>
      </c>
      <c r="EWR108" s="1" t="s">
        <v>122</v>
      </c>
      <c r="EWS108" s="1" t="s">
        <v>122</v>
      </c>
      <c r="EWT108" s="1" t="s">
        <v>122</v>
      </c>
      <c r="EWU108" s="1" t="s">
        <v>122</v>
      </c>
      <c r="EWV108" s="1" t="s">
        <v>122</v>
      </c>
      <c r="EWW108" s="1" t="s">
        <v>122</v>
      </c>
      <c r="EWX108" s="1" t="s">
        <v>122</v>
      </c>
      <c r="EWY108" s="1" t="s">
        <v>122</v>
      </c>
      <c r="EWZ108" s="1" t="s">
        <v>122</v>
      </c>
      <c r="EXA108" s="1" t="s">
        <v>122</v>
      </c>
      <c r="EXB108" s="1" t="s">
        <v>122</v>
      </c>
      <c r="EXC108" s="1" t="s">
        <v>122</v>
      </c>
      <c r="EXD108" s="1" t="s">
        <v>122</v>
      </c>
      <c r="EXE108" s="1" t="s">
        <v>122</v>
      </c>
      <c r="EXF108" s="1" t="s">
        <v>122</v>
      </c>
      <c r="EXG108" s="1" t="s">
        <v>122</v>
      </c>
      <c r="EXH108" s="1" t="s">
        <v>122</v>
      </c>
      <c r="EXI108" s="1" t="s">
        <v>122</v>
      </c>
      <c r="EXJ108" s="1" t="s">
        <v>122</v>
      </c>
      <c r="EXK108" s="1" t="s">
        <v>122</v>
      </c>
      <c r="EXL108" s="1" t="s">
        <v>122</v>
      </c>
      <c r="EXM108" s="1" t="s">
        <v>122</v>
      </c>
      <c r="EXN108" s="1" t="s">
        <v>122</v>
      </c>
      <c r="EXO108" s="1" t="s">
        <v>122</v>
      </c>
      <c r="EXP108" s="1" t="s">
        <v>122</v>
      </c>
      <c r="EXQ108" s="1" t="s">
        <v>122</v>
      </c>
      <c r="EXR108" s="1" t="s">
        <v>122</v>
      </c>
      <c r="EXS108" s="1" t="s">
        <v>122</v>
      </c>
      <c r="EXT108" s="1" t="s">
        <v>122</v>
      </c>
      <c r="EXU108" s="1" t="s">
        <v>122</v>
      </c>
      <c r="EXV108" s="1" t="s">
        <v>122</v>
      </c>
      <c r="EXW108" s="1" t="s">
        <v>122</v>
      </c>
      <c r="EXX108" s="1" t="s">
        <v>122</v>
      </c>
      <c r="EXY108" s="1" t="s">
        <v>122</v>
      </c>
      <c r="EXZ108" s="1" t="s">
        <v>122</v>
      </c>
      <c r="EYA108" s="1" t="s">
        <v>122</v>
      </c>
      <c r="EYB108" s="1" t="s">
        <v>122</v>
      </c>
      <c r="EYC108" s="1" t="s">
        <v>122</v>
      </c>
      <c r="EYD108" s="1" t="s">
        <v>122</v>
      </c>
      <c r="EYE108" s="1" t="s">
        <v>122</v>
      </c>
      <c r="EYF108" s="1" t="s">
        <v>122</v>
      </c>
      <c r="EYG108" s="1" t="s">
        <v>122</v>
      </c>
      <c r="EYH108" s="1" t="s">
        <v>122</v>
      </c>
      <c r="EYI108" s="1" t="s">
        <v>122</v>
      </c>
      <c r="EYJ108" s="1" t="s">
        <v>122</v>
      </c>
      <c r="EYK108" s="1" t="s">
        <v>122</v>
      </c>
      <c r="EYL108" s="1" t="s">
        <v>122</v>
      </c>
      <c r="EYM108" s="1" t="s">
        <v>122</v>
      </c>
      <c r="EYN108" s="1" t="s">
        <v>122</v>
      </c>
      <c r="EYO108" s="1" t="s">
        <v>122</v>
      </c>
      <c r="EYP108" s="1" t="s">
        <v>122</v>
      </c>
      <c r="EYQ108" s="1" t="s">
        <v>122</v>
      </c>
      <c r="EYR108" s="1" t="s">
        <v>122</v>
      </c>
      <c r="EYS108" s="1" t="s">
        <v>122</v>
      </c>
      <c r="EYT108" s="1" t="s">
        <v>122</v>
      </c>
      <c r="EYU108" s="1" t="s">
        <v>122</v>
      </c>
      <c r="EYV108" s="1" t="s">
        <v>122</v>
      </c>
      <c r="EYW108" s="1" t="s">
        <v>122</v>
      </c>
      <c r="EYX108" s="1" t="s">
        <v>122</v>
      </c>
      <c r="EYY108" s="1" t="s">
        <v>122</v>
      </c>
      <c r="EYZ108" s="1" t="s">
        <v>122</v>
      </c>
      <c r="EZA108" s="1" t="s">
        <v>122</v>
      </c>
      <c r="EZB108" s="1" t="s">
        <v>122</v>
      </c>
      <c r="EZC108" s="1" t="s">
        <v>122</v>
      </c>
      <c r="EZD108" s="1" t="s">
        <v>122</v>
      </c>
      <c r="EZE108" s="1" t="s">
        <v>122</v>
      </c>
      <c r="EZF108" s="1" t="s">
        <v>122</v>
      </c>
      <c r="EZG108" s="1" t="s">
        <v>122</v>
      </c>
      <c r="EZH108" s="1" t="s">
        <v>122</v>
      </c>
      <c r="EZI108" s="1" t="s">
        <v>122</v>
      </c>
      <c r="EZJ108" s="1" t="s">
        <v>122</v>
      </c>
      <c r="EZK108" s="1" t="s">
        <v>122</v>
      </c>
      <c r="EZL108" s="1" t="s">
        <v>122</v>
      </c>
      <c r="EZM108" s="1" t="s">
        <v>122</v>
      </c>
      <c r="EZN108" s="1" t="s">
        <v>122</v>
      </c>
      <c r="EZO108" s="1" t="s">
        <v>122</v>
      </c>
      <c r="EZP108" s="1" t="s">
        <v>122</v>
      </c>
      <c r="EZQ108" s="1" t="s">
        <v>122</v>
      </c>
      <c r="EZR108" s="1" t="s">
        <v>122</v>
      </c>
      <c r="EZS108" s="1" t="s">
        <v>122</v>
      </c>
      <c r="EZT108" s="1" t="s">
        <v>122</v>
      </c>
      <c r="EZU108" s="1" t="s">
        <v>122</v>
      </c>
      <c r="EZV108" s="1" t="s">
        <v>122</v>
      </c>
      <c r="EZW108" s="1" t="s">
        <v>122</v>
      </c>
      <c r="EZX108" s="1" t="s">
        <v>122</v>
      </c>
      <c r="EZY108" s="1" t="s">
        <v>122</v>
      </c>
      <c r="EZZ108" s="1" t="s">
        <v>122</v>
      </c>
      <c r="FAA108" s="1" t="s">
        <v>122</v>
      </c>
      <c r="FAB108" s="1" t="s">
        <v>122</v>
      </c>
      <c r="FAC108" s="1" t="s">
        <v>122</v>
      </c>
      <c r="FAD108" s="1" t="s">
        <v>122</v>
      </c>
      <c r="FAE108" s="1" t="s">
        <v>122</v>
      </c>
      <c r="FAF108" s="1" t="s">
        <v>122</v>
      </c>
      <c r="FAG108" s="1" t="s">
        <v>122</v>
      </c>
      <c r="FAH108" s="1" t="s">
        <v>122</v>
      </c>
      <c r="FAI108" s="1" t="s">
        <v>122</v>
      </c>
      <c r="FAJ108" s="1" t="s">
        <v>122</v>
      </c>
      <c r="FAK108" s="1" t="s">
        <v>122</v>
      </c>
      <c r="FAL108" s="1" t="s">
        <v>122</v>
      </c>
      <c r="FAM108" s="1" t="s">
        <v>122</v>
      </c>
      <c r="FAN108" s="1" t="s">
        <v>122</v>
      </c>
      <c r="FAO108" s="1" t="s">
        <v>122</v>
      </c>
      <c r="FAP108" s="1" t="s">
        <v>122</v>
      </c>
      <c r="FAQ108" s="1" t="s">
        <v>122</v>
      </c>
      <c r="FAR108" s="1" t="s">
        <v>122</v>
      </c>
      <c r="FAS108" s="1" t="s">
        <v>122</v>
      </c>
      <c r="FAT108" s="1" t="s">
        <v>122</v>
      </c>
      <c r="FAU108" s="1" t="s">
        <v>122</v>
      </c>
      <c r="FAV108" s="1" t="s">
        <v>122</v>
      </c>
      <c r="FAW108" s="1" t="s">
        <v>122</v>
      </c>
      <c r="FAX108" s="1" t="s">
        <v>122</v>
      </c>
      <c r="FAY108" s="1" t="s">
        <v>122</v>
      </c>
      <c r="FAZ108" s="1" t="s">
        <v>122</v>
      </c>
      <c r="FBA108" s="1" t="s">
        <v>122</v>
      </c>
      <c r="FBB108" s="1" t="s">
        <v>122</v>
      </c>
      <c r="FBC108" s="1" t="s">
        <v>122</v>
      </c>
      <c r="FBD108" s="1" t="s">
        <v>122</v>
      </c>
      <c r="FBE108" s="1" t="s">
        <v>122</v>
      </c>
      <c r="FBF108" s="1" t="s">
        <v>122</v>
      </c>
      <c r="FBG108" s="1" t="s">
        <v>122</v>
      </c>
      <c r="FBH108" s="1" t="s">
        <v>122</v>
      </c>
      <c r="FBI108" s="1" t="s">
        <v>122</v>
      </c>
      <c r="FBJ108" s="1" t="s">
        <v>122</v>
      </c>
      <c r="FBK108" s="1" t="s">
        <v>122</v>
      </c>
      <c r="FBL108" s="1" t="s">
        <v>122</v>
      </c>
      <c r="FBM108" s="1" t="s">
        <v>122</v>
      </c>
      <c r="FBN108" s="1" t="s">
        <v>122</v>
      </c>
      <c r="FBO108" s="1" t="s">
        <v>122</v>
      </c>
      <c r="FBP108" s="1" t="s">
        <v>122</v>
      </c>
      <c r="FBQ108" s="1" t="s">
        <v>122</v>
      </c>
      <c r="FBR108" s="1" t="s">
        <v>122</v>
      </c>
      <c r="FBS108" s="1" t="s">
        <v>122</v>
      </c>
      <c r="FBT108" s="1" t="s">
        <v>122</v>
      </c>
      <c r="FBU108" s="1" t="s">
        <v>122</v>
      </c>
      <c r="FBV108" s="1" t="s">
        <v>122</v>
      </c>
      <c r="FBW108" s="1" t="s">
        <v>122</v>
      </c>
      <c r="FBX108" s="1" t="s">
        <v>122</v>
      </c>
      <c r="FBY108" s="1" t="s">
        <v>122</v>
      </c>
      <c r="FBZ108" s="1" t="s">
        <v>122</v>
      </c>
      <c r="FCA108" s="1" t="s">
        <v>122</v>
      </c>
      <c r="FCB108" s="1" t="s">
        <v>122</v>
      </c>
      <c r="FCC108" s="1" t="s">
        <v>122</v>
      </c>
      <c r="FCD108" s="1" t="s">
        <v>122</v>
      </c>
      <c r="FCE108" s="1" t="s">
        <v>122</v>
      </c>
      <c r="FCF108" s="1" t="s">
        <v>122</v>
      </c>
      <c r="FCG108" s="1" t="s">
        <v>122</v>
      </c>
      <c r="FCH108" s="1" t="s">
        <v>122</v>
      </c>
      <c r="FCI108" s="1" t="s">
        <v>122</v>
      </c>
      <c r="FCJ108" s="1" t="s">
        <v>122</v>
      </c>
      <c r="FCK108" s="1" t="s">
        <v>122</v>
      </c>
      <c r="FCL108" s="1" t="s">
        <v>122</v>
      </c>
      <c r="FCM108" s="1" t="s">
        <v>122</v>
      </c>
      <c r="FCN108" s="1" t="s">
        <v>122</v>
      </c>
      <c r="FCO108" s="1" t="s">
        <v>122</v>
      </c>
      <c r="FCP108" s="1" t="s">
        <v>122</v>
      </c>
      <c r="FCQ108" s="1" t="s">
        <v>122</v>
      </c>
      <c r="FCR108" s="1" t="s">
        <v>122</v>
      </c>
      <c r="FCS108" s="1" t="s">
        <v>122</v>
      </c>
      <c r="FCT108" s="1" t="s">
        <v>122</v>
      </c>
      <c r="FCU108" s="1" t="s">
        <v>122</v>
      </c>
      <c r="FCV108" s="1" t="s">
        <v>122</v>
      </c>
      <c r="FCW108" s="1" t="s">
        <v>122</v>
      </c>
      <c r="FCX108" s="1" t="s">
        <v>122</v>
      </c>
      <c r="FCY108" s="1" t="s">
        <v>122</v>
      </c>
      <c r="FCZ108" s="1" t="s">
        <v>122</v>
      </c>
      <c r="FDA108" s="1" t="s">
        <v>122</v>
      </c>
      <c r="FDB108" s="1" t="s">
        <v>122</v>
      </c>
      <c r="FDC108" s="1" t="s">
        <v>122</v>
      </c>
      <c r="FDD108" s="1" t="s">
        <v>122</v>
      </c>
      <c r="FDE108" s="1" t="s">
        <v>122</v>
      </c>
      <c r="FDF108" s="1" t="s">
        <v>122</v>
      </c>
      <c r="FDG108" s="1" t="s">
        <v>122</v>
      </c>
      <c r="FDH108" s="1" t="s">
        <v>122</v>
      </c>
      <c r="FDI108" s="1" t="s">
        <v>122</v>
      </c>
      <c r="FDJ108" s="1" t="s">
        <v>122</v>
      </c>
      <c r="FDK108" s="1" t="s">
        <v>122</v>
      </c>
      <c r="FDL108" s="1" t="s">
        <v>122</v>
      </c>
      <c r="FDM108" s="1" t="s">
        <v>122</v>
      </c>
      <c r="FDN108" s="1" t="s">
        <v>122</v>
      </c>
      <c r="FDO108" s="1" t="s">
        <v>122</v>
      </c>
      <c r="FDP108" s="1" t="s">
        <v>122</v>
      </c>
      <c r="FDQ108" s="1" t="s">
        <v>122</v>
      </c>
      <c r="FDR108" s="1" t="s">
        <v>122</v>
      </c>
      <c r="FDS108" s="1" t="s">
        <v>122</v>
      </c>
      <c r="FDT108" s="1" t="s">
        <v>122</v>
      </c>
      <c r="FDU108" s="1" t="s">
        <v>122</v>
      </c>
      <c r="FDV108" s="1" t="s">
        <v>122</v>
      </c>
      <c r="FDW108" s="1" t="s">
        <v>122</v>
      </c>
      <c r="FDX108" s="1" t="s">
        <v>122</v>
      </c>
      <c r="FDY108" s="1" t="s">
        <v>122</v>
      </c>
      <c r="FDZ108" s="1" t="s">
        <v>122</v>
      </c>
      <c r="FEA108" s="1" t="s">
        <v>122</v>
      </c>
      <c r="FEB108" s="1" t="s">
        <v>122</v>
      </c>
      <c r="FEC108" s="1" t="s">
        <v>122</v>
      </c>
      <c r="FED108" s="1" t="s">
        <v>122</v>
      </c>
      <c r="FEE108" s="1" t="s">
        <v>122</v>
      </c>
      <c r="FEF108" s="1" t="s">
        <v>122</v>
      </c>
      <c r="FEG108" s="1" t="s">
        <v>122</v>
      </c>
      <c r="FEH108" s="1" t="s">
        <v>122</v>
      </c>
      <c r="FEI108" s="1" t="s">
        <v>122</v>
      </c>
      <c r="FEJ108" s="1" t="s">
        <v>122</v>
      </c>
      <c r="FEK108" s="1" t="s">
        <v>122</v>
      </c>
      <c r="FEL108" s="1" t="s">
        <v>122</v>
      </c>
      <c r="FEM108" s="1" t="s">
        <v>122</v>
      </c>
      <c r="FEN108" s="1" t="s">
        <v>122</v>
      </c>
      <c r="FEO108" s="1" t="s">
        <v>122</v>
      </c>
      <c r="FEP108" s="1" t="s">
        <v>122</v>
      </c>
      <c r="FEQ108" s="1" t="s">
        <v>122</v>
      </c>
      <c r="FER108" s="1" t="s">
        <v>122</v>
      </c>
      <c r="FES108" s="1" t="s">
        <v>122</v>
      </c>
      <c r="FET108" s="1" t="s">
        <v>122</v>
      </c>
      <c r="FEU108" s="1" t="s">
        <v>122</v>
      </c>
      <c r="FEV108" s="1" t="s">
        <v>122</v>
      </c>
      <c r="FEW108" s="1" t="s">
        <v>122</v>
      </c>
      <c r="FEX108" s="1" t="s">
        <v>122</v>
      </c>
      <c r="FEY108" s="1" t="s">
        <v>122</v>
      </c>
      <c r="FEZ108" s="1" t="s">
        <v>122</v>
      </c>
      <c r="FFA108" s="1" t="s">
        <v>122</v>
      </c>
      <c r="FFB108" s="1" t="s">
        <v>122</v>
      </c>
      <c r="FFC108" s="1" t="s">
        <v>122</v>
      </c>
      <c r="FFD108" s="1" t="s">
        <v>122</v>
      </c>
      <c r="FFE108" s="1" t="s">
        <v>122</v>
      </c>
      <c r="FFF108" s="1" t="s">
        <v>122</v>
      </c>
      <c r="FFG108" s="1" t="s">
        <v>122</v>
      </c>
      <c r="FFH108" s="1" t="s">
        <v>122</v>
      </c>
      <c r="FFI108" s="1" t="s">
        <v>122</v>
      </c>
      <c r="FFJ108" s="1" t="s">
        <v>122</v>
      </c>
      <c r="FFK108" s="1" t="s">
        <v>122</v>
      </c>
      <c r="FFL108" s="1" t="s">
        <v>122</v>
      </c>
      <c r="FFM108" s="1" t="s">
        <v>122</v>
      </c>
      <c r="FFN108" s="1" t="s">
        <v>122</v>
      </c>
      <c r="FFO108" s="1" t="s">
        <v>122</v>
      </c>
      <c r="FFP108" s="1" t="s">
        <v>122</v>
      </c>
      <c r="FFQ108" s="1" t="s">
        <v>122</v>
      </c>
      <c r="FFR108" s="1" t="s">
        <v>122</v>
      </c>
      <c r="FFS108" s="1" t="s">
        <v>122</v>
      </c>
      <c r="FFT108" s="1" t="s">
        <v>122</v>
      </c>
      <c r="FFU108" s="1" t="s">
        <v>122</v>
      </c>
      <c r="FFV108" s="1" t="s">
        <v>122</v>
      </c>
      <c r="FFW108" s="1" t="s">
        <v>122</v>
      </c>
      <c r="FFX108" s="1" t="s">
        <v>122</v>
      </c>
      <c r="FFY108" s="1" t="s">
        <v>122</v>
      </c>
      <c r="FFZ108" s="1" t="s">
        <v>122</v>
      </c>
      <c r="FGA108" s="1" t="s">
        <v>122</v>
      </c>
      <c r="FGB108" s="1" t="s">
        <v>122</v>
      </c>
      <c r="FGC108" s="1" t="s">
        <v>122</v>
      </c>
      <c r="FGD108" s="1" t="s">
        <v>122</v>
      </c>
      <c r="FGE108" s="1" t="s">
        <v>122</v>
      </c>
      <c r="FGF108" s="1" t="s">
        <v>122</v>
      </c>
      <c r="FGG108" s="1" t="s">
        <v>122</v>
      </c>
      <c r="FGH108" s="1" t="s">
        <v>122</v>
      </c>
      <c r="FGI108" s="1" t="s">
        <v>122</v>
      </c>
      <c r="FGJ108" s="1" t="s">
        <v>122</v>
      </c>
      <c r="FGK108" s="1" t="s">
        <v>122</v>
      </c>
      <c r="FGL108" s="1" t="s">
        <v>122</v>
      </c>
      <c r="FGM108" s="1" t="s">
        <v>122</v>
      </c>
      <c r="FGN108" s="1" t="s">
        <v>122</v>
      </c>
      <c r="FGO108" s="1" t="s">
        <v>122</v>
      </c>
      <c r="FGP108" s="1" t="s">
        <v>122</v>
      </c>
      <c r="FGQ108" s="1" t="s">
        <v>122</v>
      </c>
      <c r="FGR108" s="1" t="s">
        <v>122</v>
      </c>
      <c r="FGS108" s="1" t="s">
        <v>122</v>
      </c>
      <c r="FGT108" s="1" t="s">
        <v>122</v>
      </c>
      <c r="FGU108" s="1" t="s">
        <v>122</v>
      </c>
      <c r="FGV108" s="1" t="s">
        <v>122</v>
      </c>
      <c r="FGW108" s="1" t="s">
        <v>122</v>
      </c>
      <c r="FGX108" s="1" t="s">
        <v>122</v>
      </c>
      <c r="FGY108" s="1" t="s">
        <v>122</v>
      </c>
      <c r="FGZ108" s="1" t="s">
        <v>122</v>
      </c>
      <c r="FHA108" s="1" t="s">
        <v>122</v>
      </c>
      <c r="FHB108" s="1" t="s">
        <v>122</v>
      </c>
      <c r="FHC108" s="1" t="s">
        <v>122</v>
      </c>
      <c r="FHD108" s="1" t="s">
        <v>122</v>
      </c>
      <c r="FHE108" s="1" t="s">
        <v>122</v>
      </c>
      <c r="FHF108" s="1" t="s">
        <v>122</v>
      </c>
      <c r="FHG108" s="1" t="s">
        <v>122</v>
      </c>
      <c r="FHH108" s="1" t="s">
        <v>122</v>
      </c>
      <c r="FHI108" s="1" t="s">
        <v>122</v>
      </c>
      <c r="FHJ108" s="1" t="s">
        <v>122</v>
      </c>
      <c r="FHK108" s="1" t="s">
        <v>122</v>
      </c>
      <c r="FHL108" s="1" t="s">
        <v>122</v>
      </c>
      <c r="FHM108" s="1" t="s">
        <v>122</v>
      </c>
      <c r="FHN108" s="1" t="s">
        <v>122</v>
      </c>
      <c r="FHO108" s="1" t="s">
        <v>122</v>
      </c>
      <c r="FHP108" s="1" t="s">
        <v>122</v>
      </c>
      <c r="FHQ108" s="1" t="s">
        <v>122</v>
      </c>
      <c r="FHR108" s="1" t="s">
        <v>122</v>
      </c>
      <c r="FHS108" s="1" t="s">
        <v>122</v>
      </c>
      <c r="FHT108" s="1" t="s">
        <v>122</v>
      </c>
      <c r="FHU108" s="1" t="s">
        <v>122</v>
      </c>
      <c r="FHV108" s="1" t="s">
        <v>122</v>
      </c>
      <c r="FHW108" s="1" t="s">
        <v>122</v>
      </c>
      <c r="FHX108" s="1" t="s">
        <v>122</v>
      </c>
      <c r="FHY108" s="1" t="s">
        <v>122</v>
      </c>
      <c r="FHZ108" s="1" t="s">
        <v>122</v>
      </c>
      <c r="FIA108" s="1" t="s">
        <v>122</v>
      </c>
      <c r="FIB108" s="1" t="s">
        <v>122</v>
      </c>
      <c r="FIC108" s="1" t="s">
        <v>122</v>
      </c>
      <c r="FID108" s="1" t="s">
        <v>122</v>
      </c>
      <c r="FIE108" s="1" t="s">
        <v>122</v>
      </c>
      <c r="FIF108" s="1" t="s">
        <v>122</v>
      </c>
      <c r="FIG108" s="1" t="s">
        <v>122</v>
      </c>
      <c r="FIH108" s="1" t="s">
        <v>122</v>
      </c>
      <c r="FII108" s="1" t="s">
        <v>122</v>
      </c>
      <c r="FIJ108" s="1" t="s">
        <v>122</v>
      </c>
      <c r="FIK108" s="1" t="s">
        <v>122</v>
      </c>
      <c r="FIL108" s="1" t="s">
        <v>122</v>
      </c>
      <c r="FIM108" s="1" t="s">
        <v>122</v>
      </c>
      <c r="FIN108" s="1" t="s">
        <v>122</v>
      </c>
      <c r="FIO108" s="1" t="s">
        <v>122</v>
      </c>
      <c r="FIP108" s="1" t="s">
        <v>122</v>
      </c>
      <c r="FIQ108" s="1" t="s">
        <v>122</v>
      </c>
      <c r="FIR108" s="1" t="s">
        <v>122</v>
      </c>
      <c r="FIS108" s="1" t="s">
        <v>122</v>
      </c>
      <c r="FIT108" s="1" t="s">
        <v>122</v>
      </c>
      <c r="FIU108" s="1" t="s">
        <v>122</v>
      </c>
      <c r="FIV108" s="1" t="s">
        <v>122</v>
      </c>
      <c r="FIW108" s="1" t="s">
        <v>122</v>
      </c>
      <c r="FIX108" s="1" t="s">
        <v>122</v>
      </c>
      <c r="FIY108" s="1" t="s">
        <v>122</v>
      </c>
      <c r="FIZ108" s="1" t="s">
        <v>122</v>
      </c>
      <c r="FJA108" s="1" t="s">
        <v>122</v>
      </c>
      <c r="FJB108" s="1" t="s">
        <v>122</v>
      </c>
      <c r="FJC108" s="1" t="s">
        <v>122</v>
      </c>
      <c r="FJD108" s="1" t="s">
        <v>122</v>
      </c>
      <c r="FJE108" s="1" t="s">
        <v>122</v>
      </c>
      <c r="FJF108" s="1" t="s">
        <v>122</v>
      </c>
      <c r="FJG108" s="1" t="s">
        <v>122</v>
      </c>
      <c r="FJH108" s="1" t="s">
        <v>122</v>
      </c>
      <c r="FJI108" s="1" t="s">
        <v>122</v>
      </c>
      <c r="FJJ108" s="1" t="s">
        <v>122</v>
      </c>
      <c r="FJK108" s="1" t="s">
        <v>122</v>
      </c>
      <c r="FJL108" s="1" t="s">
        <v>122</v>
      </c>
      <c r="FJM108" s="1" t="s">
        <v>122</v>
      </c>
      <c r="FJN108" s="1" t="s">
        <v>122</v>
      </c>
      <c r="FJO108" s="1" t="s">
        <v>122</v>
      </c>
      <c r="FJP108" s="1" t="s">
        <v>122</v>
      </c>
      <c r="FJQ108" s="1" t="s">
        <v>122</v>
      </c>
      <c r="FJR108" s="1" t="s">
        <v>122</v>
      </c>
      <c r="FJS108" s="1" t="s">
        <v>122</v>
      </c>
      <c r="FJT108" s="1" t="s">
        <v>122</v>
      </c>
      <c r="FJU108" s="1" t="s">
        <v>122</v>
      </c>
      <c r="FJV108" s="1" t="s">
        <v>122</v>
      </c>
      <c r="FJW108" s="1" t="s">
        <v>122</v>
      </c>
      <c r="FJX108" s="1" t="s">
        <v>122</v>
      </c>
      <c r="FJY108" s="1" t="s">
        <v>122</v>
      </c>
      <c r="FJZ108" s="1" t="s">
        <v>122</v>
      </c>
      <c r="FKA108" s="1" t="s">
        <v>122</v>
      </c>
      <c r="FKB108" s="1" t="s">
        <v>122</v>
      </c>
      <c r="FKC108" s="1" t="s">
        <v>122</v>
      </c>
      <c r="FKD108" s="1" t="s">
        <v>122</v>
      </c>
      <c r="FKE108" s="1" t="s">
        <v>122</v>
      </c>
      <c r="FKF108" s="1" t="s">
        <v>122</v>
      </c>
      <c r="FKG108" s="1" t="s">
        <v>122</v>
      </c>
      <c r="FKH108" s="1" t="s">
        <v>122</v>
      </c>
      <c r="FKI108" s="1" t="s">
        <v>122</v>
      </c>
      <c r="FKJ108" s="1" t="s">
        <v>122</v>
      </c>
      <c r="FKK108" s="1" t="s">
        <v>122</v>
      </c>
      <c r="FKL108" s="1" t="s">
        <v>122</v>
      </c>
      <c r="FKM108" s="1" t="s">
        <v>122</v>
      </c>
      <c r="FKN108" s="1" t="s">
        <v>122</v>
      </c>
      <c r="FKO108" s="1" t="s">
        <v>122</v>
      </c>
      <c r="FKP108" s="1" t="s">
        <v>122</v>
      </c>
      <c r="FKQ108" s="1" t="s">
        <v>122</v>
      </c>
      <c r="FKR108" s="1" t="s">
        <v>122</v>
      </c>
      <c r="FKS108" s="1" t="s">
        <v>122</v>
      </c>
      <c r="FKT108" s="1" t="s">
        <v>122</v>
      </c>
      <c r="FKU108" s="1" t="s">
        <v>122</v>
      </c>
      <c r="FKV108" s="1" t="s">
        <v>122</v>
      </c>
      <c r="FKW108" s="1" t="s">
        <v>122</v>
      </c>
      <c r="FKX108" s="1" t="s">
        <v>122</v>
      </c>
      <c r="FKY108" s="1" t="s">
        <v>122</v>
      </c>
      <c r="FKZ108" s="1" t="s">
        <v>122</v>
      </c>
      <c r="FLA108" s="1" t="s">
        <v>122</v>
      </c>
      <c r="FLB108" s="1" t="s">
        <v>122</v>
      </c>
      <c r="FLC108" s="1" t="s">
        <v>122</v>
      </c>
      <c r="FLD108" s="1" t="s">
        <v>122</v>
      </c>
      <c r="FLE108" s="1" t="s">
        <v>122</v>
      </c>
      <c r="FLF108" s="1" t="s">
        <v>122</v>
      </c>
      <c r="FLG108" s="1" t="s">
        <v>122</v>
      </c>
      <c r="FLH108" s="1" t="s">
        <v>122</v>
      </c>
      <c r="FLI108" s="1" t="s">
        <v>122</v>
      </c>
      <c r="FLJ108" s="1" t="s">
        <v>122</v>
      </c>
      <c r="FLK108" s="1" t="s">
        <v>122</v>
      </c>
      <c r="FLL108" s="1" t="s">
        <v>122</v>
      </c>
      <c r="FLM108" s="1" t="s">
        <v>122</v>
      </c>
      <c r="FLN108" s="1" t="s">
        <v>122</v>
      </c>
      <c r="FLO108" s="1" t="s">
        <v>122</v>
      </c>
      <c r="FLP108" s="1" t="s">
        <v>122</v>
      </c>
      <c r="FLQ108" s="1" t="s">
        <v>122</v>
      </c>
      <c r="FLR108" s="1" t="s">
        <v>122</v>
      </c>
      <c r="FLS108" s="1" t="s">
        <v>122</v>
      </c>
      <c r="FLT108" s="1" t="s">
        <v>122</v>
      </c>
      <c r="FLU108" s="1" t="s">
        <v>122</v>
      </c>
      <c r="FLV108" s="1" t="s">
        <v>122</v>
      </c>
      <c r="FLW108" s="1" t="s">
        <v>122</v>
      </c>
      <c r="FLX108" s="1" t="s">
        <v>122</v>
      </c>
      <c r="FLY108" s="1" t="s">
        <v>122</v>
      </c>
      <c r="FLZ108" s="1" t="s">
        <v>122</v>
      </c>
      <c r="FMA108" s="1" t="s">
        <v>122</v>
      </c>
      <c r="FMB108" s="1" t="s">
        <v>122</v>
      </c>
      <c r="FMC108" s="1" t="s">
        <v>122</v>
      </c>
      <c r="FMD108" s="1" t="s">
        <v>122</v>
      </c>
      <c r="FME108" s="1" t="s">
        <v>122</v>
      </c>
      <c r="FMF108" s="1" t="s">
        <v>122</v>
      </c>
      <c r="FMG108" s="1" t="s">
        <v>122</v>
      </c>
      <c r="FMH108" s="1" t="s">
        <v>122</v>
      </c>
      <c r="FMI108" s="1" t="s">
        <v>122</v>
      </c>
      <c r="FMJ108" s="1" t="s">
        <v>122</v>
      </c>
      <c r="FMK108" s="1" t="s">
        <v>122</v>
      </c>
      <c r="FML108" s="1" t="s">
        <v>122</v>
      </c>
      <c r="FMM108" s="1" t="s">
        <v>122</v>
      </c>
      <c r="FMN108" s="1" t="s">
        <v>122</v>
      </c>
      <c r="FMO108" s="1" t="s">
        <v>122</v>
      </c>
      <c r="FMP108" s="1" t="s">
        <v>122</v>
      </c>
      <c r="FMQ108" s="1" t="s">
        <v>122</v>
      </c>
      <c r="FMR108" s="1" t="s">
        <v>122</v>
      </c>
      <c r="FMS108" s="1" t="s">
        <v>122</v>
      </c>
      <c r="FMT108" s="1" t="s">
        <v>122</v>
      </c>
      <c r="FMU108" s="1" t="s">
        <v>122</v>
      </c>
      <c r="FMV108" s="1" t="s">
        <v>122</v>
      </c>
      <c r="FMW108" s="1" t="s">
        <v>122</v>
      </c>
      <c r="FMX108" s="1" t="s">
        <v>122</v>
      </c>
      <c r="FMY108" s="1" t="s">
        <v>122</v>
      </c>
      <c r="FMZ108" s="1" t="s">
        <v>122</v>
      </c>
      <c r="FNA108" s="1" t="s">
        <v>122</v>
      </c>
      <c r="FNB108" s="1" t="s">
        <v>122</v>
      </c>
      <c r="FNC108" s="1" t="s">
        <v>122</v>
      </c>
      <c r="FND108" s="1" t="s">
        <v>122</v>
      </c>
      <c r="FNE108" s="1" t="s">
        <v>122</v>
      </c>
      <c r="FNF108" s="1" t="s">
        <v>122</v>
      </c>
      <c r="FNG108" s="1" t="s">
        <v>122</v>
      </c>
      <c r="FNH108" s="1" t="s">
        <v>122</v>
      </c>
      <c r="FNI108" s="1" t="s">
        <v>122</v>
      </c>
      <c r="FNJ108" s="1" t="s">
        <v>122</v>
      </c>
      <c r="FNK108" s="1" t="s">
        <v>122</v>
      </c>
      <c r="FNL108" s="1" t="s">
        <v>122</v>
      </c>
      <c r="FNM108" s="1" t="s">
        <v>122</v>
      </c>
      <c r="FNN108" s="1" t="s">
        <v>122</v>
      </c>
      <c r="FNO108" s="1" t="s">
        <v>122</v>
      </c>
      <c r="FNP108" s="1" t="s">
        <v>122</v>
      </c>
      <c r="FNQ108" s="1" t="s">
        <v>122</v>
      </c>
      <c r="FNR108" s="1" t="s">
        <v>122</v>
      </c>
      <c r="FNS108" s="1" t="s">
        <v>122</v>
      </c>
      <c r="FNT108" s="1" t="s">
        <v>122</v>
      </c>
      <c r="FNU108" s="1" t="s">
        <v>122</v>
      </c>
      <c r="FNV108" s="1" t="s">
        <v>122</v>
      </c>
      <c r="FNW108" s="1" t="s">
        <v>122</v>
      </c>
      <c r="FNX108" s="1" t="s">
        <v>122</v>
      </c>
      <c r="FNY108" s="1" t="s">
        <v>122</v>
      </c>
      <c r="FNZ108" s="1" t="s">
        <v>122</v>
      </c>
      <c r="FOA108" s="1" t="s">
        <v>122</v>
      </c>
      <c r="FOB108" s="1" t="s">
        <v>122</v>
      </c>
      <c r="FOC108" s="1" t="s">
        <v>122</v>
      </c>
      <c r="FOD108" s="1" t="s">
        <v>122</v>
      </c>
      <c r="FOE108" s="1" t="s">
        <v>122</v>
      </c>
      <c r="FOF108" s="1" t="s">
        <v>122</v>
      </c>
      <c r="FOG108" s="1" t="s">
        <v>122</v>
      </c>
      <c r="FOH108" s="1" t="s">
        <v>122</v>
      </c>
      <c r="FOI108" s="1" t="s">
        <v>122</v>
      </c>
      <c r="FOJ108" s="1" t="s">
        <v>122</v>
      </c>
      <c r="FOK108" s="1" t="s">
        <v>122</v>
      </c>
      <c r="FOL108" s="1" t="s">
        <v>122</v>
      </c>
      <c r="FOM108" s="1" t="s">
        <v>122</v>
      </c>
      <c r="FON108" s="1" t="s">
        <v>122</v>
      </c>
      <c r="FOO108" s="1" t="s">
        <v>122</v>
      </c>
      <c r="FOP108" s="1" t="s">
        <v>122</v>
      </c>
      <c r="FOQ108" s="1" t="s">
        <v>122</v>
      </c>
      <c r="FOR108" s="1" t="s">
        <v>122</v>
      </c>
      <c r="FOS108" s="1" t="s">
        <v>122</v>
      </c>
      <c r="FOT108" s="1" t="s">
        <v>122</v>
      </c>
      <c r="FOU108" s="1" t="s">
        <v>122</v>
      </c>
      <c r="FOV108" s="1" t="s">
        <v>122</v>
      </c>
      <c r="FOW108" s="1" t="s">
        <v>122</v>
      </c>
      <c r="FOX108" s="1" t="s">
        <v>122</v>
      </c>
      <c r="FOY108" s="1" t="s">
        <v>122</v>
      </c>
      <c r="FOZ108" s="1" t="s">
        <v>122</v>
      </c>
      <c r="FPA108" s="1" t="s">
        <v>122</v>
      </c>
      <c r="FPB108" s="1" t="s">
        <v>122</v>
      </c>
      <c r="FPC108" s="1" t="s">
        <v>122</v>
      </c>
      <c r="FPD108" s="1" t="s">
        <v>122</v>
      </c>
      <c r="FPE108" s="1" t="s">
        <v>122</v>
      </c>
      <c r="FPF108" s="1" t="s">
        <v>122</v>
      </c>
      <c r="FPG108" s="1" t="s">
        <v>122</v>
      </c>
      <c r="FPH108" s="1" t="s">
        <v>122</v>
      </c>
      <c r="FPI108" s="1" t="s">
        <v>122</v>
      </c>
      <c r="FPJ108" s="1" t="s">
        <v>122</v>
      </c>
      <c r="FPK108" s="1" t="s">
        <v>122</v>
      </c>
      <c r="FPL108" s="1" t="s">
        <v>122</v>
      </c>
      <c r="FPM108" s="1" t="s">
        <v>122</v>
      </c>
      <c r="FPN108" s="1" t="s">
        <v>122</v>
      </c>
      <c r="FPO108" s="1" t="s">
        <v>122</v>
      </c>
      <c r="FPP108" s="1" t="s">
        <v>122</v>
      </c>
      <c r="FPQ108" s="1" t="s">
        <v>122</v>
      </c>
      <c r="FPR108" s="1" t="s">
        <v>122</v>
      </c>
      <c r="FPS108" s="1" t="s">
        <v>122</v>
      </c>
      <c r="FPT108" s="1" t="s">
        <v>122</v>
      </c>
      <c r="FPU108" s="1" t="s">
        <v>122</v>
      </c>
      <c r="FPV108" s="1" t="s">
        <v>122</v>
      </c>
      <c r="FPW108" s="1" t="s">
        <v>122</v>
      </c>
      <c r="FPX108" s="1" t="s">
        <v>122</v>
      </c>
      <c r="FPY108" s="1" t="s">
        <v>122</v>
      </c>
      <c r="FPZ108" s="1" t="s">
        <v>122</v>
      </c>
      <c r="FQA108" s="1" t="s">
        <v>122</v>
      </c>
      <c r="FQB108" s="1" t="s">
        <v>122</v>
      </c>
      <c r="FQC108" s="1" t="s">
        <v>122</v>
      </c>
      <c r="FQD108" s="1" t="s">
        <v>122</v>
      </c>
      <c r="FQE108" s="1" t="s">
        <v>122</v>
      </c>
      <c r="FQF108" s="1" t="s">
        <v>122</v>
      </c>
      <c r="FQG108" s="1" t="s">
        <v>122</v>
      </c>
      <c r="FQH108" s="1" t="s">
        <v>122</v>
      </c>
      <c r="FQI108" s="1" t="s">
        <v>122</v>
      </c>
      <c r="FQJ108" s="1" t="s">
        <v>122</v>
      </c>
      <c r="FQK108" s="1" t="s">
        <v>122</v>
      </c>
      <c r="FQL108" s="1" t="s">
        <v>122</v>
      </c>
      <c r="FQM108" s="1" t="s">
        <v>122</v>
      </c>
      <c r="FQN108" s="1" t="s">
        <v>122</v>
      </c>
      <c r="FQO108" s="1" t="s">
        <v>122</v>
      </c>
      <c r="FQP108" s="1" t="s">
        <v>122</v>
      </c>
      <c r="FQQ108" s="1" t="s">
        <v>122</v>
      </c>
      <c r="FQR108" s="1" t="s">
        <v>122</v>
      </c>
      <c r="FQS108" s="1" t="s">
        <v>122</v>
      </c>
      <c r="FQT108" s="1" t="s">
        <v>122</v>
      </c>
      <c r="FQU108" s="1" t="s">
        <v>122</v>
      </c>
      <c r="FQV108" s="1" t="s">
        <v>122</v>
      </c>
      <c r="FQW108" s="1" t="s">
        <v>122</v>
      </c>
      <c r="FQX108" s="1" t="s">
        <v>122</v>
      </c>
      <c r="FQY108" s="1" t="s">
        <v>122</v>
      </c>
      <c r="FQZ108" s="1" t="s">
        <v>122</v>
      </c>
      <c r="FRA108" s="1" t="s">
        <v>122</v>
      </c>
      <c r="FRB108" s="1" t="s">
        <v>122</v>
      </c>
      <c r="FRC108" s="1" t="s">
        <v>122</v>
      </c>
      <c r="FRD108" s="1" t="s">
        <v>122</v>
      </c>
      <c r="FRE108" s="1" t="s">
        <v>122</v>
      </c>
      <c r="FRF108" s="1" t="s">
        <v>122</v>
      </c>
      <c r="FRG108" s="1" t="s">
        <v>122</v>
      </c>
      <c r="FRH108" s="1" t="s">
        <v>122</v>
      </c>
      <c r="FRI108" s="1" t="s">
        <v>122</v>
      </c>
      <c r="FRJ108" s="1" t="s">
        <v>122</v>
      </c>
      <c r="FRK108" s="1" t="s">
        <v>122</v>
      </c>
      <c r="FRL108" s="1" t="s">
        <v>122</v>
      </c>
      <c r="FRM108" s="1" t="s">
        <v>122</v>
      </c>
      <c r="FRN108" s="1" t="s">
        <v>122</v>
      </c>
      <c r="FRO108" s="1" t="s">
        <v>122</v>
      </c>
      <c r="FRP108" s="1" t="s">
        <v>122</v>
      </c>
      <c r="FRQ108" s="1" t="s">
        <v>122</v>
      </c>
      <c r="FRR108" s="1" t="s">
        <v>122</v>
      </c>
      <c r="FRS108" s="1" t="s">
        <v>122</v>
      </c>
      <c r="FRT108" s="1" t="s">
        <v>122</v>
      </c>
      <c r="FRU108" s="1" t="s">
        <v>122</v>
      </c>
      <c r="FRV108" s="1" t="s">
        <v>122</v>
      </c>
      <c r="FRW108" s="1" t="s">
        <v>122</v>
      </c>
      <c r="FRX108" s="1" t="s">
        <v>122</v>
      </c>
      <c r="FRY108" s="1" t="s">
        <v>122</v>
      </c>
      <c r="FRZ108" s="1" t="s">
        <v>122</v>
      </c>
      <c r="FSA108" s="1" t="s">
        <v>122</v>
      </c>
      <c r="FSB108" s="1" t="s">
        <v>122</v>
      </c>
      <c r="FSC108" s="1" t="s">
        <v>122</v>
      </c>
      <c r="FSD108" s="1" t="s">
        <v>122</v>
      </c>
      <c r="FSE108" s="1" t="s">
        <v>122</v>
      </c>
      <c r="FSF108" s="1" t="s">
        <v>122</v>
      </c>
      <c r="FSG108" s="1" t="s">
        <v>122</v>
      </c>
      <c r="FSH108" s="1" t="s">
        <v>122</v>
      </c>
      <c r="FSI108" s="1" t="s">
        <v>122</v>
      </c>
      <c r="FSJ108" s="1" t="s">
        <v>122</v>
      </c>
      <c r="FSK108" s="1" t="s">
        <v>122</v>
      </c>
      <c r="FSL108" s="1" t="s">
        <v>122</v>
      </c>
      <c r="FSM108" s="1" t="s">
        <v>122</v>
      </c>
      <c r="FSN108" s="1" t="s">
        <v>122</v>
      </c>
      <c r="FSO108" s="1" t="s">
        <v>122</v>
      </c>
      <c r="FSP108" s="1" t="s">
        <v>122</v>
      </c>
      <c r="FSQ108" s="1" t="s">
        <v>122</v>
      </c>
      <c r="FSR108" s="1" t="s">
        <v>122</v>
      </c>
      <c r="FSS108" s="1" t="s">
        <v>122</v>
      </c>
      <c r="FST108" s="1" t="s">
        <v>122</v>
      </c>
      <c r="FSU108" s="1" t="s">
        <v>122</v>
      </c>
      <c r="FSV108" s="1" t="s">
        <v>122</v>
      </c>
      <c r="FSW108" s="1" t="s">
        <v>122</v>
      </c>
      <c r="FSX108" s="1" t="s">
        <v>122</v>
      </c>
      <c r="FSY108" s="1" t="s">
        <v>122</v>
      </c>
      <c r="FSZ108" s="1" t="s">
        <v>122</v>
      </c>
      <c r="FTA108" s="1" t="s">
        <v>122</v>
      </c>
      <c r="FTB108" s="1" t="s">
        <v>122</v>
      </c>
      <c r="FTC108" s="1" t="s">
        <v>122</v>
      </c>
      <c r="FTD108" s="1" t="s">
        <v>122</v>
      </c>
      <c r="FTE108" s="1" t="s">
        <v>122</v>
      </c>
      <c r="FTF108" s="1" t="s">
        <v>122</v>
      </c>
      <c r="FTG108" s="1" t="s">
        <v>122</v>
      </c>
      <c r="FTH108" s="1" t="s">
        <v>122</v>
      </c>
      <c r="FTI108" s="1" t="s">
        <v>122</v>
      </c>
      <c r="FTJ108" s="1" t="s">
        <v>122</v>
      </c>
      <c r="FTK108" s="1" t="s">
        <v>122</v>
      </c>
      <c r="FTL108" s="1" t="s">
        <v>122</v>
      </c>
      <c r="FTM108" s="1" t="s">
        <v>122</v>
      </c>
      <c r="FTN108" s="1" t="s">
        <v>122</v>
      </c>
      <c r="FTO108" s="1" t="s">
        <v>122</v>
      </c>
      <c r="FTP108" s="1" t="s">
        <v>122</v>
      </c>
      <c r="FTQ108" s="1" t="s">
        <v>122</v>
      </c>
      <c r="FTR108" s="1" t="s">
        <v>122</v>
      </c>
      <c r="FTS108" s="1" t="s">
        <v>122</v>
      </c>
      <c r="FTT108" s="1" t="s">
        <v>122</v>
      </c>
      <c r="FTU108" s="1" t="s">
        <v>122</v>
      </c>
      <c r="FTV108" s="1" t="s">
        <v>122</v>
      </c>
      <c r="FTW108" s="1" t="s">
        <v>122</v>
      </c>
      <c r="FTX108" s="1" t="s">
        <v>122</v>
      </c>
      <c r="FTY108" s="1" t="s">
        <v>122</v>
      </c>
      <c r="FTZ108" s="1" t="s">
        <v>122</v>
      </c>
      <c r="FUA108" s="1" t="s">
        <v>122</v>
      </c>
      <c r="FUB108" s="1" t="s">
        <v>122</v>
      </c>
      <c r="FUC108" s="1" t="s">
        <v>122</v>
      </c>
      <c r="FUD108" s="1" t="s">
        <v>122</v>
      </c>
      <c r="FUE108" s="1" t="s">
        <v>122</v>
      </c>
      <c r="FUF108" s="1" t="s">
        <v>122</v>
      </c>
      <c r="FUG108" s="1" t="s">
        <v>122</v>
      </c>
      <c r="FUH108" s="1" t="s">
        <v>122</v>
      </c>
      <c r="FUI108" s="1" t="s">
        <v>122</v>
      </c>
      <c r="FUJ108" s="1" t="s">
        <v>122</v>
      </c>
      <c r="FUK108" s="1" t="s">
        <v>122</v>
      </c>
      <c r="FUL108" s="1" t="s">
        <v>122</v>
      </c>
      <c r="FUM108" s="1" t="s">
        <v>122</v>
      </c>
      <c r="FUN108" s="1" t="s">
        <v>122</v>
      </c>
      <c r="FUO108" s="1" t="s">
        <v>122</v>
      </c>
      <c r="FUP108" s="1" t="s">
        <v>122</v>
      </c>
      <c r="FUQ108" s="1" t="s">
        <v>122</v>
      </c>
      <c r="FUR108" s="1" t="s">
        <v>122</v>
      </c>
      <c r="FUS108" s="1" t="s">
        <v>122</v>
      </c>
      <c r="FUT108" s="1" t="s">
        <v>122</v>
      </c>
      <c r="FUU108" s="1" t="s">
        <v>122</v>
      </c>
      <c r="FUV108" s="1" t="s">
        <v>122</v>
      </c>
      <c r="FUW108" s="1" t="s">
        <v>122</v>
      </c>
      <c r="FUX108" s="1" t="s">
        <v>122</v>
      </c>
      <c r="FUY108" s="1" t="s">
        <v>122</v>
      </c>
      <c r="FUZ108" s="1" t="s">
        <v>122</v>
      </c>
      <c r="FVA108" s="1" t="s">
        <v>122</v>
      </c>
      <c r="FVB108" s="1" t="s">
        <v>122</v>
      </c>
      <c r="FVC108" s="1" t="s">
        <v>122</v>
      </c>
      <c r="FVD108" s="1" t="s">
        <v>122</v>
      </c>
      <c r="FVE108" s="1" t="s">
        <v>122</v>
      </c>
      <c r="FVF108" s="1" t="s">
        <v>122</v>
      </c>
      <c r="FVG108" s="1" t="s">
        <v>122</v>
      </c>
      <c r="FVH108" s="1" t="s">
        <v>122</v>
      </c>
      <c r="FVI108" s="1" t="s">
        <v>122</v>
      </c>
      <c r="FVJ108" s="1" t="s">
        <v>122</v>
      </c>
      <c r="FVK108" s="1" t="s">
        <v>122</v>
      </c>
      <c r="FVL108" s="1" t="s">
        <v>122</v>
      </c>
      <c r="FVM108" s="1" t="s">
        <v>122</v>
      </c>
      <c r="FVN108" s="1" t="s">
        <v>122</v>
      </c>
      <c r="FVO108" s="1" t="s">
        <v>122</v>
      </c>
      <c r="FVP108" s="1" t="s">
        <v>122</v>
      </c>
      <c r="FVQ108" s="1" t="s">
        <v>122</v>
      </c>
      <c r="FVR108" s="1" t="s">
        <v>122</v>
      </c>
      <c r="FVS108" s="1" t="s">
        <v>122</v>
      </c>
      <c r="FVT108" s="1" t="s">
        <v>122</v>
      </c>
      <c r="FVU108" s="1" t="s">
        <v>122</v>
      </c>
      <c r="FVV108" s="1" t="s">
        <v>122</v>
      </c>
      <c r="FVW108" s="1" t="s">
        <v>122</v>
      </c>
      <c r="FVX108" s="1" t="s">
        <v>122</v>
      </c>
      <c r="FVY108" s="1" t="s">
        <v>122</v>
      </c>
      <c r="FVZ108" s="1" t="s">
        <v>122</v>
      </c>
      <c r="FWA108" s="1" t="s">
        <v>122</v>
      </c>
      <c r="FWB108" s="1" t="s">
        <v>122</v>
      </c>
      <c r="FWC108" s="1" t="s">
        <v>122</v>
      </c>
      <c r="FWD108" s="1" t="s">
        <v>122</v>
      </c>
      <c r="FWE108" s="1" t="s">
        <v>122</v>
      </c>
      <c r="FWF108" s="1" t="s">
        <v>122</v>
      </c>
      <c r="FWG108" s="1" t="s">
        <v>122</v>
      </c>
      <c r="FWH108" s="1" t="s">
        <v>122</v>
      </c>
      <c r="FWI108" s="1" t="s">
        <v>122</v>
      </c>
      <c r="FWJ108" s="1" t="s">
        <v>122</v>
      </c>
      <c r="FWK108" s="1" t="s">
        <v>122</v>
      </c>
      <c r="FWL108" s="1" t="s">
        <v>122</v>
      </c>
      <c r="FWM108" s="1" t="s">
        <v>122</v>
      </c>
      <c r="FWN108" s="1" t="s">
        <v>122</v>
      </c>
      <c r="FWO108" s="1" t="s">
        <v>122</v>
      </c>
      <c r="FWP108" s="1" t="s">
        <v>122</v>
      </c>
      <c r="FWQ108" s="1" t="s">
        <v>122</v>
      </c>
      <c r="FWR108" s="1" t="s">
        <v>122</v>
      </c>
      <c r="FWS108" s="1" t="s">
        <v>122</v>
      </c>
      <c r="FWT108" s="1" t="s">
        <v>122</v>
      </c>
      <c r="FWU108" s="1" t="s">
        <v>122</v>
      </c>
      <c r="FWV108" s="1" t="s">
        <v>122</v>
      </c>
      <c r="FWW108" s="1" t="s">
        <v>122</v>
      </c>
      <c r="FWX108" s="1" t="s">
        <v>122</v>
      </c>
      <c r="FWY108" s="1" t="s">
        <v>122</v>
      </c>
      <c r="FWZ108" s="1" t="s">
        <v>122</v>
      </c>
      <c r="FXA108" s="1" t="s">
        <v>122</v>
      </c>
      <c r="FXB108" s="1" t="s">
        <v>122</v>
      </c>
      <c r="FXC108" s="1" t="s">
        <v>122</v>
      </c>
      <c r="FXD108" s="1" t="s">
        <v>122</v>
      </c>
      <c r="FXE108" s="1" t="s">
        <v>122</v>
      </c>
      <c r="FXF108" s="1" t="s">
        <v>122</v>
      </c>
      <c r="FXG108" s="1" t="s">
        <v>122</v>
      </c>
      <c r="FXH108" s="1" t="s">
        <v>122</v>
      </c>
      <c r="FXI108" s="1" t="s">
        <v>122</v>
      </c>
      <c r="FXJ108" s="1" t="s">
        <v>122</v>
      </c>
      <c r="FXK108" s="1" t="s">
        <v>122</v>
      </c>
      <c r="FXL108" s="1" t="s">
        <v>122</v>
      </c>
      <c r="FXM108" s="1" t="s">
        <v>122</v>
      </c>
      <c r="FXN108" s="1" t="s">
        <v>122</v>
      </c>
      <c r="FXO108" s="1" t="s">
        <v>122</v>
      </c>
      <c r="FXP108" s="1" t="s">
        <v>122</v>
      </c>
      <c r="FXQ108" s="1" t="s">
        <v>122</v>
      </c>
      <c r="FXR108" s="1" t="s">
        <v>122</v>
      </c>
      <c r="FXS108" s="1" t="s">
        <v>122</v>
      </c>
      <c r="FXT108" s="1" t="s">
        <v>122</v>
      </c>
      <c r="FXU108" s="1" t="s">
        <v>122</v>
      </c>
      <c r="FXV108" s="1" t="s">
        <v>122</v>
      </c>
      <c r="FXW108" s="1" t="s">
        <v>122</v>
      </c>
      <c r="FXX108" s="1" t="s">
        <v>122</v>
      </c>
      <c r="FXY108" s="1" t="s">
        <v>122</v>
      </c>
      <c r="FXZ108" s="1" t="s">
        <v>122</v>
      </c>
      <c r="FYA108" s="1" t="s">
        <v>122</v>
      </c>
      <c r="FYB108" s="1" t="s">
        <v>122</v>
      </c>
      <c r="FYC108" s="1" t="s">
        <v>122</v>
      </c>
      <c r="FYD108" s="1" t="s">
        <v>122</v>
      </c>
      <c r="FYE108" s="1" t="s">
        <v>122</v>
      </c>
      <c r="FYF108" s="1" t="s">
        <v>122</v>
      </c>
      <c r="FYG108" s="1" t="s">
        <v>122</v>
      </c>
      <c r="FYH108" s="1" t="s">
        <v>122</v>
      </c>
      <c r="FYI108" s="1" t="s">
        <v>122</v>
      </c>
      <c r="FYJ108" s="1" t="s">
        <v>122</v>
      </c>
      <c r="FYK108" s="1" t="s">
        <v>122</v>
      </c>
      <c r="FYL108" s="1" t="s">
        <v>122</v>
      </c>
      <c r="FYM108" s="1" t="s">
        <v>122</v>
      </c>
      <c r="FYN108" s="1" t="s">
        <v>122</v>
      </c>
      <c r="FYO108" s="1" t="s">
        <v>122</v>
      </c>
      <c r="FYP108" s="1" t="s">
        <v>122</v>
      </c>
      <c r="FYQ108" s="1" t="s">
        <v>122</v>
      </c>
      <c r="FYR108" s="1" t="s">
        <v>122</v>
      </c>
      <c r="FYS108" s="1" t="s">
        <v>122</v>
      </c>
      <c r="FYT108" s="1" t="s">
        <v>122</v>
      </c>
      <c r="FYU108" s="1" t="s">
        <v>122</v>
      </c>
      <c r="FYV108" s="1" t="s">
        <v>122</v>
      </c>
      <c r="FYW108" s="1" t="s">
        <v>122</v>
      </c>
      <c r="FYX108" s="1" t="s">
        <v>122</v>
      </c>
      <c r="FYY108" s="1" t="s">
        <v>122</v>
      </c>
      <c r="FYZ108" s="1" t="s">
        <v>122</v>
      </c>
      <c r="FZA108" s="1" t="s">
        <v>122</v>
      </c>
      <c r="FZB108" s="1" t="s">
        <v>122</v>
      </c>
      <c r="FZC108" s="1" t="s">
        <v>122</v>
      </c>
      <c r="FZD108" s="1" t="s">
        <v>122</v>
      </c>
      <c r="FZE108" s="1" t="s">
        <v>122</v>
      </c>
      <c r="FZF108" s="1" t="s">
        <v>122</v>
      </c>
      <c r="FZG108" s="1" t="s">
        <v>122</v>
      </c>
      <c r="FZH108" s="1" t="s">
        <v>122</v>
      </c>
      <c r="FZI108" s="1" t="s">
        <v>122</v>
      </c>
      <c r="FZJ108" s="1" t="s">
        <v>122</v>
      </c>
      <c r="FZK108" s="1" t="s">
        <v>122</v>
      </c>
      <c r="FZL108" s="1" t="s">
        <v>122</v>
      </c>
      <c r="FZM108" s="1" t="s">
        <v>122</v>
      </c>
      <c r="FZN108" s="1" t="s">
        <v>122</v>
      </c>
      <c r="FZO108" s="1" t="s">
        <v>122</v>
      </c>
      <c r="FZP108" s="1" t="s">
        <v>122</v>
      </c>
      <c r="FZQ108" s="1" t="s">
        <v>122</v>
      </c>
      <c r="FZR108" s="1" t="s">
        <v>122</v>
      </c>
      <c r="FZS108" s="1" t="s">
        <v>122</v>
      </c>
      <c r="FZT108" s="1" t="s">
        <v>122</v>
      </c>
      <c r="FZU108" s="1" t="s">
        <v>122</v>
      </c>
      <c r="FZV108" s="1" t="s">
        <v>122</v>
      </c>
      <c r="FZW108" s="1" t="s">
        <v>122</v>
      </c>
      <c r="FZX108" s="1" t="s">
        <v>122</v>
      </c>
      <c r="FZY108" s="1" t="s">
        <v>122</v>
      </c>
      <c r="FZZ108" s="1" t="s">
        <v>122</v>
      </c>
      <c r="GAA108" s="1" t="s">
        <v>122</v>
      </c>
      <c r="GAB108" s="1" t="s">
        <v>122</v>
      </c>
      <c r="GAC108" s="1" t="s">
        <v>122</v>
      </c>
      <c r="GAD108" s="1" t="s">
        <v>122</v>
      </c>
      <c r="GAE108" s="1" t="s">
        <v>122</v>
      </c>
      <c r="GAF108" s="1" t="s">
        <v>122</v>
      </c>
      <c r="GAG108" s="1" t="s">
        <v>122</v>
      </c>
      <c r="GAH108" s="1" t="s">
        <v>122</v>
      </c>
      <c r="GAI108" s="1" t="s">
        <v>122</v>
      </c>
      <c r="GAJ108" s="1" t="s">
        <v>122</v>
      </c>
      <c r="GAK108" s="1" t="s">
        <v>122</v>
      </c>
      <c r="GAL108" s="1" t="s">
        <v>122</v>
      </c>
      <c r="GAM108" s="1" t="s">
        <v>122</v>
      </c>
      <c r="GAN108" s="1" t="s">
        <v>122</v>
      </c>
      <c r="GAO108" s="1" t="s">
        <v>122</v>
      </c>
      <c r="GAP108" s="1" t="s">
        <v>122</v>
      </c>
      <c r="GAQ108" s="1" t="s">
        <v>122</v>
      </c>
      <c r="GAR108" s="1" t="s">
        <v>122</v>
      </c>
      <c r="GAS108" s="1" t="s">
        <v>122</v>
      </c>
      <c r="GAT108" s="1" t="s">
        <v>122</v>
      </c>
      <c r="GAU108" s="1" t="s">
        <v>122</v>
      </c>
      <c r="GAV108" s="1" t="s">
        <v>122</v>
      </c>
      <c r="GAW108" s="1" t="s">
        <v>122</v>
      </c>
      <c r="GAX108" s="1" t="s">
        <v>122</v>
      </c>
      <c r="GAY108" s="1" t="s">
        <v>122</v>
      </c>
      <c r="GAZ108" s="1" t="s">
        <v>122</v>
      </c>
      <c r="GBA108" s="1" t="s">
        <v>122</v>
      </c>
      <c r="GBB108" s="1" t="s">
        <v>122</v>
      </c>
      <c r="GBC108" s="1" t="s">
        <v>122</v>
      </c>
      <c r="GBD108" s="1" t="s">
        <v>122</v>
      </c>
      <c r="GBE108" s="1" t="s">
        <v>122</v>
      </c>
      <c r="GBF108" s="1" t="s">
        <v>122</v>
      </c>
      <c r="GBG108" s="1" t="s">
        <v>122</v>
      </c>
      <c r="GBH108" s="1" t="s">
        <v>122</v>
      </c>
      <c r="GBI108" s="1" t="s">
        <v>122</v>
      </c>
      <c r="GBJ108" s="1" t="s">
        <v>122</v>
      </c>
      <c r="GBK108" s="1" t="s">
        <v>122</v>
      </c>
      <c r="GBL108" s="1" t="s">
        <v>122</v>
      </c>
      <c r="GBM108" s="1" t="s">
        <v>122</v>
      </c>
      <c r="GBN108" s="1" t="s">
        <v>122</v>
      </c>
      <c r="GBO108" s="1" t="s">
        <v>122</v>
      </c>
      <c r="GBP108" s="1" t="s">
        <v>122</v>
      </c>
      <c r="GBQ108" s="1" t="s">
        <v>122</v>
      </c>
      <c r="GBR108" s="1" t="s">
        <v>122</v>
      </c>
      <c r="GBS108" s="1" t="s">
        <v>122</v>
      </c>
      <c r="GBT108" s="1" t="s">
        <v>122</v>
      </c>
      <c r="GBU108" s="1" t="s">
        <v>122</v>
      </c>
      <c r="GBV108" s="1" t="s">
        <v>122</v>
      </c>
      <c r="GBW108" s="1" t="s">
        <v>122</v>
      </c>
      <c r="GBX108" s="1" t="s">
        <v>122</v>
      </c>
      <c r="GBY108" s="1" t="s">
        <v>122</v>
      </c>
      <c r="GBZ108" s="1" t="s">
        <v>122</v>
      </c>
      <c r="GCA108" s="1" t="s">
        <v>122</v>
      </c>
      <c r="GCB108" s="1" t="s">
        <v>122</v>
      </c>
      <c r="GCC108" s="1" t="s">
        <v>122</v>
      </c>
      <c r="GCD108" s="1" t="s">
        <v>122</v>
      </c>
      <c r="GCE108" s="1" t="s">
        <v>122</v>
      </c>
      <c r="GCF108" s="1" t="s">
        <v>122</v>
      </c>
      <c r="GCG108" s="1" t="s">
        <v>122</v>
      </c>
      <c r="GCH108" s="1" t="s">
        <v>122</v>
      </c>
      <c r="GCI108" s="1" t="s">
        <v>122</v>
      </c>
      <c r="GCJ108" s="1" t="s">
        <v>122</v>
      </c>
      <c r="GCK108" s="1" t="s">
        <v>122</v>
      </c>
      <c r="GCL108" s="1" t="s">
        <v>122</v>
      </c>
      <c r="GCM108" s="1" t="s">
        <v>122</v>
      </c>
      <c r="GCN108" s="1" t="s">
        <v>122</v>
      </c>
      <c r="GCO108" s="1" t="s">
        <v>122</v>
      </c>
      <c r="GCP108" s="1" t="s">
        <v>122</v>
      </c>
      <c r="GCQ108" s="1" t="s">
        <v>122</v>
      </c>
      <c r="GCR108" s="1" t="s">
        <v>122</v>
      </c>
      <c r="GCS108" s="1" t="s">
        <v>122</v>
      </c>
      <c r="GCT108" s="1" t="s">
        <v>122</v>
      </c>
      <c r="GCU108" s="1" t="s">
        <v>122</v>
      </c>
      <c r="GCV108" s="1" t="s">
        <v>122</v>
      </c>
      <c r="GCW108" s="1" t="s">
        <v>122</v>
      </c>
      <c r="GCX108" s="1" t="s">
        <v>122</v>
      </c>
      <c r="GCY108" s="1" t="s">
        <v>122</v>
      </c>
      <c r="GCZ108" s="1" t="s">
        <v>122</v>
      </c>
      <c r="GDA108" s="1" t="s">
        <v>122</v>
      </c>
      <c r="GDB108" s="1" t="s">
        <v>122</v>
      </c>
      <c r="GDC108" s="1" t="s">
        <v>122</v>
      </c>
      <c r="GDD108" s="1" t="s">
        <v>122</v>
      </c>
      <c r="GDE108" s="1" t="s">
        <v>122</v>
      </c>
      <c r="GDF108" s="1" t="s">
        <v>122</v>
      </c>
      <c r="GDG108" s="1" t="s">
        <v>122</v>
      </c>
      <c r="GDH108" s="1" t="s">
        <v>122</v>
      </c>
      <c r="GDI108" s="1" t="s">
        <v>122</v>
      </c>
      <c r="GDJ108" s="1" t="s">
        <v>122</v>
      </c>
      <c r="GDK108" s="1" t="s">
        <v>122</v>
      </c>
      <c r="GDL108" s="1" t="s">
        <v>122</v>
      </c>
      <c r="GDM108" s="1" t="s">
        <v>122</v>
      </c>
      <c r="GDN108" s="1" t="s">
        <v>122</v>
      </c>
      <c r="GDO108" s="1" t="s">
        <v>122</v>
      </c>
      <c r="GDP108" s="1" t="s">
        <v>122</v>
      </c>
      <c r="GDQ108" s="1" t="s">
        <v>122</v>
      </c>
      <c r="GDR108" s="1" t="s">
        <v>122</v>
      </c>
      <c r="GDS108" s="1" t="s">
        <v>122</v>
      </c>
      <c r="GDT108" s="1" t="s">
        <v>122</v>
      </c>
      <c r="GDU108" s="1" t="s">
        <v>122</v>
      </c>
      <c r="GDV108" s="1" t="s">
        <v>122</v>
      </c>
      <c r="GDW108" s="1" t="s">
        <v>122</v>
      </c>
      <c r="GDX108" s="1" t="s">
        <v>122</v>
      </c>
      <c r="GDY108" s="1" t="s">
        <v>122</v>
      </c>
      <c r="GDZ108" s="1" t="s">
        <v>122</v>
      </c>
      <c r="GEA108" s="1" t="s">
        <v>122</v>
      </c>
      <c r="GEB108" s="1" t="s">
        <v>122</v>
      </c>
      <c r="GEC108" s="1" t="s">
        <v>122</v>
      </c>
      <c r="GED108" s="1" t="s">
        <v>122</v>
      </c>
      <c r="GEE108" s="1" t="s">
        <v>122</v>
      </c>
      <c r="GEF108" s="1" t="s">
        <v>122</v>
      </c>
      <c r="GEG108" s="1" t="s">
        <v>122</v>
      </c>
      <c r="GEH108" s="1" t="s">
        <v>122</v>
      </c>
      <c r="GEI108" s="1" t="s">
        <v>122</v>
      </c>
      <c r="GEJ108" s="1" t="s">
        <v>122</v>
      </c>
      <c r="GEK108" s="1" t="s">
        <v>122</v>
      </c>
      <c r="GEL108" s="1" t="s">
        <v>122</v>
      </c>
      <c r="GEM108" s="1" t="s">
        <v>122</v>
      </c>
      <c r="GEN108" s="1" t="s">
        <v>122</v>
      </c>
      <c r="GEO108" s="1" t="s">
        <v>122</v>
      </c>
      <c r="GEP108" s="1" t="s">
        <v>122</v>
      </c>
      <c r="GEQ108" s="1" t="s">
        <v>122</v>
      </c>
      <c r="GER108" s="1" t="s">
        <v>122</v>
      </c>
      <c r="GES108" s="1" t="s">
        <v>122</v>
      </c>
      <c r="GET108" s="1" t="s">
        <v>122</v>
      </c>
      <c r="GEU108" s="1" t="s">
        <v>122</v>
      </c>
      <c r="GEV108" s="1" t="s">
        <v>122</v>
      </c>
      <c r="GEW108" s="1" t="s">
        <v>122</v>
      </c>
      <c r="GEX108" s="1" t="s">
        <v>122</v>
      </c>
      <c r="GEY108" s="1" t="s">
        <v>122</v>
      </c>
      <c r="GEZ108" s="1" t="s">
        <v>122</v>
      </c>
      <c r="GFA108" s="1" t="s">
        <v>122</v>
      </c>
      <c r="GFB108" s="1" t="s">
        <v>122</v>
      </c>
      <c r="GFC108" s="1" t="s">
        <v>122</v>
      </c>
      <c r="GFD108" s="1" t="s">
        <v>122</v>
      </c>
      <c r="GFE108" s="1" t="s">
        <v>122</v>
      </c>
      <c r="GFF108" s="1" t="s">
        <v>122</v>
      </c>
      <c r="GFG108" s="1" t="s">
        <v>122</v>
      </c>
      <c r="GFH108" s="1" t="s">
        <v>122</v>
      </c>
      <c r="GFI108" s="1" t="s">
        <v>122</v>
      </c>
      <c r="GFJ108" s="1" t="s">
        <v>122</v>
      </c>
      <c r="GFK108" s="1" t="s">
        <v>122</v>
      </c>
      <c r="GFL108" s="1" t="s">
        <v>122</v>
      </c>
      <c r="GFM108" s="1" t="s">
        <v>122</v>
      </c>
      <c r="GFN108" s="1" t="s">
        <v>122</v>
      </c>
      <c r="GFO108" s="1" t="s">
        <v>122</v>
      </c>
      <c r="GFP108" s="1" t="s">
        <v>122</v>
      </c>
      <c r="GFQ108" s="1" t="s">
        <v>122</v>
      </c>
      <c r="GFR108" s="1" t="s">
        <v>122</v>
      </c>
      <c r="GFS108" s="1" t="s">
        <v>122</v>
      </c>
      <c r="GFT108" s="1" t="s">
        <v>122</v>
      </c>
      <c r="GFU108" s="1" t="s">
        <v>122</v>
      </c>
      <c r="GFV108" s="1" t="s">
        <v>122</v>
      </c>
      <c r="GFW108" s="1" t="s">
        <v>122</v>
      </c>
      <c r="GFX108" s="1" t="s">
        <v>122</v>
      </c>
      <c r="GFY108" s="1" t="s">
        <v>122</v>
      </c>
      <c r="GFZ108" s="1" t="s">
        <v>122</v>
      </c>
      <c r="GGA108" s="1" t="s">
        <v>122</v>
      </c>
      <c r="GGB108" s="1" t="s">
        <v>122</v>
      </c>
      <c r="GGC108" s="1" t="s">
        <v>122</v>
      </c>
      <c r="GGD108" s="1" t="s">
        <v>122</v>
      </c>
      <c r="GGE108" s="1" t="s">
        <v>122</v>
      </c>
      <c r="GGF108" s="1" t="s">
        <v>122</v>
      </c>
      <c r="GGG108" s="1" t="s">
        <v>122</v>
      </c>
      <c r="GGH108" s="1" t="s">
        <v>122</v>
      </c>
      <c r="GGI108" s="1" t="s">
        <v>122</v>
      </c>
      <c r="GGJ108" s="1" t="s">
        <v>122</v>
      </c>
      <c r="GGK108" s="1" t="s">
        <v>122</v>
      </c>
      <c r="GGL108" s="1" t="s">
        <v>122</v>
      </c>
      <c r="GGM108" s="1" t="s">
        <v>122</v>
      </c>
      <c r="GGN108" s="1" t="s">
        <v>122</v>
      </c>
      <c r="GGO108" s="1" t="s">
        <v>122</v>
      </c>
      <c r="GGP108" s="1" t="s">
        <v>122</v>
      </c>
      <c r="GGQ108" s="1" t="s">
        <v>122</v>
      </c>
      <c r="GGR108" s="1" t="s">
        <v>122</v>
      </c>
      <c r="GGS108" s="1" t="s">
        <v>122</v>
      </c>
      <c r="GGT108" s="1" t="s">
        <v>122</v>
      </c>
      <c r="GGU108" s="1" t="s">
        <v>122</v>
      </c>
      <c r="GGV108" s="1" t="s">
        <v>122</v>
      </c>
      <c r="GGW108" s="1" t="s">
        <v>122</v>
      </c>
      <c r="GGX108" s="1" t="s">
        <v>122</v>
      </c>
      <c r="GGY108" s="1" t="s">
        <v>122</v>
      </c>
      <c r="GGZ108" s="1" t="s">
        <v>122</v>
      </c>
      <c r="GHA108" s="1" t="s">
        <v>122</v>
      </c>
      <c r="GHB108" s="1" t="s">
        <v>122</v>
      </c>
      <c r="GHC108" s="1" t="s">
        <v>122</v>
      </c>
      <c r="GHD108" s="1" t="s">
        <v>122</v>
      </c>
      <c r="GHE108" s="1" t="s">
        <v>122</v>
      </c>
      <c r="GHF108" s="1" t="s">
        <v>122</v>
      </c>
      <c r="GHG108" s="1" t="s">
        <v>122</v>
      </c>
      <c r="GHH108" s="1" t="s">
        <v>122</v>
      </c>
      <c r="GHI108" s="1" t="s">
        <v>122</v>
      </c>
      <c r="GHJ108" s="1" t="s">
        <v>122</v>
      </c>
      <c r="GHK108" s="1" t="s">
        <v>122</v>
      </c>
      <c r="GHL108" s="1" t="s">
        <v>122</v>
      </c>
      <c r="GHM108" s="1" t="s">
        <v>122</v>
      </c>
      <c r="GHN108" s="1" t="s">
        <v>122</v>
      </c>
      <c r="GHO108" s="1" t="s">
        <v>122</v>
      </c>
      <c r="GHP108" s="1" t="s">
        <v>122</v>
      </c>
      <c r="GHQ108" s="1" t="s">
        <v>122</v>
      </c>
      <c r="GHR108" s="1" t="s">
        <v>122</v>
      </c>
      <c r="GHS108" s="1" t="s">
        <v>122</v>
      </c>
      <c r="GHT108" s="1" t="s">
        <v>122</v>
      </c>
      <c r="GHU108" s="1" t="s">
        <v>122</v>
      </c>
      <c r="GHV108" s="1" t="s">
        <v>122</v>
      </c>
      <c r="GHW108" s="1" t="s">
        <v>122</v>
      </c>
      <c r="GHX108" s="1" t="s">
        <v>122</v>
      </c>
      <c r="GHY108" s="1" t="s">
        <v>122</v>
      </c>
      <c r="GHZ108" s="1" t="s">
        <v>122</v>
      </c>
      <c r="GIA108" s="1" t="s">
        <v>122</v>
      </c>
      <c r="GIB108" s="1" t="s">
        <v>122</v>
      </c>
      <c r="GIC108" s="1" t="s">
        <v>122</v>
      </c>
      <c r="GID108" s="1" t="s">
        <v>122</v>
      </c>
      <c r="GIE108" s="1" t="s">
        <v>122</v>
      </c>
      <c r="GIF108" s="1" t="s">
        <v>122</v>
      </c>
      <c r="GIG108" s="1" t="s">
        <v>122</v>
      </c>
      <c r="GIH108" s="1" t="s">
        <v>122</v>
      </c>
      <c r="GII108" s="1" t="s">
        <v>122</v>
      </c>
      <c r="GIJ108" s="1" t="s">
        <v>122</v>
      </c>
      <c r="GIK108" s="1" t="s">
        <v>122</v>
      </c>
      <c r="GIL108" s="1" t="s">
        <v>122</v>
      </c>
      <c r="GIM108" s="1" t="s">
        <v>122</v>
      </c>
      <c r="GIN108" s="1" t="s">
        <v>122</v>
      </c>
      <c r="GIO108" s="1" t="s">
        <v>122</v>
      </c>
      <c r="GIP108" s="1" t="s">
        <v>122</v>
      </c>
      <c r="GIQ108" s="1" t="s">
        <v>122</v>
      </c>
      <c r="GIR108" s="1" t="s">
        <v>122</v>
      </c>
      <c r="GIS108" s="1" t="s">
        <v>122</v>
      </c>
      <c r="GIT108" s="1" t="s">
        <v>122</v>
      </c>
      <c r="GIU108" s="1" t="s">
        <v>122</v>
      </c>
      <c r="GIV108" s="1" t="s">
        <v>122</v>
      </c>
      <c r="GIW108" s="1" t="s">
        <v>122</v>
      </c>
      <c r="GIX108" s="1" t="s">
        <v>122</v>
      </c>
      <c r="GIY108" s="1" t="s">
        <v>122</v>
      </c>
      <c r="GIZ108" s="1" t="s">
        <v>122</v>
      </c>
      <c r="GJA108" s="1" t="s">
        <v>122</v>
      </c>
      <c r="GJB108" s="1" t="s">
        <v>122</v>
      </c>
      <c r="GJC108" s="1" t="s">
        <v>122</v>
      </c>
      <c r="GJD108" s="1" t="s">
        <v>122</v>
      </c>
      <c r="GJE108" s="1" t="s">
        <v>122</v>
      </c>
      <c r="GJF108" s="1" t="s">
        <v>122</v>
      </c>
      <c r="GJG108" s="1" t="s">
        <v>122</v>
      </c>
      <c r="GJH108" s="1" t="s">
        <v>122</v>
      </c>
      <c r="GJI108" s="1" t="s">
        <v>122</v>
      </c>
      <c r="GJJ108" s="1" t="s">
        <v>122</v>
      </c>
      <c r="GJK108" s="1" t="s">
        <v>122</v>
      </c>
      <c r="GJL108" s="1" t="s">
        <v>122</v>
      </c>
      <c r="GJM108" s="1" t="s">
        <v>122</v>
      </c>
      <c r="GJN108" s="1" t="s">
        <v>122</v>
      </c>
      <c r="GJO108" s="1" t="s">
        <v>122</v>
      </c>
      <c r="GJP108" s="1" t="s">
        <v>122</v>
      </c>
      <c r="GJQ108" s="1" t="s">
        <v>122</v>
      </c>
      <c r="GJR108" s="1" t="s">
        <v>122</v>
      </c>
      <c r="GJS108" s="1" t="s">
        <v>122</v>
      </c>
      <c r="GJT108" s="1" t="s">
        <v>122</v>
      </c>
      <c r="GJU108" s="1" t="s">
        <v>122</v>
      </c>
      <c r="GJV108" s="1" t="s">
        <v>122</v>
      </c>
      <c r="GJW108" s="1" t="s">
        <v>122</v>
      </c>
      <c r="GJX108" s="1" t="s">
        <v>122</v>
      </c>
      <c r="GJY108" s="1" t="s">
        <v>122</v>
      </c>
      <c r="GJZ108" s="1" t="s">
        <v>122</v>
      </c>
      <c r="GKA108" s="1" t="s">
        <v>122</v>
      </c>
      <c r="GKB108" s="1" t="s">
        <v>122</v>
      </c>
      <c r="GKC108" s="1" t="s">
        <v>122</v>
      </c>
      <c r="GKD108" s="1" t="s">
        <v>122</v>
      </c>
      <c r="GKE108" s="1" t="s">
        <v>122</v>
      </c>
      <c r="GKF108" s="1" t="s">
        <v>122</v>
      </c>
      <c r="GKG108" s="1" t="s">
        <v>122</v>
      </c>
      <c r="GKH108" s="1" t="s">
        <v>122</v>
      </c>
      <c r="GKI108" s="1" t="s">
        <v>122</v>
      </c>
      <c r="GKJ108" s="1" t="s">
        <v>122</v>
      </c>
      <c r="GKK108" s="1" t="s">
        <v>122</v>
      </c>
      <c r="GKL108" s="1" t="s">
        <v>122</v>
      </c>
      <c r="GKM108" s="1" t="s">
        <v>122</v>
      </c>
      <c r="GKN108" s="1" t="s">
        <v>122</v>
      </c>
      <c r="GKO108" s="1" t="s">
        <v>122</v>
      </c>
      <c r="GKP108" s="1" t="s">
        <v>122</v>
      </c>
      <c r="GKQ108" s="1" t="s">
        <v>122</v>
      </c>
      <c r="GKR108" s="1" t="s">
        <v>122</v>
      </c>
      <c r="GKS108" s="1" t="s">
        <v>122</v>
      </c>
      <c r="GKT108" s="1" t="s">
        <v>122</v>
      </c>
      <c r="GKU108" s="1" t="s">
        <v>122</v>
      </c>
      <c r="GKV108" s="1" t="s">
        <v>122</v>
      </c>
      <c r="GKW108" s="1" t="s">
        <v>122</v>
      </c>
      <c r="GKX108" s="1" t="s">
        <v>122</v>
      </c>
      <c r="GKY108" s="1" t="s">
        <v>122</v>
      </c>
      <c r="GKZ108" s="1" t="s">
        <v>122</v>
      </c>
      <c r="GLA108" s="1" t="s">
        <v>122</v>
      </c>
      <c r="GLB108" s="1" t="s">
        <v>122</v>
      </c>
      <c r="GLC108" s="1" t="s">
        <v>122</v>
      </c>
      <c r="GLD108" s="1" t="s">
        <v>122</v>
      </c>
      <c r="GLE108" s="1" t="s">
        <v>122</v>
      </c>
      <c r="GLF108" s="1" t="s">
        <v>122</v>
      </c>
      <c r="GLG108" s="1" t="s">
        <v>122</v>
      </c>
      <c r="GLH108" s="1" t="s">
        <v>122</v>
      </c>
      <c r="GLI108" s="1" t="s">
        <v>122</v>
      </c>
      <c r="GLJ108" s="1" t="s">
        <v>122</v>
      </c>
      <c r="GLK108" s="1" t="s">
        <v>122</v>
      </c>
      <c r="GLL108" s="1" t="s">
        <v>122</v>
      </c>
      <c r="GLM108" s="1" t="s">
        <v>122</v>
      </c>
      <c r="GLN108" s="1" t="s">
        <v>122</v>
      </c>
      <c r="GLO108" s="1" t="s">
        <v>122</v>
      </c>
      <c r="GLP108" s="1" t="s">
        <v>122</v>
      </c>
      <c r="GLQ108" s="1" t="s">
        <v>122</v>
      </c>
      <c r="GLR108" s="1" t="s">
        <v>122</v>
      </c>
      <c r="GLS108" s="1" t="s">
        <v>122</v>
      </c>
      <c r="GLT108" s="1" t="s">
        <v>122</v>
      </c>
      <c r="GLU108" s="1" t="s">
        <v>122</v>
      </c>
      <c r="GLV108" s="1" t="s">
        <v>122</v>
      </c>
      <c r="GLW108" s="1" t="s">
        <v>122</v>
      </c>
      <c r="GLX108" s="1" t="s">
        <v>122</v>
      </c>
      <c r="GLY108" s="1" t="s">
        <v>122</v>
      </c>
      <c r="GLZ108" s="1" t="s">
        <v>122</v>
      </c>
      <c r="GMA108" s="1" t="s">
        <v>122</v>
      </c>
      <c r="GMB108" s="1" t="s">
        <v>122</v>
      </c>
      <c r="GMC108" s="1" t="s">
        <v>122</v>
      </c>
      <c r="GMD108" s="1" t="s">
        <v>122</v>
      </c>
      <c r="GME108" s="1" t="s">
        <v>122</v>
      </c>
      <c r="GMF108" s="1" t="s">
        <v>122</v>
      </c>
      <c r="GMG108" s="1" t="s">
        <v>122</v>
      </c>
      <c r="GMH108" s="1" t="s">
        <v>122</v>
      </c>
      <c r="GMI108" s="1" t="s">
        <v>122</v>
      </c>
      <c r="GMJ108" s="1" t="s">
        <v>122</v>
      </c>
      <c r="GMK108" s="1" t="s">
        <v>122</v>
      </c>
      <c r="GML108" s="1" t="s">
        <v>122</v>
      </c>
      <c r="GMM108" s="1" t="s">
        <v>122</v>
      </c>
      <c r="GMN108" s="1" t="s">
        <v>122</v>
      </c>
      <c r="GMO108" s="1" t="s">
        <v>122</v>
      </c>
      <c r="GMP108" s="1" t="s">
        <v>122</v>
      </c>
      <c r="GMQ108" s="1" t="s">
        <v>122</v>
      </c>
      <c r="GMR108" s="1" t="s">
        <v>122</v>
      </c>
      <c r="GMS108" s="1" t="s">
        <v>122</v>
      </c>
      <c r="GMT108" s="1" t="s">
        <v>122</v>
      </c>
      <c r="GMU108" s="1" t="s">
        <v>122</v>
      </c>
      <c r="GMV108" s="1" t="s">
        <v>122</v>
      </c>
      <c r="GMW108" s="1" t="s">
        <v>122</v>
      </c>
      <c r="GMX108" s="1" t="s">
        <v>122</v>
      </c>
      <c r="GMY108" s="1" t="s">
        <v>122</v>
      </c>
      <c r="GMZ108" s="1" t="s">
        <v>122</v>
      </c>
      <c r="GNA108" s="1" t="s">
        <v>122</v>
      </c>
      <c r="GNB108" s="1" t="s">
        <v>122</v>
      </c>
      <c r="GNC108" s="1" t="s">
        <v>122</v>
      </c>
      <c r="GND108" s="1" t="s">
        <v>122</v>
      </c>
      <c r="GNE108" s="1" t="s">
        <v>122</v>
      </c>
      <c r="GNF108" s="1" t="s">
        <v>122</v>
      </c>
      <c r="GNG108" s="1" t="s">
        <v>122</v>
      </c>
      <c r="GNH108" s="1" t="s">
        <v>122</v>
      </c>
      <c r="GNI108" s="1" t="s">
        <v>122</v>
      </c>
      <c r="GNJ108" s="1" t="s">
        <v>122</v>
      </c>
      <c r="GNK108" s="1" t="s">
        <v>122</v>
      </c>
      <c r="GNL108" s="1" t="s">
        <v>122</v>
      </c>
      <c r="GNM108" s="1" t="s">
        <v>122</v>
      </c>
      <c r="GNN108" s="1" t="s">
        <v>122</v>
      </c>
      <c r="GNO108" s="1" t="s">
        <v>122</v>
      </c>
      <c r="GNP108" s="1" t="s">
        <v>122</v>
      </c>
      <c r="GNQ108" s="1" t="s">
        <v>122</v>
      </c>
      <c r="GNR108" s="1" t="s">
        <v>122</v>
      </c>
      <c r="GNS108" s="1" t="s">
        <v>122</v>
      </c>
      <c r="GNT108" s="1" t="s">
        <v>122</v>
      </c>
      <c r="GNU108" s="1" t="s">
        <v>122</v>
      </c>
      <c r="GNV108" s="1" t="s">
        <v>122</v>
      </c>
      <c r="GNW108" s="1" t="s">
        <v>122</v>
      </c>
      <c r="GNX108" s="1" t="s">
        <v>122</v>
      </c>
      <c r="GNY108" s="1" t="s">
        <v>122</v>
      </c>
      <c r="GNZ108" s="1" t="s">
        <v>122</v>
      </c>
      <c r="GOA108" s="1" t="s">
        <v>122</v>
      </c>
      <c r="GOB108" s="1" t="s">
        <v>122</v>
      </c>
      <c r="GOC108" s="1" t="s">
        <v>122</v>
      </c>
      <c r="GOD108" s="1" t="s">
        <v>122</v>
      </c>
      <c r="GOE108" s="1" t="s">
        <v>122</v>
      </c>
      <c r="GOF108" s="1" t="s">
        <v>122</v>
      </c>
      <c r="GOG108" s="1" t="s">
        <v>122</v>
      </c>
      <c r="GOH108" s="1" t="s">
        <v>122</v>
      </c>
      <c r="GOI108" s="1" t="s">
        <v>122</v>
      </c>
      <c r="GOJ108" s="1" t="s">
        <v>122</v>
      </c>
      <c r="GOK108" s="1" t="s">
        <v>122</v>
      </c>
      <c r="GOL108" s="1" t="s">
        <v>122</v>
      </c>
      <c r="GOM108" s="1" t="s">
        <v>122</v>
      </c>
      <c r="GON108" s="1" t="s">
        <v>122</v>
      </c>
      <c r="GOO108" s="1" t="s">
        <v>122</v>
      </c>
      <c r="GOP108" s="1" t="s">
        <v>122</v>
      </c>
      <c r="GOQ108" s="1" t="s">
        <v>122</v>
      </c>
      <c r="GOR108" s="1" t="s">
        <v>122</v>
      </c>
      <c r="GOS108" s="1" t="s">
        <v>122</v>
      </c>
      <c r="GOT108" s="1" t="s">
        <v>122</v>
      </c>
      <c r="GOU108" s="1" t="s">
        <v>122</v>
      </c>
      <c r="GOV108" s="1" t="s">
        <v>122</v>
      </c>
      <c r="GOW108" s="1" t="s">
        <v>122</v>
      </c>
      <c r="GOX108" s="1" t="s">
        <v>122</v>
      </c>
      <c r="GOY108" s="1" t="s">
        <v>122</v>
      </c>
      <c r="GOZ108" s="1" t="s">
        <v>122</v>
      </c>
      <c r="GPA108" s="1" t="s">
        <v>122</v>
      </c>
      <c r="GPB108" s="1" t="s">
        <v>122</v>
      </c>
      <c r="GPC108" s="1" t="s">
        <v>122</v>
      </c>
      <c r="GPD108" s="1" t="s">
        <v>122</v>
      </c>
      <c r="GPE108" s="1" t="s">
        <v>122</v>
      </c>
      <c r="GPF108" s="1" t="s">
        <v>122</v>
      </c>
      <c r="GPG108" s="1" t="s">
        <v>122</v>
      </c>
      <c r="GPH108" s="1" t="s">
        <v>122</v>
      </c>
      <c r="GPI108" s="1" t="s">
        <v>122</v>
      </c>
      <c r="GPJ108" s="1" t="s">
        <v>122</v>
      </c>
      <c r="GPK108" s="1" t="s">
        <v>122</v>
      </c>
      <c r="GPL108" s="1" t="s">
        <v>122</v>
      </c>
      <c r="GPM108" s="1" t="s">
        <v>122</v>
      </c>
      <c r="GPN108" s="1" t="s">
        <v>122</v>
      </c>
      <c r="GPO108" s="1" t="s">
        <v>122</v>
      </c>
      <c r="GPP108" s="1" t="s">
        <v>122</v>
      </c>
      <c r="GPQ108" s="1" t="s">
        <v>122</v>
      </c>
      <c r="GPR108" s="1" t="s">
        <v>122</v>
      </c>
      <c r="GPS108" s="1" t="s">
        <v>122</v>
      </c>
      <c r="GPT108" s="1" t="s">
        <v>122</v>
      </c>
      <c r="GPU108" s="1" t="s">
        <v>122</v>
      </c>
      <c r="GPV108" s="1" t="s">
        <v>122</v>
      </c>
      <c r="GPW108" s="1" t="s">
        <v>122</v>
      </c>
      <c r="GPX108" s="1" t="s">
        <v>122</v>
      </c>
      <c r="GPY108" s="1" t="s">
        <v>122</v>
      </c>
      <c r="GPZ108" s="1" t="s">
        <v>122</v>
      </c>
      <c r="GQA108" s="1" t="s">
        <v>122</v>
      </c>
      <c r="GQB108" s="1" t="s">
        <v>122</v>
      </c>
      <c r="GQC108" s="1" t="s">
        <v>122</v>
      </c>
      <c r="GQD108" s="1" t="s">
        <v>122</v>
      </c>
      <c r="GQE108" s="1" t="s">
        <v>122</v>
      </c>
      <c r="GQF108" s="1" t="s">
        <v>122</v>
      </c>
      <c r="GQG108" s="1" t="s">
        <v>122</v>
      </c>
      <c r="GQH108" s="1" t="s">
        <v>122</v>
      </c>
      <c r="GQI108" s="1" t="s">
        <v>122</v>
      </c>
      <c r="GQJ108" s="1" t="s">
        <v>122</v>
      </c>
      <c r="GQK108" s="1" t="s">
        <v>122</v>
      </c>
      <c r="GQL108" s="1" t="s">
        <v>122</v>
      </c>
      <c r="GQM108" s="1" t="s">
        <v>122</v>
      </c>
      <c r="GQN108" s="1" t="s">
        <v>122</v>
      </c>
      <c r="GQO108" s="1" t="s">
        <v>122</v>
      </c>
      <c r="GQP108" s="1" t="s">
        <v>122</v>
      </c>
      <c r="GQQ108" s="1" t="s">
        <v>122</v>
      </c>
      <c r="GQR108" s="1" t="s">
        <v>122</v>
      </c>
      <c r="GQS108" s="1" t="s">
        <v>122</v>
      </c>
      <c r="GQT108" s="1" t="s">
        <v>122</v>
      </c>
      <c r="GQU108" s="1" t="s">
        <v>122</v>
      </c>
      <c r="GQV108" s="1" t="s">
        <v>122</v>
      </c>
      <c r="GQW108" s="1" t="s">
        <v>122</v>
      </c>
      <c r="GQX108" s="1" t="s">
        <v>122</v>
      </c>
      <c r="GQY108" s="1" t="s">
        <v>122</v>
      </c>
      <c r="GQZ108" s="1" t="s">
        <v>122</v>
      </c>
      <c r="GRA108" s="1" t="s">
        <v>122</v>
      </c>
      <c r="GRB108" s="1" t="s">
        <v>122</v>
      </c>
      <c r="GRC108" s="1" t="s">
        <v>122</v>
      </c>
      <c r="GRD108" s="1" t="s">
        <v>122</v>
      </c>
      <c r="GRE108" s="1" t="s">
        <v>122</v>
      </c>
      <c r="GRF108" s="1" t="s">
        <v>122</v>
      </c>
      <c r="GRG108" s="1" t="s">
        <v>122</v>
      </c>
      <c r="GRH108" s="1" t="s">
        <v>122</v>
      </c>
      <c r="GRI108" s="1" t="s">
        <v>122</v>
      </c>
      <c r="GRJ108" s="1" t="s">
        <v>122</v>
      </c>
      <c r="GRK108" s="1" t="s">
        <v>122</v>
      </c>
      <c r="GRL108" s="1" t="s">
        <v>122</v>
      </c>
      <c r="GRM108" s="1" t="s">
        <v>122</v>
      </c>
      <c r="GRN108" s="1" t="s">
        <v>122</v>
      </c>
      <c r="GRO108" s="1" t="s">
        <v>122</v>
      </c>
      <c r="GRP108" s="1" t="s">
        <v>122</v>
      </c>
      <c r="GRQ108" s="1" t="s">
        <v>122</v>
      </c>
      <c r="GRR108" s="1" t="s">
        <v>122</v>
      </c>
      <c r="GRS108" s="1" t="s">
        <v>122</v>
      </c>
      <c r="GRT108" s="1" t="s">
        <v>122</v>
      </c>
      <c r="GRU108" s="1" t="s">
        <v>122</v>
      </c>
      <c r="GRV108" s="1" t="s">
        <v>122</v>
      </c>
      <c r="GRW108" s="1" t="s">
        <v>122</v>
      </c>
      <c r="GRX108" s="1" t="s">
        <v>122</v>
      </c>
      <c r="GRY108" s="1" t="s">
        <v>122</v>
      </c>
      <c r="GRZ108" s="1" t="s">
        <v>122</v>
      </c>
      <c r="GSA108" s="1" t="s">
        <v>122</v>
      </c>
      <c r="GSB108" s="1" t="s">
        <v>122</v>
      </c>
      <c r="GSC108" s="1" t="s">
        <v>122</v>
      </c>
      <c r="GSD108" s="1" t="s">
        <v>122</v>
      </c>
      <c r="GSE108" s="1" t="s">
        <v>122</v>
      </c>
      <c r="GSF108" s="1" t="s">
        <v>122</v>
      </c>
      <c r="GSG108" s="1" t="s">
        <v>122</v>
      </c>
      <c r="GSH108" s="1" t="s">
        <v>122</v>
      </c>
      <c r="GSI108" s="1" t="s">
        <v>122</v>
      </c>
      <c r="GSJ108" s="1" t="s">
        <v>122</v>
      </c>
      <c r="GSK108" s="1" t="s">
        <v>122</v>
      </c>
      <c r="GSL108" s="1" t="s">
        <v>122</v>
      </c>
      <c r="GSM108" s="1" t="s">
        <v>122</v>
      </c>
      <c r="GSN108" s="1" t="s">
        <v>122</v>
      </c>
      <c r="GSO108" s="1" t="s">
        <v>122</v>
      </c>
      <c r="GSP108" s="1" t="s">
        <v>122</v>
      </c>
      <c r="GSQ108" s="1" t="s">
        <v>122</v>
      </c>
      <c r="GSR108" s="1" t="s">
        <v>122</v>
      </c>
      <c r="GSS108" s="1" t="s">
        <v>122</v>
      </c>
      <c r="GST108" s="1" t="s">
        <v>122</v>
      </c>
      <c r="GSU108" s="1" t="s">
        <v>122</v>
      </c>
      <c r="GSV108" s="1" t="s">
        <v>122</v>
      </c>
      <c r="GSW108" s="1" t="s">
        <v>122</v>
      </c>
      <c r="GSX108" s="1" t="s">
        <v>122</v>
      </c>
      <c r="GSY108" s="1" t="s">
        <v>122</v>
      </c>
      <c r="GSZ108" s="1" t="s">
        <v>122</v>
      </c>
      <c r="GTA108" s="1" t="s">
        <v>122</v>
      </c>
      <c r="GTB108" s="1" t="s">
        <v>122</v>
      </c>
      <c r="GTC108" s="1" t="s">
        <v>122</v>
      </c>
      <c r="GTD108" s="1" t="s">
        <v>122</v>
      </c>
      <c r="GTE108" s="1" t="s">
        <v>122</v>
      </c>
      <c r="GTF108" s="1" t="s">
        <v>122</v>
      </c>
      <c r="GTG108" s="1" t="s">
        <v>122</v>
      </c>
      <c r="GTH108" s="1" t="s">
        <v>122</v>
      </c>
      <c r="GTI108" s="1" t="s">
        <v>122</v>
      </c>
      <c r="GTJ108" s="1" t="s">
        <v>122</v>
      </c>
      <c r="GTK108" s="1" t="s">
        <v>122</v>
      </c>
      <c r="GTL108" s="1" t="s">
        <v>122</v>
      </c>
      <c r="GTM108" s="1" t="s">
        <v>122</v>
      </c>
      <c r="GTN108" s="1" t="s">
        <v>122</v>
      </c>
      <c r="GTO108" s="1" t="s">
        <v>122</v>
      </c>
      <c r="GTP108" s="1" t="s">
        <v>122</v>
      </c>
      <c r="GTQ108" s="1" t="s">
        <v>122</v>
      </c>
      <c r="GTR108" s="1" t="s">
        <v>122</v>
      </c>
      <c r="GTS108" s="1" t="s">
        <v>122</v>
      </c>
      <c r="GTT108" s="1" t="s">
        <v>122</v>
      </c>
      <c r="GTU108" s="1" t="s">
        <v>122</v>
      </c>
      <c r="GTV108" s="1" t="s">
        <v>122</v>
      </c>
      <c r="GTW108" s="1" t="s">
        <v>122</v>
      </c>
      <c r="GTX108" s="1" t="s">
        <v>122</v>
      </c>
      <c r="GTY108" s="1" t="s">
        <v>122</v>
      </c>
      <c r="GTZ108" s="1" t="s">
        <v>122</v>
      </c>
      <c r="GUA108" s="1" t="s">
        <v>122</v>
      </c>
      <c r="GUB108" s="1" t="s">
        <v>122</v>
      </c>
      <c r="GUC108" s="1" t="s">
        <v>122</v>
      </c>
      <c r="GUD108" s="1" t="s">
        <v>122</v>
      </c>
      <c r="GUE108" s="1" t="s">
        <v>122</v>
      </c>
      <c r="GUF108" s="1" t="s">
        <v>122</v>
      </c>
      <c r="GUG108" s="1" t="s">
        <v>122</v>
      </c>
      <c r="GUH108" s="1" t="s">
        <v>122</v>
      </c>
      <c r="GUI108" s="1" t="s">
        <v>122</v>
      </c>
      <c r="GUJ108" s="1" t="s">
        <v>122</v>
      </c>
      <c r="GUK108" s="1" t="s">
        <v>122</v>
      </c>
      <c r="GUL108" s="1" t="s">
        <v>122</v>
      </c>
      <c r="GUM108" s="1" t="s">
        <v>122</v>
      </c>
      <c r="GUN108" s="1" t="s">
        <v>122</v>
      </c>
      <c r="GUO108" s="1" t="s">
        <v>122</v>
      </c>
      <c r="GUP108" s="1" t="s">
        <v>122</v>
      </c>
      <c r="GUQ108" s="1" t="s">
        <v>122</v>
      </c>
      <c r="GUR108" s="1" t="s">
        <v>122</v>
      </c>
      <c r="GUS108" s="1" t="s">
        <v>122</v>
      </c>
      <c r="GUT108" s="1" t="s">
        <v>122</v>
      </c>
      <c r="GUU108" s="1" t="s">
        <v>122</v>
      </c>
      <c r="GUV108" s="1" t="s">
        <v>122</v>
      </c>
      <c r="GUW108" s="1" t="s">
        <v>122</v>
      </c>
      <c r="GUX108" s="1" t="s">
        <v>122</v>
      </c>
      <c r="GUY108" s="1" t="s">
        <v>122</v>
      </c>
      <c r="GUZ108" s="1" t="s">
        <v>122</v>
      </c>
      <c r="GVA108" s="1" t="s">
        <v>122</v>
      </c>
      <c r="GVB108" s="1" t="s">
        <v>122</v>
      </c>
      <c r="GVC108" s="1" t="s">
        <v>122</v>
      </c>
      <c r="GVD108" s="1" t="s">
        <v>122</v>
      </c>
      <c r="GVE108" s="1" t="s">
        <v>122</v>
      </c>
      <c r="GVF108" s="1" t="s">
        <v>122</v>
      </c>
      <c r="GVG108" s="1" t="s">
        <v>122</v>
      </c>
      <c r="GVH108" s="1" t="s">
        <v>122</v>
      </c>
      <c r="GVI108" s="1" t="s">
        <v>122</v>
      </c>
      <c r="GVJ108" s="1" t="s">
        <v>122</v>
      </c>
      <c r="GVK108" s="1" t="s">
        <v>122</v>
      </c>
      <c r="GVL108" s="1" t="s">
        <v>122</v>
      </c>
      <c r="GVM108" s="1" t="s">
        <v>122</v>
      </c>
      <c r="GVN108" s="1" t="s">
        <v>122</v>
      </c>
      <c r="GVO108" s="1" t="s">
        <v>122</v>
      </c>
      <c r="GVP108" s="1" t="s">
        <v>122</v>
      </c>
      <c r="GVQ108" s="1" t="s">
        <v>122</v>
      </c>
      <c r="GVR108" s="1" t="s">
        <v>122</v>
      </c>
      <c r="GVS108" s="1" t="s">
        <v>122</v>
      </c>
      <c r="GVT108" s="1" t="s">
        <v>122</v>
      </c>
      <c r="GVU108" s="1" t="s">
        <v>122</v>
      </c>
      <c r="GVV108" s="1" t="s">
        <v>122</v>
      </c>
      <c r="GVW108" s="1" t="s">
        <v>122</v>
      </c>
      <c r="GVX108" s="1" t="s">
        <v>122</v>
      </c>
      <c r="GVY108" s="1" t="s">
        <v>122</v>
      </c>
      <c r="GVZ108" s="1" t="s">
        <v>122</v>
      </c>
      <c r="GWA108" s="1" t="s">
        <v>122</v>
      </c>
      <c r="GWB108" s="1" t="s">
        <v>122</v>
      </c>
      <c r="GWC108" s="1" t="s">
        <v>122</v>
      </c>
      <c r="GWD108" s="1" t="s">
        <v>122</v>
      </c>
      <c r="GWE108" s="1" t="s">
        <v>122</v>
      </c>
      <c r="GWF108" s="1" t="s">
        <v>122</v>
      </c>
      <c r="GWG108" s="1" t="s">
        <v>122</v>
      </c>
      <c r="GWH108" s="1" t="s">
        <v>122</v>
      </c>
      <c r="GWI108" s="1" t="s">
        <v>122</v>
      </c>
      <c r="GWJ108" s="1" t="s">
        <v>122</v>
      </c>
      <c r="GWK108" s="1" t="s">
        <v>122</v>
      </c>
      <c r="GWL108" s="1" t="s">
        <v>122</v>
      </c>
      <c r="GWM108" s="1" t="s">
        <v>122</v>
      </c>
      <c r="GWN108" s="1" t="s">
        <v>122</v>
      </c>
      <c r="GWO108" s="1" t="s">
        <v>122</v>
      </c>
      <c r="GWP108" s="1" t="s">
        <v>122</v>
      </c>
      <c r="GWQ108" s="1" t="s">
        <v>122</v>
      </c>
      <c r="GWR108" s="1" t="s">
        <v>122</v>
      </c>
      <c r="GWS108" s="1" t="s">
        <v>122</v>
      </c>
      <c r="GWT108" s="1" t="s">
        <v>122</v>
      </c>
      <c r="GWU108" s="1" t="s">
        <v>122</v>
      </c>
      <c r="GWV108" s="1" t="s">
        <v>122</v>
      </c>
      <c r="GWW108" s="1" t="s">
        <v>122</v>
      </c>
      <c r="GWX108" s="1" t="s">
        <v>122</v>
      </c>
      <c r="GWY108" s="1" t="s">
        <v>122</v>
      </c>
      <c r="GWZ108" s="1" t="s">
        <v>122</v>
      </c>
      <c r="GXA108" s="1" t="s">
        <v>122</v>
      </c>
      <c r="GXB108" s="1" t="s">
        <v>122</v>
      </c>
      <c r="GXC108" s="1" t="s">
        <v>122</v>
      </c>
      <c r="GXD108" s="1" t="s">
        <v>122</v>
      </c>
      <c r="GXE108" s="1" t="s">
        <v>122</v>
      </c>
      <c r="GXF108" s="1" t="s">
        <v>122</v>
      </c>
      <c r="GXG108" s="1" t="s">
        <v>122</v>
      </c>
      <c r="GXH108" s="1" t="s">
        <v>122</v>
      </c>
      <c r="GXI108" s="1" t="s">
        <v>122</v>
      </c>
      <c r="GXJ108" s="1" t="s">
        <v>122</v>
      </c>
      <c r="GXK108" s="1" t="s">
        <v>122</v>
      </c>
      <c r="GXL108" s="1" t="s">
        <v>122</v>
      </c>
      <c r="GXM108" s="1" t="s">
        <v>122</v>
      </c>
      <c r="GXN108" s="1" t="s">
        <v>122</v>
      </c>
      <c r="GXO108" s="1" t="s">
        <v>122</v>
      </c>
      <c r="GXP108" s="1" t="s">
        <v>122</v>
      </c>
      <c r="GXQ108" s="1" t="s">
        <v>122</v>
      </c>
      <c r="GXR108" s="1" t="s">
        <v>122</v>
      </c>
      <c r="GXS108" s="1" t="s">
        <v>122</v>
      </c>
      <c r="GXT108" s="1" t="s">
        <v>122</v>
      </c>
      <c r="GXU108" s="1" t="s">
        <v>122</v>
      </c>
      <c r="GXV108" s="1" t="s">
        <v>122</v>
      </c>
      <c r="GXW108" s="1" t="s">
        <v>122</v>
      </c>
      <c r="GXX108" s="1" t="s">
        <v>122</v>
      </c>
      <c r="GXY108" s="1" t="s">
        <v>122</v>
      </c>
      <c r="GXZ108" s="1" t="s">
        <v>122</v>
      </c>
      <c r="GYA108" s="1" t="s">
        <v>122</v>
      </c>
      <c r="GYB108" s="1" t="s">
        <v>122</v>
      </c>
      <c r="GYC108" s="1" t="s">
        <v>122</v>
      </c>
      <c r="GYD108" s="1" t="s">
        <v>122</v>
      </c>
      <c r="GYE108" s="1" t="s">
        <v>122</v>
      </c>
      <c r="GYF108" s="1" t="s">
        <v>122</v>
      </c>
      <c r="GYG108" s="1" t="s">
        <v>122</v>
      </c>
      <c r="GYH108" s="1" t="s">
        <v>122</v>
      </c>
      <c r="GYI108" s="1" t="s">
        <v>122</v>
      </c>
      <c r="GYJ108" s="1" t="s">
        <v>122</v>
      </c>
      <c r="GYK108" s="1" t="s">
        <v>122</v>
      </c>
      <c r="GYL108" s="1" t="s">
        <v>122</v>
      </c>
      <c r="GYM108" s="1" t="s">
        <v>122</v>
      </c>
      <c r="GYN108" s="1" t="s">
        <v>122</v>
      </c>
      <c r="GYO108" s="1" t="s">
        <v>122</v>
      </c>
      <c r="GYP108" s="1" t="s">
        <v>122</v>
      </c>
      <c r="GYQ108" s="1" t="s">
        <v>122</v>
      </c>
      <c r="GYR108" s="1" t="s">
        <v>122</v>
      </c>
      <c r="GYS108" s="1" t="s">
        <v>122</v>
      </c>
      <c r="GYT108" s="1" t="s">
        <v>122</v>
      </c>
      <c r="GYU108" s="1" t="s">
        <v>122</v>
      </c>
      <c r="GYV108" s="1" t="s">
        <v>122</v>
      </c>
      <c r="GYW108" s="1" t="s">
        <v>122</v>
      </c>
      <c r="GYX108" s="1" t="s">
        <v>122</v>
      </c>
      <c r="GYY108" s="1" t="s">
        <v>122</v>
      </c>
      <c r="GYZ108" s="1" t="s">
        <v>122</v>
      </c>
      <c r="GZA108" s="1" t="s">
        <v>122</v>
      </c>
      <c r="GZB108" s="1" t="s">
        <v>122</v>
      </c>
      <c r="GZC108" s="1" t="s">
        <v>122</v>
      </c>
      <c r="GZD108" s="1" t="s">
        <v>122</v>
      </c>
      <c r="GZE108" s="1" t="s">
        <v>122</v>
      </c>
      <c r="GZF108" s="1" t="s">
        <v>122</v>
      </c>
      <c r="GZG108" s="1" t="s">
        <v>122</v>
      </c>
      <c r="GZH108" s="1" t="s">
        <v>122</v>
      </c>
      <c r="GZI108" s="1" t="s">
        <v>122</v>
      </c>
      <c r="GZJ108" s="1" t="s">
        <v>122</v>
      </c>
      <c r="GZK108" s="1" t="s">
        <v>122</v>
      </c>
      <c r="GZL108" s="1" t="s">
        <v>122</v>
      </c>
      <c r="GZM108" s="1" t="s">
        <v>122</v>
      </c>
      <c r="GZN108" s="1" t="s">
        <v>122</v>
      </c>
      <c r="GZO108" s="1" t="s">
        <v>122</v>
      </c>
      <c r="GZP108" s="1" t="s">
        <v>122</v>
      </c>
      <c r="GZQ108" s="1" t="s">
        <v>122</v>
      </c>
      <c r="GZR108" s="1" t="s">
        <v>122</v>
      </c>
      <c r="GZS108" s="1" t="s">
        <v>122</v>
      </c>
      <c r="GZT108" s="1" t="s">
        <v>122</v>
      </c>
      <c r="GZU108" s="1" t="s">
        <v>122</v>
      </c>
      <c r="GZV108" s="1" t="s">
        <v>122</v>
      </c>
      <c r="GZW108" s="1" t="s">
        <v>122</v>
      </c>
      <c r="GZX108" s="1" t="s">
        <v>122</v>
      </c>
      <c r="GZY108" s="1" t="s">
        <v>122</v>
      </c>
      <c r="GZZ108" s="1" t="s">
        <v>122</v>
      </c>
      <c r="HAA108" s="1" t="s">
        <v>122</v>
      </c>
      <c r="HAB108" s="1" t="s">
        <v>122</v>
      </c>
      <c r="HAC108" s="1" t="s">
        <v>122</v>
      </c>
      <c r="HAD108" s="1" t="s">
        <v>122</v>
      </c>
      <c r="HAE108" s="1" t="s">
        <v>122</v>
      </c>
      <c r="HAF108" s="1" t="s">
        <v>122</v>
      </c>
      <c r="HAG108" s="1" t="s">
        <v>122</v>
      </c>
      <c r="HAH108" s="1" t="s">
        <v>122</v>
      </c>
      <c r="HAI108" s="1" t="s">
        <v>122</v>
      </c>
      <c r="HAJ108" s="1" t="s">
        <v>122</v>
      </c>
      <c r="HAK108" s="1" t="s">
        <v>122</v>
      </c>
      <c r="HAL108" s="1" t="s">
        <v>122</v>
      </c>
      <c r="HAM108" s="1" t="s">
        <v>122</v>
      </c>
      <c r="HAN108" s="1" t="s">
        <v>122</v>
      </c>
      <c r="HAO108" s="1" t="s">
        <v>122</v>
      </c>
      <c r="HAP108" s="1" t="s">
        <v>122</v>
      </c>
      <c r="HAQ108" s="1" t="s">
        <v>122</v>
      </c>
      <c r="HAR108" s="1" t="s">
        <v>122</v>
      </c>
      <c r="HAS108" s="1" t="s">
        <v>122</v>
      </c>
      <c r="HAT108" s="1" t="s">
        <v>122</v>
      </c>
      <c r="HAU108" s="1" t="s">
        <v>122</v>
      </c>
      <c r="HAV108" s="1" t="s">
        <v>122</v>
      </c>
      <c r="HAW108" s="1" t="s">
        <v>122</v>
      </c>
      <c r="HAX108" s="1" t="s">
        <v>122</v>
      </c>
      <c r="HAY108" s="1" t="s">
        <v>122</v>
      </c>
      <c r="HAZ108" s="1" t="s">
        <v>122</v>
      </c>
      <c r="HBA108" s="1" t="s">
        <v>122</v>
      </c>
      <c r="HBB108" s="1" t="s">
        <v>122</v>
      </c>
      <c r="HBC108" s="1" t="s">
        <v>122</v>
      </c>
      <c r="HBD108" s="1" t="s">
        <v>122</v>
      </c>
      <c r="HBE108" s="1" t="s">
        <v>122</v>
      </c>
      <c r="HBF108" s="1" t="s">
        <v>122</v>
      </c>
      <c r="HBG108" s="1" t="s">
        <v>122</v>
      </c>
      <c r="HBH108" s="1" t="s">
        <v>122</v>
      </c>
      <c r="HBI108" s="1" t="s">
        <v>122</v>
      </c>
      <c r="HBJ108" s="1" t="s">
        <v>122</v>
      </c>
      <c r="HBK108" s="1" t="s">
        <v>122</v>
      </c>
      <c r="HBL108" s="1" t="s">
        <v>122</v>
      </c>
      <c r="HBM108" s="1" t="s">
        <v>122</v>
      </c>
      <c r="HBN108" s="1" t="s">
        <v>122</v>
      </c>
      <c r="HBO108" s="1" t="s">
        <v>122</v>
      </c>
      <c r="HBP108" s="1" t="s">
        <v>122</v>
      </c>
      <c r="HBQ108" s="1" t="s">
        <v>122</v>
      </c>
      <c r="HBR108" s="1" t="s">
        <v>122</v>
      </c>
      <c r="HBS108" s="1" t="s">
        <v>122</v>
      </c>
      <c r="HBT108" s="1" t="s">
        <v>122</v>
      </c>
      <c r="HBU108" s="1" t="s">
        <v>122</v>
      </c>
      <c r="HBV108" s="1" t="s">
        <v>122</v>
      </c>
      <c r="HBW108" s="1" t="s">
        <v>122</v>
      </c>
      <c r="HBX108" s="1" t="s">
        <v>122</v>
      </c>
      <c r="HBY108" s="1" t="s">
        <v>122</v>
      </c>
      <c r="HBZ108" s="1" t="s">
        <v>122</v>
      </c>
      <c r="HCA108" s="1" t="s">
        <v>122</v>
      </c>
      <c r="HCB108" s="1" t="s">
        <v>122</v>
      </c>
      <c r="HCC108" s="1" t="s">
        <v>122</v>
      </c>
      <c r="HCD108" s="1" t="s">
        <v>122</v>
      </c>
      <c r="HCE108" s="1" t="s">
        <v>122</v>
      </c>
      <c r="HCF108" s="1" t="s">
        <v>122</v>
      </c>
      <c r="HCG108" s="1" t="s">
        <v>122</v>
      </c>
      <c r="HCH108" s="1" t="s">
        <v>122</v>
      </c>
      <c r="HCI108" s="1" t="s">
        <v>122</v>
      </c>
      <c r="HCJ108" s="1" t="s">
        <v>122</v>
      </c>
      <c r="HCK108" s="1" t="s">
        <v>122</v>
      </c>
      <c r="HCL108" s="1" t="s">
        <v>122</v>
      </c>
      <c r="HCM108" s="1" t="s">
        <v>122</v>
      </c>
      <c r="HCN108" s="1" t="s">
        <v>122</v>
      </c>
      <c r="HCO108" s="1" t="s">
        <v>122</v>
      </c>
      <c r="HCP108" s="1" t="s">
        <v>122</v>
      </c>
      <c r="HCQ108" s="1" t="s">
        <v>122</v>
      </c>
      <c r="HCR108" s="1" t="s">
        <v>122</v>
      </c>
      <c r="HCS108" s="1" t="s">
        <v>122</v>
      </c>
      <c r="HCT108" s="1" t="s">
        <v>122</v>
      </c>
      <c r="HCU108" s="1" t="s">
        <v>122</v>
      </c>
      <c r="HCV108" s="1" t="s">
        <v>122</v>
      </c>
      <c r="HCW108" s="1" t="s">
        <v>122</v>
      </c>
      <c r="HCX108" s="1" t="s">
        <v>122</v>
      </c>
      <c r="HCY108" s="1" t="s">
        <v>122</v>
      </c>
      <c r="HCZ108" s="1" t="s">
        <v>122</v>
      </c>
      <c r="HDA108" s="1" t="s">
        <v>122</v>
      </c>
      <c r="HDB108" s="1" t="s">
        <v>122</v>
      </c>
      <c r="HDC108" s="1" t="s">
        <v>122</v>
      </c>
      <c r="HDD108" s="1" t="s">
        <v>122</v>
      </c>
      <c r="HDE108" s="1" t="s">
        <v>122</v>
      </c>
      <c r="HDF108" s="1" t="s">
        <v>122</v>
      </c>
      <c r="HDG108" s="1" t="s">
        <v>122</v>
      </c>
      <c r="HDH108" s="1" t="s">
        <v>122</v>
      </c>
      <c r="HDI108" s="1" t="s">
        <v>122</v>
      </c>
      <c r="HDJ108" s="1" t="s">
        <v>122</v>
      </c>
      <c r="HDK108" s="1" t="s">
        <v>122</v>
      </c>
      <c r="HDL108" s="1" t="s">
        <v>122</v>
      </c>
      <c r="HDM108" s="1" t="s">
        <v>122</v>
      </c>
      <c r="HDN108" s="1" t="s">
        <v>122</v>
      </c>
      <c r="HDO108" s="1" t="s">
        <v>122</v>
      </c>
      <c r="HDP108" s="1" t="s">
        <v>122</v>
      </c>
      <c r="HDQ108" s="1" t="s">
        <v>122</v>
      </c>
      <c r="HDR108" s="1" t="s">
        <v>122</v>
      </c>
      <c r="HDS108" s="1" t="s">
        <v>122</v>
      </c>
      <c r="HDT108" s="1" t="s">
        <v>122</v>
      </c>
      <c r="HDU108" s="1" t="s">
        <v>122</v>
      </c>
      <c r="HDV108" s="1" t="s">
        <v>122</v>
      </c>
      <c r="HDW108" s="1" t="s">
        <v>122</v>
      </c>
      <c r="HDX108" s="1" t="s">
        <v>122</v>
      </c>
      <c r="HDY108" s="1" t="s">
        <v>122</v>
      </c>
      <c r="HDZ108" s="1" t="s">
        <v>122</v>
      </c>
      <c r="HEA108" s="1" t="s">
        <v>122</v>
      </c>
      <c r="HEB108" s="1" t="s">
        <v>122</v>
      </c>
      <c r="HEC108" s="1" t="s">
        <v>122</v>
      </c>
      <c r="HED108" s="1" t="s">
        <v>122</v>
      </c>
      <c r="HEE108" s="1" t="s">
        <v>122</v>
      </c>
      <c r="HEF108" s="1" t="s">
        <v>122</v>
      </c>
      <c r="HEG108" s="1" t="s">
        <v>122</v>
      </c>
      <c r="HEH108" s="1" t="s">
        <v>122</v>
      </c>
      <c r="HEI108" s="1" t="s">
        <v>122</v>
      </c>
      <c r="HEJ108" s="1" t="s">
        <v>122</v>
      </c>
      <c r="HEK108" s="1" t="s">
        <v>122</v>
      </c>
      <c r="HEL108" s="1" t="s">
        <v>122</v>
      </c>
      <c r="HEM108" s="1" t="s">
        <v>122</v>
      </c>
      <c r="HEN108" s="1" t="s">
        <v>122</v>
      </c>
      <c r="HEO108" s="1" t="s">
        <v>122</v>
      </c>
      <c r="HEP108" s="1" t="s">
        <v>122</v>
      </c>
      <c r="HEQ108" s="1" t="s">
        <v>122</v>
      </c>
      <c r="HER108" s="1" t="s">
        <v>122</v>
      </c>
      <c r="HES108" s="1" t="s">
        <v>122</v>
      </c>
      <c r="HET108" s="1" t="s">
        <v>122</v>
      </c>
      <c r="HEU108" s="1" t="s">
        <v>122</v>
      </c>
      <c r="HEV108" s="1" t="s">
        <v>122</v>
      </c>
      <c r="HEW108" s="1" t="s">
        <v>122</v>
      </c>
      <c r="HEX108" s="1" t="s">
        <v>122</v>
      </c>
      <c r="HEY108" s="1" t="s">
        <v>122</v>
      </c>
      <c r="HEZ108" s="1" t="s">
        <v>122</v>
      </c>
      <c r="HFA108" s="1" t="s">
        <v>122</v>
      </c>
      <c r="HFB108" s="1" t="s">
        <v>122</v>
      </c>
      <c r="HFC108" s="1" t="s">
        <v>122</v>
      </c>
      <c r="HFD108" s="1" t="s">
        <v>122</v>
      </c>
      <c r="HFE108" s="1" t="s">
        <v>122</v>
      </c>
      <c r="HFF108" s="1" t="s">
        <v>122</v>
      </c>
      <c r="HFG108" s="1" t="s">
        <v>122</v>
      </c>
      <c r="HFH108" s="1" t="s">
        <v>122</v>
      </c>
      <c r="HFI108" s="1" t="s">
        <v>122</v>
      </c>
      <c r="HFJ108" s="1" t="s">
        <v>122</v>
      </c>
      <c r="HFK108" s="1" t="s">
        <v>122</v>
      </c>
      <c r="HFL108" s="1" t="s">
        <v>122</v>
      </c>
      <c r="HFM108" s="1" t="s">
        <v>122</v>
      </c>
      <c r="HFN108" s="1" t="s">
        <v>122</v>
      </c>
      <c r="HFO108" s="1" t="s">
        <v>122</v>
      </c>
      <c r="HFP108" s="1" t="s">
        <v>122</v>
      </c>
      <c r="HFQ108" s="1" t="s">
        <v>122</v>
      </c>
      <c r="HFR108" s="1" t="s">
        <v>122</v>
      </c>
      <c r="HFS108" s="1" t="s">
        <v>122</v>
      </c>
      <c r="HFT108" s="1" t="s">
        <v>122</v>
      </c>
      <c r="HFU108" s="1" t="s">
        <v>122</v>
      </c>
      <c r="HFV108" s="1" t="s">
        <v>122</v>
      </c>
      <c r="HFW108" s="1" t="s">
        <v>122</v>
      </c>
      <c r="HFX108" s="1" t="s">
        <v>122</v>
      </c>
      <c r="HFY108" s="1" t="s">
        <v>122</v>
      </c>
      <c r="HFZ108" s="1" t="s">
        <v>122</v>
      </c>
      <c r="HGA108" s="1" t="s">
        <v>122</v>
      </c>
      <c r="HGB108" s="1" t="s">
        <v>122</v>
      </c>
      <c r="HGC108" s="1" t="s">
        <v>122</v>
      </c>
      <c r="HGD108" s="1" t="s">
        <v>122</v>
      </c>
      <c r="HGE108" s="1" t="s">
        <v>122</v>
      </c>
      <c r="HGF108" s="1" t="s">
        <v>122</v>
      </c>
      <c r="HGG108" s="1" t="s">
        <v>122</v>
      </c>
      <c r="HGH108" s="1" t="s">
        <v>122</v>
      </c>
      <c r="HGI108" s="1" t="s">
        <v>122</v>
      </c>
      <c r="HGJ108" s="1" t="s">
        <v>122</v>
      </c>
      <c r="HGK108" s="1" t="s">
        <v>122</v>
      </c>
      <c r="HGL108" s="1" t="s">
        <v>122</v>
      </c>
      <c r="HGM108" s="1" t="s">
        <v>122</v>
      </c>
      <c r="HGN108" s="1" t="s">
        <v>122</v>
      </c>
      <c r="HGO108" s="1" t="s">
        <v>122</v>
      </c>
      <c r="HGP108" s="1" t="s">
        <v>122</v>
      </c>
      <c r="HGQ108" s="1" t="s">
        <v>122</v>
      </c>
      <c r="HGR108" s="1" t="s">
        <v>122</v>
      </c>
      <c r="HGS108" s="1" t="s">
        <v>122</v>
      </c>
      <c r="HGT108" s="1" t="s">
        <v>122</v>
      </c>
      <c r="HGU108" s="1" t="s">
        <v>122</v>
      </c>
      <c r="HGV108" s="1" t="s">
        <v>122</v>
      </c>
      <c r="HGW108" s="1" t="s">
        <v>122</v>
      </c>
      <c r="HGX108" s="1" t="s">
        <v>122</v>
      </c>
      <c r="HGY108" s="1" t="s">
        <v>122</v>
      </c>
      <c r="HGZ108" s="1" t="s">
        <v>122</v>
      </c>
      <c r="HHA108" s="1" t="s">
        <v>122</v>
      </c>
      <c r="HHB108" s="1" t="s">
        <v>122</v>
      </c>
      <c r="HHC108" s="1" t="s">
        <v>122</v>
      </c>
      <c r="HHD108" s="1" t="s">
        <v>122</v>
      </c>
      <c r="HHE108" s="1" t="s">
        <v>122</v>
      </c>
      <c r="HHF108" s="1" t="s">
        <v>122</v>
      </c>
      <c r="HHG108" s="1" t="s">
        <v>122</v>
      </c>
      <c r="HHH108" s="1" t="s">
        <v>122</v>
      </c>
      <c r="HHI108" s="1" t="s">
        <v>122</v>
      </c>
      <c r="HHJ108" s="1" t="s">
        <v>122</v>
      </c>
      <c r="HHK108" s="1" t="s">
        <v>122</v>
      </c>
      <c r="HHL108" s="1" t="s">
        <v>122</v>
      </c>
      <c r="HHM108" s="1" t="s">
        <v>122</v>
      </c>
      <c r="HHN108" s="1" t="s">
        <v>122</v>
      </c>
      <c r="HHO108" s="1" t="s">
        <v>122</v>
      </c>
      <c r="HHP108" s="1" t="s">
        <v>122</v>
      </c>
      <c r="HHQ108" s="1" t="s">
        <v>122</v>
      </c>
      <c r="HHR108" s="1" t="s">
        <v>122</v>
      </c>
      <c r="HHS108" s="1" t="s">
        <v>122</v>
      </c>
      <c r="HHT108" s="1" t="s">
        <v>122</v>
      </c>
      <c r="HHU108" s="1" t="s">
        <v>122</v>
      </c>
      <c r="HHV108" s="1" t="s">
        <v>122</v>
      </c>
      <c r="HHW108" s="1" t="s">
        <v>122</v>
      </c>
      <c r="HHX108" s="1" t="s">
        <v>122</v>
      </c>
      <c r="HHY108" s="1" t="s">
        <v>122</v>
      </c>
      <c r="HHZ108" s="1" t="s">
        <v>122</v>
      </c>
      <c r="HIA108" s="1" t="s">
        <v>122</v>
      </c>
      <c r="HIB108" s="1" t="s">
        <v>122</v>
      </c>
      <c r="HIC108" s="1" t="s">
        <v>122</v>
      </c>
      <c r="HID108" s="1" t="s">
        <v>122</v>
      </c>
      <c r="HIE108" s="1" t="s">
        <v>122</v>
      </c>
      <c r="HIF108" s="1" t="s">
        <v>122</v>
      </c>
      <c r="HIG108" s="1" t="s">
        <v>122</v>
      </c>
      <c r="HIH108" s="1" t="s">
        <v>122</v>
      </c>
      <c r="HII108" s="1" t="s">
        <v>122</v>
      </c>
      <c r="HIJ108" s="1" t="s">
        <v>122</v>
      </c>
      <c r="HIK108" s="1" t="s">
        <v>122</v>
      </c>
      <c r="HIL108" s="1" t="s">
        <v>122</v>
      </c>
      <c r="HIM108" s="1" t="s">
        <v>122</v>
      </c>
      <c r="HIN108" s="1" t="s">
        <v>122</v>
      </c>
      <c r="HIO108" s="1" t="s">
        <v>122</v>
      </c>
      <c r="HIP108" s="1" t="s">
        <v>122</v>
      </c>
      <c r="HIQ108" s="1" t="s">
        <v>122</v>
      </c>
      <c r="HIR108" s="1" t="s">
        <v>122</v>
      </c>
      <c r="HIS108" s="1" t="s">
        <v>122</v>
      </c>
      <c r="HIT108" s="1" t="s">
        <v>122</v>
      </c>
      <c r="HIU108" s="1" t="s">
        <v>122</v>
      </c>
      <c r="HIV108" s="1" t="s">
        <v>122</v>
      </c>
      <c r="HIW108" s="1" t="s">
        <v>122</v>
      </c>
      <c r="HIX108" s="1" t="s">
        <v>122</v>
      </c>
      <c r="HIY108" s="1" t="s">
        <v>122</v>
      </c>
      <c r="HIZ108" s="1" t="s">
        <v>122</v>
      </c>
      <c r="HJA108" s="1" t="s">
        <v>122</v>
      </c>
      <c r="HJB108" s="1" t="s">
        <v>122</v>
      </c>
      <c r="HJC108" s="1" t="s">
        <v>122</v>
      </c>
      <c r="HJD108" s="1" t="s">
        <v>122</v>
      </c>
      <c r="HJE108" s="1" t="s">
        <v>122</v>
      </c>
      <c r="HJF108" s="1" t="s">
        <v>122</v>
      </c>
      <c r="HJG108" s="1" t="s">
        <v>122</v>
      </c>
      <c r="HJH108" s="1" t="s">
        <v>122</v>
      </c>
      <c r="HJI108" s="1" t="s">
        <v>122</v>
      </c>
      <c r="HJJ108" s="1" t="s">
        <v>122</v>
      </c>
      <c r="HJK108" s="1" t="s">
        <v>122</v>
      </c>
      <c r="HJL108" s="1" t="s">
        <v>122</v>
      </c>
      <c r="HJM108" s="1" t="s">
        <v>122</v>
      </c>
      <c r="HJN108" s="1" t="s">
        <v>122</v>
      </c>
      <c r="HJO108" s="1" t="s">
        <v>122</v>
      </c>
      <c r="HJP108" s="1" t="s">
        <v>122</v>
      </c>
      <c r="HJQ108" s="1" t="s">
        <v>122</v>
      </c>
      <c r="HJR108" s="1" t="s">
        <v>122</v>
      </c>
      <c r="HJS108" s="1" t="s">
        <v>122</v>
      </c>
      <c r="HJT108" s="1" t="s">
        <v>122</v>
      </c>
      <c r="HJU108" s="1" t="s">
        <v>122</v>
      </c>
      <c r="HJV108" s="1" t="s">
        <v>122</v>
      </c>
      <c r="HJW108" s="1" t="s">
        <v>122</v>
      </c>
      <c r="HJX108" s="1" t="s">
        <v>122</v>
      </c>
      <c r="HJY108" s="1" t="s">
        <v>122</v>
      </c>
      <c r="HJZ108" s="1" t="s">
        <v>122</v>
      </c>
      <c r="HKA108" s="1" t="s">
        <v>122</v>
      </c>
      <c r="HKB108" s="1" t="s">
        <v>122</v>
      </c>
      <c r="HKC108" s="1" t="s">
        <v>122</v>
      </c>
      <c r="HKD108" s="1" t="s">
        <v>122</v>
      </c>
      <c r="HKE108" s="1" t="s">
        <v>122</v>
      </c>
      <c r="HKF108" s="1" t="s">
        <v>122</v>
      </c>
      <c r="HKG108" s="1" t="s">
        <v>122</v>
      </c>
      <c r="HKH108" s="1" t="s">
        <v>122</v>
      </c>
      <c r="HKI108" s="1" t="s">
        <v>122</v>
      </c>
      <c r="HKJ108" s="1" t="s">
        <v>122</v>
      </c>
      <c r="HKK108" s="1" t="s">
        <v>122</v>
      </c>
      <c r="HKL108" s="1" t="s">
        <v>122</v>
      </c>
      <c r="HKM108" s="1" t="s">
        <v>122</v>
      </c>
      <c r="HKN108" s="1" t="s">
        <v>122</v>
      </c>
      <c r="HKO108" s="1" t="s">
        <v>122</v>
      </c>
      <c r="HKP108" s="1" t="s">
        <v>122</v>
      </c>
      <c r="HKQ108" s="1" t="s">
        <v>122</v>
      </c>
      <c r="HKR108" s="1" t="s">
        <v>122</v>
      </c>
      <c r="HKS108" s="1" t="s">
        <v>122</v>
      </c>
      <c r="HKT108" s="1" t="s">
        <v>122</v>
      </c>
      <c r="HKU108" s="1" t="s">
        <v>122</v>
      </c>
      <c r="HKV108" s="1" t="s">
        <v>122</v>
      </c>
      <c r="HKW108" s="1" t="s">
        <v>122</v>
      </c>
      <c r="HKX108" s="1" t="s">
        <v>122</v>
      </c>
      <c r="HKY108" s="1" t="s">
        <v>122</v>
      </c>
      <c r="HKZ108" s="1" t="s">
        <v>122</v>
      </c>
      <c r="HLA108" s="1" t="s">
        <v>122</v>
      </c>
      <c r="HLB108" s="1" t="s">
        <v>122</v>
      </c>
      <c r="HLC108" s="1" t="s">
        <v>122</v>
      </c>
      <c r="HLD108" s="1" t="s">
        <v>122</v>
      </c>
      <c r="HLE108" s="1" t="s">
        <v>122</v>
      </c>
      <c r="HLF108" s="1" t="s">
        <v>122</v>
      </c>
      <c r="HLG108" s="1" t="s">
        <v>122</v>
      </c>
      <c r="HLH108" s="1" t="s">
        <v>122</v>
      </c>
      <c r="HLI108" s="1" t="s">
        <v>122</v>
      </c>
      <c r="HLJ108" s="1" t="s">
        <v>122</v>
      </c>
      <c r="HLK108" s="1" t="s">
        <v>122</v>
      </c>
      <c r="HLL108" s="1" t="s">
        <v>122</v>
      </c>
      <c r="HLM108" s="1" t="s">
        <v>122</v>
      </c>
      <c r="HLN108" s="1" t="s">
        <v>122</v>
      </c>
      <c r="HLO108" s="1" t="s">
        <v>122</v>
      </c>
      <c r="HLP108" s="1" t="s">
        <v>122</v>
      </c>
      <c r="HLQ108" s="1" t="s">
        <v>122</v>
      </c>
      <c r="HLR108" s="1" t="s">
        <v>122</v>
      </c>
      <c r="HLS108" s="1" t="s">
        <v>122</v>
      </c>
      <c r="HLT108" s="1" t="s">
        <v>122</v>
      </c>
      <c r="HLU108" s="1" t="s">
        <v>122</v>
      </c>
      <c r="HLV108" s="1" t="s">
        <v>122</v>
      </c>
      <c r="HLW108" s="1" t="s">
        <v>122</v>
      </c>
      <c r="HLX108" s="1" t="s">
        <v>122</v>
      </c>
      <c r="HLY108" s="1" t="s">
        <v>122</v>
      </c>
      <c r="HLZ108" s="1" t="s">
        <v>122</v>
      </c>
      <c r="HMA108" s="1" t="s">
        <v>122</v>
      </c>
      <c r="HMB108" s="1" t="s">
        <v>122</v>
      </c>
      <c r="HMC108" s="1" t="s">
        <v>122</v>
      </c>
      <c r="HMD108" s="1" t="s">
        <v>122</v>
      </c>
      <c r="HME108" s="1" t="s">
        <v>122</v>
      </c>
      <c r="HMF108" s="1" t="s">
        <v>122</v>
      </c>
      <c r="HMG108" s="1" t="s">
        <v>122</v>
      </c>
      <c r="HMH108" s="1" t="s">
        <v>122</v>
      </c>
      <c r="HMI108" s="1" t="s">
        <v>122</v>
      </c>
      <c r="HMJ108" s="1" t="s">
        <v>122</v>
      </c>
      <c r="HMK108" s="1" t="s">
        <v>122</v>
      </c>
      <c r="HML108" s="1" t="s">
        <v>122</v>
      </c>
      <c r="HMM108" s="1" t="s">
        <v>122</v>
      </c>
      <c r="HMN108" s="1" t="s">
        <v>122</v>
      </c>
      <c r="HMO108" s="1" t="s">
        <v>122</v>
      </c>
      <c r="HMP108" s="1" t="s">
        <v>122</v>
      </c>
      <c r="HMQ108" s="1" t="s">
        <v>122</v>
      </c>
      <c r="HMR108" s="1" t="s">
        <v>122</v>
      </c>
      <c r="HMS108" s="1" t="s">
        <v>122</v>
      </c>
      <c r="HMT108" s="1" t="s">
        <v>122</v>
      </c>
      <c r="HMU108" s="1" t="s">
        <v>122</v>
      </c>
      <c r="HMV108" s="1" t="s">
        <v>122</v>
      </c>
      <c r="HMW108" s="1" t="s">
        <v>122</v>
      </c>
      <c r="HMX108" s="1" t="s">
        <v>122</v>
      </c>
      <c r="HMY108" s="1" t="s">
        <v>122</v>
      </c>
      <c r="HMZ108" s="1" t="s">
        <v>122</v>
      </c>
      <c r="HNA108" s="1" t="s">
        <v>122</v>
      </c>
      <c r="HNB108" s="1" t="s">
        <v>122</v>
      </c>
      <c r="HNC108" s="1" t="s">
        <v>122</v>
      </c>
      <c r="HND108" s="1" t="s">
        <v>122</v>
      </c>
      <c r="HNE108" s="1" t="s">
        <v>122</v>
      </c>
      <c r="HNF108" s="1" t="s">
        <v>122</v>
      </c>
      <c r="HNG108" s="1" t="s">
        <v>122</v>
      </c>
      <c r="HNH108" s="1" t="s">
        <v>122</v>
      </c>
      <c r="HNI108" s="1" t="s">
        <v>122</v>
      </c>
      <c r="HNJ108" s="1" t="s">
        <v>122</v>
      </c>
      <c r="HNK108" s="1" t="s">
        <v>122</v>
      </c>
      <c r="HNL108" s="1" t="s">
        <v>122</v>
      </c>
      <c r="HNM108" s="1" t="s">
        <v>122</v>
      </c>
      <c r="HNN108" s="1" t="s">
        <v>122</v>
      </c>
      <c r="HNO108" s="1" t="s">
        <v>122</v>
      </c>
      <c r="HNP108" s="1" t="s">
        <v>122</v>
      </c>
      <c r="HNQ108" s="1" t="s">
        <v>122</v>
      </c>
      <c r="HNR108" s="1" t="s">
        <v>122</v>
      </c>
      <c r="HNS108" s="1" t="s">
        <v>122</v>
      </c>
      <c r="HNT108" s="1" t="s">
        <v>122</v>
      </c>
      <c r="HNU108" s="1" t="s">
        <v>122</v>
      </c>
      <c r="HNV108" s="1" t="s">
        <v>122</v>
      </c>
      <c r="HNW108" s="1" t="s">
        <v>122</v>
      </c>
      <c r="HNX108" s="1" t="s">
        <v>122</v>
      </c>
      <c r="HNY108" s="1" t="s">
        <v>122</v>
      </c>
      <c r="HNZ108" s="1" t="s">
        <v>122</v>
      </c>
      <c r="HOA108" s="1" t="s">
        <v>122</v>
      </c>
      <c r="HOB108" s="1" t="s">
        <v>122</v>
      </c>
      <c r="HOC108" s="1" t="s">
        <v>122</v>
      </c>
      <c r="HOD108" s="1" t="s">
        <v>122</v>
      </c>
      <c r="HOE108" s="1" t="s">
        <v>122</v>
      </c>
      <c r="HOF108" s="1" t="s">
        <v>122</v>
      </c>
      <c r="HOG108" s="1" t="s">
        <v>122</v>
      </c>
      <c r="HOH108" s="1" t="s">
        <v>122</v>
      </c>
      <c r="HOI108" s="1" t="s">
        <v>122</v>
      </c>
      <c r="HOJ108" s="1" t="s">
        <v>122</v>
      </c>
      <c r="HOK108" s="1" t="s">
        <v>122</v>
      </c>
      <c r="HOL108" s="1" t="s">
        <v>122</v>
      </c>
      <c r="HOM108" s="1" t="s">
        <v>122</v>
      </c>
      <c r="HON108" s="1" t="s">
        <v>122</v>
      </c>
      <c r="HOO108" s="1" t="s">
        <v>122</v>
      </c>
      <c r="HOP108" s="1" t="s">
        <v>122</v>
      </c>
      <c r="HOQ108" s="1" t="s">
        <v>122</v>
      </c>
      <c r="HOR108" s="1" t="s">
        <v>122</v>
      </c>
      <c r="HOS108" s="1" t="s">
        <v>122</v>
      </c>
      <c r="HOT108" s="1" t="s">
        <v>122</v>
      </c>
      <c r="HOU108" s="1" t="s">
        <v>122</v>
      </c>
      <c r="HOV108" s="1" t="s">
        <v>122</v>
      </c>
      <c r="HOW108" s="1" t="s">
        <v>122</v>
      </c>
      <c r="HOX108" s="1" t="s">
        <v>122</v>
      </c>
      <c r="HOY108" s="1" t="s">
        <v>122</v>
      </c>
      <c r="HOZ108" s="1" t="s">
        <v>122</v>
      </c>
      <c r="HPA108" s="1" t="s">
        <v>122</v>
      </c>
      <c r="HPB108" s="1" t="s">
        <v>122</v>
      </c>
      <c r="HPC108" s="1" t="s">
        <v>122</v>
      </c>
      <c r="HPD108" s="1" t="s">
        <v>122</v>
      </c>
      <c r="HPE108" s="1" t="s">
        <v>122</v>
      </c>
      <c r="HPF108" s="1" t="s">
        <v>122</v>
      </c>
      <c r="HPG108" s="1" t="s">
        <v>122</v>
      </c>
      <c r="HPH108" s="1" t="s">
        <v>122</v>
      </c>
      <c r="HPI108" s="1" t="s">
        <v>122</v>
      </c>
      <c r="HPJ108" s="1" t="s">
        <v>122</v>
      </c>
      <c r="HPK108" s="1" t="s">
        <v>122</v>
      </c>
      <c r="HPL108" s="1" t="s">
        <v>122</v>
      </c>
      <c r="HPM108" s="1" t="s">
        <v>122</v>
      </c>
      <c r="HPN108" s="1" t="s">
        <v>122</v>
      </c>
      <c r="HPO108" s="1" t="s">
        <v>122</v>
      </c>
      <c r="HPP108" s="1" t="s">
        <v>122</v>
      </c>
      <c r="HPQ108" s="1" t="s">
        <v>122</v>
      </c>
      <c r="HPR108" s="1" t="s">
        <v>122</v>
      </c>
      <c r="HPS108" s="1" t="s">
        <v>122</v>
      </c>
      <c r="HPT108" s="1" t="s">
        <v>122</v>
      </c>
      <c r="HPU108" s="1" t="s">
        <v>122</v>
      </c>
      <c r="HPV108" s="1" t="s">
        <v>122</v>
      </c>
      <c r="HPW108" s="1" t="s">
        <v>122</v>
      </c>
      <c r="HPX108" s="1" t="s">
        <v>122</v>
      </c>
      <c r="HPY108" s="1" t="s">
        <v>122</v>
      </c>
      <c r="HPZ108" s="1" t="s">
        <v>122</v>
      </c>
      <c r="HQA108" s="1" t="s">
        <v>122</v>
      </c>
      <c r="HQB108" s="1" t="s">
        <v>122</v>
      </c>
      <c r="HQC108" s="1" t="s">
        <v>122</v>
      </c>
      <c r="HQD108" s="1" t="s">
        <v>122</v>
      </c>
      <c r="HQE108" s="1" t="s">
        <v>122</v>
      </c>
      <c r="HQF108" s="1" t="s">
        <v>122</v>
      </c>
      <c r="HQG108" s="1" t="s">
        <v>122</v>
      </c>
      <c r="HQH108" s="1" t="s">
        <v>122</v>
      </c>
      <c r="HQI108" s="1" t="s">
        <v>122</v>
      </c>
      <c r="HQJ108" s="1" t="s">
        <v>122</v>
      </c>
      <c r="HQK108" s="1" t="s">
        <v>122</v>
      </c>
      <c r="HQL108" s="1" t="s">
        <v>122</v>
      </c>
      <c r="HQM108" s="1" t="s">
        <v>122</v>
      </c>
      <c r="HQN108" s="1" t="s">
        <v>122</v>
      </c>
      <c r="HQO108" s="1" t="s">
        <v>122</v>
      </c>
      <c r="HQP108" s="1" t="s">
        <v>122</v>
      </c>
      <c r="HQQ108" s="1" t="s">
        <v>122</v>
      </c>
      <c r="HQR108" s="1" t="s">
        <v>122</v>
      </c>
      <c r="HQS108" s="1" t="s">
        <v>122</v>
      </c>
      <c r="HQT108" s="1" t="s">
        <v>122</v>
      </c>
      <c r="HQU108" s="1" t="s">
        <v>122</v>
      </c>
      <c r="HQV108" s="1" t="s">
        <v>122</v>
      </c>
      <c r="HQW108" s="1" t="s">
        <v>122</v>
      </c>
      <c r="HQX108" s="1" t="s">
        <v>122</v>
      </c>
      <c r="HQY108" s="1" t="s">
        <v>122</v>
      </c>
      <c r="HQZ108" s="1" t="s">
        <v>122</v>
      </c>
      <c r="HRA108" s="1" t="s">
        <v>122</v>
      </c>
      <c r="HRB108" s="1" t="s">
        <v>122</v>
      </c>
      <c r="HRC108" s="1" t="s">
        <v>122</v>
      </c>
      <c r="HRD108" s="1" t="s">
        <v>122</v>
      </c>
      <c r="HRE108" s="1" t="s">
        <v>122</v>
      </c>
      <c r="HRF108" s="1" t="s">
        <v>122</v>
      </c>
      <c r="HRG108" s="1" t="s">
        <v>122</v>
      </c>
      <c r="HRH108" s="1" t="s">
        <v>122</v>
      </c>
      <c r="HRI108" s="1" t="s">
        <v>122</v>
      </c>
      <c r="HRJ108" s="1" t="s">
        <v>122</v>
      </c>
      <c r="HRK108" s="1" t="s">
        <v>122</v>
      </c>
      <c r="HRL108" s="1" t="s">
        <v>122</v>
      </c>
      <c r="HRM108" s="1" t="s">
        <v>122</v>
      </c>
      <c r="HRN108" s="1" t="s">
        <v>122</v>
      </c>
      <c r="HRO108" s="1" t="s">
        <v>122</v>
      </c>
      <c r="HRP108" s="1" t="s">
        <v>122</v>
      </c>
      <c r="HRQ108" s="1" t="s">
        <v>122</v>
      </c>
      <c r="HRR108" s="1" t="s">
        <v>122</v>
      </c>
      <c r="HRS108" s="1" t="s">
        <v>122</v>
      </c>
      <c r="HRT108" s="1" t="s">
        <v>122</v>
      </c>
      <c r="HRU108" s="1" t="s">
        <v>122</v>
      </c>
      <c r="HRV108" s="1" t="s">
        <v>122</v>
      </c>
      <c r="HRW108" s="1" t="s">
        <v>122</v>
      </c>
      <c r="HRX108" s="1" t="s">
        <v>122</v>
      </c>
      <c r="HRY108" s="1" t="s">
        <v>122</v>
      </c>
      <c r="HRZ108" s="1" t="s">
        <v>122</v>
      </c>
      <c r="HSA108" s="1" t="s">
        <v>122</v>
      </c>
      <c r="HSB108" s="1" t="s">
        <v>122</v>
      </c>
      <c r="HSC108" s="1" t="s">
        <v>122</v>
      </c>
      <c r="HSD108" s="1" t="s">
        <v>122</v>
      </c>
      <c r="HSE108" s="1" t="s">
        <v>122</v>
      </c>
      <c r="HSF108" s="1" t="s">
        <v>122</v>
      </c>
      <c r="HSG108" s="1" t="s">
        <v>122</v>
      </c>
      <c r="HSH108" s="1" t="s">
        <v>122</v>
      </c>
      <c r="HSI108" s="1" t="s">
        <v>122</v>
      </c>
      <c r="HSJ108" s="1" t="s">
        <v>122</v>
      </c>
      <c r="HSK108" s="1" t="s">
        <v>122</v>
      </c>
      <c r="HSL108" s="1" t="s">
        <v>122</v>
      </c>
      <c r="HSM108" s="1" t="s">
        <v>122</v>
      </c>
      <c r="HSN108" s="1" t="s">
        <v>122</v>
      </c>
      <c r="HSO108" s="1" t="s">
        <v>122</v>
      </c>
      <c r="HSP108" s="1" t="s">
        <v>122</v>
      </c>
      <c r="HSQ108" s="1" t="s">
        <v>122</v>
      </c>
      <c r="HSR108" s="1" t="s">
        <v>122</v>
      </c>
      <c r="HSS108" s="1" t="s">
        <v>122</v>
      </c>
      <c r="HST108" s="1" t="s">
        <v>122</v>
      </c>
      <c r="HSU108" s="1" t="s">
        <v>122</v>
      </c>
      <c r="HSV108" s="1" t="s">
        <v>122</v>
      </c>
      <c r="HSW108" s="1" t="s">
        <v>122</v>
      </c>
      <c r="HSX108" s="1" t="s">
        <v>122</v>
      </c>
      <c r="HSY108" s="1" t="s">
        <v>122</v>
      </c>
      <c r="HSZ108" s="1" t="s">
        <v>122</v>
      </c>
      <c r="HTA108" s="1" t="s">
        <v>122</v>
      </c>
      <c r="HTB108" s="1" t="s">
        <v>122</v>
      </c>
      <c r="HTC108" s="1" t="s">
        <v>122</v>
      </c>
      <c r="HTD108" s="1" t="s">
        <v>122</v>
      </c>
      <c r="HTE108" s="1" t="s">
        <v>122</v>
      </c>
      <c r="HTF108" s="1" t="s">
        <v>122</v>
      </c>
      <c r="HTG108" s="1" t="s">
        <v>122</v>
      </c>
      <c r="HTH108" s="1" t="s">
        <v>122</v>
      </c>
      <c r="HTI108" s="1" t="s">
        <v>122</v>
      </c>
      <c r="HTJ108" s="1" t="s">
        <v>122</v>
      </c>
      <c r="HTK108" s="1" t="s">
        <v>122</v>
      </c>
      <c r="HTL108" s="1" t="s">
        <v>122</v>
      </c>
      <c r="HTM108" s="1" t="s">
        <v>122</v>
      </c>
      <c r="HTN108" s="1" t="s">
        <v>122</v>
      </c>
      <c r="HTO108" s="1" t="s">
        <v>122</v>
      </c>
      <c r="HTP108" s="1" t="s">
        <v>122</v>
      </c>
      <c r="HTQ108" s="1" t="s">
        <v>122</v>
      </c>
      <c r="HTR108" s="1" t="s">
        <v>122</v>
      </c>
      <c r="HTS108" s="1" t="s">
        <v>122</v>
      </c>
      <c r="HTT108" s="1" t="s">
        <v>122</v>
      </c>
      <c r="HTU108" s="1" t="s">
        <v>122</v>
      </c>
      <c r="HTV108" s="1" t="s">
        <v>122</v>
      </c>
      <c r="HTW108" s="1" t="s">
        <v>122</v>
      </c>
      <c r="HTX108" s="1" t="s">
        <v>122</v>
      </c>
      <c r="HTY108" s="1" t="s">
        <v>122</v>
      </c>
      <c r="HTZ108" s="1" t="s">
        <v>122</v>
      </c>
      <c r="HUA108" s="1" t="s">
        <v>122</v>
      </c>
      <c r="HUB108" s="1" t="s">
        <v>122</v>
      </c>
      <c r="HUC108" s="1" t="s">
        <v>122</v>
      </c>
      <c r="HUD108" s="1" t="s">
        <v>122</v>
      </c>
      <c r="HUE108" s="1" t="s">
        <v>122</v>
      </c>
      <c r="HUF108" s="1" t="s">
        <v>122</v>
      </c>
      <c r="HUG108" s="1" t="s">
        <v>122</v>
      </c>
      <c r="HUH108" s="1" t="s">
        <v>122</v>
      </c>
      <c r="HUI108" s="1" t="s">
        <v>122</v>
      </c>
      <c r="HUJ108" s="1" t="s">
        <v>122</v>
      </c>
      <c r="HUK108" s="1" t="s">
        <v>122</v>
      </c>
      <c r="HUL108" s="1" t="s">
        <v>122</v>
      </c>
      <c r="HUM108" s="1" t="s">
        <v>122</v>
      </c>
      <c r="HUN108" s="1" t="s">
        <v>122</v>
      </c>
      <c r="HUO108" s="1" t="s">
        <v>122</v>
      </c>
      <c r="HUP108" s="1" t="s">
        <v>122</v>
      </c>
      <c r="HUQ108" s="1" t="s">
        <v>122</v>
      </c>
      <c r="HUR108" s="1" t="s">
        <v>122</v>
      </c>
      <c r="HUS108" s="1" t="s">
        <v>122</v>
      </c>
      <c r="HUT108" s="1" t="s">
        <v>122</v>
      </c>
      <c r="HUU108" s="1" t="s">
        <v>122</v>
      </c>
      <c r="HUV108" s="1" t="s">
        <v>122</v>
      </c>
      <c r="HUW108" s="1" t="s">
        <v>122</v>
      </c>
      <c r="HUX108" s="1" t="s">
        <v>122</v>
      </c>
      <c r="HUY108" s="1" t="s">
        <v>122</v>
      </c>
      <c r="HUZ108" s="1" t="s">
        <v>122</v>
      </c>
      <c r="HVA108" s="1" t="s">
        <v>122</v>
      </c>
      <c r="HVB108" s="1" t="s">
        <v>122</v>
      </c>
      <c r="HVC108" s="1" t="s">
        <v>122</v>
      </c>
      <c r="HVD108" s="1" t="s">
        <v>122</v>
      </c>
      <c r="HVE108" s="1" t="s">
        <v>122</v>
      </c>
      <c r="HVF108" s="1" t="s">
        <v>122</v>
      </c>
      <c r="HVG108" s="1" t="s">
        <v>122</v>
      </c>
      <c r="HVH108" s="1" t="s">
        <v>122</v>
      </c>
      <c r="HVI108" s="1" t="s">
        <v>122</v>
      </c>
      <c r="HVJ108" s="1" t="s">
        <v>122</v>
      </c>
      <c r="HVK108" s="1" t="s">
        <v>122</v>
      </c>
      <c r="HVL108" s="1" t="s">
        <v>122</v>
      </c>
      <c r="HVM108" s="1" t="s">
        <v>122</v>
      </c>
      <c r="HVN108" s="1" t="s">
        <v>122</v>
      </c>
      <c r="HVO108" s="1" t="s">
        <v>122</v>
      </c>
      <c r="HVP108" s="1" t="s">
        <v>122</v>
      </c>
      <c r="HVQ108" s="1" t="s">
        <v>122</v>
      </c>
      <c r="HVR108" s="1" t="s">
        <v>122</v>
      </c>
      <c r="HVS108" s="1" t="s">
        <v>122</v>
      </c>
      <c r="HVT108" s="1" t="s">
        <v>122</v>
      </c>
      <c r="HVU108" s="1" t="s">
        <v>122</v>
      </c>
      <c r="HVV108" s="1" t="s">
        <v>122</v>
      </c>
      <c r="HVW108" s="1" t="s">
        <v>122</v>
      </c>
      <c r="HVX108" s="1" t="s">
        <v>122</v>
      </c>
      <c r="HVY108" s="1" t="s">
        <v>122</v>
      </c>
      <c r="HVZ108" s="1" t="s">
        <v>122</v>
      </c>
      <c r="HWA108" s="1" t="s">
        <v>122</v>
      </c>
      <c r="HWB108" s="1" t="s">
        <v>122</v>
      </c>
      <c r="HWC108" s="1" t="s">
        <v>122</v>
      </c>
      <c r="HWD108" s="1" t="s">
        <v>122</v>
      </c>
      <c r="HWE108" s="1" t="s">
        <v>122</v>
      </c>
      <c r="HWF108" s="1" t="s">
        <v>122</v>
      </c>
      <c r="HWG108" s="1" t="s">
        <v>122</v>
      </c>
      <c r="HWH108" s="1" t="s">
        <v>122</v>
      </c>
      <c r="HWI108" s="1" t="s">
        <v>122</v>
      </c>
      <c r="HWJ108" s="1" t="s">
        <v>122</v>
      </c>
      <c r="HWK108" s="1" t="s">
        <v>122</v>
      </c>
      <c r="HWL108" s="1" t="s">
        <v>122</v>
      </c>
      <c r="HWM108" s="1" t="s">
        <v>122</v>
      </c>
      <c r="HWN108" s="1" t="s">
        <v>122</v>
      </c>
      <c r="HWO108" s="1" t="s">
        <v>122</v>
      </c>
      <c r="HWP108" s="1" t="s">
        <v>122</v>
      </c>
      <c r="HWQ108" s="1" t="s">
        <v>122</v>
      </c>
      <c r="HWR108" s="1" t="s">
        <v>122</v>
      </c>
      <c r="HWS108" s="1" t="s">
        <v>122</v>
      </c>
      <c r="HWT108" s="1" t="s">
        <v>122</v>
      </c>
      <c r="HWU108" s="1" t="s">
        <v>122</v>
      </c>
      <c r="HWV108" s="1" t="s">
        <v>122</v>
      </c>
      <c r="HWW108" s="1" t="s">
        <v>122</v>
      </c>
      <c r="HWX108" s="1" t="s">
        <v>122</v>
      </c>
      <c r="HWY108" s="1" t="s">
        <v>122</v>
      </c>
      <c r="HWZ108" s="1" t="s">
        <v>122</v>
      </c>
      <c r="HXA108" s="1" t="s">
        <v>122</v>
      </c>
      <c r="HXB108" s="1" t="s">
        <v>122</v>
      </c>
      <c r="HXC108" s="1" t="s">
        <v>122</v>
      </c>
      <c r="HXD108" s="1" t="s">
        <v>122</v>
      </c>
      <c r="HXE108" s="1" t="s">
        <v>122</v>
      </c>
      <c r="HXF108" s="1" t="s">
        <v>122</v>
      </c>
      <c r="HXG108" s="1" t="s">
        <v>122</v>
      </c>
      <c r="HXH108" s="1" t="s">
        <v>122</v>
      </c>
      <c r="HXI108" s="1" t="s">
        <v>122</v>
      </c>
      <c r="HXJ108" s="1" t="s">
        <v>122</v>
      </c>
      <c r="HXK108" s="1" t="s">
        <v>122</v>
      </c>
      <c r="HXL108" s="1" t="s">
        <v>122</v>
      </c>
      <c r="HXM108" s="1" t="s">
        <v>122</v>
      </c>
      <c r="HXN108" s="1" t="s">
        <v>122</v>
      </c>
      <c r="HXO108" s="1" t="s">
        <v>122</v>
      </c>
      <c r="HXP108" s="1" t="s">
        <v>122</v>
      </c>
      <c r="HXQ108" s="1" t="s">
        <v>122</v>
      </c>
      <c r="HXR108" s="1" t="s">
        <v>122</v>
      </c>
      <c r="HXS108" s="1" t="s">
        <v>122</v>
      </c>
      <c r="HXT108" s="1" t="s">
        <v>122</v>
      </c>
      <c r="HXU108" s="1" t="s">
        <v>122</v>
      </c>
      <c r="HXV108" s="1" t="s">
        <v>122</v>
      </c>
      <c r="HXW108" s="1" t="s">
        <v>122</v>
      </c>
      <c r="HXX108" s="1" t="s">
        <v>122</v>
      </c>
      <c r="HXY108" s="1" t="s">
        <v>122</v>
      </c>
      <c r="HXZ108" s="1" t="s">
        <v>122</v>
      </c>
      <c r="HYA108" s="1" t="s">
        <v>122</v>
      </c>
      <c r="HYB108" s="1" t="s">
        <v>122</v>
      </c>
      <c r="HYC108" s="1" t="s">
        <v>122</v>
      </c>
      <c r="HYD108" s="1" t="s">
        <v>122</v>
      </c>
      <c r="HYE108" s="1" t="s">
        <v>122</v>
      </c>
      <c r="HYF108" s="1" t="s">
        <v>122</v>
      </c>
      <c r="HYG108" s="1" t="s">
        <v>122</v>
      </c>
      <c r="HYH108" s="1" t="s">
        <v>122</v>
      </c>
      <c r="HYI108" s="1" t="s">
        <v>122</v>
      </c>
      <c r="HYJ108" s="1" t="s">
        <v>122</v>
      </c>
      <c r="HYK108" s="1" t="s">
        <v>122</v>
      </c>
      <c r="HYL108" s="1" t="s">
        <v>122</v>
      </c>
      <c r="HYM108" s="1" t="s">
        <v>122</v>
      </c>
      <c r="HYN108" s="1" t="s">
        <v>122</v>
      </c>
      <c r="HYO108" s="1" t="s">
        <v>122</v>
      </c>
      <c r="HYP108" s="1" t="s">
        <v>122</v>
      </c>
      <c r="HYQ108" s="1" t="s">
        <v>122</v>
      </c>
      <c r="HYR108" s="1" t="s">
        <v>122</v>
      </c>
      <c r="HYS108" s="1" t="s">
        <v>122</v>
      </c>
      <c r="HYT108" s="1" t="s">
        <v>122</v>
      </c>
      <c r="HYU108" s="1" t="s">
        <v>122</v>
      </c>
      <c r="HYV108" s="1" t="s">
        <v>122</v>
      </c>
      <c r="HYW108" s="1" t="s">
        <v>122</v>
      </c>
      <c r="HYX108" s="1" t="s">
        <v>122</v>
      </c>
      <c r="HYY108" s="1" t="s">
        <v>122</v>
      </c>
      <c r="HYZ108" s="1" t="s">
        <v>122</v>
      </c>
      <c r="HZA108" s="1" t="s">
        <v>122</v>
      </c>
      <c r="HZB108" s="1" t="s">
        <v>122</v>
      </c>
      <c r="HZC108" s="1" t="s">
        <v>122</v>
      </c>
      <c r="HZD108" s="1" t="s">
        <v>122</v>
      </c>
      <c r="HZE108" s="1" t="s">
        <v>122</v>
      </c>
      <c r="HZF108" s="1" t="s">
        <v>122</v>
      </c>
      <c r="HZG108" s="1" t="s">
        <v>122</v>
      </c>
      <c r="HZH108" s="1" t="s">
        <v>122</v>
      </c>
      <c r="HZI108" s="1" t="s">
        <v>122</v>
      </c>
      <c r="HZJ108" s="1" t="s">
        <v>122</v>
      </c>
      <c r="HZK108" s="1" t="s">
        <v>122</v>
      </c>
      <c r="HZL108" s="1" t="s">
        <v>122</v>
      </c>
      <c r="HZM108" s="1" t="s">
        <v>122</v>
      </c>
      <c r="HZN108" s="1" t="s">
        <v>122</v>
      </c>
      <c r="HZO108" s="1" t="s">
        <v>122</v>
      </c>
      <c r="HZP108" s="1" t="s">
        <v>122</v>
      </c>
      <c r="HZQ108" s="1" t="s">
        <v>122</v>
      </c>
      <c r="HZR108" s="1" t="s">
        <v>122</v>
      </c>
      <c r="HZS108" s="1" t="s">
        <v>122</v>
      </c>
      <c r="HZT108" s="1" t="s">
        <v>122</v>
      </c>
      <c r="HZU108" s="1" t="s">
        <v>122</v>
      </c>
      <c r="HZV108" s="1" t="s">
        <v>122</v>
      </c>
      <c r="HZW108" s="1" t="s">
        <v>122</v>
      </c>
      <c r="HZX108" s="1" t="s">
        <v>122</v>
      </c>
      <c r="HZY108" s="1" t="s">
        <v>122</v>
      </c>
      <c r="HZZ108" s="1" t="s">
        <v>122</v>
      </c>
      <c r="IAA108" s="1" t="s">
        <v>122</v>
      </c>
      <c r="IAB108" s="1" t="s">
        <v>122</v>
      </c>
      <c r="IAC108" s="1" t="s">
        <v>122</v>
      </c>
      <c r="IAD108" s="1" t="s">
        <v>122</v>
      </c>
      <c r="IAE108" s="1" t="s">
        <v>122</v>
      </c>
      <c r="IAF108" s="1" t="s">
        <v>122</v>
      </c>
      <c r="IAG108" s="1" t="s">
        <v>122</v>
      </c>
      <c r="IAH108" s="1" t="s">
        <v>122</v>
      </c>
      <c r="IAI108" s="1" t="s">
        <v>122</v>
      </c>
      <c r="IAJ108" s="1" t="s">
        <v>122</v>
      </c>
      <c r="IAK108" s="1" t="s">
        <v>122</v>
      </c>
      <c r="IAL108" s="1" t="s">
        <v>122</v>
      </c>
      <c r="IAM108" s="1" t="s">
        <v>122</v>
      </c>
      <c r="IAN108" s="1" t="s">
        <v>122</v>
      </c>
      <c r="IAO108" s="1" t="s">
        <v>122</v>
      </c>
      <c r="IAP108" s="1" t="s">
        <v>122</v>
      </c>
      <c r="IAQ108" s="1" t="s">
        <v>122</v>
      </c>
      <c r="IAR108" s="1" t="s">
        <v>122</v>
      </c>
      <c r="IAS108" s="1" t="s">
        <v>122</v>
      </c>
      <c r="IAT108" s="1" t="s">
        <v>122</v>
      </c>
      <c r="IAU108" s="1" t="s">
        <v>122</v>
      </c>
      <c r="IAV108" s="1" t="s">
        <v>122</v>
      </c>
      <c r="IAW108" s="1" t="s">
        <v>122</v>
      </c>
      <c r="IAX108" s="1" t="s">
        <v>122</v>
      </c>
      <c r="IAY108" s="1" t="s">
        <v>122</v>
      </c>
      <c r="IAZ108" s="1" t="s">
        <v>122</v>
      </c>
      <c r="IBA108" s="1" t="s">
        <v>122</v>
      </c>
      <c r="IBB108" s="1" t="s">
        <v>122</v>
      </c>
      <c r="IBC108" s="1" t="s">
        <v>122</v>
      </c>
      <c r="IBD108" s="1" t="s">
        <v>122</v>
      </c>
      <c r="IBE108" s="1" t="s">
        <v>122</v>
      </c>
      <c r="IBF108" s="1" t="s">
        <v>122</v>
      </c>
      <c r="IBG108" s="1" t="s">
        <v>122</v>
      </c>
      <c r="IBH108" s="1" t="s">
        <v>122</v>
      </c>
      <c r="IBI108" s="1" t="s">
        <v>122</v>
      </c>
      <c r="IBJ108" s="1" t="s">
        <v>122</v>
      </c>
      <c r="IBK108" s="1" t="s">
        <v>122</v>
      </c>
      <c r="IBL108" s="1" t="s">
        <v>122</v>
      </c>
      <c r="IBM108" s="1" t="s">
        <v>122</v>
      </c>
      <c r="IBN108" s="1" t="s">
        <v>122</v>
      </c>
      <c r="IBO108" s="1" t="s">
        <v>122</v>
      </c>
      <c r="IBP108" s="1" t="s">
        <v>122</v>
      </c>
      <c r="IBQ108" s="1" t="s">
        <v>122</v>
      </c>
      <c r="IBR108" s="1" t="s">
        <v>122</v>
      </c>
      <c r="IBS108" s="1" t="s">
        <v>122</v>
      </c>
      <c r="IBT108" s="1" t="s">
        <v>122</v>
      </c>
      <c r="IBU108" s="1" t="s">
        <v>122</v>
      </c>
      <c r="IBV108" s="1" t="s">
        <v>122</v>
      </c>
      <c r="IBW108" s="1" t="s">
        <v>122</v>
      </c>
      <c r="IBX108" s="1" t="s">
        <v>122</v>
      </c>
      <c r="IBY108" s="1" t="s">
        <v>122</v>
      </c>
      <c r="IBZ108" s="1" t="s">
        <v>122</v>
      </c>
      <c r="ICA108" s="1" t="s">
        <v>122</v>
      </c>
      <c r="ICB108" s="1" t="s">
        <v>122</v>
      </c>
      <c r="ICC108" s="1" t="s">
        <v>122</v>
      </c>
      <c r="ICD108" s="1" t="s">
        <v>122</v>
      </c>
      <c r="ICE108" s="1" t="s">
        <v>122</v>
      </c>
      <c r="ICF108" s="1" t="s">
        <v>122</v>
      </c>
      <c r="ICG108" s="1" t="s">
        <v>122</v>
      </c>
      <c r="ICH108" s="1" t="s">
        <v>122</v>
      </c>
      <c r="ICI108" s="1" t="s">
        <v>122</v>
      </c>
      <c r="ICJ108" s="1" t="s">
        <v>122</v>
      </c>
      <c r="ICK108" s="1" t="s">
        <v>122</v>
      </c>
      <c r="ICL108" s="1" t="s">
        <v>122</v>
      </c>
      <c r="ICM108" s="1" t="s">
        <v>122</v>
      </c>
      <c r="ICN108" s="1" t="s">
        <v>122</v>
      </c>
      <c r="ICO108" s="1" t="s">
        <v>122</v>
      </c>
      <c r="ICP108" s="1" t="s">
        <v>122</v>
      </c>
      <c r="ICQ108" s="1" t="s">
        <v>122</v>
      </c>
      <c r="ICR108" s="1" t="s">
        <v>122</v>
      </c>
      <c r="ICS108" s="1" t="s">
        <v>122</v>
      </c>
      <c r="ICT108" s="1" t="s">
        <v>122</v>
      </c>
      <c r="ICU108" s="1" t="s">
        <v>122</v>
      </c>
      <c r="ICV108" s="1" t="s">
        <v>122</v>
      </c>
      <c r="ICW108" s="1" t="s">
        <v>122</v>
      </c>
      <c r="ICX108" s="1" t="s">
        <v>122</v>
      </c>
      <c r="ICY108" s="1" t="s">
        <v>122</v>
      </c>
      <c r="ICZ108" s="1" t="s">
        <v>122</v>
      </c>
      <c r="IDA108" s="1" t="s">
        <v>122</v>
      </c>
      <c r="IDB108" s="1" t="s">
        <v>122</v>
      </c>
      <c r="IDC108" s="1" t="s">
        <v>122</v>
      </c>
      <c r="IDD108" s="1" t="s">
        <v>122</v>
      </c>
      <c r="IDE108" s="1" t="s">
        <v>122</v>
      </c>
      <c r="IDF108" s="1" t="s">
        <v>122</v>
      </c>
      <c r="IDG108" s="1" t="s">
        <v>122</v>
      </c>
      <c r="IDH108" s="1" t="s">
        <v>122</v>
      </c>
      <c r="IDI108" s="1" t="s">
        <v>122</v>
      </c>
      <c r="IDJ108" s="1" t="s">
        <v>122</v>
      </c>
      <c r="IDK108" s="1" t="s">
        <v>122</v>
      </c>
      <c r="IDL108" s="1" t="s">
        <v>122</v>
      </c>
      <c r="IDM108" s="1" t="s">
        <v>122</v>
      </c>
      <c r="IDN108" s="1" t="s">
        <v>122</v>
      </c>
      <c r="IDO108" s="1" t="s">
        <v>122</v>
      </c>
      <c r="IDP108" s="1" t="s">
        <v>122</v>
      </c>
      <c r="IDQ108" s="1" t="s">
        <v>122</v>
      </c>
      <c r="IDR108" s="1" t="s">
        <v>122</v>
      </c>
      <c r="IDS108" s="1" t="s">
        <v>122</v>
      </c>
      <c r="IDT108" s="1" t="s">
        <v>122</v>
      </c>
      <c r="IDU108" s="1" t="s">
        <v>122</v>
      </c>
      <c r="IDV108" s="1" t="s">
        <v>122</v>
      </c>
      <c r="IDW108" s="1" t="s">
        <v>122</v>
      </c>
      <c r="IDX108" s="1" t="s">
        <v>122</v>
      </c>
      <c r="IDY108" s="1" t="s">
        <v>122</v>
      </c>
      <c r="IDZ108" s="1" t="s">
        <v>122</v>
      </c>
      <c r="IEA108" s="1" t="s">
        <v>122</v>
      </c>
      <c r="IEB108" s="1" t="s">
        <v>122</v>
      </c>
      <c r="IEC108" s="1" t="s">
        <v>122</v>
      </c>
      <c r="IED108" s="1" t="s">
        <v>122</v>
      </c>
      <c r="IEE108" s="1" t="s">
        <v>122</v>
      </c>
      <c r="IEF108" s="1" t="s">
        <v>122</v>
      </c>
      <c r="IEG108" s="1" t="s">
        <v>122</v>
      </c>
      <c r="IEH108" s="1" t="s">
        <v>122</v>
      </c>
      <c r="IEI108" s="1" t="s">
        <v>122</v>
      </c>
      <c r="IEJ108" s="1" t="s">
        <v>122</v>
      </c>
      <c r="IEK108" s="1" t="s">
        <v>122</v>
      </c>
      <c r="IEL108" s="1" t="s">
        <v>122</v>
      </c>
      <c r="IEM108" s="1" t="s">
        <v>122</v>
      </c>
      <c r="IEN108" s="1" t="s">
        <v>122</v>
      </c>
      <c r="IEO108" s="1" t="s">
        <v>122</v>
      </c>
      <c r="IEP108" s="1" t="s">
        <v>122</v>
      </c>
      <c r="IEQ108" s="1" t="s">
        <v>122</v>
      </c>
      <c r="IER108" s="1" t="s">
        <v>122</v>
      </c>
      <c r="IES108" s="1" t="s">
        <v>122</v>
      </c>
      <c r="IET108" s="1" t="s">
        <v>122</v>
      </c>
      <c r="IEU108" s="1" t="s">
        <v>122</v>
      </c>
      <c r="IEV108" s="1" t="s">
        <v>122</v>
      </c>
      <c r="IEW108" s="1" t="s">
        <v>122</v>
      </c>
      <c r="IEX108" s="1" t="s">
        <v>122</v>
      </c>
      <c r="IEY108" s="1" t="s">
        <v>122</v>
      </c>
      <c r="IEZ108" s="1" t="s">
        <v>122</v>
      </c>
      <c r="IFA108" s="1" t="s">
        <v>122</v>
      </c>
      <c r="IFB108" s="1" t="s">
        <v>122</v>
      </c>
      <c r="IFC108" s="1" t="s">
        <v>122</v>
      </c>
      <c r="IFD108" s="1" t="s">
        <v>122</v>
      </c>
      <c r="IFE108" s="1" t="s">
        <v>122</v>
      </c>
      <c r="IFF108" s="1" t="s">
        <v>122</v>
      </c>
      <c r="IFG108" s="1" t="s">
        <v>122</v>
      </c>
      <c r="IFH108" s="1" t="s">
        <v>122</v>
      </c>
      <c r="IFI108" s="1" t="s">
        <v>122</v>
      </c>
      <c r="IFJ108" s="1" t="s">
        <v>122</v>
      </c>
      <c r="IFK108" s="1" t="s">
        <v>122</v>
      </c>
      <c r="IFL108" s="1" t="s">
        <v>122</v>
      </c>
      <c r="IFM108" s="1" t="s">
        <v>122</v>
      </c>
      <c r="IFN108" s="1" t="s">
        <v>122</v>
      </c>
      <c r="IFO108" s="1" t="s">
        <v>122</v>
      </c>
      <c r="IFP108" s="1" t="s">
        <v>122</v>
      </c>
      <c r="IFQ108" s="1" t="s">
        <v>122</v>
      </c>
      <c r="IFR108" s="1" t="s">
        <v>122</v>
      </c>
      <c r="IFS108" s="1" t="s">
        <v>122</v>
      </c>
      <c r="IFT108" s="1" t="s">
        <v>122</v>
      </c>
      <c r="IFU108" s="1" t="s">
        <v>122</v>
      </c>
      <c r="IFV108" s="1" t="s">
        <v>122</v>
      </c>
      <c r="IFW108" s="1" t="s">
        <v>122</v>
      </c>
      <c r="IFX108" s="1" t="s">
        <v>122</v>
      </c>
      <c r="IFY108" s="1" t="s">
        <v>122</v>
      </c>
      <c r="IFZ108" s="1" t="s">
        <v>122</v>
      </c>
      <c r="IGA108" s="1" t="s">
        <v>122</v>
      </c>
      <c r="IGB108" s="1" t="s">
        <v>122</v>
      </c>
      <c r="IGC108" s="1" t="s">
        <v>122</v>
      </c>
      <c r="IGD108" s="1" t="s">
        <v>122</v>
      </c>
      <c r="IGE108" s="1" t="s">
        <v>122</v>
      </c>
      <c r="IGF108" s="1" t="s">
        <v>122</v>
      </c>
      <c r="IGG108" s="1" t="s">
        <v>122</v>
      </c>
      <c r="IGH108" s="1" t="s">
        <v>122</v>
      </c>
      <c r="IGI108" s="1" t="s">
        <v>122</v>
      </c>
      <c r="IGJ108" s="1" t="s">
        <v>122</v>
      </c>
      <c r="IGK108" s="1" t="s">
        <v>122</v>
      </c>
      <c r="IGL108" s="1" t="s">
        <v>122</v>
      </c>
      <c r="IGM108" s="1" t="s">
        <v>122</v>
      </c>
      <c r="IGN108" s="1" t="s">
        <v>122</v>
      </c>
      <c r="IGO108" s="1" t="s">
        <v>122</v>
      </c>
      <c r="IGP108" s="1" t="s">
        <v>122</v>
      </c>
      <c r="IGQ108" s="1" t="s">
        <v>122</v>
      </c>
      <c r="IGR108" s="1" t="s">
        <v>122</v>
      </c>
      <c r="IGS108" s="1" t="s">
        <v>122</v>
      </c>
      <c r="IGT108" s="1" t="s">
        <v>122</v>
      </c>
      <c r="IGU108" s="1" t="s">
        <v>122</v>
      </c>
      <c r="IGV108" s="1" t="s">
        <v>122</v>
      </c>
      <c r="IGW108" s="1" t="s">
        <v>122</v>
      </c>
      <c r="IGX108" s="1" t="s">
        <v>122</v>
      </c>
      <c r="IGY108" s="1" t="s">
        <v>122</v>
      </c>
      <c r="IGZ108" s="1" t="s">
        <v>122</v>
      </c>
      <c r="IHA108" s="1" t="s">
        <v>122</v>
      </c>
      <c r="IHB108" s="1" t="s">
        <v>122</v>
      </c>
      <c r="IHC108" s="1" t="s">
        <v>122</v>
      </c>
      <c r="IHD108" s="1" t="s">
        <v>122</v>
      </c>
      <c r="IHE108" s="1" t="s">
        <v>122</v>
      </c>
      <c r="IHF108" s="1" t="s">
        <v>122</v>
      </c>
      <c r="IHG108" s="1" t="s">
        <v>122</v>
      </c>
      <c r="IHH108" s="1" t="s">
        <v>122</v>
      </c>
      <c r="IHI108" s="1" t="s">
        <v>122</v>
      </c>
      <c r="IHJ108" s="1" t="s">
        <v>122</v>
      </c>
      <c r="IHK108" s="1" t="s">
        <v>122</v>
      </c>
      <c r="IHL108" s="1" t="s">
        <v>122</v>
      </c>
      <c r="IHM108" s="1" t="s">
        <v>122</v>
      </c>
      <c r="IHN108" s="1" t="s">
        <v>122</v>
      </c>
      <c r="IHO108" s="1" t="s">
        <v>122</v>
      </c>
      <c r="IHP108" s="1" t="s">
        <v>122</v>
      </c>
      <c r="IHQ108" s="1" t="s">
        <v>122</v>
      </c>
      <c r="IHR108" s="1" t="s">
        <v>122</v>
      </c>
      <c r="IHS108" s="1" t="s">
        <v>122</v>
      </c>
      <c r="IHT108" s="1" t="s">
        <v>122</v>
      </c>
      <c r="IHU108" s="1" t="s">
        <v>122</v>
      </c>
      <c r="IHV108" s="1" t="s">
        <v>122</v>
      </c>
      <c r="IHW108" s="1" t="s">
        <v>122</v>
      </c>
      <c r="IHX108" s="1" t="s">
        <v>122</v>
      </c>
      <c r="IHY108" s="1" t="s">
        <v>122</v>
      </c>
      <c r="IHZ108" s="1" t="s">
        <v>122</v>
      </c>
      <c r="IIA108" s="1" t="s">
        <v>122</v>
      </c>
      <c r="IIB108" s="1" t="s">
        <v>122</v>
      </c>
      <c r="IIC108" s="1" t="s">
        <v>122</v>
      </c>
      <c r="IID108" s="1" t="s">
        <v>122</v>
      </c>
      <c r="IIE108" s="1" t="s">
        <v>122</v>
      </c>
      <c r="IIF108" s="1" t="s">
        <v>122</v>
      </c>
      <c r="IIG108" s="1" t="s">
        <v>122</v>
      </c>
      <c r="IIH108" s="1" t="s">
        <v>122</v>
      </c>
      <c r="III108" s="1" t="s">
        <v>122</v>
      </c>
      <c r="IIJ108" s="1" t="s">
        <v>122</v>
      </c>
      <c r="IIK108" s="1" t="s">
        <v>122</v>
      </c>
      <c r="IIL108" s="1" t="s">
        <v>122</v>
      </c>
      <c r="IIM108" s="1" t="s">
        <v>122</v>
      </c>
      <c r="IIN108" s="1" t="s">
        <v>122</v>
      </c>
      <c r="IIO108" s="1" t="s">
        <v>122</v>
      </c>
      <c r="IIP108" s="1" t="s">
        <v>122</v>
      </c>
      <c r="IIQ108" s="1" t="s">
        <v>122</v>
      </c>
      <c r="IIR108" s="1" t="s">
        <v>122</v>
      </c>
      <c r="IIS108" s="1" t="s">
        <v>122</v>
      </c>
      <c r="IIT108" s="1" t="s">
        <v>122</v>
      </c>
      <c r="IIU108" s="1" t="s">
        <v>122</v>
      </c>
      <c r="IIV108" s="1" t="s">
        <v>122</v>
      </c>
      <c r="IIW108" s="1" t="s">
        <v>122</v>
      </c>
      <c r="IIX108" s="1" t="s">
        <v>122</v>
      </c>
      <c r="IIY108" s="1" t="s">
        <v>122</v>
      </c>
      <c r="IIZ108" s="1" t="s">
        <v>122</v>
      </c>
      <c r="IJA108" s="1" t="s">
        <v>122</v>
      </c>
      <c r="IJB108" s="1" t="s">
        <v>122</v>
      </c>
      <c r="IJC108" s="1" t="s">
        <v>122</v>
      </c>
      <c r="IJD108" s="1" t="s">
        <v>122</v>
      </c>
      <c r="IJE108" s="1" t="s">
        <v>122</v>
      </c>
      <c r="IJF108" s="1" t="s">
        <v>122</v>
      </c>
      <c r="IJG108" s="1" t="s">
        <v>122</v>
      </c>
      <c r="IJH108" s="1" t="s">
        <v>122</v>
      </c>
      <c r="IJI108" s="1" t="s">
        <v>122</v>
      </c>
      <c r="IJJ108" s="1" t="s">
        <v>122</v>
      </c>
      <c r="IJK108" s="1" t="s">
        <v>122</v>
      </c>
      <c r="IJL108" s="1" t="s">
        <v>122</v>
      </c>
      <c r="IJM108" s="1" t="s">
        <v>122</v>
      </c>
      <c r="IJN108" s="1" t="s">
        <v>122</v>
      </c>
      <c r="IJO108" s="1" t="s">
        <v>122</v>
      </c>
      <c r="IJP108" s="1" t="s">
        <v>122</v>
      </c>
      <c r="IJQ108" s="1" t="s">
        <v>122</v>
      </c>
      <c r="IJR108" s="1" t="s">
        <v>122</v>
      </c>
      <c r="IJS108" s="1" t="s">
        <v>122</v>
      </c>
      <c r="IJT108" s="1" t="s">
        <v>122</v>
      </c>
      <c r="IJU108" s="1" t="s">
        <v>122</v>
      </c>
      <c r="IJV108" s="1" t="s">
        <v>122</v>
      </c>
      <c r="IJW108" s="1" t="s">
        <v>122</v>
      </c>
      <c r="IJX108" s="1" t="s">
        <v>122</v>
      </c>
      <c r="IJY108" s="1" t="s">
        <v>122</v>
      </c>
      <c r="IJZ108" s="1" t="s">
        <v>122</v>
      </c>
      <c r="IKA108" s="1" t="s">
        <v>122</v>
      </c>
      <c r="IKB108" s="1" t="s">
        <v>122</v>
      </c>
      <c r="IKC108" s="1" t="s">
        <v>122</v>
      </c>
      <c r="IKD108" s="1" t="s">
        <v>122</v>
      </c>
      <c r="IKE108" s="1" t="s">
        <v>122</v>
      </c>
      <c r="IKF108" s="1" t="s">
        <v>122</v>
      </c>
      <c r="IKG108" s="1" t="s">
        <v>122</v>
      </c>
      <c r="IKH108" s="1" t="s">
        <v>122</v>
      </c>
      <c r="IKI108" s="1" t="s">
        <v>122</v>
      </c>
      <c r="IKJ108" s="1" t="s">
        <v>122</v>
      </c>
      <c r="IKK108" s="1" t="s">
        <v>122</v>
      </c>
      <c r="IKL108" s="1" t="s">
        <v>122</v>
      </c>
      <c r="IKM108" s="1" t="s">
        <v>122</v>
      </c>
      <c r="IKN108" s="1" t="s">
        <v>122</v>
      </c>
      <c r="IKO108" s="1" t="s">
        <v>122</v>
      </c>
      <c r="IKP108" s="1" t="s">
        <v>122</v>
      </c>
      <c r="IKQ108" s="1" t="s">
        <v>122</v>
      </c>
      <c r="IKR108" s="1" t="s">
        <v>122</v>
      </c>
      <c r="IKS108" s="1" t="s">
        <v>122</v>
      </c>
      <c r="IKT108" s="1" t="s">
        <v>122</v>
      </c>
      <c r="IKU108" s="1" t="s">
        <v>122</v>
      </c>
      <c r="IKV108" s="1" t="s">
        <v>122</v>
      </c>
      <c r="IKW108" s="1" t="s">
        <v>122</v>
      </c>
      <c r="IKX108" s="1" t="s">
        <v>122</v>
      </c>
      <c r="IKY108" s="1" t="s">
        <v>122</v>
      </c>
      <c r="IKZ108" s="1" t="s">
        <v>122</v>
      </c>
      <c r="ILA108" s="1" t="s">
        <v>122</v>
      </c>
      <c r="ILB108" s="1" t="s">
        <v>122</v>
      </c>
      <c r="ILC108" s="1" t="s">
        <v>122</v>
      </c>
      <c r="ILD108" s="1" t="s">
        <v>122</v>
      </c>
      <c r="ILE108" s="1" t="s">
        <v>122</v>
      </c>
      <c r="ILF108" s="1" t="s">
        <v>122</v>
      </c>
      <c r="ILG108" s="1" t="s">
        <v>122</v>
      </c>
      <c r="ILH108" s="1" t="s">
        <v>122</v>
      </c>
      <c r="ILI108" s="1" t="s">
        <v>122</v>
      </c>
      <c r="ILJ108" s="1" t="s">
        <v>122</v>
      </c>
      <c r="ILK108" s="1" t="s">
        <v>122</v>
      </c>
      <c r="ILL108" s="1" t="s">
        <v>122</v>
      </c>
      <c r="ILM108" s="1" t="s">
        <v>122</v>
      </c>
      <c r="ILN108" s="1" t="s">
        <v>122</v>
      </c>
      <c r="ILO108" s="1" t="s">
        <v>122</v>
      </c>
      <c r="ILP108" s="1" t="s">
        <v>122</v>
      </c>
      <c r="ILQ108" s="1" t="s">
        <v>122</v>
      </c>
      <c r="ILR108" s="1" t="s">
        <v>122</v>
      </c>
      <c r="ILS108" s="1" t="s">
        <v>122</v>
      </c>
      <c r="ILT108" s="1" t="s">
        <v>122</v>
      </c>
      <c r="ILU108" s="1" t="s">
        <v>122</v>
      </c>
      <c r="ILV108" s="1" t="s">
        <v>122</v>
      </c>
      <c r="ILW108" s="1" t="s">
        <v>122</v>
      </c>
      <c r="ILX108" s="1" t="s">
        <v>122</v>
      </c>
      <c r="ILY108" s="1" t="s">
        <v>122</v>
      </c>
      <c r="ILZ108" s="1" t="s">
        <v>122</v>
      </c>
      <c r="IMA108" s="1" t="s">
        <v>122</v>
      </c>
      <c r="IMB108" s="1" t="s">
        <v>122</v>
      </c>
      <c r="IMC108" s="1" t="s">
        <v>122</v>
      </c>
      <c r="IMD108" s="1" t="s">
        <v>122</v>
      </c>
      <c r="IME108" s="1" t="s">
        <v>122</v>
      </c>
      <c r="IMF108" s="1" t="s">
        <v>122</v>
      </c>
      <c r="IMG108" s="1" t="s">
        <v>122</v>
      </c>
      <c r="IMH108" s="1" t="s">
        <v>122</v>
      </c>
      <c r="IMI108" s="1" t="s">
        <v>122</v>
      </c>
      <c r="IMJ108" s="1" t="s">
        <v>122</v>
      </c>
      <c r="IMK108" s="1" t="s">
        <v>122</v>
      </c>
      <c r="IML108" s="1" t="s">
        <v>122</v>
      </c>
      <c r="IMM108" s="1" t="s">
        <v>122</v>
      </c>
      <c r="IMN108" s="1" t="s">
        <v>122</v>
      </c>
      <c r="IMO108" s="1" t="s">
        <v>122</v>
      </c>
      <c r="IMP108" s="1" t="s">
        <v>122</v>
      </c>
      <c r="IMQ108" s="1" t="s">
        <v>122</v>
      </c>
      <c r="IMR108" s="1" t="s">
        <v>122</v>
      </c>
      <c r="IMS108" s="1" t="s">
        <v>122</v>
      </c>
      <c r="IMT108" s="1" t="s">
        <v>122</v>
      </c>
      <c r="IMU108" s="1" t="s">
        <v>122</v>
      </c>
      <c r="IMV108" s="1" t="s">
        <v>122</v>
      </c>
      <c r="IMW108" s="1" t="s">
        <v>122</v>
      </c>
      <c r="IMX108" s="1" t="s">
        <v>122</v>
      </c>
      <c r="IMY108" s="1" t="s">
        <v>122</v>
      </c>
      <c r="IMZ108" s="1" t="s">
        <v>122</v>
      </c>
      <c r="INA108" s="1" t="s">
        <v>122</v>
      </c>
      <c r="INB108" s="1" t="s">
        <v>122</v>
      </c>
      <c r="INC108" s="1" t="s">
        <v>122</v>
      </c>
      <c r="IND108" s="1" t="s">
        <v>122</v>
      </c>
      <c r="INE108" s="1" t="s">
        <v>122</v>
      </c>
      <c r="INF108" s="1" t="s">
        <v>122</v>
      </c>
      <c r="ING108" s="1" t="s">
        <v>122</v>
      </c>
      <c r="INH108" s="1" t="s">
        <v>122</v>
      </c>
      <c r="INI108" s="1" t="s">
        <v>122</v>
      </c>
      <c r="INJ108" s="1" t="s">
        <v>122</v>
      </c>
      <c r="INK108" s="1" t="s">
        <v>122</v>
      </c>
      <c r="INL108" s="1" t="s">
        <v>122</v>
      </c>
      <c r="INM108" s="1" t="s">
        <v>122</v>
      </c>
      <c r="INN108" s="1" t="s">
        <v>122</v>
      </c>
      <c r="INO108" s="1" t="s">
        <v>122</v>
      </c>
      <c r="INP108" s="1" t="s">
        <v>122</v>
      </c>
      <c r="INQ108" s="1" t="s">
        <v>122</v>
      </c>
      <c r="INR108" s="1" t="s">
        <v>122</v>
      </c>
      <c r="INS108" s="1" t="s">
        <v>122</v>
      </c>
      <c r="INT108" s="1" t="s">
        <v>122</v>
      </c>
      <c r="INU108" s="1" t="s">
        <v>122</v>
      </c>
      <c r="INV108" s="1" t="s">
        <v>122</v>
      </c>
      <c r="INW108" s="1" t="s">
        <v>122</v>
      </c>
      <c r="INX108" s="1" t="s">
        <v>122</v>
      </c>
      <c r="INY108" s="1" t="s">
        <v>122</v>
      </c>
      <c r="INZ108" s="1" t="s">
        <v>122</v>
      </c>
      <c r="IOA108" s="1" t="s">
        <v>122</v>
      </c>
      <c r="IOB108" s="1" t="s">
        <v>122</v>
      </c>
      <c r="IOC108" s="1" t="s">
        <v>122</v>
      </c>
      <c r="IOD108" s="1" t="s">
        <v>122</v>
      </c>
      <c r="IOE108" s="1" t="s">
        <v>122</v>
      </c>
      <c r="IOF108" s="1" t="s">
        <v>122</v>
      </c>
      <c r="IOG108" s="1" t="s">
        <v>122</v>
      </c>
      <c r="IOH108" s="1" t="s">
        <v>122</v>
      </c>
      <c r="IOI108" s="1" t="s">
        <v>122</v>
      </c>
      <c r="IOJ108" s="1" t="s">
        <v>122</v>
      </c>
      <c r="IOK108" s="1" t="s">
        <v>122</v>
      </c>
      <c r="IOL108" s="1" t="s">
        <v>122</v>
      </c>
      <c r="IOM108" s="1" t="s">
        <v>122</v>
      </c>
      <c r="ION108" s="1" t="s">
        <v>122</v>
      </c>
      <c r="IOO108" s="1" t="s">
        <v>122</v>
      </c>
      <c r="IOP108" s="1" t="s">
        <v>122</v>
      </c>
      <c r="IOQ108" s="1" t="s">
        <v>122</v>
      </c>
      <c r="IOR108" s="1" t="s">
        <v>122</v>
      </c>
      <c r="IOS108" s="1" t="s">
        <v>122</v>
      </c>
      <c r="IOT108" s="1" t="s">
        <v>122</v>
      </c>
      <c r="IOU108" s="1" t="s">
        <v>122</v>
      </c>
      <c r="IOV108" s="1" t="s">
        <v>122</v>
      </c>
      <c r="IOW108" s="1" t="s">
        <v>122</v>
      </c>
      <c r="IOX108" s="1" t="s">
        <v>122</v>
      </c>
      <c r="IOY108" s="1" t="s">
        <v>122</v>
      </c>
      <c r="IOZ108" s="1" t="s">
        <v>122</v>
      </c>
      <c r="IPA108" s="1" t="s">
        <v>122</v>
      </c>
      <c r="IPB108" s="1" t="s">
        <v>122</v>
      </c>
      <c r="IPC108" s="1" t="s">
        <v>122</v>
      </c>
      <c r="IPD108" s="1" t="s">
        <v>122</v>
      </c>
      <c r="IPE108" s="1" t="s">
        <v>122</v>
      </c>
      <c r="IPF108" s="1" t="s">
        <v>122</v>
      </c>
      <c r="IPG108" s="1" t="s">
        <v>122</v>
      </c>
      <c r="IPH108" s="1" t="s">
        <v>122</v>
      </c>
      <c r="IPI108" s="1" t="s">
        <v>122</v>
      </c>
      <c r="IPJ108" s="1" t="s">
        <v>122</v>
      </c>
      <c r="IPK108" s="1" t="s">
        <v>122</v>
      </c>
      <c r="IPL108" s="1" t="s">
        <v>122</v>
      </c>
      <c r="IPM108" s="1" t="s">
        <v>122</v>
      </c>
      <c r="IPN108" s="1" t="s">
        <v>122</v>
      </c>
      <c r="IPO108" s="1" t="s">
        <v>122</v>
      </c>
      <c r="IPP108" s="1" t="s">
        <v>122</v>
      </c>
      <c r="IPQ108" s="1" t="s">
        <v>122</v>
      </c>
      <c r="IPR108" s="1" t="s">
        <v>122</v>
      </c>
      <c r="IPS108" s="1" t="s">
        <v>122</v>
      </c>
      <c r="IPT108" s="1" t="s">
        <v>122</v>
      </c>
      <c r="IPU108" s="1" t="s">
        <v>122</v>
      </c>
      <c r="IPV108" s="1" t="s">
        <v>122</v>
      </c>
      <c r="IPW108" s="1" t="s">
        <v>122</v>
      </c>
      <c r="IPX108" s="1" t="s">
        <v>122</v>
      </c>
      <c r="IPY108" s="1" t="s">
        <v>122</v>
      </c>
      <c r="IPZ108" s="1" t="s">
        <v>122</v>
      </c>
      <c r="IQA108" s="1" t="s">
        <v>122</v>
      </c>
      <c r="IQB108" s="1" t="s">
        <v>122</v>
      </c>
      <c r="IQC108" s="1" t="s">
        <v>122</v>
      </c>
      <c r="IQD108" s="1" t="s">
        <v>122</v>
      </c>
      <c r="IQE108" s="1" t="s">
        <v>122</v>
      </c>
      <c r="IQF108" s="1" t="s">
        <v>122</v>
      </c>
      <c r="IQG108" s="1" t="s">
        <v>122</v>
      </c>
      <c r="IQH108" s="1" t="s">
        <v>122</v>
      </c>
      <c r="IQI108" s="1" t="s">
        <v>122</v>
      </c>
      <c r="IQJ108" s="1" t="s">
        <v>122</v>
      </c>
      <c r="IQK108" s="1" t="s">
        <v>122</v>
      </c>
      <c r="IQL108" s="1" t="s">
        <v>122</v>
      </c>
      <c r="IQM108" s="1" t="s">
        <v>122</v>
      </c>
      <c r="IQN108" s="1" t="s">
        <v>122</v>
      </c>
      <c r="IQO108" s="1" t="s">
        <v>122</v>
      </c>
      <c r="IQP108" s="1" t="s">
        <v>122</v>
      </c>
      <c r="IQQ108" s="1" t="s">
        <v>122</v>
      </c>
      <c r="IQR108" s="1" t="s">
        <v>122</v>
      </c>
      <c r="IQS108" s="1" t="s">
        <v>122</v>
      </c>
      <c r="IQT108" s="1" t="s">
        <v>122</v>
      </c>
      <c r="IQU108" s="1" t="s">
        <v>122</v>
      </c>
      <c r="IQV108" s="1" t="s">
        <v>122</v>
      </c>
      <c r="IQW108" s="1" t="s">
        <v>122</v>
      </c>
      <c r="IQX108" s="1" t="s">
        <v>122</v>
      </c>
      <c r="IQY108" s="1" t="s">
        <v>122</v>
      </c>
      <c r="IQZ108" s="1" t="s">
        <v>122</v>
      </c>
      <c r="IRA108" s="1" t="s">
        <v>122</v>
      </c>
      <c r="IRB108" s="1" t="s">
        <v>122</v>
      </c>
      <c r="IRC108" s="1" t="s">
        <v>122</v>
      </c>
      <c r="IRD108" s="1" t="s">
        <v>122</v>
      </c>
      <c r="IRE108" s="1" t="s">
        <v>122</v>
      </c>
      <c r="IRF108" s="1" t="s">
        <v>122</v>
      </c>
      <c r="IRG108" s="1" t="s">
        <v>122</v>
      </c>
      <c r="IRH108" s="1" t="s">
        <v>122</v>
      </c>
      <c r="IRI108" s="1" t="s">
        <v>122</v>
      </c>
      <c r="IRJ108" s="1" t="s">
        <v>122</v>
      </c>
      <c r="IRK108" s="1" t="s">
        <v>122</v>
      </c>
      <c r="IRL108" s="1" t="s">
        <v>122</v>
      </c>
      <c r="IRM108" s="1" t="s">
        <v>122</v>
      </c>
      <c r="IRN108" s="1" t="s">
        <v>122</v>
      </c>
      <c r="IRO108" s="1" t="s">
        <v>122</v>
      </c>
      <c r="IRP108" s="1" t="s">
        <v>122</v>
      </c>
      <c r="IRQ108" s="1" t="s">
        <v>122</v>
      </c>
      <c r="IRR108" s="1" t="s">
        <v>122</v>
      </c>
      <c r="IRS108" s="1" t="s">
        <v>122</v>
      </c>
      <c r="IRT108" s="1" t="s">
        <v>122</v>
      </c>
      <c r="IRU108" s="1" t="s">
        <v>122</v>
      </c>
      <c r="IRV108" s="1" t="s">
        <v>122</v>
      </c>
      <c r="IRW108" s="1" t="s">
        <v>122</v>
      </c>
      <c r="IRX108" s="1" t="s">
        <v>122</v>
      </c>
      <c r="IRY108" s="1" t="s">
        <v>122</v>
      </c>
      <c r="IRZ108" s="1" t="s">
        <v>122</v>
      </c>
      <c r="ISA108" s="1" t="s">
        <v>122</v>
      </c>
      <c r="ISB108" s="1" t="s">
        <v>122</v>
      </c>
      <c r="ISC108" s="1" t="s">
        <v>122</v>
      </c>
      <c r="ISD108" s="1" t="s">
        <v>122</v>
      </c>
      <c r="ISE108" s="1" t="s">
        <v>122</v>
      </c>
      <c r="ISF108" s="1" t="s">
        <v>122</v>
      </c>
      <c r="ISG108" s="1" t="s">
        <v>122</v>
      </c>
      <c r="ISH108" s="1" t="s">
        <v>122</v>
      </c>
      <c r="ISI108" s="1" t="s">
        <v>122</v>
      </c>
      <c r="ISJ108" s="1" t="s">
        <v>122</v>
      </c>
      <c r="ISK108" s="1" t="s">
        <v>122</v>
      </c>
      <c r="ISL108" s="1" t="s">
        <v>122</v>
      </c>
      <c r="ISM108" s="1" t="s">
        <v>122</v>
      </c>
      <c r="ISN108" s="1" t="s">
        <v>122</v>
      </c>
      <c r="ISO108" s="1" t="s">
        <v>122</v>
      </c>
      <c r="ISP108" s="1" t="s">
        <v>122</v>
      </c>
      <c r="ISQ108" s="1" t="s">
        <v>122</v>
      </c>
      <c r="ISR108" s="1" t="s">
        <v>122</v>
      </c>
      <c r="ISS108" s="1" t="s">
        <v>122</v>
      </c>
      <c r="IST108" s="1" t="s">
        <v>122</v>
      </c>
      <c r="ISU108" s="1" t="s">
        <v>122</v>
      </c>
      <c r="ISV108" s="1" t="s">
        <v>122</v>
      </c>
      <c r="ISW108" s="1" t="s">
        <v>122</v>
      </c>
      <c r="ISX108" s="1" t="s">
        <v>122</v>
      </c>
      <c r="ISY108" s="1" t="s">
        <v>122</v>
      </c>
      <c r="ISZ108" s="1" t="s">
        <v>122</v>
      </c>
      <c r="ITA108" s="1" t="s">
        <v>122</v>
      </c>
      <c r="ITB108" s="1" t="s">
        <v>122</v>
      </c>
      <c r="ITC108" s="1" t="s">
        <v>122</v>
      </c>
      <c r="ITD108" s="1" t="s">
        <v>122</v>
      </c>
      <c r="ITE108" s="1" t="s">
        <v>122</v>
      </c>
      <c r="ITF108" s="1" t="s">
        <v>122</v>
      </c>
      <c r="ITG108" s="1" t="s">
        <v>122</v>
      </c>
      <c r="ITH108" s="1" t="s">
        <v>122</v>
      </c>
      <c r="ITI108" s="1" t="s">
        <v>122</v>
      </c>
      <c r="ITJ108" s="1" t="s">
        <v>122</v>
      </c>
      <c r="ITK108" s="1" t="s">
        <v>122</v>
      </c>
      <c r="ITL108" s="1" t="s">
        <v>122</v>
      </c>
      <c r="ITM108" s="1" t="s">
        <v>122</v>
      </c>
      <c r="ITN108" s="1" t="s">
        <v>122</v>
      </c>
      <c r="ITO108" s="1" t="s">
        <v>122</v>
      </c>
      <c r="ITP108" s="1" t="s">
        <v>122</v>
      </c>
      <c r="ITQ108" s="1" t="s">
        <v>122</v>
      </c>
      <c r="ITR108" s="1" t="s">
        <v>122</v>
      </c>
      <c r="ITS108" s="1" t="s">
        <v>122</v>
      </c>
      <c r="ITT108" s="1" t="s">
        <v>122</v>
      </c>
      <c r="ITU108" s="1" t="s">
        <v>122</v>
      </c>
      <c r="ITV108" s="1" t="s">
        <v>122</v>
      </c>
      <c r="ITW108" s="1" t="s">
        <v>122</v>
      </c>
      <c r="ITX108" s="1" t="s">
        <v>122</v>
      </c>
      <c r="ITY108" s="1" t="s">
        <v>122</v>
      </c>
      <c r="ITZ108" s="1" t="s">
        <v>122</v>
      </c>
      <c r="IUA108" s="1" t="s">
        <v>122</v>
      </c>
      <c r="IUB108" s="1" t="s">
        <v>122</v>
      </c>
      <c r="IUC108" s="1" t="s">
        <v>122</v>
      </c>
      <c r="IUD108" s="1" t="s">
        <v>122</v>
      </c>
      <c r="IUE108" s="1" t="s">
        <v>122</v>
      </c>
      <c r="IUF108" s="1" t="s">
        <v>122</v>
      </c>
      <c r="IUG108" s="1" t="s">
        <v>122</v>
      </c>
      <c r="IUH108" s="1" t="s">
        <v>122</v>
      </c>
      <c r="IUI108" s="1" t="s">
        <v>122</v>
      </c>
      <c r="IUJ108" s="1" t="s">
        <v>122</v>
      </c>
      <c r="IUK108" s="1" t="s">
        <v>122</v>
      </c>
      <c r="IUL108" s="1" t="s">
        <v>122</v>
      </c>
      <c r="IUM108" s="1" t="s">
        <v>122</v>
      </c>
      <c r="IUN108" s="1" t="s">
        <v>122</v>
      </c>
      <c r="IUO108" s="1" t="s">
        <v>122</v>
      </c>
      <c r="IUP108" s="1" t="s">
        <v>122</v>
      </c>
      <c r="IUQ108" s="1" t="s">
        <v>122</v>
      </c>
      <c r="IUR108" s="1" t="s">
        <v>122</v>
      </c>
      <c r="IUS108" s="1" t="s">
        <v>122</v>
      </c>
      <c r="IUT108" s="1" t="s">
        <v>122</v>
      </c>
      <c r="IUU108" s="1" t="s">
        <v>122</v>
      </c>
      <c r="IUV108" s="1" t="s">
        <v>122</v>
      </c>
      <c r="IUW108" s="1" t="s">
        <v>122</v>
      </c>
      <c r="IUX108" s="1" t="s">
        <v>122</v>
      </c>
      <c r="IUY108" s="1" t="s">
        <v>122</v>
      </c>
      <c r="IUZ108" s="1" t="s">
        <v>122</v>
      </c>
      <c r="IVA108" s="1" t="s">
        <v>122</v>
      </c>
      <c r="IVB108" s="1" t="s">
        <v>122</v>
      </c>
      <c r="IVC108" s="1" t="s">
        <v>122</v>
      </c>
      <c r="IVD108" s="1" t="s">
        <v>122</v>
      </c>
      <c r="IVE108" s="1" t="s">
        <v>122</v>
      </c>
      <c r="IVF108" s="1" t="s">
        <v>122</v>
      </c>
      <c r="IVG108" s="1" t="s">
        <v>122</v>
      </c>
      <c r="IVH108" s="1" t="s">
        <v>122</v>
      </c>
      <c r="IVI108" s="1" t="s">
        <v>122</v>
      </c>
      <c r="IVJ108" s="1" t="s">
        <v>122</v>
      </c>
      <c r="IVK108" s="1" t="s">
        <v>122</v>
      </c>
      <c r="IVL108" s="1" t="s">
        <v>122</v>
      </c>
      <c r="IVM108" s="1" t="s">
        <v>122</v>
      </c>
      <c r="IVN108" s="1" t="s">
        <v>122</v>
      </c>
      <c r="IVO108" s="1" t="s">
        <v>122</v>
      </c>
      <c r="IVP108" s="1" t="s">
        <v>122</v>
      </c>
      <c r="IVQ108" s="1" t="s">
        <v>122</v>
      </c>
      <c r="IVR108" s="1" t="s">
        <v>122</v>
      </c>
      <c r="IVS108" s="1" t="s">
        <v>122</v>
      </c>
      <c r="IVT108" s="1" t="s">
        <v>122</v>
      </c>
      <c r="IVU108" s="1" t="s">
        <v>122</v>
      </c>
      <c r="IVV108" s="1" t="s">
        <v>122</v>
      </c>
      <c r="IVW108" s="1" t="s">
        <v>122</v>
      </c>
      <c r="IVX108" s="1" t="s">
        <v>122</v>
      </c>
      <c r="IVY108" s="1" t="s">
        <v>122</v>
      </c>
      <c r="IVZ108" s="1" t="s">
        <v>122</v>
      </c>
      <c r="IWA108" s="1" t="s">
        <v>122</v>
      </c>
      <c r="IWB108" s="1" t="s">
        <v>122</v>
      </c>
      <c r="IWC108" s="1" t="s">
        <v>122</v>
      </c>
      <c r="IWD108" s="1" t="s">
        <v>122</v>
      </c>
      <c r="IWE108" s="1" t="s">
        <v>122</v>
      </c>
      <c r="IWF108" s="1" t="s">
        <v>122</v>
      </c>
      <c r="IWG108" s="1" t="s">
        <v>122</v>
      </c>
      <c r="IWH108" s="1" t="s">
        <v>122</v>
      </c>
      <c r="IWI108" s="1" t="s">
        <v>122</v>
      </c>
      <c r="IWJ108" s="1" t="s">
        <v>122</v>
      </c>
      <c r="IWK108" s="1" t="s">
        <v>122</v>
      </c>
      <c r="IWL108" s="1" t="s">
        <v>122</v>
      </c>
      <c r="IWM108" s="1" t="s">
        <v>122</v>
      </c>
      <c r="IWN108" s="1" t="s">
        <v>122</v>
      </c>
      <c r="IWO108" s="1" t="s">
        <v>122</v>
      </c>
      <c r="IWP108" s="1" t="s">
        <v>122</v>
      </c>
      <c r="IWQ108" s="1" t="s">
        <v>122</v>
      </c>
      <c r="IWR108" s="1" t="s">
        <v>122</v>
      </c>
      <c r="IWS108" s="1" t="s">
        <v>122</v>
      </c>
      <c r="IWT108" s="1" t="s">
        <v>122</v>
      </c>
      <c r="IWU108" s="1" t="s">
        <v>122</v>
      </c>
      <c r="IWV108" s="1" t="s">
        <v>122</v>
      </c>
      <c r="IWW108" s="1" t="s">
        <v>122</v>
      </c>
      <c r="IWX108" s="1" t="s">
        <v>122</v>
      </c>
      <c r="IWY108" s="1" t="s">
        <v>122</v>
      </c>
      <c r="IWZ108" s="1" t="s">
        <v>122</v>
      </c>
      <c r="IXA108" s="1" t="s">
        <v>122</v>
      </c>
      <c r="IXB108" s="1" t="s">
        <v>122</v>
      </c>
      <c r="IXC108" s="1" t="s">
        <v>122</v>
      </c>
      <c r="IXD108" s="1" t="s">
        <v>122</v>
      </c>
      <c r="IXE108" s="1" t="s">
        <v>122</v>
      </c>
      <c r="IXF108" s="1" t="s">
        <v>122</v>
      </c>
      <c r="IXG108" s="1" t="s">
        <v>122</v>
      </c>
      <c r="IXH108" s="1" t="s">
        <v>122</v>
      </c>
      <c r="IXI108" s="1" t="s">
        <v>122</v>
      </c>
      <c r="IXJ108" s="1" t="s">
        <v>122</v>
      </c>
      <c r="IXK108" s="1" t="s">
        <v>122</v>
      </c>
      <c r="IXL108" s="1" t="s">
        <v>122</v>
      </c>
      <c r="IXM108" s="1" t="s">
        <v>122</v>
      </c>
      <c r="IXN108" s="1" t="s">
        <v>122</v>
      </c>
      <c r="IXO108" s="1" t="s">
        <v>122</v>
      </c>
      <c r="IXP108" s="1" t="s">
        <v>122</v>
      </c>
      <c r="IXQ108" s="1" t="s">
        <v>122</v>
      </c>
      <c r="IXR108" s="1" t="s">
        <v>122</v>
      </c>
      <c r="IXS108" s="1" t="s">
        <v>122</v>
      </c>
      <c r="IXT108" s="1" t="s">
        <v>122</v>
      </c>
      <c r="IXU108" s="1" t="s">
        <v>122</v>
      </c>
      <c r="IXV108" s="1" t="s">
        <v>122</v>
      </c>
      <c r="IXW108" s="1" t="s">
        <v>122</v>
      </c>
      <c r="IXX108" s="1" t="s">
        <v>122</v>
      </c>
      <c r="IXY108" s="1" t="s">
        <v>122</v>
      </c>
      <c r="IXZ108" s="1" t="s">
        <v>122</v>
      </c>
      <c r="IYA108" s="1" t="s">
        <v>122</v>
      </c>
      <c r="IYB108" s="1" t="s">
        <v>122</v>
      </c>
      <c r="IYC108" s="1" t="s">
        <v>122</v>
      </c>
      <c r="IYD108" s="1" t="s">
        <v>122</v>
      </c>
      <c r="IYE108" s="1" t="s">
        <v>122</v>
      </c>
      <c r="IYF108" s="1" t="s">
        <v>122</v>
      </c>
      <c r="IYG108" s="1" t="s">
        <v>122</v>
      </c>
      <c r="IYH108" s="1" t="s">
        <v>122</v>
      </c>
      <c r="IYI108" s="1" t="s">
        <v>122</v>
      </c>
      <c r="IYJ108" s="1" t="s">
        <v>122</v>
      </c>
      <c r="IYK108" s="1" t="s">
        <v>122</v>
      </c>
      <c r="IYL108" s="1" t="s">
        <v>122</v>
      </c>
      <c r="IYM108" s="1" t="s">
        <v>122</v>
      </c>
      <c r="IYN108" s="1" t="s">
        <v>122</v>
      </c>
      <c r="IYO108" s="1" t="s">
        <v>122</v>
      </c>
      <c r="IYP108" s="1" t="s">
        <v>122</v>
      </c>
      <c r="IYQ108" s="1" t="s">
        <v>122</v>
      </c>
      <c r="IYR108" s="1" t="s">
        <v>122</v>
      </c>
      <c r="IYS108" s="1" t="s">
        <v>122</v>
      </c>
      <c r="IYT108" s="1" t="s">
        <v>122</v>
      </c>
      <c r="IYU108" s="1" t="s">
        <v>122</v>
      </c>
      <c r="IYV108" s="1" t="s">
        <v>122</v>
      </c>
      <c r="IYW108" s="1" t="s">
        <v>122</v>
      </c>
      <c r="IYX108" s="1" t="s">
        <v>122</v>
      </c>
      <c r="IYY108" s="1" t="s">
        <v>122</v>
      </c>
      <c r="IYZ108" s="1" t="s">
        <v>122</v>
      </c>
      <c r="IZA108" s="1" t="s">
        <v>122</v>
      </c>
      <c r="IZB108" s="1" t="s">
        <v>122</v>
      </c>
      <c r="IZC108" s="1" t="s">
        <v>122</v>
      </c>
      <c r="IZD108" s="1" t="s">
        <v>122</v>
      </c>
      <c r="IZE108" s="1" t="s">
        <v>122</v>
      </c>
      <c r="IZF108" s="1" t="s">
        <v>122</v>
      </c>
      <c r="IZG108" s="1" t="s">
        <v>122</v>
      </c>
      <c r="IZH108" s="1" t="s">
        <v>122</v>
      </c>
      <c r="IZI108" s="1" t="s">
        <v>122</v>
      </c>
      <c r="IZJ108" s="1" t="s">
        <v>122</v>
      </c>
      <c r="IZK108" s="1" t="s">
        <v>122</v>
      </c>
      <c r="IZL108" s="1" t="s">
        <v>122</v>
      </c>
      <c r="IZM108" s="1" t="s">
        <v>122</v>
      </c>
      <c r="IZN108" s="1" t="s">
        <v>122</v>
      </c>
      <c r="IZO108" s="1" t="s">
        <v>122</v>
      </c>
      <c r="IZP108" s="1" t="s">
        <v>122</v>
      </c>
      <c r="IZQ108" s="1" t="s">
        <v>122</v>
      </c>
      <c r="IZR108" s="1" t="s">
        <v>122</v>
      </c>
      <c r="IZS108" s="1" t="s">
        <v>122</v>
      </c>
      <c r="IZT108" s="1" t="s">
        <v>122</v>
      </c>
      <c r="IZU108" s="1" t="s">
        <v>122</v>
      </c>
      <c r="IZV108" s="1" t="s">
        <v>122</v>
      </c>
      <c r="IZW108" s="1" t="s">
        <v>122</v>
      </c>
      <c r="IZX108" s="1" t="s">
        <v>122</v>
      </c>
      <c r="IZY108" s="1" t="s">
        <v>122</v>
      </c>
      <c r="IZZ108" s="1" t="s">
        <v>122</v>
      </c>
      <c r="JAA108" s="1" t="s">
        <v>122</v>
      </c>
      <c r="JAB108" s="1" t="s">
        <v>122</v>
      </c>
      <c r="JAC108" s="1" t="s">
        <v>122</v>
      </c>
      <c r="JAD108" s="1" t="s">
        <v>122</v>
      </c>
      <c r="JAE108" s="1" t="s">
        <v>122</v>
      </c>
      <c r="JAF108" s="1" t="s">
        <v>122</v>
      </c>
      <c r="JAG108" s="1" t="s">
        <v>122</v>
      </c>
      <c r="JAH108" s="1" t="s">
        <v>122</v>
      </c>
      <c r="JAI108" s="1" t="s">
        <v>122</v>
      </c>
      <c r="JAJ108" s="1" t="s">
        <v>122</v>
      </c>
      <c r="JAK108" s="1" t="s">
        <v>122</v>
      </c>
      <c r="JAL108" s="1" t="s">
        <v>122</v>
      </c>
      <c r="JAM108" s="1" t="s">
        <v>122</v>
      </c>
      <c r="JAN108" s="1" t="s">
        <v>122</v>
      </c>
      <c r="JAO108" s="1" t="s">
        <v>122</v>
      </c>
      <c r="JAP108" s="1" t="s">
        <v>122</v>
      </c>
      <c r="JAQ108" s="1" t="s">
        <v>122</v>
      </c>
      <c r="JAR108" s="1" t="s">
        <v>122</v>
      </c>
      <c r="JAS108" s="1" t="s">
        <v>122</v>
      </c>
      <c r="JAT108" s="1" t="s">
        <v>122</v>
      </c>
      <c r="JAU108" s="1" t="s">
        <v>122</v>
      </c>
      <c r="JAV108" s="1" t="s">
        <v>122</v>
      </c>
      <c r="JAW108" s="1" t="s">
        <v>122</v>
      </c>
      <c r="JAX108" s="1" t="s">
        <v>122</v>
      </c>
      <c r="JAY108" s="1" t="s">
        <v>122</v>
      </c>
      <c r="JAZ108" s="1" t="s">
        <v>122</v>
      </c>
      <c r="JBA108" s="1" t="s">
        <v>122</v>
      </c>
      <c r="JBB108" s="1" t="s">
        <v>122</v>
      </c>
      <c r="JBC108" s="1" t="s">
        <v>122</v>
      </c>
      <c r="JBD108" s="1" t="s">
        <v>122</v>
      </c>
      <c r="JBE108" s="1" t="s">
        <v>122</v>
      </c>
      <c r="JBF108" s="1" t="s">
        <v>122</v>
      </c>
      <c r="JBG108" s="1" t="s">
        <v>122</v>
      </c>
      <c r="JBH108" s="1" t="s">
        <v>122</v>
      </c>
      <c r="JBI108" s="1" t="s">
        <v>122</v>
      </c>
      <c r="JBJ108" s="1" t="s">
        <v>122</v>
      </c>
      <c r="JBK108" s="1" t="s">
        <v>122</v>
      </c>
      <c r="JBL108" s="1" t="s">
        <v>122</v>
      </c>
      <c r="JBM108" s="1" t="s">
        <v>122</v>
      </c>
      <c r="JBN108" s="1" t="s">
        <v>122</v>
      </c>
      <c r="JBO108" s="1" t="s">
        <v>122</v>
      </c>
      <c r="JBP108" s="1" t="s">
        <v>122</v>
      </c>
      <c r="JBQ108" s="1" t="s">
        <v>122</v>
      </c>
      <c r="JBR108" s="1" t="s">
        <v>122</v>
      </c>
      <c r="JBS108" s="1" t="s">
        <v>122</v>
      </c>
      <c r="JBT108" s="1" t="s">
        <v>122</v>
      </c>
      <c r="JBU108" s="1" t="s">
        <v>122</v>
      </c>
      <c r="JBV108" s="1" t="s">
        <v>122</v>
      </c>
      <c r="JBW108" s="1" t="s">
        <v>122</v>
      </c>
      <c r="JBX108" s="1" t="s">
        <v>122</v>
      </c>
      <c r="JBY108" s="1" t="s">
        <v>122</v>
      </c>
      <c r="JBZ108" s="1" t="s">
        <v>122</v>
      </c>
      <c r="JCA108" s="1" t="s">
        <v>122</v>
      </c>
      <c r="JCB108" s="1" t="s">
        <v>122</v>
      </c>
      <c r="JCC108" s="1" t="s">
        <v>122</v>
      </c>
      <c r="JCD108" s="1" t="s">
        <v>122</v>
      </c>
      <c r="JCE108" s="1" t="s">
        <v>122</v>
      </c>
      <c r="JCF108" s="1" t="s">
        <v>122</v>
      </c>
      <c r="JCG108" s="1" t="s">
        <v>122</v>
      </c>
      <c r="JCH108" s="1" t="s">
        <v>122</v>
      </c>
      <c r="JCI108" s="1" t="s">
        <v>122</v>
      </c>
      <c r="JCJ108" s="1" t="s">
        <v>122</v>
      </c>
      <c r="JCK108" s="1" t="s">
        <v>122</v>
      </c>
      <c r="JCL108" s="1" t="s">
        <v>122</v>
      </c>
      <c r="JCM108" s="1" t="s">
        <v>122</v>
      </c>
      <c r="JCN108" s="1" t="s">
        <v>122</v>
      </c>
      <c r="JCO108" s="1" t="s">
        <v>122</v>
      </c>
      <c r="JCP108" s="1" t="s">
        <v>122</v>
      </c>
      <c r="JCQ108" s="1" t="s">
        <v>122</v>
      </c>
      <c r="JCR108" s="1" t="s">
        <v>122</v>
      </c>
      <c r="JCS108" s="1" t="s">
        <v>122</v>
      </c>
      <c r="JCT108" s="1" t="s">
        <v>122</v>
      </c>
      <c r="JCU108" s="1" t="s">
        <v>122</v>
      </c>
      <c r="JCV108" s="1" t="s">
        <v>122</v>
      </c>
      <c r="JCW108" s="1" t="s">
        <v>122</v>
      </c>
      <c r="JCX108" s="1" t="s">
        <v>122</v>
      </c>
      <c r="JCY108" s="1" t="s">
        <v>122</v>
      </c>
      <c r="JCZ108" s="1" t="s">
        <v>122</v>
      </c>
      <c r="JDA108" s="1" t="s">
        <v>122</v>
      </c>
      <c r="JDB108" s="1" t="s">
        <v>122</v>
      </c>
      <c r="JDC108" s="1" t="s">
        <v>122</v>
      </c>
      <c r="JDD108" s="1" t="s">
        <v>122</v>
      </c>
      <c r="JDE108" s="1" t="s">
        <v>122</v>
      </c>
      <c r="JDF108" s="1" t="s">
        <v>122</v>
      </c>
      <c r="JDG108" s="1" t="s">
        <v>122</v>
      </c>
      <c r="JDH108" s="1" t="s">
        <v>122</v>
      </c>
      <c r="JDI108" s="1" t="s">
        <v>122</v>
      </c>
      <c r="JDJ108" s="1" t="s">
        <v>122</v>
      </c>
      <c r="JDK108" s="1" t="s">
        <v>122</v>
      </c>
      <c r="JDL108" s="1" t="s">
        <v>122</v>
      </c>
      <c r="JDM108" s="1" t="s">
        <v>122</v>
      </c>
      <c r="JDN108" s="1" t="s">
        <v>122</v>
      </c>
      <c r="JDO108" s="1" t="s">
        <v>122</v>
      </c>
      <c r="JDP108" s="1" t="s">
        <v>122</v>
      </c>
      <c r="JDQ108" s="1" t="s">
        <v>122</v>
      </c>
      <c r="JDR108" s="1" t="s">
        <v>122</v>
      </c>
      <c r="JDS108" s="1" t="s">
        <v>122</v>
      </c>
      <c r="JDT108" s="1" t="s">
        <v>122</v>
      </c>
      <c r="JDU108" s="1" t="s">
        <v>122</v>
      </c>
      <c r="JDV108" s="1" t="s">
        <v>122</v>
      </c>
      <c r="JDW108" s="1" t="s">
        <v>122</v>
      </c>
      <c r="JDX108" s="1" t="s">
        <v>122</v>
      </c>
      <c r="JDY108" s="1" t="s">
        <v>122</v>
      </c>
      <c r="JDZ108" s="1" t="s">
        <v>122</v>
      </c>
      <c r="JEA108" s="1" t="s">
        <v>122</v>
      </c>
      <c r="JEB108" s="1" t="s">
        <v>122</v>
      </c>
      <c r="JEC108" s="1" t="s">
        <v>122</v>
      </c>
      <c r="JED108" s="1" t="s">
        <v>122</v>
      </c>
      <c r="JEE108" s="1" t="s">
        <v>122</v>
      </c>
      <c r="JEF108" s="1" t="s">
        <v>122</v>
      </c>
      <c r="JEG108" s="1" t="s">
        <v>122</v>
      </c>
      <c r="JEH108" s="1" t="s">
        <v>122</v>
      </c>
      <c r="JEI108" s="1" t="s">
        <v>122</v>
      </c>
      <c r="JEJ108" s="1" t="s">
        <v>122</v>
      </c>
      <c r="JEK108" s="1" t="s">
        <v>122</v>
      </c>
      <c r="JEL108" s="1" t="s">
        <v>122</v>
      </c>
      <c r="JEM108" s="1" t="s">
        <v>122</v>
      </c>
      <c r="JEN108" s="1" t="s">
        <v>122</v>
      </c>
      <c r="JEO108" s="1" t="s">
        <v>122</v>
      </c>
      <c r="JEP108" s="1" t="s">
        <v>122</v>
      </c>
      <c r="JEQ108" s="1" t="s">
        <v>122</v>
      </c>
      <c r="JER108" s="1" t="s">
        <v>122</v>
      </c>
      <c r="JES108" s="1" t="s">
        <v>122</v>
      </c>
      <c r="JET108" s="1" t="s">
        <v>122</v>
      </c>
      <c r="JEU108" s="1" t="s">
        <v>122</v>
      </c>
      <c r="JEV108" s="1" t="s">
        <v>122</v>
      </c>
      <c r="JEW108" s="1" t="s">
        <v>122</v>
      </c>
      <c r="JEX108" s="1" t="s">
        <v>122</v>
      </c>
      <c r="JEY108" s="1" t="s">
        <v>122</v>
      </c>
      <c r="JEZ108" s="1" t="s">
        <v>122</v>
      </c>
      <c r="JFA108" s="1" t="s">
        <v>122</v>
      </c>
      <c r="JFB108" s="1" t="s">
        <v>122</v>
      </c>
      <c r="JFC108" s="1" t="s">
        <v>122</v>
      </c>
      <c r="JFD108" s="1" t="s">
        <v>122</v>
      </c>
      <c r="JFE108" s="1" t="s">
        <v>122</v>
      </c>
      <c r="JFF108" s="1" t="s">
        <v>122</v>
      </c>
      <c r="JFG108" s="1" t="s">
        <v>122</v>
      </c>
      <c r="JFH108" s="1" t="s">
        <v>122</v>
      </c>
      <c r="JFI108" s="1" t="s">
        <v>122</v>
      </c>
      <c r="JFJ108" s="1" t="s">
        <v>122</v>
      </c>
      <c r="JFK108" s="1" t="s">
        <v>122</v>
      </c>
      <c r="JFL108" s="1" t="s">
        <v>122</v>
      </c>
      <c r="JFM108" s="1" t="s">
        <v>122</v>
      </c>
      <c r="JFN108" s="1" t="s">
        <v>122</v>
      </c>
      <c r="JFO108" s="1" t="s">
        <v>122</v>
      </c>
      <c r="JFP108" s="1" t="s">
        <v>122</v>
      </c>
      <c r="JFQ108" s="1" t="s">
        <v>122</v>
      </c>
      <c r="JFR108" s="1" t="s">
        <v>122</v>
      </c>
      <c r="JFS108" s="1" t="s">
        <v>122</v>
      </c>
      <c r="JFT108" s="1" t="s">
        <v>122</v>
      </c>
      <c r="JFU108" s="1" t="s">
        <v>122</v>
      </c>
      <c r="JFV108" s="1" t="s">
        <v>122</v>
      </c>
      <c r="JFW108" s="1" t="s">
        <v>122</v>
      </c>
      <c r="JFX108" s="1" t="s">
        <v>122</v>
      </c>
      <c r="JFY108" s="1" t="s">
        <v>122</v>
      </c>
      <c r="JFZ108" s="1" t="s">
        <v>122</v>
      </c>
      <c r="JGA108" s="1" t="s">
        <v>122</v>
      </c>
      <c r="JGB108" s="1" t="s">
        <v>122</v>
      </c>
      <c r="JGC108" s="1" t="s">
        <v>122</v>
      </c>
      <c r="JGD108" s="1" t="s">
        <v>122</v>
      </c>
      <c r="JGE108" s="1" t="s">
        <v>122</v>
      </c>
      <c r="JGF108" s="1" t="s">
        <v>122</v>
      </c>
      <c r="JGG108" s="1" t="s">
        <v>122</v>
      </c>
      <c r="JGH108" s="1" t="s">
        <v>122</v>
      </c>
      <c r="JGI108" s="1" t="s">
        <v>122</v>
      </c>
      <c r="JGJ108" s="1" t="s">
        <v>122</v>
      </c>
      <c r="JGK108" s="1" t="s">
        <v>122</v>
      </c>
      <c r="JGL108" s="1" t="s">
        <v>122</v>
      </c>
      <c r="JGM108" s="1" t="s">
        <v>122</v>
      </c>
      <c r="JGN108" s="1" t="s">
        <v>122</v>
      </c>
      <c r="JGO108" s="1" t="s">
        <v>122</v>
      </c>
      <c r="JGP108" s="1" t="s">
        <v>122</v>
      </c>
      <c r="JGQ108" s="1" t="s">
        <v>122</v>
      </c>
      <c r="JGR108" s="1" t="s">
        <v>122</v>
      </c>
      <c r="JGS108" s="1" t="s">
        <v>122</v>
      </c>
      <c r="JGT108" s="1" t="s">
        <v>122</v>
      </c>
      <c r="JGU108" s="1" t="s">
        <v>122</v>
      </c>
      <c r="JGV108" s="1" t="s">
        <v>122</v>
      </c>
      <c r="JGW108" s="1" t="s">
        <v>122</v>
      </c>
      <c r="JGX108" s="1" t="s">
        <v>122</v>
      </c>
      <c r="JGY108" s="1" t="s">
        <v>122</v>
      </c>
      <c r="JGZ108" s="1" t="s">
        <v>122</v>
      </c>
      <c r="JHA108" s="1" t="s">
        <v>122</v>
      </c>
      <c r="JHB108" s="1" t="s">
        <v>122</v>
      </c>
      <c r="JHC108" s="1" t="s">
        <v>122</v>
      </c>
      <c r="JHD108" s="1" t="s">
        <v>122</v>
      </c>
      <c r="JHE108" s="1" t="s">
        <v>122</v>
      </c>
      <c r="JHF108" s="1" t="s">
        <v>122</v>
      </c>
      <c r="JHG108" s="1" t="s">
        <v>122</v>
      </c>
      <c r="JHH108" s="1" t="s">
        <v>122</v>
      </c>
      <c r="JHI108" s="1" t="s">
        <v>122</v>
      </c>
      <c r="JHJ108" s="1" t="s">
        <v>122</v>
      </c>
      <c r="JHK108" s="1" t="s">
        <v>122</v>
      </c>
      <c r="JHL108" s="1" t="s">
        <v>122</v>
      </c>
      <c r="JHM108" s="1" t="s">
        <v>122</v>
      </c>
      <c r="JHN108" s="1" t="s">
        <v>122</v>
      </c>
      <c r="JHO108" s="1" t="s">
        <v>122</v>
      </c>
      <c r="JHP108" s="1" t="s">
        <v>122</v>
      </c>
      <c r="JHQ108" s="1" t="s">
        <v>122</v>
      </c>
      <c r="JHR108" s="1" t="s">
        <v>122</v>
      </c>
      <c r="JHS108" s="1" t="s">
        <v>122</v>
      </c>
      <c r="JHT108" s="1" t="s">
        <v>122</v>
      </c>
      <c r="JHU108" s="1" t="s">
        <v>122</v>
      </c>
      <c r="JHV108" s="1" t="s">
        <v>122</v>
      </c>
      <c r="JHW108" s="1" t="s">
        <v>122</v>
      </c>
      <c r="JHX108" s="1" t="s">
        <v>122</v>
      </c>
      <c r="JHY108" s="1" t="s">
        <v>122</v>
      </c>
      <c r="JHZ108" s="1" t="s">
        <v>122</v>
      </c>
      <c r="JIA108" s="1" t="s">
        <v>122</v>
      </c>
      <c r="JIB108" s="1" t="s">
        <v>122</v>
      </c>
      <c r="JIC108" s="1" t="s">
        <v>122</v>
      </c>
      <c r="JID108" s="1" t="s">
        <v>122</v>
      </c>
      <c r="JIE108" s="1" t="s">
        <v>122</v>
      </c>
      <c r="JIF108" s="1" t="s">
        <v>122</v>
      </c>
      <c r="JIG108" s="1" t="s">
        <v>122</v>
      </c>
      <c r="JIH108" s="1" t="s">
        <v>122</v>
      </c>
      <c r="JII108" s="1" t="s">
        <v>122</v>
      </c>
      <c r="JIJ108" s="1" t="s">
        <v>122</v>
      </c>
      <c r="JIK108" s="1" t="s">
        <v>122</v>
      </c>
      <c r="JIL108" s="1" t="s">
        <v>122</v>
      </c>
      <c r="JIM108" s="1" t="s">
        <v>122</v>
      </c>
      <c r="JIN108" s="1" t="s">
        <v>122</v>
      </c>
      <c r="JIO108" s="1" t="s">
        <v>122</v>
      </c>
      <c r="JIP108" s="1" t="s">
        <v>122</v>
      </c>
      <c r="JIQ108" s="1" t="s">
        <v>122</v>
      </c>
      <c r="JIR108" s="1" t="s">
        <v>122</v>
      </c>
      <c r="JIS108" s="1" t="s">
        <v>122</v>
      </c>
      <c r="JIT108" s="1" t="s">
        <v>122</v>
      </c>
      <c r="JIU108" s="1" t="s">
        <v>122</v>
      </c>
      <c r="JIV108" s="1" t="s">
        <v>122</v>
      </c>
      <c r="JIW108" s="1" t="s">
        <v>122</v>
      </c>
      <c r="JIX108" s="1" t="s">
        <v>122</v>
      </c>
      <c r="JIY108" s="1" t="s">
        <v>122</v>
      </c>
      <c r="JIZ108" s="1" t="s">
        <v>122</v>
      </c>
      <c r="JJA108" s="1" t="s">
        <v>122</v>
      </c>
      <c r="JJB108" s="1" t="s">
        <v>122</v>
      </c>
      <c r="JJC108" s="1" t="s">
        <v>122</v>
      </c>
      <c r="JJD108" s="1" t="s">
        <v>122</v>
      </c>
      <c r="JJE108" s="1" t="s">
        <v>122</v>
      </c>
      <c r="JJF108" s="1" t="s">
        <v>122</v>
      </c>
      <c r="JJG108" s="1" t="s">
        <v>122</v>
      </c>
      <c r="JJH108" s="1" t="s">
        <v>122</v>
      </c>
      <c r="JJI108" s="1" t="s">
        <v>122</v>
      </c>
      <c r="JJJ108" s="1" t="s">
        <v>122</v>
      </c>
      <c r="JJK108" s="1" t="s">
        <v>122</v>
      </c>
      <c r="JJL108" s="1" t="s">
        <v>122</v>
      </c>
      <c r="JJM108" s="1" t="s">
        <v>122</v>
      </c>
      <c r="JJN108" s="1" t="s">
        <v>122</v>
      </c>
      <c r="JJO108" s="1" t="s">
        <v>122</v>
      </c>
      <c r="JJP108" s="1" t="s">
        <v>122</v>
      </c>
      <c r="JJQ108" s="1" t="s">
        <v>122</v>
      </c>
      <c r="JJR108" s="1" t="s">
        <v>122</v>
      </c>
      <c r="JJS108" s="1" t="s">
        <v>122</v>
      </c>
      <c r="JJT108" s="1" t="s">
        <v>122</v>
      </c>
      <c r="JJU108" s="1" t="s">
        <v>122</v>
      </c>
      <c r="JJV108" s="1" t="s">
        <v>122</v>
      </c>
      <c r="JJW108" s="1" t="s">
        <v>122</v>
      </c>
      <c r="JJX108" s="1" t="s">
        <v>122</v>
      </c>
      <c r="JJY108" s="1" t="s">
        <v>122</v>
      </c>
      <c r="JJZ108" s="1" t="s">
        <v>122</v>
      </c>
      <c r="JKA108" s="1" t="s">
        <v>122</v>
      </c>
      <c r="JKB108" s="1" t="s">
        <v>122</v>
      </c>
      <c r="JKC108" s="1" t="s">
        <v>122</v>
      </c>
      <c r="JKD108" s="1" t="s">
        <v>122</v>
      </c>
      <c r="JKE108" s="1" t="s">
        <v>122</v>
      </c>
      <c r="JKF108" s="1" t="s">
        <v>122</v>
      </c>
      <c r="JKG108" s="1" t="s">
        <v>122</v>
      </c>
      <c r="JKH108" s="1" t="s">
        <v>122</v>
      </c>
      <c r="JKI108" s="1" t="s">
        <v>122</v>
      </c>
      <c r="JKJ108" s="1" t="s">
        <v>122</v>
      </c>
      <c r="JKK108" s="1" t="s">
        <v>122</v>
      </c>
      <c r="JKL108" s="1" t="s">
        <v>122</v>
      </c>
      <c r="JKM108" s="1" t="s">
        <v>122</v>
      </c>
      <c r="JKN108" s="1" t="s">
        <v>122</v>
      </c>
      <c r="JKO108" s="1" t="s">
        <v>122</v>
      </c>
      <c r="JKP108" s="1" t="s">
        <v>122</v>
      </c>
      <c r="JKQ108" s="1" t="s">
        <v>122</v>
      </c>
      <c r="JKR108" s="1" t="s">
        <v>122</v>
      </c>
      <c r="JKS108" s="1" t="s">
        <v>122</v>
      </c>
      <c r="JKT108" s="1" t="s">
        <v>122</v>
      </c>
      <c r="JKU108" s="1" t="s">
        <v>122</v>
      </c>
      <c r="JKV108" s="1" t="s">
        <v>122</v>
      </c>
      <c r="JKW108" s="1" t="s">
        <v>122</v>
      </c>
      <c r="JKX108" s="1" t="s">
        <v>122</v>
      </c>
      <c r="JKY108" s="1" t="s">
        <v>122</v>
      </c>
      <c r="JKZ108" s="1" t="s">
        <v>122</v>
      </c>
      <c r="JLA108" s="1" t="s">
        <v>122</v>
      </c>
      <c r="JLB108" s="1" t="s">
        <v>122</v>
      </c>
      <c r="JLC108" s="1" t="s">
        <v>122</v>
      </c>
      <c r="JLD108" s="1" t="s">
        <v>122</v>
      </c>
      <c r="JLE108" s="1" t="s">
        <v>122</v>
      </c>
      <c r="JLF108" s="1" t="s">
        <v>122</v>
      </c>
      <c r="JLG108" s="1" t="s">
        <v>122</v>
      </c>
      <c r="JLH108" s="1" t="s">
        <v>122</v>
      </c>
      <c r="JLI108" s="1" t="s">
        <v>122</v>
      </c>
      <c r="JLJ108" s="1" t="s">
        <v>122</v>
      </c>
      <c r="JLK108" s="1" t="s">
        <v>122</v>
      </c>
      <c r="JLL108" s="1" t="s">
        <v>122</v>
      </c>
      <c r="JLM108" s="1" t="s">
        <v>122</v>
      </c>
      <c r="JLN108" s="1" t="s">
        <v>122</v>
      </c>
      <c r="JLO108" s="1" t="s">
        <v>122</v>
      </c>
      <c r="JLP108" s="1" t="s">
        <v>122</v>
      </c>
      <c r="JLQ108" s="1" t="s">
        <v>122</v>
      </c>
      <c r="JLR108" s="1" t="s">
        <v>122</v>
      </c>
      <c r="JLS108" s="1" t="s">
        <v>122</v>
      </c>
      <c r="JLT108" s="1" t="s">
        <v>122</v>
      </c>
      <c r="JLU108" s="1" t="s">
        <v>122</v>
      </c>
      <c r="JLV108" s="1" t="s">
        <v>122</v>
      </c>
      <c r="JLW108" s="1" t="s">
        <v>122</v>
      </c>
      <c r="JLX108" s="1" t="s">
        <v>122</v>
      </c>
      <c r="JLY108" s="1" t="s">
        <v>122</v>
      </c>
      <c r="JLZ108" s="1" t="s">
        <v>122</v>
      </c>
      <c r="JMA108" s="1" t="s">
        <v>122</v>
      </c>
      <c r="JMB108" s="1" t="s">
        <v>122</v>
      </c>
      <c r="JMC108" s="1" t="s">
        <v>122</v>
      </c>
      <c r="JMD108" s="1" t="s">
        <v>122</v>
      </c>
      <c r="JME108" s="1" t="s">
        <v>122</v>
      </c>
      <c r="JMF108" s="1" t="s">
        <v>122</v>
      </c>
      <c r="JMG108" s="1" t="s">
        <v>122</v>
      </c>
      <c r="JMH108" s="1" t="s">
        <v>122</v>
      </c>
      <c r="JMI108" s="1" t="s">
        <v>122</v>
      </c>
      <c r="JMJ108" s="1" t="s">
        <v>122</v>
      </c>
      <c r="JMK108" s="1" t="s">
        <v>122</v>
      </c>
      <c r="JML108" s="1" t="s">
        <v>122</v>
      </c>
      <c r="JMM108" s="1" t="s">
        <v>122</v>
      </c>
      <c r="JMN108" s="1" t="s">
        <v>122</v>
      </c>
      <c r="JMO108" s="1" t="s">
        <v>122</v>
      </c>
      <c r="JMP108" s="1" t="s">
        <v>122</v>
      </c>
      <c r="JMQ108" s="1" t="s">
        <v>122</v>
      </c>
      <c r="JMR108" s="1" t="s">
        <v>122</v>
      </c>
      <c r="JMS108" s="1" t="s">
        <v>122</v>
      </c>
      <c r="JMT108" s="1" t="s">
        <v>122</v>
      </c>
      <c r="JMU108" s="1" t="s">
        <v>122</v>
      </c>
      <c r="JMV108" s="1" t="s">
        <v>122</v>
      </c>
      <c r="JMW108" s="1" t="s">
        <v>122</v>
      </c>
      <c r="JMX108" s="1" t="s">
        <v>122</v>
      </c>
      <c r="JMY108" s="1" t="s">
        <v>122</v>
      </c>
      <c r="JMZ108" s="1" t="s">
        <v>122</v>
      </c>
      <c r="JNA108" s="1" t="s">
        <v>122</v>
      </c>
      <c r="JNB108" s="1" t="s">
        <v>122</v>
      </c>
      <c r="JNC108" s="1" t="s">
        <v>122</v>
      </c>
      <c r="JND108" s="1" t="s">
        <v>122</v>
      </c>
      <c r="JNE108" s="1" t="s">
        <v>122</v>
      </c>
      <c r="JNF108" s="1" t="s">
        <v>122</v>
      </c>
      <c r="JNG108" s="1" t="s">
        <v>122</v>
      </c>
      <c r="JNH108" s="1" t="s">
        <v>122</v>
      </c>
      <c r="JNI108" s="1" t="s">
        <v>122</v>
      </c>
      <c r="JNJ108" s="1" t="s">
        <v>122</v>
      </c>
      <c r="JNK108" s="1" t="s">
        <v>122</v>
      </c>
      <c r="JNL108" s="1" t="s">
        <v>122</v>
      </c>
      <c r="JNM108" s="1" t="s">
        <v>122</v>
      </c>
      <c r="JNN108" s="1" t="s">
        <v>122</v>
      </c>
      <c r="JNO108" s="1" t="s">
        <v>122</v>
      </c>
      <c r="JNP108" s="1" t="s">
        <v>122</v>
      </c>
      <c r="JNQ108" s="1" t="s">
        <v>122</v>
      </c>
      <c r="JNR108" s="1" t="s">
        <v>122</v>
      </c>
      <c r="JNS108" s="1" t="s">
        <v>122</v>
      </c>
      <c r="JNT108" s="1" t="s">
        <v>122</v>
      </c>
      <c r="JNU108" s="1" t="s">
        <v>122</v>
      </c>
      <c r="JNV108" s="1" t="s">
        <v>122</v>
      </c>
      <c r="JNW108" s="1" t="s">
        <v>122</v>
      </c>
      <c r="JNX108" s="1" t="s">
        <v>122</v>
      </c>
      <c r="JNY108" s="1" t="s">
        <v>122</v>
      </c>
      <c r="JNZ108" s="1" t="s">
        <v>122</v>
      </c>
      <c r="JOA108" s="1" t="s">
        <v>122</v>
      </c>
      <c r="JOB108" s="1" t="s">
        <v>122</v>
      </c>
      <c r="JOC108" s="1" t="s">
        <v>122</v>
      </c>
      <c r="JOD108" s="1" t="s">
        <v>122</v>
      </c>
      <c r="JOE108" s="1" t="s">
        <v>122</v>
      </c>
      <c r="JOF108" s="1" t="s">
        <v>122</v>
      </c>
      <c r="JOG108" s="1" t="s">
        <v>122</v>
      </c>
      <c r="JOH108" s="1" t="s">
        <v>122</v>
      </c>
      <c r="JOI108" s="1" t="s">
        <v>122</v>
      </c>
      <c r="JOJ108" s="1" t="s">
        <v>122</v>
      </c>
      <c r="JOK108" s="1" t="s">
        <v>122</v>
      </c>
      <c r="JOL108" s="1" t="s">
        <v>122</v>
      </c>
      <c r="JOM108" s="1" t="s">
        <v>122</v>
      </c>
      <c r="JON108" s="1" t="s">
        <v>122</v>
      </c>
      <c r="JOO108" s="1" t="s">
        <v>122</v>
      </c>
      <c r="JOP108" s="1" t="s">
        <v>122</v>
      </c>
      <c r="JOQ108" s="1" t="s">
        <v>122</v>
      </c>
      <c r="JOR108" s="1" t="s">
        <v>122</v>
      </c>
      <c r="JOS108" s="1" t="s">
        <v>122</v>
      </c>
      <c r="JOT108" s="1" t="s">
        <v>122</v>
      </c>
      <c r="JOU108" s="1" t="s">
        <v>122</v>
      </c>
      <c r="JOV108" s="1" t="s">
        <v>122</v>
      </c>
      <c r="JOW108" s="1" t="s">
        <v>122</v>
      </c>
      <c r="JOX108" s="1" t="s">
        <v>122</v>
      </c>
      <c r="JOY108" s="1" t="s">
        <v>122</v>
      </c>
      <c r="JOZ108" s="1" t="s">
        <v>122</v>
      </c>
      <c r="JPA108" s="1" t="s">
        <v>122</v>
      </c>
      <c r="JPB108" s="1" t="s">
        <v>122</v>
      </c>
      <c r="JPC108" s="1" t="s">
        <v>122</v>
      </c>
      <c r="JPD108" s="1" t="s">
        <v>122</v>
      </c>
      <c r="JPE108" s="1" t="s">
        <v>122</v>
      </c>
      <c r="JPF108" s="1" t="s">
        <v>122</v>
      </c>
      <c r="JPG108" s="1" t="s">
        <v>122</v>
      </c>
      <c r="JPH108" s="1" t="s">
        <v>122</v>
      </c>
      <c r="JPI108" s="1" t="s">
        <v>122</v>
      </c>
      <c r="JPJ108" s="1" t="s">
        <v>122</v>
      </c>
      <c r="JPK108" s="1" t="s">
        <v>122</v>
      </c>
      <c r="JPL108" s="1" t="s">
        <v>122</v>
      </c>
      <c r="JPM108" s="1" t="s">
        <v>122</v>
      </c>
      <c r="JPN108" s="1" t="s">
        <v>122</v>
      </c>
      <c r="JPO108" s="1" t="s">
        <v>122</v>
      </c>
      <c r="JPP108" s="1" t="s">
        <v>122</v>
      </c>
      <c r="JPQ108" s="1" t="s">
        <v>122</v>
      </c>
      <c r="JPR108" s="1" t="s">
        <v>122</v>
      </c>
      <c r="JPS108" s="1" t="s">
        <v>122</v>
      </c>
      <c r="JPT108" s="1" t="s">
        <v>122</v>
      </c>
      <c r="JPU108" s="1" t="s">
        <v>122</v>
      </c>
      <c r="JPV108" s="1" t="s">
        <v>122</v>
      </c>
      <c r="JPW108" s="1" t="s">
        <v>122</v>
      </c>
      <c r="JPX108" s="1" t="s">
        <v>122</v>
      </c>
      <c r="JPY108" s="1" t="s">
        <v>122</v>
      </c>
      <c r="JPZ108" s="1" t="s">
        <v>122</v>
      </c>
      <c r="JQA108" s="1" t="s">
        <v>122</v>
      </c>
      <c r="JQB108" s="1" t="s">
        <v>122</v>
      </c>
      <c r="JQC108" s="1" t="s">
        <v>122</v>
      </c>
      <c r="JQD108" s="1" t="s">
        <v>122</v>
      </c>
      <c r="JQE108" s="1" t="s">
        <v>122</v>
      </c>
      <c r="JQF108" s="1" t="s">
        <v>122</v>
      </c>
      <c r="JQG108" s="1" t="s">
        <v>122</v>
      </c>
      <c r="JQH108" s="1" t="s">
        <v>122</v>
      </c>
      <c r="JQI108" s="1" t="s">
        <v>122</v>
      </c>
      <c r="JQJ108" s="1" t="s">
        <v>122</v>
      </c>
      <c r="JQK108" s="1" t="s">
        <v>122</v>
      </c>
      <c r="JQL108" s="1" t="s">
        <v>122</v>
      </c>
      <c r="JQM108" s="1" t="s">
        <v>122</v>
      </c>
      <c r="JQN108" s="1" t="s">
        <v>122</v>
      </c>
      <c r="JQO108" s="1" t="s">
        <v>122</v>
      </c>
      <c r="JQP108" s="1" t="s">
        <v>122</v>
      </c>
      <c r="JQQ108" s="1" t="s">
        <v>122</v>
      </c>
      <c r="JQR108" s="1" t="s">
        <v>122</v>
      </c>
      <c r="JQS108" s="1" t="s">
        <v>122</v>
      </c>
      <c r="JQT108" s="1" t="s">
        <v>122</v>
      </c>
      <c r="JQU108" s="1" t="s">
        <v>122</v>
      </c>
      <c r="JQV108" s="1" t="s">
        <v>122</v>
      </c>
      <c r="JQW108" s="1" t="s">
        <v>122</v>
      </c>
      <c r="JQX108" s="1" t="s">
        <v>122</v>
      </c>
      <c r="JQY108" s="1" t="s">
        <v>122</v>
      </c>
      <c r="JQZ108" s="1" t="s">
        <v>122</v>
      </c>
      <c r="JRA108" s="1" t="s">
        <v>122</v>
      </c>
      <c r="JRB108" s="1" t="s">
        <v>122</v>
      </c>
      <c r="JRC108" s="1" t="s">
        <v>122</v>
      </c>
      <c r="JRD108" s="1" t="s">
        <v>122</v>
      </c>
      <c r="JRE108" s="1" t="s">
        <v>122</v>
      </c>
      <c r="JRF108" s="1" t="s">
        <v>122</v>
      </c>
      <c r="JRG108" s="1" t="s">
        <v>122</v>
      </c>
      <c r="JRH108" s="1" t="s">
        <v>122</v>
      </c>
      <c r="JRI108" s="1" t="s">
        <v>122</v>
      </c>
      <c r="JRJ108" s="1" t="s">
        <v>122</v>
      </c>
      <c r="JRK108" s="1" t="s">
        <v>122</v>
      </c>
      <c r="JRL108" s="1" t="s">
        <v>122</v>
      </c>
      <c r="JRM108" s="1" t="s">
        <v>122</v>
      </c>
      <c r="JRN108" s="1" t="s">
        <v>122</v>
      </c>
      <c r="JRO108" s="1" t="s">
        <v>122</v>
      </c>
      <c r="JRP108" s="1" t="s">
        <v>122</v>
      </c>
      <c r="JRQ108" s="1" t="s">
        <v>122</v>
      </c>
      <c r="JRR108" s="1" t="s">
        <v>122</v>
      </c>
      <c r="JRS108" s="1" t="s">
        <v>122</v>
      </c>
      <c r="JRT108" s="1" t="s">
        <v>122</v>
      </c>
      <c r="JRU108" s="1" t="s">
        <v>122</v>
      </c>
      <c r="JRV108" s="1" t="s">
        <v>122</v>
      </c>
      <c r="JRW108" s="1" t="s">
        <v>122</v>
      </c>
      <c r="JRX108" s="1" t="s">
        <v>122</v>
      </c>
      <c r="JRY108" s="1" t="s">
        <v>122</v>
      </c>
      <c r="JRZ108" s="1" t="s">
        <v>122</v>
      </c>
      <c r="JSA108" s="1" t="s">
        <v>122</v>
      </c>
      <c r="JSB108" s="1" t="s">
        <v>122</v>
      </c>
      <c r="JSC108" s="1" t="s">
        <v>122</v>
      </c>
      <c r="JSD108" s="1" t="s">
        <v>122</v>
      </c>
      <c r="JSE108" s="1" t="s">
        <v>122</v>
      </c>
      <c r="JSF108" s="1" t="s">
        <v>122</v>
      </c>
      <c r="JSG108" s="1" t="s">
        <v>122</v>
      </c>
      <c r="JSH108" s="1" t="s">
        <v>122</v>
      </c>
      <c r="JSI108" s="1" t="s">
        <v>122</v>
      </c>
      <c r="JSJ108" s="1" t="s">
        <v>122</v>
      </c>
      <c r="JSK108" s="1" t="s">
        <v>122</v>
      </c>
      <c r="JSL108" s="1" t="s">
        <v>122</v>
      </c>
      <c r="JSM108" s="1" t="s">
        <v>122</v>
      </c>
      <c r="JSN108" s="1" t="s">
        <v>122</v>
      </c>
      <c r="JSO108" s="1" t="s">
        <v>122</v>
      </c>
      <c r="JSP108" s="1" t="s">
        <v>122</v>
      </c>
      <c r="JSQ108" s="1" t="s">
        <v>122</v>
      </c>
      <c r="JSR108" s="1" t="s">
        <v>122</v>
      </c>
      <c r="JSS108" s="1" t="s">
        <v>122</v>
      </c>
      <c r="JST108" s="1" t="s">
        <v>122</v>
      </c>
      <c r="JSU108" s="1" t="s">
        <v>122</v>
      </c>
      <c r="JSV108" s="1" t="s">
        <v>122</v>
      </c>
      <c r="JSW108" s="1" t="s">
        <v>122</v>
      </c>
      <c r="JSX108" s="1" t="s">
        <v>122</v>
      </c>
      <c r="JSY108" s="1" t="s">
        <v>122</v>
      </c>
      <c r="JSZ108" s="1" t="s">
        <v>122</v>
      </c>
      <c r="JTA108" s="1" t="s">
        <v>122</v>
      </c>
      <c r="JTB108" s="1" t="s">
        <v>122</v>
      </c>
      <c r="JTC108" s="1" t="s">
        <v>122</v>
      </c>
      <c r="JTD108" s="1" t="s">
        <v>122</v>
      </c>
      <c r="JTE108" s="1" t="s">
        <v>122</v>
      </c>
      <c r="JTF108" s="1" t="s">
        <v>122</v>
      </c>
      <c r="JTG108" s="1" t="s">
        <v>122</v>
      </c>
      <c r="JTH108" s="1" t="s">
        <v>122</v>
      </c>
      <c r="JTI108" s="1" t="s">
        <v>122</v>
      </c>
      <c r="JTJ108" s="1" t="s">
        <v>122</v>
      </c>
      <c r="JTK108" s="1" t="s">
        <v>122</v>
      </c>
      <c r="JTL108" s="1" t="s">
        <v>122</v>
      </c>
      <c r="JTM108" s="1" t="s">
        <v>122</v>
      </c>
      <c r="JTN108" s="1" t="s">
        <v>122</v>
      </c>
      <c r="JTO108" s="1" t="s">
        <v>122</v>
      </c>
      <c r="JTP108" s="1" t="s">
        <v>122</v>
      </c>
      <c r="JTQ108" s="1" t="s">
        <v>122</v>
      </c>
      <c r="JTR108" s="1" t="s">
        <v>122</v>
      </c>
      <c r="JTS108" s="1" t="s">
        <v>122</v>
      </c>
      <c r="JTT108" s="1" t="s">
        <v>122</v>
      </c>
      <c r="JTU108" s="1" t="s">
        <v>122</v>
      </c>
      <c r="JTV108" s="1" t="s">
        <v>122</v>
      </c>
      <c r="JTW108" s="1" t="s">
        <v>122</v>
      </c>
      <c r="JTX108" s="1" t="s">
        <v>122</v>
      </c>
      <c r="JTY108" s="1" t="s">
        <v>122</v>
      </c>
      <c r="JTZ108" s="1" t="s">
        <v>122</v>
      </c>
      <c r="JUA108" s="1" t="s">
        <v>122</v>
      </c>
      <c r="JUB108" s="1" t="s">
        <v>122</v>
      </c>
      <c r="JUC108" s="1" t="s">
        <v>122</v>
      </c>
      <c r="JUD108" s="1" t="s">
        <v>122</v>
      </c>
      <c r="JUE108" s="1" t="s">
        <v>122</v>
      </c>
      <c r="JUF108" s="1" t="s">
        <v>122</v>
      </c>
      <c r="JUG108" s="1" t="s">
        <v>122</v>
      </c>
      <c r="JUH108" s="1" t="s">
        <v>122</v>
      </c>
      <c r="JUI108" s="1" t="s">
        <v>122</v>
      </c>
      <c r="JUJ108" s="1" t="s">
        <v>122</v>
      </c>
      <c r="JUK108" s="1" t="s">
        <v>122</v>
      </c>
      <c r="JUL108" s="1" t="s">
        <v>122</v>
      </c>
      <c r="JUM108" s="1" t="s">
        <v>122</v>
      </c>
      <c r="JUN108" s="1" t="s">
        <v>122</v>
      </c>
      <c r="JUO108" s="1" t="s">
        <v>122</v>
      </c>
      <c r="JUP108" s="1" t="s">
        <v>122</v>
      </c>
      <c r="JUQ108" s="1" t="s">
        <v>122</v>
      </c>
      <c r="JUR108" s="1" t="s">
        <v>122</v>
      </c>
      <c r="JUS108" s="1" t="s">
        <v>122</v>
      </c>
      <c r="JUT108" s="1" t="s">
        <v>122</v>
      </c>
      <c r="JUU108" s="1" t="s">
        <v>122</v>
      </c>
      <c r="JUV108" s="1" t="s">
        <v>122</v>
      </c>
      <c r="JUW108" s="1" t="s">
        <v>122</v>
      </c>
      <c r="JUX108" s="1" t="s">
        <v>122</v>
      </c>
      <c r="JUY108" s="1" t="s">
        <v>122</v>
      </c>
      <c r="JUZ108" s="1" t="s">
        <v>122</v>
      </c>
      <c r="JVA108" s="1" t="s">
        <v>122</v>
      </c>
      <c r="JVB108" s="1" t="s">
        <v>122</v>
      </c>
      <c r="JVC108" s="1" t="s">
        <v>122</v>
      </c>
      <c r="JVD108" s="1" t="s">
        <v>122</v>
      </c>
      <c r="JVE108" s="1" t="s">
        <v>122</v>
      </c>
      <c r="JVF108" s="1" t="s">
        <v>122</v>
      </c>
      <c r="JVG108" s="1" t="s">
        <v>122</v>
      </c>
      <c r="JVH108" s="1" t="s">
        <v>122</v>
      </c>
      <c r="JVI108" s="1" t="s">
        <v>122</v>
      </c>
      <c r="JVJ108" s="1" t="s">
        <v>122</v>
      </c>
      <c r="JVK108" s="1" t="s">
        <v>122</v>
      </c>
      <c r="JVL108" s="1" t="s">
        <v>122</v>
      </c>
      <c r="JVM108" s="1" t="s">
        <v>122</v>
      </c>
      <c r="JVN108" s="1" t="s">
        <v>122</v>
      </c>
      <c r="JVO108" s="1" t="s">
        <v>122</v>
      </c>
      <c r="JVP108" s="1" t="s">
        <v>122</v>
      </c>
      <c r="JVQ108" s="1" t="s">
        <v>122</v>
      </c>
      <c r="JVR108" s="1" t="s">
        <v>122</v>
      </c>
      <c r="JVS108" s="1" t="s">
        <v>122</v>
      </c>
      <c r="JVT108" s="1" t="s">
        <v>122</v>
      </c>
      <c r="JVU108" s="1" t="s">
        <v>122</v>
      </c>
      <c r="JVV108" s="1" t="s">
        <v>122</v>
      </c>
      <c r="JVW108" s="1" t="s">
        <v>122</v>
      </c>
      <c r="JVX108" s="1" t="s">
        <v>122</v>
      </c>
      <c r="JVY108" s="1" t="s">
        <v>122</v>
      </c>
      <c r="JVZ108" s="1" t="s">
        <v>122</v>
      </c>
      <c r="JWA108" s="1" t="s">
        <v>122</v>
      </c>
      <c r="JWB108" s="1" t="s">
        <v>122</v>
      </c>
      <c r="JWC108" s="1" t="s">
        <v>122</v>
      </c>
      <c r="JWD108" s="1" t="s">
        <v>122</v>
      </c>
      <c r="JWE108" s="1" t="s">
        <v>122</v>
      </c>
      <c r="JWF108" s="1" t="s">
        <v>122</v>
      </c>
      <c r="JWG108" s="1" t="s">
        <v>122</v>
      </c>
      <c r="JWH108" s="1" t="s">
        <v>122</v>
      </c>
      <c r="JWI108" s="1" t="s">
        <v>122</v>
      </c>
      <c r="JWJ108" s="1" t="s">
        <v>122</v>
      </c>
      <c r="JWK108" s="1" t="s">
        <v>122</v>
      </c>
      <c r="JWL108" s="1" t="s">
        <v>122</v>
      </c>
      <c r="JWM108" s="1" t="s">
        <v>122</v>
      </c>
      <c r="JWN108" s="1" t="s">
        <v>122</v>
      </c>
      <c r="JWO108" s="1" t="s">
        <v>122</v>
      </c>
      <c r="JWP108" s="1" t="s">
        <v>122</v>
      </c>
      <c r="JWQ108" s="1" t="s">
        <v>122</v>
      </c>
      <c r="JWR108" s="1" t="s">
        <v>122</v>
      </c>
      <c r="JWS108" s="1" t="s">
        <v>122</v>
      </c>
      <c r="JWT108" s="1" t="s">
        <v>122</v>
      </c>
      <c r="JWU108" s="1" t="s">
        <v>122</v>
      </c>
      <c r="JWV108" s="1" t="s">
        <v>122</v>
      </c>
      <c r="JWW108" s="1" t="s">
        <v>122</v>
      </c>
      <c r="JWX108" s="1" t="s">
        <v>122</v>
      </c>
      <c r="JWY108" s="1" t="s">
        <v>122</v>
      </c>
      <c r="JWZ108" s="1" t="s">
        <v>122</v>
      </c>
      <c r="JXA108" s="1" t="s">
        <v>122</v>
      </c>
      <c r="JXB108" s="1" t="s">
        <v>122</v>
      </c>
      <c r="JXC108" s="1" t="s">
        <v>122</v>
      </c>
      <c r="JXD108" s="1" t="s">
        <v>122</v>
      </c>
      <c r="JXE108" s="1" t="s">
        <v>122</v>
      </c>
      <c r="JXF108" s="1" t="s">
        <v>122</v>
      </c>
      <c r="JXG108" s="1" t="s">
        <v>122</v>
      </c>
      <c r="JXH108" s="1" t="s">
        <v>122</v>
      </c>
      <c r="JXI108" s="1" t="s">
        <v>122</v>
      </c>
      <c r="JXJ108" s="1" t="s">
        <v>122</v>
      </c>
      <c r="JXK108" s="1" t="s">
        <v>122</v>
      </c>
      <c r="JXL108" s="1" t="s">
        <v>122</v>
      </c>
      <c r="JXM108" s="1" t="s">
        <v>122</v>
      </c>
      <c r="JXN108" s="1" t="s">
        <v>122</v>
      </c>
      <c r="JXO108" s="1" t="s">
        <v>122</v>
      </c>
      <c r="JXP108" s="1" t="s">
        <v>122</v>
      </c>
      <c r="JXQ108" s="1" t="s">
        <v>122</v>
      </c>
      <c r="JXR108" s="1" t="s">
        <v>122</v>
      </c>
      <c r="JXS108" s="1" t="s">
        <v>122</v>
      </c>
      <c r="JXT108" s="1" t="s">
        <v>122</v>
      </c>
      <c r="JXU108" s="1" t="s">
        <v>122</v>
      </c>
      <c r="JXV108" s="1" t="s">
        <v>122</v>
      </c>
      <c r="JXW108" s="1" t="s">
        <v>122</v>
      </c>
      <c r="JXX108" s="1" t="s">
        <v>122</v>
      </c>
      <c r="JXY108" s="1" t="s">
        <v>122</v>
      </c>
      <c r="JXZ108" s="1" t="s">
        <v>122</v>
      </c>
      <c r="JYA108" s="1" t="s">
        <v>122</v>
      </c>
      <c r="JYB108" s="1" t="s">
        <v>122</v>
      </c>
      <c r="JYC108" s="1" t="s">
        <v>122</v>
      </c>
      <c r="JYD108" s="1" t="s">
        <v>122</v>
      </c>
      <c r="JYE108" s="1" t="s">
        <v>122</v>
      </c>
      <c r="JYF108" s="1" t="s">
        <v>122</v>
      </c>
      <c r="JYG108" s="1" t="s">
        <v>122</v>
      </c>
      <c r="JYH108" s="1" t="s">
        <v>122</v>
      </c>
      <c r="JYI108" s="1" t="s">
        <v>122</v>
      </c>
      <c r="JYJ108" s="1" t="s">
        <v>122</v>
      </c>
      <c r="JYK108" s="1" t="s">
        <v>122</v>
      </c>
      <c r="JYL108" s="1" t="s">
        <v>122</v>
      </c>
      <c r="JYM108" s="1" t="s">
        <v>122</v>
      </c>
      <c r="JYN108" s="1" t="s">
        <v>122</v>
      </c>
      <c r="JYO108" s="1" t="s">
        <v>122</v>
      </c>
      <c r="JYP108" s="1" t="s">
        <v>122</v>
      </c>
      <c r="JYQ108" s="1" t="s">
        <v>122</v>
      </c>
      <c r="JYR108" s="1" t="s">
        <v>122</v>
      </c>
      <c r="JYS108" s="1" t="s">
        <v>122</v>
      </c>
      <c r="JYT108" s="1" t="s">
        <v>122</v>
      </c>
      <c r="JYU108" s="1" t="s">
        <v>122</v>
      </c>
      <c r="JYV108" s="1" t="s">
        <v>122</v>
      </c>
      <c r="JYW108" s="1" t="s">
        <v>122</v>
      </c>
      <c r="JYX108" s="1" t="s">
        <v>122</v>
      </c>
      <c r="JYY108" s="1" t="s">
        <v>122</v>
      </c>
      <c r="JYZ108" s="1" t="s">
        <v>122</v>
      </c>
      <c r="JZA108" s="1" t="s">
        <v>122</v>
      </c>
      <c r="JZB108" s="1" t="s">
        <v>122</v>
      </c>
      <c r="JZC108" s="1" t="s">
        <v>122</v>
      </c>
      <c r="JZD108" s="1" t="s">
        <v>122</v>
      </c>
      <c r="JZE108" s="1" t="s">
        <v>122</v>
      </c>
      <c r="JZF108" s="1" t="s">
        <v>122</v>
      </c>
      <c r="JZG108" s="1" t="s">
        <v>122</v>
      </c>
      <c r="JZH108" s="1" t="s">
        <v>122</v>
      </c>
      <c r="JZI108" s="1" t="s">
        <v>122</v>
      </c>
      <c r="JZJ108" s="1" t="s">
        <v>122</v>
      </c>
      <c r="JZK108" s="1" t="s">
        <v>122</v>
      </c>
      <c r="JZL108" s="1" t="s">
        <v>122</v>
      </c>
      <c r="JZM108" s="1" t="s">
        <v>122</v>
      </c>
      <c r="JZN108" s="1" t="s">
        <v>122</v>
      </c>
      <c r="JZO108" s="1" t="s">
        <v>122</v>
      </c>
      <c r="JZP108" s="1" t="s">
        <v>122</v>
      </c>
      <c r="JZQ108" s="1" t="s">
        <v>122</v>
      </c>
      <c r="JZR108" s="1" t="s">
        <v>122</v>
      </c>
      <c r="JZS108" s="1" t="s">
        <v>122</v>
      </c>
      <c r="JZT108" s="1" t="s">
        <v>122</v>
      </c>
      <c r="JZU108" s="1" t="s">
        <v>122</v>
      </c>
      <c r="JZV108" s="1" t="s">
        <v>122</v>
      </c>
      <c r="JZW108" s="1" t="s">
        <v>122</v>
      </c>
      <c r="JZX108" s="1" t="s">
        <v>122</v>
      </c>
      <c r="JZY108" s="1" t="s">
        <v>122</v>
      </c>
      <c r="JZZ108" s="1" t="s">
        <v>122</v>
      </c>
      <c r="KAA108" s="1" t="s">
        <v>122</v>
      </c>
      <c r="KAB108" s="1" t="s">
        <v>122</v>
      </c>
      <c r="KAC108" s="1" t="s">
        <v>122</v>
      </c>
      <c r="KAD108" s="1" t="s">
        <v>122</v>
      </c>
      <c r="KAE108" s="1" t="s">
        <v>122</v>
      </c>
      <c r="KAF108" s="1" t="s">
        <v>122</v>
      </c>
      <c r="KAG108" s="1" t="s">
        <v>122</v>
      </c>
      <c r="KAH108" s="1" t="s">
        <v>122</v>
      </c>
      <c r="KAI108" s="1" t="s">
        <v>122</v>
      </c>
      <c r="KAJ108" s="1" t="s">
        <v>122</v>
      </c>
      <c r="KAK108" s="1" t="s">
        <v>122</v>
      </c>
      <c r="KAL108" s="1" t="s">
        <v>122</v>
      </c>
      <c r="KAM108" s="1" t="s">
        <v>122</v>
      </c>
      <c r="KAN108" s="1" t="s">
        <v>122</v>
      </c>
      <c r="KAO108" s="1" t="s">
        <v>122</v>
      </c>
      <c r="KAP108" s="1" t="s">
        <v>122</v>
      </c>
      <c r="KAQ108" s="1" t="s">
        <v>122</v>
      </c>
      <c r="KAR108" s="1" t="s">
        <v>122</v>
      </c>
      <c r="KAS108" s="1" t="s">
        <v>122</v>
      </c>
      <c r="KAT108" s="1" t="s">
        <v>122</v>
      </c>
      <c r="KAU108" s="1" t="s">
        <v>122</v>
      </c>
      <c r="KAV108" s="1" t="s">
        <v>122</v>
      </c>
      <c r="KAW108" s="1" t="s">
        <v>122</v>
      </c>
      <c r="KAX108" s="1" t="s">
        <v>122</v>
      </c>
      <c r="KAY108" s="1" t="s">
        <v>122</v>
      </c>
      <c r="KAZ108" s="1" t="s">
        <v>122</v>
      </c>
      <c r="KBA108" s="1" t="s">
        <v>122</v>
      </c>
      <c r="KBB108" s="1" t="s">
        <v>122</v>
      </c>
      <c r="KBC108" s="1" t="s">
        <v>122</v>
      </c>
      <c r="KBD108" s="1" t="s">
        <v>122</v>
      </c>
      <c r="KBE108" s="1" t="s">
        <v>122</v>
      </c>
      <c r="KBF108" s="1" t="s">
        <v>122</v>
      </c>
      <c r="KBG108" s="1" t="s">
        <v>122</v>
      </c>
      <c r="KBH108" s="1" t="s">
        <v>122</v>
      </c>
      <c r="KBI108" s="1" t="s">
        <v>122</v>
      </c>
      <c r="KBJ108" s="1" t="s">
        <v>122</v>
      </c>
      <c r="KBK108" s="1" t="s">
        <v>122</v>
      </c>
      <c r="KBL108" s="1" t="s">
        <v>122</v>
      </c>
      <c r="KBM108" s="1" t="s">
        <v>122</v>
      </c>
      <c r="KBN108" s="1" t="s">
        <v>122</v>
      </c>
      <c r="KBO108" s="1" t="s">
        <v>122</v>
      </c>
      <c r="KBP108" s="1" t="s">
        <v>122</v>
      </c>
      <c r="KBQ108" s="1" t="s">
        <v>122</v>
      </c>
      <c r="KBR108" s="1" t="s">
        <v>122</v>
      </c>
      <c r="KBS108" s="1" t="s">
        <v>122</v>
      </c>
      <c r="KBT108" s="1" t="s">
        <v>122</v>
      </c>
      <c r="KBU108" s="1" t="s">
        <v>122</v>
      </c>
      <c r="KBV108" s="1" t="s">
        <v>122</v>
      </c>
      <c r="KBW108" s="1" t="s">
        <v>122</v>
      </c>
      <c r="KBX108" s="1" t="s">
        <v>122</v>
      </c>
      <c r="KBY108" s="1" t="s">
        <v>122</v>
      </c>
      <c r="KBZ108" s="1" t="s">
        <v>122</v>
      </c>
      <c r="KCA108" s="1" t="s">
        <v>122</v>
      </c>
      <c r="KCB108" s="1" t="s">
        <v>122</v>
      </c>
      <c r="KCC108" s="1" t="s">
        <v>122</v>
      </c>
      <c r="KCD108" s="1" t="s">
        <v>122</v>
      </c>
      <c r="KCE108" s="1" t="s">
        <v>122</v>
      </c>
      <c r="KCF108" s="1" t="s">
        <v>122</v>
      </c>
      <c r="KCG108" s="1" t="s">
        <v>122</v>
      </c>
      <c r="KCH108" s="1" t="s">
        <v>122</v>
      </c>
      <c r="KCI108" s="1" t="s">
        <v>122</v>
      </c>
      <c r="KCJ108" s="1" t="s">
        <v>122</v>
      </c>
      <c r="KCK108" s="1" t="s">
        <v>122</v>
      </c>
      <c r="KCL108" s="1" t="s">
        <v>122</v>
      </c>
      <c r="KCM108" s="1" t="s">
        <v>122</v>
      </c>
      <c r="KCN108" s="1" t="s">
        <v>122</v>
      </c>
      <c r="KCO108" s="1" t="s">
        <v>122</v>
      </c>
      <c r="KCP108" s="1" t="s">
        <v>122</v>
      </c>
      <c r="KCQ108" s="1" t="s">
        <v>122</v>
      </c>
      <c r="KCR108" s="1" t="s">
        <v>122</v>
      </c>
      <c r="KCS108" s="1" t="s">
        <v>122</v>
      </c>
      <c r="KCT108" s="1" t="s">
        <v>122</v>
      </c>
      <c r="KCU108" s="1" t="s">
        <v>122</v>
      </c>
      <c r="KCV108" s="1" t="s">
        <v>122</v>
      </c>
      <c r="KCW108" s="1" t="s">
        <v>122</v>
      </c>
      <c r="KCX108" s="1" t="s">
        <v>122</v>
      </c>
      <c r="KCY108" s="1" t="s">
        <v>122</v>
      </c>
      <c r="KCZ108" s="1" t="s">
        <v>122</v>
      </c>
      <c r="KDA108" s="1" t="s">
        <v>122</v>
      </c>
      <c r="KDB108" s="1" t="s">
        <v>122</v>
      </c>
      <c r="KDC108" s="1" t="s">
        <v>122</v>
      </c>
      <c r="KDD108" s="1" t="s">
        <v>122</v>
      </c>
      <c r="KDE108" s="1" t="s">
        <v>122</v>
      </c>
      <c r="KDF108" s="1" t="s">
        <v>122</v>
      </c>
      <c r="KDG108" s="1" t="s">
        <v>122</v>
      </c>
      <c r="KDH108" s="1" t="s">
        <v>122</v>
      </c>
      <c r="KDI108" s="1" t="s">
        <v>122</v>
      </c>
      <c r="KDJ108" s="1" t="s">
        <v>122</v>
      </c>
      <c r="KDK108" s="1" t="s">
        <v>122</v>
      </c>
      <c r="KDL108" s="1" t="s">
        <v>122</v>
      </c>
      <c r="KDM108" s="1" t="s">
        <v>122</v>
      </c>
      <c r="KDN108" s="1" t="s">
        <v>122</v>
      </c>
      <c r="KDO108" s="1" t="s">
        <v>122</v>
      </c>
      <c r="KDP108" s="1" t="s">
        <v>122</v>
      </c>
      <c r="KDQ108" s="1" t="s">
        <v>122</v>
      </c>
      <c r="KDR108" s="1" t="s">
        <v>122</v>
      </c>
      <c r="KDS108" s="1" t="s">
        <v>122</v>
      </c>
      <c r="KDT108" s="1" t="s">
        <v>122</v>
      </c>
      <c r="KDU108" s="1" t="s">
        <v>122</v>
      </c>
      <c r="KDV108" s="1" t="s">
        <v>122</v>
      </c>
      <c r="KDW108" s="1" t="s">
        <v>122</v>
      </c>
      <c r="KDX108" s="1" t="s">
        <v>122</v>
      </c>
      <c r="KDY108" s="1" t="s">
        <v>122</v>
      </c>
      <c r="KDZ108" s="1" t="s">
        <v>122</v>
      </c>
      <c r="KEA108" s="1" t="s">
        <v>122</v>
      </c>
      <c r="KEB108" s="1" t="s">
        <v>122</v>
      </c>
      <c r="KEC108" s="1" t="s">
        <v>122</v>
      </c>
      <c r="KED108" s="1" t="s">
        <v>122</v>
      </c>
      <c r="KEE108" s="1" t="s">
        <v>122</v>
      </c>
      <c r="KEF108" s="1" t="s">
        <v>122</v>
      </c>
      <c r="KEG108" s="1" t="s">
        <v>122</v>
      </c>
      <c r="KEH108" s="1" t="s">
        <v>122</v>
      </c>
      <c r="KEI108" s="1" t="s">
        <v>122</v>
      </c>
      <c r="KEJ108" s="1" t="s">
        <v>122</v>
      </c>
      <c r="KEK108" s="1" t="s">
        <v>122</v>
      </c>
      <c r="KEL108" s="1" t="s">
        <v>122</v>
      </c>
      <c r="KEM108" s="1" t="s">
        <v>122</v>
      </c>
      <c r="KEN108" s="1" t="s">
        <v>122</v>
      </c>
      <c r="KEO108" s="1" t="s">
        <v>122</v>
      </c>
      <c r="KEP108" s="1" t="s">
        <v>122</v>
      </c>
      <c r="KEQ108" s="1" t="s">
        <v>122</v>
      </c>
      <c r="KER108" s="1" t="s">
        <v>122</v>
      </c>
      <c r="KES108" s="1" t="s">
        <v>122</v>
      </c>
      <c r="KET108" s="1" t="s">
        <v>122</v>
      </c>
      <c r="KEU108" s="1" t="s">
        <v>122</v>
      </c>
      <c r="KEV108" s="1" t="s">
        <v>122</v>
      </c>
      <c r="KEW108" s="1" t="s">
        <v>122</v>
      </c>
      <c r="KEX108" s="1" t="s">
        <v>122</v>
      </c>
      <c r="KEY108" s="1" t="s">
        <v>122</v>
      </c>
      <c r="KEZ108" s="1" t="s">
        <v>122</v>
      </c>
      <c r="KFA108" s="1" t="s">
        <v>122</v>
      </c>
      <c r="KFB108" s="1" t="s">
        <v>122</v>
      </c>
      <c r="KFC108" s="1" t="s">
        <v>122</v>
      </c>
      <c r="KFD108" s="1" t="s">
        <v>122</v>
      </c>
      <c r="KFE108" s="1" t="s">
        <v>122</v>
      </c>
      <c r="KFF108" s="1" t="s">
        <v>122</v>
      </c>
      <c r="KFG108" s="1" t="s">
        <v>122</v>
      </c>
      <c r="KFH108" s="1" t="s">
        <v>122</v>
      </c>
      <c r="KFI108" s="1" t="s">
        <v>122</v>
      </c>
      <c r="KFJ108" s="1" t="s">
        <v>122</v>
      </c>
      <c r="KFK108" s="1" t="s">
        <v>122</v>
      </c>
      <c r="KFL108" s="1" t="s">
        <v>122</v>
      </c>
      <c r="KFM108" s="1" t="s">
        <v>122</v>
      </c>
      <c r="KFN108" s="1" t="s">
        <v>122</v>
      </c>
      <c r="KFO108" s="1" t="s">
        <v>122</v>
      </c>
      <c r="KFP108" s="1" t="s">
        <v>122</v>
      </c>
      <c r="KFQ108" s="1" t="s">
        <v>122</v>
      </c>
      <c r="KFR108" s="1" t="s">
        <v>122</v>
      </c>
      <c r="KFS108" s="1" t="s">
        <v>122</v>
      </c>
      <c r="KFT108" s="1" t="s">
        <v>122</v>
      </c>
      <c r="KFU108" s="1" t="s">
        <v>122</v>
      </c>
      <c r="KFV108" s="1" t="s">
        <v>122</v>
      </c>
      <c r="KFW108" s="1" t="s">
        <v>122</v>
      </c>
      <c r="KFX108" s="1" t="s">
        <v>122</v>
      </c>
      <c r="KFY108" s="1" t="s">
        <v>122</v>
      </c>
      <c r="KFZ108" s="1" t="s">
        <v>122</v>
      </c>
      <c r="KGA108" s="1" t="s">
        <v>122</v>
      </c>
      <c r="KGB108" s="1" t="s">
        <v>122</v>
      </c>
      <c r="KGC108" s="1" t="s">
        <v>122</v>
      </c>
      <c r="KGD108" s="1" t="s">
        <v>122</v>
      </c>
      <c r="KGE108" s="1" t="s">
        <v>122</v>
      </c>
      <c r="KGF108" s="1" t="s">
        <v>122</v>
      </c>
      <c r="KGG108" s="1" t="s">
        <v>122</v>
      </c>
      <c r="KGH108" s="1" t="s">
        <v>122</v>
      </c>
      <c r="KGI108" s="1" t="s">
        <v>122</v>
      </c>
      <c r="KGJ108" s="1" t="s">
        <v>122</v>
      </c>
      <c r="KGK108" s="1" t="s">
        <v>122</v>
      </c>
      <c r="KGL108" s="1" t="s">
        <v>122</v>
      </c>
      <c r="KGM108" s="1" t="s">
        <v>122</v>
      </c>
      <c r="KGN108" s="1" t="s">
        <v>122</v>
      </c>
      <c r="KGO108" s="1" t="s">
        <v>122</v>
      </c>
      <c r="KGP108" s="1" t="s">
        <v>122</v>
      </c>
      <c r="KGQ108" s="1" t="s">
        <v>122</v>
      </c>
      <c r="KGR108" s="1" t="s">
        <v>122</v>
      </c>
      <c r="KGS108" s="1" t="s">
        <v>122</v>
      </c>
      <c r="KGT108" s="1" t="s">
        <v>122</v>
      </c>
      <c r="KGU108" s="1" t="s">
        <v>122</v>
      </c>
      <c r="KGV108" s="1" t="s">
        <v>122</v>
      </c>
      <c r="KGW108" s="1" t="s">
        <v>122</v>
      </c>
      <c r="KGX108" s="1" t="s">
        <v>122</v>
      </c>
      <c r="KGY108" s="1" t="s">
        <v>122</v>
      </c>
      <c r="KGZ108" s="1" t="s">
        <v>122</v>
      </c>
      <c r="KHA108" s="1" t="s">
        <v>122</v>
      </c>
      <c r="KHB108" s="1" t="s">
        <v>122</v>
      </c>
      <c r="KHC108" s="1" t="s">
        <v>122</v>
      </c>
      <c r="KHD108" s="1" t="s">
        <v>122</v>
      </c>
      <c r="KHE108" s="1" t="s">
        <v>122</v>
      </c>
      <c r="KHF108" s="1" t="s">
        <v>122</v>
      </c>
      <c r="KHG108" s="1" t="s">
        <v>122</v>
      </c>
      <c r="KHH108" s="1" t="s">
        <v>122</v>
      </c>
      <c r="KHI108" s="1" t="s">
        <v>122</v>
      </c>
      <c r="KHJ108" s="1" t="s">
        <v>122</v>
      </c>
      <c r="KHK108" s="1" t="s">
        <v>122</v>
      </c>
      <c r="KHL108" s="1" t="s">
        <v>122</v>
      </c>
      <c r="KHM108" s="1" t="s">
        <v>122</v>
      </c>
      <c r="KHN108" s="1" t="s">
        <v>122</v>
      </c>
      <c r="KHO108" s="1" t="s">
        <v>122</v>
      </c>
      <c r="KHP108" s="1" t="s">
        <v>122</v>
      </c>
      <c r="KHQ108" s="1" t="s">
        <v>122</v>
      </c>
      <c r="KHR108" s="1" t="s">
        <v>122</v>
      </c>
      <c r="KHS108" s="1" t="s">
        <v>122</v>
      </c>
      <c r="KHT108" s="1" t="s">
        <v>122</v>
      </c>
      <c r="KHU108" s="1" t="s">
        <v>122</v>
      </c>
      <c r="KHV108" s="1" t="s">
        <v>122</v>
      </c>
      <c r="KHW108" s="1" t="s">
        <v>122</v>
      </c>
      <c r="KHX108" s="1" t="s">
        <v>122</v>
      </c>
      <c r="KHY108" s="1" t="s">
        <v>122</v>
      </c>
      <c r="KHZ108" s="1" t="s">
        <v>122</v>
      </c>
      <c r="KIA108" s="1" t="s">
        <v>122</v>
      </c>
      <c r="KIB108" s="1" t="s">
        <v>122</v>
      </c>
      <c r="KIC108" s="1" t="s">
        <v>122</v>
      </c>
      <c r="KID108" s="1" t="s">
        <v>122</v>
      </c>
      <c r="KIE108" s="1" t="s">
        <v>122</v>
      </c>
      <c r="KIF108" s="1" t="s">
        <v>122</v>
      </c>
      <c r="KIG108" s="1" t="s">
        <v>122</v>
      </c>
      <c r="KIH108" s="1" t="s">
        <v>122</v>
      </c>
      <c r="KII108" s="1" t="s">
        <v>122</v>
      </c>
      <c r="KIJ108" s="1" t="s">
        <v>122</v>
      </c>
      <c r="KIK108" s="1" t="s">
        <v>122</v>
      </c>
      <c r="KIL108" s="1" t="s">
        <v>122</v>
      </c>
      <c r="KIM108" s="1" t="s">
        <v>122</v>
      </c>
      <c r="KIN108" s="1" t="s">
        <v>122</v>
      </c>
      <c r="KIO108" s="1" t="s">
        <v>122</v>
      </c>
      <c r="KIP108" s="1" t="s">
        <v>122</v>
      </c>
      <c r="KIQ108" s="1" t="s">
        <v>122</v>
      </c>
      <c r="KIR108" s="1" t="s">
        <v>122</v>
      </c>
      <c r="KIS108" s="1" t="s">
        <v>122</v>
      </c>
      <c r="KIT108" s="1" t="s">
        <v>122</v>
      </c>
      <c r="KIU108" s="1" t="s">
        <v>122</v>
      </c>
      <c r="KIV108" s="1" t="s">
        <v>122</v>
      </c>
      <c r="KIW108" s="1" t="s">
        <v>122</v>
      </c>
      <c r="KIX108" s="1" t="s">
        <v>122</v>
      </c>
      <c r="KIY108" s="1" t="s">
        <v>122</v>
      </c>
      <c r="KIZ108" s="1" t="s">
        <v>122</v>
      </c>
      <c r="KJA108" s="1" t="s">
        <v>122</v>
      </c>
      <c r="KJB108" s="1" t="s">
        <v>122</v>
      </c>
      <c r="KJC108" s="1" t="s">
        <v>122</v>
      </c>
      <c r="KJD108" s="1" t="s">
        <v>122</v>
      </c>
      <c r="KJE108" s="1" t="s">
        <v>122</v>
      </c>
      <c r="KJF108" s="1" t="s">
        <v>122</v>
      </c>
      <c r="KJG108" s="1" t="s">
        <v>122</v>
      </c>
      <c r="KJH108" s="1" t="s">
        <v>122</v>
      </c>
      <c r="KJI108" s="1" t="s">
        <v>122</v>
      </c>
      <c r="KJJ108" s="1" t="s">
        <v>122</v>
      </c>
      <c r="KJK108" s="1" t="s">
        <v>122</v>
      </c>
      <c r="KJL108" s="1" t="s">
        <v>122</v>
      </c>
      <c r="KJM108" s="1" t="s">
        <v>122</v>
      </c>
      <c r="KJN108" s="1" t="s">
        <v>122</v>
      </c>
      <c r="KJO108" s="1" t="s">
        <v>122</v>
      </c>
      <c r="KJP108" s="1" t="s">
        <v>122</v>
      </c>
      <c r="KJQ108" s="1" t="s">
        <v>122</v>
      </c>
      <c r="KJR108" s="1" t="s">
        <v>122</v>
      </c>
      <c r="KJS108" s="1" t="s">
        <v>122</v>
      </c>
      <c r="KJT108" s="1" t="s">
        <v>122</v>
      </c>
      <c r="KJU108" s="1" t="s">
        <v>122</v>
      </c>
      <c r="KJV108" s="1" t="s">
        <v>122</v>
      </c>
      <c r="KJW108" s="1" t="s">
        <v>122</v>
      </c>
      <c r="KJX108" s="1" t="s">
        <v>122</v>
      </c>
      <c r="KJY108" s="1" t="s">
        <v>122</v>
      </c>
      <c r="KJZ108" s="1" t="s">
        <v>122</v>
      </c>
      <c r="KKA108" s="1" t="s">
        <v>122</v>
      </c>
      <c r="KKB108" s="1" t="s">
        <v>122</v>
      </c>
      <c r="KKC108" s="1" t="s">
        <v>122</v>
      </c>
      <c r="KKD108" s="1" t="s">
        <v>122</v>
      </c>
      <c r="KKE108" s="1" t="s">
        <v>122</v>
      </c>
      <c r="KKF108" s="1" t="s">
        <v>122</v>
      </c>
      <c r="KKG108" s="1" t="s">
        <v>122</v>
      </c>
      <c r="KKH108" s="1" t="s">
        <v>122</v>
      </c>
      <c r="KKI108" s="1" t="s">
        <v>122</v>
      </c>
      <c r="KKJ108" s="1" t="s">
        <v>122</v>
      </c>
      <c r="KKK108" s="1" t="s">
        <v>122</v>
      </c>
      <c r="KKL108" s="1" t="s">
        <v>122</v>
      </c>
      <c r="KKM108" s="1" t="s">
        <v>122</v>
      </c>
      <c r="KKN108" s="1" t="s">
        <v>122</v>
      </c>
      <c r="KKO108" s="1" t="s">
        <v>122</v>
      </c>
      <c r="KKP108" s="1" t="s">
        <v>122</v>
      </c>
      <c r="KKQ108" s="1" t="s">
        <v>122</v>
      </c>
      <c r="KKR108" s="1" t="s">
        <v>122</v>
      </c>
      <c r="KKS108" s="1" t="s">
        <v>122</v>
      </c>
      <c r="KKT108" s="1" t="s">
        <v>122</v>
      </c>
      <c r="KKU108" s="1" t="s">
        <v>122</v>
      </c>
      <c r="KKV108" s="1" t="s">
        <v>122</v>
      </c>
      <c r="KKW108" s="1" t="s">
        <v>122</v>
      </c>
      <c r="KKX108" s="1" t="s">
        <v>122</v>
      </c>
      <c r="KKY108" s="1" t="s">
        <v>122</v>
      </c>
      <c r="KKZ108" s="1" t="s">
        <v>122</v>
      </c>
      <c r="KLA108" s="1" t="s">
        <v>122</v>
      </c>
      <c r="KLB108" s="1" t="s">
        <v>122</v>
      </c>
      <c r="KLC108" s="1" t="s">
        <v>122</v>
      </c>
      <c r="KLD108" s="1" t="s">
        <v>122</v>
      </c>
      <c r="KLE108" s="1" t="s">
        <v>122</v>
      </c>
      <c r="KLF108" s="1" t="s">
        <v>122</v>
      </c>
      <c r="KLG108" s="1" t="s">
        <v>122</v>
      </c>
      <c r="KLH108" s="1" t="s">
        <v>122</v>
      </c>
      <c r="KLI108" s="1" t="s">
        <v>122</v>
      </c>
      <c r="KLJ108" s="1" t="s">
        <v>122</v>
      </c>
      <c r="KLK108" s="1" t="s">
        <v>122</v>
      </c>
      <c r="KLL108" s="1" t="s">
        <v>122</v>
      </c>
      <c r="KLM108" s="1" t="s">
        <v>122</v>
      </c>
      <c r="KLN108" s="1" t="s">
        <v>122</v>
      </c>
      <c r="KLO108" s="1" t="s">
        <v>122</v>
      </c>
      <c r="KLP108" s="1" t="s">
        <v>122</v>
      </c>
      <c r="KLQ108" s="1" t="s">
        <v>122</v>
      </c>
      <c r="KLR108" s="1" t="s">
        <v>122</v>
      </c>
      <c r="KLS108" s="1" t="s">
        <v>122</v>
      </c>
      <c r="KLT108" s="1" t="s">
        <v>122</v>
      </c>
      <c r="KLU108" s="1" t="s">
        <v>122</v>
      </c>
      <c r="KLV108" s="1" t="s">
        <v>122</v>
      </c>
      <c r="KLW108" s="1" t="s">
        <v>122</v>
      </c>
      <c r="KLX108" s="1" t="s">
        <v>122</v>
      </c>
      <c r="KLY108" s="1" t="s">
        <v>122</v>
      </c>
      <c r="KLZ108" s="1" t="s">
        <v>122</v>
      </c>
      <c r="KMA108" s="1" t="s">
        <v>122</v>
      </c>
      <c r="KMB108" s="1" t="s">
        <v>122</v>
      </c>
      <c r="KMC108" s="1" t="s">
        <v>122</v>
      </c>
      <c r="KMD108" s="1" t="s">
        <v>122</v>
      </c>
      <c r="KME108" s="1" t="s">
        <v>122</v>
      </c>
      <c r="KMF108" s="1" t="s">
        <v>122</v>
      </c>
      <c r="KMG108" s="1" t="s">
        <v>122</v>
      </c>
      <c r="KMH108" s="1" t="s">
        <v>122</v>
      </c>
      <c r="KMI108" s="1" t="s">
        <v>122</v>
      </c>
      <c r="KMJ108" s="1" t="s">
        <v>122</v>
      </c>
      <c r="KMK108" s="1" t="s">
        <v>122</v>
      </c>
      <c r="KML108" s="1" t="s">
        <v>122</v>
      </c>
      <c r="KMM108" s="1" t="s">
        <v>122</v>
      </c>
      <c r="KMN108" s="1" t="s">
        <v>122</v>
      </c>
      <c r="KMO108" s="1" t="s">
        <v>122</v>
      </c>
      <c r="KMP108" s="1" t="s">
        <v>122</v>
      </c>
      <c r="KMQ108" s="1" t="s">
        <v>122</v>
      </c>
      <c r="KMR108" s="1" t="s">
        <v>122</v>
      </c>
      <c r="KMS108" s="1" t="s">
        <v>122</v>
      </c>
      <c r="KMT108" s="1" t="s">
        <v>122</v>
      </c>
      <c r="KMU108" s="1" t="s">
        <v>122</v>
      </c>
      <c r="KMV108" s="1" t="s">
        <v>122</v>
      </c>
      <c r="KMW108" s="1" t="s">
        <v>122</v>
      </c>
      <c r="KMX108" s="1" t="s">
        <v>122</v>
      </c>
      <c r="KMY108" s="1" t="s">
        <v>122</v>
      </c>
      <c r="KMZ108" s="1" t="s">
        <v>122</v>
      </c>
      <c r="KNA108" s="1" t="s">
        <v>122</v>
      </c>
      <c r="KNB108" s="1" t="s">
        <v>122</v>
      </c>
      <c r="KNC108" s="1" t="s">
        <v>122</v>
      </c>
      <c r="KND108" s="1" t="s">
        <v>122</v>
      </c>
      <c r="KNE108" s="1" t="s">
        <v>122</v>
      </c>
      <c r="KNF108" s="1" t="s">
        <v>122</v>
      </c>
      <c r="KNG108" s="1" t="s">
        <v>122</v>
      </c>
      <c r="KNH108" s="1" t="s">
        <v>122</v>
      </c>
      <c r="KNI108" s="1" t="s">
        <v>122</v>
      </c>
      <c r="KNJ108" s="1" t="s">
        <v>122</v>
      </c>
      <c r="KNK108" s="1" t="s">
        <v>122</v>
      </c>
      <c r="KNL108" s="1" t="s">
        <v>122</v>
      </c>
      <c r="KNM108" s="1" t="s">
        <v>122</v>
      </c>
      <c r="KNN108" s="1" t="s">
        <v>122</v>
      </c>
      <c r="KNO108" s="1" t="s">
        <v>122</v>
      </c>
      <c r="KNP108" s="1" t="s">
        <v>122</v>
      </c>
      <c r="KNQ108" s="1" t="s">
        <v>122</v>
      </c>
      <c r="KNR108" s="1" t="s">
        <v>122</v>
      </c>
      <c r="KNS108" s="1" t="s">
        <v>122</v>
      </c>
      <c r="KNT108" s="1" t="s">
        <v>122</v>
      </c>
      <c r="KNU108" s="1" t="s">
        <v>122</v>
      </c>
      <c r="KNV108" s="1" t="s">
        <v>122</v>
      </c>
      <c r="KNW108" s="1" t="s">
        <v>122</v>
      </c>
      <c r="KNX108" s="1" t="s">
        <v>122</v>
      </c>
      <c r="KNY108" s="1" t="s">
        <v>122</v>
      </c>
      <c r="KNZ108" s="1" t="s">
        <v>122</v>
      </c>
      <c r="KOA108" s="1" t="s">
        <v>122</v>
      </c>
      <c r="KOB108" s="1" t="s">
        <v>122</v>
      </c>
      <c r="KOC108" s="1" t="s">
        <v>122</v>
      </c>
      <c r="KOD108" s="1" t="s">
        <v>122</v>
      </c>
      <c r="KOE108" s="1" t="s">
        <v>122</v>
      </c>
      <c r="KOF108" s="1" t="s">
        <v>122</v>
      </c>
      <c r="KOG108" s="1" t="s">
        <v>122</v>
      </c>
      <c r="KOH108" s="1" t="s">
        <v>122</v>
      </c>
      <c r="KOI108" s="1" t="s">
        <v>122</v>
      </c>
      <c r="KOJ108" s="1" t="s">
        <v>122</v>
      </c>
      <c r="KOK108" s="1" t="s">
        <v>122</v>
      </c>
      <c r="KOL108" s="1" t="s">
        <v>122</v>
      </c>
      <c r="KOM108" s="1" t="s">
        <v>122</v>
      </c>
      <c r="KON108" s="1" t="s">
        <v>122</v>
      </c>
      <c r="KOO108" s="1" t="s">
        <v>122</v>
      </c>
      <c r="KOP108" s="1" t="s">
        <v>122</v>
      </c>
      <c r="KOQ108" s="1" t="s">
        <v>122</v>
      </c>
      <c r="KOR108" s="1" t="s">
        <v>122</v>
      </c>
      <c r="KOS108" s="1" t="s">
        <v>122</v>
      </c>
      <c r="KOT108" s="1" t="s">
        <v>122</v>
      </c>
      <c r="KOU108" s="1" t="s">
        <v>122</v>
      </c>
      <c r="KOV108" s="1" t="s">
        <v>122</v>
      </c>
      <c r="KOW108" s="1" t="s">
        <v>122</v>
      </c>
      <c r="KOX108" s="1" t="s">
        <v>122</v>
      </c>
      <c r="KOY108" s="1" t="s">
        <v>122</v>
      </c>
      <c r="KOZ108" s="1" t="s">
        <v>122</v>
      </c>
      <c r="KPA108" s="1" t="s">
        <v>122</v>
      </c>
      <c r="KPB108" s="1" t="s">
        <v>122</v>
      </c>
      <c r="KPC108" s="1" t="s">
        <v>122</v>
      </c>
      <c r="KPD108" s="1" t="s">
        <v>122</v>
      </c>
      <c r="KPE108" s="1" t="s">
        <v>122</v>
      </c>
      <c r="KPF108" s="1" t="s">
        <v>122</v>
      </c>
      <c r="KPG108" s="1" t="s">
        <v>122</v>
      </c>
      <c r="KPH108" s="1" t="s">
        <v>122</v>
      </c>
      <c r="KPI108" s="1" t="s">
        <v>122</v>
      </c>
      <c r="KPJ108" s="1" t="s">
        <v>122</v>
      </c>
      <c r="KPK108" s="1" t="s">
        <v>122</v>
      </c>
      <c r="KPL108" s="1" t="s">
        <v>122</v>
      </c>
      <c r="KPM108" s="1" t="s">
        <v>122</v>
      </c>
      <c r="KPN108" s="1" t="s">
        <v>122</v>
      </c>
      <c r="KPO108" s="1" t="s">
        <v>122</v>
      </c>
      <c r="KPP108" s="1" t="s">
        <v>122</v>
      </c>
      <c r="KPQ108" s="1" t="s">
        <v>122</v>
      </c>
      <c r="KPR108" s="1" t="s">
        <v>122</v>
      </c>
      <c r="KPS108" s="1" t="s">
        <v>122</v>
      </c>
      <c r="KPT108" s="1" t="s">
        <v>122</v>
      </c>
      <c r="KPU108" s="1" t="s">
        <v>122</v>
      </c>
      <c r="KPV108" s="1" t="s">
        <v>122</v>
      </c>
      <c r="KPW108" s="1" t="s">
        <v>122</v>
      </c>
      <c r="KPX108" s="1" t="s">
        <v>122</v>
      </c>
      <c r="KPY108" s="1" t="s">
        <v>122</v>
      </c>
      <c r="KPZ108" s="1" t="s">
        <v>122</v>
      </c>
      <c r="KQA108" s="1" t="s">
        <v>122</v>
      </c>
      <c r="KQB108" s="1" t="s">
        <v>122</v>
      </c>
      <c r="KQC108" s="1" t="s">
        <v>122</v>
      </c>
      <c r="KQD108" s="1" t="s">
        <v>122</v>
      </c>
      <c r="KQE108" s="1" t="s">
        <v>122</v>
      </c>
      <c r="KQF108" s="1" t="s">
        <v>122</v>
      </c>
      <c r="KQG108" s="1" t="s">
        <v>122</v>
      </c>
      <c r="KQH108" s="1" t="s">
        <v>122</v>
      </c>
      <c r="KQI108" s="1" t="s">
        <v>122</v>
      </c>
      <c r="KQJ108" s="1" t="s">
        <v>122</v>
      </c>
      <c r="KQK108" s="1" t="s">
        <v>122</v>
      </c>
      <c r="KQL108" s="1" t="s">
        <v>122</v>
      </c>
      <c r="KQM108" s="1" t="s">
        <v>122</v>
      </c>
      <c r="KQN108" s="1" t="s">
        <v>122</v>
      </c>
      <c r="KQO108" s="1" t="s">
        <v>122</v>
      </c>
      <c r="KQP108" s="1" t="s">
        <v>122</v>
      </c>
      <c r="KQQ108" s="1" t="s">
        <v>122</v>
      </c>
      <c r="KQR108" s="1" t="s">
        <v>122</v>
      </c>
      <c r="KQS108" s="1" t="s">
        <v>122</v>
      </c>
      <c r="KQT108" s="1" t="s">
        <v>122</v>
      </c>
      <c r="KQU108" s="1" t="s">
        <v>122</v>
      </c>
      <c r="KQV108" s="1" t="s">
        <v>122</v>
      </c>
      <c r="KQW108" s="1" t="s">
        <v>122</v>
      </c>
      <c r="KQX108" s="1" t="s">
        <v>122</v>
      </c>
      <c r="KQY108" s="1" t="s">
        <v>122</v>
      </c>
      <c r="KQZ108" s="1" t="s">
        <v>122</v>
      </c>
      <c r="KRA108" s="1" t="s">
        <v>122</v>
      </c>
      <c r="KRB108" s="1" t="s">
        <v>122</v>
      </c>
      <c r="KRC108" s="1" t="s">
        <v>122</v>
      </c>
      <c r="KRD108" s="1" t="s">
        <v>122</v>
      </c>
      <c r="KRE108" s="1" t="s">
        <v>122</v>
      </c>
      <c r="KRF108" s="1" t="s">
        <v>122</v>
      </c>
      <c r="KRG108" s="1" t="s">
        <v>122</v>
      </c>
      <c r="KRH108" s="1" t="s">
        <v>122</v>
      </c>
      <c r="KRI108" s="1" t="s">
        <v>122</v>
      </c>
      <c r="KRJ108" s="1" t="s">
        <v>122</v>
      </c>
      <c r="KRK108" s="1" t="s">
        <v>122</v>
      </c>
      <c r="KRL108" s="1" t="s">
        <v>122</v>
      </c>
      <c r="KRM108" s="1" t="s">
        <v>122</v>
      </c>
      <c r="KRN108" s="1" t="s">
        <v>122</v>
      </c>
      <c r="KRO108" s="1" t="s">
        <v>122</v>
      </c>
      <c r="KRP108" s="1" t="s">
        <v>122</v>
      </c>
      <c r="KRQ108" s="1" t="s">
        <v>122</v>
      </c>
      <c r="KRR108" s="1" t="s">
        <v>122</v>
      </c>
      <c r="KRS108" s="1" t="s">
        <v>122</v>
      </c>
      <c r="KRT108" s="1" t="s">
        <v>122</v>
      </c>
      <c r="KRU108" s="1" t="s">
        <v>122</v>
      </c>
      <c r="KRV108" s="1" t="s">
        <v>122</v>
      </c>
      <c r="KRW108" s="1" t="s">
        <v>122</v>
      </c>
      <c r="KRX108" s="1" t="s">
        <v>122</v>
      </c>
      <c r="KRY108" s="1" t="s">
        <v>122</v>
      </c>
      <c r="KRZ108" s="1" t="s">
        <v>122</v>
      </c>
      <c r="KSA108" s="1" t="s">
        <v>122</v>
      </c>
      <c r="KSB108" s="1" t="s">
        <v>122</v>
      </c>
      <c r="KSC108" s="1" t="s">
        <v>122</v>
      </c>
      <c r="KSD108" s="1" t="s">
        <v>122</v>
      </c>
      <c r="KSE108" s="1" t="s">
        <v>122</v>
      </c>
      <c r="KSF108" s="1" t="s">
        <v>122</v>
      </c>
      <c r="KSG108" s="1" t="s">
        <v>122</v>
      </c>
      <c r="KSH108" s="1" t="s">
        <v>122</v>
      </c>
      <c r="KSI108" s="1" t="s">
        <v>122</v>
      </c>
      <c r="KSJ108" s="1" t="s">
        <v>122</v>
      </c>
      <c r="KSK108" s="1" t="s">
        <v>122</v>
      </c>
      <c r="KSL108" s="1" t="s">
        <v>122</v>
      </c>
      <c r="KSM108" s="1" t="s">
        <v>122</v>
      </c>
      <c r="KSN108" s="1" t="s">
        <v>122</v>
      </c>
      <c r="KSO108" s="1" t="s">
        <v>122</v>
      </c>
      <c r="KSP108" s="1" t="s">
        <v>122</v>
      </c>
      <c r="KSQ108" s="1" t="s">
        <v>122</v>
      </c>
      <c r="KSR108" s="1" t="s">
        <v>122</v>
      </c>
      <c r="KSS108" s="1" t="s">
        <v>122</v>
      </c>
      <c r="KST108" s="1" t="s">
        <v>122</v>
      </c>
      <c r="KSU108" s="1" t="s">
        <v>122</v>
      </c>
      <c r="KSV108" s="1" t="s">
        <v>122</v>
      </c>
      <c r="KSW108" s="1" t="s">
        <v>122</v>
      </c>
      <c r="KSX108" s="1" t="s">
        <v>122</v>
      </c>
      <c r="KSY108" s="1" t="s">
        <v>122</v>
      </c>
      <c r="KSZ108" s="1" t="s">
        <v>122</v>
      </c>
      <c r="KTA108" s="1" t="s">
        <v>122</v>
      </c>
      <c r="KTB108" s="1" t="s">
        <v>122</v>
      </c>
      <c r="KTC108" s="1" t="s">
        <v>122</v>
      </c>
      <c r="KTD108" s="1" t="s">
        <v>122</v>
      </c>
      <c r="KTE108" s="1" t="s">
        <v>122</v>
      </c>
      <c r="KTF108" s="1" t="s">
        <v>122</v>
      </c>
      <c r="KTG108" s="1" t="s">
        <v>122</v>
      </c>
      <c r="KTH108" s="1" t="s">
        <v>122</v>
      </c>
      <c r="KTI108" s="1" t="s">
        <v>122</v>
      </c>
      <c r="KTJ108" s="1" t="s">
        <v>122</v>
      </c>
      <c r="KTK108" s="1" t="s">
        <v>122</v>
      </c>
      <c r="KTL108" s="1" t="s">
        <v>122</v>
      </c>
      <c r="KTM108" s="1" t="s">
        <v>122</v>
      </c>
      <c r="KTN108" s="1" t="s">
        <v>122</v>
      </c>
      <c r="KTO108" s="1" t="s">
        <v>122</v>
      </c>
      <c r="KTP108" s="1" t="s">
        <v>122</v>
      </c>
      <c r="KTQ108" s="1" t="s">
        <v>122</v>
      </c>
      <c r="KTR108" s="1" t="s">
        <v>122</v>
      </c>
      <c r="KTS108" s="1" t="s">
        <v>122</v>
      </c>
      <c r="KTT108" s="1" t="s">
        <v>122</v>
      </c>
      <c r="KTU108" s="1" t="s">
        <v>122</v>
      </c>
      <c r="KTV108" s="1" t="s">
        <v>122</v>
      </c>
      <c r="KTW108" s="1" t="s">
        <v>122</v>
      </c>
      <c r="KTX108" s="1" t="s">
        <v>122</v>
      </c>
      <c r="KTY108" s="1" t="s">
        <v>122</v>
      </c>
      <c r="KTZ108" s="1" t="s">
        <v>122</v>
      </c>
      <c r="KUA108" s="1" t="s">
        <v>122</v>
      </c>
      <c r="KUB108" s="1" t="s">
        <v>122</v>
      </c>
      <c r="KUC108" s="1" t="s">
        <v>122</v>
      </c>
      <c r="KUD108" s="1" t="s">
        <v>122</v>
      </c>
      <c r="KUE108" s="1" t="s">
        <v>122</v>
      </c>
      <c r="KUF108" s="1" t="s">
        <v>122</v>
      </c>
      <c r="KUG108" s="1" t="s">
        <v>122</v>
      </c>
      <c r="KUH108" s="1" t="s">
        <v>122</v>
      </c>
      <c r="KUI108" s="1" t="s">
        <v>122</v>
      </c>
      <c r="KUJ108" s="1" t="s">
        <v>122</v>
      </c>
      <c r="KUK108" s="1" t="s">
        <v>122</v>
      </c>
      <c r="KUL108" s="1" t="s">
        <v>122</v>
      </c>
      <c r="KUM108" s="1" t="s">
        <v>122</v>
      </c>
      <c r="KUN108" s="1" t="s">
        <v>122</v>
      </c>
      <c r="KUO108" s="1" t="s">
        <v>122</v>
      </c>
      <c r="KUP108" s="1" t="s">
        <v>122</v>
      </c>
      <c r="KUQ108" s="1" t="s">
        <v>122</v>
      </c>
      <c r="KUR108" s="1" t="s">
        <v>122</v>
      </c>
      <c r="KUS108" s="1" t="s">
        <v>122</v>
      </c>
      <c r="KUT108" s="1" t="s">
        <v>122</v>
      </c>
      <c r="KUU108" s="1" t="s">
        <v>122</v>
      </c>
      <c r="KUV108" s="1" t="s">
        <v>122</v>
      </c>
      <c r="KUW108" s="1" t="s">
        <v>122</v>
      </c>
      <c r="KUX108" s="1" t="s">
        <v>122</v>
      </c>
      <c r="KUY108" s="1" t="s">
        <v>122</v>
      </c>
      <c r="KUZ108" s="1" t="s">
        <v>122</v>
      </c>
      <c r="KVA108" s="1" t="s">
        <v>122</v>
      </c>
      <c r="KVB108" s="1" t="s">
        <v>122</v>
      </c>
      <c r="KVC108" s="1" t="s">
        <v>122</v>
      </c>
      <c r="KVD108" s="1" t="s">
        <v>122</v>
      </c>
      <c r="KVE108" s="1" t="s">
        <v>122</v>
      </c>
      <c r="KVF108" s="1" t="s">
        <v>122</v>
      </c>
      <c r="KVG108" s="1" t="s">
        <v>122</v>
      </c>
      <c r="KVH108" s="1" t="s">
        <v>122</v>
      </c>
      <c r="KVI108" s="1" t="s">
        <v>122</v>
      </c>
      <c r="KVJ108" s="1" t="s">
        <v>122</v>
      </c>
      <c r="KVK108" s="1" t="s">
        <v>122</v>
      </c>
      <c r="KVL108" s="1" t="s">
        <v>122</v>
      </c>
      <c r="KVM108" s="1" t="s">
        <v>122</v>
      </c>
      <c r="KVN108" s="1" t="s">
        <v>122</v>
      </c>
      <c r="KVO108" s="1" t="s">
        <v>122</v>
      </c>
      <c r="KVP108" s="1" t="s">
        <v>122</v>
      </c>
      <c r="KVQ108" s="1" t="s">
        <v>122</v>
      </c>
      <c r="KVR108" s="1" t="s">
        <v>122</v>
      </c>
      <c r="KVS108" s="1" t="s">
        <v>122</v>
      </c>
      <c r="KVT108" s="1" t="s">
        <v>122</v>
      </c>
      <c r="KVU108" s="1" t="s">
        <v>122</v>
      </c>
      <c r="KVV108" s="1" t="s">
        <v>122</v>
      </c>
      <c r="KVW108" s="1" t="s">
        <v>122</v>
      </c>
      <c r="KVX108" s="1" t="s">
        <v>122</v>
      </c>
      <c r="KVY108" s="1" t="s">
        <v>122</v>
      </c>
      <c r="KVZ108" s="1" t="s">
        <v>122</v>
      </c>
      <c r="KWA108" s="1" t="s">
        <v>122</v>
      </c>
      <c r="KWB108" s="1" t="s">
        <v>122</v>
      </c>
      <c r="KWC108" s="1" t="s">
        <v>122</v>
      </c>
      <c r="KWD108" s="1" t="s">
        <v>122</v>
      </c>
      <c r="KWE108" s="1" t="s">
        <v>122</v>
      </c>
      <c r="KWF108" s="1" t="s">
        <v>122</v>
      </c>
      <c r="KWG108" s="1" t="s">
        <v>122</v>
      </c>
      <c r="KWH108" s="1" t="s">
        <v>122</v>
      </c>
      <c r="KWI108" s="1" t="s">
        <v>122</v>
      </c>
      <c r="KWJ108" s="1" t="s">
        <v>122</v>
      </c>
      <c r="KWK108" s="1" t="s">
        <v>122</v>
      </c>
      <c r="KWL108" s="1" t="s">
        <v>122</v>
      </c>
      <c r="KWM108" s="1" t="s">
        <v>122</v>
      </c>
      <c r="KWN108" s="1" t="s">
        <v>122</v>
      </c>
      <c r="KWO108" s="1" t="s">
        <v>122</v>
      </c>
      <c r="KWP108" s="1" t="s">
        <v>122</v>
      </c>
      <c r="KWQ108" s="1" t="s">
        <v>122</v>
      </c>
      <c r="KWR108" s="1" t="s">
        <v>122</v>
      </c>
      <c r="KWS108" s="1" t="s">
        <v>122</v>
      </c>
      <c r="KWT108" s="1" t="s">
        <v>122</v>
      </c>
      <c r="KWU108" s="1" t="s">
        <v>122</v>
      </c>
      <c r="KWV108" s="1" t="s">
        <v>122</v>
      </c>
      <c r="KWW108" s="1" t="s">
        <v>122</v>
      </c>
      <c r="KWX108" s="1" t="s">
        <v>122</v>
      </c>
      <c r="KWY108" s="1" t="s">
        <v>122</v>
      </c>
      <c r="KWZ108" s="1" t="s">
        <v>122</v>
      </c>
      <c r="KXA108" s="1" t="s">
        <v>122</v>
      </c>
      <c r="KXB108" s="1" t="s">
        <v>122</v>
      </c>
      <c r="KXC108" s="1" t="s">
        <v>122</v>
      </c>
      <c r="KXD108" s="1" t="s">
        <v>122</v>
      </c>
      <c r="KXE108" s="1" t="s">
        <v>122</v>
      </c>
      <c r="KXF108" s="1" t="s">
        <v>122</v>
      </c>
      <c r="KXG108" s="1" t="s">
        <v>122</v>
      </c>
      <c r="KXH108" s="1" t="s">
        <v>122</v>
      </c>
      <c r="KXI108" s="1" t="s">
        <v>122</v>
      </c>
      <c r="KXJ108" s="1" t="s">
        <v>122</v>
      </c>
      <c r="KXK108" s="1" t="s">
        <v>122</v>
      </c>
      <c r="KXL108" s="1" t="s">
        <v>122</v>
      </c>
      <c r="KXM108" s="1" t="s">
        <v>122</v>
      </c>
      <c r="KXN108" s="1" t="s">
        <v>122</v>
      </c>
      <c r="KXO108" s="1" t="s">
        <v>122</v>
      </c>
      <c r="KXP108" s="1" t="s">
        <v>122</v>
      </c>
      <c r="KXQ108" s="1" t="s">
        <v>122</v>
      </c>
      <c r="KXR108" s="1" t="s">
        <v>122</v>
      </c>
      <c r="KXS108" s="1" t="s">
        <v>122</v>
      </c>
      <c r="KXT108" s="1" t="s">
        <v>122</v>
      </c>
      <c r="KXU108" s="1" t="s">
        <v>122</v>
      </c>
      <c r="KXV108" s="1" t="s">
        <v>122</v>
      </c>
      <c r="KXW108" s="1" t="s">
        <v>122</v>
      </c>
      <c r="KXX108" s="1" t="s">
        <v>122</v>
      </c>
      <c r="KXY108" s="1" t="s">
        <v>122</v>
      </c>
      <c r="KXZ108" s="1" t="s">
        <v>122</v>
      </c>
      <c r="KYA108" s="1" t="s">
        <v>122</v>
      </c>
      <c r="KYB108" s="1" t="s">
        <v>122</v>
      </c>
      <c r="KYC108" s="1" t="s">
        <v>122</v>
      </c>
      <c r="KYD108" s="1" t="s">
        <v>122</v>
      </c>
      <c r="KYE108" s="1" t="s">
        <v>122</v>
      </c>
      <c r="KYF108" s="1" t="s">
        <v>122</v>
      </c>
      <c r="KYG108" s="1" t="s">
        <v>122</v>
      </c>
      <c r="KYH108" s="1" t="s">
        <v>122</v>
      </c>
      <c r="KYI108" s="1" t="s">
        <v>122</v>
      </c>
      <c r="KYJ108" s="1" t="s">
        <v>122</v>
      </c>
      <c r="KYK108" s="1" t="s">
        <v>122</v>
      </c>
      <c r="KYL108" s="1" t="s">
        <v>122</v>
      </c>
      <c r="KYM108" s="1" t="s">
        <v>122</v>
      </c>
      <c r="KYN108" s="1" t="s">
        <v>122</v>
      </c>
      <c r="KYO108" s="1" t="s">
        <v>122</v>
      </c>
      <c r="KYP108" s="1" t="s">
        <v>122</v>
      </c>
      <c r="KYQ108" s="1" t="s">
        <v>122</v>
      </c>
      <c r="KYR108" s="1" t="s">
        <v>122</v>
      </c>
      <c r="KYS108" s="1" t="s">
        <v>122</v>
      </c>
      <c r="KYT108" s="1" t="s">
        <v>122</v>
      </c>
      <c r="KYU108" s="1" t="s">
        <v>122</v>
      </c>
      <c r="KYV108" s="1" t="s">
        <v>122</v>
      </c>
      <c r="KYW108" s="1" t="s">
        <v>122</v>
      </c>
      <c r="KYX108" s="1" t="s">
        <v>122</v>
      </c>
      <c r="KYY108" s="1" t="s">
        <v>122</v>
      </c>
      <c r="KYZ108" s="1" t="s">
        <v>122</v>
      </c>
      <c r="KZA108" s="1" t="s">
        <v>122</v>
      </c>
      <c r="KZB108" s="1" t="s">
        <v>122</v>
      </c>
      <c r="KZC108" s="1" t="s">
        <v>122</v>
      </c>
      <c r="KZD108" s="1" t="s">
        <v>122</v>
      </c>
      <c r="KZE108" s="1" t="s">
        <v>122</v>
      </c>
      <c r="KZF108" s="1" t="s">
        <v>122</v>
      </c>
      <c r="KZG108" s="1" t="s">
        <v>122</v>
      </c>
      <c r="KZH108" s="1" t="s">
        <v>122</v>
      </c>
      <c r="KZI108" s="1" t="s">
        <v>122</v>
      </c>
      <c r="KZJ108" s="1" t="s">
        <v>122</v>
      </c>
      <c r="KZK108" s="1" t="s">
        <v>122</v>
      </c>
      <c r="KZL108" s="1" t="s">
        <v>122</v>
      </c>
      <c r="KZM108" s="1" t="s">
        <v>122</v>
      </c>
      <c r="KZN108" s="1" t="s">
        <v>122</v>
      </c>
      <c r="KZO108" s="1" t="s">
        <v>122</v>
      </c>
      <c r="KZP108" s="1" t="s">
        <v>122</v>
      </c>
      <c r="KZQ108" s="1" t="s">
        <v>122</v>
      </c>
      <c r="KZR108" s="1" t="s">
        <v>122</v>
      </c>
      <c r="KZS108" s="1" t="s">
        <v>122</v>
      </c>
      <c r="KZT108" s="1" t="s">
        <v>122</v>
      </c>
      <c r="KZU108" s="1" t="s">
        <v>122</v>
      </c>
      <c r="KZV108" s="1" t="s">
        <v>122</v>
      </c>
      <c r="KZW108" s="1" t="s">
        <v>122</v>
      </c>
      <c r="KZX108" s="1" t="s">
        <v>122</v>
      </c>
      <c r="KZY108" s="1" t="s">
        <v>122</v>
      </c>
      <c r="KZZ108" s="1" t="s">
        <v>122</v>
      </c>
      <c r="LAA108" s="1" t="s">
        <v>122</v>
      </c>
      <c r="LAB108" s="1" t="s">
        <v>122</v>
      </c>
      <c r="LAC108" s="1" t="s">
        <v>122</v>
      </c>
      <c r="LAD108" s="1" t="s">
        <v>122</v>
      </c>
      <c r="LAE108" s="1" t="s">
        <v>122</v>
      </c>
      <c r="LAF108" s="1" t="s">
        <v>122</v>
      </c>
      <c r="LAG108" s="1" t="s">
        <v>122</v>
      </c>
      <c r="LAH108" s="1" t="s">
        <v>122</v>
      </c>
      <c r="LAI108" s="1" t="s">
        <v>122</v>
      </c>
      <c r="LAJ108" s="1" t="s">
        <v>122</v>
      </c>
      <c r="LAK108" s="1" t="s">
        <v>122</v>
      </c>
      <c r="LAL108" s="1" t="s">
        <v>122</v>
      </c>
      <c r="LAM108" s="1" t="s">
        <v>122</v>
      </c>
      <c r="LAN108" s="1" t="s">
        <v>122</v>
      </c>
      <c r="LAO108" s="1" t="s">
        <v>122</v>
      </c>
      <c r="LAP108" s="1" t="s">
        <v>122</v>
      </c>
      <c r="LAQ108" s="1" t="s">
        <v>122</v>
      </c>
      <c r="LAR108" s="1" t="s">
        <v>122</v>
      </c>
      <c r="LAS108" s="1" t="s">
        <v>122</v>
      </c>
      <c r="LAT108" s="1" t="s">
        <v>122</v>
      </c>
      <c r="LAU108" s="1" t="s">
        <v>122</v>
      </c>
      <c r="LAV108" s="1" t="s">
        <v>122</v>
      </c>
      <c r="LAW108" s="1" t="s">
        <v>122</v>
      </c>
      <c r="LAX108" s="1" t="s">
        <v>122</v>
      </c>
      <c r="LAY108" s="1" t="s">
        <v>122</v>
      </c>
      <c r="LAZ108" s="1" t="s">
        <v>122</v>
      </c>
      <c r="LBA108" s="1" t="s">
        <v>122</v>
      </c>
      <c r="LBB108" s="1" t="s">
        <v>122</v>
      </c>
      <c r="LBC108" s="1" t="s">
        <v>122</v>
      </c>
      <c r="LBD108" s="1" t="s">
        <v>122</v>
      </c>
      <c r="LBE108" s="1" t="s">
        <v>122</v>
      </c>
      <c r="LBF108" s="1" t="s">
        <v>122</v>
      </c>
      <c r="LBG108" s="1" t="s">
        <v>122</v>
      </c>
      <c r="LBH108" s="1" t="s">
        <v>122</v>
      </c>
      <c r="LBI108" s="1" t="s">
        <v>122</v>
      </c>
      <c r="LBJ108" s="1" t="s">
        <v>122</v>
      </c>
      <c r="LBK108" s="1" t="s">
        <v>122</v>
      </c>
      <c r="LBL108" s="1" t="s">
        <v>122</v>
      </c>
      <c r="LBM108" s="1" t="s">
        <v>122</v>
      </c>
      <c r="LBN108" s="1" t="s">
        <v>122</v>
      </c>
      <c r="LBO108" s="1" t="s">
        <v>122</v>
      </c>
      <c r="LBP108" s="1" t="s">
        <v>122</v>
      </c>
      <c r="LBQ108" s="1" t="s">
        <v>122</v>
      </c>
      <c r="LBR108" s="1" t="s">
        <v>122</v>
      </c>
      <c r="LBS108" s="1" t="s">
        <v>122</v>
      </c>
      <c r="LBT108" s="1" t="s">
        <v>122</v>
      </c>
      <c r="LBU108" s="1" t="s">
        <v>122</v>
      </c>
      <c r="LBV108" s="1" t="s">
        <v>122</v>
      </c>
      <c r="LBW108" s="1" t="s">
        <v>122</v>
      </c>
      <c r="LBX108" s="1" t="s">
        <v>122</v>
      </c>
      <c r="LBY108" s="1" t="s">
        <v>122</v>
      </c>
      <c r="LBZ108" s="1" t="s">
        <v>122</v>
      </c>
      <c r="LCA108" s="1" t="s">
        <v>122</v>
      </c>
      <c r="LCB108" s="1" t="s">
        <v>122</v>
      </c>
      <c r="LCC108" s="1" t="s">
        <v>122</v>
      </c>
      <c r="LCD108" s="1" t="s">
        <v>122</v>
      </c>
      <c r="LCE108" s="1" t="s">
        <v>122</v>
      </c>
      <c r="LCF108" s="1" t="s">
        <v>122</v>
      </c>
      <c r="LCG108" s="1" t="s">
        <v>122</v>
      </c>
      <c r="LCH108" s="1" t="s">
        <v>122</v>
      </c>
      <c r="LCI108" s="1" t="s">
        <v>122</v>
      </c>
      <c r="LCJ108" s="1" t="s">
        <v>122</v>
      </c>
      <c r="LCK108" s="1" t="s">
        <v>122</v>
      </c>
      <c r="LCL108" s="1" t="s">
        <v>122</v>
      </c>
      <c r="LCM108" s="1" t="s">
        <v>122</v>
      </c>
      <c r="LCN108" s="1" t="s">
        <v>122</v>
      </c>
      <c r="LCO108" s="1" t="s">
        <v>122</v>
      </c>
      <c r="LCP108" s="1" t="s">
        <v>122</v>
      </c>
      <c r="LCQ108" s="1" t="s">
        <v>122</v>
      </c>
      <c r="LCR108" s="1" t="s">
        <v>122</v>
      </c>
      <c r="LCS108" s="1" t="s">
        <v>122</v>
      </c>
      <c r="LCT108" s="1" t="s">
        <v>122</v>
      </c>
      <c r="LCU108" s="1" t="s">
        <v>122</v>
      </c>
      <c r="LCV108" s="1" t="s">
        <v>122</v>
      </c>
      <c r="LCW108" s="1" t="s">
        <v>122</v>
      </c>
      <c r="LCX108" s="1" t="s">
        <v>122</v>
      </c>
      <c r="LCY108" s="1" t="s">
        <v>122</v>
      </c>
      <c r="LCZ108" s="1" t="s">
        <v>122</v>
      </c>
      <c r="LDA108" s="1" t="s">
        <v>122</v>
      </c>
      <c r="LDB108" s="1" t="s">
        <v>122</v>
      </c>
      <c r="LDC108" s="1" t="s">
        <v>122</v>
      </c>
      <c r="LDD108" s="1" t="s">
        <v>122</v>
      </c>
      <c r="LDE108" s="1" t="s">
        <v>122</v>
      </c>
      <c r="LDF108" s="1" t="s">
        <v>122</v>
      </c>
      <c r="LDG108" s="1" t="s">
        <v>122</v>
      </c>
      <c r="LDH108" s="1" t="s">
        <v>122</v>
      </c>
      <c r="LDI108" s="1" t="s">
        <v>122</v>
      </c>
      <c r="LDJ108" s="1" t="s">
        <v>122</v>
      </c>
      <c r="LDK108" s="1" t="s">
        <v>122</v>
      </c>
      <c r="LDL108" s="1" t="s">
        <v>122</v>
      </c>
      <c r="LDM108" s="1" t="s">
        <v>122</v>
      </c>
      <c r="LDN108" s="1" t="s">
        <v>122</v>
      </c>
      <c r="LDO108" s="1" t="s">
        <v>122</v>
      </c>
      <c r="LDP108" s="1" t="s">
        <v>122</v>
      </c>
      <c r="LDQ108" s="1" t="s">
        <v>122</v>
      </c>
      <c r="LDR108" s="1" t="s">
        <v>122</v>
      </c>
      <c r="LDS108" s="1" t="s">
        <v>122</v>
      </c>
      <c r="LDT108" s="1" t="s">
        <v>122</v>
      </c>
      <c r="LDU108" s="1" t="s">
        <v>122</v>
      </c>
      <c r="LDV108" s="1" t="s">
        <v>122</v>
      </c>
      <c r="LDW108" s="1" t="s">
        <v>122</v>
      </c>
      <c r="LDX108" s="1" t="s">
        <v>122</v>
      </c>
      <c r="LDY108" s="1" t="s">
        <v>122</v>
      </c>
      <c r="LDZ108" s="1" t="s">
        <v>122</v>
      </c>
      <c r="LEA108" s="1" t="s">
        <v>122</v>
      </c>
      <c r="LEB108" s="1" t="s">
        <v>122</v>
      </c>
      <c r="LEC108" s="1" t="s">
        <v>122</v>
      </c>
      <c r="LED108" s="1" t="s">
        <v>122</v>
      </c>
      <c r="LEE108" s="1" t="s">
        <v>122</v>
      </c>
      <c r="LEF108" s="1" t="s">
        <v>122</v>
      </c>
      <c r="LEG108" s="1" t="s">
        <v>122</v>
      </c>
      <c r="LEH108" s="1" t="s">
        <v>122</v>
      </c>
      <c r="LEI108" s="1" t="s">
        <v>122</v>
      </c>
      <c r="LEJ108" s="1" t="s">
        <v>122</v>
      </c>
      <c r="LEK108" s="1" t="s">
        <v>122</v>
      </c>
      <c r="LEL108" s="1" t="s">
        <v>122</v>
      </c>
      <c r="LEM108" s="1" t="s">
        <v>122</v>
      </c>
      <c r="LEN108" s="1" t="s">
        <v>122</v>
      </c>
      <c r="LEO108" s="1" t="s">
        <v>122</v>
      </c>
      <c r="LEP108" s="1" t="s">
        <v>122</v>
      </c>
      <c r="LEQ108" s="1" t="s">
        <v>122</v>
      </c>
      <c r="LER108" s="1" t="s">
        <v>122</v>
      </c>
      <c r="LES108" s="1" t="s">
        <v>122</v>
      </c>
      <c r="LET108" s="1" t="s">
        <v>122</v>
      </c>
      <c r="LEU108" s="1" t="s">
        <v>122</v>
      </c>
      <c r="LEV108" s="1" t="s">
        <v>122</v>
      </c>
      <c r="LEW108" s="1" t="s">
        <v>122</v>
      </c>
      <c r="LEX108" s="1" t="s">
        <v>122</v>
      </c>
      <c r="LEY108" s="1" t="s">
        <v>122</v>
      </c>
      <c r="LEZ108" s="1" t="s">
        <v>122</v>
      </c>
      <c r="LFA108" s="1" t="s">
        <v>122</v>
      </c>
      <c r="LFB108" s="1" t="s">
        <v>122</v>
      </c>
      <c r="LFC108" s="1" t="s">
        <v>122</v>
      </c>
      <c r="LFD108" s="1" t="s">
        <v>122</v>
      </c>
      <c r="LFE108" s="1" t="s">
        <v>122</v>
      </c>
      <c r="LFF108" s="1" t="s">
        <v>122</v>
      </c>
      <c r="LFG108" s="1" t="s">
        <v>122</v>
      </c>
      <c r="LFH108" s="1" t="s">
        <v>122</v>
      </c>
      <c r="LFI108" s="1" t="s">
        <v>122</v>
      </c>
      <c r="LFJ108" s="1" t="s">
        <v>122</v>
      </c>
      <c r="LFK108" s="1" t="s">
        <v>122</v>
      </c>
      <c r="LFL108" s="1" t="s">
        <v>122</v>
      </c>
      <c r="LFM108" s="1" t="s">
        <v>122</v>
      </c>
      <c r="LFN108" s="1" t="s">
        <v>122</v>
      </c>
      <c r="LFO108" s="1" t="s">
        <v>122</v>
      </c>
      <c r="LFP108" s="1" t="s">
        <v>122</v>
      </c>
      <c r="LFQ108" s="1" t="s">
        <v>122</v>
      </c>
      <c r="LFR108" s="1" t="s">
        <v>122</v>
      </c>
      <c r="LFS108" s="1" t="s">
        <v>122</v>
      </c>
      <c r="LFT108" s="1" t="s">
        <v>122</v>
      </c>
      <c r="LFU108" s="1" t="s">
        <v>122</v>
      </c>
      <c r="LFV108" s="1" t="s">
        <v>122</v>
      </c>
      <c r="LFW108" s="1" t="s">
        <v>122</v>
      </c>
      <c r="LFX108" s="1" t="s">
        <v>122</v>
      </c>
      <c r="LFY108" s="1" t="s">
        <v>122</v>
      </c>
      <c r="LFZ108" s="1" t="s">
        <v>122</v>
      </c>
      <c r="LGA108" s="1" t="s">
        <v>122</v>
      </c>
      <c r="LGB108" s="1" t="s">
        <v>122</v>
      </c>
      <c r="LGC108" s="1" t="s">
        <v>122</v>
      </c>
      <c r="LGD108" s="1" t="s">
        <v>122</v>
      </c>
      <c r="LGE108" s="1" t="s">
        <v>122</v>
      </c>
      <c r="LGF108" s="1" t="s">
        <v>122</v>
      </c>
      <c r="LGG108" s="1" t="s">
        <v>122</v>
      </c>
      <c r="LGH108" s="1" t="s">
        <v>122</v>
      </c>
      <c r="LGI108" s="1" t="s">
        <v>122</v>
      </c>
      <c r="LGJ108" s="1" t="s">
        <v>122</v>
      </c>
      <c r="LGK108" s="1" t="s">
        <v>122</v>
      </c>
      <c r="LGL108" s="1" t="s">
        <v>122</v>
      </c>
      <c r="LGM108" s="1" t="s">
        <v>122</v>
      </c>
      <c r="LGN108" s="1" t="s">
        <v>122</v>
      </c>
      <c r="LGO108" s="1" t="s">
        <v>122</v>
      </c>
      <c r="LGP108" s="1" t="s">
        <v>122</v>
      </c>
      <c r="LGQ108" s="1" t="s">
        <v>122</v>
      </c>
      <c r="LGR108" s="1" t="s">
        <v>122</v>
      </c>
      <c r="LGS108" s="1" t="s">
        <v>122</v>
      </c>
      <c r="LGT108" s="1" t="s">
        <v>122</v>
      </c>
      <c r="LGU108" s="1" t="s">
        <v>122</v>
      </c>
      <c r="LGV108" s="1" t="s">
        <v>122</v>
      </c>
      <c r="LGW108" s="1" t="s">
        <v>122</v>
      </c>
      <c r="LGX108" s="1" t="s">
        <v>122</v>
      </c>
      <c r="LGY108" s="1" t="s">
        <v>122</v>
      </c>
      <c r="LGZ108" s="1" t="s">
        <v>122</v>
      </c>
      <c r="LHA108" s="1" t="s">
        <v>122</v>
      </c>
      <c r="LHB108" s="1" t="s">
        <v>122</v>
      </c>
      <c r="LHC108" s="1" t="s">
        <v>122</v>
      </c>
      <c r="LHD108" s="1" t="s">
        <v>122</v>
      </c>
      <c r="LHE108" s="1" t="s">
        <v>122</v>
      </c>
      <c r="LHF108" s="1" t="s">
        <v>122</v>
      </c>
      <c r="LHG108" s="1" t="s">
        <v>122</v>
      </c>
      <c r="LHH108" s="1" t="s">
        <v>122</v>
      </c>
      <c r="LHI108" s="1" t="s">
        <v>122</v>
      </c>
      <c r="LHJ108" s="1" t="s">
        <v>122</v>
      </c>
      <c r="LHK108" s="1" t="s">
        <v>122</v>
      </c>
      <c r="LHL108" s="1" t="s">
        <v>122</v>
      </c>
      <c r="LHM108" s="1" t="s">
        <v>122</v>
      </c>
      <c r="LHN108" s="1" t="s">
        <v>122</v>
      </c>
      <c r="LHO108" s="1" t="s">
        <v>122</v>
      </c>
      <c r="LHP108" s="1" t="s">
        <v>122</v>
      </c>
      <c r="LHQ108" s="1" t="s">
        <v>122</v>
      </c>
      <c r="LHR108" s="1" t="s">
        <v>122</v>
      </c>
      <c r="LHS108" s="1" t="s">
        <v>122</v>
      </c>
      <c r="LHT108" s="1" t="s">
        <v>122</v>
      </c>
      <c r="LHU108" s="1" t="s">
        <v>122</v>
      </c>
      <c r="LHV108" s="1" t="s">
        <v>122</v>
      </c>
      <c r="LHW108" s="1" t="s">
        <v>122</v>
      </c>
      <c r="LHX108" s="1" t="s">
        <v>122</v>
      </c>
      <c r="LHY108" s="1" t="s">
        <v>122</v>
      </c>
      <c r="LHZ108" s="1" t="s">
        <v>122</v>
      </c>
      <c r="LIA108" s="1" t="s">
        <v>122</v>
      </c>
      <c r="LIB108" s="1" t="s">
        <v>122</v>
      </c>
      <c r="LIC108" s="1" t="s">
        <v>122</v>
      </c>
      <c r="LID108" s="1" t="s">
        <v>122</v>
      </c>
      <c r="LIE108" s="1" t="s">
        <v>122</v>
      </c>
      <c r="LIF108" s="1" t="s">
        <v>122</v>
      </c>
      <c r="LIG108" s="1" t="s">
        <v>122</v>
      </c>
      <c r="LIH108" s="1" t="s">
        <v>122</v>
      </c>
      <c r="LII108" s="1" t="s">
        <v>122</v>
      </c>
      <c r="LIJ108" s="1" t="s">
        <v>122</v>
      </c>
      <c r="LIK108" s="1" t="s">
        <v>122</v>
      </c>
      <c r="LIL108" s="1" t="s">
        <v>122</v>
      </c>
      <c r="LIM108" s="1" t="s">
        <v>122</v>
      </c>
      <c r="LIN108" s="1" t="s">
        <v>122</v>
      </c>
      <c r="LIO108" s="1" t="s">
        <v>122</v>
      </c>
      <c r="LIP108" s="1" t="s">
        <v>122</v>
      </c>
      <c r="LIQ108" s="1" t="s">
        <v>122</v>
      </c>
      <c r="LIR108" s="1" t="s">
        <v>122</v>
      </c>
      <c r="LIS108" s="1" t="s">
        <v>122</v>
      </c>
      <c r="LIT108" s="1" t="s">
        <v>122</v>
      </c>
      <c r="LIU108" s="1" t="s">
        <v>122</v>
      </c>
      <c r="LIV108" s="1" t="s">
        <v>122</v>
      </c>
      <c r="LIW108" s="1" t="s">
        <v>122</v>
      </c>
      <c r="LIX108" s="1" t="s">
        <v>122</v>
      </c>
      <c r="LIY108" s="1" t="s">
        <v>122</v>
      </c>
      <c r="LIZ108" s="1" t="s">
        <v>122</v>
      </c>
      <c r="LJA108" s="1" t="s">
        <v>122</v>
      </c>
      <c r="LJB108" s="1" t="s">
        <v>122</v>
      </c>
      <c r="LJC108" s="1" t="s">
        <v>122</v>
      </c>
      <c r="LJD108" s="1" t="s">
        <v>122</v>
      </c>
      <c r="LJE108" s="1" t="s">
        <v>122</v>
      </c>
      <c r="LJF108" s="1" t="s">
        <v>122</v>
      </c>
      <c r="LJG108" s="1" t="s">
        <v>122</v>
      </c>
      <c r="LJH108" s="1" t="s">
        <v>122</v>
      </c>
      <c r="LJI108" s="1" t="s">
        <v>122</v>
      </c>
      <c r="LJJ108" s="1" t="s">
        <v>122</v>
      </c>
      <c r="LJK108" s="1" t="s">
        <v>122</v>
      </c>
      <c r="LJL108" s="1" t="s">
        <v>122</v>
      </c>
      <c r="LJM108" s="1" t="s">
        <v>122</v>
      </c>
      <c r="LJN108" s="1" t="s">
        <v>122</v>
      </c>
      <c r="LJO108" s="1" t="s">
        <v>122</v>
      </c>
      <c r="LJP108" s="1" t="s">
        <v>122</v>
      </c>
      <c r="LJQ108" s="1" t="s">
        <v>122</v>
      </c>
      <c r="LJR108" s="1" t="s">
        <v>122</v>
      </c>
      <c r="LJS108" s="1" t="s">
        <v>122</v>
      </c>
      <c r="LJT108" s="1" t="s">
        <v>122</v>
      </c>
      <c r="LJU108" s="1" t="s">
        <v>122</v>
      </c>
      <c r="LJV108" s="1" t="s">
        <v>122</v>
      </c>
      <c r="LJW108" s="1" t="s">
        <v>122</v>
      </c>
      <c r="LJX108" s="1" t="s">
        <v>122</v>
      </c>
      <c r="LJY108" s="1" t="s">
        <v>122</v>
      </c>
      <c r="LJZ108" s="1" t="s">
        <v>122</v>
      </c>
      <c r="LKA108" s="1" t="s">
        <v>122</v>
      </c>
      <c r="LKB108" s="1" t="s">
        <v>122</v>
      </c>
      <c r="LKC108" s="1" t="s">
        <v>122</v>
      </c>
      <c r="LKD108" s="1" t="s">
        <v>122</v>
      </c>
      <c r="LKE108" s="1" t="s">
        <v>122</v>
      </c>
      <c r="LKF108" s="1" t="s">
        <v>122</v>
      </c>
      <c r="LKG108" s="1" t="s">
        <v>122</v>
      </c>
      <c r="LKH108" s="1" t="s">
        <v>122</v>
      </c>
      <c r="LKI108" s="1" t="s">
        <v>122</v>
      </c>
      <c r="LKJ108" s="1" t="s">
        <v>122</v>
      </c>
      <c r="LKK108" s="1" t="s">
        <v>122</v>
      </c>
      <c r="LKL108" s="1" t="s">
        <v>122</v>
      </c>
      <c r="LKM108" s="1" t="s">
        <v>122</v>
      </c>
      <c r="LKN108" s="1" t="s">
        <v>122</v>
      </c>
      <c r="LKO108" s="1" t="s">
        <v>122</v>
      </c>
      <c r="LKP108" s="1" t="s">
        <v>122</v>
      </c>
      <c r="LKQ108" s="1" t="s">
        <v>122</v>
      </c>
      <c r="LKR108" s="1" t="s">
        <v>122</v>
      </c>
      <c r="LKS108" s="1" t="s">
        <v>122</v>
      </c>
      <c r="LKT108" s="1" t="s">
        <v>122</v>
      </c>
      <c r="LKU108" s="1" t="s">
        <v>122</v>
      </c>
      <c r="LKV108" s="1" t="s">
        <v>122</v>
      </c>
      <c r="LKW108" s="1" t="s">
        <v>122</v>
      </c>
      <c r="LKX108" s="1" t="s">
        <v>122</v>
      </c>
      <c r="LKY108" s="1" t="s">
        <v>122</v>
      </c>
      <c r="LKZ108" s="1" t="s">
        <v>122</v>
      </c>
      <c r="LLA108" s="1" t="s">
        <v>122</v>
      </c>
      <c r="LLB108" s="1" t="s">
        <v>122</v>
      </c>
      <c r="LLC108" s="1" t="s">
        <v>122</v>
      </c>
      <c r="LLD108" s="1" t="s">
        <v>122</v>
      </c>
      <c r="LLE108" s="1" t="s">
        <v>122</v>
      </c>
      <c r="LLF108" s="1" t="s">
        <v>122</v>
      </c>
      <c r="LLG108" s="1" t="s">
        <v>122</v>
      </c>
      <c r="LLH108" s="1" t="s">
        <v>122</v>
      </c>
      <c r="LLI108" s="1" t="s">
        <v>122</v>
      </c>
      <c r="LLJ108" s="1" t="s">
        <v>122</v>
      </c>
      <c r="LLK108" s="1" t="s">
        <v>122</v>
      </c>
      <c r="LLL108" s="1" t="s">
        <v>122</v>
      </c>
      <c r="LLM108" s="1" t="s">
        <v>122</v>
      </c>
      <c r="LLN108" s="1" t="s">
        <v>122</v>
      </c>
      <c r="LLO108" s="1" t="s">
        <v>122</v>
      </c>
      <c r="LLP108" s="1" t="s">
        <v>122</v>
      </c>
      <c r="LLQ108" s="1" t="s">
        <v>122</v>
      </c>
      <c r="LLR108" s="1" t="s">
        <v>122</v>
      </c>
      <c r="LLS108" s="1" t="s">
        <v>122</v>
      </c>
      <c r="LLT108" s="1" t="s">
        <v>122</v>
      </c>
      <c r="LLU108" s="1" t="s">
        <v>122</v>
      </c>
      <c r="LLV108" s="1" t="s">
        <v>122</v>
      </c>
      <c r="LLW108" s="1" t="s">
        <v>122</v>
      </c>
      <c r="LLX108" s="1" t="s">
        <v>122</v>
      </c>
      <c r="LLY108" s="1" t="s">
        <v>122</v>
      </c>
      <c r="LLZ108" s="1" t="s">
        <v>122</v>
      </c>
      <c r="LMA108" s="1" t="s">
        <v>122</v>
      </c>
      <c r="LMB108" s="1" t="s">
        <v>122</v>
      </c>
      <c r="LMC108" s="1" t="s">
        <v>122</v>
      </c>
      <c r="LMD108" s="1" t="s">
        <v>122</v>
      </c>
      <c r="LME108" s="1" t="s">
        <v>122</v>
      </c>
      <c r="LMF108" s="1" t="s">
        <v>122</v>
      </c>
      <c r="LMG108" s="1" t="s">
        <v>122</v>
      </c>
      <c r="LMH108" s="1" t="s">
        <v>122</v>
      </c>
      <c r="LMI108" s="1" t="s">
        <v>122</v>
      </c>
      <c r="LMJ108" s="1" t="s">
        <v>122</v>
      </c>
      <c r="LMK108" s="1" t="s">
        <v>122</v>
      </c>
      <c r="LML108" s="1" t="s">
        <v>122</v>
      </c>
      <c r="LMM108" s="1" t="s">
        <v>122</v>
      </c>
      <c r="LMN108" s="1" t="s">
        <v>122</v>
      </c>
      <c r="LMO108" s="1" t="s">
        <v>122</v>
      </c>
      <c r="LMP108" s="1" t="s">
        <v>122</v>
      </c>
      <c r="LMQ108" s="1" t="s">
        <v>122</v>
      </c>
      <c r="LMR108" s="1" t="s">
        <v>122</v>
      </c>
      <c r="LMS108" s="1" t="s">
        <v>122</v>
      </c>
      <c r="LMT108" s="1" t="s">
        <v>122</v>
      </c>
      <c r="LMU108" s="1" t="s">
        <v>122</v>
      </c>
      <c r="LMV108" s="1" t="s">
        <v>122</v>
      </c>
      <c r="LMW108" s="1" t="s">
        <v>122</v>
      </c>
      <c r="LMX108" s="1" t="s">
        <v>122</v>
      </c>
      <c r="LMY108" s="1" t="s">
        <v>122</v>
      </c>
      <c r="LMZ108" s="1" t="s">
        <v>122</v>
      </c>
      <c r="LNA108" s="1" t="s">
        <v>122</v>
      </c>
      <c r="LNB108" s="1" t="s">
        <v>122</v>
      </c>
      <c r="LNC108" s="1" t="s">
        <v>122</v>
      </c>
      <c r="LND108" s="1" t="s">
        <v>122</v>
      </c>
      <c r="LNE108" s="1" t="s">
        <v>122</v>
      </c>
      <c r="LNF108" s="1" t="s">
        <v>122</v>
      </c>
      <c r="LNG108" s="1" t="s">
        <v>122</v>
      </c>
      <c r="LNH108" s="1" t="s">
        <v>122</v>
      </c>
      <c r="LNI108" s="1" t="s">
        <v>122</v>
      </c>
      <c r="LNJ108" s="1" t="s">
        <v>122</v>
      </c>
      <c r="LNK108" s="1" t="s">
        <v>122</v>
      </c>
      <c r="LNL108" s="1" t="s">
        <v>122</v>
      </c>
      <c r="LNM108" s="1" t="s">
        <v>122</v>
      </c>
      <c r="LNN108" s="1" t="s">
        <v>122</v>
      </c>
      <c r="LNO108" s="1" t="s">
        <v>122</v>
      </c>
      <c r="LNP108" s="1" t="s">
        <v>122</v>
      </c>
      <c r="LNQ108" s="1" t="s">
        <v>122</v>
      </c>
      <c r="LNR108" s="1" t="s">
        <v>122</v>
      </c>
      <c r="LNS108" s="1" t="s">
        <v>122</v>
      </c>
      <c r="LNT108" s="1" t="s">
        <v>122</v>
      </c>
      <c r="LNU108" s="1" t="s">
        <v>122</v>
      </c>
      <c r="LNV108" s="1" t="s">
        <v>122</v>
      </c>
      <c r="LNW108" s="1" t="s">
        <v>122</v>
      </c>
      <c r="LNX108" s="1" t="s">
        <v>122</v>
      </c>
      <c r="LNY108" s="1" t="s">
        <v>122</v>
      </c>
      <c r="LNZ108" s="1" t="s">
        <v>122</v>
      </c>
      <c r="LOA108" s="1" t="s">
        <v>122</v>
      </c>
      <c r="LOB108" s="1" t="s">
        <v>122</v>
      </c>
      <c r="LOC108" s="1" t="s">
        <v>122</v>
      </c>
      <c r="LOD108" s="1" t="s">
        <v>122</v>
      </c>
      <c r="LOE108" s="1" t="s">
        <v>122</v>
      </c>
      <c r="LOF108" s="1" t="s">
        <v>122</v>
      </c>
      <c r="LOG108" s="1" t="s">
        <v>122</v>
      </c>
      <c r="LOH108" s="1" t="s">
        <v>122</v>
      </c>
      <c r="LOI108" s="1" t="s">
        <v>122</v>
      </c>
      <c r="LOJ108" s="1" t="s">
        <v>122</v>
      </c>
      <c r="LOK108" s="1" t="s">
        <v>122</v>
      </c>
      <c r="LOL108" s="1" t="s">
        <v>122</v>
      </c>
      <c r="LOM108" s="1" t="s">
        <v>122</v>
      </c>
      <c r="LON108" s="1" t="s">
        <v>122</v>
      </c>
      <c r="LOO108" s="1" t="s">
        <v>122</v>
      </c>
      <c r="LOP108" s="1" t="s">
        <v>122</v>
      </c>
      <c r="LOQ108" s="1" t="s">
        <v>122</v>
      </c>
      <c r="LOR108" s="1" t="s">
        <v>122</v>
      </c>
      <c r="LOS108" s="1" t="s">
        <v>122</v>
      </c>
      <c r="LOT108" s="1" t="s">
        <v>122</v>
      </c>
      <c r="LOU108" s="1" t="s">
        <v>122</v>
      </c>
      <c r="LOV108" s="1" t="s">
        <v>122</v>
      </c>
      <c r="LOW108" s="1" t="s">
        <v>122</v>
      </c>
      <c r="LOX108" s="1" t="s">
        <v>122</v>
      </c>
      <c r="LOY108" s="1" t="s">
        <v>122</v>
      </c>
      <c r="LOZ108" s="1" t="s">
        <v>122</v>
      </c>
      <c r="LPA108" s="1" t="s">
        <v>122</v>
      </c>
      <c r="LPB108" s="1" t="s">
        <v>122</v>
      </c>
      <c r="LPC108" s="1" t="s">
        <v>122</v>
      </c>
      <c r="LPD108" s="1" t="s">
        <v>122</v>
      </c>
      <c r="LPE108" s="1" t="s">
        <v>122</v>
      </c>
      <c r="LPF108" s="1" t="s">
        <v>122</v>
      </c>
      <c r="LPG108" s="1" t="s">
        <v>122</v>
      </c>
      <c r="LPH108" s="1" t="s">
        <v>122</v>
      </c>
      <c r="LPI108" s="1" t="s">
        <v>122</v>
      </c>
      <c r="LPJ108" s="1" t="s">
        <v>122</v>
      </c>
      <c r="LPK108" s="1" t="s">
        <v>122</v>
      </c>
      <c r="LPL108" s="1" t="s">
        <v>122</v>
      </c>
      <c r="LPM108" s="1" t="s">
        <v>122</v>
      </c>
      <c r="LPN108" s="1" t="s">
        <v>122</v>
      </c>
      <c r="LPO108" s="1" t="s">
        <v>122</v>
      </c>
      <c r="LPP108" s="1" t="s">
        <v>122</v>
      </c>
      <c r="LPQ108" s="1" t="s">
        <v>122</v>
      </c>
      <c r="LPR108" s="1" t="s">
        <v>122</v>
      </c>
      <c r="LPS108" s="1" t="s">
        <v>122</v>
      </c>
      <c r="LPT108" s="1" t="s">
        <v>122</v>
      </c>
      <c r="LPU108" s="1" t="s">
        <v>122</v>
      </c>
      <c r="LPV108" s="1" t="s">
        <v>122</v>
      </c>
      <c r="LPW108" s="1" t="s">
        <v>122</v>
      </c>
      <c r="LPX108" s="1" t="s">
        <v>122</v>
      </c>
      <c r="LPY108" s="1" t="s">
        <v>122</v>
      </c>
      <c r="LPZ108" s="1" t="s">
        <v>122</v>
      </c>
      <c r="LQA108" s="1" t="s">
        <v>122</v>
      </c>
      <c r="LQB108" s="1" t="s">
        <v>122</v>
      </c>
      <c r="LQC108" s="1" t="s">
        <v>122</v>
      </c>
      <c r="LQD108" s="1" t="s">
        <v>122</v>
      </c>
      <c r="LQE108" s="1" t="s">
        <v>122</v>
      </c>
      <c r="LQF108" s="1" t="s">
        <v>122</v>
      </c>
      <c r="LQG108" s="1" t="s">
        <v>122</v>
      </c>
      <c r="LQH108" s="1" t="s">
        <v>122</v>
      </c>
      <c r="LQI108" s="1" t="s">
        <v>122</v>
      </c>
      <c r="LQJ108" s="1" t="s">
        <v>122</v>
      </c>
      <c r="LQK108" s="1" t="s">
        <v>122</v>
      </c>
      <c r="LQL108" s="1" t="s">
        <v>122</v>
      </c>
      <c r="LQM108" s="1" t="s">
        <v>122</v>
      </c>
      <c r="LQN108" s="1" t="s">
        <v>122</v>
      </c>
      <c r="LQO108" s="1" t="s">
        <v>122</v>
      </c>
      <c r="LQP108" s="1" t="s">
        <v>122</v>
      </c>
      <c r="LQQ108" s="1" t="s">
        <v>122</v>
      </c>
      <c r="LQR108" s="1" t="s">
        <v>122</v>
      </c>
      <c r="LQS108" s="1" t="s">
        <v>122</v>
      </c>
      <c r="LQT108" s="1" t="s">
        <v>122</v>
      </c>
      <c r="LQU108" s="1" t="s">
        <v>122</v>
      </c>
      <c r="LQV108" s="1" t="s">
        <v>122</v>
      </c>
      <c r="LQW108" s="1" t="s">
        <v>122</v>
      </c>
      <c r="LQX108" s="1" t="s">
        <v>122</v>
      </c>
      <c r="LQY108" s="1" t="s">
        <v>122</v>
      </c>
      <c r="LQZ108" s="1" t="s">
        <v>122</v>
      </c>
      <c r="LRA108" s="1" t="s">
        <v>122</v>
      </c>
      <c r="LRB108" s="1" t="s">
        <v>122</v>
      </c>
      <c r="LRC108" s="1" t="s">
        <v>122</v>
      </c>
      <c r="LRD108" s="1" t="s">
        <v>122</v>
      </c>
      <c r="LRE108" s="1" t="s">
        <v>122</v>
      </c>
      <c r="LRF108" s="1" t="s">
        <v>122</v>
      </c>
      <c r="LRG108" s="1" t="s">
        <v>122</v>
      </c>
      <c r="LRH108" s="1" t="s">
        <v>122</v>
      </c>
      <c r="LRI108" s="1" t="s">
        <v>122</v>
      </c>
      <c r="LRJ108" s="1" t="s">
        <v>122</v>
      </c>
      <c r="LRK108" s="1" t="s">
        <v>122</v>
      </c>
      <c r="LRL108" s="1" t="s">
        <v>122</v>
      </c>
      <c r="LRM108" s="1" t="s">
        <v>122</v>
      </c>
      <c r="LRN108" s="1" t="s">
        <v>122</v>
      </c>
      <c r="LRO108" s="1" t="s">
        <v>122</v>
      </c>
      <c r="LRP108" s="1" t="s">
        <v>122</v>
      </c>
      <c r="LRQ108" s="1" t="s">
        <v>122</v>
      </c>
      <c r="LRR108" s="1" t="s">
        <v>122</v>
      </c>
      <c r="LRS108" s="1" t="s">
        <v>122</v>
      </c>
      <c r="LRT108" s="1" t="s">
        <v>122</v>
      </c>
      <c r="LRU108" s="1" t="s">
        <v>122</v>
      </c>
      <c r="LRV108" s="1" t="s">
        <v>122</v>
      </c>
      <c r="LRW108" s="1" t="s">
        <v>122</v>
      </c>
      <c r="LRX108" s="1" t="s">
        <v>122</v>
      </c>
      <c r="LRY108" s="1" t="s">
        <v>122</v>
      </c>
      <c r="LRZ108" s="1" t="s">
        <v>122</v>
      </c>
      <c r="LSA108" s="1" t="s">
        <v>122</v>
      </c>
      <c r="LSB108" s="1" t="s">
        <v>122</v>
      </c>
      <c r="LSC108" s="1" t="s">
        <v>122</v>
      </c>
      <c r="LSD108" s="1" t="s">
        <v>122</v>
      </c>
      <c r="LSE108" s="1" t="s">
        <v>122</v>
      </c>
      <c r="LSF108" s="1" t="s">
        <v>122</v>
      </c>
      <c r="LSG108" s="1" t="s">
        <v>122</v>
      </c>
      <c r="LSH108" s="1" t="s">
        <v>122</v>
      </c>
      <c r="LSI108" s="1" t="s">
        <v>122</v>
      </c>
      <c r="LSJ108" s="1" t="s">
        <v>122</v>
      </c>
      <c r="LSK108" s="1" t="s">
        <v>122</v>
      </c>
      <c r="LSL108" s="1" t="s">
        <v>122</v>
      </c>
      <c r="LSM108" s="1" t="s">
        <v>122</v>
      </c>
      <c r="LSN108" s="1" t="s">
        <v>122</v>
      </c>
      <c r="LSO108" s="1" t="s">
        <v>122</v>
      </c>
      <c r="LSP108" s="1" t="s">
        <v>122</v>
      </c>
      <c r="LSQ108" s="1" t="s">
        <v>122</v>
      </c>
      <c r="LSR108" s="1" t="s">
        <v>122</v>
      </c>
      <c r="LSS108" s="1" t="s">
        <v>122</v>
      </c>
      <c r="LST108" s="1" t="s">
        <v>122</v>
      </c>
      <c r="LSU108" s="1" t="s">
        <v>122</v>
      </c>
      <c r="LSV108" s="1" t="s">
        <v>122</v>
      </c>
      <c r="LSW108" s="1" t="s">
        <v>122</v>
      </c>
      <c r="LSX108" s="1" t="s">
        <v>122</v>
      </c>
      <c r="LSY108" s="1" t="s">
        <v>122</v>
      </c>
      <c r="LSZ108" s="1" t="s">
        <v>122</v>
      </c>
      <c r="LTA108" s="1" t="s">
        <v>122</v>
      </c>
      <c r="LTB108" s="1" t="s">
        <v>122</v>
      </c>
      <c r="LTC108" s="1" t="s">
        <v>122</v>
      </c>
      <c r="LTD108" s="1" t="s">
        <v>122</v>
      </c>
      <c r="LTE108" s="1" t="s">
        <v>122</v>
      </c>
      <c r="LTF108" s="1" t="s">
        <v>122</v>
      </c>
      <c r="LTG108" s="1" t="s">
        <v>122</v>
      </c>
      <c r="LTH108" s="1" t="s">
        <v>122</v>
      </c>
      <c r="LTI108" s="1" t="s">
        <v>122</v>
      </c>
      <c r="LTJ108" s="1" t="s">
        <v>122</v>
      </c>
      <c r="LTK108" s="1" t="s">
        <v>122</v>
      </c>
      <c r="LTL108" s="1" t="s">
        <v>122</v>
      </c>
      <c r="LTM108" s="1" t="s">
        <v>122</v>
      </c>
      <c r="LTN108" s="1" t="s">
        <v>122</v>
      </c>
      <c r="LTO108" s="1" t="s">
        <v>122</v>
      </c>
      <c r="LTP108" s="1" t="s">
        <v>122</v>
      </c>
      <c r="LTQ108" s="1" t="s">
        <v>122</v>
      </c>
      <c r="LTR108" s="1" t="s">
        <v>122</v>
      </c>
      <c r="LTS108" s="1" t="s">
        <v>122</v>
      </c>
      <c r="LTT108" s="1" t="s">
        <v>122</v>
      </c>
      <c r="LTU108" s="1" t="s">
        <v>122</v>
      </c>
      <c r="LTV108" s="1" t="s">
        <v>122</v>
      </c>
      <c r="LTW108" s="1" t="s">
        <v>122</v>
      </c>
      <c r="LTX108" s="1" t="s">
        <v>122</v>
      </c>
      <c r="LTY108" s="1" t="s">
        <v>122</v>
      </c>
      <c r="LTZ108" s="1" t="s">
        <v>122</v>
      </c>
      <c r="LUA108" s="1" t="s">
        <v>122</v>
      </c>
      <c r="LUB108" s="1" t="s">
        <v>122</v>
      </c>
      <c r="LUC108" s="1" t="s">
        <v>122</v>
      </c>
      <c r="LUD108" s="1" t="s">
        <v>122</v>
      </c>
      <c r="LUE108" s="1" t="s">
        <v>122</v>
      </c>
      <c r="LUF108" s="1" t="s">
        <v>122</v>
      </c>
      <c r="LUG108" s="1" t="s">
        <v>122</v>
      </c>
      <c r="LUH108" s="1" t="s">
        <v>122</v>
      </c>
      <c r="LUI108" s="1" t="s">
        <v>122</v>
      </c>
      <c r="LUJ108" s="1" t="s">
        <v>122</v>
      </c>
      <c r="LUK108" s="1" t="s">
        <v>122</v>
      </c>
      <c r="LUL108" s="1" t="s">
        <v>122</v>
      </c>
      <c r="LUM108" s="1" t="s">
        <v>122</v>
      </c>
      <c r="LUN108" s="1" t="s">
        <v>122</v>
      </c>
      <c r="LUO108" s="1" t="s">
        <v>122</v>
      </c>
      <c r="LUP108" s="1" t="s">
        <v>122</v>
      </c>
      <c r="LUQ108" s="1" t="s">
        <v>122</v>
      </c>
      <c r="LUR108" s="1" t="s">
        <v>122</v>
      </c>
      <c r="LUS108" s="1" t="s">
        <v>122</v>
      </c>
      <c r="LUT108" s="1" t="s">
        <v>122</v>
      </c>
      <c r="LUU108" s="1" t="s">
        <v>122</v>
      </c>
      <c r="LUV108" s="1" t="s">
        <v>122</v>
      </c>
      <c r="LUW108" s="1" t="s">
        <v>122</v>
      </c>
      <c r="LUX108" s="1" t="s">
        <v>122</v>
      </c>
      <c r="LUY108" s="1" t="s">
        <v>122</v>
      </c>
      <c r="LUZ108" s="1" t="s">
        <v>122</v>
      </c>
      <c r="LVA108" s="1" t="s">
        <v>122</v>
      </c>
      <c r="LVB108" s="1" t="s">
        <v>122</v>
      </c>
      <c r="LVC108" s="1" t="s">
        <v>122</v>
      </c>
      <c r="LVD108" s="1" t="s">
        <v>122</v>
      </c>
      <c r="LVE108" s="1" t="s">
        <v>122</v>
      </c>
      <c r="LVF108" s="1" t="s">
        <v>122</v>
      </c>
      <c r="LVG108" s="1" t="s">
        <v>122</v>
      </c>
      <c r="LVH108" s="1" t="s">
        <v>122</v>
      </c>
      <c r="LVI108" s="1" t="s">
        <v>122</v>
      </c>
      <c r="LVJ108" s="1" t="s">
        <v>122</v>
      </c>
      <c r="LVK108" s="1" t="s">
        <v>122</v>
      </c>
      <c r="LVL108" s="1" t="s">
        <v>122</v>
      </c>
      <c r="LVM108" s="1" t="s">
        <v>122</v>
      </c>
      <c r="LVN108" s="1" t="s">
        <v>122</v>
      </c>
      <c r="LVO108" s="1" t="s">
        <v>122</v>
      </c>
      <c r="LVP108" s="1" t="s">
        <v>122</v>
      </c>
      <c r="LVQ108" s="1" t="s">
        <v>122</v>
      </c>
      <c r="LVR108" s="1" t="s">
        <v>122</v>
      </c>
      <c r="LVS108" s="1" t="s">
        <v>122</v>
      </c>
      <c r="LVT108" s="1" t="s">
        <v>122</v>
      </c>
      <c r="LVU108" s="1" t="s">
        <v>122</v>
      </c>
      <c r="LVV108" s="1" t="s">
        <v>122</v>
      </c>
      <c r="LVW108" s="1" t="s">
        <v>122</v>
      </c>
      <c r="LVX108" s="1" t="s">
        <v>122</v>
      </c>
      <c r="LVY108" s="1" t="s">
        <v>122</v>
      </c>
      <c r="LVZ108" s="1" t="s">
        <v>122</v>
      </c>
      <c r="LWA108" s="1" t="s">
        <v>122</v>
      </c>
      <c r="LWB108" s="1" t="s">
        <v>122</v>
      </c>
      <c r="LWC108" s="1" t="s">
        <v>122</v>
      </c>
      <c r="LWD108" s="1" t="s">
        <v>122</v>
      </c>
      <c r="LWE108" s="1" t="s">
        <v>122</v>
      </c>
      <c r="LWF108" s="1" t="s">
        <v>122</v>
      </c>
      <c r="LWG108" s="1" t="s">
        <v>122</v>
      </c>
      <c r="LWH108" s="1" t="s">
        <v>122</v>
      </c>
      <c r="LWI108" s="1" t="s">
        <v>122</v>
      </c>
      <c r="LWJ108" s="1" t="s">
        <v>122</v>
      </c>
      <c r="LWK108" s="1" t="s">
        <v>122</v>
      </c>
      <c r="LWL108" s="1" t="s">
        <v>122</v>
      </c>
      <c r="LWM108" s="1" t="s">
        <v>122</v>
      </c>
      <c r="LWN108" s="1" t="s">
        <v>122</v>
      </c>
      <c r="LWO108" s="1" t="s">
        <v>122</v>
      </c>
      <c r="LWP108" s="1" t="s">
        <v>122</v>
      </c>
      <c r="LWQ108" s="1" t="s">
        <v>122</v>
      </c>
      <c r="LWR108" s="1" t="s">
        <v>122</v>
      </c>
      <c r="LWS108" s="1" t="s">
        <v>122</v>
      </c>
      <c r="LWT108" s="1" t="s">
        <v>122</v>
      </c>
      <c r="LWU108" s="1" t="s">
        <v>122</v>
      </c>
      <c r="LWV108" s="1" t="s">
        <v>122</v>
      </c>
      <c r="LWW108" s="1" t="s">
        <v>122</v>
      </c>
      <c r="LWX108" s="1" t="s">
        <v>122</v>
      </c>
      <c r="LWY108" s="1" t="s">
        <v>122</v>
      </c>
      <c r="LWZ108" s="1" t="s">
        <v>122</v>
      </c>
      <c r="LXA108" s="1" t="s">
        <v>122</v>
      </c>
      <c r="LXB108" s="1" t="s">
        <v>122</v>
      </c>
      <c r="LXC108" s="1" t="s">
        <v>122</v>
      </c>
      <c r="LXD108" s="1" t="s">
        <v>122</v>
      </c>
      <c r="LXE108" s="1" t="s">
        <v>122</v>
      </c>
      <c r="LXF108" s="1" t="s">
        <v>122</v>
      </c>
      <c r="LXG108" s="1" t="s">
        <v>122</v>
      </c>
      <c r="LXH108" s="1" t="s">
        <v>122</v>
      </c>
      <c r="LXI108" s="1" t="s">
        <v>122</v>
      </c>
      <c r="LXJ108" s="1" t="s">
        <v>122</v>
      </c>
      <c r="LXK108" s="1" t="s">
        <v>122</v>
      </c>
      <c r="LXL108" s="1" t="s">
        <v>122</v>
      </c>
      <c r="LXM108" s="1" t="s">
        <v>122</v>
      </c>
      <c r="LXN108" s="1" t="s">
        <v>122</v>
      </c>
      <c r="LXO108" s="1" t="s">
        <v>122</v>
      </c>
      <c r="LXP108" s="1" t="s">
        <v>122</v>
      </c>
      <c r="LXQ108" s="1" t="s">
        <v>122</v>
      </c>
      <c r="LXR108" s="1" t="s">
        <v>122</v>
      </c>
      <c r="LXS108" s="1" t="s">
        <v>122</v>
      </c>
      <c r="LXT108" s="1" t="s">
        <v>122</v>
      </c>
      <c r="LXU108" s="1" t="s">
        <v>122</v>
      </c>
      <c r="LXV108" s="1" t="s">
        <v>122</v>
      </c>
      <c r="LXW108" s="1" t="s">
        <v>122</v>
      </c>
      <c r="LXX108" s="1" t="s">
        <v>122</v>
      </c>
      <c r="LXY108" s="1" t="s">
        <v>122</v>
      </c>
      <c r="LXZ108" s="1" t="s">
        <v>122</v>
      </c>
      <c r="LYA108" s="1" t="s">
        <v>122</v>
      </c>
      <c r="LYB108" s="1" t="s">
        <v>122</v>
      </c>
      <c r="LYC108" s="1" t="s">
        <v>122</v>
      </c>
      <c r="LYD108" s="1" t="s">
        <v>122</v>
      </c>
      <c r="LYE108" s="1" t="s">
        <v>122</v>
      </c>
      <c r="LYF108" s="1" t="s">
        <v>122</v>
      </c>
      <c r="LYG108" s="1" t="s">
        <v>122</v>
      </c>
      <c r="LYH108" s="1" t="s">
        <v>122</v>
      </c>
      <c r="LYI108" s="1" t="s">
        <v>122</v>
      </c>
      <c r="LYJ108" s="1" t="s">
        <v>122</v>
      </c>
      <c r="LYK108" s="1" t="s">
        <v>122</v>
      </c>
      <c r="LYL108" s="1" t="s">
        <v>122</v>
      </c>
      <c r="LYM108" s="1" t="s">
        <v>122</v>
      </c>
      <c r="LYN108" s="1" t="s">
        <v>122</v>
      </c>
      <c r="LYO108" s="1" t="s">
        <v>122</v>
      </c>
      <c r="LYP108" s="1" t="s">
        <v>122</v>
      </c>
      <c r="LYQ108" s="1" t="s">
        <v>122</v>
      </c>
      <c r="LYR108" s="1" t="s">
        <v>122</v>
      </c>
      <c r="LYS108" s="1" t="s">
        <v>122</v>
      </c>
      <c r="LYT108" s="1" t="s">
        <v>122</v>
      </c>
      <c r="LYU108" s="1" t="s">
        <v>122</v>
      </c>
      <c r="LYV108" s="1" t="s">
        <v>122</v>
      </c>
      <c r="LYW108" s="1" t="s">
        <v>122</v>
      </c>
      <c r="LYX108" s="1" t="s">
        <v>122</v>
      </c>
      <c r="LYY108" s="1" t="s">
        <v>122</v>
      </c>
      <c r="LYZ108" s="1" t="s">
        <v>122</v>
      </c>
      <c r="LZA108" s="1" t="s">
        <v>122</v>
      </c>
      <c r="LZB108" s="1" t="s">
        <v>122</v>
      </c>
      <c r="LZC108" s="1" t="s">
        <v>122</v>
      </c>
      <c r="LZD108" s="1" t="s">
        <v>122</v>
      </c>
      <c r="LZE108" s="1" t="s">
        <v>122</v>
      </c>
      <c r="LZF108" s="1" t="s">
        <v>122</v>
      </c>
      <c r="LZG108" s="1" t="s">
        <v>122</v>
      </c>
      <c r="LZH108" s="1" t="s">
        <v>122</v>
      </c>
      <c r="LZI108" s="1" t="s">
        <v>122</v>
      </c>
      <c r="LZJ108" s="1" t="s">
        <v>122</v>
      </c>
      <c r="LZK108" s="1" t="s">
        <v>122</v>
      </c>
      <c r="LZL108" s="1" t="s">
        <v>122</v>
      </c>
      <c r="LZM108" s="1" t="s">
        <v>122</v>
      </c>
      <c r="LZN108" s="1" t="s">
        <v>122</v>
      </c>
      <c r="LZO108" s="1" t="s">
        <v>122</v>
      </c>
      <c r="LZP108" s="1" t="s">
        <v>122</v>
      </c>
      <c r="LZQ108" s="1" t="s">
        <v>122</v>
      </c>
      <c r="LZR108" s="1" t="s">
        <v>122</v>
      </c>
      <c r="LZS108" s="1" t="s">
        <v>122</v>
      </c>
      <c r="LZT108" s="1" t="s">
        <v>122</v>
      </c>
      <c r="LZU108" s="1" t="s">
        <v>122</v>
      </c>
      <c r="LZV108" s="1" t="s">
        <v>122</v>
      </c>
      <c r="LZW108" s="1" t="s">
        <v>122</v>
      </c>
      <c r="LZX108" s="1" t="s">
        <v>122</v>
      </c>
      <c r="LZY108" s="1" t="s">
        <v>122</v>
      </c>
      <c r="LZZ108" s="1" t="s">
        <v>122</v>
      </c>
      <c r="MAA108" s="1" t="s">
        <v>122</v>
      </c>
      <c r="MAB108" s="1" t="s">
        <v>122</v>
      </c>
      <c r="MAC108" s="1" t="s">
        <v>122</v>
      </c>
      <c r="MAD108" s="1" t="s">
        <v>122</v>
      </c>
      <c r="MAE108" s="1" t="s">
        <v>122</v>
      </c>
      <c r="MAF108" s="1" t="s">
        <v>122</v>
      </c>
      <c r="MAG108" s="1" t="s">
        <v>122</v>
      </c>
      <c r="MAH108" s="1" t="s">
        <v>122</v>
      </c>
      <c r="MAI108" s="1" t="s">
        <v>122</v>
      </c>
      <c r="MAJ108" s="1" t="s">
        <v>122</v>
      </c>
      <c r="MAK108" s="1" t="s">
        <v>122</v>
      </c>
      <c r="MAL108" s="1" t="s">
        <v>122</v>
      </c>
      <c r="MAM108" s="1" t="s">
        <v>122</v>
      </c>
      <c r="MAN108" s="1" t="s">
        <v>122</v>
      </c>
      <c r="MAO108" s="1" t="s">
        <v>122</v>
      </c>
      <c r="MAP108" s="1" t="s">
        <v>122</v>
      </c>
      <c r="MAQ108" s="1" t="s">
        <v>122</v>
      </c>
      <c r="MAR108" s="1" t="s">
        <v>122</v>
      </c>
      <c r="MAS108" s="1" t="s">
        <v>122</v>
      </c>
      <c r="MAT108" s="1" t="s">
        <v>122</v>
      </c>
      <c r="MAU108" s="1" t="s">
        <v>122</v>
      </c>
      <c r="MAV108" s="1" t="s">
        <v>122</v>
      </c>
      <c r="MAW108" s="1" t="s">
        <v>122</v>
      </c>
      <c r="MAX108" s="1" t="s">
        <v>122</v>
      </c>
      <c r="MAY108" s="1" t="s">
        <v>122</v>
      </c>
      <c r="MAZ108" s="1" t="s">
        <v>122</v>
      </c>
      <c r="MBA108" s="1" t="s">
        <v>122</v>
      </c>
      <c r="MBB108" s="1" t="s">
        <v>122</v>
      </c>
      <c r="MBC108" s="1" t="s">
        <v>122</v>
      </c>
      <c r="MBD108" s="1" t="s">
        <v>122</v>
      </c>
      <c r="MBE108" s="1" t="s">
        <v>122</v>
      </c>
      <c r="MBF108" s="1" t="s">
        <v>122</v>
      </c>
      <c r="MBG108" s="1" t="s">
        <v>122</v>
      </c>
      <c r="MBH108" s="1" t="s">
        <v>122</v>
      </c>
      <c r="MBI108" s="1" t="s">
        <v>122</v>
      </c>
      <c r="MBJ108" s="1" t="s">
        <v>122</v>
      </c>
      <c r="MBK108" s="1" t="s">
        <v>122</v>
      </c>
      <c r="MBL108" s="1" t="s">
        <v>122</v>
      </c>
      <c r="MBM108" s="1" t="s">
        <v>122</v>
      </c>
      <c r="MBN108" s="1" t="s">
        <v>122</v>
      </c>
      <c r="MBO108" s="1" t="s">
        <v>122</v>
      </c>
      <c r="MBP108" s="1" t="s">
        <v>122</v>
      </c>
      <c r="MBQ108" s="1" t="s">
        <v>122</v>
      </c>
      <c r="MBR108" s="1" t="s">
        <v>122</v>
      </c>
      <c r="MBS108" s="1" t="s">
        <v>122</v>
      </c>
      <c r="MBT108" s="1" t="s">
        <v>122</v>
      </c>
      <c r="MBU108" s="1" t="s">
        <v>122</v>
      </c>
      <c r="MBV108" s="1" t="s">
        <v>122</v>
      </c>
      <c r="MBW108" s="1" t="s">
        <v>122</v>
      </c>
      <c r="MBX108" s="1" t="s">
        <v>122</v>
      </c>
      <c r="MBY108" s="1" t="s">
        <v>122</v>
      </c>
      <c r="MBZ108" s="1" t="s">
        <v>122</v>
      </c>
      <c r="MCA108" s="1" t="s">
        <v>122</v>
      </c>
      <c r="MCB108" s="1" t="s">
        <v>122</v>
      </c>
      <c r="MCC108" s="1" t="s">
        <v>122</v>
      </c>
      <c r="MCD108" s="1" t="s">
        <v>122</v>
      </c>
      <c r="MCE108" s="1" t="s">
        <v>122</v>
      </c>
      <c r="MCF108" s="1" t="s">
        <v>122</v>
      </c>
      <c r="MCG108" s="1" t="s">
        <v>122</v>
      </c>
      <c r="MCH108" s="1" t="s">
        <v>122</v>
      </c>
      <c r="MCI108" s="1" t="s">
        <v>122</v>
      </c>
      <c r="MCJ108" s="1" t="s">
        <v>122</v>
      </c>
      <c r="MCK108" s="1" t="s">
        <v>122</v>
      </c>
      <c r="MCL108" s="1" t="s">
        <v>122</v>
      </c>
      <c r="MCM108" s="1" t="s">
        <v>122</v>
      </c>
      <c r="MCN108" s="1" t="s">
        <v>122</v>
      </c>
      <c r="MCO108" s="1" t="s">
        <v>122</v>
      </c>
      <c r="MCP108" s="1" t="s">
        <v>122</v>
      </c>
      <c r="MCQ108" s="1" t="s">
        <v>122</v>
      </c>
      <c r="MCR108" s="1" t="s">
        <v>122</v>
      </c>
      <c r="MCS108" s="1" t="s">
        <v>122</v>
      </c>
      <c r="MCT108" s="1" t="s">
        <v>122</v>
      </c>
      <c r="MCU108" s="1" t="s">
        <v>122</v>
      </c>
      <c r="MCV108" s="1" t="s">
        <v>122</v>
      </c>
      <c r="MCW108" s="1" t="s">
        <v>122</v>
      </c>
      <c r="MCX108" s="1" t="s">
        <v>122</v>
      </c>
      <c r="MCY108" s="1" t="s">
        <v>122</v>
      </c>
      <c r="MCZ108" s="1" t="s">
        <v>122</v>
      </c>
      <c r="MDA108" s="1" t="s">
        <v>122</v>
      </c>
      <c r="MDB108" s="1" t="s">
        <v>122</v>
      </c>
      <c r="MDC108" s="1" t="s">
        <v>122</v>
      </c>
      <c r="MDD108" s="1" t="s">
        <v>122</v>
      </c>
      <c r="MDE108" s="1" t="s">
        <v>122</v>
      </c>
      <c r="MDF108" s="1" t="s">
        <v>122</v>
      </c>
      <c r="MDG108" s="1" t="s">
        <v>122</v>
      </c>
      <c r="MDH108" s="1" t="s">
        <v>122</v>
      </c>
      <c r="MDI108" s="1" t="s">
        <v>122</v>
      </c>
      <c r="MDJ108" s="1" t="s">
        <v>122</v>
      </c>
      <c r="MDK108" s="1" t="s">
        <v>122</v>
      </c>
      <c r="MDL108" s="1" t="s">
        <v>122</v>
      </c>
      <c r="MDM108" s="1" t="s">
        <v>122</v>
      </c>
      <c r="MDN108" s="1" t="s">
        <v>122</v>
      </c>
      <c r="MDO108" s="1" t="s">
        <v>122</v>
      </c>
      <c r="MDP108" s="1" t="s">
        <v>122</v>
      </c>
      <c r="MDQ108" s="1" t="s">
        <v>122</v>
      </c>
      <c r="MDR108" s="1" t="s">
        <v>122</v>
      </c>
      <c r="MDS108" s="1" t="s">
        <v>122</v>
      </c>
      <c r="MDT108" s="1" t="s">
        <v>122</v>
      </c>
      <c r="MDU108" s="1" t="s">
        <v>122</v>
      </c>
      <c r="MDV108" s="1" t="s">
        <v>122</v>
      </c>
      <c r="MDW108" s="1" t="s">
        <v>122</v>
      </c>
      <c r="MDX108" s="1" t="s">
        <v>122</v>
      </c>
      <c r="MDY108" s="1" t="s">
        <v>122</v>
      </c>
      <c r="MDZ108" s="1" t="s">
        <v>122</v>
      </c>
      <c r="MEA108" s="1" t="s">
        <v>122</v>
      </c>
      <c r="MEB108" s="1" t="s">
        <v>122</v>
      </c>
      <c r="MEC108" s="1" t="s">
        <v>122</v>
      </c>
      <c r="MED108" s="1" t="s">
        <v>122</v>
      </c>
      <c r="MEE108" s="1" t="s">
        <v>122</v>
      </c>
      <c r="MEF108" s="1" t="s">
        <v>122</v>
      </c>
      <c r="MEG108" s="1" t="s">
        <v>122</v>
      </c>
      <c r="MEH108" s="1" t="s">
        <v>122</v>
      </c>
      <c r="MEI108" s="1" t="s">
        <v>122</v>
      </c>
      <c r="MEJ108" s="1" t="s">
        <v>122</v>
      </c>
      <c r="MEK108" s="1" t="s">
        <v>122</v>
      </c>
      <c r="MEL108" s="1" t="s">
        <v>122</v>
      </c>
      <c r="MEM108" s="1" t="s">
        <v>122</v>
      </c>
      <c r="MEN108" s="1" t="s">
        <v>122</v>
      </c>
      <c r="MEO108" s="1" t="s">
        <v>122</v>
      </c>
      <c r="MEP108" s="1" t="s">
        <v>122</v>
      </c>
      <c r="MEQ108" s="1" t="s">
        <v>122</v>
      </c>
      <c r="MER108" s="1" t="s">
        <v>122</v>
      </c>
      <c r="MES108" s="1" t="s">
        <v>122</v>
      </c>
      <c r="MET108" s="1" t="s">
        <v>122</v>
      </c>
      <c r="MEU108" s="1" t="s">
        <v>122</v>
      </c>
      <c r="MEV108" s="1" t="s">
        <v>122</v>
      </c>
      <c r="MEW108" s="1" t="s">
        <v>122</v>
      </c>
      <c r="MEX108" s="1" t="s">
        <v>122</v>
      </c>
      <c r="MEY108" s="1" t="s">
        <v>122</v>
      </c>
      <c r="MEZ108" s="1" t="s">
        <v>122</v>
      </c>
      <c r="MFA108" s="1" t="s">
        <v>122</v>
      </c>
      <c r="MFB108" s="1" t="s">
        <v>122</v>
      </c>
      <c r="MFC108" s="1" t="s">
        <v>122</v>
      </c>
      <c r="MFD108" s="1" t="s">
        <v>122</v>
      </c>
      <c r="MFE108" s="1" t="s">
        <v>122</v>
      </c>
      <c r="MFF108" s="1" t="s">
        <v>122</v>
      </c>
      <c r="MFG108" s="1" t="s">
        <v>122</v>
      </c>
      <c r="MFH108" s="1" t="s">
        <v>122</v>
      </c>
      <c r="MFI108" s="1" t="s">
        <v>122</v>
      </c>
      <c r="MFJ108" s="1" t="s">
        <v>122</v>
      </c>
      <c r="MFK108" s="1" t="s">
        <v>122</v>
      </c>
      <c r="MFL108" s="1" t="s">
        <v>122</v>
      </c>
      <c r="MFM108" s="1" t="s">
        <v>122</v>
      </c>
      <c r="MFN108" s="1" t="s">
        <v>122</v>
      </c>
      <c r="MFO108" s="1" t="s">
        <v>122</v>
      </c>
      <c r="MFP108" s="1" t="s">
        <v>122</v>
      </c>
      <c r="MFQ108" s="1" t="s">
        <v>122</v>
      </c>
      <c r="MFR108" s="1" t="s">
        <v>122</v>
      </c>
      <c r="MFS108" s="1" t="s">
        <v>122</v>
      </c>
      <c r="MFT108" s="1" t="s">
        <v>122</v>
      </c>
      <c r="MFU108" s="1" t="s">
        <v>122</v>
      </c>
      <c r="MFV108" s="1" t="s">
        <v>122</v>
      </c>
      <c r="MFW108" s="1" t="s">
        <v>122</v>
      </c>
      <c r="MFX108" s="1" t="s">
        <v>122</v>
      </c>
      <c r="MFY108" s="1" t="s">
        <v>122</v>
      </c>
      <c r="MFZ108" s="1" t="s">
        <v>122</v>
      </c>
      <c r="MGA108" s="1" t="s">
        <v>122</v>
      </c>
      <c r="MGB108" s="1" t="s">
        <v>122</v>
      </c>
      <c r="MGC108" s="1" t="s">
        <v>122</v>
      </c>
      <c r="MGD108" s="1" t="s">
        <v>122</v>
      </c>
      <c r="MGE108" s="1" t="s">
        <v>122</v>
      </c>
      <c r="MGF108" s="1" t="s">
        <v>122</v>
      </c>
      <c r="MGG108" s="1" t="s">
        <v>122</v>
      </c>
      <c r="MGH108" s="1" t="s">
        <v>122</v>
      </c>
      <c r="MGI108" s="1" t="s">
        <v>122</v>
      </c>
      <c r="MGJ108" s="1" t="s">
        <v>122</v>
      </c>
      <c r="MGK108" s="1" t="s">
        <v>122</v>
      </c>
      <c r="MGL108" s="1" t="s">
        <v>122</v>
      </c>
      <c r="MGM108" s="1" t="s">
        <v>122</v>
      </c>
      <c r="MGN108" s="1" t="s">
        <v>122</v>
      </c>
      <c r="MGO108" s="1" t="s">
        <v>122</v>
      </c>
      <c r="MGP108" s="1" t="s">
        <v>122</v>
      </c>
      <c r="MGQ108" s="1" t="s">
        <v>122</v>
      </c>
      <c r="MGR108" s="1" t="s">
        <v>122</v>
      </c>
      <c r="MGS108" s="1" t="s">
        <v>122</v>
      </c>
      <c r="MGT108" s="1" t="s">
        <v>122</v>
      </c>
      <c r="MGU108" s="1" t="s">
        <v>122</v>
      </c>
      <c r="MGV108" s="1" t="s">
        <v>122</v>
      </c>
      <c r="MGW108" s="1" t="s">
        <v>122</v>
      </c>
      <c r="MGX108" s="1" t="s">
        <v>122</v>
      </c>
      <c r="MGY108" s="1" t="s">
        <v>122</v>
      </c>
      <c r="MGZ108" s="1" t="s">
        <v>122</v>
      </c>
      <c r="MHA108" s="1" t="s">
        <v>122</v>
      </c>
      <c r="MHB108" s="1" t="s">
        <v>122</v>
      </c>
      <c r="MHC108" s="1" t="s">
        <v>122</v>
      </c>
      <c r="MHD108" s="1" t="s">
        <v>122</v>
      </c>
      <c r="MHE108" s="1" t="s">
        <v>122</v>
      </c>
      <c r="MHF108" s="1" t="s">
        <v>122</v>
      </c>
      <c r="MHG108" s="1" t="s">
        <v>122</v>
      </c>
      <c r="MHH108" s="1" t="s">
        <v>122</v>
      </c>
      <c r="MHI108" s="1" t="s">
        <v>122</v>
      </c>
      <c r="MHJ108" s="1" t="s">
        <v>122</v>
      </c>
      <c r="MHK108" s="1" t="s">
        <v>122</v>
      </c>
      <c r="MHL108" s="1" t="s">
        <v>122</v>
      </c>
      <c r="MHM108" s="1" t="s">
        <v>122</v>
      </c>
      <c r="MHN108" s="1" t="s">
        <v>122</v>
      </c>
      <c r="MHO108" s="1" t="s">
        <v>122</v>
      </c>
      <c r="MHP108" s="1" t="s">
        <v>122</v>
      </c>
      <c r="MHQ108" s="1" t="s">
        <v>122</v>
      </c>
      <c r="MHR108" s="1" t="s">
        <v>122</v>
      </c>
      <c r="MHS108" s="1" t="s">
        <v>122</v>
      </c>
      <c r="MHT108" s="1" t="s">
        <v>122</v>
      </c>
      <c r="MHU108" s="1" t="s">
        <v>122</v>
      </c>
      <c r="MHV108" s="1" t="s">
        <v>122</v>
      </c>
      <c r="MHW108" s="1" t="s">
        <v>122</v>
      </c>
      <c r="MHX108" s="1" t="s">
        <v>122</v>
      </c>
      <c r="MHY108" s="1" t="s">
        <v>122</v>
      </c>
      <c r="MHZ108" s="1" t="s">
        <v>122</v>
      </c>
      <c r="MIA108" s="1" t="s">
        <v>122</v>
      </c>
      <c r="MIB108" s="1" t="s">
        <v>122</v>
      </c>
      <c r="MIC108" s="1" t="s">
        <v>122</v>
      </c>
      <c r="MID108" s="1" t="s">
        <v>122</v>
      </c>
      <c r="MIE108" s="1" t="s">
        <v>122</v>
      </c>
      <c r="MIF108" s="1" t="s">
        <v>122</v>
      </c>
      <c r="MIG108" s="1" t="s">
        <v>122</v>
      </c>
      <c r="MIH108" s="1" t="s">
        <v>122</v>
      </c>
      <c r="MII108" s="1" t="s">
        <v>122</v>
      </c>
      <c r="MIJ108" s="1" t="s">
        <v>122</v>
      </c>
      <c r="MIK108" s="1" t="s">
        <v>122</v>
      </c>
      <c r="MIL108" s="1" t="s">
        <v>122</v>
      </c>
      <c r="MIM108" s="1" t="s">
        <v>122</v>
      </c>
      <c r="MIN108" s="1" t="s">
        <v>122</v>
      </c>
      <c r="MIO108" s="1" t="s">
        <v>122</v>
      </c>
      <c r="MIP108" s="1" t="s">
        <v>122</v>
      </c>
      <c r="MIQ108" s="1" t="s">
        <v>122</v>
      </c>
      <c r="MIR108" s="1" t="s">
        <v>122</v>
      </c>
      <c r="MIS108" s="1" t="s">
        <v>122</v>
      </c>
      <c r="MIT108" s="1" t="s">
        <v>122</v>
      </c>
      <c r="MIU108" s="1" t="s">
        <v>122</v>
      </c>
      <c r="MIV108" s="1" t="s">
        <v>122</v>
      </c>
      <c r="MIW108" s="1" t="s">
        <v>122</v>
      </c>
      <c r="MIX108" s="1" t="s">
        <v>122</v>
      </c>
      <c r="MIY108" s="1" t="s">
        <v>122</v>
      </c>
      <c r="MIZ108" s="1" t="s">
        <v>122</v>
      </c>
      <c r="MJA108" s="1" t="s">
        <v>122</v>
      </c>
      <c r="MJB108" s="1" t="s">
        <v>122</v>
      </c>
      <c r="MJC108" s="1" t="s">
        <v>122</v>
      </c>
      <c r="MJD108" s="1" t="s">
        <v>122</v>
      </c>
      <c r="MJE108" s="1" t="s">
        <v>122</v>
      </c>
      <c r="MJF108" s="1" t="s">
        <v>122</v>
      </c>
      <c r="MJG108" s="1" t="s">
        <v>122</v>
      </c>
      <c r="MJH108" s="1" t="s">
        <v>122</v>
      </c>
      <c r="MJI108" s="1" t="s">
        <v>122</v>
      </c>
      <c r="MJJ108" s="1" t="s">
        <v>122</v>
      </c>
      <c r="MJK108" s="1" t="s">
        <v>122</v>
      </c>
      <c r="MJL108" s="1" t="s">
        <v>122</v>
      </c>
      <c r="MJM108" s="1" t="s">
        <v>122</v>
      </c>
      <c r="MJN108" s="1" t="s">
        <v>122</v>
      </c>
      <c r="MJO108" s="1" t="s">
        <v>122</v>
      </c>
      <c r="MJP108" s="1" t="s">
        <v>122</v>
      </c>
      <c r="MJQ108" s="1" t="s">
        <v>122</v>
      </c>
      <c r="MJR108" s="1" t="s">
        <v>122</v>
      </c>
      <c r="MJS108" s="1" t="s">
        <v>122</v>
      </c>
      <c r="MJT108" s="1" t="s">
        <v>122</v>
      </c>
      <c r="MJU108" s="1" t="s">
        <v>122</v>
      </c>
      <c r="MJV108" s="1" t="s">
        <v>122</v>
      </c>
      <c r="MJW108" s="1" t="s">
        <v>122</v>
      </c>
      <c r="MJX108" s="1" t="s">
        <v>122</v>
      </c>
      <c r="MJY108" s="1" t="s">
        <v>122</v>
      </c>
      <c r="MJZ108" s="1" t="s">
        <v>122</v>
      </c>
      <c r="MKA108" s="1" t="s">
        <v>122</v>
      </c>
      <c r="MKB108" s="1" t="s">
        <v>122</v>
      </c>
      <c r="MKC108" s="1" t="s">
        <v>122</v>
      </c>
      <c r="MKD108" s="1" t="s">
        <v>122</v>
      </c>
      <c r="MKE108" s="1" t="s">
        <v>122</v>
      </c>
      <c r="MKF108" s="1" t="s">
        <v>122</v>
      </c>
      <c r="MKG108" s="1" t="s">
        <v>122</v>
      </c>
      <c r="MKH108" s="1" t="s">
        <v>122</v>
      </c>
      <c r="MKI108" s="1" t="s">
        <v>122</v>
      </c>
      <c r="MKJ108" s="1" t="s">
        <v>122</v>
      </c>
      <c r="MKK108" s="1" t="s">
        <v>122</v>
      </c>
      <c r="MKL108" s="1" t="s">
        <v>122</v>
      </c>
      <c r="MKM108" s="1" t="s">
        <v>122</v>
      </c>
      <c r="MKN108" s="1" t="s">
        <v>122</v>
      </c>
      <c r="MKO108" s="1" t="s">
        <v>122</v>
      </c>
      <c r="MKP108" s="1" t="s">
        <v>122</v>
      </c>
      <c r="MKQ108" s="1" t="s">
        <v>122</v>
      </c>
      <c r="MKR108" s="1" t="s">
        <v>122</v>
      </c>
      <c r="MKS108" s="1" t="s">
        <v>122</v>
      </c>
      <c r="MKT108" s="1" t="s">
        <v>122</v>
      </c>
      <c r="MKU108" s="1" t="s">
        <v>122</v>
      </c>
      <c r="MKV108" s="1" t="s">
        <v>122</v>
      </c>
      <c r="MKW108" s="1" t="s">
        <v>122</v>
      </c>
      <c r="MKX108" s="1" t="s">
        <v>122</v>
      </c>
      <c r="MKY108" s="1" t="s">
        <v>122</v>
      </c>
      <c r="MKZ108" s="1" t="s">
        <v>122</v>
      </c>
      <c r="MLA108" s="1" t="s">
        <v>122</v>
      </c>
      <c r="MLB108" s="1" t="s">
        <v>122</v>
      </c>
      <c r="MLC108" s="1" t="s">
        <v>122</v>
      </c>
      <c r="MLD108" s="1" t="s">
        <v>122</v>
      </c>
      <c r="MLE108" s="1" t="s">
        <v>122</v>
      </c>
      <c r="MLF108" s="1" t="s">
        <v>122</v>
      </c>
      <c r="MLG108" s="1" t="s">
        <v>122</v>
      </c>
      <c r="MLH108" s="1" t="s">
        <v>122</v>
      </c>
      <c r="MLI108" s="1" t="s">
        <v>122</v>
      </c>
      <c r="MLJ108" s="1" t="s">
        <v>122</v>
      </c>
      <c r="MLK108" s="1" t="s">
        <v>122</v>
      </c>
      <c r="MLL108" s="1" t="s">
        <v>122</v>
      </c>
      <c r="MLM108" s="1" t="s">
        <v>122</v>
      </c>
      <c r="MLN108" s="1" t="s">
        <v>122</v>
      </c>
      <c r="MLO108" s="1" t="s">
        <v>122</v>
      </c>
      <c r="MLP108" s="1" t="s">
        <v>122</v>
      </c>
      <c r="MLQ108" s="1" t="s">
        <v>122</v>
      </c>
      <c r="MLR108" s="1" t="s">
        <v>122</v>
      </c>
      <c r="MLS108" s="1" t="s">
        <v>122</v>
      </c>
      <c r="MLT108" s="1" t="s">
        <v>122</v>
      </c>
      <c r="MLU108" s="1" t="s">
        <v>122</v>
      </c>
      <c r="MLV108" s="1" t="s">
        <v>122</v>
      </c>
      <c r="MLW108" s="1" t="s">
        <v>122</v>
      </c>
      <c r="MLX108" s="1" t="s">
        <v>122</v>
      </c>
      <c r="MLY108" s="1" t="s">
        <v>122</v>
      </c>
      <c r="MLZ108" s="1" t="s">
        <v>122</v>
      </c>
      <c r="MMA108" s="1" t="s">
        <v>122</v>
      </c>
      <c r="MMB108" s="1" t="s">
        <v>122</v>
      </c>
      <c r="MMC108" s="1" t="s">
        <v>122</v>
      </c>
      <c r="MMD108" s="1" t="s">
        <v>122</v>
      </c>
      <c r="MME108" s="1" t="s">
        <v>122</v>
      </c>
      <c r="MMF108" s="1" t="s">
        <v>122</v>
      </c>
      <c r="MMG108" s="1" t="s">
        <v>122</v>
      </c>
      <c r="MMH108" s="1" t="s">
        <v>122</v>
      </c>
      <c r="MMI108" s="1" t="s">
        <v>122</v>
      </c>
      <c r="MMJ108" s="1" t="s">
        <v>122</v>
      </c>
      <c r="MMK108" s="1" t="s">
        <v>122</v>
      </c>
      <c r="MML108" s="1" t="s">
        <v>122</v>
      </c>
      <c r="MMM108" s="1" t="s">
        <v>122</v>
      </c>
      <c r="MMN108" s="1" t="s">
        <v>122</v>
      </c>
      <c r="MMO108" s="1" t="s">
        <v>122</v>
      </c>
      <c r="MMP108" s="1" t="s">
        <v>122</v>
      </c>
      <c r="MMQ108" s="1" t="s">
        <v>122</v>
      </c>
      <c r="MMR108" s="1" t="s">
        <v>122</v>
      </c>
      <c r="MMS108" s="1" t="s">
        <v>122</v>
      </c>
      <c r="MMT108" s="1" t="s">
        <v>122</v>
      </c>
      <c r="MMU108" s="1" t="s">
        <v>122</v>
      </c>
      <c r="MMV108" s="1" t="s">
        <v>122</v>
      </c>
      <c r="MMW108" s="1" t="s">
        <v>122</v>
      </c>
      <c r="MMX108" s="1" t="s">
        <v>122</v>
      </c>
      <c r="MMY108" s="1" t="s">
        <v>122</v>
      </c>
      <c r="MMZ108" s="1" t="s">
        <v>122</v>
      </c>
      <c r="MNA108" s="1" t="s">
        <v>122</v>
      </c>
      <c r="MNB108" s="1" t="s">
        <v>122</v>
      </c>
      <c r="MNC108" s="1" t="s">
        <v>122</v>
      </c>
      <c r="MND108" s="1" t="s">
        <v>122</v>
      </c>
      <c r="MNE108" s="1" t="s">
        <v>122</v>
      </c>
      <c r="MNF108" s="1" t="s">
        <v>122</v>
      </c>
      <c r="MNG108" s="1" t="s">
        <v>122</v>
      </c>
      <c r="MNH108" s="1" t="s">
        <v>122</v>
      </c>
      <c r="MNI108" s="1" t="s">
        <v>122</v>
      </c>
      <c r="MNJ108" s="1" t="s">
        <v>122</v>
      </c>
      <c r="MNK108" s="1" t="s">
        <v>122</v>
      </c>
      <c r="MNL108" s="1" t="s">
        <v>122</v>
      </c>
      <c r="MNM108" s="1" t="s">
        <v>122</v>
      </c>
      <c r="MNN108" s="1" t="s">
        <v>122</v>
      </c>
      <c r="MNO108" s="1" t="s">
        <v>122</v>
      </c>
      <c r="MNP108" s="1" t="s">
        <v>122</v>
      </c>
      <c r="MNQ108" s="1" t="s">
        <v>122</v>
      </c>
      <c r="MNR108" s="1" t="s">
        <v>122</v>
      </c>
      <c r="MNS108" s="1" t="s">
        <v>122</v>
      </c>
      <c r="MNT108" s="1" t="s">
        <v>122</v>
      </c>
      <c r="MNU108" s="1" t="s">
        <v>122</v>
      </c>
      <c r="MNV108" s="1" t="s">
        <v>122</v>
      </c>
      <c r="MNW108" s="1" t="s">
        <v>122</v>
      </c>
      <c r="MNX108" s="1" t="s">
        <v>122</v>
      </c>
      <c r="MNY108" s="1" t="s">
        <v>122</v>
      </c>
      <c r="MNZ108" s="1" t="s">
        <v>122</v>
      </c>
      <c r="MOA108" s="1" t="s">
        <v>122</v>
      </c>
      <c r="MOB108" s="1" t="s">
        <v>122</v>
      </c>
      <c r="MOC108" s="1" t="s">
        <v>122</v>
      </c>
      <c r="MOD108" s="1" t="s">
        <v>122</v>
      </c>
      <c r="MOE108" s="1" t="s">
        <v>122</v>
      </c>
      <c r="MOF108" s="1" t="s">
        <v>122</v>
      </c>
      <c r="MOG108" s="1" t="s">
        <v>122</v>
      </c>
      <c r="MOH108" s="1" t="s">
        <v>122</v>
      </c>
      <c r="MOI108" s="1" t="s">
        <v>122</v>
      </c>
      <c r="MOJ108" s="1" t="s">
        <v>122</v>
      </c>
      <c r="MOK108" s="1" t="s">
        <v>122</v>
      </c>
      <c r="MOL108" s="1" t="s">
        <v>122</v>
      </c>
      <c r="MOM108" s="1" t="s">
        <v>122</v>
      </c>
      <c r="MON108" s="1" t="s">
        <v>122</v>
      </c>
      <c r="MOO108" s="1" t="s">
        <v>122</v>
      </c>
      <c r="MOP108" s="1" t="s">
        <v>122</v>
      </c>
      <c r="MOQ108" s="1" t="s">
        <v>122</v>
      </c>
      <c r="MOR108" s="1" t="s">
        <v>122</v>
      </c>
      <c r="MOS108" s="1" t="s">
        <v>122</v>
      </c>
      <c r="MOT108" s="1" t="s">
        <v>122</v>
      </c>
      <c r="MOU108" s="1" t="s">
        <v>122</v>
      </c>
      <c r="MOV108" s="1" t="s">
        <v>122</v>
      </c>
      <c r="MOW108" s="1" t="s">
        <v>122</v>
      </c>
      <c r="MOX108" s="1" t="s">
        <v>122</v>
      </c>
      <c r="MOY108" s="1" t="s">
        <v>122</v>
      </c>
      <c r="MOZ108" s="1" t="s">
        <v>122</v>
      </c>
      <c r="MPA108" s="1" t="s">
        <v>122</v>
      </c>
      <c r="MPB108" s="1" t="s">
        <v>122</v>
      </c>
      <c r="MPC108" s="1" t="s">
        <v>122</v>
      </c>
      <c r="MPD108" s="1" t="s">
        <v>122</v>
      </c>
      <c r="MPE108" s="1" t="s">
        <v>122</v>
      </c>
      <c r="MPF108" s="1" t="s">
        <v>122</v>
      </c>
      <c r="MPG108" s="1" t="s">
        <v>122</v>
      </c>
      <c r="MPH108" s="1" t="s">
        <v>122</v>
      </c>
      <c r="MPI108" s="1" t="s">
        <v>122</v>
      </c>
      <c r="MPJ108" s="1" t="s">
        <v>122</v>
      </c>
      <c r="MPK108" s="1" t="s">
        <v>122</v>
      </c>
      <c r="MPL108" s="1" t="s">
        <v>122</v>
      </c>
      <c r="MPM108" s="1" t="s">
        <v>122</v>
      </c>
      <c r="MPN108" s="1" t="s">
        <v>122</v>
      </c>
      <c r="MPO108" s="1" t="s">
        <v>122</v>
      </c>
      <c r="MPP108" s="1" t="s">
        <v>122</v>
      </c>
      <c r="MPQ108" s="1" t="s">
        <v>122</v>
      </c>
      <c r="MPR108" s="1" t="s">
        <v>122</v>
      </c>
      <c r="MPS108" s="1" t="s">
        <v>122</v>
      </c>
      <c r="MPT108" s="1" t="s">
        <v>122</v>
      </c>
      <c r="MPU108" s="1" t="s">
        <v>122</v>
      </c>
      <c r="MPV108" s="1" t="s">
        <v>122</v>
      </c>
      <c r="MPW108" s="1" t="s">
        <v>122</v>
      </c>
      <c r="MPX108" s="1" t="s">
        <v>122</v>
      </c>
      <c r="MPY108" s="1" t="s">
        <v>122</v>
      </c>
      <c r="MPZ108" s="1" t="s">
        <v>122</v>
      </c>
      <c r="MQA108" s="1" t="s">
        <v>122</v>
      </c>
      <c r="MQB108" s="1" t="s">
        <v>122</v>
      </c>
      <c r="MQC108" s="1" t="s">
        <v>122</v>
      </c>
      <c r="MQD108" s="1" t="s">
        <v>122</v>
      </c>
      <c r="MQE108" s="1" t="s">
        <v>122</v>
      </c>
      <c r="MQF108" s="1" t="s">
        <v>122</v>
      </c>
      <c r="MQG108" s="1" t="s">
        <v>122</v>
      </c>
      <c r="MQH108" s="1" t="s">
        <v>122</v>
      </c>
      <c r="MQI108" s="1" t="s">
        <v>122</v>
      </c>
      <c r="MQJ108" s="1" t="s">
        <v>122</v>
      </c>
      <c r="MQK108" s="1" t="s">
        <v>122</v>
      </c>
      <c r="MQL108" s="1" t="s">
        <v>122</v>
      </c>
      <c r="MQM108" s="1" t="s">
        <v>122</v>
      </c>
      <c r="MQN108" s="1" t="s">
        <v>122</v>
      </c>
      <c r="MQO108" s="1" t="s">
        <v>122</v>
      </c>
      <c r="MQP108" s="1" t="s">
        <v>122</v>
      </c>
      <c r="MQQ108" s="1" t="s">
        <v>122</v>
      </c>
      <c r="MQR108" s="1" t="s">
        <v>122</v>
      </c>
      <c r="MQS108" s="1" t="s">
        <v>122</v>
      </c>
      <c r="MQT108" s="1" t="s">
        <v>122</v>
      </c>
      <c r="MQU108" s="1" t="s">
        <v>122</v>
      </c>
      <c r="MQV108" s="1" t="s">
        <v>122</v>
      </c>
      <c r="MQW108" s="1" t="s">
        <v>122</v>
      </c>
      <c r="MQX108" s="1" t="s">
        <v>122</v>
      </c>
      <c r="MQY108" s="1" t="s">
        <v>122</v>
      </c>
      <c r="MQZ108" s="1" t="s">
        <v>122</v>
      </c>
      <c r="MRA108" s="1" t="s">
        <v>122</v>
      </c>
      <c r="MRB108" s="1" t="s">
        <v>122</v>
      </c>
      <c r="MRC108" s="1" t="s">
        <v>122</v>
      </c>
      <c r="MRD108" s="1" t="s">
        <v>122</v>
      </c>
      <c r="MRE108" s="1" t="s">
        <v>122</v>
      </c>
      <c r="MRF108" s="1" t="s">
        <v>122</v>
      </c>
      <c r="MRG108" s="1" t="s">
        <v>122</v>
      </c>
      <c r="MRH108" s="1" t="s">
        <v>122</v>
      </c>
      <c r="MRI108" s="1" t="s">
        <v>122</v>
      </c>
      <c r="MRJ108" s="1" t="s">
        <v>122</v>
      </c>
      <c r="MRK108" s="1" t="s">
        <v>122</v>
      </c>
      <c r="MRL108" s="1" t="s">
        <v>122</v>
      </c>
      <c r="MRM108" s="1" t="s">
        <v>122</v>
      </c>
      <c r="MRN108" s="1" t="s">
        <v>122</v>
      </c>
      <c r="MRO108" s="1" t="s">
        <v>122</v>
      </c>
      <c r="MRP108" s="1" t="s">
        <v>122</v>
      </c>
      <c r="MRQ108" s="1" t="s">
        <v>122</v>
      </c>
      <c r="MRR108" s="1" t="s">
        <v>122</v>
      </c>
      <c r="MRS108" s="1" t="s">
        <v>122</v>
      </c>
      <c r="MRT108" s="1" t="s">
        <v>122</v>
      </c>
      <c r="MRU108" s="1" t="s">
        <v>122</v>
      </c>
      <c r="MRV108" s="1" t="s">
        <v>122</v>
      </c>
      <c r="MRW108" s="1" t="s">
        <v>122</v>
      </c>
      <c r="MRX108" s="1" t="s">
        <v>122</v>
      </c>
      <c r="MRY108" s="1" t="s">
        <v>122</v>
      </c>
      <c r="MRZ108" s="1" t="s">
        <v>122</v>
      </c>
      <c r="MSA108" s="1" t="s">
        <v>122</v>
      </c>
      <c r="MSB108" s="1" t="s">
        <v>122</v>
      </c>
      <c r="MSC108" s="1" t="s">
        <v>122</v>
      </c>
      <c r="MSD108" s="1" t="s">
        <v>122</v>
      </c>
      <c r="MSE108" s="1" t="s">
        <v>122</v>
      </c>
      <c r="MSF108" s="1" t="s">
        <v>122</v>
      </c>
      <c r="MSG108" s="1" t="s">
        <v>122</v>
      </c>
      <c r="MSH108" s="1" t="s">
        <v>122</v>
      </c>
      <c r="MSI108" s="1" t="s">
        <v>122</v>
      </c>
      <c r="MSJ108" s="1" t="s">
        <v>122</v>
      </c>
      <c r="MSK108" s="1" t="s">
        <v>122</v>
      </c>
      <c r="MSL108" s="1" t="s">
        <v>122</v>
      </c>
      <c r="MSM108" s="1" t="s">
        <v>122</v>
      </c>
      <c r="MSN108" s="1" t="s">
        <v>122</v>
      </c>
      <c r="MSO108" s="1" t="s">
        <v>122</v>
      </c>
      <c r="MSP108" s="1" t="s">
        <v>122</v>
      </c>
      <c r="MSQ108" s="1" t="s">
        <v>122</v>
      </c>
      <c r="MSR108" s="1" t="s">
        <v>122</v>
      </c>
      <c r="MSS108" s="1" t="s">
        <v>122</v>
      </c>
      <c r="MST108" s="1" t="s">
        <v>122</v>
      </c>
      <c r="MSU108" s="1" t="s">
        <v>122</v>
      </c>
      <c r="MSV108" s="1" t="s">
        <v>122</v>
      </c>
      <c r="MSW108" s="1" t="s">
        <v>122</v>
      </c>
      <c r="MSX108" s="1" t="s">
        <v>122</v>
      </c>
      <c r="MSY108" s="1" t="s">
        <v>122</v>
      </c>
      <c r="MSZ108" s="1" t="s">
        <v>122</v>
      </c>
      <c r="MTA108" s="1" t="s">
        <v>122</v>
      </c>
      <c r="MTB108" s="1" t="s">
        <v>122</v>
      </c>
      <c r="MTC108" s="1" t="s">
        <v>122</v>
      </c>
      <c r="MTD108" s="1" t="s">
        <v>122</v>
      </c>
      <c r="MTE108" s="1" t="s">
        <v>122</v>
      </c>
      <c r="MTF108" s="1" t="s">
        <v>122</v>
      </c>
      <c r="MTG108" s="1" t="s">
        <v>122</v>
      </c>
      <c r="MTH108" s="1" t="s">
        <v>122</v>
      </c>
      <c r="MTI108" s="1" t="s">
        <v>122</v>
      </c>
      <c r="MTJ108" s="1" t="s">
        <v>122</v>
      </c>
      <c r="MTK108" s="1" t="s">
        <v>122</v>
      </c>
      <c r="MTL108" s="1" t="s">
        <v>122</v>
      </c>
      <c r="MTM108" s="1" t="s">
        <v>122</v>
      </c>
      <c r="MTN108" s="1" t="s">
        <v>122</v>
      </c>
      <c r="MTO108" s="1" t="s">
        <v>122</v>
      </c>
      <c r="MTP108" s="1" t="s">
        <v>122</v>
      </c>
      <c r="MTQ108" s="1" t="s">
        <v>122</v>
      </c>
      <c r="MTR108" s="1" t="s">
        <v>122</v>
      </c>
      <c r="MTS108" s="1" t="s">
        <v>122</v>
      </c>
      <c r="MTT108" s="1" t="s">
        <v>122</v>
      </c>
      <c r="MTU108" s="1" t="s">
        <v>122</v>
      </c>
      <c r="MTV108" s="1" t="s">
        <v>122</v>
      </c>
      <c r="MTW108" s="1" t="s">
        <v>122</v>
      </c>
      <c r="MTX108" s="1" t="s">
        <v>122</v>
      </c>
      <c r="MTY108" s="1" t="s">
        <v>122</v>
      </c>
      <c r="MTZ108" s="1" t="s">
        <v>122</v>
      </c>
      <c r="MUA108" s="1" t="s">
        <v>122</v>
      </c>
      <c r="MUB108" s="1" t="s">
        <v>122</v>
      </c>
      <c r="MUC108" s="1" t="s">
        <v>122</v>
      </c>
      <c r="MUD108" s="1" t="s">
        <v>122</v>
      </c>
      <c r="MUE108" s="1" t="s">
        <v>122</v>
      </c>
      <c r="MUF108" s="1" t="s">
        <v>122</v>
      </c>
      <c r="MUG108" s="1" t="s">
        <v>122</v>
      </c>
      <c r="MUH108" s="1" t="s">
        <v>122</v>
      </c>
      <c r="MUI108" s="1" t="s">
        <v>122</v>
      </c>
      <c r="MUJ108" s="1" t="s">
        <v>122</v>
      </c>
      <c r="MUK108" s="1" t="s">
        <v>122</v>
      </c>
      <c r="MUL108" s="1" t="s">
        <v>122</v>
      </c>
      <c r="MUM108" s="1" t="s">
        <v>122</v>
      </c>
      <c r="MUN108" s="1" t="s">
        <v>122</v>
      </c>
      <c r="MUO108" s="1" t="s">
        <v>122</v>
      </c>
      <c r="MUP108" s="1" t="s">
        <v>122</v>
      </c>
      <c r="MUQ108" s="1" t="s">
        <v>122</v>
      </c>
      <c r="MUR108" s="1" t="s">
        <v>122</v>
      </c>
      <c r="MUS108" s="1" t="s">
        <v>122</v>
      </c>
      <c r="MUT108" s="1" t="s">
        <v>122</v>
      </c>
      <c r="MUU108" s="1" t="s">
        <v>122</v>
      </c>
      <c r="MUV108" s="1" t="s">
        <v>122</v>
      </c>
      <c r="MUW108" s="1" t="s">
        <v>122</v>
      </c>
      <c r="MUX108" s="1" t="s">
        <v>122</v>
      </c>
      <c r="MUY108" s="1" t="s">
        <v>122</v>
      </c>
      <c r="MUZ108" s="1" t="s">
        <v>122</v>
      </c>
      <c r="MVA108" s="1" t="s">
        <v>122</v>
      </c>
      <c r="MVB108" s="1" t="s">
        <v>122</v>
      </c>
      <c r="MVC108" s="1" t="s">
        <v>122</v>
      </c>
      <c r="MVD108" s="1" t="s">
        <v>122</v>
      </c>
      <c r="MVE108" s="1" t="s">
        <v>122</v>
      </c>
      <c r="MVF108" s="1" t="s">
        <v>122</v>
      </c>
      <c r="MVG108" s="1" t="s">
        <v>122</v>
      </c>
      <c r="MVH108" s="1" t="s">
        <v>122</v>
      </c>
      <c r="MVI108" s="1" t="s">
        <v>122</v>
      </c>
      <c r="MVJ108" s="1" t="s">
        <v>122</v>
      </c>
      <c r="MVK108" s="1" t="s">
        <v>122</v>
      </c>
      <c r="MVL108" s="1" t="s">
        <v>122</v>
      </c>
      <c r="MVM108" s="1" t="s">
        <v>122</v>
      </c>
      <c r="MVN108" s="1" t="s">
        <v>122</v>
      </c>
      <c r="MVO108" s="1" t="s">
        <v>122</v>
      </c>
      <c r="MVP108" s="1" t="s">
        <v>122</v>
      </c>
      <c r="MVQ108" s="1" t="s">
        <v>122</v>
      </c>
      <c r="MVR108" s="1" t="s">
        <v>122</v>
      </c>
      <c r="MVS108" s="1" t="s">
        <v>122</v>
      </c>
      <c r="MVT108" s="1" t="s">
        <v>122</v>
      </c>
      <c r="MVU108" s="1" t="s">
        <v>122</v>
      </c>
      <c r="MVV108" s="1" t="s">
        <v>122</v>
      </c>
      <c r="MVW108" s="1" t="s">
        <v>122</v>
      </c>
      <c r="MVX108" s="1" t="s">
        <v>122</v>
      </c>
      <c r="MVY108" s="1" t="s">
        <v>122</v>
      </c>
      <c r="MVZ108" s="1" t="s">
        <v>122</v>
      </c>
      <c r="MWA108" s="1" t="s">
        <v>122</v>
      </c>
      <c r="MWB108" s="1" t="s">
        <v>122</v>
      </c>
      <c r="MWC108" s="1" t="s">
        <v>122</v>
      </c>
      <c r="MWD108" s="1" t="s">
        <v>122</v>
      </c>
      <c r="MWE108" s="1" t="s">
        <v>122</v>
      </c>
      <c r="MWF108" s="1" t="s">
        <v>122</v>
      </c>
      <c r="MWG108" s="1" t="s">
        <v>122</v>
      </c>
      <c r="MWH108" s="1" t="s">
        <v>122</v>
      </c>
      <c r="MWI108" s="1" t="s">
        <v>122</v>
      </c>
      <c r="MWJ108" s="1" t="s">
        <v>122</v>
      </c>
      <c r="MWK108" s="1" t="s">
        <v>122</v>
      </c>
      <c r="MWL108" s="1" t="s">
        <v>122</v>
      </c>
      <c r="MWM108" s="1" t="s">
        <v>122</v>
      </c>
      <c r="MWN108" s="1" t="s">
        <v>122</v>
      </c>
      <c r="MWO108" s="1" t="s">
        <v>122</v>
      </c>
      <c r="MWP108" s="1" t="s">
        <v>122</v>
      </c>
      <c r="MWQ108" s="1" t="s">
        <v>122</v>
      </c>
      <c r="MWR108" s="1" t="s">
        <v>122</v>
      </c>
      <c r="MWS108" s="1" t="s">
        <v>122</v>
      </c>
      <c r="MWT108" s="1" t="s">
        <v>122</v>
      </c>
      <c r="MWU108" s="1" t="s">
        <v>122</v>
      </c>
      <c r="MWV108" s="1" t="s">
        <v>122</v>
      </c>
      <c r="MWW108" s="1" t="s">
        <v>122</v>
      </c>
      <c r="MWX108" s="1" t="s">
        <v>122</v>
      </c>
      <c r="MWY108" s="1" t="s">
        <v>122</v>
      </c>
      <c r="MWZ108" s="1" t="s">
        <v>122</v>
      </c>
      <c r="MXA108" s="1" t="s">
        <v>122</v>
      </c>
      <c r="MXB108" s="1" t="s">
        <v>122</v>
      </c>
      <c r="MXC108" s="1" t="s">
        <v>122</v>
      </c>
      <c r="MXD108" s="1" t="s">
        <v>122</v>
      </c>
      <c r="MXE108" s="1" t="s">
        <v>122</v>
      </c>
      <c r="MXF108" s="1" t="s">
        <v>122</v>
      </c>
      <c r="MXG108" s="1" t="s">
        <v>122</v>
      </c>
      <c r="MXH108" s="1" t="s">
        <v>122</v>
      </c>
      <c r="MXI108" s="1" t="s">
        <v>122</v>
      </c>
      <c r="MXJ108" s="1" t="s">
        <v>122</v>
      </c>
      <c r="MXK108" s="1" t="s">
        <v>122</v>
      </c>
      <c r="MXL108" s="1" t="s">
        <v>122</v>
      </c>
      <c r="MXM108" s="1" t="s">
        <v>122</v>
      </c>
      <c r="MXN108" s="1" t="s">
        <v>122</v>
      </c>
      <c r="MXO108" s="1" t="s">
        <v>122</v>
      </c>
      <c r="MXP108" s="1" t="s">
        <v>122</v>
      </c>
      <c r="MXQ108" s="1" t="s">
        <v>122</v>
      </c>
      <c r="MXR108" s="1" t="s">
        <v>122</v>
      </c>
      <c r="MXS108" s="1" t="s">
        <v>122</v>
      </c>
      <c r="MXT108" s="1" t="s">
        <v>122</v>
      </c>
      <c r="MXU108" s="1" t="s">
        <v>122</v>
      </c>
      <c r="MXV108" s="1" t="s">
        <v>122</v>
      </c>
      <c r="MXW108" s="1" t="s">
        <v>122</v>
      </c>
      <c r="MXX108" s="1" t="s">
        <v>122</v>
      </c>
      <c r="MXY108" s="1" t="s">
        <v>122</v>
      </c>
      <c r="MXZ108" s="1" t="s">
        <v>122</v>
      </c>
      <c r="MYA108" s="1" t="s">
        <v>122</v>
      </c>
      <c r="MYB108" s="1" t="s">
        <v>122</v>
      </c>
      <c r="MYC108" s="1" t="s">
        <v>122</v>
      </c>
      <c r="MYD108" s="1" t="s">
        <v>122</v>
      </c>
      <c r="MYE108" s="1" t="s">
        <v>122</v>
      </c>
      <c r="MYF108" s="1" t="s">
        <v>122</v>
      </c>
      <c r="MYG108" s="1" t="s">
        <v>122</v>
      </c>
      <c r="MYH108" s="1" t="s">
        <v>122</v>
      </c>
      <c r="MYI108" s="1" t="s">
        <v>122</v>
      </c>
      <c r="MYJ108" s="1" t="s">
        <v>122</v>
      </c>
      <c r="MYK108" s="1" t="s">
        <v>122</v>
      </c>
      <c r="MYL108" s="1" t="s">
        <v>122</v>
      </c>
      <c r="MYM108" s="1" t="s">
        <v>122</v>
      </c>
      <c r="MYN108" s="1" t="s">
        <v>122</v>
      </c>
      <c r="MYO108" s="1" t="s">
        <v>122</v>
      </c>
      <c r="MYP108" s="1" t="s">
        <v>122</v>
      </c>
      <c r="MYQ108" s="1" t="s">
        <v>122</v>
      </c>
      <c r="MYR108" s="1" t="s">
        <v>122</v>
      </c>
      <c r="MYS108" s="1" t="s">
        <v>122</v>
      </c>
      <c r="MYT108" s="1" t="s">
        <v>122</v>
      </c>
      <c r="MYU108" s="1" t="s">
        <v>122</v>
      </c>
      <c r="MYV108" s="1" t="s">
        <v>122</v>
      </c>
      <c r="MYW108" s="1" t="s">
        <v>122</v>
      </c>
      <c r="MYX108" s="1" t="s">
        <v>122</v>
      </c>
      <c r="MYY108" s="1" t="s">
        <v>122</v>
      </c>
      <c r="MYZ108" s="1" t="s">
        <v>122</v>
      </c>
      <c r="MZA108" s="1" t="s">
        <v>122</v>
      </c>
      <c r="MZB108" s="1" t="s">
        <v>122</v>
      </c>
      <c r="MZC108" s="1" t="s">
        <v>122</v>
      </c>
      <c r="MZD108" s="1" t="s">
        <v>122</v>
      </c>
      <c r="MZE108" s="1" t="s">
        <v>122</v>
      </c>
      <c r="MZF108" s="1" t="s">
        <v>122</v>
      </c>
      <c r="MZG108" s="1" t="s">
        <v>122</v>
      </c>
      <c r="MZH108" s="1" t="s">
        <v>122</v>
      </c>
      <c r="MZI108" s="1" t="s">
        <v>122</v>
      </c>
      <c r="MZJ108" s="1" t="s">
        <v>122</v>
      </c>
      <c r="MZK108" s="1" t="s">
        <v>122</v>
      </c>
      <c r="MZL108" s="1" t="s">
        <v>122</v>
      </c>
      <c r="MZM108" s="1" t="s">
        <v>122</v>
      </c>
      <c r="MZN108" s="1" t="s">
        <v>122</v>
      </c>
      <c r="MZO108" s="1" t="s">
        <v>122</v>
      </c>
      <c r="MZP108" s="1" t="s">
        <v>122</v>
      </c>
      <c r="MZQ108" s="1" t="s">
        <v>122</v>
      </c>
      <c r="MZR108" s="1" t="s">
        <v>122</v>
      </c>
      <c r="MZS108" s="1" t="s">
        <v>122</v>
      </c>
      <c r="MZT108" s="1" t="s">
        <v>122</v>
      </c>
      <c r="MZU108" s="1" t="s">
        <v>122</v>
      </c>
      <c r="MZV108" s="1" t="s">
        <v>122</v>
      </c>
      <c r="MZW108" s="1" t="s">
        <v>122</v>
      </c>
      <c r="MZX108" s="1" t="s">
        <v>122</v>
      </c>
      <c r="MZY108" s="1" t="s">
        <v>122</v>
      </c>
      <c r="MZZ108" s="1" t="s">
        <v>122</v>
      </c>
      <c r="NAA108" s="1" t="s">
        <v>122</v>
      </c>
      <c r="NAB108" s="1" t="s">
        <v>122</v>
      </c>
      <c r="NAC108" s="1" t="s">
        <v>122</v>
      </c>
      <c r="NAD108" s="1" t="s">
        <v>122</v>
      </c>
      <c r="NAE108" s="1" t="s">
        <v>122</v>
      </c>
      <c r="NAF108" s="1" t="s">
        <v>122</v>
      </c>
      <c r="NAG108" s="1" t="s">
        <v>122</v>
      </c>
      <c r="NAH108" s="1" t="s">
        <v>122</v>
      </c>
      <c r="NAI108" s="1" t="s">
        <v>122</v>
      </c>
      <c r="NAJ108" s="1" t="s">
        <v>122</v>
      </c>
      <c r="NAK108" s="1" t="s">
        <v>122</v>
      </c>
      <c r="NAL108" s="1" t="s">
        <v>122</v>
      </c>
      <c r="NAM108" s="1" t="s">
        <v>122</v>
      </c>
      <c r="NAN108" s="1" t="s">
        <v>122</v>
      </c>
      <c r="NAO108" s="1" t="s">
        <v>122</v>
      </c>
      <c r="NAP108" s="1" t="s">
        <v>122</v>
      </c>
      <c r="NAQ108" s="1" t="s">
        <v>122</v>
      </c>
      <c r="NAR108" s="1" t="s">
        <v>122</v>
      </c>
      <c r="NAS108" s="1" t="s">
        <v>122</v>
      </c>
      <c r="NAT108" s="1" t="s">
        <v>122</v>
      </c>
      <c r="NAU108" s="1" t="s">
        <v>122</v>
      </c>
      <c r="NAV108" s="1" t="s">
        <v>122</v>
      </c>
      <c r="NAW108" s="1" t="s">
        <v>122</v>
      </c>
      <c r="NAX108" s="1" t="s">
        <v>122</v>
      </c>
      <c r="NAY108" s="1" t="s">
        <v>122</v>
      </c>
      <c r="NAZ108" s="1" t="s">
        <v>122</v>
      </c>
      <c r="NBA108" s="1" t="s">
        <v>122</v>
      </c>
      <c r="NBB108" s="1" t="s">
        <v>122</v>
      </c>
      <c r="NBC108" s="1" t="s">
        <v>122</v>
      </c>
      <c r="NBD108" s="1" t="s">
        <v>122</v>
      </c>
      <c r="NBE108" s="1" t="s">
        <v>122</v>
      </c>
      <c r="NBF108" s="1" t="s">
        <v>122</v>
      </c>
      <c r="NBG108" s="1" t="s">
        <v>122</v>
      </c>
      <c r="NBH108" s="1" t="s">
        <v>122</v>
      </c>
      <c r="NBI108" s="1" t="s">
        <v>122</v>
      </c>
      <c r="NBJ108" s="1" t="s">
        <v>122</v>
      </c>
      <c r="NBK108" s="1" t="s">
        <v>122</v>
      </c>
      <c r="NBL108" s="1" t="s">
        <v>122</v>
      </c>
      <c r="NBM108" s="1" t="s">
        <v>122</v>
      </c>
      <c r="NBN108" s="1" t="s">
        <v>122</v>
      </c>
      <c r="NBO108" s="1" t="s">
        <v>122</v>
      </c>
      <c r="NBP108" s="1" t="s">
        <v>122</v>
      </c>
      <c r="NBQ108" s="1" t="s">
        <v>122</v>
      </c>
      <c r="NBR108" s="1" t="s">
        <v>122</v>
      </c>
      <c r="NBS108" s="1" t="s">
        <v>122</v>
      </c>
      <c r="NBT108" s="1" t="s">
        <v>122</v>
      </c>
      <c r="NBU108" s="1" t="s">
        <v>122</v>
      </c>
      <c r="NBV108" s="1" t="s">
        <v>122</v>
      </c>
      <c r="NBW108" s="1" t="s">
        <v>122</v>
      </c>
      <c r="NBX108" s="1" t="s">
        <v>122</v>
      </c>
      <c r="NBY108" s="1" t="s">
        <v>122</v>
      </c>
      <c r="NBZ108" s="1" t="s">
        <v>122</v>
      </c>
      <c r="NCA108" s="1" t="s">
        <v>122</v>
      </c>
      <c r="NCB108" s="1" t="s">
        <v>122</v>
      </c>
      <c r="NCC108" s="1" t="s">
        <v>122</v>
      </c>
      <c r="NCD108" s="1" t="s">
        <v>122</v>
      </c>
      <c r="NCE108" s="1" t="s">
        <v>122</v>
      </c>
      <c r="NCF108" s="1" t="s">
        <v>122</v>
      </c>
      <c r="NCG108" s="1" t="s">
        <v>122</v>
      </c>
      <c r="NCH108" s="1" t="s">
        <v>122</v>
      </c>
      <c r="NCI108" s="1" t="s">
        <v>122</v>
      </c>
      <c r="NCJ108" s="1" t="s">
        <v>122</v>
      </c>
      <c r="NCK108" s="1" t="s">
        <v>122</v>
      </c>
      <c r="NCL108" s="1" t="s">
        <v>122</v>
      </c>
      <c r="NCM108" s="1" t="s">
        <v>122</v>
      </c>
      <c r="NCN108" s="1" t="s">
        <v>122</v>
      </c>
      <c r="NCO108" s="1" t="s">
        <v>122</v>
      </c>
      <c r="NCP108" s="1" t="s">
        <v>122</v>
      </c>
      <c r="NCQ108" s="1" t="s">
        <v>122</v>
      </c>
      <c r="NCR108" s="1" t="s">
        <v>122</v>
      </c>
      <c r="NCS108" s="1" t="s">
        <v>122</v>
      </c>
      <c r="NCT108" s="1" t="s">
        <v>122</v>
      </c>
      <c r="NCU108" s="1" t="s">
        <v>122</v>
      </c>
      <c r="NCV108" s="1" t="s">
        <v>122</v>
      </c>
      <c r="NCW108" s="1" t="s">
        <v>122</v>
      </c>
      <c r="NCX108" s="1" t="s">
        <v>122</v>
      </c>
      <c r="NCY108" s="1" t="s">
        <v>122</v>
      </c>
      <c r="NCZ108" s="1" t="s">
        <v>122</v>
      </c>
      <c r="NDA108" s="1" t="s">
        <v>122</v>
      </c>
      <c r="NDB108" s="1" t="s">
        <v>122</v>
      </c>
      <c r="NDC108" s="1" t="s">
        <v>122</v>
      </c>
      <c r="NDD108" s="1" t="s">
        <v>122</v>
      </c>
      <c r="NDE108" s="1" t="s">
        <v>122</v>
      </c>
      <c r="NDF108" s="1" t="s">
        <v>122</v>
      </c>
      <c r="NDG108" s="1" t="s">
        <v>122</v>
      </c>
      <c r="NDH108" s="1" t="s">
        <v>122</v>
      </c>
      <c r="NDI108" s="1" t="s">
        <v>122</v>
      </c>
      <c r="NDJ108" s="1" t="s">
        <v>122</v>
      </c>
      <c r="NDK108" s="1" t="s">
        <v>122</v>
      </c>
      <c r="NDL108" s="1" t="s">
        <v>122</v>
      </c>
      <c r="NDM108" s="1" t="s">
        <v>122</v>
      </c>
      <c r="NDN108" s="1" t="s">
        <v>122</v>
      </c>
      <c r="NDO108" s="1" t="s">
        <v>122</v>
      </c>
      <c r="NDP108" s="1" t="s">
        <v>122</v>
      </c>
      <c r="NDQ108" s="1" t="s">
        <v>122</v>
      </c>
      <c r="NDR108" s="1" t="s">
        <v>122</v>
      </c>
      <c r="NDS108" s="1" t="s">
        <v>122</v>
      </c>
      <c r="NDT108" s="1" t="s">
        <v>122</v>
      </c>
      <c r="NDU108" s="1" t="s">
        <v>122</v>
      </c>
      <c r="NDV108" s="1" t="s">
        <v>122</v>
      </c>
      <c r="NDW108" s="1" t="s">
        <v>122</v>
      </c>
      <c r="NDX108" s="1" t="s">
        <v>122</v>
      </c>
      <c r="NDY108" s="1" t="s">
        <v>122</v>
      </c>
      <c r="NDZ108" s="1" t="s">
        <v>122</v>
      </c>
      <c r="NEA108" s="1" t="s">
        <v>122</v>
      </c>
      <c r="NEB108" s="1" t="s">
        <v>122</v>
      </c>
      <c r="NEC108" s="1" t="s">
        <v>122</v>
      </c>
      <c r="NED108" s="1" t="s">
        <v>122</v>
      </c>
      <c r="NEE108" s="1" t="s">
        <v>122</v>
      </c>
      <c r="NEF108" s="1" t="s">
        <v>122</v>
      </c>
      <c r="NEG108" s="1" t="s">
        <v>122</v>
      </c>
      <c r="NEH108" s="1" t="s">
        <v>122</v>
      </c>
      <c r="NEI108" s="1" t="s">
        <v>122</v>
      </c>
      <c r="NEJ108" s="1" t="s">
        <v>122</v>
      </c>
      <c r="NEK108" s="1" t="s">
        <v>122</v>
      </c>
      <c r="NEL108" s="1" t="s">
        <v>122</v>
      </c>
      <c r="NEM108" s="1" t="s">
        <v>122</v>
      </c>
      <c r="NEN108" s="1" t="s">
        <v>122</v>
      </c>
      <c r="NEO108" s="1" t="s">
        <v>122</v>
      </c>
      <c r="NEP108" s="1" t="s">
        <v>122</v>
      </c>
      <c r="NEQ108" s="1" t="s">
        <v>122</v>
      </c>
      <c r="NER108" s="1" t="s">
        <v>122</v>
      </c>
      <c r="NES108" s="1" t="s">
        <v>122</v>
      </c>
      <c r="NET108" s="1" t="s">
        <v>122</v>
      </c>
      <c r="NEU108" s="1" t="s">
        <v>122</v>
      </c>
      <c r="NEV108" s="1" t="s">
        <v>122</v>
      </c>
      <c r="NEW108" s="1" t="s">
        <v>122</v>
      </c>
      <c r="NEX108" s="1" t="s">
        <v>122</v>
      </c>
      <c r="NEY108" s="1" t="s">
        <v>122</v>
      </c>
      <c r="NEZ108" s="1" t="s">
        <v>122</v>
      </c>
      <c r="NFA108" s="1" t="s">
        <v>122</v>
      </c>
      <c r="NFB108" s="1" t="s">
        <v>122</v>
      </c>
      <c r="NFC108" s="1" t="s">
        <v>122</v>
      </c>
      <c r="NFD108" s="1" t="s">
        <v>122</v>
      </c>
      <c r="NFE108" s="1" t="s">
        <v>122</v>
      </c>
      <c r="NFF108" s="1" t="s">
        <v>122</v>
      </c>
      <c r="NFG108" s="1" t="s">
        <v>122</v>
      </c>
      <c r="NFH108" s="1" t="s">
        <v>122</v>
      </c>
      <c r="NFI108" s="1" t="s">
        <v>122</v>
      </c>
      <c r="NFJ108" s="1" t="s">
        <v>122</v>
      </c>
      <c r="NFK108" s="1" t="s">
        <v>122</v>
      </c>
      <c r="NFL108" s="1" t="s">
        <v>122</v>
      </c>
      <c r="NFM108" s="1" t="s">
        <v>122</v>
      </c>
      <c r="NFN108" s="1" t="s">
        <v>122</v>
      </c>
      <c r="NFO108" s="1" t="s">
        <v>122</v>
      </c>
      <c r="NFP108" s="1" t="s">
        <v>122</v>
      </c>
      <c r="NFQ108" s="1" t="s">
        <v>122</v>
      </c>
      <c r="NFR108" s="1" t="s">
        <v>122</v>
      </c>
      <c r="NFS108" s="1" t="s">
        <v>122</v>
      </c>
      <c r="NFT108" s="1" t="s">
        <v>122</v>
      </c>
      <c r="NFU108" s="1" t="s">
        <v>122</v>
      </c>
      <c r="NFV108" s="1" t="s">
        <v>122</v>
      </c>
      <c r="NFW108" s="1" t="s">
        <v>122</v>
      </c>
      <c r="NFX108" s="1" t="s">
        <v>122</v>
      </c>
      <c r="NFY108" s="1" t="s">
        <v>122</v>
      </c>
      <c r="NFZ108" s="1" t="s">
        <v>122</v>
      </c>
      <c r="NGA108" s="1" t="s">
        <v>122</v>
      </c>
      <c r="NGB108" s="1" t="s">
        <v>122</v>
      </c>
      <c r="NGC108" s="1" t="s">
        <v>122</v>
      </c>
      <c r="NGD108" s="1" t="s">
        <v>122</v>
      </c>
      <c r="NGE108" s="1" t="s">
        <v>122</v>
      </c>
      <c r="NGF108" s="1" t="s">
        <v>122</v>
      </c>
      <c r="NGG108" s="1" t="s">
        <v>122</v>
      </c>
      <c r="NGH108" s="1" t="s">
        <v>122</v>
      </c>
      <c r="NGI108" s="1" t="s">
        <v>122</v>
      </c>
      <c r="NGJ108" s="1" t="s">
        <v>122</v>
      </c>
      <c r="NGK108" s="1" t="s">
        <v>122</v>
      </c>
      <c r="NGL108" s="1" t="s">
        <v>122</v>
      </c>
      <c r="NGM108" s="1" t="s">
        <v>122</v>
      </c>
      <c r="NGN108" s="1" t="s">
        <v>122</v>
      </c>
      <c r="NGO108" s="1" t="s">
        <v>122</v>
      </c>
      <c r="NGP108" s="1" t="s">
        <v>122</v>
      </c>
      <c r="NGQ108" s="1" t="s">
        <v>122</v>
      </c>
      <c r="NGR108" s="1" t="s">
        <v>122</v>
      </c>
      <c r="NGS108" s="1" t="s">
        <v>122</v>
      </c>
      <c r="NGT108" s="1" t="s">
        <v>122</v>
      </c>
      <c r="NGU108" s="1" t="s">
        <v>122</v>
      </c>
      <c r="NGV108" s="1" t="s">
        <v>122</v>
      </c>
      <c r="NGW108" s="1" t="s">
        <v>122</v>
      </c>
      <c r="NGX108" s="1" t="s">
        <v>122</v>
      </c>
      <c r="NGY108" s="1" t="s">
        <v>122</v>
      </c>
      <c r="NGZ108" s="1" t="s">
        <v>122</v>
      </c>
      <c r="NHA108" s="1" t="s">
        <v>122</v>
      </c>
      <c r="NHB108" s="1" t="s">
        <v>122</v>
      </c>
      <c r="NHC108" s="1" t="s">
        <v>122</v>
      </c>
      <c r="NHD108" s="1" t="s">
        <v>122</v>
      </c>
      <c r="NHE108" s="1" t="s">
        <v>122</v>
      </c>
      <c r="NHF108" s="1" t="s">
        <v>122</v>
      </c>
      <c r="NHG108" s="1" t="s">
        <v>122</v>
      </c>
      <c r="NHH108" s="1" t="s">
        <v>122</v>
      </c>
      <c r="NHI108" s="1" t="s">
        <v>122</v>
      </c>
      <c r="NHJ108" s="1" t="s">
        <v>122</v>
      </c>
      <c r="NHK108" s="1" t="s">
        <v>122</v>
      </c>
      <c r="NHL108" s="1" t="s">
        <v>122</v>
      </c>
      <c r="NHM108" s="1" t="s">
        <v>122</v>
      </c>
      <c r="NHN108" s="1" t="s">
        <v>122</v>
      </c>
      <c r="NHO108" s="1" t="s">
        <v>122</v>
      </c>
      <c r="NHP108" s="1" t="s">
        <v>122</v>
      </c>
      <c r="NHQ108" s="1" t="s">
        <v>122</v>
      </c>
      <c r="NHR108" s="1" t="s">
        <v>122</v>
      </c>
      <c r="NHS108" s="1" t="s">
        <v>122</v>
      </c>
      <c r="NHT108" s="1" t="s">
        <v>122</v>
      </c>
      <c r="NHU108" s="1" t="s">
        <v>122</v>
      </c>
      <c r="NHV108" s="1" t="s">
        <v>122</v>
      </c>
      <c r="NHW108" s="1" t="s">
        <v>122</v>
      </c>
      <c r="NHX108" s="1" t="s">
        <v>122</v>
      </c>
      <c r="NHY108" s="1" t="s">
        <v>122</v>
      </c>
      <c r="NHZ108" s="1" t="s">
        <v>122</v>
      </c>
      <c r="NIA108" s="1" t="s">
        <v>122</v>
      </c>
      <c r="NIB108" s="1" t="s">
        <v>122</v>
      </c>
      <c r="NIC108" s="1" t="s">
        <v>122</v>
      </c>
      <c r="NID108" s="1" t="s">
        <v>122</v>
      </c>
      <c r="NIE108" s="1" t="s">
        <v>122</v>
      </c>
      <c r="NIF108" s="1" t="s">
        <v>122</v>
      </c>
      <c r="NIG108" s="1" t="s">
        <v>122</v>
      </c>
      <c r="NIH108" s="1" t="s">
        <v>122</v>
      </c>
      <c r="NII108" s="1" t="s">
        <v>122</v>
      </c>
      <c r="NIJ108" s="1" t="s">
        <v>122</v>
      </c>
      <c r="NIK108" s="1" t="s">
        <v>122</v>
      </c>
      <c r="NIL108" s="1" t="s">
        <v>122</v>
      </c>
      <c r="NIM108" s="1" t="s">
        <v>122</v>
      </c>
      <c r="NIN108" s="1" t="s">
        <v>122</v>
      </c>
      <c r="NIO108" s="1" t="s">
        <v>122</v>
      </c>
      <c r="NIP108" s="1" t="s">
        <v>122</v>
      </c>
      <c r="NIQ108" s="1" t="s">
        <v>122</v>
      </c>
      <c r="NIR108" s="1" t="s">
        <v>122</v>
      </c>
      <c r="NIS108" s="1" t="s">
        <v>122</v>
      </c>
      <c r="NIT108" s="1" t="s">
        <v>122</v>
      </c>
      <c r="NIU108" s="1" t="s">
        <v>122</v>
      </c>
      <c r="NIV108" s="1" t="s">
        <v>122</v>
      </c>
      <c r="NIW108" s="1" t="s">
        <v>122</v>
      </c>
      <c r="NIX108" s="1" t="s">
        <v>122</v>
      </c>
      <c r="NIY108" s="1" t="s">
        <v>122</v>
      </c>
      <c r="NIZ108" s="1" t="s">
        <v>122</v>
      </c>
      <c r="NJA108" s="1" t="s">
        <v>122</v>
      </c>
      <c r="NJB108" s="1" t="s">
        <v>122</v>
      </c>
      <c r="NJC108" s="1" t="s">
        <v>122</v>
      </c>
      <c r="NJD108" s="1" t="s">
        <v>122</v>
      </c>
      <c r="NJE108" s="1" t="s">
        <v>122</v>
      </c>
      <c r="NJF108" s="1" t="s">
        <v>122</v>
      </c>
      <c r="NJG108" s="1" t="s">
        <v>122</v>
      </c>
      <c r="NJH108" s="1" t="s">
        <v>122</v>
      </c>
      <c r="NJI108" s="1" t="s">
        <v>122</v>
      </c>
      <c r="NJJ108" s="1" t="s">
        <v>122</v>
      </c>
      <c r="NJK108" s="1" t="s">
        <v>122</v>
      </c>
      <c r="NJL108" s="1" t="s">
        <v>122</v>
      </c>
      <c r="NJM108" s="1" t="s">
        <v>122</v>
      </c>
      <c r="NJN108" s="1" t="s">
        <v>122</v>
      </c>
      <c r="NJO108" s="1" t="s">
        <v>122</v>
      </c>
      <c r="NJP108" s="1" t="s">
        <v>122</v>
      </c>
      <c r="NJQ108" s="1" t="s">
        <v>122</v>
      </c>
      <c r="NJR108" s="1" t="s">
        <v>122</v>
      </c>
      <c r="NJS108" s="1" t="s">
        <v>122</v>
      </c>
      <c r="NJT108" s="1" t="s">
        <v>122</v>
      </c>
      <c r="NJU108" s="1" t="s">
        <v>122</v>
      </c>
      <c r="NJV108" s="1" t="s">
        <v>122</v>
      </c>
      <c r="NJW108" s="1" t="s">
        <v>122</v>
      </c>
      <c r="NJX108" s="1" t="s">
        <v>122</v>
      </c>
      <c r="NJY108" s="1" t="s">
        <v>122</v>
      </c>
      <c r="NJZ108" s="1" t="s">
        <v>122</v>
      </c>
      <c r="NKA108" s="1" t="s">
        <v>122</v>
      </c>
      <c r="NKB108" s="1" t="s">
        <v>122</v>
      </c>
      <c r="NKC108" s="1" t="s">
        <v>122</v>
      </c>
      <c r="NKD108" s="1" t="s">
        <v>122</v>
      </c>
      <c r="NKE108" s="1" t="s">
        <v>122</v>
      </c>
      <c r="NKF108" s="1" t="s">
        <v>122</v>
      </c>
      <c r="NKG108" s="1" t="s">
        <v>122</v>
      </c>
      <c r="NKH108" s="1" t="s">
        <v>122</v>
      </c>
      <c r="NKI108" s="1" t="s">
        <v>122</v>
      </c>
      <c r="NKJ108" s="1" t="s">
        <v>122</v>
      </c>
      <c r="NKK108" s="1" t="s">
        <v>122</v>
      </c>
      <c r="NKL108" s="1" t="s">
        <v>122</v>
      </c>
      <c r="NKM108" s="1" t="s">
        <v>122</v>
      </c>
      <c r="NKN108" s="1" t="s">
        <v>122</v>
      </c>
      <c r="NKO108" s="1" t="s">
        <v>122</v>
      </c>
      <c r="NKP108" s="1" t="s">
        <v>122</v>
      </c>
      <c r="NKQ108" s="1" t="s">
        <v>122</v>
      </c>
      <c r="NKR108" s="1" t="s">
        <v>122</v>
      </c>
      <c r="NKS108" s="1" t="s">
        <v>122</v>
      </c>
      <c r="NKT108" s="1" t="s">
        <v>122</v>
      </c>
      <c r="NKU108" s="1" t="s">
        <v>122</v>
      </c>
      <c r="NKV108" s="1" t="s">
        <v>122</v>
      </c>
      <c r="NKW108" s="1" t="s">
        <v>122</v>
      </c>
      <c r="NKX108" s="1" t="s">
        <v>122</v>
      </c>
      <c r="NKY108" s="1" t="s">
        <v>122</v>
      </c>
      <c r="NKZ108" s="1" t="s">
        <v>122</v>
      </c>
      <c r="NLA108" s="1" t="s">
        <v>122</v>
      </c>
      <c r="NLB108" s="1" t="s">
        <v>122</v>
      </c>
      <c r="NLC108" s="1" t="s">
        <v>122</v>
      </c>
      <c r="NLD108" s="1" t="s">
        <v>122</v>
      </c>
      <c r="NLE108" s="1" t="s">
        <v>122</v>
      </c>
      <c r="NLF108" s="1" t="s">
        <v>122</v>
      </c>
      <c r="NLG108" s="1" t="s">
        <v>122</v>
      </c>
      <c r="NLH108" s="1" t="s">
        <v>122</v>
      </c>
      <c r="NLI108" s="1" t="s">
        <v>122</v>
      </c>
      <c r="NLJ108" s="1" t="s">
        <v>122</v>
      </c>
      <c r="NLK108" s="1" t="s">
        <v>122</v>
      </c>
      <c r="NLL108" s="1" t="s">
        <v>122</v>
      </c>
      <c r="NLM108" s="1" t="s">
        <v>122</v>
      </c>
      <c r="NLN108" s="1" t="s">
        <v>122</v>
      </c>
      <c r="NLO108" s="1" t="s">
        <v>122</v>
      </c>
      <c r="NLP108" s="1" t="s">
        <v>122</v>
      </c>
      <c r="NLQ108" s="1" t="s">
        <v>122</v>
      </c>
      <c r="NLR108" s="1" t="s">
        <v>122</v>
      </c>
      <c r="NLS108" s="1" t="s">
        <v>122</v>
      </c>
      <c r="NLT108" s="1" t="s">
        <v>122</v>
      </c>
      <c r="NLU108" s="1" t="s">
        <v>122</v>
      </c>
      <c r="NLV108" s="1" t="s">
        <v>122</v>
      </c>
      <c r="NLW108" s="1" t="s">
        <v>122</v>
      </c>
      <c r="NLX108" s="1" t="s">
        <v>122</v>
      </c>
      <c r="NLY108" s="1" t="s">
        <v>122</v>
      </c>
      <c r="NLZ108" s="1" t="s">
        <v>122</v>
      </c>
      <c r="NMA108" s="1" t="s">
        <v>122</v>
      </c>
      <c r="NMB108" s="1" t="s">
        <v>122</v>
      </c>
      <c r="NMC108" s="1" t="s">
        <v>122</v>
      </c>
      <c r="NMD108" s="1" t="s">
        <v>122</v>
      </c>
      <c r="NME108" s="1" t="s">
        <v>122</v>
      </c>
      <c r="NMF108" s="1" t="s">
        <v>122</v>
      </c>
      <c r="NMG108" s="1" t="s">
        <v>122</v>
      </c>
      <c r="NMH108" s="1" t="s">
        <v>122</v>
      </c>
      <c r="NMI108" s="1" t="s">
        <v>122</v>
      </c>
      <c r="NMJ108" s="1" t="s">
        <v>122</v>
      </c>
      <c r="NMK108" s="1" t="s">
        <v>122</v>
      </c>
      <c r="NML108" s="1" t="s">
        <v>122</v>
      </c>
      <c r="NMM108" s="1" t="s">
        <v>122</v>
      </c>
      <c r="NMN108" s="1" t="s">
        <v>122</v>
      </c>
      <c r="NMO108" s="1" t="s">
        <v>122</v>
      </c>
      <c r="NMP108" s="1" t="s">
        <v>122</v>
      </c>
      <c r="NMQ108" s="1" t="s">
        <v>122</v>
      </c>
      <c r="NMR108" s="1" t="s">
        <v>122</v>
      </c>
      <c r="NMS108" s="1" t="s">
        <v>122</v>
      </c>
      <c r="NMT108" s="1" t="s">
        <v>122</v>
      </c>
      <c r="NMU108" s="1" t="s">
        <v>122</v>
      </c>
      <c r="NMV108" s="1" t="s">
        <v>122</v>
      </c>
      <c r="NMW108" s="1" t="s">
        <v>122</v>
      </c>
      <c r="NMX108" s="1" t="s">
        <v>122</v>
      </c>
      <c r="NMY108" s="1" t="s">
        <v>122</v>
      </c>
      <c r="NMZ108" s="1" t="s">
        <v>122</v>
      </c>
      <c r="NNA108" s="1" t="s">
        <v>122</v>
      </c>
      <c r="NNB108" s="1" t="s">
        <v>122</v>
      </c>
      <c r="NNC108" s="1" t="s">
        <v>122</v>
      </c>
      <c r="NND108" s="1" t="s">
        <v>122</v>
      </c>
      <c r="NNE108" s="1" t="s">
        <v>122</v>
      </c>
      <c r="NNF108" s="1" t="s">
        <v>122</v>
      </c>
      <c r="NNG108" s="1" t="s">
        <v>122</v>
      </c>
      <c r="NNH108" s="1" t="s">
        <v>122</v>
      </c>
      <c r="NNI108" s="1" t="s">
        <v>122</v>
      </c>
      <c r="NNJ108" s="1" t="s">
        <v>122</v>
      </c>
      <c r="NNK108" s="1" t="s">
        <v>122</v>
      </c>
      <c r="NNL108" s="1" t="s">
        <v>122</v>
      </c>
      <c r="NNM108" s="1" t="s">
        <v>122</v>
      </c>
      <c r="NNN108" s="1" t="s">
        <v>122</v>
      </c>
      <c r="NNO108" s="1" t="s">
        <v>122</v>
      </c>
      <c r="NNP108" s="1" t="s">
        <v>122</v>
      </c>
      <c r="NNQ108" s="1" t="s">
        <v>122</v>
      </c>
      <c r="NNR108" s="1" t="s">
        <v>122</v>
      </c>
      <c r="NNS108" s="1" t="s">
        <v>122</v>
      </c>
      <c r="NNT108" s="1" t="s">
        <v>122</v>
      </c>
      <c r="NNU108" s="1" t="s">
        <v>122</v>
      </c>
      <c r="NNV108" s="1" t="s">
        <v>122</v>
      </c>
      <c r="NNW108" s="1" t="s">
        <v>122</v>
      </c>
      <c r="NNX108" s="1" t="s">
        <v>122</v>
      </c>
      <c r="NNY108" s="1" t="s">
        <v>122</v>
      </c>
      <c r="NNZ108" s="1" t="s">
        <v>122</v>
      </c>
      <c r="NOA108" s="1" t="s">
        <v>122</v>
      </c>
      <c r="NOB108" s="1" t="s">
        <v>122</v>
      </c>
      <c r="NOC108" s="1" t="s">
        <v>122</v>
      </c>
      <c r="NOD108" s="1" t="s">
        <v>122</v>
      </c>
      <c r="NOE108" s="1" t="s">
        <v>122</v>
      </c>
      <c r="NOF108" s="1" t="s">
        <v>122</v>
      </c>
      <c r="NOG108" s="1" t="s">
        <v>122</v>
      </c>
      <c r="NOH108" s="1" t="s">
        <v>122</v>
      </c>
      <c r="NOI108" s="1" t="s">
        <v>122</v>
      </c>
      <c r="NOJ108" s="1" t="s">
        <v>122</v>
      </c>
      <c r="NOK108" s="1" t="s">
        <v>122</v>
      </c>
      <c r="NOL108" s="1" t="s">
        <v>122</v>
      </c>
      <c r="NOM108" s="1" t="s">
        <v>122</v>
      </c>
      <c r="NON108" s="1" t="s">
        <v>122</v>
      </c>
      <c r="NOO108" s="1" t="s">
        <v>122</v>
      </c>
      <c r="NOP108" s="1" t="s">
        <v>122</v>
      </c>
      <c r="NOQ108" s="1" t="s">
        <v>122</v>
      </c>
      <c r="NOR108" s="1" t="s">
        <v>122</v>
      </c>
      <c r="NOS108" s="1" t="s">
        <v>122</v>
      </c>
      <c r="NOT108" s="1" t="s">
        <v>122</v>
      </c>
      <c r="NOU108" s="1" t="s">
        <v>122</v>
      </c>
      <c r="NOV108" s="1" t="s">
        <v>122</v>
      </c>
      <c r="NOW108" s="1" t="s">
        <v>122</v>
      </c>
      <c r="NOX108" s="1" t="s">
        <v>122</v>
      </c>
      <c r="NOY108" s="1" t="s">
        <v>122</v>
      </c>
      <c r="NOZ108" s="1" t="s">
        <v>122</v>
      </c>
      <c r="NPA108" s="1" t="s">
        <v>122</v>
      </c>
      <c r="NPB108" s="1" t="s">
        <v>122</v>
      </c>
      <c r="NPC108" s="1" t="s">
        <v>122</v>
      </c>
      <c r="NPD108" s="1" t="s">
        <v>122</v>
      </c>
      <c r="NPE108" s="1" t="s">
        <v>122</v>
      </c>
      <c r="NPF108" s="1" t="s">
        <v>122</v>
      </c>
      <c r="NPG108" s="1" t="s">
        <v>122</v>
      </c>
      <c r="NPH108" s="1" t="s">
        <v>122</v>
      </c>
      <c r="NPI108" s="1" t="s">
        <v>122</v>
      </c>
      <c r="NPJ108" s="1" t="s">
        <v>122</v>
      </c>
      <c r="NPK108" s="1" t="s">
        <v>122</v>
      </c>
      <c r="NPL108" s="1" t="s">
        <v>122</v>
      </c>
      <c r="NPM108" s="1" t="s">
        <v>122</v>
      </c>
      <c r="NPN108" s="1" t="s">
        <v>122</v>
      </c>
      <c r="NPO108" s="1" t="s">
        <v>122</v>
      </c>
      <c r="NPP108" s="1" t="s">
        <v>122</v>
      </c>
      <c r="NPQ108" s="1" t="s">
        <v>122</v>
      </c>
      <c r="NPR108" s="1" t="s">
        <v>122</v>
      </c>
      <c r="NPS108" s="1" t="s">
        <v>122</v>
      </c>
      <c r="NPT108" s="1" t="s">
        <v>122</v>
      </c>
      <c r="NPU108" s="1" t="s">
        <v>122</v>
      </c>
      <c r="NPV108" s="1" t="s">
        <v>122</v>
      </c>
      <c r="NPW108" s="1" t="s">
        <v>122</v>
      </c>
      <c r="NPX108" s="1" t="s">
        <v>122</v>
      </c>
      <c r="NPY108" s="1" t="s">
        <v>122</v>
      </c>
      <c r="NPZ108" s="1" t="s">
        <v>122</v>
      </c>
      <c r="NQA108" s="1" t="s">
        <v>122</v>
      </c>
      <c r="NQB108" s="1" t="s">
        <v>122</v>
      </c>
      <c r="NQC108" s="1" t="s">
        <v>122</v>
      </c>
      <c r="NQD108" s="1" t="s">
        <v>122</v>
      </c>
      <c r="NQE108" s="1" t="s">
        <v>122</v>
      </c>
      <c r="NQF108" s="1" t="s">
        <v>122</v>
      </c>
      <c r="NQG108" s="1" t="s">
        <v>122</v>
      </c>
      <c r="NQH108" s="1" t="s">
        <v>122</v>
      </c>
      <c r="NQI108" s="1" t="s">
        <v>122</v>
      </c>
      <c r="NQJ108" s="1" t="s">
        <v>122</v>
      </c>
      <c r="NQK108" s="1" t="s">
        <v>122</v>
      </c>
      <c r="NQL108" s="1" t="s">
        <v>122</v>
      </c>
      <c r="NQM108" s="1" t="s">
        <v>122</v>
      </c>
      <c r="NQN108" s="1" t="s">
        <v>122</v>
      </c>
      <c r="NQO108" s="1" t="s">
        <v>122</v>
      </c>
      <c r="NQP108" s="1" t="s">
        <v>122</v>
      </c>
      <c r="NQQ108" s="1" t="s">
        <v>122</v>
      </c>
      <c r="NQR108" s="1" t="s">
        <v>122</v>
      </c>
      <c r="NQS108" s="1" t="s">
        <v>122</v>
      </c>
      <c r="NQT108" s="1" t="s">
        <v>122</v>
      </c>
      <c r="NQU108" s="1" t="s">
        <v>122</v>
      </c>
      <c r="NQV108" s="1" t="s">
        <v>122</v>
      </c>
      <c r="NQW108" s="1" t="s">
        <v>122</v>
      </c>
      <c r="NQX108" s="1" t="s">
        <v>122</v>
      </c>
      <c r="NQY108" s="1" t="s">
        <v>122</v>
      </c>
      <c r="NQZ108" s="1" t="s">
        <v>122</v>
      </c>
      <c r="NRA108" s="1" t="s">
        <v>122</v>
      </c>
      <c r="NRB108" s="1" t="s">
        <v>122</v>
      </c>
      <c r="NRC108" s="1" t="s">
        <v>122</v>
      </c>
      <c r="NRD108" s="1" t="s">
        <v>122</v>
      </c>
      <c r="NRE108" s="1" t="s">
        <v>122</v>
      </c>
      <c r="NRF108" s="1" t="s">
        <v>122</v>
      </c>
      <c r="NRG108" s="1" t="s">
        <v>122</v>
      </c>
      <c r="NRH108" s="1" t="s">
        <v>122</v>
      </c>
      <c r="NRI108" s="1" t="s">
        <v>122</v>
      </c>
      <c r="NRJ108" s="1" t="s">
        <v>122</v>
      </c>
      <c r="NRK108" s="1" t="s">
        <v>122</v>
      </c>
      <c r="NRL108" s="1" t="s">
        <v>122</v>
      </c>
      <c r="NRM108" s="1" t="s">
        <v>122</v>
      </c>
      <c r="NRN108" s="1" t="s">
        <v>122</v>
      </c>
      <c r="NRO108" s="1" t="s">
        <v>122</v>
      </c>
      <c r="NRP108" s="1" t="s">
        <v>122</v>
      </c>
      <c r="NRQ108" s="1" t="s">
        <v>122</v>
      </c>
      <c r="NRR108" s="1" t="s">
        <v>122</v>
      </c>
      <c r="NRS108" s="1" t="s">
        <v>122</v>
      </c>
      <c r="NRT108" s="1" t="s">
        <v>122</v>
      </c>
      <c r="NRU108" s="1" t="s">
        <v>122</v>
      </c>
      <c r="NRV108" s="1" t="s">
        <v>122</v>
      </c>
      <c r="NRW108" s="1" t="s">
        <v>122</v>
      </c>
      <c r="NRX108" s="1" t="s">
        <v>122</v>
      </c>
      <c r="NRY108" s="1" t="s">
        <v>122</v>
      </c>
      <c r="NRZ108" s="1" t="s">
        <v>122</v>
      </c>
      <c r="NSA108" s="1" t="s">
        <v>122</v>
      </c>
      <c r="NSB108" s="1" t="s">
        <v>122</v>
      </c>
      <c r="NSC108" s="1" t="s">
        <v>122</v>
      </c>
      <c r="NSD108" s="1" t="s">
        <v>122</v>
      </c>
      <c r="NSE108" s="1" t="s">
        <v>122</v>
      </c>
      <c r="NSF108" s="1" t="s">
        <v>122</v>
      </c>
      <c r="NSG108" s="1" t="s">
        <v>122</v>
      </c>
      <c r="NSH108" s="1" t="s">
        <v>122</v>
      </c>
      <c r="NSI108" s="1" t="s">
        <v>122</v>
      </c>
      <c r="NSJ108" s="1" t="s">
        <v>122</v>
      </c>
      <c r="NSK108" s="1" t="s">
        <v>122</v>
      </c>
      <c r="NSL108" s="1" t="s">
        <v>122</v>
      </c>
      <c r="NSM108" s="1" t="s">
        <v>122</v>
      </c>
      <c r="NSN108" s="1" t="s">
        <v>122</v>
      </c>
      <c r="NSO108" s="1" t="s">
        <v>122</v>
      </c>
      <c r="NSP108" s="1" t="s">
        <v>122</v>
      </c>
      <c r="NSQ108" s="1" t="s">
        <v>122</v>
      </c>
      <c r="NSR108" s="1" t="s">
        <v>122</v>
      </c>
      <c r="NSS108" s="1" t="s">
        <v>122</v>
      </c>
      <c r="NST108" s="1" t="s">
        <v>122</v>
      </c>
      <c r="NSU108" s="1" t="s">
        <v>122</v>
      </c>
      <c r="NSV108" s="1" t="s">
        <v>122</v>
      </c>
      <c r="NSW108" s="1" t="s">
        <v>122</v>
      </c>
      <c r="NSX108" s="1" t="s">
        <v>122</v>
      </c>
      <c r="NSY108" s="1" t="s">
        <v>122</v>
      </c>
      <c r="NSZ108" s="1" t="s">
        <v>122</v>
      </c>
      <c r="NTA108" s="1" t="s">
        <v>122</v>
      </c>
      <c r="NTB108" s="1" t="s">
        <v>122</v>
      </c>
      <c r="NTC108" s="1" t="s">
        <v>122</v>
      </c>
      <c r="NTD108" s="1" t="s">
        <v>122</v>
      </c>
      <c r="NTE108" s="1" t="s">
        <v>122</v>
      </c>
      <c r="NTF108" s="1" t="s">
        <v>122</v>
      </c>
      <c r="NTG108" s="1" t="s">
        <v>122</v>
      </c>
      <c r="NTH108" s="1" t="s">
        <v>122</v>
      </c>
      <c r="NTI108" s="1" t="s">
        <v>122</v>
      </c>
      <c r="NTJ108" s="1" t="s">
        <v>122</v>
      </c>
      <c r="NTK108" s="1" t="s">
        <v>122</v>
      </c>
      <c r="NTL108" s="1" t="s">
        <v>122</v>
      </c>
      <c r="NTM108" s="1" t="s">
        <v>122</v>
      </c>
      <c r="NTN108" s="1" t="s">
        <v>122</v>
      </c>
      <c r="NTO108" s="1" t="s">
        <v>122</v>
      </c>
      <c r="NTP108" s="1" t="s">
        <v>122</v>
      </c>
      <c r="NTQ108" s="1" t="s">
        <v>122</v>
      </c>
      <c r="NTR108" s="1" t="s">
        <v>122</v>
      </c>
      <c r="NTS108" s="1" t="s">
        <v>122</v>
      </c>
      <c r="NTT108" s="1" t="s">
        <v>122</v>
      </c>
      <c r="NTU108" s="1" t="s">
        <v>122</v>
      </c>
      <c r="NTV108" s="1" t="s">
        <v>122</v>
      </c>
      <c r="NTW108" s="1" t="s">
        <v>122</v>
      </c>
      <c r="NTX108" s="1" t="s">
        <v>122</v>
      </c>
      <c r="NTY108" s="1" t="s">
        <v>122</v>
      </c>
      <c r="NTZ108" s="1" t="s">
        <v>122</v>
      </c>
      <c r="NUA108" s="1" t="s">
        <v>122</v>
      </c>
      <c r="NUB108" s="1" t="s">
        <v>122</v>
      </c>
      <c r="NUC108" s="1" t="s">
        <v>122</v>
      </c>
      <c r="NUD108" s="1" t="s">
        <v>122</v>
      </c>
      <c r="NUE108" s="1" t="s">
        <v>122</v>
      </c>
      <c r="NUF108" s="1" t="s">
        <v>122</v>
      </c>
      <c r="NUG108" s="1" t="s">
        <v>122</v>
      </c>
      <c r="NUH108" s="1" t="s">
        <v>122</v>
      </c>
      <c r="NUI108" s="1" t="s">
        <v>122</v>
      </c>
      <c r="NUJ108" s="1" t="s">
        <v>122</v>
      </c>
      <c r="NUK108" s="1" t="s">
        <v>122</v>
      </c>
      <c r="NUL108" s="1" t="s">
        <v>122</v>
      </c>
      <c r="NUM108" s="1" t="s">
        <v>122</v>
      </c>
      <c r="NUN108" s="1" t="s">
        <v>122</v>
      </c>
      <c r="NUO108" s="1" t="s">
        <v>122</v>
      </c>
      <c r="NUP108" s="1" t="s">
        <v>122</v>
      </c>
      <c r="NUQ108" s="1" t="s">
        <v>122</v>
      </c>
      <c r="NUR108" s="1" t="s">
        <v>122</v>
      </c>
      <c r="NUS108" s="1" t="s">
        <v>122</v>
      </c>
      <c r="NUT108" s="1" t="s">
        <v>122</v>
      </c>
      <c r="NUU108" s="1" t="s">
        <v>122</v>
      </c>
      <c r="NUV108" s="1" t="s">
        <v>122</v>
      </c>
      <c r="NUW108" s="1" t="s">
        <v>122</v>
      </c>
      <c r="NUX108" s="1" t="s">
        <v>122</v>
      </c>
      <c r="NUY108" s="1" t="s">
        <v>122</v>
      </c>
      <c r="NUZ108" s="1" t="s">
        <v>122</v>
      </c>
      <c r="NVA108" s="1" t="s">
        <v>122</v>
      </c>
      <c r="NVB108" s="1" t="s">
        <v>122</v>
      </c>
      <c r="NVC108" s="1" t="s">
        <v>122</v>
      </c>
      <c r="NVD108" s="1" t="s">
        <v>122</v>
      </c>
      <c r="NVE108" s="1" t="s">
        <v>122</v>
      </c>
      <c r="NVF108" s="1" t="s">
        <v>122</v>
      </c>
      <c r="NVG108" s="1" t="s">
        <v>122</v>
      </c>
      <c r="NVH108" s="1" t="s">
        <v>122</v>
      </c>
      <c r="NVI108" s="1" t="s">
        <v>122</v>
      </c>
      <c r="NVJ108" s="1" t="s">
        <v>122</v>
      </c>
      <c r="NVK108" s="1" t="s">
        <v>122</v>
      </c>
      <c r="NVL108" s="1" t="s">
        <v>122</v>
      </c>
      <c r="NVM108" s="1" t="s">
        <v>122</v>
      </c>
      <c r="NVN108" s="1" t="s">
        <v>122</v>
      </c>
      <c r="NVO108" s="1" t="s">
        <v>122</v>
      </c>
      <c r="NVP108" s="1" t="s">
        <v>122</v>
      </c>
      <c r="NVQ108" s="1" t="s">
        <v>122</v>
      </c>
      <c r="NVR108" s="1" t="s">
        <v>122</v>
      </c>
      <c r="NVS108" s="1" t="s">
        <v>122</v>
      </c>
      <c r="NVT108" s="1" t="s">
        <v>122</v>
      </c>
      <c r="NVU108" s="1" t="s">
        <v>122</v>
      </c>
      <c r="NVV108" s="1" t="s">
        <v>122</v>
      </c>
      <c r="NVW108" s="1" t="s">
        <v>122</v>
      </c>
      <c r="NVX108" s="1" t="s">
        <v>122</v>
      </c>
      <c r="NVY108" s="1" t="s">
        <v>122</v>
      </c>
      <c r="NVZ108" s="1" t="s">
        <v>122</v>
      </c>
      <c r="NWA108" s="1" t="s">
        <v>122</v>
      </c>
      <c r="NWB108" s="1" t="s">
        <v>122</v>
      </c>
      <c r="NWC108" s="1" t="s">
        <v>122</v>
      </c>
      <c r="NWD108" s="1" t="s">
        <v>122</v>
      </c>
      <c r="NWE108" s="1" t="s">
        <v>122</v>
      </c>
      <c r="NWF108" s="1" t="s">
        <v>122</v>
      </c>
      <c r="NWG108" s="1" t="s">
        <v>122</v>
      </c>
      <c r="NWH108" s="1" t="s">
        <v>122</v>
      </c>
      <c r="NWI108" s="1" t="s">
        <v>122</v>
      </c>
      <c r="NWJ108" s="1" t="s">
        <v>122</v>
      </c>
      <c r="NWK108" s="1" t="s">
        <v>122</v>
      </c>
      <c r="NWL108" s="1" t="s">
        <v>122</v>
      </c>
      <c r="NWM108" s="1" t="s">
        <v>122</v>
      </c>
      <c r="NWN108" s="1" t="s">
        <v>122</v>
      </c>
      <c r="NWO108" s="1" t="s">
        <v>122</v>
      </c>
      <c r="NWP108" s="1" t="s">
        <v>122</v>
      </c>
      <c r="NWQ108" s="1" t="s">
        <v>122</v>
      </c>
      <c r="NWR108" s="1" t="s">
        <v>122</v>
      </c>
      <c r="NWS108" s="1" t="s">
        <v>122</v>
      </c>
      <c r="NWT108" s="1" t="s">
        <v>122</v>
      </c>
      <c r="NWU108" s="1" t="s">
        <v>122</v>
      </c>
      <c r="NWV108" s="1" t="s">
        <v>122</v>
      </c>
      <c r="NWW108" s="1" t="s">
        <v>122</v>
      </c>
      <c r="NWX108" s="1" t="s">
        <v>122</v>
      </c>
      <c r="NWY108" s="1" t="s">
        <v>122</v>
      </c>
      <c r="NWZ108" s="1" t="s">
        <v>122</v>
      </c>
      <c r="NXA108" s="1" t="s">
        <v>122</v>
      </c>
      <c r="NXB108" s="1" t="s">
        <v>122</v>
      </c>
      <c r="NXC108" s="1" t="s">
        <v>122</v>
      </c>
      <c r="NXD108" s="1" t="s">
        <v>122</v>
      </c>
      <c r="NXE108" s="1" t="s">
        <v>122</v>
      </c>
      <c r="NXF108" s="1" t="s">
        <v>122</v>
      </c>
      <c r="NXG108" s="1" t="s">
        <v>122</v>
      </c>
      <c r="NXH108" s="1" t="s">
        <v>122</v>
      </c>
      <c r="NXI108" s="1" t="s">
        <v>122</v>
      </c>
      <c r="NXJ108" s="1" t="s">
        <v>122</v>
      </c>
      <c r="NXK108" s="1" t="s">
        <v>122</v>
      </c>
      <c r="NXL108" s="1" t="s">
        <v>122</v>
      </c>
      <c r="NXM108" s="1" t="s">
        <v>122</v>
      </c>
      <c r="NXN108" s="1" t="s">
        <v>122</v>
      </c>
      <c r="NXO108" s="1" t="s">
        <v>122</v>
      </c>
      <c r="NXP108" s="1" t="s">
        <v>122</v>
      </c>
      <c r="NXQ108" s="1" t="s">
        <v>122</v>
      </c>
      <c r="NXR108" s="1" t="s">
        <v>122</v>
      </c>
      <c r="NXS108" s="1" t="s">
        <v>122</v>
      </c>
      <c r="NXT108" s="1" t="s">
        <v>122</v>
      </c>
      <c r="NXU108" s="1" t="s">
        <v>122</v>
      </c>
      <c r="NXV108" s="1" t="s">
        <v>122</v>
      </c>
      <c r="NXW108" s="1" t="s">
        <v>122</v>
      </c>
      <c r="NXX108" s="1" t="s">
        <v>122</v>
      </c>
      <c r="NXY108" s="1" t="s">
        <v>122</v>
      </c>
      <c r="NXZ108" s="1" t="s">
        <v>122</v>
      </c>
      <c r="NYA108" s="1" t="s">
        <v>122</v>
      </c>
      <c r="NYB108" s="1" t="s">
        <v>122</v>
      </c>
      <c r="NYC108" s="1" t="s">
        <v>122</v>
      </c>
      <c r="NYD108" s="1" t="s">
        <v>122</v>
      </c>
      <c r="NYE108" s="1" t="s">
        <v>122</v>
      </c>
      <c r="NYF108" s="1" t="s">
        <v>122</v>
      </c>
      <c r="NYG108" s="1" t="s">
        <v>122</v>
      </c>
      <c r="NYH108" s="1" t="s">
        <v>122</v>
      </c>
      <c r="NYI108" s="1" t="s">
        <v>122</v>
      </c>
      <c r="NYJ108" s="1" t="s">
        <v>122</v>
      </c>
      <c r="NYK108" s="1" t="s">
        <v>122</v>
      </c>
      <c r="NYL108" s="1" t="s">
        <v>122</v>
      </c>
      <c r="NYM108" s="1" t="s">
        <v>122</v>
      </c>
      <c r="NYN108" s="1" t="s">
        <v>122</v>
      </c>
      <c r="NYO108" s="1" t="s">
        <v>122</v>
      </c>
      <c r="NYP108" s="1" t="s">
        <v>122</v>
      </c>
      <c r="NYQ108" s="1" t="s">
        <v>122</v>
      </c>
      <c r="NYR108" s="1" t="s">
        <v>122</v>
      </c>
      <c r="NYS108" s="1" t="s">
        <v>122</v>
      </c>
      <c r="NYT108" s="1" t="s">
        <v>122</v>
      </c>
      <c r="NYU108" s="1" t="s">
        <v>122</v>
      </c>
      <c r="NYV108" s="1" t="s">
        <v>122</v>
      </c>
      <c r="NYW108" s="1" t="s">
        <v>122</v>
      </c>
      <c r="NYX108" s="1" t="s">
        <v>122</v>
      </c>
      <c r="NYY108" s="1" t="s">
        <v>122</v>
      </c>
      <c r="NYZ108" s="1" t="s">
        <v>122</v>
      </c>
      <c r="NZA108" s="1" t="s">
        <v>122</v>
      </c>
      <c r="NZB108" s="1" t="s">
        <v>122</v>
      </c>
      <c r="NZC108" s="1" t="s">
        <v>122</v>
      </c>
      <c r="NZD108" s="1" t="s">
        <v>122</v>
      </c>
      <c r="NZE108" s="1" t="s">
        <v>122</v>
      </c>
      <c r="NZF108" s="1" t="s">
        <v>122</v>
      </c>
      <c r="NZG108" s="1" t="s">
        <v>122</v>
      </c>
      <c r="NZH108" s="1" t="s">
        <v>122</v>
      </c>
      <c r="NZI108" s="1" t="s">
        <v>122</v>
      </c>
      <c r="NZJ108" s="1" t="s">
        <v>122</v>
      </c>
      <c r="NZK108" s="1" t="s">
        <v>122</v>
      </c>
      <c r="NZL108" s="1" t="s">
        <v>122</v>
      </c>
      <c r="NZM108" s="1" t="s">
        <v>122</v>
      </c>
      <c r="NZN108" s="1" t="s">
        <v>122</v>
      </c>
      <c r="NZO108" s="1" t="s">
        <v>122</v>
      </c>
      <c r="NZP108" s="1" t="s">
        <v>122</v>
      </c>
      <c r="NZQ108" s="1" t="s">
        <v>122</v>
      </c>
      <c r="NZR108" s="1" t="s">
        <v>122</v>
      </c>
      <c r="NZS108" s="1" t="s">
        <v>122</v>
      </c>
      <c r="NZT108" s="1" t="s">
        <v>122</v>
      </c>
      <c r="NZU108" s="1" t="s">
        <v>122</v>
      </c>
      <c r="NZV108" s="1" t="s">
        <v>122</v>
      </c>
      <c r="NZW108" s="1" t="s">
        <v>122</v>
      </c>
      <c r="NZX108" s="1" t="s">
        <v>122</v>
      </c>
      <c r="NZY108" s="1" t="s">
        <v>122</v>
      </c>
      <c r="NZZ108" s="1" t="s">
        <v>122</v>
      </c>
      <c r="OAA108" s="1" t="s">
        <v>122</v>
      </c>
      <c r="OAB108" s="1" t="s">
        <v>122</v>
      </c>
      <c r="OAC108" s="1" t="s">
        <v>122</v>
      </c>
      <c r="OAD108" s="1" t="s">
        <v>122</v>
      </c>
      <c r="OAE108" s="1" t="s">
        <v>122</v>
      </c>
      <c r="OAF108" s="1" t="s">
        <v>122</v>
      </c>
      <c r="OAG108" s="1" t="s">
        <v>122</v>
      </c>
      <c r="OAH108" s="1" t="s">
        <v>122</v>
      </c>
      <c r="OAI108" s="1" t="s">
        <v>122</v>
      </c>
      <c r="OAJ108" s="1" t="s">
        <v>122</v>
      </c>
      <c r="OAK108" s="1" t="s">
        <v>122</v>
      </c>
      <c r="OAL108" s="1" t="s">
        <v>122</v>
      </c>
      <c r="OAM108" s="1" t="s">
        <v>122</v>
      </c>
      <c r="OAN108" s="1" t="s">
        <v>122</v>
      </c>
      <c r="OAO108" s="1" t="s">
        <v>122</v>
      </c>
      <c r="OAP108" s="1" t="s">
        <v>122</v>
      </c>
      <c r="OAQ108" s="1" t="s">
        <v>122</v>
      </c>
      <c r="OAR108" s="1" t="s">
        <v>122</v>
      </c>
      <c r="OAS108" s="1" t="s">
        <v>122</v>
      </c>
      <c r="OAT108" s="1" t="s">
        <v>122</v>
      </c>
      <c r="OAU108" s="1" t="s">
        <v>122</v>
      </c>
      <c r="OAV108" s="1" t="s">
        <v>122</v>
      </c>
      <c r="OAW108" s="1" t="s">
        <v>122</v>
      </c>
      <c r="OAX108" s="1" t="s">
        <v>122</v>
      </c>
      <c r="OAY108" s="1" t="s">
        <v>122</v>
      </c>
      <c r="OAZ108" s="1" t="s">
        <v>122</v>
      </c>
      <c r="OBA108" s="1" t="s">
        <v>122</v>
      </c>
      <c r="OBB108" s="1" t="s">
        <v>122</v>
      </c>
      <c r="OBC108" s="1" t="s">
        <v>122</v>
      </c>
      <c r="OBD108" s="1" t="s">
        <v>122</v>
      </c>
      <c r="OBE108" s="1" t="s">
        <v>122</v>
      </c>
      <c r="OBF108" s="1" t="s">
        <v>122</v>
      </c>
      <c r="OBG108" s="1" t="s">
        <v>122</v>
      </c>
      <c r="OBH108" s="1" t="s">
        <v>122</v>
      </c>
      <c r="OBI108" s="1" t="s">
        <v>122</v>
      </c>
      <c r="OBJ108" s="1" t="s">
        <v>122</v>
      </c>
      <c r="OBK108" s="1" t="s">
        <v>122</v>
      </c>
      <c r="OBL108" s="1" t="s">
        <v>122</v>
      </c>
      <c r="OBM108" s="1" t="s">
        <v>122</v>
      </c>
      <c r="OBN108" s="1" t="s">
        <v>122</v>
      </c>
      <c r="OBO108" s="1" t="s">
        <v>122</v>
      </c>
      <c r="OBP108" s="1" t="s">
        <v>122</v>
      </c>
      <c r="OBQ108" s="1" t="s">
        <v>122</v>
      </c>
      <c r="OBR108" s="1" t="s">
        <v>122</v>
      </c>
      <c r="OBS108" s="1" t="s">
        <v>122</v>
      </c>
      <c r="OBT108" s="1" t="s">
        <v>122</v>
      </c>
      <c r="OBU108" s="1" t="s">
        <v>122</v>
      </c>
      <c r="OBV108" s="1" t="s">
        <v>122</v>
      </c>
      <c r="OBW108" s="1" t="s">
        <v>122</v>
      </c>
      <c r="OBX108" s="1" t="s">
        <v>122</v>
      </c>
      <c r="OBY108" s="1" t="s">
        <v>122</v>
      </c>
      <c r="OBZ108" s="1" t="s">
        <v>122</v>
      </c>
      <c r="OCA108" s="1" t="s">
        <v>122</v>
      </c>
      <c r="OCB108" s="1" t="s">
        <v>122</v>
      </c>
      <c r="OCC108" s="1" t="s">
        <v>122</v>
      </c>
      <c r="OCD108" s="1" t="s">
        <v>122</v>
      </c>
      <c r="OCE108" s="1" t="s">
        <v>122</v>
      </c>
      <c r="OCF108" s="1" t="s">
        <v>122</v>
      </c>
      <c r="OCG108" s="1" t="s">
        <v>122</v>
      </c>
      <c r="OCH108" s="1" t="s">
        <v>122</v>
      </c>
      <c r="OCI108" s="1" t="s">
        <v>122</v>
      </c>
      <c r="OCJ108" s="1" t="s">
        <v>122</v>
      </c>
      <c r="OCK108" s="1" t="s">
        <v>122</v>
      </c>
      <c r="OCL108" s="1" t="s">
        <v>122</v>
      </c>
      <c r="OCM108" s="1" t="s">
        <v>122</v>
      </c>
      <c r="OCN108" s="1" t="s">
        <v>122</v>
      </c>
      <c r="OCO108" s="1" t="s">
        <v>122</v>
      </c>
      <c r="OCP108" s="1" t="s">
        <v>122</v>
      </c>
      <c r="OCQ108" s="1" t="s">
        <v>122</v>
      </c>
      <c r="OCR108" s="1" t="s">
        <v>122</v>
      </c>
      <c r="OCS108" s="1" t="s">
        <v>122</v>
      </c>
      <c r="OCT108" s="1" t="s">
        <v>122</v>
      </c>
      <c r="OCU108" s="1" t="s">
        <v>122</v>
      </c>
      <c r="OCV108" s="1" t="s">
        <v>122</v>
      </c>
      <c r="OCW108" s="1" t="s">
        <v>122</v>
      </c>
      <c r="OCX108" s="1" t="s">
        <v>122</v>
      </c>
      <c r="OCY108" s="1" t="s">
        <v>122</v>
      </c>
      <c r="OCZ108" s="1" t="s">
        <v>122</v>
      </c>
      <c r="ODA108" s="1" t="s">
        <v>122</v>
      </c>
      <c r="ODB108" s="1" t="s">
        <v>122</v>
      </c>
      <c r="ODC108" s="1" t="s">
        <v>122</v>
      </c>
      <c r="ODD108" s="1" t="s">
        <v>122</v>
      </c>
      <c r="ODE108" s="1" t="s">
        <v>122</v>
      </c>
      <c r="ODF108" s="1" t="s">
        <v>122</v>
      </c>
      <c r="ODG108" s="1" t="s">
        <v>122</v>
      </c>
      <c r="ODH108" s="1" t="s">
        <v>122</v>
      </c>
      <c r="ODI108" s="1" t="s">
        <v>122</v>
      </c>
      <c r="ODJ108" s="1" t="s">
        <v>122</v>
      </c>
      <c r="ODK108" s="1" t="s">
        <v>122</v>
      </c>
      <c r="ODL108" s="1" t="s">
        <v>122</v>
      </c>
      <c r="ODM108" s="1" t="s">
        <v>122</v>
      </c>
      <c r="ODN108" s="1" t="s">
        <v>122</v>
      </c>
      <c r="ODO108" s="1" t="s">
        <v>122</v>
      </c>
      <c r="ODP108" s="1" t="s">
        <v>122</v>
      </c>
      <c r="ODQ108" s="1" t="s">
        <v>122</v>
      </c>
      <c r="ODR108" s="1" t="s">
        <v>122</v>
      </c>
      <c r="ODS108" s="1" t="s">
        <v>122</v>
      </c>
      <c r="ODT108" s="1" t="s">
        <v>122</v>
      </c>
      <c r="ODU108" s="1" t="s">
        <v>122</v>
      </c>
      <c r="ODV108" s="1" t="s">
        <v>122</v>
      </c>
      <c r="ODW108" s="1" t="s">
        <v>122</v>
      </c>
      <c r="ODX108" s="1" t="s">
        <v>122</v>
      </c>
      <c r="ODY108" s="1" t="s">
        <v>122</v>
      </c>
      <c r="ODZ108" s="1" t="s">
        <v>122</v>
      </c>
      <c r="OEA108" s="1" t="s">
        <v>122</v>
      </c>
      <c r="OEB108" s="1" t="s">
        <v>122</v>
      </c>
      <c r="OEC108" s="1" t="s">
        <v>122</v>
      </c>
      <c r="OED108" s="1" t="s">
        <v>122</v>
      </c>
      <c r="OEE108" s="1" t="s">
        <v>122</v>
      </c>
      <c r="OEF108" s="1" t="s">
        <v>122</v>
      </c>
      <c r="OEG108" s="1" t="s">
        <v>122</v>
      </c>
      <c r="OEH108" s="1" t="s">
        <v>122</v>
      </c>
      <c r="OEI108" s="1" t="s">
        <v>122</v>
      </c>
      <c r="OEJ108" s="1" t="s">
        <v>122</v>
      </c>
      <c r="OEK108" s="1" t="s">
        <v>122</v>
      </c>
      <c r="OEL108" s="1" t="s">
        <v>122</v>
      </c>
      <c r="OEM108" s="1" t="s">
        <v>122</v>
      </c>
      <c r="OEN108" s="1" t="s">
        <v>122</v>
      </c>
      <c r="OEO108" s="1" t="s">
        <v>122</v>
      </c>
      <c r="OEP108" s="1" t="s">
        <v>122</v>
      </c>
      <c r="OEQ108" s="1" t="s">
        <v>122</v>
      </c>
      <c r="OER108" s="1" t="s">
        <v>122</v>
      </c>
      <c r="OES108" s="1" t="s">
        <v>122</v>
      </c>
      <c r="OET108" s="1" t="s">
        <v>122</v>
      </c>
      <c r="OEU108" s="1" t="s">
        <v>122</v>
      </c>
      <c r="OEV108" s="1" t="s">
        <v>122</v>
      </c>
      <c r="OEW108" s="1" t="s">
        <v>122</v>
      </c>
      <c r="OEX108" s="1" t="s">
        <v>122</v>
      </c>
      <c r="OEY108" s="1" t="s">
        <v>122</v>
      </c>
      <c r="OEZ108" s="1" t="s">
        <v>122</v>
      </c>
      <c r="OFA108" s="1" t="s">
        <v>122</v>
      </c>
      <c r="OFB108" s="1" t="s">
        <v>122</v>
      </c>
      <c r="OFC108" s="1" t="s">
        <v>122</v>
      </c>
      <c r="OFD108" s="1" t="s">
        <v>122</v>
      </c>
      <c r="OFE108" s="1" t="s">
        <v>122</v>
      </c>
      <c r="OFF108" s="1" t="s">
        <v>122</v>
      </c>
      <c r="OFG108" s="1" t="s">
        <v>122</v>
      </c>
      <c r="OFH108" s="1" t="s">
        <v>122</v>
      </c>
      <c r="OFI108" s="1" t="s">
        <v>122</v>
      </c>
      <c r="OFJ108" s="1" t="s">
        <v>122</v>
      </c>
      <c r="OFK108" s="1" t="s">
        <v>122</v>
      </c>
      <c r="OFL108" s="1" t="s">
        <v>122</v>
      </c>
      <c r="OFM108" s="1" t="s">
        <v>122</v>
      </c>
      <c r="OFN108" s="1" t="s">
        <v>122</v>
      </c>
      <c r="OFO108" s="1" t="s">
        <v>122</v>
      </c>
      <c r="OFP108" s="1" t="s">
        <v>122</v>
      </c>
      <c r="OFQ108" s="1" t="s">
        <v>122</v>
      </c>
      <c r="OFR108" s="1" t="s">
        <v>122</v>
      </c>
      <c r="OFS108" s="1" t="s">
        <v>122</v>
      </c>
      <c r="OFT108" s="1" t="s">
        <v>122</v>
      </c>
      <c r="OFU108" s="1" t="s">
        <v>122</v>
      </c>
      <c r="OFV108" s="1" t="s">
        <v>122</v>
      </c>
      <c r="OFW108" s="1" t="s">
        <v>122</v>
      </c>
      <c r="OFX108" s="1" t="s">
        <v>122</v>
      </c>
      <c r="OFY108" s="1" t="s">
        <v>122</v>
      </c>
      <c r="OFZ108" s="1" t="s">
        <v>122</v>
      </c>
      <c r="OGA108" s="1" t="s">
        <v>122</v>
      </c>
      <c r="OGB108" s="1" t="s">
        <v>122</v>
      </c>
      <c r="OGC108" s="1" t="s">
        <v>122</v>
      </c>
      <c r="OGD108" s="1" t="s">
        <v>122</v>
      </c>
      <c r="OGE108" s="1" t="s">
        <v>122</v>
      </c>
      <c r="OGF108" s="1" t="s">
        <v>122</v>
      </c>
      <c r="OGG108" s="1" t="s">
        <v>122</v>
      </c>
      <c r="OGH108" s="1" t="s">
        <v>122</v>
      </c>
      <c r="OGI108" s="1" t="s">
        <v>122</v>
      </c>
      <c r="OGJ108" s="1" t="s">
        <v>122</v>
      </c>
      <c r="OGK108" s="1" t="s">
        <v>122</v>
      </c>
      <c r="OGL108" s="1" t="s">
        <v>122</v>
      </c>
      <c r="OGM108" s="1" t="s">
        <v>122</v>
      </c>
      <c r="OGN108" s="1" t="s">
        <v>122</v>
      </c>
      <c r="OGO108" s="1" t="s">
        <v>122</v>
      </c>
      <c r="OGP108" s="1" t="s">
        <v>122</v>
      </c>
      <c r="OGQ108" s="1" t="s">
        <v>122</v>
      </c>
      <c r="OGR108" s="1" t="s">
        <v>122</v>
      </c>
      <c r="OGS108" s="1" t="s">
        <v>122</v>
      </c>
      <c r="OGT108" s="1" t="s">
        <v>122</v>
      </c>
      <c r="OGU108" s="1" t="s">
        <v>122</v>
      </c>
      <c r="OGV108" s="1" t="s">
        <v>122</v>
      </c>
      <c r="OGW108" s="1" t="s">
        <v>122</v>
      </c>
      <c r="OGX108" s="1" t="s">
        <v>122</v>
      </c>
      <c r="OGY108" s="1" t="s">
        <v>122</v>
      </c>
      <c r="OGZ108" s="1" t="s">
        <v>122</v>
      </c>
      <c r="OHA108" s="1" t="s">
        <v>122</v>
      </c>
      <c r="OHB108" s="1" t="s">
        <v>122</v>
      </c>
      <c r="OHC108" s="1" t="s">
        <v>122</v>
      </c>
      <c r="OHD108" s="1" t="s">
        <v>122</v>
      </c>
      <c r="OHE108" s="1" t="s">
        <v>122</v>
      </c>
      <c r="OHF108" s="1" t="s">
        <v>122</v>
      </c>
      <c r="OHG108" s="1" t="s">
        <v>122</v>
      </c>
      <c r="OHH108" s="1" t="s">
        <v>122</v>
      </c>
      <c r="OHI108" s="1" t="s">
        <v>122</v>
      </c>
      <c r="OHJ108" s="1" t="s">
        <v>122</v>
      </c>
      <c r="OHK108" s="1" t="s">
        <v>122</v>
      </c>
      <c r="OHL108" s="1" t="s">
        <v>122</v>
      </c>
      <c r="OHM108" s="1" t="s">
        <v>122</v>
      </c>
      <c r="OHN108" s="1" t="s">
        <v>122</v>
      </c>
      <c r="OHO108" s="1" t="s">
        <v>122</v>
      </c>
      <c r="OHP108" s="1" t="s">
        <v>122</v>
      </c>
      <c r="OHQ108" s="1" t="s">
        <v>122</v>
      </c>
      <c r="OHR108" s="1" t="s">
        <v>122</v>
      </c>
      <c r="OHS108" s="1" t="s">
        <v>122</v>
      </c>
      <c r="OHT108" s="1" t="s">
        <v>122</v>
      </c>
      <c r="OHU108" s="1" t="s">
        <v>122</v>
      </c>
      <c r="OHV108" s="1" t="s">
        <v>122</v>
      </c>
      <c r="OHW108" s="1" t="s">
        <v>122</v>
      </c>
      <c r="OHX108" s="1" t="s">
        <v>122</v>
      </c>
      <c r="OHY108" s="1" t="s">
        <v>122</v>
      </c>
      <c r="OHZ108" s="1" t="s">
        <v>122</v>
      </c>
      <c r="OIA108" s="1" t="s">
        <v>122</v>
      </c>
      <c r="OIB108" s="1" t="s">
        <v>122</v>
      </c>
      <c r="OIC108" s="1" t="s">
        <v>122</v>
      </c>
      <c r="OID108" s="1" t="s">
        <v>122</v>
      </c>
      <c r="OIE108" s="1" t="s">
        <v>122</v>
      </c>
      <c r="OIF108" s="1" t="s">
        <v>122</v>
      </c>
      <c r="OIG108" s="1" t="s">
        <v>122</v>
      </c>
      <c r="OIH108" s="1" t="s">
        <v>122</v>
      </c>
      <c r="OII108" s="1" t="s">
        <v>122</v>
      </c>
      <c r="OIJ108" s="1" t="s">
        <v>122</v>
      </c>
      <c r="OIK108" s="1" t="s">
        <v>122</v>
      </c>
      <c r="OIL108" s="1" t="s">
        <v>122</v>
      </c>
      <c r="OIM108" s="1" t="s">
        <v>122</v>
      </c>
      <c r="OIN108" s="1" t="s">
        <v>122</v>
      </c>
      <c r="OIO108" s="1" t="s">
        <v>122</v>
      </c>
      <c r="OIP108" s="1" t="s">
        <v>122</v>
      </c>
      <c r="OIQ108" s="1" t="s">
        <v>122</v>
      </c>
      <c r="OIR108" s="1" t="s">
        <v>122</v>
      </c>
      <c r="OIS108" s="1" t="s">
        <v>122</v>
      </c>
      <c r="OIT108" s="1" t="s">
        <v>122</v>
      </c>
      <c r="OIU108" s="1" t="s">
        <v>122</v>
      </c>
      <c r="OIV108" s="1" t="s">
        <v>122</v>
      </c>
      <c r="OIW108" s="1" t="s">
        <v>122</v>
      </c>
      <c r="OIX108" s="1" t="s">
        <v>122</v>
      </c>
      <c r="OIY108" s="1" t="s">
        <v>122</v>
      </c>
      <c r="OIZ108" s="1" t="s">
        <v>122</v>
      </c>
      <c r="OJA108" s="1" t="s">
        <v>122</v>
      </c>
      <c r="OJB108" s="1" t="s">
        <v>122</v>
      </c>
      <c r="OJC108" s="1" t="s">
        <v>122</v>
      </c>
      <c r="OJD108" s="1" t="s">
        <v>122</v>
      </c>
      <c r="OJE108" s="1" t="s">
        <v>122</v>
      </c>
      <c r="OJF108" s="1" t="s">
        <v>122</v>
      </c>
      <c r="OJG108" s="1" t="s">
        <v>122</v>
      </c>
      <c r="OJH108" s="1" t="s">
        <v>122</v>
      </c>
      <c r="OJI108" s="1" t="s">
        <v>122</v>
      </c>
      <c r="OJJ108" s="1" t="s">
        <v>122</v>
      </c>
      <c r="OJK108" s="1" t="s">
        <v>122</v>
      </c>
      <c r="OJL108" s="1" t="s">
        <v>122</v>
      </c>
      <c r="OJM108" s="1" t="s">
        <v>122</v>
      </c>
      <c r="OJN108" s="1" t="s">
        <v>122</v>
      </c>
      <c r="OJO108" s="1" t="s">
        <v>122</v>
      </c>
      <c r="OJP108" s="1" t="s">
        <v>122</v>
      </c>
      <c r="OJQ108" s="1" t="s">
        <v>122</v>
      </c>
      <c r="OJR108" s="1" t="s">
        <v>122</v>
      </c>
      <c r="OJS108" s="1" t="s">
        <v>122</v>
      </c>
      <c r="OJT108" s="1" t="s">
        <v>122</v>
      </c>
      <c r="OJU108" s="1" t="s">
        <v>122</v>
      </c>
      <c r="OJV108" s="1" t="s">
        <v>122</v>
      </c>
      <c r="OJW108" s="1" t="s">
        <v>122</v>
      </c>
      <c r="OJX108" s="1" t="s">
        <v>122</v>
      </c>
      <c r="OJY108" s="1" t="s">
        <v>122</v>
      </c>
      <c r="OJZ108" s="1" t="s">
        <v>122</v>
      </c>
      <c r="OKA108" s="1" t="s">
        <v>122</v>
      </c>
      <c r="OKB108" s="1" t="s">
        <v>122</v>
      </c>
      <c r="OKC108" s="1" t="s">
        <v>122</v>
      </c>
      <c r="OKD108" s="1" t="s">
        <v>122</v>
      </c>
      <c r="OKE108" s="1" t="s">
        <v>122</v>
      </c>
      <c r="OKF108" s="1" t="s">
        <v>122</v>
      </c>
      <c r="OKG108" s="1" t="s">
        <v>122</v>
      </c>
      <c r="OKH108" s="1" t="s">
        <v>122</v>
      </c>
      <c r="OKI108" s="1" t="s">
        <v>122</v>
      </c>
      <c r="OKJ108" s="1" t="s">
        <v>122</v>
      </c>
      <c r="OKK108" s="1" t="s">
        <v>122</v>
      </c>
      <c r="OKL108" s="1" t="s">
        <v>122</v>
      </c>
      <c r="OKM108" s="1" t="s">
        <v>122</v>
      </c>
      <c r="OKN108" s="1" t="s">
        <v>122</v>
      </c>
      <c r="OKO108" s="1" t="s">
        <v>122</v>
      </c>
      <c r="OKP108" s="1" t="s">
        <v>122</v>
      </c>
      <c r="OKQ108" s="1" t="s">
        <v>122</v>
      </c>
      <c r="OKR108" s="1" t="s">
        <v>122</v>
      </c>
      <c r="OKS108" s="1" t="s">
        <v>122</v>
      </c>
      <c r="OKT108" s="1" t="s">
        <v>122</v>
      </c>
      <c r="OKU108" s="1" t="s">
        <v>122</v>
      </c>
      <c r="OKV108" s="1" t="s">
        <v>122</v>
      </c>
      <c r="OKW108" s="1" t="s">
        <v>122</v>
      </c>
      <c r="OKX108" s="1" t="s">
        <v>122</v>
      </c>
      <c r="OKY108" s="1" t="s">
        <v>122</v>
      </c>
      <c r="OKZ108" s="1" t="s">
        <v>122</v>
      </c>
      <c r="OLA108" s="1" t="s">
        <v>122</v>
      </c>
      <c r="OLB108" s="1" t="s">
        <v>122</v>
      </c>
      <c r="OLC108" s="1" t="s">
        <v>122</v>
      </c>
      <c r="OLD108" s="1" t="s">
        <v>122</v>
      </c>
      <c r="OLE108" s="1" t="s">
        <v>122</v>
      </c>
      <c r="OLF108" s="1" t="s">
        <v>122</v>
      </c>
      <c r="OLG108" s="1" t="s">
        <v>122</v>
      </c>
      <c r="OLH108" s="1" t="s">
        <v>122</v>
      </c>
      <c r="OLI108" s="1" t="s">
        <v>122</v>
      </c>
      <c r="OLJ108" s="1" t="s">
        <v>122</v>
      </c>
      <c r="OLK108" s="1" t="s">
        <v>122</v>
      </c>
      <c r="OLL108" s="1" t="s">
        <v>122</v>
      </c>
      <c r="OLM108" s="1" t="s">
        <v>122</v>
      </c>
      <c r="OLN108" s="1" t="s">
        <v>122</v>
      </c>
      <c r="OLO108" s="1" t="s">
        <v>122</v>
      </c>
      <c r="OLP108" s="1" t="s">
        <v>122</v>
      </c>
      <c r="OLQ108" s="1" t="s">
        <v>122</v>
      </c>
      <c r="OLR108" s="1" t="s">
        <v>122</v>
      </c>
      <c r="OLS108" s="1" t="s">
        <v>122</v>
      </c>
      <c r="OLT108" s="1" t="s">
        <v>122</v>
      </c>
      <c r="OLU108" s="1" t="s">
        <v>122</v>
      </c>
      <c r="OLV108" s="1" t="s">
        <v>122</v>
      </c>
      <c r="OLW108" s="1" t="s">
        <v>122</v>
      </c>
      <c r="OLX108" s="1" t="s">
        <v>122</v>
      </c>
      <c r="OLY108" s="1" t="s">
        <v>122</v>
      </c>
      <c r="OLZ108" s="1" t="s">
        <v>122</v>
      </c>
      <c r="OMA108" s="1" t="s">
        <v>122</v>
      </c>
      <c r="OMB108" s="1" t="s">
        <v>122</v>
      </c>
      <c r="OMC108" s="1" t="s">
        <v>122</v>
      </c>
      <c r="OMD108" s="1" t="s">
        <v>122</v>
      </c>
      <c r="OME108" s="1" t="s">
        <v>122</v>
      </c>
      <c r="OMF108" s="1" t="s">
        <v>122</v>
      </c>
      <c r="OMG108" s="1" t="s">
        <v>122</v>
      </c>
      <c r="OMH108" s="1" t="s">
        <v>122</v>
      </c>
      <c r="OMI108" s="1" t="s">
        <v>122</v>
      </c>
      <c r="OMJ108" s="1" t="s">
        <v>122</v>
      </c>
      <c r="OMK108" s="1" t="s">
        <v>122</v>
      </c>
      <c r="OML108" s="1" t="s">
        <v>122</v>
      </c>
      <c r="OMM108" s="1" t="s">
        <v>122</v>
      </c>
      <c r="OMN108" s="1" t="s">
        <v>122</v>
      </c>
      <c r="OMO108" s="1" t="s">
        <v>122</v>
      </c>
      <c r="OMP108" s="1" t="s">
        <v>122</v>
      </c>
      <c r="OMQ108" s="1" t="s">
        <v>122</v>
      </c>
      <c r="OMR108" s="1" t="s">
        <v>122</v>
      </c>
      <c r="OMS108" s="1" t="s">
        <v>122</v>
      </c>
      <c r="OMT108" s="1" t="s">
        <v>122</v>
      </c>
      <c r="OMU108" s="1" t="s">
        <v>122</v>
      </c>
      <c r="OMV108" s="1" t="s">
        <v>122</v>
      </c>
      <c r="OMW108" s="1" t="s">
        <v>122</v>
      </c>
      <c r="OMX108" s="1" t="s">
        <v>122</v>
      </c>
      <c r="OMY108" s="1" t="s">
        <v>122</v>
      </c>
      <c r="OMZ108" s="1" t="s">
        <v>122</v>
      </c>
      <c r="ONA108" s="1" t="s">
        <v>122</v>
      </c>
      <c r="ONB108" s="1" t="s">
        <v>122</v>
      </c>
      <c r="ONC108" s="1" t="s">
        <v>122</v>
      </c>
      <c r="OND108" s="1" t="s">
        <v>122</v>
      </c>
      <c r="ONE108" s="1" t="s">
        <v>122</v>
      </c>
      <c r="ONF108" s="1" t="s">
        <v>122</v>
      </c>
      <c r="ONG108" s="1" t="s">
        <v>122</v>
      </c>
      <c r="ONH108" s="1" t="s">
        <v>122</v>
      </c>
      <c r="ONI108" s="1" t="s">
        <v>122</v>
      </c>
      <c r="ONJ108" s="1" t="s">
        <v>122</v>
      </c>
      <c r="ONK108" s="1" t="s">
        <v>122</v>
      </c>
      <c r="ONL108" s="1" t="s">
        <v>122</v>
      </c>
      <c r="ONM108" s="1" t="s">
        <v>122</v>
      </c>
      <c r="ONN108" s="1" t="s">
        <v>122</v>
      </c>
      <c r="ONO108" s="1" t="s">
        <v>122</v>
      </c>
      <c r="ONP108" s="1" t="s">
        <v>122</v>
      </c>
      <c r="ONQ108" s="1" t="s">
        <v>122</v>
      </c>
      <c r="ONR108" s="1" t="s">
        <v>122</v>
      </c>
      <c r="ONS108" s="1" t="s">
        <v>122</v>
      </c>
      <c r="ONT108" s="1" t="s">
        <v>122</v>
      </c>
      <c r="ONU108" s="1" t="s">
        <v>122</v>
      </c>
      <c r="ONV108" s="1" t="s">
        <v>122</v>
      </c>
      <c r="ONW108" s="1" t="s">
        <v>122</v>
      </c>
      <c r="ONX108" s="1" t="s">
        <v>122</v>
      </c>
      <c r="ONY108" s="1" t="s">
        <v>122</v>
      </c>
      <c r="ONZ108" s="1" t="s">
        <v>122</v>
      </c>
      <c r="OOA108" s="1" t="s">
        <v>122</v>
      </c>
      <c r="OOB108" s="1" t="s">
        <v>122</v>
      </c>
      <c r="OOC108" s="1" t="s">
        <v>122</v>
      </c>
      <c r="OOD108" s="1" t="s">
        <v>122</v>
      </c>
      <c r="OOE108" s="1" t="s">
        <v>122</v>
      </c>
      <c r="OOF108" s="1" t="s">
        <v>122</v>
      </c>
      <c r="OOG108" s="1" t="s">
        <v>122</v>
      </c>
      <c r="OOH108" s="1" t="s">
        <v>122</v>
      </c>
      <c r="OOI108" s="1" t="s">
        <v>122</v>
      </c>
      <c r="OOJ108" s="1" t="s">
        <v>122</v>
      </c>
      <c r="OOK108" s="1" t="s">
        <v>122</v>
      </c>
      <c r="OOL108" s="1" t="s">
        <v>122</v>
      </c>
      <c r="OOM108" s="1" t="s">
        <v>122</v>
      </c>
      <c r="OON108" s="1" t="s">
        <v>122</v>
      </c>
      <c r="OOO108" s="1" t="s">
        <v>122</v>
      </c>
      <c r="OOP108" s="1" t="s">
        <v>122</v>
      </c>
      <c r="OOQ108" s="1" t="s">
        <v>122</v>
      </c>
      <c r="OOR108" s="1" t="s">
        <v>122</v>
      </c>
      <c r="OOS108" s="1" t="s">
        <v>122</v>
      </c>
      <c r="OOT108" s="1" t="s">
        <v>122</v>
      </c>
      <c r="OOU108" s="1" t="s">
        <v>122</v>
      </c>
      <c r="OOV108" s="1" t="s">
        <v>122</v>
      </c>
      <c r="OOW108" s="1" t="s">
        <v>122</v>
      </c>
      <c r="OOX108" s="1" t="s">
        <v>122</v>
      </c>
      <c r="OOY108" s="1" t="s">
        <v>122</v>
      </c>
      <c r="OOZ108" s="1" t="s">
        <v>122</v>
      </c>
      <c r="OPA108" s="1" t="s">
        <v>122</v>
      </c>
      <c r="OPB108" s="1" t="s">
        <v>122</v>
      </c>
      <c r="OPC108" s="1" t="s">
        <v>122</v>
      </c>
      <c r="OPD108" s="1" t="s">
        <v>122</v>
      </c>
      <c r="OPE108" s="1" t="s">
        <v>122</v>
      </c>
      <c r="OPF108" s="1" t="s">
        <v>122</v>
      </c>
      <c r="OPG108" s="1" t="s">
        <v>122</v>
      </c>
      <c r="OPH108" s="1" t="s">
        <v>122</v>
      </c>
      <c r="OPI108" s="1" t="s">
        <v>122</v>
      </c>
      <c r="OPJ108" s="1" t="s">
        <v>122</v>
      </c>
      <c r="OPK108" s="1" t="s">
        <v>122</v>
      </c>
      <c r="OPL108" s="1" t="s">
        <v>122</v>
      </c>
      <c r="OPM108" s="1" t="s">
        <v>122</v>
      </c>
      <c r="OPN108" s="1" t="s">
        <v>122</v>
      </c>
      <c r="OPO108" s="1" t="s">
        <v>122</v>
      </c>
      <c r="OPP108" s="1" t="s">
        <v>122</v>
      </c>
      <c r="OPQ108" s="1" t="s">
        <v>122</v>
      </c>
      <c r="OPR108" s="1" t="s">
        <v>122</v>
      </c>
      <c r="OPS108" s="1" t="s">
        <v>122</v>
      </c>
      <c r="OPT108" s="1" t="s">
        <v>122</v>
      </c>
      <c r="OPU108" s="1" t="s">
        <v>122</v>
      </c>
      <c r="OPV108" s="1" t="s">
        <v>122</v>
      </c>
      <c r="OPW108" s="1" t="s">
        <v>122</v>
      </c>
      <c r="OPX108" s="1" t="s">
        <v>122</v>
      </c>
      <c r="OPY108" s="1" t="s">
        <v>122</v>
      </c>
      <c r="OPZ108" s="1" t="s">
        <v>122</v>
      </c>
      <c r="OQA108" s="1" t="s">
        <v>122</v>
      </c>
      <c r="OQB108" s="1" t="s">
        <v>122</v>
      </c>
      <c r="OQC108" s="1" t="s">
        <v>122</v>
      </c>
      <c r="OQD108" s="1" t="s">
        <v>122</v>
      </c>
      <c r="OQE108" s="1" t="s">
        <v>122</v>
      </c>
      <c r="OQF108" s="1" t="s">
        <v>122</v>
      </c>
      <c r="OQG108" s="1" t="s">
        <v>122</v>
      </c>
      <c r="OQH108" s="1" t="s">
        <v>122</v>
      </c>
      <c r="OQI108" s="1" t="s">
        <v>122</v>
      </c>
      <c r="OQJ108" s="1" t="s">
        <v>122</v>
      </c>
      <c r="OQK108" s="1" t="s">
        <v>122</v>
      </c>
      <c r="OQL108" s="1" t="s">
        <v>122</v>
      </c>
      <c r="OQM108" s="1" t="s">
        <v>122</v>
      </c>
      <c r="OQN108" s="1" t="s">
        <v>122</v>
      </c>
      <c r="OQO108" s="1" t="s">
        <v>122</v>
      </c>
      <c r="OQP108" s="1" t="s">
        <v>122</v>
      </c>
      <c r="OQQ108" s="1" t="s">
        <v>122</v>
      </c>
      <c r="OQR108" s="1" t="s">
        <v>122</v>
      </c>
      <c r="OQS108" s="1" t="s">
        <v>122</v>
      </c>
      <c r="OQT108" s="1" t="s">
        <v>122</v>
      </c>
      <c r="OQU108" s="1" t="s">
        <v>122</v>
      </c>
      <c r="OQV108" s="1" t="s">
        <v>122</v>
      </c>
      <c r="OQW108" s="1" t="s">
        <v>122</v>
      </c>
      <c r="OQX108" s="1" t="s">
        <v>122</v>
      </c>
      <c r="OQY108" s="1" t="s">
        <v>122</v>
      </c>
      <c r="OQZ108" s="1" t="s">
        <v>122</v>
      </c>
      <c r="ORA108" s="1" t="s">
        <v>122</v>
      </c>
      <c r="ORB108" s="1" t="s">
        <v>122</v>
      </c>
      <c r="ORC108" s="1" t="s">
        <v>122</v>
      </c>
      <c r="ORD108" s="1" t="s">
        <v>122</v>
      </c>
      <c r="ORE108" s="1" t="s">
        <v>122</v>
      </c>
      <c r="ORF108" s="1" t="s">
        <v>122</v>
      </c>
      <c r="ORG108" s="1" t="s">
        <v>122</v>
      </c>
      <c r="ORH108" s="1" t="s">
        <v>122</v>
      </c>
      <c r="ORI108" s="1" t="s">
        <v>122</v>
      </c>
      <c r="ORJ108" s="1" t="s">
        <v>122</v>
      </c>
      <c r="ORK108" s="1" t="s">
        <v>122</v>
      </c>
      <c r="ORL108" s="1" t="s">
        <v>122</v>
      </c>
      <c r="ORM108" s="1" t="s">
        <v>122</v>
      </c>
      <c r="ORN108" s="1" t="s">
        <v>122</v>
      </c>
      <c r="ORO108" s="1" t="s">
        <v>122</v>
      </c>
      <c r="ORP108" s="1" t="s">
        <v>122</v>
      </c>
      <c r="ORQ108" s="1" t="s">
        <v>122</v>
      </c>
      <c r="ORR108" s="1" t="s">
        <v>122</v>
      </c>
      <c r="ORS108" s="1" t="s">
        <v>122</v>
      </c>
      <c r="ORT108" s="1" t="s">
        <v>122</v>
      </c>
      <c r="ORU108" s="1" t="s">
        <v>122</v>
      </c>
      <c r="ORV108" s="1" t="s">
        <v>122</v>
      </c>
      <c r="ORW108" s="1" t="s">
        <v>122</v>
      </c>
      <c r="ORX108" s="1" t="s">
        <v>122</v>
      </c>
      <c r="ORY108" s="1" t="s">
        <v>122</v>
      </c>
      <c r="ORZ108" s="1" t="s">
        <v>122</v>
      </c>
      <c r="OSA108" s="1" t="s">
        <v>122</v>
      </c>
      <c r="OSB108" s="1" t="s">
        <v>122</v>
      </c>
      <c r="OSC108" s="1" t="s">
        <v>122</v>
      </c>
      <c r="OSD108" s="1" t="s">
        <v>122</v>
      </c>
      <c r="OSE108" s="1" t="s">
        <v>122</v>
      </c>
      <c r="OSF108" s="1" t="s">
        <v>122</v>
      </c>
      <c r="OSG108" s="1" t="s">
        <v>122</v>
      </c>
      <c r="OSH108" s="1" t="s">
        <v>122</v>
      </c>
      <c r="OSI108" s="1" t="s">
        <v>122</v>
      </c>
      <c r="OSJ108" s="1" t="s">
        <v>122</v>
      </c>
      <c r="OSK108" s="1" t="s">
        <v>122</v>
      </c>
      <c r="OSL108" s="1" t="s">
        <v>122</v>
      </c>
      <c r="OSM108" s="1" t="s">
        <v>122</v>
      </c>
      <c r="OSN108" s="1" t="s">
        <v>122</v>
      </c>
      <c r="OSO108" s="1" t="s">
        <v>122</v>
      </c>
      <c r="OSP108" s="1" t="s">
        <v>122</v>
      </c>
      <c r="OSQ108" s="1" t="s">
        <v>122</v>
      </c>
      <c r="OSR108" s="1" t="s">
        <v>122</v>
      </c>
      <c r="OSS108" s="1" t="s">
        <v>122</v>
      </c>
      <c r="OST108" s="1" t="s">
        <v>122</v>
      </c>
      <c r="OSU108" s="1" t="s">
        <v>122</v>
      </c>
      <c r="OSV108" s="1" t="s">
        <v>122</v>
      </c>
      <c r="OSW108" s="1" t="s">
        <v>122</v>
      </c>
      <c r="OSX108" s="1" t="s">
        <v>122</v>
      </c>
      <c r="OSY108" s="1" t="s">
        <v>122</v>
      </c>
      <c r="OSZ108" s="1" t="s">
        <v>122</v>
      </c>
      <c r="OTA108" s="1" t="s">
        <v>122</v>
      </c>
      <c r="OTB108" s="1" t="s">
        <v>122</v>
      </c>
      <c r="OTC108" s="1" t="s">
        <v>122</v>
      </c>
      <c r="OTD108" s="1" t="s">
        <v>122</v>
      </c>
      <c r="OTE108" s="1" t="s">
        <v>122</v>
      </c>
      <c r="OTF108" s="1" t="s">
        <v>122</v>
      </c>
      <c r="OTG108" s="1" t="s">
        <v>122</v>
      </c>
      <c r="OTH108" s="1" t="s">
        <v>122</v>
      </c>
      <c r="OTI108" s="1" t="s">
        <v>122</v>
      </c>
      <c r="OTJ108" s="1" t="s">
        <v>122</v>
      </c>
      <c r="OTK108" s="1" t="s">
        <v>122</v>
      </c>
      <c r="OTL108" s="1" t="s">
        <v>122</v>
      </c>
      <c r="OTM108" s="1" t="s">
        <v>122</v>
      </c>
      <c r="OTN108" s="1" t="s">
        <v>122</v>
      </c>
      <c r="OTO108" s="1" t="s">
        <v>122</v>
      </c>
      <c r="OTP108" s="1" t="s">
        <v>122</v>
      </c>
      <c r="OTQ108" s="1" t="s">
        <v>122</v>
      </c>
      <c r="OTR108" s="1" t="s">
        <v>122</v>
      </c>
      <c r="OTS108" s="1" t="s">
        <v>122</v>
      </c>
      <c r="OTT108" s="1" t="s">
        <v>122</v>
      </c>
      <c r="OTU108" s="1" t="s">
        <v>122</v>
      </c>
      <c r="OTV108" s="1" t="s">
        <v>122</v>
      </c>
      <c r="OTW108" s="1" t="s">
        <v>122</v>
      </c>
      <c r="OTX108" s="1" t="s">
        <v>122</v>
      </c>
      <c r="OTY108" s="1" t="s">
        <v>122</v>
      </c>
      <c r="OTZ108" s="1" t="s">
        <v>122</v>
      </c>
      <c r="OUA108" s="1" t="s">
        <v>122</v>
      </c>
      <c r="OUB108" s="1" t="s">
        <v>122</v>
      </c>
      <c r="OUC108" s="1" t="s">
        <v>122</v>
      </c>
      <c r="OUD108" s="1" t="s">
        <v>122</v>
      </c>
      <c r="OUE108" s="1" t="s">
        <v>122</v>
      </c>
      <c r="OUF108" s="1" t="s">
        <v>122</v>
      </c>
      <c r="OUG108" s="1" t="s">
        <v>122</v>
      </c>
      <c r="OUH108" s="1" t="s">
        <v>122</v>
      </c>
      <c r="OUI108" s="1" t="s">
        <v>122</v>
      </c>
      <c r="OUJ108" s="1" t="s">
        <v>122</v>
      </c>
      <c r="OUK108" s="1" t="s">
        <v>122</v>
      </c>
      <c r="OUL108" s="1" t="s">
        <v>122</v>
      </c>
      <c r="OUM108" s="1" t="s">
        <v>122</v>
      </c>
      <c r="OUN108" s="1" t="s">
        <v>122</v>
      </c>
      <c r="OUO108" s="1" t="s">
        <v>122</v>
      </c>
      <c r="OUP108" s="1" t="s">
        <v>122</v>
      </c>
      <c r="OUQ108" s="1" t="s">
        <v>122</v>
      </c>
      <c r="OUR108" s="1" t="s">
        <v>122</v>
      </c>
      <c r="OUS108" s="1" t="s">
        <v>122</v>
      </c>
      <c r="OUT108" s="1" t="s">
        <v>122</v>
      </c>
      <c r="OUU108" s="1" t="s">
        <v>122</v>
      </c>
      <c r="OUV108" s="1" t="s">
        <v>122</v>
      </c>
      <c r="OUW108" s="1" t="s">
        <v>122</v>
      </c>
      <c r="OUX108" s="1" t="s">
        <v>122</v>
      </c>
      <c r="OUY108" s="1" t="s">
        <v>122</v>
      </c>
      <c r="OUZ108" s="1" t="s">
        <v>122</v>
      </c>
      <c r="OVA108" s="1" t="s">
        <v>122</v>
      </c>
      <c r="OVB108" s="1" t="s">
        <v>122</v>
      </c>
      <c r="OVC108" s="1" t="s">
        <v>122</v>
      </c>
      <c r="OVD108" s="1" t="s">
        <v>122</v>
      </c>
      <c r="OVE108" s="1" t="s">
        <v>122</v>
      </c>
      <c r="OVF108" s="1" t="s">
        <v>122</v>
      </c>
      <c r="OVG108" s="1" t="s">
        <v>122</v>
      </c>
      <c r="OVH108" s="1" t="s">
        <v>122</v>
      </c>
      <c r="OVI108" s="1" t="s">
        <v>122</v>
      </c>
      <c r="OVJ108" s="1" t="s">
        <v>122</v>
      </c>
      <c r="OVK108" s="1" t="s">
        <v>122</v>
      </c>
      <c r="OVL108" s="1" t="s">
        <v>122</v>
      </c>
      <c r="OVM108" s="1" t="s">
        <v>122</v>
      </c>
      <c r="OVN108" s="1" t="s">
        <v>122</v>
      </c>
      <c r="OVO108" s="1" t="s">
        <v>122</v>
      </c>
      <c r="OVP108" s="1" t="s">
        <v>122</v>
      </c>
      <c r="OVQ108" s="1" t="s">
        <v>122</v>
      </c>
      <c r="OVR108" s="1" t="s">
        <v>122</v>
      </c>
      <c r="OVS108" s="1" t="s">
        <v>122</v>
      </c>
      <c r="OVT108" s="1" t="s">
        <v>122</v>
      </c>
      <c r="OVU108" s="1" t="s">
        <v>122</v>
      </c>
      <c r="OVV108" s="1" t="s">
        <v>122</v>
      </c>
      <c r="OVW108" s="1" t="s">
        <v>122</v>
      </c>
      <c r="OVX108" s="1" t="s">
        <v>122</v>
      </c>
      <c r="OVY108" s="1" t="s">
        <v>122</v>
      </c>
      <c r="OVZ108" s="1" t="s">
        <v>122</v>
      </c>
      <c r="OWA108" s="1" t="s">
        <v>122</v>
      </c>
      <c r="OWB108" s="1" t="s">
        <v>122</v>
      </c>
      <c r="OWC108" s="1" t="s">
        <v>122</v>
      </c>
      <c r="OWD108" s="1" t="s">
        <v>122</v>
      </c>
      <c r="OWE108" s="1" t="s">
        <v>122</v>
      </c>
      <c r="OWF108" s="1" t="s">
        <v>122</v>
      </c>
      <c r="OWG108" s="1" t="s">
        <v>122</v>
      </c>
      <c r="OWH108" s="1" t="s">
        <v>122</v>
      </c>
      <c r="OWI108" s="1" t="s">
        <v>122</v>
      </c>
      <c r="OWJ108" s="1" t="s">
        <v>122</v>
      </c>
      <c r="OWK108" s="1" t="s">
        <v>122</v>
      </c>
      <c r="OWL108" s="1" t="s">
        <v>122</v>
      </c>
      <c r="OWM108" s="1" t="s">
        <v>122</v>
      </c>
      <c r="OWN108" s="1" t="s">
        <v>122</v>
      </c>
      <c r="OWO108" s="1" t="s">
        <v>122</v>
      </c>
      <c r="OWP108" s="1" t="s">
        <v>122</v>
      </c>
      <c r="OWQ108" s="1" t="s">
        <v>122</v>
      </c>
      <c r="OWR108" s="1" t="s">
        <v>122</v>
      </c>
      <c r="OWS108" s="1" t="s">
        <v>122</v>
      </c>
      <c r="OWT108" s="1" t="s">
        <v>122</v>
      </c>
      <c r="OWU108" s="1" t="s">
        <v>122</v>
      </c>
      <c r="OWV108" s="1" t="s">
        <v>122</v>
      </c>
      <c r="OWW108" s="1" t="s">
        <v>122</v>
      </c>
      <c r="OWX108" s="1" t="s">
        <v>122</v>
      </c>
      <c r="OWY108" s="1" t="s">
        <v>122</v>
      </c>
      <c r="OWZ108" s="1" t="s">
        <v>122</v>
      </c>
      <c r="OXA108" s="1" t="s">
        <v>122</v>
      </c>
      <c r="OXB108" s="1" t="s">
        <v>122</v>
      </c>
      <c r="OXC108" s="1" t="s">
        <v>122</v>
      </c>
      <c r="OXD108" s="1" t="s">
        <v>122</v>
      </c>
      <c r="OXE108" s="1" t="s">
        <v>122</v>
      </c>
      <c r="OXF108" s="1" t="s">
        <v>122</v>
      </c>
      <c r="OXG108" s="1" t="s">
        <v>122</v>
      </c>
      <c r="OXH108" s="1" t="s">
        <v>122</v>
      </c>
      <c r="OXI108" s="1" t="s">
        <v>122</v>
      </c>
      <c r="OXJ108" s="1" t="s">
        <v>122</v>
      </c>
      <c r="OXK108" s="1" t="s">
        <v>122</v>
      </c>
      <c r="OXL108" s="1" t="s">
        <v>122</v>
      </c>
      <c r="OXM108" s="1" t="s">
        <v>122</v>
      </c>
      <c r="OXN108" s="1" t="s">
        <v>122</v>
      </c>
      <c r="OXO108" s="1" t="s">
        <v>122</v>
      </c>
      <c r="OXP108" s="1" t="s">
        <v>122</v>
      </c>
      <c r="OXQ108" s="1" t="s">
        <v>122</v>
      </c>
      <c r="OXR108" s="1" t="s">
        <v>122</v>
      </c>
      <c r="OXS108" s="1" t="s">
        <v>122</v>
      </c>
      <c r="OXT108" s="1" t="s">
        <v>122</v>
      </c>
      <c r="OXU108" s="1" t="s">
        <v>122</v>
      </c>
      <c r="OXV108" s="1" t="s">
        <v>122</v>
      </c>
      <c r="OXW108" s="1" t="s">
        <v>122</v>
      </c>
      <c r="OXX108" s="1" t="s">
        <v>122</v>
      </c>
      <c r="OXY108" s="1" t="s">
        <v>122</v>
      </c>
      <c r="OXZ108" s="1" t="s">
        <v>122</v>
      </c>
      <c r="OYA108" s="1" t="s">
        <v>122</v>
      </c>
      <c r="OYB108" s="1" t="s">
        <v>122</v>
      </c>
      <c r="OYC108" s="1" t="s">
        <v>122</v>
      </c>
      <c r="OYD108" s="1" t="s">
        <v>122</v>
      </c>
      <c r="OYE108" s="1" t="s">
        <v>122</v>
      </c>
      <c r="OYF108" s="1" t="s">
        <v>122</v>
      </c>
      <c r="OYG108" s="1" t="s">
        <v>122</v>
      </c>
      <c r="OYH108" s="1" t="s">
        <v>122</v>
      </c>
      <c r="OYI108" s="1" t="s">
        <v>122</v>
      </c>
      <c r="OYJ108" s="1" t="s">
        <v>122</v>
      </c>
      <c r="OYK108" s="1" t="s">
        <v>122</v>
      </c>
      <c r="OYL108" s="1" t="s">
        <v>122</v>
      </c>
      <c r="OYM108" s="1" t="s">
        <v>122</v>
      </c>
      <c r="OYN108" s="1" t="s">
        <v>122</v>
      </c>
      <c r="OYO108" s="1" t="s">
        <v>122</v>
      </c>
      <c r="OYP108" s="1" t="s">
        <v>122</v>
      </c>
      <c r="OYQ108" s="1" t="s">
        <v>122</v>
      </c>
      <c r="OYR108" s="1" t="s">
        <v>122</v>
      </c>
      <c r="OYS108" s="1" t="s">
        <v>122</v>
      </c>
      <c r="OYT108" s="1" t="s">
        <v>122</v>
      </c>
      <c r="OYU108" s="1" t="s">
        <v>122</v>
      </c>
      <c r="OYV108" s="1" t="s">
        <v>122</v>
      </c>
      <c r="OYW108" s="1" t="s">
        <v>122</v>
      </c>
      <c r="OYX108" s="1" t="s">
        <v>122</v>
      </c>
      <c r="OYY108" s="1" t="s">
        <v>122</v>
      </c>
      <c r="OYZ108" s="1" t="s">
        <v>122</v>
      </c>
      <c r="OZA108" s="1" t="s">
        <v>122</v>
      </c>
      <c r="OZB108" s="1" t="s">
        <v>122</v>
      </c>
      <c r="OZC108" s="1" t="s">
        <v>122</v>
      </c>
      <c r="OZD108" s="1" t="s">
        <v>122</v>
      </c>
      <c r="OZE108" s="1" t="s">
        <v>122</v>
      </c>
      <c r="OZF108" s="1" t="s">
        <v>122</v>
      </c>
      <c r="OZG108" s="1" t="s">
        <v>122</v>
      </c>
      <c r="OZH108" s="1" t="s">
        <v>122</v>
      </c>
      <c r="OZI108" s="1" t="s">
        <v>122</v>
      </c>
      <c r="OZJ108" s="1" t="s">
        <v>122</v>
      </c>
      <c r="OZK108" s="1" t="s">
        <v>122</v>
      </c>
      <c r="OZL108" s="1" t="s">
        <v>122</v>
      </c>
      <c r="OZM108" s="1" t="s">
        <v>122</v>
      </c>
      <c r="OZN108" s="1" t="s">
        <v>122</v>
      </c>
      <c r="OZO108" s="1" t="s">
        <v>122</v>
      </c>
      <c r="OZP108" s="1" t="s">
        <v>122</v>
      </c>
      <c r="OZQ108" s="1" t="s">
        <v>122</v>
      </c>
      <c r="OZR108" s="1" t="s">
        <v>122</v>
      </c>
      <c r="OZS108" s="1" t="s">
        <v>122</v>
      </c>
      <c r="OZT108" s="1" t="s">
        <v>122</v>
      </c>
      <c r="OZU108" s="1" t="s">
        <v>122</v>
      </c>
      <c r="OZV108" s="1" t="s">
        <v>122</v>
      </c>
      <c r="OZW108" s="1" t="s">
        <v>122</v>
      </c>
      <c r="OZX108" s="1" t="s">
        <v>122</v>
      </c>
      <c r="OZY108" s="1" t="s">
        <v>122</v>
      </c>
      <c r="OZZ108" s="1" t="s">
        <v>122</v>
      </c>
      <c r="PAA108" s="1" t="s">
        <v>122</v>
      </c>
      <c r="PAB108" s="1" t="s">
        <v>122</v>
      </c>
      <c r="PAC108" s="1" t="s">
        <v>122</v>
      </c>
      <c r="PAD108" s="1" t="s">
        <v>122</v>
      </c>
      <c r="PAE108" s="1" t="s">
        <v>122</v>
      </c>
      <c r="PAF108" s="1" t="s">
        <v>122</v>
      </c>
      <c r="PAG108" s="1" t="s">
        <v>122</v>
      </c>
      <c r="PAH108" s="1" t="s">
        <v>122</v>
      </c>
      <c r="PAI108" s="1" t="s">
        <v>122</v>
      </c>
      <c r="PAJ108" s="1" t="s">
        <v>122</v>
      </c>
      <c r="PAK108" s="1" t="s">
        <v>122</v>
      </c>
      <c r="PAL108" s="1" t="s">
        <v>122</v>
      </c>
      <c r="PAM108" s="1" t="s">
        <v>122</v>
      </c>
      <c r="PAN108" s="1" t="s">
        <v>122</v>
      </c>
      <c r="PAO108" s="1" t="s">
        <v>122</v>
      </c>
      <c r="PAP108" s="1" t="s">
        <v>122</v>
      </c>
      <c r="PAQ108" s="1" t="s">
        <v>122</v>
      </c>
      <c r="PAR108" s="1" t="s">
        <v>122</v>
      </c>
      <c r="PAS108" s="1" t="s">
        <v>122</v>
      </c>
      <c r="PAT108" s="1" t="s">
        <v>122</v>
      </c>
      <c r="PAU108" s="1" t="s">
        <v>122</v>
      </c>
      <c r="PAV108" s="1" t="s">
        <v>122</v>
      </c>
      <c r="PAW108" s="1" t="s">
        <v>122</v>
      </c>
      <c r="PAX108" s="1" t="s">
        <v>122</v>
      </c>
      <c r="PAY108" s="1" t="s">
        <v>122</v>
      </c>
      <c r="PAZ108" s="1" t="s">
        <v>122</v>
      </c>
      <c r="PBA108" s="1" t="s">
        <v>122</v>
      </c>
      <c r="PBB108" s="1" t="s">
        <v>122</v>
      </c>
      <c r="PBC108" s="1" t="s">
        <v>122</v>
      </c>
      <c r="PBD108" s="1" t="s">
        <v>122</v>
      </c>
      <c r="PBE108" s="1" t="s">
        <v>122</v>
      </c>
      <c r="PBF108" s="1" t="s">
        <v>122</v>
      </c>
      <c r="PBG108" s="1" t="s">
        <v>122</v>
      </c>
      <c r="PBH108" s="1" t="s">
        <v>122</v>
      </c>
      <c r="PBI108" s="1" t="s">
        <v>122</v>
      </c>
      <c r="PBJ108" s="1" t="s">
        <v>122</v>
      </c>
      <c r="PBK108" s="1" t="s">
        <v>122</v>
      </c>
      <c r="PBL108" s="1" t="s">
        <v>122</v>
      </c>
      <c r="PBM108" s="1" t="s">
        <v>122</v>
      </c>
      <c r="PBN108" s="1" t="s">
        <v>122</v>
      </c>
      <c r="PBO108" s="1" t="s">
        <v>122</v>
      </c>
      <c r="PBP108" s="1" t="s">
        <v>122</v>
      </c>
      <c r="PBQ108" s="1" t="s">
        <v>122</v>
      </c>
      <c r="PBR108" s="1" t="s">
        <v>122</v>
      </c>
      <c r="PBS108" s="1" t="s">
        <v>122</v>
      </c>
      <c r="PBT108" s="1" t="s">
        <v>122</v>
      </c>
      <c r="PBU108" s="1" t="s">
        <v>122</v>
      </c>
      <c r="PBV108" s="1" t="s">
        <v>122</v>
      </c>
      <c r="PBW108" s="1" t="s">
        <v>122</v>
      </c>
      <c r="PBX108" s="1" t="s">
        <v>122</v>
      </c>
      <c r="PBY108" s="1" t="s">
        <v>122</v>
      </c>
      <c r="PBZ108" s="1" t="s">
        <v>122</v>
      </c>
      <c r="PCA108" s="1" t="s">
        <v>122</v>
      </c>
      <c r="PCB108" s="1" t="s">
        <v>122</v>
      </c>
      <c r="PCC108" s="1" t="s">
        <v>122</v>
      </c>
      <c r="PCD108" s="1" t="s">
        <v>122</v>
      </c>
      <c r="PCE108" s="1" t="s">
        <v>122</v>
      </c>
      <c r="PCF108" s="1" t="s">
        <v>122</v>
      </c>
      <c r="PCG108" s="1" t="s">
        <v>122</v>
      </c>
      <c r="PCH108" s="1" t="s">
        <v>122</v>
      </c>
      <c r="PCI108" s="1" t="s">
        <v>122</v>
      </c>
      <c r="PCJ108" s="1" t="s">
        <v>122</v>
      </c>
      <c r="PCK108" s="1" t="s">
        <v>122</v>
      </c>
      <c r="PCL108" s="1" t="s">
        <v>122</v>
      </c>
      <c r="PCM108" s="1" t="s">
        <v>122</v>
      </c>
      <c r="PCN108" s="1" t="s">
        <v>122</v>
      </c>
      <c r="PCO108" s="1" t="s">
        <v>122</v>
      </c>
      <c r="PCP108" s="1" t="s">
        <v>122</v>
      </c>
      <c r="PCQ108" s="1" t="s">
        <v>122</v>
      </c>
      <c r="PCR108" s="1" t="s">
        <v>122</v>
      </c>
      <c r="PCS108" s="1" t="s">
        <v>122</v>
      </c>
      <c r="PCT108" s="1" t="s">
        <v>122</v>
      </c>
      <c r="PCU108" s="1" t="s">
        <v>122</v>
      </c>
      <c r="PCV108" s="1" t="s">
        <v>122</v>
      </c>
      <c r="PCW108" s="1" t="s">
        <v>122</v>
      </c>
      <c r="PCX108" s="1" t="s">
        <v>122</v>
      </c>
      <c r="PCY108" s="1" t="s">
        <v>122</v>
      </c>
      <c r="PCZ108" s="1" t="s">
        <v>122</v>
      </c>
      <c r="PDA108" s="1" t="s">
        <v>122</v>
      </c>
      <c r="PDB108" s="1" t="s">
        <v>122</v>
      </c>
      <c r="PDC108" s="1" t="s">
        <v>122</v>
      </c>
      <c r="PDD108" s="1" t="s">
        <v>122</v>
      </c>
      <c r="PDE108" s="1" t="s">
        <v>122</v>
      </c>
      <c r="PDF108" s="1" t="s">
        <v>122</v>
      </c>
      <c r="PDG108" s="1" t="s">
        <v>122</v>
      </c>
      <c r="PDH108" s="1" t="s">
        <v>122</v>
      </c>
      <c r="PDI108" s="1" t="s">
        <v>122</v>
      </c>
      <c r="PDJ108" s="1" t="s">
        <v>122</v>
      </c>
      <c r="PDK108" s="1" t="s">
        <v>122</v>
      </c>
      <c r="PDL108" s="1" t="s">
        <v>122</v>
      </c>
      <c r="PDM108" s="1" t="s">
        <v>122</v>
      </c>
      <c r="PDN108" s="1" t="s">
        <v>122</v>
      </c>
      <c r="PDO108" s="1" t="s">
        <v>122</v>
      </c>
      <c r="PDP108" s="1" t="s">
        <v>122</v>
      </c>
      <c r="PDQ108" s="1" t="s">
        <v>122</v>
      </c>
      <c r="PDR108" s="1" t="s">
        <v>122</v>
      </c>
      <c r="PDS108" s="1" t="s">
        <v>122</v>
      </c>
      <c r="PDT108" s="1" t="s">
        <v>122</v>
      </c>
      <c r="PDU108" s="1" t="s">
        <v>122</v>
      </c>
      <c r="PDV108" s="1" t="s">
        <v>122</v>
      </c>
      <c r="PDW108" s="1" t="s">
        <v>122</v>
      </c>
      <c r="PDX108" s="1" t="s">
        <v>122</v>
      </c>
      <c r="PDY108" s="1" t="s">
        <v>122</v>
      </c>
      <c r="PDZ108" s="1" t="s">
        <v>122</v>
      </c>
      <c r="PEA108" s="1" t="s">
        <v>122</v>
      </c>
      <c r="PEB108" s="1" t="s">
        <v>122</v>
      </c>
      <c r="PEC108" s="1" t="s">
        <v>122</v>
      </c>
      <c r="PED108" s="1" t="s">
        <v>122</v>
      </c>
      <c r="PEE108" s="1" t="s">
        <v>122</v>
      </c>
      <c r="PEF108" s="1" t="s">
        <v>122</v>
      </c>
      <c r="PEG108" s="1" t="s">
        <v>122</v>
      </c>
      <c r="PEH108" s="1" t="s">
        <v>122</v>
      </c>
      <c r="PEI108" s="1" t="s">
        <v>122</v>
      </c>
      <c r="PEJ108" s="1" t="s">
        <v>122</v>
      </c>
      <c r="PEK108" s="1" t="s">
        <v>122</v>
      </c>
      <c r="PEL108" s="1" t="s">
        <v>122</v>
      </c>
      <c r="PEM108" s="1" t="s">
        <v>122</v>
      </c>
      <c r="PEN108" s="1" t="s">
        <v>122</v>
      </c>
      <c r="PEO108" s="1" t="s">
        <v>122</v>
      </c>
      <c r="PEP108" s="1" t="s">
        <v>122</v>
      </c>
      <c r="PEQ108" s="1" t="s">
        <v>122</v>
      </c>
      <c r="PER108" s="1" t="s">
        <v>122</v>
      </c>
      <c r="PES108" s="1" t="s">
        <v>122</v>
      </c>
      <c r="PET108" s="1" t="s">
        <v>122</v>
      </c>
      <c r="PEU108" s="1" t="s">
        <v>122</v>
      </c>
      <c r="PEV108" s="1" t="s">
        <v>122</v>
      </c>
      <c r="PEW108" s="1" t="s">
        <v>122</v>
      </c>
      <c r="PEX108" s="1" t="s">
        <v>122</v>
      </c>
      <c r="PEY108" s="1" t="s">
        <v>122</v>
      </c>
      <c r="PEZ108" s="1" t="s">
        <v>122</v>
      </c>
      <c r="PFA108" s="1" t="s">
        <v>122</v>
      </c>
      <c r="PFB108" s="1" t="s">
        <v>122</v>
      </c>
      <c r="PFC108" s="1" t="s">
        <v>122</v>
      </c>
      <c r="PFD108" s="1" t="s">
        <v>122</v>
      </c>
      <c r="PFE108" s="1" t="s">
        <v>122</v>
      </c>
      <c r="PFF108" s="1" t="s">
        <v>122</v>
      </c>
      <c r="PFG108" s="1" t="s">
        <v>122</v>
      </c>
      <c r="PFH108" s="1" t="s">
        <v>122</v>
      </c>
      <c r="PFI108" s="1" t="s">
        <v>122</v>
      </c>
      <c r="PFJ108" s="1" t="s">
        <v>122</v>
      </c>
      <c r="PFK108" s="1" t="s">
        <v>122</v>
      </c>
      <c r="PFL108" s="1" t="s">
        <v>122</v>
      </c>
      <c r="PFM108" s="1" t="s">
        <v>122</v>
      </c>
      <c r="PFN108" s="1" t="s">
        <v>122</v>
      </c>
      <c r="PFO108" s="1" t="s">
        <v>122</v>
      </c>
      <c r="PFP108" s="1" t="s">
        <v>122</v>
      </c>
      <c r="PFQ108" s="1" t="s">
        <v>122</v>
      </c>
      <c r="PFR108" s="1" t="s">
        <v>122</v>
      </c>
      <c r="PFS108" s="1" t="s">
        <v>122</v>
      </c>
      <c r="PFT108" s="1" t="s">
        <v>122</v>
      </c>
      <c r="PFU108" s="1" t="s">
        <v>122</v>
      </c>
      <c r="PFV108" s="1" t="s">
        <v>122</v>
      </c>
      <c r="PFW108" s="1" t="s">
        <v>122</v>
      </c>
      <c r="PFX108" s="1" t="s">
        <v>122</v>
      </c>
      <c r="PFY108" s="1" t="s">
        <v>122</v>
      </c>
      <c r="PFZ108" s="1" t="s">
        <v>122</v>
      </c>
      <c r="PGA108" s="1" t="s">
        <v>122</v>
      </c>
      <c r="PGB108" s="1" t="s">
        <v>122</v>
      </c>
      <c r="PGC108" s="1" t="s">
        <v>122</v>
      </c>
      <c r="PGD108" s="1" t="s">
        <v>122</v>
      </c>
      <c r="PGE108" s="1" t="s">
        <v>122</v>
      </c>
      <c r="PGF108" s="1" t="s">
        <v>122</v>
      </c>
      <c r="PGG108" s="1" t="s">
        <v>122</v>
      </c>
      <c r="PGH108" s="1" t="s">
        <v>122</v>
      </c>
      <c r="PGI108" s="1" t="s">
        <v>122</v>
      </c>
      <c r="PGJ108" s="1" t="s">
        <v>122</v>
      </c>
      <c r="PGK108" s="1" t="s">
        <v>122</v>
      </c>
      <c r="PGL108" s="1" t="s">
        <v>122</v>
      </c>
      <c r="PGM108" s="1" t="s">
        <v>122</v>
      </c>
      <c r="PGN108" s="1" t="s">
        <v>122</v>
      </c>
      <c r="PGO108" s="1" t="s">
        <v>122</v>
      </c>
      <c r="PGP108" s="1" t="s">
        <v>122</v>
      </c>
      <c r="PGQ108" s="1" t="s">
        <v>122</v>
      </c>
      <c r="PGR108" s="1" t="s">
        <v>122</v>
      </c>
      <c r="PGS108" s="1" t="s">
        <v>122</v>
      </c>
      <c r="PGT108" s="1" t="s">
        <v>122</v>
      </c>
      <c r="PGU108" s="1" t="s">
        <v>122</v>
      </c>
      <c r="PGV108" s="1" t="s">
        <v>122</v>
      </c>
      <c r="PGW108" s="1" t="s">
        <v>122</v>
      </c>
      <c r="PGX108" s="1" t="s">
        <v>122</v>
      </c>
      <c r="PGY108" s="1" t="s">
        <v>122</v>
      </c>
      <c r="PGZ108" s="1" t="s">
        <v>122</v>
      </c>
      <c r="PHA108" s="1" t="s">
        <v>122</v>
      </c>
      <c r="PHB108" s="1" t="s">
        <v>122</v>
      </c>
      <c r="PHC108" s="1" t="s">
        <v>122</v>
      </c>
      <c r="PHD108" s="1" t="s">
        <v>122</v>
      </c>
      <c r="PHE108" s="1" t="s">
        <v>122</v>
      </c>
      <c r="PHF108" s="1" t="s">
        <v>122</v>
      </c>
      <c r="PHG108" s="1" t="s">
        <v>122</v>
      </c>
      <c r="PHH108" s="1" t="s">
        <v>122</v>
      </c>
      <c r="PHI108" s="1" t="s">
        <v>122</v>
      </c>
      <c r="PHJ108" s="1" t="s">
        <v>122</v>
      </c>
      <c r="PHK108" s="1" t="s">
        <v>122</v>
      </c>
      <c r="PHL108" s="1" t="s">
        <v>122</v>
      </c>
      <c r="PHM108" s="1" t="s">
        <v>122</v>
      </c>
      <c r="PHN108" s="1" t="s">
        <v>122</v>
      </c>
      <c r="PHO108" s="1" t="s">
        <v>122</v>
      </c>
      <c r="PHP108" s="1" t="s">
        <v>122</v>
      </c>
      <c r="PHQ108" s="1" t="s">
        <v>122</v>
      </c>
      <c r="PHR108" s="1" t="s">
        <v>122</v>
      </c>
      <c r="PHS108" s="1" t="s">
        <v>122</v>
      </c>
      <c r="PHT108" s="1" t="s">
        <v>122</v>
      </c>
      <c r="PHU108" s="1" t="s">
        <v>122</v>
      </c>
      <c r="PHV108" s="1" t="s">
        <v>122</v>
      </c>
      <c r="PHW108" s="1" t="s">
        <v>122</v>
      </c>
      <c r="PHX108" s="1" t="s">
        <v>122</v>
      </c>
      <c r="PHY108" s="1" t="s">
        <v>122</v>
      </c>
      <c r="PHZ108" s="1" t="s">
        <v>122</v>
      </c>
      <c r="PIA108" s="1" t="s">
        <v>122</v>
      </c>
      <c r="PIB108" s="1" t="s">
        <v>122</v>
      </c>
      <c r="PIC108" s="1" t="s">
        <v>122</v>
      </c>
      <c r="PID108" s="1" t="s">
        <v>122</v>
      </c>
      <c r="PIE108" s="1" t="s">
        <v>122</v>
      </c>
      <c r="PIF108" s="1" t="s">
        <v>122</v>
      </c>
      <c r="PIG108" s="1" t="s">
        <v>122</v>
      </c>
      <c r="PIH108" s="1" t="s">
        <v>122</v>
      </c>
      <c r="PII108" s="1" t="s">
        <v>122</v>
      </c>
      <c r="PIJ108" s="1" t="s">
        <v>122</v>
      </c>
      <c r="PIK108" s="1" t="s">
        <v>122</v>
      </c>
      <c r="PIL108" s="1" t="s">
        <v>122</v>
      </c>
      <c r="PIM108" s="1" t="s">
        <v>122</v>
      </c>
      <c r="PIN108" s="1" t="s">
        <v>122</v>
      </c>
      <c r="PIO108" s="1" t="s">
        <v>122</v>
      </c>
      <c r="PIP108" s="1" t="s">
        <v>122</v>
      </c>
      <c r="PIQ108" s="1" t="s">
        <v>122</v>
      </c>
      <c r="PIR108" s="1" t="s">
        <v>122</v>
      </c>
      <c r="PIS108" s="1" t="s">
        <v>122</v>
      </c>
      <c r="PIT108" s="1" t="s">
        <v>122</v>
      </c>
      <c r="PIU108" s="1" t="s">
        <v>122</v>
      </c>
      <c r="PIV108" s="1" t="s">
        <v>122</v>
      </c>
      <c r="PIW108" s="1" t="s">
        <v>122</v>
      </c>
      <c r="PIX108" s="1" t="s">
        <v>122</v>
      </c>
      <c r="PIY108" s="1" t="s">
        <v>122</v>
      </c>
      <c r="PIZ108" s="1" t="s">
        <v>122</v>
      </c>
      <c r="PJA108" s="1" t="s">
        <v>122</v>
      </c>
      <c r="PJB108" s="1" t="s">
        <v>122</v>
      </c>
      <c r="PJC108" s="1" t="s">
        <v>122</v>
      </c>
      <c r="PJD108" s="1" t="s">
        <v>122</v>
      </c>
      <c r="PJE108" s="1" t="s">
        <v>122</v>
      </c>
      <c r="PJF108" s="1" t="s">
        <v>122</v>
      </c>
      <c r="PJG108" s="1" t="s">
        <v>122</v>
      </c>
      <c r="PJH108" s="1" t="s">
        <v>122</v>
      </c>
      <c r="PJI108" s="1" t="s">
        <v>122</v>
      </c>
      <c r="PJJ108" s="1" t="s">
        <v>122</v>
      </c>
      <c r="PJK108" s="1" t="s">
        <v>122</v>
      </c>
      <c r="PJL108" s="1" t="s">
        <v>122</v>
      </c>
      <c r="PJM108" s="1" t="s">
        <v>122</v>
      </c>
      <c r="PJN108" s="1" t="s">
        <v>122</v>
      </c>
      <c r="PJO108" s="1" t="s">
        <v>122</v>
      </c>
      <c r="PJP108" s="1" t="s">
        <v>122</v>
      </c>
      <c r="PJQ108" s="1" t="s">
        <v>122</v>
      </c>
      <c r="PJR108" s="1" t="s">
        <v>122</v>
      </c>
      <c r="PJS108" s="1" t="s">
        <v>122</v>
      </c>
      <c r="PJT108" s="1" t="s">
        <v>122</v>
      </c>
      <c r="PJU108" s="1" t="s">
        <v>122</v>
      </c>
      <c r="PJV108" s="1" t="s">
        <v>122</v>
      </c>
      <c r="PJW108" s="1" t="s">
        <v>122</v>
      </c>
      <c r="PJX108" s="1" t="s">
        <v>122</v>
      </c>
      <c r="PJY108" s="1" t="s">
        <v>122</v>
      </c>
      <c r="PJZ108" s="1" t="s">
        <v>122</v>
      </c>
      <c r="PKA108" s="1" t="s">
        <v>122</v>
      </c>
      <c r="PKB108" s="1" t="s">
        <v>122</v>
      </c>
      <c r="PKC108" s="1" t="s">
        <v>122</v>
      </c>
      <c r="PKD108" s="1" t="s">
        <v>122</v>
      </c>
      <c r="PKE108" s="1" t="s">
        <v>122</v>
      </c>
      <c r="PKF108" s="1" t="s">
        <v>122</v>
      </c>
      <c r="PKG108" s="1" t="s">
        <v>122</v>
      </c>
      <c r="PKH108" s="1" t="s">
        <v>122</v>
      </c>
      <c r="PKI108" s="1" t="s">
        <v>122</v>
      </c>
      <c r="PKJ108" s="1" t="s">
        <v>122</v>
      </c>
      <c r="PKK108" s="1" t="s">
        <v>122</v>
      </c>
      <c r="PKL108" s="1" t="s">
        <v>122</v>
      </c>
      <c r="PKM108" s="1" t="s">
        <v>122</v>
      </c>
      <c r="PKN108" s="1" t="s">
        <v>122</v>
      </c>
      <c r="PKO108" s="1" t="s">
        <v>122</v>
      </c>
      <c r="PKP108" s="1" t="s">
        <v>122</v>
      </c>
      <c r="PKQ108" s="1" t="s">
        <v>122</v>
      </c>
      <c r="PKR108" s="1" t="s">
        <v>122</v>
      </c>
      <c r="PKS108" s="1" t="s">
        <v>122</v>
      </c>
      <c r="PKT108" s="1" t="s">
        <v>122</v>
      </c>
      <c r="PKU108" s="1" t="s">
        <v>122</v>
      </c>
      <c r="PKV108" s="1" t="s">
        <v>122</v>
      </c>
      <c r="PKW108" s="1" t="s">
        <v>122</v>
      </c>
      <c r="PKX108" s="1" t="s">
        <v>122</v>
      </c>
      <c r="PKY108" s="1" t="s">
        <v>122</v>
      </c>
      <c r="PKZ108" s="1" t="s">
        <v>122</v>
      </c>
      <c r="PLA108" s="1" t="s">
        <v>122</v>
      </c>
      <c r="PLB108" s="1" t="s">
        <v>122</v>
      </c>
      <c r="PLC108" s="1" t="s">
        <v>122</v>
      </c>
      <c r="PLD108" s="1" t="s">
        <v>122</v>
      </c>
      <c r="PLE108" s="1" t="s">
        <v>122</v>
      </c>
      <c r="PLF108" s="1" t="s">
        <v>122</v>
      </c>
      <c r="PLG108" s="1" t="s">
        <v>122</v>
      </c>
      <c r="PLH108" s="1" t="s">
        <v>122</v>
      </c>
      <c r="PLI108" s="1" t="s">
        <v>122</v>
      </c>
      <c r="PLJ108" s="1" t="s">
        <v>122</v>
      </c>
      <c r="PLK108" s="1" t="s">
        <v>122</v>
      </c>
      <c r="PLL108" s="1" t="s">
        <v>122</v>
      </c>
      <c r="PLM108" s="1" t="s">
        <v>122</v>
      </c>
      <c r="PLN108" s="1" t="s">
        <v>122</v>
      </c>
      <c r="PLO108" s="1" t="s">
        <v>122</v>
      </c>
      <c r="PLP108" s="1" t="s">
        <v>122</v>
      </c>
      <c r="PLQ108" s="1" t="s">
        <v>122</v>
      </c>
      <c r="PLR108" s="1" t="s">
        <v>122</v>
      </c>
      <c r="PLS108" s="1" t="s">
        <v>122</v>
      </c>
      <c r="PLT108" s="1" t="s">
        <v>122</v>
      </c>
      <c r="PLU108" s="1" t="s">
        <v>122</v>
      </c>
      <c r="PLV108" s="1" t="s">
        <v>122</v>
      </c>
      <c r="PLW108" s="1" t="s">
        <v>122</v>
      </c>
      <c r="PLX108" s="1" t="s">
        <v>122</v>
      </c>
      <c r="PLY108" s="1" t="s">
        <v>122</v>
      </c>
      <c r="PLZ108" s="1" t="s">
        <v>122</v>
      </c>
      <c r="PMA108" s="1" t="s">
        <v>122</v>
      </c>
      <c r="PMB108" s="1" t="s">
        <v>122</v>
      </c>
      <c r="PMC108" s="1" t="s">
        <v>122</v>
      </c>
      <c r="PMD108" s="1" t="s">
        <v>122</v>
      </c>
      <c r="PME108" s="1" t="s">
        <v>122</v>
      </c>
      <c r="PMF108" s="1" t="s">
        <v>122</v>
      </c>
      <c r="PMG108" s="1" t="s">
        <v>122</v>
      </c>
      <c r="PMH108" s="1" t="s">
        <v>122</v>
      </c>
      <c r="PMI108" s="1" t="s">
        <v>122</v>
      </c>
      <c r="PMJ108" s="1" t="s">
        <v>122</v>
      </c>
      <c r="PMK108" s="1" t="s">
        <v>122</v>
      </c>
      <c r="PML108" s="1" t="s">
        <v>122</v>
      </c>
      <c r="PMM108" s="1" t="s">
        <v>122</v>
      </c>
      <c r="PMN108" s="1" t="s">
        <v>122</v>
      </c>
      <c r="PMO108" s="1" t="s">
        <v>122</v>
      </c>
      <c r="PMP108" s="1" t="s">
        <v>122</v>
      </c>
      <c r="PMQ108" s="1" t="s">
        <v>122</v>
      </c>
      <c r="PMR108" s="1" t="s">
        <v>122</v>
      </c>
      <c r="PMS108" s="1" t="s">
        <v>122</v>
      </c>
      <c r="PMT108" s="1" t="s">
        <v>122</v>
      </c>
      <c r="PMU108" s="1" t="s">
        <v>122</v>
      </c>
      <c r="PMV108" s="1" t="s">
        <v>122</v>
      </c>
      <c r="PMW108" s="1" t="s">
        <v>122</v>
      </c>
      <c r="PMX108" s="1" t="s">
        <v>122</v>
      </c>
      <c r="PMY108" s="1" t="s">
        <v>122</v>
      </c>
      <c r="PMZ108" s="1" t="s">
        <v>122</v>
      </c>
      <c r="PNA108" s="1" t="s">
        <v>122</v>
      </c>
      <c r="PNB108" s="1" t="s">
        <v>122</v>
      </c>
      <c r="PNC108" s="1" t="s">
        <v>122</v>
      </c>
      <c r="PND108" s="1" t="s">
        <v>122</v>
      </c>
      <c r="PNE108" s="1" t="s">
        <v>122</v>
      </c>
      <c r="PNF108" s="1" t="s">
        <v>122</v>
      </c>
      <c r="PNG108" s="1" t="s">
        <v>122</v>
      </c>
      <c r="PNH108" s="1" t="s">
        <v>122</v>
      </c>
      <c r="PNI108" s="1" t="s">
        <v>122</v>
      </c>
      <c r="PNJ108" s="1" t="s">
        <v>122</v>
      </c>
      <c r="PNK108" s="1" t="s">
        <v>122</v>
      </c>
      <c r="PNL108" s="1" t="s">
        <v>122</v>
      </c>
      <c r="PNM108" s="1" t="s">
        <v>122</v>
      </c>
      <c r="PNN108" s="1" t="s">
        <v>122</v>
      </c>
      <c r="PNO108" s="1" t="s">
        <v>122</v>
      </c>
      <c r="PNP108" s="1" t="s">
        <v>122</v>
      </c>
      <c r="PNQ108" s="1" t="s">
        <v>122</v>
      </c>
      <c r="PNR108" s="1" t="s">
        <v>122</v>
      </c>
      <c r="PNS108" s="1" t="s">
        <v>122</v>
      </c>
      <c r="PNT108" s="1" t="s">
        <v>122</v>
      </c>
      <c r="PNU108" s="1" t="s">
        <v>122</v>
      </c>
      <c r="PNV108" s="1" t="s">
        <v>122</v>
      </c>
      <c r="PNW108" s="1" t="s">
        <v>122</v>
      </c>
      <c r="PNX108" s="1" t="s">
        <v>122</v>
      </c>
      <c r="PNY108" s="1" t="s">
        <v>122</v>
      </c>
      <c r="PNZ108" s="1" t="s">
        <v>122</v>
      </c>
      <c r="POA108" s="1" t="s">
        <v>122</v>
      </c>
      <c r="POB108" s="1" t="s">
        <v>122</v>
      </c>
      <c r="POC108" s="1" t="s">
        <v>122</v>
      </c>
      <c r="POD108" s="1" t="s">
        <v>122</v>
      </c>
      <c r="POE108" s="1" t="s">
        <v>122</v>
      </c>
      <c r="POF108" s="1" t="s">
        <v>122</v>
      </c>
      <c r="POG108" s="1" t="s">
        <v>122</v>
      </c>
      <c r="POH108" s="1" t="s">
        <v>122</v>
      </c>
      <c r="POI108" s="1" t="s">
        <v>122</v>
      </c>
      <c r="POJ108" s="1" t="s">
        <v>122</v>
      </c>
      <c r="POK108" s="1" t="s">
        <v>122</v>
      </c>
      <c r="POL108" s="1" t="s">
        <v>122</v>
      </c>
      <c r="POM108" s="1" t="s">
        <v>122</v>
      </c>
      <c r="PON108" s="1" t="s">
        <v>122</v>
      </c>
      <c r="POO108" s="1" t="s">
        <v>122</v>
      </c>
      <c r="POP108" s="1" t="s">
        <v>122</v>
      </c>
      <c r="POQ108" s="1" t="s">
        <v>122</v>
      </c>
      <c r="POR108" s="1" t="s">
        <v>122</v>
      </c>
      <c r="POS108" s="1" t="s">
        <v>122</v>
      </c>
      <c r="POT108" s="1" t="s">
        <v>122</v>
      </c>
      <c r="POU108" s="1" t="s">
        <v>122</v>
      </c>
      <c r="POV108" s="1" t="s">
        <v>122</v>
      </c>
      <c r="POW108" s="1" t="s">
        <v>122</v>
      </c>
      <c r="POX108" s="1" t="s">
        <v>122</v>
      </c>
      <c r="POY108" s="1" t="s">
        <v>122</v>
      </c>
      <c r="POZ108" s="1" t="s">
        <v>122</v>
      </c>
      <c r="PPA108" s="1" t="s">
        <v>122</v>
      </c>
      <c r="PPB108" s="1" t="s">
        <v>122</v>
      </c>
      <c r="PPC108" s="1" t="s">
        <v>122</v>
      </c>
      <c r="PPD108" s="1" t="s">
        <v>122</v>
      </c>
      <c r="PPE108" s="1" t="s">
        <v>122</v>
      </c>
      <c r="PPF108" s="1" t="s">
        <v>122</v>
      </c>
      <c r="PPG108" s="1" t="s">
        <v>122</v>
      </c>
      <c r="PPH108" s="1" t="s">
        <v>122</v>
      </c>
      <c r="PPI108" s="1" t="s">
        <v>122</v>
      </c>
      <c r="PPJ108" s="1" t="s">
        <v>122</v>
      </c>
      <c r="PPK108" s="1" t="s">
        <v>122</v>
      </c>
      <c r="PPL108" s="1" t="s">
        <v>122</v>
      </c>
      <c r="PPM108" s="1" t="s">
        <v>122</v>
      </c>
      <c r="PPN108" s="1" t="s">
        <v>122</v>
      </c>
      <c r="PPO108" s="1" t="s">
        <v>122</v>
      </c>
      <c r="PPP108" s="1" t="s">
        <v>122</v>
      </c>
      <c r="PPQ108" s="1" t="s">
        <v>122</v>
      </c>
      <c r="PPR108" s="1" t="s">
        <v>122</v>
      </c>
      <c r="PPS108" s="1" t="s">
        <v>122</v>
      </c>
      <c r="PPT108" s="1" t="s">
        <v>122</v>
      </c>
      <c r="PPU108" s="1" t="s">
        <v>122</v>
      </c>
      <c r="PPV108" s="1" t="s">
        <v>122</v>
      </c>
      <c r="PPW108" s="1" t="s">
        <v>122</v>
      </c>
      <c r="PPX108" s="1" t="s">
        <v>122</v>
      </c>
      <c r="PPY108" s="1" t="s">
        <v>122</v>
      </c>
      <c r="PPZ108" s="1" t="s">
        <v>122</v>
      </c>
      <c r="PQA108" s="1" t="s">
        <v>122</v>
      </c>
      <c r="PQB108" s="1" t="s">
        <v>122</v>
      </c>
      <c r="PQC108" s="1" t="s">
        <v>122</v>
      </c>
      <c r="PQD108" s="1" t="s">
        <v>122</v>
      </c>
      <c r="PQE108" s="1" t="s">
        <v>122</v>
      </c>
      <c r="PQF108" s="1" t="s">
        <v>122</v>
      </c>
      <c r="PQG108" s="1" t="s">
        <v>122</v>
      </c>
      <c r="PQH108" s="1" t="s">
        <v>122</v>
      </c>
      <c r="PQI108" s="1" t="s">
        <v>122</v>
      </c>
      <c r="PQJ108" s="1" t="s">
        <v>122</v>
      </c>
      <c r="PQK108" s="1" t="s">
        <v>122</v>
      </c>
      <c r="PQL108" s="1" t="s">
        <v>122</v>
      </c>
      <c r="PQM108" s="1" t="s">
        <v>122</v>
      </c>
      <c r="PQN108" s="1" t="s">
        <v>122</v>
      </c>
      <c r="PQO108" s="1" t="s">
        <v>122</v>
      </c>
      <c r="PQP108" s="1" t="s">
        <v>122</v>
      </c>
      <c r="PQQ108" s="1" t="s">
        <v>122</v>
      </c>
      <c r="PQR108" s="1" t="s">
        <v>122</v>
      </c>
      <c r="PQS108" s="1" t="s">
        <v>122</v>
      </c>
      <c r="PQT108" s="1" t="s">
        <v>122</v>
      </c>
      <c r="PQU108" s="1" t="s">
        <v>122</v>
      </c>
      <c r="PQV108" s="1" t="s">
        <v>122</v>
      </c>
      <c r="PQW108" s="1" t="s">
        <v>122</v>
      </c>
      <c r="PQX108" s="1" t="s">
        <v>122</v>
      </c>
      <c r="PQY108" s="1" t="s">
        <v>122</v>
      </c>
      <c r="PQZ108" s="1" t="s">
        <v>122</v>
      </c>
      <c r="PRA108" s="1" t="s">
        <v>122</v>
      </c>
      <c r="PRB108" s="1" t="s">
        <v>122</v>
      </c>
      <c r="PRC108" s="1" t="s">
        <v>122</v>
      </c>
      <c r="PRD108" s="1" t="s">
        <v>122</v>
      </c>
      <c r="PRE108" s="1" t="s">
        <v>122</v>
      </c>
      <c r="PRF108" s="1" t="s">
        <v>122</v>
      </c>
      <c r="PRG108" s="1" t="s">
        <v>122</v>
      </c>
      <c r="PRH108" s="1" t="s">
        <v>122</v>
      </c>
      <c r="PRI108" s="1" t="s">
        <v>122</v>
      </c>
      <c r="PRJ108" s="1" t="s">
        <v>122</v>
      </c>
      <c r="PRK108" s="1" t="s">
        <v>122</v>
      </c>
      <c r="PRL108" s="1" t="s">
        <v>122</v>
      </c>
      <c r="PRM108" s="1" t="s">
        <v>122</v>
      </c>
      <c r="PRN108" s="1" t="s">
        <v>122</v>
      </c>
      <c r="PRO108" s="1" t="s">
        <v>122</v>
      </c>
      <c r="PRP108" s="1" t="s">
        <v>122</v>
      </c>
      <c r="PRQ108" s="1" t="s">
        <v>122</v>
      </c>
      <c r="PRR108" s="1" t="s">
        <v>122</v>
      </c>
      <c r="PRS108" s="1" t="s">
        <v>122</v>
      </c>
      <c r="PRT108" s="1" t="s">
        <v>122</v>
      </c>
      <c r="PRU108" s="1" t="s">
        <v>122</v>
      </c>
      <c r="PRV108" s="1" t="s">
        <v>122</v>
      </c>
      <c r="PRW108" s="1" t="s">
        <v>122</v>
      </c>
      <c r="PRX108" s="1" t="s">
        <v>122</v>
      </c>
      <c r="PRY108" s="1" t="s">
        <v>122</v>
      </c>
      <c r="PRZ108" s="1" t="s">
        <v>122</v>
      </c>
      <c r="PSA108" s="1" t="s">
        <v>122</v>
      </c>
      <c r="PSB108" s="1" t="s">
        <v>122</v>
      </c>
      <c r="PSC108" s="1" t="s">
        <v>122</v>
      </c>
      <c r="PSD108" s="1" t="s">
        <v>122</v>
      </c>
      <c r="PSE108" s="1" t="s">
        <v>122</v>
      </c>
      <c r="PSF108" s="1" t="s">
        <v>122</v>
      </c>
      <c r="PSG108" s="1" t="s">
        <v>122</v>
      </c>
      <c r="PSH108" s="1" t="s">
        <v>122</v>
      </c>
      <c r="PSI108" s="1" t="s">
        <v>122</v>
      </c>
      <c r="PSJ108" s="1" t="s">
        <v>122</v>
      </c>
      <c r="PSK108" s="1" t="s">
        <v>122</v>
      </c>
      <c r="PSL108" s="1" t="s">
        <v>122</v>
      </c>
      <c r="PSM108" s="1" t="s">
        <v>122</v>
      </c>
      <c r="PSN108" s="1" t="s">
        <v>122</v>
      </c>
      <c r="PSO108" s="1" t="s">
        <v>122</v>
      </c>
      <c r="PSP108" s="1" t="s">
        <v>122</v>
      </c>
      <c r="PSQ108" s="1" t="s">
        <v>122</v>
      </c>
      <c r="PSR108" s="1" t="s">
        <v>122</v>
      </c>
      <c r="PSS108" s="1" t="s">
        <v>122</v>
      </c>
      <c r="PST108" s="1" t="s">
        <v>122</v>
      </c>
      <c r="PSU108" s="1" t="s">
        <v>122</v>
      </c>
      <c r="PSV108" s="1" t="s">
        <v>122</v>
      </c>
      <c r="PSW108" s="1" t="s">
        <v>122</v>
      </c>
      <c r="PSX108" s="1" t="s">
        <v>122</v>
      </c>
      <c r="PSY108" s="1" t="s">
        <v>122</v>
      </c>
      <c r="PSZ108" s="1" t="s">
        <v>122</v>
      </c>
      <c r="PTA108" s="1" t="s">
        <v>122</v>
      </c>
      <c r="PTB108" s="1" t="s">
        <v>122</v>
      </c>
      <c r="PTC108" s="1" t="s">
        <v>122</v>
      </c>
      <c r="PTD108" s="1" t="s">
        <v>122</v>
      </c>
      <c r="PTE108" s="1" t="s">
        <v>122</v>
      </c>
      <c r="PTF108" s="1" t="s">
        <v>122</v>
      </c>
      <c r="PTG108" s="1" t="s">
        <v>122</v>
      </c>
      <c r="PTH108" s="1" t="s">
        <v>122</v>
      </c>
      <c r="PTI108" s="1" t="s">
        <v>122</v>
      </c>
      <c r="PTJ108" s="1" t="s">
        <v>122</v>
      </c>
      <c r="PTK108" s="1" t="s">
        <v>122</v>
      </c>
      <c r="PTL108" s="1" t="s">
        <v>122</v>
      </c>
      <c r="PTM108" s="1" t="s">
        <v>122</v>
      </c>
      <c r="PTN108" s="1" t="s">
        <v>122</v>
      </c>
      <c r="PTO108" s="1" t="s">
        <v>122</v>
      </c>
      <c r="PTP108" s="1" t="s">
        <v>122</v>
      </c>
      <c r="PTQ108" s="1" t="s">
        <v>122</v>
      </c>
      <c r="PTR108" s="1" t="s">
        <v>122</v>
      </c>
      <c r="PTS108" s="1" t="s">
        <v>122</v>
      </c>
      <c r="PTT108" s="1" t="s">
        <v>122</v>
      </c>
      <c r="PTU108" s="1" t="s">
        <v>122</v>
      </c>
      <c r="PTV108" s="1" t="s">
        <v>122</v>
      </c>
      <c r="PTW108" s="1" t="s">
        <v>122</v>
      </c>
      <c r="PTX108" s="1" t="s">
        <v>122</v>
      </c>
      <c r="PTY108" s="1" t="s">
        <v>122</v>
      </c>
      <c r="PTZ108" s="1" t="s">
        <v>122</v>
      </c>
      <c r="PUA108" s="1" t="s">
        <v>122</v>
      </c>
      <c r="PUB108" s="1" t="s">
        <v>122</v>
      </c>
      <c r="PUC108" s="1" t="s">
        <v>122</v>
      </c>
      <c r="PUD108" s="1" t="s">
        <v>122</v>
      </c>
      <c r="PUE108" s="1" t="s">
        <v>122</v>
      </c>
      <c r="PUF108" s="1" t="s">
        <v>122</v>
      </c>
      <c r="PUG108" s="1" t="s">
        <v>122</v>
      </c>
      <c r="PUH108" s="1" t="s">
        <v>122</v>
      </c>
      <c r="PUI108" s="1" t="s">
        <v>122</v>
      </c>
      <c r="PUJ108" s="1" t="s">
        <v>122</v>
      </c>
      <c r="PUK108" s="1" t="s">
        <v>122</v>
      </c>
      <c r="PUL108" s="1" t="s">
        <v>122</v>
      </c>
      <c r="PUM108" s="1" t="s">
        <v>122</v>
      </c>
      <c r="PUN108" s="1" t="s">
        <v>122</v>
      </c>
      <c r="PUO108" s="1" t="s">
        <v>122</v>
      </c>
      <c r="PUP108" s="1" t="s">
        <v>122</v>
      </c>
      <c r="PUQ108" s="1" t="s">
        <v>122</v>
      </c>
      <c r="PUR108" s="1" t="s">
        <v>122</v>
      </c>
      <c r="PUS108" s="1" t="s">
        <v>122</v>
      </c>
      <c r="PUT108" s="1" t="s">
        <v>122</v>
      </c>
      <c r="PUU108" s="1" t="s">
        <v>122</v>
      </c>
      <c r="PUV108" s="1" t="s">
        <v>122</v>
      </c>
      <c r="PUW108" s="1" t="s">
        <v>122</v>
      </c>
      <c r="PUX108" s="1" t="s">
        <v>122</v>
      </c>
      <c r="PUY108" s="1" t="s">
        <v>122</v>
      </c>
      <c r="PUZ108" s="1" t="s">
        <v>122</v>
      </c>
      <c r="PVA108" s="1" t="s">
        <v>122</v>
      </c>
      <c r="PVB108" s="1" t="s">
        <v>122</v>
      </c>
      <c r="PVC108" s="1" t="s">
        <v>122</v>
      </c>
      <c r="PVD108" s="1" t="s">
        <v>122</v>
      </c>
      <c r="PVE108" s="1" t="s">
        <v>122</v>
      </c>
      <c r="PVF108" s="1" t="s">
        <v>122</v>
      </c>
      <c r="PVG108" s="1" t="s">
        <v>122</v>
      </c>
      <c r="PVH108" s="1" t="s">
        <v>122</v>
      </c>
      <c r="PVI108" s="1" t="s">
        <v>122</v>
      </c>
      <c r="PVJ108" s="1" t="s">
        <v>122</v>
      </c>
      <c r="PVK108" s="1" t="s">
        <v>122</v>
      </c>
      <c r="PVL108" s="1" t="s">
        <v>122</v>
      </c>
      <c r="PVM108" s="1" t="s">
        <v>122</v>
      </c>
      <c r="PVN108" s="1" t="s">
        <v>122</v>
      </c>
      <c r="PVO108" s="1" t="s">
        <v>122</v>
      </c>
      <c r="PVP108" s="1" t="s">
        <v>122</v>
      </c>
      <c r="PVQ108" s="1" t="s">
        <v>122</v>
      </c>
      <c r="PVR108" s="1" t="s">
        <v>122</v>
      </c>
      <c r="PVS108" s="1" t="s">
        <v>122</v>
      </c>
      <c r="PVT108" s="1" t="s">
        <v>122</v>
      </c>
      <c r="PVU108" s="1" t="s">
        <v>122</v>
      </c>
      <c r="PVV108" s="1" t="s">
        <v>122</v>
      </c>
      <c r="PVW108" s="1" t="s">
        <v>122</v>
      </c>
      <c r="PVX108" s="1" t="s">
        <v>122</v>
      </c>
      <c r="PVY108" s="1" t="s">
        <v>122</v>
      </c>
      <c r="PVZ108" s="1" t="s">
        <v>122</v>
      </c>
      <c r="PWA108" s="1" t="s">
        <v>122</v>
      </c>
      <c r="PWB108" s="1" t="s">
        <v>122</v>
      </c>
      <c r="PWC108" s="1" t="s">
        <v>122</v>
      </c>
      <c r="PWD108" s="1" t="s">
        <v>122</v>
      </c>
      <c r="PWE108" s="1" t="s">
        <v>122</v>
      </c>
      <c r="PWF108" s="1" t="s">
        <v>122</v>
      </c>
      <c r="PWG108" s="1" t="s">
        <v>122</v>
      </c>
      <c r="PWH108" s="1" t="s">
        <v>122</v>
      </c>
      <c r="PWI108" s="1" t="s">
        <v>122</v>
      </c>
      <c r="PWJ108" s="1" t="s">
        <v>122</v>
      </c>
      <c r="PWK108" s="1" t="s">
        <v>122</v>
      </c>
      <c r="PWL108" s="1" t="s">
        <v>122</v>
      </c>
      <c r="PWM108" s="1" t="s">
        <v>122</v>
      </c>
      <c r="PWN108" s="1" t="s">
        <v>122</v>
      </c>
      <c r="PWO108" s="1" t="s">
        <v>122</v>
      </c>
      <c r="PWP108" s="1" t="s">
        <v>122</v>
      </c>
      <c r="PWQ108" s="1" t="s">
        <v>122</v>
      </c>
      <c r="PWR108" s="1" t="s">
        <v>122</v>
      </c>
      <c r="PWS108" s="1" t="s">
        <v>122</v>
      </c>
      <c r="PWT108" s="1" t="s">
        <v>122</v>
      </c>
      <c r="PWU108" s="1" t="s">
        <v>122</v>
      </c>
      <c r="PWV108" s="1" t="s">
        <v>122</v>
      </c>
      <c r="PWW108" s="1" t="s">
        <v>122</v>
      </c>
      <c r="PWX108" s="1" t="s">
        <v>122</v>
      </c>
      <c r="PWY108" s="1" t="s">
        <v>122</v>
      </c>
      <c r="PWZ108" s="1" t="s">
        <v>122</v>
      </c>
      <c r="PXA108" s="1" t="s">
        <v>122</v>
      </c>
      <c r="PXB108" s="1" t="s">
        <v>122</v>
      </c>
      <c r="PXC108" s="1" t="s">
        <v>122</v>
      </c>
      <c r="PXD108" s="1" t="s">
        <v>122</v>
      </c>
      <c r="PXE108" s="1" t="s">
        <v>122</v>
      </c>
      <c r="PXF108" s="1" t="s">
        <v>122</v>
      </c>
      <c r="PXG108" s="1" t="s">
        <v>122</v>
      </c>
      <c r="PXH108" s="1" t="s">
        <v>122</v>
      </c>
      <c r="PXI108" s="1" t="s">
        <v>122</v>
      </c>
      <c r="PXJ108" s="1" t="s">
        <v>122</v>
      </c>
      <c r="PXK108" s="1" t="s">
        <v>122</v>
      </c>
      <c r="PXL108" s="1" t="s">
        <v>122</v>
      </c>
      <c r="PXM108" s="1" t="s">
        <v>122</v>
      </c>
      <c r="PXN108" s="1" t="s">
        <v>122</v>
      </c>
      <c r="PXO108" s="1" t="s">
        <v>122</v>
      </c>
      <c r="PXP108" s="1" t="s">
        <v>122</v>
      </c>
      <c r="PXQ108" s="1" t="s">
        <v>122</v>
      </c>
      <c r="PXR108" s="1" t="s">
        <v>122</v>
      </c>
      <c r="PXS108" s="1" t="s">
        <v>122</v>
      </c>
      <c r="PXT108" s="1" t="s">
        <v>122</v>
      </c>
      <c r="PXU108" s="1" t="s">
        <v>122</v>
      </c>
      <c r="PXV108" s="1" t="s">
        <v>122</v>
      </c>
      <c r="PXW108" s="1" t="s">
        <v>122</v>
      </c>
      <c r="PXX108" s="1" t="s">
        <v>122</v>
      </c>
      <c r="PXY108" s="1" t="s">
        <v>122</v>
      </c>
      <c r="PXZ108" s="1" t="s">
        <v>122</v>
      </c>
      <c r="PYA108" s="1" t="s">
        <v>122</v>
      </c>
      <c r="PYB108" s="1" t="s">
        <v>122</v>
      </c>
      <c r="PYC108" s="1" t="s">
        <v>122</v>
      </c>
      <c r="PYD108" s="1" t="s">
        <v>122</v>
      </c>
      <c r="PYE108" s="1" t="s">
        <v>122</v>
      </c>
      <c r="PYF108" s="1" t="s">
        <v>122</v>
      </c>
      <c r="PYG108" s="1" t="s">
        <v>122</v>
      </c>
      <c r="PYH108" s="1" t="s">
        <v>122</v>
      </c>
      <c r="PYI108" s="1" t="s">
        <v>122</v>
      </c>
      <c r="PYJ108" s="1" t="s">
        <v>122</v>
      </c>
      <c r="PYK108" s="1" t="s">
        <v>122</v>
      </c>
      <c r="PYL108" s="1" t="s">
        <v>122</v>
      </c>
      <c r="PYM108" s="1" t="s">
        <v>122</v>
      </c>
      <c r="PYN108" s="1" t="s">
        <v>122</v>
      </c>
      <c r="PYO108" s="1" t="s">
        <v>122</v>
      </c>
      <c r="PYP108" s="1" t="s">
        <v>122</v>
      </c>
      <c r="PYQ108" s="1" t="s">
        <v>122</v>
      </c>
      <c r="PYR108" s="1" t="s">
        <v>122</v>
      </c>
      <c r="PYS108" s="1" t="s">
        <v>122</v>
      </c>
      <c r="PYT108" s="1" t="s">
        <v>122</v>
      </c>
      <c r="PYU108" s="1" t="s">
        <v>122</v>
      </c>
      <c r="PYV108" s="1" t="s">
        <v>122</v>
      </c>
      <c r="PYW108" s="1" t="s">
        <v>122</v>
      </c>
      <c r="PYX108" s="1" t="s">
        <v>122</v>
      </c>
      <c r="PYY108" s="1" t="s">
        <v>122</v>
      </c>
      <c r="PYZ108" s="1" t="s">
        <v>122</v>
      </c>
      <c r="PZA108" s="1" t="s">
        <v>122</v>
      </c>
      <c r="PZB108" s="1" t="s">
        <v>122</v>
      </c>
      <c r="PZC108" s="1" t="s">
        <v>122</v>
      </c>
      <c r="PZD108" s="1" t="s">
        <v>122</v>
      </c>
      <c r="PZE108" s="1" t="s">
        <v>122</v>
      </c>
      <c r="PZF108" s="1" t="s">
        <v>122</v>
      </c>
      <c r="PZG108" s="1" t="s">
        <v>122</v>
      </c>
      <c r="PZH108" s="1" t="s">
        <v>122</v>
      </c>
      <c r="PZI108" s="1" t="s">
        <v>122</v>
      </c>
      <c r="PZJ108" s="1" t="s">
        <v>122</v>
      </c>
      <c r="PZK108" s="1" t="s">
        <v>122</v>
      </c>
      <c r="PZL108" s="1" t="s">
        <v>122</v>
      </c>
      <c r="PZM108" s="1" t="s">
        <v>122</v>
      </c>
      <c r="PZN108" s="1" t="s">
        <v>122</v>
      </c>
      <c r="PZO108" s="1" t="s">
        <v>122</v>
      </c>
      <c r="PZP108" s="1" t="s">
        <v>122</v>
      </c>
      <c r="PZQ108" s="1" t="s">
        <v>122</v>
      </c>
      <c r="PZR108" s="1" t="s">
        <v>122</v>
      </c>
      <c r="PZS108" s="1" t="s">
        <v>122</v>
      </c>
      <c r="PZT108" s="1" t="s">
        <v>122</v>
      </c>
      <c r="PZU108" s="1" t="s">
        <v>122</v>
      </c>
      <c r="PZV108" s="1" t="s">
        <v>122</v>
      </c>
      <c r="PZW108" s="1" t="s">
        <v>122</v>
      </c>
      <c r="PZX108" s="1" t="s">
        <v>122</v>
      </c>
      <c r="PZY108" s="1" t="s">
        <v>122</v>
      </c>
      <c r="PZZ108" s="1" t="s">
        <v>122</v>
      </c>
      <c r="QAA108" s="1" t="s">
        <v>122</v>
      </c>
      <c r="QAB108" s="1" t="s">
        <v>122</v>
      </c>
      <c r="QAC108" s="1" t="s">
        <v>122</v>
      </c>
      <c r="QAD108" s="1" t="s">
        <v>122</v>
      </c>
      <c r="QAE108" s="1" t="s">
        <v>122</v>
      </c>
      <c r="QAF108" s="1" t="s">
        <v>122</v>
      </c>
      <c r="QAG108" s="1" t="s">
        <v>122</v>
      </c>
      <c r="QAH108" s="1" t="s">
        <v>122</v>
      </c>
      <c r="QAI108" s="1" t="s">
        <v>122</v>
      </c>
      <c r="QAJ108" s="1" t="s">
        <v>122</v>
      </c>
      <c r="QAK108" s="1" t="s">
        <v>122</v>
      </c>
      <c r="QAL108" s="1" t="s">
        <v>122</v>
      </c>
      <c r="QAM108" s="1" t="s">
        <v>122</v>
      </c>
      <c r="QAN108" s="1" t="s">
        <v>122</v>
      </c>
      <c r="QAO108" s="1" t="s">
        <v>122</v>
      </c>
      <c r="QAP108" s="1" t="s">
        <v>122</v>
      </c>
      <c r="QAQ108" s="1" t="s">
        <v>122</v>
      </c>
      <c r="QAR108" s="1" t="s">
        <v>122</v>
      </c>
      <c r="QAS108" s="1" t="s">
        <v>122</v>
      </c>
      <c r="QAT108" s="1" t="s">
        <v>122</v>
      </c>
      <c r="QAU108" s="1" t="s">
        <v>122</v>
      </c>
      <c r="QAV108" s="1" t="s">
        <v>122</v>
      </c>
      <c r="QAW108" s="1" t="s">
        <v>122</v>
      </c>
      <c r="QAX108" s="1" t="s">
        <v>122</v>
      </c>
      <c r="QAY108" s="1" t="s">
        <v>122</v>
      </c>
      <c r="QAZ108" s="1" t="s">
        <v>122</v>
      </c>
      <c r="QBA108" s="1" t="s">
        <v>122</v>
      </c>
      <c r="QBB108" s="1" t="s">
        <v>122</v>
      </c>
      <c r="QBC108" s="1" t="s">
        <v>122</v>
      </c>
      <c r="QBD108" s="1" t="s">
        <v>122</v>
      </c>
      <c r="QBE108" s="1" t="s">
        <v>122</v>
      </c>
      <c r="QBF108" s="1" t="s">
        <v>122</v>
      </c>
      <c r="QBG108" s="1" t="s">
        <v>122</v>
      </c>
      <c r="QBH108" s="1" t="s">
        <v>122</v>
      </c>
      <c r="QBI108" s="1" t="s">
        <v>122</v>
      </c>
      <c r="QBJ108" s="1" t="s">
        <v>122</v>
      </c>
      <c r="QBK108" s="1" t="s">
        <v>122</v>
      </c>
      <c r="QBL108" s="1" t="s">
        <v>122</v>
      </c>
      <c r="QBM108" s="1" t="s">
        <v>122</v>
      </c>
      <c r="QBN108" s="1" t="s">
        <v>122</v>
      </c>
      <c r="QBO108" s="1" t="s">
        <v>122</v>
      </c>
      <c r="QBP108" s="1" t="s">
        <v>122</v>
      </c>
      <c r="QBQ108" s="1" t="s">
        <v>122</v>
      </c>
      <c r="QBR108" s="1" t="s">
        <v>122</v>
      </c>
      <c r="QBS108" s="1" t="s">
        <v>122</v>
      </c>
      <c r="QBT108" s="1" t="s">
        <v>122</v>
      </c>
      <c r="QBU108" s="1" t="s">
        <v>122</v>
      </c>
      <c r="QBV108" s="1" t="s">
        <v>122</v>
      </c>
      <c r="QBW108" s="1" t="s">
        <v>122</v>
      </c>
      <c r="QBX108" s="1" t="s">
        <v>122</v>
      </c>
      <c r="QBY108" s="1" t="s">
        <v>122</v>
      </c>
      <c r="QBZ108" s="1" t="s">
        <v>122</v>
      </c>
      <c r="QCA108" s="1" t="s">
        <v>122</v>
      </c>
      <c r="QCB108" s="1" t="s">
        <v>122</v>
      </c>
      <c r="QCC108" s="1" t="s">
        <v>122</v>
      </c>
      <c r="QCD108" s="1" t="s">
        <v>122</v>
      </c>
      <c r="QCE108" s="1" t="s">
        <v>122</v>
      </c>
      <c r="QCF108" s="1" t="s">
        <v>122</v>
      </c>
      <c r="QCG108" s="1" t="s">
        <v>122</v>
      </c>
      <c r="QCH108" s="1" t="s">
        <v>122</v>
      </c>
      <c r="QCI108" s="1" t="s">
        <v>122</v>
      </c>
      <c r="QCJ108" s="1" t="s">
        <v>122</v>
      </c>
      <c r="QCK108" s="1" t="s">
        <v>122</v>
      </c>
      <c r="QCL108" s="1" t="s">
        <v>122</v>
      </c>
      <c r="QCM108" s="1" t="s">
        <v>122</v>
      </c>
      <c r="QCN108" s="1" t="s">
        <v>122</v>
      </c>
      <c r="QCO108" s="1" t="s">
        <v>122</v>
      </c>
      <c r="QCP108" s="1" t="s">
        <v>122</v>
      </c>
      <c r="QCQ108" s="1" t="s">
        <v>122</v>
      </c>
      <c r="QCR108" s="1" t="s">
        <v>122</v>
      </c>
      <c r="QCS108" s="1" t="s">
        <v>122</v>
      </c>
      <c r="QCT108" s="1" t="s">
        <v>122</v>
      </c>
      <c r="QCU108" s="1" t="s">
        <v>122</v>
      </c>
      <c r="QCV108" s="1" t="s">
        <v>122</v>
      </c>
      <c r="QCW108" s="1" t="s">
        <v>122</v>
      </c>
      <c r="QCX108" s="1" t="s">
        <v>122</v>
      </c>
      <c r="QCY108" s="1" t="s">
        <v>122</v>
      </c>
      <c r="QCZ108" s="1" t="s">
        <v>122</v>
      </c>
      <c r="QDA108" s="1" t="s">
        <v>122</v>
      </c>
      <c r="QDB108" s="1" t="s">
        <v>122</v>
      </c>
      <c r="QDC108" s="1" t="s">
        <v>122</v>
      </c>
      <c r="QDD108" s="1" t="s">
        <v>122</v>
      </c>
      <c r="QDE108" s="1" t="s">
        <v>122</v>
      </c>
      <c r="QDF108" s="1" t="s">
        <v>122</v>
      </c>
      <c r="QDG108" s="1" t="s">
        <v>122</v>
      </c>
      <c r="QDH108" s="1" t="s">
        <v>122</v>
      </c>
      <c r="QDI108" s="1" t="s">
        <v>122</v>
      </c>
      <c r="QDJ108" s="1" t="s">
        <v>122</v>
      </c>
      <c r="QDK108" s="1" t="s">
        <v>122</v>
      </c>
      <c r="QDL108" s="1" t="s">
        <v>122</v>
      </c>
      <c r="QDM108" s="1" t="s">
        <v>122</v>
      </c>
      <c r="QDN108" s="1" t="s">
        <v>122</v>
      </c>
      <c r="QDO108" s="1" t="s">
        <v>122</v>
      </c>
      <c r="QDP108" s="1" t="s">
        <v>122</v>
      </c>
      <c r="QDQ108" s="1" t="s">
        <v>122</v>
      </c>
      <c r="QDR108" s="1" t="s">
        <v>122</v>
      </c>
      <c r="QDS108" s="1" t="s">
        <v>122</v>
      </c>
      <c r="QDT108" s="1" t="s">
        <v>122</v>
      </c>
      <c r="QDU108" s="1" t="s">
        <v>122</v>
      </c>
      <c r="QDV108" s="1" t="s">
        <v>122</v>
      </c>
      <c r="QDW108" s="1" t="s">
        <v>122</v>
      </c>
      <c r="QDX108" s="1" t="s">
        <v>122</v>
      </c>
      <c r="QDY108" s="1" t="s">
        <v>122</v>
      </c>
      <c r="QDZ108" s="1" t="s">
        <v>122</v>
      </c>
      <c r="QEA108" s="1" t="s">
        <v>122</v>
      </c>
      <c r="QEB108" s="1" t="s">
        <v>122</v>
      </c>
      <c r="QEC108" s="1" t="s">
        <v>122</v>
      </c>
      <c r="QED108" s="1" t="s">
        <v>122</v>
      </c>
      <c r="QEE108" s="1" t="s">
        <v>122</v>
      </c>
      <c r="QEF108" s="1" t="s">
        <v>122</v>
      </c>
      <c r="QEG108" s="1" t="s">
        <v>122</v>
      </c>
      <c r="QEH108" s="1" t="s">
        <v>122</v>
      </c>
      <c r="QEI108" s="1" t="s">
        <v>122</v>
      </c>
      <c r="QEJ108" s="1" t="s">
        <v>122</v>
      </c>
      <c r="QEK108" s="1" t="s">
        <v>122</v>
      </c>
      <c r="QEL108" s="1" t="s">
        <v>122</v>
      </c>
      <c r="QEM108" s="1" t="s">
        <v>122</v>
      </c>
      <c r="QEN108" s="1" t="s">
        <v>122</v>
      </c>
      <c r="QEO108" s="1" t="s">
        <v>122</v>
      </c>
      <c r="QEP108" s="1" t="s">
        <v>122</v>
      </c>
      <c r="QEQ108" s="1" t="s">
        <v>122</v>
      </c>
      <c r="QER108" s="1" t="s">
        <v>122</v>
      </c>
      <c r="QES108" s="1" t="s">
        <v>122</v>
      </c>
      <c r="QET108" s="1" t="s">
        <v>122</v>
      </c>
      <c r="QEU108" s="1" t="s">
        <v>122</v>
      </c>
      <c r="QEV108" s="1" t="s">
        <v>122</v>
      </c>
      <c r="QEW108" s="1" t="s">
        <v>122</v>
      </c>
      <c r="QEX108" s="1" t="s">
        <v>122</v>
      </c>
      <c r="QEY108" s="1" t="s">
        <v>122</v>
      </c>
      <c r="QEZ108" s="1" t="s">
        <v>122</v>
      </c>
      <c r="QFA108" s="1" t="s">
        <v>122</v>
      </c>
      <c r="QFB108" s="1" t="s">
        <v>122</v>
      </c>
      <c r="QFC108" s="1" t="s">
        <v>122</v>
      </c>
      <c r="QFD108" s="1" t="s">
        <v>122</v>
      </c>
      <c r="QFE108" s="1" t="s">
        <v>122</v>
      </c>
      <c r="QFF108" s="1" t="s">
        <v>122</v>
      </c>
      <c r="QFG108" s="1" t="s">
        <v>122</v>
      </c>
      <c r="QFH108" s="1" t="s">
        <v>122</v>
      </c>
      <c r="QFI108" s="1" t="s">
        <v>122</v>
      </c>
      <c r="QFJ108" s="1" t="s">
        <v>122</v>
      </c>
      <c r="QFK108" s="1" t="s">
        <v>122</v>
      </c>
      <c r="QFL108" s="1" t="s">
        <v>122</v>
      </c>
      <c r="QFM108" s="1" t="s">
        <v>122</v>
      </c>
      <c r="QFN108" s="1" t="s">
        <v>122</v>
      </c>
      <c r="QFO108" s="1" t="s">
        <v>122</v>
      </c>
      <c r="QFP108" s="1" t="s">
        <v>122</v>
      </c>
      <c r="QFQ108" s="1" t="s">
        <v>122</v>
      </c>
      <c r="QFR108" s="1" t="s">
        <v>122</v>
      </c>
      <c r="QFS108" s="1" t="s">
        <v>122</v>
      </c>
      <c r="QFT108" s="1" t="s">
        <v>122</v>
      </c>
      <c r="QFU108" s="1" t="s">
        <v>122</v>
      </c>
      <c r="QFV108" s="1" t="s">
        <v>122</v>
      </c>
      <c r="QFW108" s="1" t="s">
        <v>122</v>
      </c>
      <c r="QFX108" s="1" t="s">
        <v>122</v>
      </c>
      <c r="QFY108" s="1" t="s">
        <v>122</v>
      </c>
      <c r="QFZ108" s="1" t="s">
        <v>122</v>
      </c>
      <c r="QGA108" s="1" t="s">
        <v>122</v>
      </c>
      <c r="QGB108" s="1" t="s">
        <v>122</v>
      </c>
      <c r="QGC108" s="1" t="s">
        <v>122</v>
      </c>
      <c r="QGD108" s="1" t="s">
        <v>122</v>
      </c>
      <c r="QGE108" s="1" t="s">
        <v>122</v>
      </c>
      <c r="QGF108" s="1" t="s">
        <v>122</v>
      </c>
      <c r="QGG108" s="1" t="s">
        <v>122</v>
      </c>
      <c r="QGH108" s="1" t="s">
        <v>122</v>
      </c>
      <c r="QGI108" s="1" t="s">
        <v>122</v>
      </c>
      <c r="QGJ108" s="1" t="s">
        <v>122</v>
      </c>
      <c r="QGK108" s="1" t="s">
        <v>122</v>
      </c>
      <c r="QGL108" s="1" t="s">
        <v>122</v>
      </c>
      <c r="QGM108" s="1" t="s">
        <v>122</v>
      </c>
      <c r="QGN108" s="1" t="s">
        <v>122</v>
      </c>
      <c r="QGO108" s="1" t="s">
        <v>122</v>
      </c>
      <c r="QGP108" s="1" t="s">
        <v>122</v>
      </c>
      <c r="QGQ108" s="1" t="s">
        <v>122</v>
      </c>
      <c r="QGR108" s="1" t="s">
        <v>122</v>
      </c>
      <c r="QGS108" s="1" t="s">
        <v>122</v>
      </c>
      <c r="QGT108" s="1" t="s">
        <v>122</v>
      </c>
      <c r="QGU108" s="1" t="s">
        <v>122</v>
      </c>
      <c r="QGV108" s="1" t="s">
        <v>122</v>
      </c>
      <c r="QGW108" s="1" t="s">
        <v>122</v>
      </c>
      <c r="QGX108" s="1" t="s">
        <v>122</v>
      </c>
      <c r="QGY108" s="1" t="s">
        <v>122</v>
      </c>
      <c r="QGZ108" s="1" t="s">
        <v>122</v>
      </c>
      <c r="QHA108" s="1" t="s">
        <v>122</v>
      </c>
      <c r="QHB108" s="1" t="s">
        <v>122</v>
      </c>
      <c r="QHC108" s="1" t="s">
        <v>122</v>
      </c>
      <c r="QHD108" s="1" t="s">
        <v>122</v>
      </c>
      <c r="QHE108" s="1" t="s">
        <v>122</v>
      </c>
      <c r="QHF108" s="1" t="s">
        <v>122</v>
      </c>
      <c r="QHG108" s="1" t="s">
        <v>122</v>
      </c>
      <c r="QHH108" s="1" t="s">
        <v>122</v>
      </c>
      <c r="QHI108" s="1" t="s">
        <v>122</v>
      </c>
      <c r="QHJ108" s="1" t="s">
        <v>122</v>
      </c>
      <c r="QHK108" s="1" t="s">
        <v>122</v>
      </c>
      <c r="QHL108" s="1" t="s">
        <v>122</v>
      </c>
      <c r="QHM108" s="1" t="s">
        <v>122</v>
      </c>
      <c r="QHN108" s="1" t="s">
        <v>122</v>
      </c>
      <c r="QHO108" s="1" t="s">
        <v>122</v>
      </c>
      <c r="QHP108" s="1" t="s">
        <v>122</v>
      </c>
      <c r="QHQ108" s="1" t="s">
        <v>122</v>
      </c>
      <c r="QHR108" s="1" t="s">
        <v>122</v>
      </c>
      <c r="QHS108" s="1" t="s">
        <v>122</v>
      </c>
      <c r="QHT108" s="1" t="s">
        <v>122</v>
      </c>
      <c r="QHU108" s="1" t="s">
        <v>122</v>
      </c>
      <c r="QHV108" s="1" t="s">
        <v>122</v>
      </c>
      <c r="QHW108" s="1" t="s">
        <v>122</v>
      </c>
      <c r="QHX108" s="1" t="s">
        <v>122</v>
      </c>
      <c r="QHY108" s="1" t="s">
        <v>122</v>
      </c>
      <c r="QHZ108" s="1" t="s">
        <v>122</v>
      </c>
      <c r="QIA108" s="1" t="s">
        <v>122</v>
      </c>
      <c r="QIB108" s="1" t="s">
        <v>122</v>
      </c>
      <c r="QIC108" s="1" t="s">
        <v>122</v>
      </c>
      <c r="QID108" s="1" t="s">
        <v>122</v>
      </c>
      <c r="QIE108" s="1" t="s">
        <v>122</v>
      </c>
      <c r="QIF108" s="1" t="s">
        <v>122</v>
      </c>
      <c r="QIG108" s="1" t="s">
        <v>122</v>
      </c>
      <c r="QIH108" s="1" t="s">
        <v>122</v>
      </c>
      <c r="QII108" s="1" t="s">
        <v>122</v>
      </c>
      <c r="QIJ108" s="1" t="s">
        <v>122</v>
      </c>
      <c r="QIK108" s="1" t="s">
        <v>122</v>
      </c>
      <c r="QIL108" s="1" t="s">
        <v>122</v>
      </c>
      <c r="QIM108" s="1" t="s">
        <v>122</v>
      </c>
      <c r="QIN108" s="1" t="s">
        <v>122</v>
      </c>
      <c r="QIO108" s="1" t="s">
        <v>122</v>
      </c>
      <c r="QIP108" s="1" t="s">
        <v>122</v>
      </c>
      <c r="QIQ108" s="1" t="s">
        <v>122</v>
      </c>
      <c r="QIR108" s="1" t="s">
        <v>122</v>
      </c>
      <c r="QIS108" s="1" t="s">
        <v>122</v>
      </c>
      <c r="QIT108" s="1" t="s">
        <v>122</v>
      </c>
      <c r="QIU108" s="1" t="s">
        <v>122</v>
      </c>
      <c r="QIV108" s="1" t="s">
        <v>122</v>
      </c>
      <c r="QIW108" s="1" t="s">
        <v>122</v>
      </c>
      <c r="QIX108" s="1" t="s">
        <v>122</v>
      </c>
      <c r="QIY108" s="1" t="s">
        <v>122</v>
      </c>
      <c r="QIZ108" s="1" t="s">
        <v>122</v>
      </c>
      <c r="QJA108" s="1" t="s">
        <v>122</v>
      </c>
      <c r="QJB108" s="1" t="s">
        <v>122</v>
      </c>
      <c r="QJC108" s="1" t="s">
        <v>122</v>
      </c>
      <c r="QJD108" s="1" t="s">
        <v>122</v>
      </c>
      <c r="QJE108" s="1" t="s">
        <v>122</v>
      </c>
      <c r="QJF108" s="1" t="s">
        <v>122</v>
      </c>
      <c r="QJG108" s="1" t="s">
        <v>122</v>
      </c>
      <c r="QJH108" s="1" t="s">
        <v>122</v>
      </c>
      <c r="QJI108" s="1" t="s">
        <v>122</v>
      </c>
      <c r="QJJ108" s="1" t="s">
        <v>122</v>
      </c>
      <c r="QJK108" s="1" t="s">
        <v>122</v>
      </c>
      <c r="QJL108" s="1" t="s">
        <v>122</v>
      </c>
      <c r="QJM108" s="1" t="s">
        <v>122</v>
      </c>
      <c r="QJN108" s="1" t="s">
        <v>122</v>
      </c>
      <c r="QJO108" s="1" t="s">
        <v>122</v>
      </c>
      <c r="QJP108" s="1" t="s">
        <v>122</v>
      </c>
      <c r="QJQ108" s="1" t="s">
        <v>122</v>
      </c>
      <c r="QJR108" s="1" t="s">
        <v>122</v>
      </c>
      <c r="QJS108" s="1" t="s">
        <v>122</v>
      </c>
      <c r="QJT108" s="1" t="s">
        <v>122</v>
      </c>
      <c r="QJU108" s="1" t="s">
        <v>122</v>
      </c>
      <c r="QJV108" s="1" t="s">
        <v>122</v>
      </c>
      <c r="QJW108" s="1" t="s">
        <v>122</v>
      </c>
      <c r="QJX108" s="1" t="s">
        <v>122</v>
      </c>
      <c r="QJY108" s="1" t="s">
        <v>122</v>
      </c>
      <c r="QJZ108" s="1" t="s">
        <v>122</v>
      </c>
      <c r="QKA108" s="1" t="s">
        <v>122</v>
      </c>
      <c r="QKB108" s="1" t="s">
        <v>122</v>
      </c>
      <c r="QKC108" s="1" t="s">
        <v>122</v>
      </c>
      <c r="QKD108" s="1" t="s">
        <v>122</v>
      </c>
      <c r="QKE108" s="1" t="s">
        <v>122</v>
      </c>
      <c r="QKF108" s="1" t="s">
        <v>122</v>
      </c>
      <c r="QKG108" s="1" t="s">
        <v>122</v>
      </c>
      <c r="QKH108" s="1" t="s">
        <v>122</v>
      </c>
      <c r="QKI108" s="1" t="s">
        <v>122</v>
      </c>
      <c r="QKJ108" s="1" t="s">
        <v>122</v>
      </c>
      <c r="QKK108" s="1" t="s">
        <v>122</v>
      </c>
      <c r="QKL108" s="1" t="s">
        <v>122</v>
      </c>
      <c r="QKM108" s="1" t="s">
        <v>122</v>
      </c>
      <c r="QKN108" s="1" t="s">
        <v>122</v>
      </c>
      <c r="QKO108" s="1" t="s">
        <v>122</v>
      </c>
      <c r="QKP108" s="1" t="s">
        <v>122</v>
      </c>
      <c r="QKQ108" s="1" t="s">
        <v>122</v>
      </c>
      <c r="QKR108" s="1" t="s">
        <v>122</v>
      </c>
      <c r="QKS108" s="1" t="s">
        <v>122</v>
      </c>
      <c r="QKT108" s="1" t="s">
        <v>122</v>
      </c>
      <c r="QKU108" s="1" t="s">
        <v>122</v>
      </c>
      <c r="QKV108" s="1" t="s">
        <v>122</v>
      </c>
      <c r="QKW108" s="1" t="s">
        <v>122</v>
      </c>
      <c r="QKX108" s="1" t="s">
        <v>122</v>
      </c>
      <c r="QKY108" s="1" t="s">
        <v>122</v>
      </c>
      <c r="QKZ108" s="1" t="s">
        <v>122</v>
      </c>
      <c r="QLA108" s="1" t="s">
        <v>122</v>
      </c>
      <c r="QLB108" s="1" t="s">
        <v>122</v>
      </c>
      <c r="QLC108" s="1" t="s">
        <v>122</v>
      </c>
      <c r="QLD108" s="1" t="s">
        <v>122</v>
      </c>
      <c r="QLE108" s="1" t="s">
        <v>122</v>
      </c>
      <c r="QLF108" s="1" t="s">
        <v>122</v>
      </c>
      <c r="QLG108" s="1" t="s">
        <v>122</v>
      </c>
      <c r="QLH108" s="1" t="s">
        <v>122</v>
      </c>
      <c r="QLI108" s="1" t="s">
        <v>122</v>
      </c>
      <c r="QLJ108" s="1" t="s">
        <v>122</v>
      </c>
      <c r="QLK108" s="1" t="s">
        <v>122</v>
      </c>
      <c r="QLL108" s="1" t="s">
        <v>122</v>
      </c>
      <c r="QLM108" s="1" t="s">
        <v>122</v>
      </c>
      <c r="QLN108" s="1" t="s">
        <v>122</v>
      </c>
      <c r="QLO108" s="1" t="s">
        <v>122</v>
      </c>
      <c r="QLP108" s="1" t="s">
        <v>122</v>
      </c>
      <c r="QLQ108" s="1" t="s">
        <v>122</v>
      </c>
      <c r="QLR108" s="1" t="s">
        <v>122</v>
      </c>
      <c r="QLS108" s="1" t="s">
        <v>122</v>
      </c>
      <c r="QLT108" s="1" t="s">
        <v>122</v>
      </c>
      <c r="QLU108" s="1" t="s">
        <v>122</v>
      </c>
      <c r="QLV108" s="1" t="s">
        <v>122</v>
      </c>
      <c r="QLW108" s="1" t="s">
        <v>122</v>
      </c>
      <c r="QLX108" s="1" t="s">
        <v>122</v>
      </c>
      <c r="QLY108" s="1" t="s">
        <v>122</v>
      </c>
      <c r="QLZ108" s="1" t="s">
        <v>122</v>
      </c>
      <c r="QMA108" s="1" t="s">
        <v>122</v>
      </c>
      <c r="QMB108" s="1" t="s">
        <v>122</v>
      </c>
      <c r="QMC108" s="1" t="s">
        <v>122</v>
      </c>
      <c r="QMD108" s="1" t="s">
        <v>122</v>
      </c>
      <c r="QME108" s="1" t="s">
        <v>122</v>
      </c>
      <c r="QMF108" s="1" t="s">
        <v>122</v>
      </c>
      <c r="QMG108" s="1" t="s">
        <v>122</v>
      </c>
      <c r="QMH108" s="1" t="s">
        <v>122</v>
      </c>
      <c r="QMI108" s="1" t="s">
        <v>122</v>
      </c>
      <c r="QMJ108" s="1" t="s">
        <v>122</v>
      </c>
      <c r="QMK108" s="1" t="s">
        <v>122</v>
      </c>
      <c r="QML108" s="1" t="s">
        <v>122</v>
      </c>
      <c r="QMM108" s="1" t="s">
        <v>122</v>
      </c>
      <c r="QMN108" s="1" t="s">
        <v>122</v>
      </c>
      <c r="QMO108" s="1" t="s">
        <v>122</v>
      </c>
      <c r="QMP108" s="1" t="s">
        <v>122</v>
      </c>
      <c r="QMQ108" s="1" t="s">
        <v>122</v>
      </c>
      <c r="QMR108" s="1" t="s">
        <v>122</v>
      </c>
      <c r="QMS108" s="1" t="s">
        <v>122</v>
      </c>
      <c r="QMT108" s="1" t="s">
        <v>122</v>
      </c>
      <c r="QMU108" s="1" t="s">
        <v>122</v>
      </c>
      <c r="QMV108" s="1" t="s">
        <v>122</v>
      </c>
      <c r="QMW108" s="1" t="s">
        <v>122</v>
      </c>
      <c r="QMX108" s="1" t="s">
        <v>122</v>
      </c>
      <c r="QMY108" s="1" t="s">
        <v>122</v>
      </c>
      <c r="QMZ108" s="1" t="s">
        <v>122</v>
      </c>
      <c r="QNA108" s="1" t="s">
        <v>122</v>
      </c>
      <c r="QNB108" s="1" t="s">
        <v>122</v>
      </c>
      <c r="QNC108" s="1" t="s">
        <v>122</v>
      </c>
      <c r="QND108" s="1" t="s">
        <v>122</v>
      </c>
      <c r="QNE108" s="1" t="s">
        <v>122</v>
      </c>
      <c r="QNF108" s="1" t="s">
        <v>122</v>
      </c>
      <c r="QNG108" s="1" t="s">
        <v>122</v>
      </c>
      <c r="QNH108" s="1" t="s">
        <v>122</v>
      </c>
      <c r="QNI108" s="1" t="s">
        <v>122</v>
      </c>
      <c r="QNJ108" s="1" t="s">
        <v>122</v>
      </c>
      <c r="QNK108" s="1" t="s">
        <v>122</v>
      </c>
      <c r="QNL108" s="1" t="s">
        <v>122</v>
      </c>
      <c r="QNM108" s="1" t="s">
        <v>122</v>
      </c>
      <c r="QNN108" s="1" t="s">
        <v>122</v>
      </c>
      <c r="QNO108" s="1" t="s">
        <v>122</v>
      </c>
      <c r="QNP108" s="1" t="s">
        <v>122</v>
      </c>
      <c r="QNQ108" s="1" t="s">
        <v>122</v>
      </c>
      <c r="QNR108" s="1" t="s">
        <v>122</v>
      </c>
      <c r="QNS108" s="1" t="s">
        <v>122</v>
      </c>
      <c r="QNT108" s="1" t="s">
        <v>122</v>
      </c>
      <c r="QNU108" s="1" t="s">
        <v>122</v>
      </c>
      <c r="QNV108" s="1" t="s">
        <v>122</v>
      </c>
      <c r="QNW108" s="1" t="s">
        <v>122</v>
      </c>
      <c r="QNX108" s="1" t="s">
        <v>122</v>
      </c>
      <c r="QNY108" s="1" t="s">
        <v>122</v>
      </c>
      <c r="QNZ108" s="1" t="s">
        <v>122</v>
      </c>
      <c r="QOA108" s="1" t="s">
        <v>122</v>
      </c>
      <c r="QOB108" s="1" t="s">
        <v>122</v>
      </c>
      <c r="QOC108" s="1" t="s">
        <v>122</v>
      </c>
      <c r="QOD108" s="1" t="s">
        <v>122</v>
      </c>
      <c r="QOE108" s="1" t="s">
        <v>122</v>
      </c>
      <c r="QOF108" s="1" t="s">
        <v>122</v>
      </c>
      <c r="QOG108" s="1" t="s">
        <v>122</v>
      </c>
      <c r="QOH108" s="1" t="s">
        <v>122</v>
      </c>
      <c r="QOI108" s="1" t="s">
        <v>122</v>
      </c>
      <c r="QOJ108" s="1" t="s">
        <v>122</v>
      </c>
      <c r="QOK108" s="1" t="s">
        <v>122</v>
      </c>
      <c r="QOL108" s="1" t="s">
        <v>122</v>
      </c>
      <c r="QOM108" s="1" t="s">
        <v>122</v>
      </c>
      <c r="QON108" s="1" t="s">
        <v>122</v>
      </c>
      <c r="QOO108" s="1" t="s">
        <v>122</v>
      </c>
      <c r="QOP108" s="1" t="s">
        <v>122</v>
      </c>
      <c r="QOQ108" s="1" t="s">
        <v>122</v>
      </c>
      <c r="QOR108" s="1" t="s">
        <v>122</v>
      </c>
      <c r="QOS108" s="1" t="s">
        <v>122</v>
      </c>
      <c r="QOT108" s="1" t="s">
        <v>122</v>
      </c>
      <c r="QOU108" s="1" t="s">
        <v>122</v>
      </c>
      <c r="QOV108" s="1" t="s">
        <v>122</v>
      </c>
      <c r="QOW108" s="1" t="s">
        <v>122</v>
      </c>
      <c r="QOX108" s="1" t="s">
        <v>122</v>
      </c>
      <c r="QOY108" s="1" t="s">
        <v>122</v>
      </c>
      <c r="QOZ108" s="1" t="s">
        <v>122</v>
      </c>
      <c r="QPA108" s="1" t="s">
        <v>122</v>
      </c>
      <c r="QPB108" s="1" t="s">
        <v>122</v>
      </c>
      <c r="QPC108" s="1" t="s">
        <v>122</v>
      </c>
      <c r="QPD108" s="1" t="s">
        <v>122</v>
      </c>
      <c r="QPE108" s="1" t="s">
        <v>122</v>
      </c>
      <c r="QPF108" s="1" t="s">
        <v>122</v>
      </c>
      <c r="QPG108" s="1" t="s">
        <v>122</v>
      </c>
      <c r="QPH108" s="1" t="s">
        <v>122</v>
      </c>
      <c r="QPI108" s="1" t="s">
        <v>122</v>
      </c>
      <c r="QPJ108" s="1" t="s">
        <v>122</v>
      </c>
      <c r="QPK108" s="1" t="s">
        <v>122</v>
      </c>
      <c r="QPL108" s="1" t="s">
        <v>122</v>
      </c>
      <c r="QPM108" s="1" t="s">
        <v>122</v>
      </c>
      <c r="QPN108" s="1" t="s">
        <v>122</v>
      </c>
      <c r="QPO108" s="1" t="s">
        <v>122</v>
      </c>
      <c r="QPP108" s="1" t="s">
        <v>122</v>
      </c>
      <c r="QPQ108" s="1" t="s">
        <v>122</v>
      </c>
      <c r="QPR108" s="1" t="s">
        <v>122</v>
      </c>
      <c r="QPS108" s="1" t="s">
        <v>122</v>
      </c>
      <c r="QPT108" s="1" t="s">
        <v>122</v>
      </c>
      <c r="QPU108" s="1" t="s">
        <v>122</v>
      </c>
      <c r="QPV108" s="1" t="s">
        <v>122</v>
      </c>
      <c r="QPW108" s="1" t="s">
        <v>122</v>
      </c>
      <c r="QPX108" s="1" t="s">
        <v>122</v>
      </c>
      <c r="QPY108" s="1" t="s">
        <v>122</v>
      </c>
      <c r="QPZ108" s="1" t="s">
        <v>122</v>
      </c>
      <c r="QQA108" s="1" t="s">
        <v>122</v>
      </c>
      <c r="QQB108" s="1" t="s">
        <v>122</v>
      </c>
      <c r="QQC108" s="1" t="s">
        <v>122</v>
      </c>
      <c r="QQD108" s="1" t="s">
        <v>122</v>
      </c>
      <c r="QQE108" s="1" t="s">
        <v>122</v>
      </c>
      <c r="QQF108" s="1" t="s">
        <v>122</v>
      </c>
      <c r="QQG108" s="1" t="s">
        <v>122</v>
      </c>
      <c r="QQH108" s="1" t="s">
        <v>122</v>
      </c>
      <c r="QQI108" s="1" t="s">
        <v>122</v>
      </c>
      <c r="QQJ108" s="1" t="s">
        <v>122</v>
      </c>
      <c r="QQK108" s="1" t="s">
        <v>122</v>
      </c>
      <c r="QQL108" s="1" t="s">
        <v>122</v>
      </c>
      <c r="QQM108" s="1" t="s">
        <v>122</v>
      </c>
      <c r="QQN108" s="1" t="s">
        <v>122</v>
      </c>
      <c r="QQO108" s="1" t="s">
        <v>122</v>
      </c>
      <c r="QQP108" s="1" t="s">
        <v>122</v>
      </c>
      <c r="QQQ108" s="1" t="s">
        <v>122</v>
      </c>
      <c r="QQR108" s="1" t="s">
        <v>122</v>
      </c>
      <c r="QQS108" s="1" t="s">
        <v>122</v>
      </c>
      <c r="QQT108" s="1" t="s">
        <v>122</v>
      </c>
      <c r="QQU108" s="1" t="s">
        <v>122</v>
      </c>
      <c r="QQV108" s="1" t="s">
        <v>122</v>
      </c>
      <c r="QQW108" s="1" t="s">
        <v>122</v>
      </c>
      <c r="QQX108" s="1" t="s">
        <v>122</v>
      </c>
      <c r="QQY108" s="1" t="s">
        <v>122</v>
      </c>
      <c r="QQZ108" s="1" t="s">
        <v>122</v>
      </c>
      <c r="QRA108" s="1" t="s">
        <v>122</v>
      </c>
      <c r="QRB108" s="1" t="s">
        <v>122</v>
      </c>
      <c r="QRC108" s="1" t="s">
        <v>122</v>
      </c>
      <c r="QRD108" s="1" t="s">
        <v>122</v>
      </c>
      <c r="QRE108" s="1" t="s">
        <v>122</v>
      </c>
      <c r="QRF108" s="1" t="s">
        <v>122</v>
      </c>
      <c r="QRG108" s="1" t="s">
        <v>122</v>
      </c>
      <c r="QRH108" s="1" t="s">
        <v>122</v>
      </c>
      <c r="QRI108" s="1" t="s">
        <v>122</v>
      </c>
      <c r="QRJ108" s="1" t="s">
        <v>122</v>
      </c>
      <c r="QRK108" s="1" t="s">
        <v>122</v>
      </c>
      <c r="QRL108" s="1" t="s">
        <v>122</v>
      </c>
      <c r="QRM108" s="1" t="s">
        <v>122</v>
      </c>
      <c r="QRN108" s="1" t="s">
        <v>122</v>
      </c>
      <c r="QRO108" s="1" t="s">
        <v>122</v>
      </c>
      <c r="QRP108" s="1" t="s">
        <v>122</v>
      </c>
      <c r="QRQ108" s="1" t="s">
        <v>122</v>
      </c>
      <c r="QRR108" s="1" t="s">
        <v>122</v>
      </c>
      <c r="QRS108" s="1" t="s">
        <v>122</v>
      </c>
      <c r="QRT108" s="1" t="s">
        <v>122</v>
      </c>
      <c r="QRU108" s="1" t="s">
        <v>122</v>
      </c>
      <c r="QRV108" s="1" t="s">
        <v>122</v>
      </c>
      <c r="QRW108" s="1" t="s">
        <v>122</v>
      </c>
      <c r="QRX108" s="1" t="s">
        <v>122</v>
      </c>
      <c r="QRY108" s="1" t="s">
        <v>122</v>
      </c>
      <c r="QRZ108" s="1" t="s">
        <v>122</v>
      </c>
      <c r="QSA108" s="1" t="s">
        <v>122</v>
      </c>
      <c r="QSB108" s="1" t="s">
        <v>122</v>
      </c>
      <c r="QSC108" s="1" t="s">
        <v>122</v>
      </c>
      <c r="QSD108" s="1" t="s">
        <v>122</v>
      </c>
      <c r="QSE108" s="1" t="s">
        <v>122</v>
      </c>
      <c r="QSF108" s="1" t="s">
        <v>122</v>
      </c>
      <c r="QSG108" s="1" t="s">
        <v>122</v>
      </c>
      <c r="QSH108" s="1" t="s">
        <v>122</v>
      </c>
      <c r="QSI108" s="1" t="s">
        <v>122</v>
      </c>
      <c r="QSJ108" s="1" t="s">
        <v>122</v>
      </c>
      <c r="QSK108" s="1" t="s">
        <v>122</v>
      </c>
      <c r="QSL108" s="1" t="s">
        <v>122</v>
      </c>
      <c r="QSM108" s="1" t="s">
        <v>122</v>
      </c>
      <c r="QSN108" s="1" t="s">
        <v>122</v>
      </c>
      <c r="QSO108" s="1" t="s">
        <v>122</v>
      </c>
      <c r="QSP108" s="1" t="s">
        <v>122</v>
      </c>
      <c r="QSQ108" s="1" t="s">
        <v>122</v>
      </c>
      <c r="QSR108" s="1" t="s">
        <v>122</v>
      </c>
      <c r="QSS108" s="1" t="s">
        <v>122</v>
      </c>
      <c r="QST108" s="1" t="s">
        <v>122</v>
      </c>
      <c r="QSU108" s="1" t="s">
        <v>122</v>
      </c>
      <c r="QSV108" s="1" t="s">
        <v>122</v>
      </c>
      <c r="QSW108" s="1" t="s">
        <v>122</v>
      </c>
      <c r="QSX108" s="1" t="s">
        <v>122</v>
      </c>
      <c r="QSY108" s="1" t="s">
        <v>122</v>
      </c>
      <c r="QSZ108" s="1" t="s">
        <v>122</v>
      </c>
      <c r="QTA108" s="1" t="s">
        <v>122</v>
      </c>
      <c r="QTB108" s="1" t="s">
        <v>122</v>
      </c>
      <c r="QTC108" s="1" t="s">
        <v>122</v>
      </c>
      <c r="QTD108" s="1" t="s">
        <v>122</v>
      </c>
      <c r="QTE108" s="1" t="s">
        <v>122</v>
      </c>
      <c r="QTF108" s="1" t="s">
        <v>122</v>
      </c>
      <c r="QTG108" s="1" t="s">
        <v>122</v>
      </c>
      <c r="QTH108" s="1" t="s">
        <v>122</v>
      </c>
      <c r="QTI108" s="1" t="s">
        <v>122</v>
      </c>
      <c r="QTJ108" s="1" t="s">
        <v>122</v>
      </c>
      <c r="QTK108" s="1" t="s">
        <v>122</v>
      </c>
      <c r="QTL108" s="1" t="s">
        <v>122</v>
      </c>
      <c r="QTM108" s="1" t="s">
        <v>122</v>
      </c>
      <c r="QTN108" s="1" t="s">
        <v>122</v>
      </c>
      <c r="QTO108" s="1" t="s">
        <v>122</v>
      </c>
      <c r="QTP108" s="1" t="s">
        <v>122</v>
      </c>
      <c r="QTQ108" s="1" t="s">
        <v>122</v>
      </c>
      <c r="QTR108" s="1" t="s">
        <v>122</v>
      </c>
      <c r="QTS108" s="1" t="s">
        <v>122</v>
      </c>
      <c r="QTT108" s="1" t="s">
        <v>122</v>
      </c>
      <c r="QTU108" s="1" t="s">
        <v>122</v>
      </c>
      <c r="QTV108" s="1" t="s">
        <v>122</v>
      </c>
      <c r="QTW108" s="1" t="s">
        <v>122</v>
      </c>
      <c r="QTX108" s="1" t="s">
        <v>122</v>
      </c>
      <c r="QTY108" s="1" t="s">
        <v>122</v>
      </c>
      <c r="QTZ108" s="1" t="s">
        <v>122</v>
      </c>
      <c r="QUA108" s="1" t="s">
        <v>122</v>
      </c>
      <c r="QUB108" s="1" t="s">
        <v>122</v>
      </c>
      <c r="QUC108" s="1" t="s">
        <v>122</v>
      </c>
      <c r="QUD108" s="1" t="s">
        <v>122</v>
      </c>
      <c r="QUE108" s="1" t="s">
        <v>122</v>
      </c>
      <c r="QUF108" s="1" t="s">
        <v>122</v>
      </c>
      <c r="QUG108" s="1" t="s">
        <v>122</v>
      </c>
      <c r="QUH108" s="1" t="s">
        <v>122</v>
      </c>
      <c r="QUI108" s="1" t="s">
        <v>122</v>
      </c>
      <c r="QUJ108" s="1" t="s">
        <v>122</v>
      </c>
      <c r="QUK108" s="1" t="s">
        <v>122</v>
      </c>
      <c r="QUL108" s="1" t="s">
        <v>122</v>
      </c>
      <c r="QUM108" s="1" t="s">
        <v>122</v>
      </c>
      <c r="QUN108" s="1" t="s">
        <v>122</v>
      </c>
      <c r="QUO108" s="1" t="s">
        <v>122</v>
      </c>
      <c r="QUP108" s="1" t="s">
        <v>122</v>
      </c>
      <c r="QUQ108" s="1" t="s">
        <v>122</v>
      </c>
      <c r="QUR108" s="1" t="s">
        <v>122</v>
      </c>
      <c r="QUS108" s="1" t="s">
        <v>122</v>
      </c>
      <c r="QUT108" s="1" t="s">
        <v>122</v>
      </c>
      <c r="QUU108" s="1" t="s">
        <v>122</v>
      </c>
      <c r="QUV108" s="1" t="s">
        <v>122</v>
      </c>
      <c r="QUW108" s="1" t="s">
        <v>122</v>
      </c>
      <c r="QUX108" s="1" t="s">
        <v>122</v>
      </c>
      <c r="QUY108" s="1" t="s">
        <v>122</v>
      </c>
      <c r="QUZ108" s="1" t="s">
        <v>122</v>
      </c>
      <c r="QVA108" s="1" t="s">
        <v>122</v>
      </c>
      <c r="QVB108" s="1" t="s">
        <v>122</v>
      </c>
      <c r="QVC108" s="1" t="s">
        <v>122</v>
      </c>
      <c r="QVD108" s="1" t="s">
        <v>122</v>
      </c>
      <c r="QVE108" s="1" t="s">
        <v>122</v>
      </c>
      <c r="QVF108" s="1" t="s">
        <v>122</v>
      </c>
      <c r="QVG108" s="1" t="s">
        <v>122</v>
      </c>
      <c r="QVH108" s="1" t="s">
        <v>122</v>
      </c>
      <c r="QVI108" s="1" t="s">
        <v>122</v>
      </c>
      <c r="QVJ108" s="1" t="s">
        <v>122</v>
      </c>
      <c r="QVK108" s="1" t="s">
        <v>122</v>
      </c>
      <c r="QVL108" s="1" t="s">
        <v>122</v>
      </c>
      <c r="QVM108" s="1" t="s">
        <v>122</v>
      </c>
      <c r="QVN108" s="1" t="s">
        <v>122</v>
      </c>
      <c r="QVO108" s="1" t="s">
        <v>122</v>
      </c>
      <c r="QVP108" s="1" t="s">
        <v>122</v>
      </c>
      <c r="QVQ108" s="1" t="s">
        <v>122</v>
      </c>
      <c r="QVR108" s="1" t="s">
        <v>122</v>
      </c>
      <c r="QVS108" s="1" t="s">
        <v>122</v>
      </c>
      <c r="QVT108" s="1" t="s">
        <v>122</v>
      </c>
      <c r="QVU108" s="1" t="s">
        <v>122</v>
      </c>
      <c r="QVV108" s="1" t="s">
        <v>122</v>
      </c>
      <c r="QVW108" s="1" t="s">
        <v>122</v>
      </c>
      <c r="QVX108" s="1" t="s">
        <v>122</v>
      </c>
      <c r="QVY108" s="1" t="s">
        <v>122</v>
      </c>
      <c r="QVZ108" s="1" t="s">
        <v>122</v>
      </c>
      <c r="QWA108" s="1" t="s">
        <v>122</v>
      </c>
      <c r="QWB108" s="1" t="s">
        <v>122</v>
      </c>
      <c r="QWC108" s="1" t="s">
        <v>122</v>
      </c>
      <c r="QWD108" s="1" t="s">
        <v>122</v>
      </c>
      <c r="QWE108" s="1" t="s">
        <v>122</v>
      </c>
      <c r="QWF108" s="1" t="s">
        <v>122</v>
      </c>
      <c r="QWG108" s="1" t="s">
        <v>122</v>
      </c>
      <c r="QWH108" s="1" t="s">
        <v>122</v>
      </c>
      <c r="QWI108" s="1" t="s">
        <v>122</v>
      </c>
      <c r="QWJ108" s="1" t="s">
        <v>122</v>
      </c>
      <c r="QWK108" s="1" t="s">
        <v>122</v>
      </c>
      <c r="QWL108" s="1" t="s">
        <v>122</v>
      </c>
      <c r="QWM108" s="1" t="s">
        <v>122</v>
      </c>
      <c r="QWN108" s="1" t="s">
        <v>122</v>
      </c>
      <c r="QWO108" s="1" t="s">
        <v>122</v>
      </c>
      <c r="QWP108" s="1" t="s">
        <v>122</v>
      </c>
      <c r="QWQ108" s="1" t="s">
        <v>122</v>
      </c>
      <c r="QWR108" s="1" t="s">
        <v>122</v>
      </c>
      <c r="QWS108" s="1" t="s">
        <v>122</v>
      </c>
      <c r="QWT108" s="1" t="s">
        <v>122</v>
      </c>
      <c r="QWU108" s="1" t="s">
        <v>122</v>
      </c>
      <c r="QWV108" s="1" t="s">
        <v>122</v>
      </c>
      <c r="QWW108" s="1" t="s">
        <v>122</v>
      </c>
      <c r="QWX108" s="1" t="s">
        <v>122</v>
      </c>
      <c r="QWY108" s="1" t="s">
        <v>122</v>
      </c>
      <c r="QWZ108" s="1" t="s">
        <v>122</v>
      </c>
      <c r="QXA108" s="1" t="s">
        <v>122</v>
      </c>
      <c r="QXB108" s="1" t="s">
        <v>122</v>
      </c>
      <c r="QXC108" s="1" t="s">
        <v>122</v>
      </c>
      <c r="QXD108" s="1" t="s">
        <v>122</v>
      </c>
      <c r="QXE108" s="1" t="s">
        <v>122</v>
      </c>
      <c r="QXF108" s="1" t="s">
        <v>122</v>
      </c>
      <c r="QXG108" s="1" t="s">
        <v>122</v>
      </c>
      <c r="QXH108" s="1" t="s">
        <v>122</v>
      </c>
      <c r="QXI108" s="1" t="s">
        <v>122</v>
      </c>
      <c r="QXJ108" s="1" t="s">
        <v>122</v>
      </c>
      <c r="QXK108" s="1" t="s">
        <v>122</v>
      </c>
      <c r="QXL108" s="1" t="s">
        <v>122</v>
      </c>
      <c r="QXM108" s="1" t="s">
        <v>122</v>
      </c>
      <c r="QXN108" s="1" t="s">
        <v>122</v>
      </c>
      <c r="QXO108" s="1" t="s">
        <v>122</v>
      </c>
      <c r="QXP108" s="1" t="s">
        <v>122</v>
      </c>
      <c r="QXQ108" s="1" t="s">
        <v>122</v>
      </c>
      <c r="QXR108" s="1" t="s">
        <v>122</v>
      </c>
      <c r="QXS108" s="1" t="s">
        <v>122</v>
      </c>
      <c r="QXT108" s="1" t="s">
        <v>122</v>
      </c>
      <c r="QXU108" s="1" t="s">
        <v>122</v>
      </c>
      <c r="QXV108" s="1" t="s">
        <v>122</v>
      </c>
      <c r="QXW108" s="1" t="s">
        <v>122</v>
      </c>
      <c r="QXX108" s="1" t="s">
        <v>122</v>
      </c>
      <c r="QXY108" s="1" t="s">
        <v>122</v>
      </c>
      <c r="QXZ108" s="1" t="s">
        <v>122</v>
      </c>
      <c r="QYA108" s="1" t="s">
        <v>122</v>
      </c>
      <c r="QYB108" s="1" t="s">
        <v>122</v>
      </c>
      <c r="QYC108" s="1" t="s">
        <v>122</v>
      </c>
      <c r="QYD108" s="1" t="s">
        <v>122</v>
      </c>
      <c r="QYE108" s="1" t="s">
        <v>122</v>
      </c>
      <c r="QYF108" s="1" t="s">
        <v>122</v>
      </c>
      <c r="QYG108" s="1" t="s">
        <v>122</v>
      </c>
      <c r="QYH108" s="1" t="s">
        <v>122</v>
      </c>
      <c r="QYI108" s="1" t="s">
        <v>122</v>
      </c>
      <c r="QYJ108" s="1" t="s">
        <v>122</v>
      </c>
      <c r="QYK108" s="1" t="s">
        <v>122</v>
      </c>
      <c r="QYL108" s="1" t="s">
        <v>122</v>
      </c>
      <c r="QYM108" s="1" t="s">
        <v>122</v>
      </c>
      <c r="QYN108" s="1" t="s">
        <v>122</v>
      </c>
      <c r="QYO108" s="1" t="s">
        <v>122</v>
      </c>
      <c r="QYP108" s="1" t="s">
        <v>122</v>
      </c>
      <c r="QYQ108" s="1" t="s">
        <v>122</v>
      </c>
      <c r="QYR108" s="1" t="s">
        <v>122</v>
      </c>
      <c r="QYS108" s="1" t="s">
        <v>122</v>
      </c>
      <c r="QYT108" s="1" t="s">
        <v>122</v>
      </c>
      <c r="QYU108" s="1" t="s">
        <v>122</v>
      </c>
      <c r="QYV108" s="1" t="s">
        <v>122</v>
      </c>
      <c r="QYW108" s="1" t="s">
        <v>122</v>
      </c>
      <c r="QYX108" s="1" t="s">
        <v>122</v>
      </c>
      <c r="QYY108" s="1" t="s">
        <v>122</v>
      </c>
      <c r="QYZ108" s="1" t="s">
        <v>122</v>
      </c>
      <c r="QZA108" s="1" t="s">
        <v>122</v>
      </c>
      <c r="QZB108" s="1" t="s">
        <v>122</v>
      </c>
      <c r="QZC108" s="1" t="s">
        <v>122</v>
      </c>
      <c r="QZD108" s="1" t="s">
        <v>122</v>
      </c>
      <c r="QZE108" s="1" t="s">
        <v>122</v>
      </c>
      <c r="QZF108" s="1" t="s">
        <v>122</v>
      </c>
      <c r="QZG108" s="1" t="s">
        <v>122</v>
      </c>
      <c r="QZH108" s="1" t="s">
        <v>122</v>
      </c>
      <c r="QZI108" s="1" t="s">
        <v>122</v>
      </c>
      <c r="QZJ108" s="1" t="s">
        <v>122</v>
      </c>
      <c r="QZK108" s="1" t="s">
        <v>122</v>
      </c>
      <c r="QZL108" s="1" t="s">
        <v>122</v>
      </c>
      <c r="QZM108" s="1" t="s">
        <v>122</v>
      </c>
      <c r="QZN108" s="1" t="s">
        <v>122</v>
      </c>
      <c r="QZO108" s="1" t="s">
        <v>122</v>
      </c>
      <c r="QZP108" s="1" t="s">
        <v>122</v>
      </c>
      <c r="QZQ108" s="1" t="s">
        <v>122</v>
      </c>
      <c r="QZR108" s="1" t="s">
        <v>122</v>
      </c>
      <c r="QZS108" s="1" t="s">
        <v>122</v>
      </c>
      <c r="QZT108" s="1" t="s">
        <v>122</v>
      </c>
      <c r="QZU108" s="1" t="s">
        <v>122</v>
      </c>
      <c r="QZV108" s="1" t="s">
        <v>122</v>
      </c>
      <c r="QZW108" s="1" t="s">
        <v>122</v>
      </c>
      <c r="QZX108" s="1" t="s">
        <v>122</v>
      </c>
      <c r="QZY108" s="1" t="s">
        <v>122</v>
      </c>
      <c r="QZZ108" s="1" t="s">
        <v>122</v>
      </c>
      <c r="RAA108" s="1" t="s">
        <v>122</v>
      </c>
      <c r="RAB108" s="1" t="s">
        <v>122</v>
      </c>
      <c r="RAC108" s="1" t="s">
        <v>122</v>
      </c>
      <c r="RAD108" s="1" t="s">
        <v>122</v>
      </c>
      <c r="RAE108" s="1" t="s">
        <v>122</v>
      </c>
      <c r="RAF108" s="1" t="s">
        <v>122</v>
      </c>
      <c r="RAG108" s="1" t="s">
        <v>122</v>
      </c>
      <c r="RAH108" s="1" t="s">
        <v>122</v>
      </c>
      <c r="RAI108" s="1" t="s">
        <v>122</v>
      </c>
      <c r="RAJ108" s="1" t="s">
        <v>122</v>
      </c>
      <c r="RAK108" s="1" t="s">
        <v>122</v>
      </c>
      <c r="RAL108" s="1" t="s">
        <v>122</v>
      </c>
      <c r="RAM108" s="1" t="s">
        <v>122</v>
      </c>
      <c r="RAN108" s="1" t="s">
        <v>122</v>
      </c>
      <c r="RAO108" s="1" t="s">
        <v>122</v>
      </c>
      <c r="RAP108" s="1" t="s">
        <v>122</v>
      </c>
      <c r="RAQ108" s="1" t="s">
        <v>122</v>
      </c>
      <c r="RAR108" s="1" t="s">
        <v>122</v>
      </c>
      <c r="RAS108" s="1" t="s">
        <v>122</v>
      </c>
      <c r="RAT108" s="1" t="s">
        <v>122</v>
      </c>
      <c r="RAU108" s="1" t="s">
        <v>122</v>
      </c>
      <c r="RAV108" s="1" t="s">
        <v>122</v>
      </c>
      <c r="RAW108" s="1" t="s">
        <v>122</v>
      </c>
      <c r="RAX108" s="1" t="s">
        <v>122</v>
      </c>
      <c r="RAY108" s="1" t="s">
        <v>122</v>
      </c>
      <c r="RAZ108" s="1" t="s">
        <v>122</v>
      </c>
      <c r="RBA108" s="1" t="s">
        <v>122</v>
      </c>
      <c r="RBB108" s="1" t="s">
        <v>122</v>
      </c>
      <c r="RBC108" s="1" t="s">
        <v>122</v>
      </c>
      <c r="RBD108" s="1" t="s">
        <v>122</v>
      </c>
      <c r="RBE108" s="1" t="s">
        <v>122</v>
      </c>
      <c r="RBF108" s="1" t="s">
        <v>122</v>
      </c>
      <c r="RBG108" s="1" t="s">
        <v>122</v>
      </c>
      <c r="RBH108" s="1" t="s">
        <v>122</v>
      </c>
      <c r="RBI108" s="1" t="s">
        <v>122</v>
      </c>
      <c r="RBJ108" s="1" t="s">
        <v>122</v>
      </c>
      <c r="RBK108" s="1" t="s">
        <v>122</v>
      </c>
      <c r="RBL108" s="1" t="s">
        <v>122</v>
      </c>
      <c r="RBM108" s="1" t="s">
        <v>122</v>
      </c>
      <c r="RBN108" s="1" t="s">
        <v>122</v>
      </c>
      <c r="RBO108" s="1" t="s">
        <v>122</v>
      </c>
      <c r="RBP108" s="1" t="s">
        <v>122</v>
      </c>
      <c r="RBQ108" s="1" t="s">
        <v>122</v>
      </c>
      <c r="RBR108" s="1" t="s">
        <v>122</v>
      </c>
      <c r="RBS108" s="1" t="s">
        <v>122</v>
      </c>
      <c r="RBT108" s="1" t="s">
        <v>122</v>
      </c>
      <c r="RBU108" s="1" t="s">
        <v>122</v>
      </c>
      <c r="RBV108" s="1" t="s">
        <v>122</v>
      </c>
      <c r="RBW108" s="1" t="s">
        <v>122</v>
      </c>
      <c r="RBX108" s="1" t="s">
        <v>122</v>
      </c>
      <c r="RBY108" s="1" t="s">
        <v>122</v>
      </c>
      <c r="RBZ108" s="1" t="s">
        <v>122</v>
      </c>
      <c r="RCA108" s="1" t="s">
        <v>122</v>
      </c>
      <c r="RCB108" s="1" t="s">
        <v>122</v>
      </c>
      <c r="RCC108" s="1" t="s">
        <v>122</v>
      </c>
      <c r="RCD108" s="1" t="s">
        <v>122</v>
      </c>
      <c r="RCE108" s="1" t="s">
        <v>122</v>
      </c>
      <c r="RCF108" s="1" t="s">
        <v>122</v>
      </c>
      <c r="RCG108" s="1" t="s">
        <v>122</v>
      </c>
      <c r="RCH108" s="1" t="s">
        <v>122</v>
      </c>
      <c r="RCI108" s="1" t="s">
        <v>122</v>
      </c>
      <c r="RCJ108" s="1" t="s">
        <v>122</v>
      </c>
      <c r="RCK108" s="1" t="s">
        <v>122</v>
      </c>
      <c r="RCL108" s="1" t="s">
        <v>122</v>
      </c>
      <c r="RCM108" s="1" t="s">
        <v>122</v>
      </c>
      <c r="RCN108" s="1" t="s">
        <v>122</v>
      </c>
      <c r="RCO108" s="1" t="s">
        <v>122</v>
      </c>
      <c r="RCP108" s="1" t="s">
        <v>122</v>
      </c>
      <c r="RCQ108" s="1" t="s">
        <v>122</v>
      </c>
      <c r="RCR108" s="1" t="s">
        <v>122</v>
      </c>
      <c r="RCS108" s="1" t="s">
        <v>122</v>
      </c>
      <c r="RCT108" s="1" t="s">
        <v>122</v>
      </c>
      <c r="RCU108" s="1" t="s">
        <v>122</v>
      </c>
      <c r="RCV108" s="1" t="s">
        <v>122</v>
      </c>
      <c r="RCW108" s="1" t="s">
        <v>122</v>
      </c>
      <c r="RCX108" s="1" t="s">
        <v>122</v>
      </c>
      <c r="RCY108" s="1" t="s">
        <v>122</v>
      </c>
      <c r="RCZ108" s="1" t="s">
        <v>122</v>
      </c>
      <c r="RDA108" s="1" t="s">
        <v>122</v>
      </c>
      <c r="RDB108" s="1" t="s">
        <v>122</v>
      </c>
      <c r="RDC108" s="1" t="s">
        <v>122</v>
      </c>
      <c r="RDD108" s="1" t="s">
        <v>122</v>
      </c>
      <c r="RDE108" s="1" t="s">
        <v>122</v>
      </c>
      <c r="RDF108" s="1" t="s">
        <v>122</v>
      </c>
      <c r="RDG108" s="1" t="s">
        <v>122</v>
      </c>
      <c r="RDH108" s="1" t="s">
        <v>122</v>
      </c>
      <c r="RDI108" s="1" t="s">
        <v>122</v>
      </c>
      <c r="RDJ108" s="1" t="s">
        <v>122</v>
      </c>
      <c r="RDK108" s="1" t="s">
        <v>122</v>
      </c>
      <c r="RDL108" s="1" t="s">
        <v>122</v>
      </c>
      <c r="RDM108" s="1" t="s">
        <v>122</v>
      </c>
      <c r="RDN108" s="1" t="s">
        <v>122</v>
      </c>
      <c r="RDO108" s="1" t="s">
        <v>122</v>
      </c>
      <c r="RDP108" s="1" t="s">
        <v>122</v>
      </c>
      <c r="RDQ108" s="1" t="s">
        <v>122</v>
      </c>
      <c r="RDR108" s="1" t="s">
        <v>122</v>
      </c>
      <c r="RDS108" s="1" t="s">
        <v>122</v>
      </c>
      <c r="RDT108" s="1" t="s">
        <v>122</v>
      </c>
      <c r="RDU108" s="1" t="s">
        <v>122</v>
      </c>
      <c r="RDV108" s="1" t="s">
        <v>122</v>
      </c>
      <c r="RDW108" s="1" t="s">
        <v>122</v>
      </c>
      <c r="RDX108" s="1" t="s">
        <v>122</v>
      </c>
      <c r="RDY108" s="1" t="s">
        <v>122</v>
      </c>
      <c r="RDZ108" s="1" t="s">
        <v>122</v>
      </c>
      <c r="REA108" s="1" t="s">
        <v>122</v>
      </c>
      <c r="REB108" s="1" t="s">
        <v>122</v>
      </c>
      <c r="REC108" s="1" t="s">
        <v>122</v>
      </c>
      <c r="RED108" s="1" t="s">
        <v>122</v>
      </c>
      <c r="REE108" s="1" t="s">
        <v>122</v>
      </c>
      <c r="REF108" s="1" t="s">
        <v>122</v>
      </c>
      <c r="REG108" s="1" t="s">
        <v>122</v>
      </c>
      <c r="REH108" s="1" t="s">
        <v>122</v>
      </c>
      <c r="REI108" s="1" t="s">
        <v>122</v>
      </c>
      <c r="REJ108" s="1" t="s">
        <v>122</v>
      </c>
      <c r="REK108" s="1" t="s">
        <v>122</v>
      </c>
      <c r="REL108" s="1" t="s">
        <v>122</v>
      </c>
      <c r="REM108" s="1" t="s">
        <v>122</v>
      </c>
      <c r="REN108" s="1" t="s">
        <v>122</v>
      </c>
      <c r="REO108" s="1" t="s">
        <v>122</v>
      </c>
      <c r="REP108" s="1" t="s">
        <v>122</v>
      </c>
      <c r="REQ108" s="1" t="s">
        <v>122</v>
      </c>
      <c r="RER108" s="1" t="s">
        <v>122</v>
      </c>
      <c r="RES108" s="1" t="s">
        <v>122</v>
      </c>
      <c r="RET108" s="1" t="s">
        <v>122</v>
      </c>
      <c r="REU108" s="1" t="s">
        <v>122</v>
      </c>
      <c r="REV108" s="1" t="s">
        <v>122</v>
      </c>
      <c r="REW108" s="1" t="s">
        <v>122</v>
      </c>
      <c r="REX108" s="1" t="s">
        <v>122</v>
      </c>
      <c r="REY108" s="1" t="s">
        <v>122</v>
      </c>
      <c r="REZ108" s="1" t="s">
        <v>122</v>
      </c>
      <c r="RFA108" s="1" t="s">
        <v>122</v>
      </c>
      <c r="RFB108" s="1" t="s">
        <v>122</v>
      </c>
      <c r="RFC108" s="1" t="s">
        <v>122</v>
      </c>
      <c r="RFD108" s="1" t="s">
        <v>122</v>
      </c>
      <c r="RFE108" s="1" t="s">
        <v>122</v>
      </c>
      <c r="RFF108" s="1" t="s">
        <v>122</v>
      </c>
      <c r="RFG108" s="1" t="s">
        <v>122</v>
      </c>
      <c r="RFH108" s="1" t="s">
        <v>122</v>
      </c>
      <c r="RFI108" s="1" t="s">
        <v>122</v>
      </c>
      <c r="RFJ108" s="1" t="s">
        <v>122</v>
      </c>
      <c r="RFK108" s="1" t="s">
        <v>122</v>
      </c>
      <c r="RFL108" s="1" t="s">
        <v>122</v>
      </c>
      <c r="RFM108" s="1" t="s">
        <v>122</v>
      </c>
      <c r="RFN108" s="1" t="s">
        <v>122</v>
      </c>
      <c r="RFO108" s="1" t="s">
        <v>122</v>
      </c>
      <c r="RFP108" s="1" t="s">
        <v>122</v>
      </c>
      <c r="RFQ108" s="1" t="s">
        <v>122</v>
      </c>
      <c r="RFR108" s="1" t="s">
        <v>122</v>
      </c>
      <c r="RFS108" s="1" t="s">
        <v>122</v>
      </c>
      <c r="RFT108" s="1" t="s">
        <v>122</v>
      </c>
      <c r="RFU108" s="1" t="s">
        <v>122</v>
      </c>
      <c r="RFV108" s="1" t="s">
        <v>122</v>
      </c>
      <c r="RFW108" s="1" t="s">
        <v>122</v>
      </c>
      <c r="RFX108" s="1" t="s">
        <v>122</v>
      </c>
      <c r="RFY108" s="1" t="s">
        <v>122</v>
      </c>
      <c r="RFZ108" s="1" t="s">
        <v>122</v>
      </c>
      <c r="RGA108" s="1" t="s">
        <v>122</v>
      </c>
      <c r="RGB108" s="1" t="s">
        <v>122</v>
      </c>
      <c r="RGC108" s="1" t="s">
        <v>122</v>
      </c>
      <c r="RGD108" s="1" t="s">
        <v>122</v>
      </c>
      <c r="RGE108" s="1" t="s">
        <v>122</v>
      </c>
      <c r="RGF108" s="1" t="s">
        <v>122</v>
      </c>
      <c r="RGG108" s="1" t="s">
        <v>122</v>
      </c>
      <c r="RGH108" s="1" t="s">
        <v>122</v>
      </c>
      <c r="RGI108" s="1" t="s">
        <v>122</v>
      </c>
      <c r="RGJ108" s="1" t="s">
        <v>122</v>
      </c>
      <c r="RGK108" s="1" t="s">
        <v>122</v>
      </c>
      <c r="RGL108" s="1" t="s">
        <v>122</v>
      </c>
      <c r="RGM108" s="1" t="s">
        <v>122</v>
      </c>
      <c r="RGN108" s="1" t="s">
        <v>122</v>
      </c>
      <c r="RGO108" s="1" t="s">
        <v>122</v>
      </c>
      <c r="RGP108" s="1" t="s">
        <v>122</v>
      </c>
      <c r="RGQ108" s="1" t="s">
        <v>122</v>
      </c>
      <c r="RGR108" s="1" t="s">
        <v>122</v>
      </c>
      <c r="RGS108" s="1" t="s">
        <v>122</v>
      </c>
      <c r="RGT108" s="1" t="s">
        <v>122</v>
      </c>
      <c r="RGU108" s="1" t="s">
        <v>122</v>
      </c>
      <c r="RGV108" s="1" t="s">
        <v>122</v>
      </c>
      <c r="RGW108" s="1" t="s">
        <v>122</v>
      </c>
      <c r="RGX108" s="1" t="s">
        <v>122</v>
      </c>
      <c r="RGY108" s="1" t="s">
        <v>122</v>
      </c>
      <c r="RGZ108" s="1" t="s">
        <v>122</v>
      </c>
      <c r="RHA108" s="1" t="s">
        <v>122</v>
      </c>
      <c r="RHB108" s="1" t="s">
        <v>122</v>
      </c>
      <c r="RHC108" s="1" t="s">
        <v>122</v>
      </c>
      <c r="RHD108" s="1" t="s">
        <v>122</v>
      </c>
      <c r="RHE108" s="1" t="s">
        <v>122</v>
      </c>
      <c r="RHF108" s="1" t="s">
        <v>122</v>
      </c>
      <c r="RHG108" s="1" t="s">
        <v>122</v>
      </c>
      <c r="RHH108" s="1" t="s">
        <v>122</v>
      </c>
      <c r="RHI108" s="1" t="s">
        <v>122</v>
      </c>
      <c r="RHJ108" s="1" t="s">
        <v>122</v>
      </c>
      <c r="RHK108" s="1" t="s">
        <v>122</v>
      </c>
      <c r="RHL108" s="1" t="s">
        <v>122</v>
      </c>
      <c r="RHM108" s="1" t="s">
        <v>122</v>
      </c>
      <c r="RHN108" s="1" t="s">
        <v>122</v>
      </c>
      <c r="RHO108" s="1" t="s">
        <v>122</v>
      </c>
      <c r="RHP108" s="1" t="s">
        <v>122</v>
      </c>
      <c r="RHQ108" s="1" t="s">
        <v>122</v>
      </c>
      <c r="RHR108" s="1" t="s">
        <v>122</v>
      </c>
      <c r="RHS108" s="1" t="s">
        <v>122</v>
      </c>
      <c r="RHT108" s="1" t="s">
        <v>122</v>
      </c>
      <c r="RHU108" s="1" t="s">
        <v>122</v>
      </c>
      <c r="RHV108" s="1" t="s">
        <v>122</v>
      </c>
      <c r="RHW108" s="1" t="s">
        <v>122</v>
      </c>
      <c r="RHX108" s="1" t="s">
        <v>122</v>
      </c>
      <c r="RHY108" s="1" t="s">
        <v>122</v>
      </c>
      <c r="RHZ108" s="1" t="s">
        <v>122</v>
      </c>
      <c r="RIA108" s="1" t="s">
        <v>122</v>
      </c>
      <c r="RIB108" s="1" t="s">
        <v>122</v>
      </c>
      <c r="RIC108" s="1" t="s">
        <v>122</v>
      </c>
      <c r="RID108" s="1" t="s">
        <v>122</v>
      </c>
      <c r="RIE108" s="1" t="s">
        <v>122</v>
      </c>
      <c r="RIF108" s="1" t="s">
        <v>122</v>
      </c>
      <c r="RIG108" s="1" t="s">
        <v>122</v>
      </c>
      <c r="RIH108" s="1" t="s">
        <v>122</v>
      </c>
      <c r="RII108" s="1" t="s">
        <v>122</v>
      </c>
      <c r="RIJ108" s="1" t="s">
        <v>122</v>
      </c>
      <c r="RIK108" s="1" t="s">
        <v>122</v>
      </c>
      <c r="RIL108" s="1" t="s">
        <v>122</v>
      </c>
      <c r="RIM108" s="1" t="s">
        <v>122</v>
      </c>
      <c r="RIN108" s="1" t="s">
        <v>122</v>
      </c>
      <c r="RIO108" s="1" t="s">
        <v>122</v>
      </c>
      <c r="RIP108" s="1" t="s">
        <v>122</v>
      </c>
      <c r="RIQ108" s="1" t="s">
        <v>122</v>
      </c>
      <c r="RIR108" s="1" t="s">
        <v>122</v>
      </c>
      <c r="RIS108" s="1" t="s">
        <v>122</v>
      </c>
      <c r="RIT108" s="1" t="s">
        <v>122</v>
      </c>
      <c r="RIU108" s="1" t="s">
        <v>122</v>
      </c>
      <c r="RIV108" s="1" t="s">
        <v>122</v>
      </c>
      <c r="RIW108" s="1" t="s">
        <v>122</v>
      </c>
      <c r="RIX108" s="1" t="s">
        <v>122</v>
      </c>
      <c r="RIY108" s="1" t="s">
        <v>122</v>
      </c>
      <c r="RIZ108" s="1" t="s">
        <v>122</v>
      </c>
      <c r="RJA108" s="1" t="s">
        <v>122</v>
      </c>
      <c r="RJB108" s="1" t="s">
        <v>122</v>
      </c>
      <c r="RJC108" s="1" t="s">
        <v>122</v>
      </c>
      <c r="RJD108" s="1" t="s">
        <v>122</v>
      </c>
      <c r="RJE108" s="1" t="s">
        <v>122</v>
      </c>
      <c r="RJF108" s="1" t="s">
        <v>122</v>
      </c>
      <c r="RJG108" s="1" t="s">
        <v>122</v>
      </c>
      <c r="RJH108" s="1" t="s">
        <v>122</v>
      </c>
      <c r="RJI108" s="1" t="s">
        <v>122</v>
      </c>
      <c r="RJJ108" s="1" t="s">
        <v>122</v>
      </c>
      <c r="RJK108" s="1" t="s">
        <v>122</v>
      </c>
      <c r="RJL108" s="1" t="s">
        <v>122</v>
      </c>
      <c r="RJM108" s="1" t="s">
        <v>122</v>
      </c>
      <c r="RJN108" s="1" t="s">
        <v>122</v>
      </c>
      <c r="RJO108" s="1" t="s">
        <v>122</v>
      </c>
      <c r="RJP108" s="1" t="s">
        <v>122</v>
      </c>
      <c r="RJQ108" s="1" t="s">
        <v>122</v>
      </c>
      <c r="RJR108" s="1" t="s">
        <v>122</v>
      </c>
      <c r="RJS108" s="1" t="s">
        <v>122</v>
      </c>
      <c r="RJT108" s="1" t="s">
        <v>122</v>
      </c>
      <c r="RJU108" s="1" t="s">
        <v>122</v>
      </c>
      <c r="RJV108" s="1" t="s">
        <v>122</v>
      </c>
      <c r="RJW108" s="1" t="s">
        <v>122</v>
      </c>
      <c r="RJX108" s="1" t="s">
        <v>122</v>
      </c>
      <c r="RJY108" s="1" t="s">
        <v>122</v>
      </c>
      <c r="RJZ108" s="1" t="s">
        <v>122</v>
      </c>
      <c r="RKA108" s="1" t="s">
        <v>122</v>
      </c>
      <c r="RKB108" s="1" t="s">
        <v>122</v>
      </c>
      <c r="RKC108" s="1" t="s">
        <v>122</v>
      </c>
      <c r="RKD108" s="1" t="s">
        <v>122</v>
      </c>
      <c r="RKE108" s="1" t="s">
        <v>122</v>
      </c>
      <c r="RKF108" s="1" t="s">
        <v>122</v>
      </c>
      <c r="RKG108" s="1" t="s">
        <v>122</v>
      </c>
      <c r="RKH108" s="1" t="s">
        <v>122</v>
      </c>
      <c r="RKI108" s="1" t="s">
        <v>122</v>
      </c>
      <c r="RKJ108" s="1" t="s">
        <v>122</v>
      </c>
      <c r="RKK108" s="1" t="s">
        <v>122</v>
      </c>
      <c r="RKL108" s="1" t="s">
        <v>122</v>
      </c>
      <c r="RKM108" s="1" t="s">
        <v>122</v>
      </c>
      <c r="RKN108" s="1" t="s">
        <v>122</v>
      </c>
      <c r="RKO108" s="1" t="s">
        <v>122</v>
      </c>
      <c r="RKP108" s="1" t="s">
        <v>122</v>
      </c>
      <c r="RKQ108" s="1" t="s">
        <v>122</v>
      </c>
      <c r="RKR108" s="1" t="s">
        <v>122</v>
      </c>
      <c r="RKS108" s="1" t="s">
        <v>122</v>
      </c>
      <c r="RKT108" s="1" t="s">
        <v>122</v>
      </c>
      <c r="RKU108" s="1" t="s">
        <v>122</v>
      </c>
      <c r="RKV108" s="1" t="s">
        <v>122</v>
      </c>
      <c r="RKW108" s="1" t="s">
        <v>122</v>
      </c>
      <c r="RKX108" s="1" t="s">
        <v>122</v>
      </c>
      <c r="RKY108" s="1" t="s">
        <v>122</v>
      </c>
      <c r="RKZ108" s="1" t="s">
        <v>122</v>
      </c>
      <c r="RLA108" s="1" t="s">
        <v>122</v>
      </c>
      <c r="RLB108" s="1" t="s">
        <v>122</v>
      </c>
      <c r="RLC108" s="1" t="s">
        <v>122</v>
      </c>
      <c r="RLD108" s="1" t="s">
        <v>122</v>
      </c>
      <c r="RLE108" s="1" t="s">
        <v>122</v>
      </c>
      <c r="RLF108" s="1" t="s">
        <v>122</v>
      </c>
      <c r="RLG108" s="1" t="s">
        <v>122</v>
      </c>
      <c r="RLH108" s="1" t="s">
        <v>122</v>
      </c>
      <c r="RLI108" s="1" t="s">
        <v>122</v>
      </c>
      <c r="RLJ108" s="1" t="s">
        <v>122</v>
      </c>
      <c r="RLK108" s="1" t="s">
        <v>122</v>
      </c>
      <c r="RLL108" s="1" t="s">
        <v>122</v>
      </c>
      <c r="RLM108" s="1" t="s">
        <v>122</v>
      </c>
      <c r="RLN108" s="1" t="s">
        <v>122</v>
      </c>
      <c r="RLO108" s="1" t="s">
        <v>122</v>
      </c>
      <c r="RLP108" s="1" t="s">
        <v>122</v>
      </c>
      <c r="RLQ108" s="1" t="s">
        <v>122</v>
      </c>
      <c r="RLR108" s="1" t="s">
        <v>122</v>
      </c>
      <c r="RLS108" s="1" t="s">
        <v>122</v>
      </c>
      <c r="RLT108" s="1" t="s">
        <v>122</v>
      </c>
      <c r="RLU108" s="1" t="s">
        <v>122</v>
      </c>
      <c r="RLV108" s="1" t="s">
        <v>122</v>
      </c>
      <c r="RLW108" s="1" t="s">
        <v>122</v>
      </c>
      <c r="RLX108" s="1" t="s">
        <v>122</v>
      </c>
      <c r="RLY108" s="1" t="s">
        <v>122</v>
      </c>
      <c r="RLZ108" s="1" t="s">
        <v>122</v>
      </c>
      <c r="RMA108" s="1" t="s">
        <v>122</v>
      </c>
      <c r="RMB108" s="1" t="s">
        <v>122</v>
      </c>
      <c r="RMC108" s="1" t="s">
        <v>122</v>
      </c>
      <c r="RMD108" s="1" t="s">
        <v>122</v>
      </c>
      <c r="RME108" s="1" t="s">
        <v>122</v>
      </c>
      <c r="RMF108" s="1" t="s">
        <v>122</v>
      </c>
      <c r="RMG108" s="1" t="s">
        <v>122</v>
      </c>
      <c r="RMH108" s="1" t="s">
        <v>122</v>
      </c>
      <c r="RMI108" s="1" t="s">
        <v>122</v>
      </c>
      <c r="RMJ108" s="1" t="s">
        <v>122</v>
      </c>
      <c r="RMK108" s="1" t="s">
        <v>122</v>
      </c>
      <c r="RML108" s="1" t="s">
        <v>122</v>
      </c>
      <c r="RMM108" s="1" t="s">
        <v>122</v>
      </c>
      <c r="RMN108" s="1" t="s">
        <v>122</v>
      </c>
      <c r="RMO108" s="1" t="s">
        <v>122</v>
      </c>
      <c r="RMP108" s="1" t="s">
        <v>122</v>
      </c>
      <c r="RMQ108" s="1" t="s">
        <v>122</v>
      </c>
      <c r="RMR108" s="1" t="s">
        <v>122</v>
      </c>
      <c r="RMS108" s="1" t="s">
        <v>122</v>
      </c>
      <c r="RMT108" s="1" t="s">
        <v>122</v>
      </c>
      <c r="RMU108" s="1" t="s">
        <v>122</v>
      </c>
      <c r="RMV108" s="1" t="s">
        <v>122</v>
      </c>
      <c r="RMW108" s="1" t="s">
        <v>122</v>
      </c>
      <c r="RMX108" s="1" t="s">
        <v>122</v>
      </c>
      <c r="RMY108" s="1" t="s">
        <v>122</v>
      </c>
      <c r="RMZ108" s="1" t="s">
        <v>122</v>
      </c>
      <c r="RNA108" s="1" t="s">
        <v>122</v>
      </c>
      <c r="RNB108" s="1" t="s">
        <v>122</v>
      </c>
      <c r="RNC108" s="1" t="s">
        <v>122</v>
      </c>
      <c r="RND108" s="1" t="s">
        <v>122</v>
      </c>
      <c r="RNE108" s="1" t="s">
        <v>122</v>
      </c>
      <c r="RNF108" s="1" t="s">
        <v>122</v>
      </c>
      <c r="RNG108" s="1" t="s">
        <v>122</v>
      </c>
      <c r="RNH108" s="1" t="s">
        <v>122</v>
      </c>
      <c r="RNI108" s="1" t="s">
        <v>122</v>
      </c>
      <c r="RNJ108" s="1" t="s">
        <v>122</v>
      </c>
      <c r="RNK108" s="1" t="s">
        <v>122</v>
      </c>
      <c r="RNL108" s="1" t="s">
        <v>122</v>
      </c>
      <c r="RNM108" s="1" t="s">
        <v>122</v>
      </c>
      <c r="RNN108" s="1" t="s">
        <v>122</v>
      </c>
      <c r="RNO108" s="1" t="s">
        <v>122</v>
      </c>
      <c r="RNP108" s="1" t="s">
        <v>122</v>
      </c>
      <c r="RNQ108" s="1" t="s">
        <v>122</v>
      </c>
      <c r="RNR108" s="1" t="s">
        <v>122</v>
      </c>
      <c r="RNS108" s="1" t="s">
        <v>122</v>
      </c>
      <c r="RNT108" s="1" t="s">
        <v>122</v>
      </c>
      <c r="RNU108" s="1" t="s">
        <v>122</v>
      </c>
      <c r="RNV108" s="1" t="s">
        <v>122</v>
      </c>
      <c r="RNW108" s="1" t="s">
        <v>122</v>
      </c>
      <c r="RNX108" s="1" t="s">
        <v>122</v>
      </c>
      <c r="RNY108" s="1" t="s">
        <v>122</v>
      </c>
      <c r="RNZ108" s="1" t="s">
        <v>122</v>
      </c>
      <c r="ROA108" s="1" t="s">
        <v>122</v>
      </c>
      <c r="ROB108" s="1" t="s">
        <v>122</v>
      </c>
      <c r="ROC108" s="1" t="s">
        <v>122</v>
      </c>
      <c r="ROD108" s="1" t="s">
        <v>122</v>
      </c>
      <c r="ROE108" s="1" t="s">
        <v>122</v>
      </c>
      <c r="ROF108" s="1" t="s">
        <v>122</v>
      </c>
      <c r="ROG108" s="1" t="s">
        <v>122</v>
      </c>
      <c r="ROH108" s="1" t="s">
        <v>122</v>
      </c>
      <c r="ROI108" s="1" t="s">
        <v>122</v>
      </c>
      <c r="ROJ108" s="1" t="s">
        <v>122</v>
      </c>
      <c r="ROK108" s="1" t="s">
        <v>122</v>
      </c>
      <c r="ROL108" s="1" t="s">
        <v>122</v>
      </c>
      <c r="ROM108" s="1" t="s">
        <v>122</v>
      </c>
      <c r="RON108" s="1" t="s">
        <v>122</v>
      </c>
      <c r="ROO108" s="1" t="s">
        <v>122</v>
      </c>
      <c r="ROP108" s="1" t="s">
        <v>122</v>
      </c>
      <c r="ROQ108" s="1" t="s">
        <v>122</v>
      </c>
      <c r="ROR108" s="1" t="s">
        <v>122</v>
      </c>
      <c r="ROS108" s="1" t="s">
        <v>122</v>
      </c>
      <c r="ROT108" s="1" t="s">
        <v>122</v>
      </c>
      <c r="ROU108" s="1" t="s">
        <v>122</v>
      </c>
      <c r="ROV108" s="1" t="s">
        <v>122</v>
      </c>
      <c r="ROW108" s="1" t="s">
        <v>122</v>
      </c>
      <c r="ROX108" s="1" t="s">
        <v>122</v>
      </c>
      <c r="ROY108" s="1" t="s">
        <v>122</v>
      </c>
      <c r="ROZ108" s="1" t="s">
        <v>122</v>
      </c>
      <c r="RPA108" s="1" t="s">
        <v>122</v>
      </c>
      <c r="RPB108" s="1" t="s">
        <v>122</v>
      </c>
      <c r="RPC108" s="1" t="s">
        <v>122</v>
      </c>
      <c r="RPD108" s="1" t="s">
        <v>122</v>
      </c>
      <c r="RPE108" s="1" t="s">
        <v>122</v>
      </c>
      <c r="RPF108" s="1" t="s">
        <v>122</v>
      </c>
      <c r="RPG108" s="1" t="s">
        <v>122</v>
      </c>
      <c r="RPH108" s="1" t="s">
        <v>122</v>
      </c>
      <c r="RPI108" s="1" t="s">
        <v>122</v>
      </c>
      <c r="RPJ108" s="1" t="s">
        <v>122</v>
      </c>
      <c r="RPK108" s="1" t="s">
        <v>122</v>
      </c>
      <c r="RPL108" s="1" t="s">
        <v>122</v>
      </c>
      <c r="RPM108" s="1" t="s">
        <v>122</v>
      </c>
      <c r="RPN108" s="1" t="s">
        <v>122</v>
      </c>
      <c r="RPO108" s="1" t="s">
        <v>122</v>
      </c>
      <c r="RPP108" s="1" t="s">
        <v>122</v>
      </c>
      <c r="RPQ108" s="1" t="s">
        <v>122</v>
      </c>
      <c r="RPR108" s="1" t="s">
        <v>122</v>
      </c>
      <c r="RPS108" s="1" t="s">
        <v>122</v>
      </c>
      <c r="RPT108" s="1" t="s">
        <v>122</v>
      </c>
      <c r="RPU108" s="1" t="s">
        <v>122</v>
      </c>
      <c r="RPV108" s="1" t="s">
        <v>122</v>
      </c>
      <c r="RPW108" s="1" t="s">
        <v>122</v>
      </c>
      <c r="RPX108" s="1" t="s">
        <v>122</v>
      </c>
      <c r="RPY108" s="1" t="s">
        <v>122</v>
      </c>
      <c r="RPZ108" s="1" t="s">
        <v>122</v>
      </c>
      <c r="RQA108" s="1" t="s">
        <v>122</v>
      </c>
      <c r="RQB108" s="1" t="s">
        <v>122</v>
      </c>
      <c r="RQC108" s="1" t="s">
        <v>122</v>
      </c>
      <c r="RQD108" s="1" t="s">
        <v>122</v>
      </c>
      <c r="RQE108" s="1" t="s">
        <v>122</v>
      </c>
      <c r="RQF108" s="1" t="s">
        <v>122</v>
      </c>
      <c r="RQG108" s="1" t="s">
        <v>122</v>
      </c>
      <c r="RQH108" s="1" t="s">
        <v>122</v>
      </c>
      <c r="RQI108" s="1" t="s">
        <v>122</v>
      </c>
      <c r="RQJ108" s="1" t="s">
        <v>122</v>
      </c>
      <c r="RQK108" s="1" t="s">
        <v>122</v>
      </c>
      <c r="RQL108" s="1" t="s">
        <v>122</v>
      </c>
      <c r="RQM108" s="1" t="s">
        <v>122</v>
      </c>
      <c r="RQN108" s="1" t="s">
        <v>122</v>
      </c>
      <c r="RQO108" s="1" t="s">
        <v>122</v>
      </c>
      <c r="RQP108" s="1" t="s">
        <v>122</v>
      </c>
      <c r="RQQ108" s="1" t="s">
        <v>122</v>
      </c>
      <c r="RQR108" s="1" t="s">
        <v>122</v>
      </c>
      <c r="RQS108" s="1" t="s">
        <v>122</v>
      </c>
      <c r="RQT108" s="1" t="s">
        <v>122</v>
      </c>
      <c r="RQU108" s="1" t="s">
        <v>122</v>
      </c>
      <c r="RQV108" s="1" t="s">
        <v>122</v>
      </c>
      <c r="RQW108" s="1" t="s">
        <v>122</v>
      </c>
      <c r="RQX108" s="1" t="s">
        <v>122</v>
      </c>
      <c r="RQY108" s="1" t="s">
        <v>122</v>
      </c>
      <c r="RQZ108" s="1" t="s">
        <v>122</v>
      </c>
      <c r="RRA108" s="1" t="s">
        <v>122</v>
      </c>
      <c r="RRB108" s="1" t="s">
        <v>122</v>
      </c>
      <c r="RRC108" s="1" t="s">
        <v>122</v>
      </c>
      <c r="RRD108" s="1" t="s">
        <v>122</v>
      </c>
      <c r="RRE108" s="1" t="s">
        <v>122</v>
      </c>
      <c r="RRF108" s="1" t="s">
        <v>122</v>
      </c>
      <c r="RRG108" s="1" t="s">
        <v>122</v>
      </c>
      <c r="RRH108" s="1" t="s">
        <v>122</v>
      </c>
      <c r="RRI108" s="1" t="s">
        <v>122</v>
      </c>
      <c r="RRJ108" s="1" t="s">
        <v>122</v>
      </c>
      <c r="RRK108" s="1" t="s">
        <v>122</v>
      </c>
      <c r="RRL108" s="1" t="s">
        <v>122</v>
      </c>
      <c r="RRM108" s="1" t="s">
        <v>122</v>
      </c>
      <c r="RRN108" s="1" t="s">
        <v>122</v>
      </c>
      <c r="RRO108" s="1" t="s">
        <v>122</v>
      </c>
      <c r="RRP108" s="1" t="s">
        <v>122</v>
      </c>
      <c r="RRQ108" s="1" t="s">
        <v>122</v>
      </c>
      <c r="RRR108" s="1" t="s">
        <v>122</v>
      </c>
      <c r="RRS108" s="1" t="s">
        <v>122</v>
      </c>
      <c r="RRT108" s="1" t="s">
        <v>122</v>
      </c>
      <c r="RRU108" s="1" t="s">
        <v>122</v>
      </c>
      <c r="RRV108" s="1" t="s">
        <v>122</v>
      </c>
      <c r="RRW108" s="1" t="s">
        <v>122</v>
      </c>
      <c r="RRX108" s="1" t="s">
        <v>122</v>
      </c>
      <c r="RRY108" s="1" t="s">
        <v>122</v>
      </c>
      <c r="RRZ108" s="1" t="s">
        <v>122</v>
      </c>
      <c r="RSA108" s="1" t="s">
        <v>122</v>
      </c>
      <c r="RSB108" s="1" t="s">
        <v>122</v>
      </c>
      <c r="RSC108" s="1" t="s">
        <v>122</v>
      </c>
      <c r="RSD108" s="1" t="s">
        <v>122</v>
      </c>
      <c r="RSE108" s="1" t="s">
        <v>122</v>
      </c>
      <c r="RSF108" s="1" t="s">
        <v>122</v>
      </c>
      <c r="RSG108" s="1" t="s">
        <v>122</v>
      </c>
      <c r="RSH108" s="1" t="s">
        <v>122</v>
      </c>
      <c r="RSI108" s="1" t="s">
        <v>122</v>
      </c>
      <c r="RSJ108" s="1" t="s">
        <v>122</v>
      </c>
      <c r="RSK108" s="1" t="s">
        <v>122</v>
      </c>
      <c r="RSL108" s="1" t="s">
        <v>122</v>
      </c>
      <c r="RSM108" s="1" t="s">
        <v>122</v>
      </c>
      <c r="RSN108" s="1" t="s">
        <v>122</v>
      </c>
      <c r="RSO108" s="1" t="s">
        <v>122</v>
      </c>
      <c r="RSP108" s="1" t="s">
        <v>122</v>
      </c>
      <c r="RSQ108" s="1" t="s">
        <v>122</v>
      </c>
      <c r="RSR108" s="1" t="s">
        <v>122</v>
      </c>
      <c r="RSS108" s="1" t="s">
        <v>122</v>
      </c>
      <c r="RST108" s="1" t="s">
        <v>122</v>
      </c>
      <c r="RSU108" s="1" t="s">
        <v>122</v>
      </c>
      <c r="RSV108" s="1" t="s">
        <v>122</v>
      </c>
      <c r="RSW108" s="1" t="s">
        <v>122</v>
      </c>
      <c r="RSX108" s="1" t="s">
        <v>122</v>
      </c>
      <c r="RSY108" s="1" t="s">
        <v>122</v>
      </c>
      <c r="RSZ108" s="1" t="s">
        <v>122</v>
      </c>
      <c r="RTA108" s="1" t="s">
        <v>122</v>
      </c>
      <c r="RTB108" s="1" t="s">
        <v>122</v>
      </c>
      <c r="RTC108" s="1" t="s">
        <v>122</v>
      </c>
      <c r="RTD108" s="1" t="s">
        <v>122</v>
      </c>
      <c r="RTE108" s="1" t="s">
        <v>122</v>
      </c>
      <c r="RTF108" s="1" t="s">
        <v>122</v>
      </c>
      <c r="RTG108" s="1" t="s">
        <v>122</v>
      </c>
      <c r="RTH108" s="1" t="s">
        <v>122</v>
      </c>
      <c r="RTI108" s="1" t="s">
        <v>122</v>
      </c>
      <c r="RTJ108" s="1" t="s">
        <v>122</v>
      </c>
      <c r="RTK108" s="1" t="s">
        <v>122</v>
      </c>
      <c r="RTL108" s="1" t="s">
        <v>122</v>
      </c>
      <c r="RTM108" s="1" t="s">
        <v>122</v>
      </c>
      <c r="RTN108" s="1" t="s">
        <v>122</v>
      </c>
      <c r="RTO108" s="1" t="s">
        <v>122</v>
      </c>
      <c r="RTP108" s="1" t="s">
        <v>122</v>
      </c>
      <c r="RTQ108" s="1" t="s">
        <v>122</v>
      </c>
      <c r="RTR108" s="1" t="s">
        <v>122</v>
      </c>
      <c r="RTS108" s="1" t="s">
        <v>122</v>
      </c>
      <c r="RTT108" s="1" t="s">
        <v>122</v>
      </c>
      <c r="RTU108" s="1" t="s">
        <v>122</v>
      </c>
      <c r="RTV108" s="1" t="s">
        <v>122</v>
      </c>
      <c r="RTW108" s="1" t="s">
        <v>122</v>
      </c>
      <c r="RTX108" s="1" t="s">
        <v>122</v>
      </c>
      <c r="RTY108" s="1" t="s">
        <v>122</v>
      </c>
      <c r="RTZ108" s="1" t="s">
        <v>122</v>
      </c>
      <c r="RUA108" s="1" t="s">
        <v>122</v>
      </c>
      <c r="RUB108" s="1" t="s">
        <v>122</v>
      </c>
      <c r="RUC108" s="1" t="s">
        <v>122</v>
      </c>
      <c r="RUD108" s="1" t="s">
        <v>122</v>
      </c>
      <c r="RUE108" s="1" t="s">
        <v>122</v>
      </c>
      <c r="RUF108" s="1" t="s">
        <v>122</v>
      </c>
      <c r="RUG108" s="1" t="s">
        <v>122</v>
      </c>
      <c r="RUH108" s="1" t="s">
        <v>122</v>
      </c>
      <c r="RUI108" s="1" t="s">
        <v>122</v>
      </c>
      <c r="RUJ108" s="1" t="s">
        <v>122</v>
      </c>
      <c r="RUK108" s="1" t="s">
        <v>122</v>
      </c>
      <c r="RUL108" s="1" t="s">
        <v>122</v>
      </c>
      <c r="RUM108" s="1" t="s">
        <v>122</v>
      </c>
      <c r="RUN108" s="1" t="s">
        <v>122</v>
      </c>
      <c r="RUO108" s="1" t="s">
        <v>122</v>
      </c>
      <c r="RUP108" s="1" t="s">
        <v>122</v>
      </c>
      <c r="RUQ108" s="1" t="s">
        <v>122</v>
      </c>
      <c r="RUR108" s="1" t="s">
        <v>122</v>
      </c>
      <c r="RUS108" s="1" t="s">
        <v>122</v>
      </c>
      <c r="RUT108" s="1" t="s">
        <v>122</v>
      </c>
      <c r="RUU108" s="1" t="s">
        <v>122</v>
      </c>
      <c r="RUV108" s="1" t="s">
        <v>122</v>
      </c>
      <c r="RUW108" s="1" t="s">
        <v>122</v>
      </c>
      <c r="RUX108" s="1" t="s">
        <v>122</v>
      </c>
      <c r="RUY108" s="1" t="s">
        <v>122</v>
      </c>
      <c r="RUZ108" s="1" t="s">
        <v>122</v>
      </c>
      <c r="RVA108" s="1" t="s">
        <v>122</v>
      </c>
      <c r="RVB108" s="1" t="s">
        <v>122</v>
      </c>
      <c r="RVC108" s="1" t="s">
        <v>122</v>
      </c>
      <c r="RVD108" s="1" t="s">
        <v>122</v>
      </c>
      <c r="RVE108" s="1" t="s">
        <v>122</v>
      </c>
      <c r="RVF108" s="1" t="s">
        <v>122</v>
      </c>
      <c r="RVG108" s="1" t="s">
        <v>122</v>
      </c>
      <c r="RVH108" s="1" t="s">
        <v>122</v>
      </c>
      <c r="RVI108" s="1" t="s">
        <v>122</v>
      </c>
      <c r="RVJ108" s="1" t="s">
        <v>122</v>
      </c>
      <c r="RVK108" s="1" t="s">
        <v>122</v>
      </c>
      <c r="RVL108" s="1" t="s">
        <v>122</v>
      </c>
      <c r="RVM108" s="1" t="s">
        <v>122</v>
      </c>
      <c r="RVN108" s="1" t="s">
        <v>122</v>
      </c>
      <c r="RVO108" s="1" t="s">
        <v>122</v>
      </c>
      <c r="RVP108" s="1" t="s">
        <v>122</v>
      </c>
      <c r="RVQ108" s="1" t="s">
        <v>122</v>
      </c>
      <c r="RVR108" s="1" t="s">
        <v>122</v>
      </c>
      <c r="RVS108" s="1" t="s">
        <v>122</v>
      </c>
      <c r="RVT108" s="1" t="s">
        <v>122</v>
      </c>
      <c r="RVU108" s="1" t="s">
        <v>122</v>
      </c>
      <c r="RVV108" s="1" t="s">
        <v>122</v>
      </c>
      <c r="RVW108" s="1" t="s">
        <v>122</v>
      </c>
      <c r="RVX108" s="1" t="s">
        <v>122</v>
      </c>
      <c r="RVY108" s="1" t="s">
        <v>122</v>
      </c>
      <c r="RVZ108" s="1" t="s">
        <v>122</v>
      </c>
      <c r="RWA108" s="1" t="s">
        <v>122</v>
      </c>
      <c r="RWB108" s="1" t="s">
        <v>122</v>
      </c>
      <c r="RWC108" s="1" t="s">
        <v>122</v>
      </c>
      <c r="RWD108" s="1" t="s">
        <v>122</v>
      </c>
      <c r="RWE108" s="1" t="s">
        <v>122</v>
      </c>
      <c r="RWF108" s="1" t="s">
        <v>122</v>
      </c>
      <c r="RWG108" s="1" t="s">
        <v>122</v>
      </c>
      <c r="RWH108" s="1" t="s">
        <v>122</v>
      </c>
      <c r="RWI108" s="1" t="s">
        <v>122</v>
      </c>
      <c r="RWJ108" s="1" t="s">
        <v>122</v>
      </c>
      <c r="RWK108" s="1" t="s">
        <v>122</v>
      </c>
      <c r="RWL108" s="1" t="s">
        <v>122</v>
      </c>
      <c r="RWM108" s="1" t="s">
        <v>122</v>
      </c>
      <c r="RWN108" s="1" t="s">
        <v>122</v>
      </c>
      <c r="RWO108" s="1" t="s">
        <v>122</v>
      </c>
      <c r="RWP108" s="1" t="s">
        <v>122</v>
      </c>
      <c r="RWQ108" s="1" t="s">
        <v>122</v>
      </c>
      <c r="RWR108" s="1" t="s">
        <v>122</v>
      </c>
      <c r="RWS108" s="1" t="s">
        <v>122</v>
      </c>
      <c r="RWT108" s="1" t="s">
        <v>122</v>
      </c>
      <c r="RWU108" s="1" t="s">
        <v>122</v>
      </c>
      <c r="RWV108" s="1" t="s">
        <v>122</v>
      </c>
      <c r="RWW108" s="1" t="s">
        <v>122</v>
      </c>
      <c r="RWX108" s="1" t="s">
        <v>122</v>
      </c>
      <c r="RWY108" s="1" t="s">
        <v>122</v>
      </c>
      <c r="RWZ108" s="1" t="s">
        <v>122</v>
      </c>
      <c r="RXA108" s="1" t="s">
        <v>122</v>
      </c>
      <c r="RXB108" s="1" t="s">
        <v>122</v>
      </c>
      <c r="RXC108" s="1" t="s">
        <v>122</v>
      </c>
      <c r="RXD108" s="1" t="s">
        <v>122</v>
      </c>
      <c r="RXE108" s="1" t="s">
        <v>122</v>
      </c>
      <c r="RXF108" s="1" t="s">
        <v>122</v>
      </c>
      <c r="RXG108" s="1" t="s">
        <v>122</v>
      </c>
      <c r="RXH108" s="1" t="s">
        <v>122</v>
      </c>
      <c r="RXI108" s="1" t="s">
        <v>122</v>
      </c>
      <c r="RXJ108" s="1" t="s">
        <v>122</v>
      </c>
      <c r="RXK108" s="1" t="s">
        <v>122</v>
      </c>
      <c r="RXL108" s="1" t="s">
        <v>122</v>
      </c>
      <c r="RXM108" s="1" t="s">
        <v>122</v>
      </c>
      <c r="RXN108" s="1" t="s">
        <v>122</v>
      </c>
      <c r="RXO108" s="1" t="s">
        <v>122</v>
      </c>
      <c r="RXP108" s="1" t="s">
        <v>122</v>
      </c>
      <c r="RXQ108" s="1" t="s">
        <v>122</v>
      </c>
      <c r="RXR108" s="1" t="s">
        <v>122</v>
      </c>
      <c r="RXS108" s="1" t="s">
        <v>122</v>
      </c>
      <c r="RXT108" s="1" t="s">
        <v>122</v>
      </c>
      <c r="RXU108" s="1" t="s">
        <v>122</v>
      </c>
      <c r="RXV108" s="1" t="s">
        <v>122</v>
      </c>
      <c r="RXW108" s="1" t="s">
        <v>122</v>
      </c>
      <c r="RXX108" s="1" t="s">
        <v>122</v>
      </c>
      <c r="RXY108" s="1" t="s">
        <v>122</v>
      </c>
      <c r="RXZ108" s="1" t="s">
        <v>122</v>
      </c>
      <c r="RYA108" s="1" t="s">
        <v>122</v>
      </c>
      <c r="RYB108" s="1" t="s">
        <v>122</v>
      </c>
      <c r="RYC108" s="1" t="s">
        <v>122</v>
      </c>
      <c r="RYD108" s="1" t="s">
        <v>122</v>
      </c>
      <c r="RYE108" s="1" t="s">
        <v>122</v>
      </c>
      <c r="RYF108" s="1" t="s">
        <v>122</v>
      </c>
      <c r="RYG108" s="1" t="s">
        <v>122</v>
      </c>
      <c r="RYH108" s="1" t="s">
        <v>122</v>
      </c>
      <c r="RYI108" s="1" t="s">
        <v>122</v>
      </c>
      <c r="RYJ108" s="1" t="s">
        <v>122</v>
      </c>
      <c r="RYK108" s="1" t="s">
        <v>122</v>
      </c>
      <c r="RYL108" s="1" t="s">
        <v>122</v>
      </c>
      <c r="RYM108" s="1" t="s">
        <v>122</v>
      </c>
      <c r="RYN108" s="1" t="s">
        <v>122</v>
      </c>
      <c r="RYO108" s="1" t="s">
        <v>122</v>
      </c>
      <c r="RYP108" s="1" t="s">
        <v>122</v>
      </c>
      <c r="RYQ108" s="1" t="s">
        <v>122</v>
      </c>
      <c r="RYR108" s="1" t="s">
        <v>122</v>
      </c>
      <c r="RYS108" s="1" t="s">
        <v>122</v>
      </c>
      <c r="RYT108" s="1" t="s">
        <v>122</v>
      </c>
      <c r="RYU108" s="1" t="s">
        <v>122</v>
      </c>
      <c r="RYV108" s="1" t="s">
        <v>122</v>
      </c>
      <c r="RYW108" s="1" t="s">
        <v>122</v>
      </c>
      <c r="RYX108" s="1" t="s">
        <v>122</v>
      </c>
      <c r="RYY108" s="1" t="s">
        <v>122</v>
      </c>
      <c r="RYZ108" s="1" t="s">
        <v>122</v>
      </c>
      <c r="RZA108" s="1" t="s">
        <v>122</v>
      </c>
      <c r="RZB108" s="1" t="s">
        <v>122</v>
      </c>
      <c r="RZC108" s="1" t="s">
        <v>122</v>
      </c>
      <c r="RZD108" s="1" t="s">
        <v>122</v>
      </c>
      <c r="RZE108" s="1" t="s">
        <v>122</v>
      </c>
      <c r="RZF108" s="1" t="s">
        <v>122</v>
      </c>
      <c r="RZG108" s="1" t="s">
        <v>122</v>
      </c>
      <c r="RZH108" s="1" t="s">
        <v>122</v>
      </c>
      <c r="RZI108" s="1" t="s">
        <v>122</v>
      </c>
      <c r="RZJ108" s="1" t="s">
        <v>122</v>
      </c>
      <c r="RZK108" s="1" t="s">
        <v>122</v>
      </c>
      <c r="RZL108" s="1" t="s">
        <v>122</v>
      </c>
      <c r="RZM108" s="1" t="s">
        <v>122</v>
      </c>
      <c r="RZN108" s="1" t="s">
        <v>122</v>
      </c>
      <c r="RZO108" s="1" t="s">
        <v>122</v>
      </c>
      <c r="RZP108" s="1" t="s">
        <v>122</v>
      </c>
      <c r="RZQ108" s="1" t="s">
        <v>122</v>
      </c>
      <c r="RZR108" s="1" t="s">
        <v>122</v>
      </c>
      <c r="RZS108" s="1" t="s">
        <v>122</v>
      </c>
      <c r="RZT108" s="1" t="s">
        <v>122</v>
      </c>
      <c r="RZU108" s="1" t="s">
        <v>122</v>
      </c>
      <c r="RZV108" s="1" t="s">
        <v>122</v>
      </c>
      <c r="RZW108" s="1" t="s">
        <v>122</v>
      </c>
      <c r="RZX108" s="1" t="s">
        <v>122</v>
      </c>
      <c r="RZY108" s="1" t="s">
        <v>122</v>
      </c>
      <c r="RZZ108" s="1" t="s">
        <v>122</v>
      </c>
      <c r="SAA108" s="1" t="s">
        <v>122</v>
      </c>
      <c r="SAB108" s="1" t="s">
        <v>122</v>
      </c>
      <c r="SAC108" s="1" t="s">
        <v>122</v>
      </c>
      <c r="SAD108" s="1" t="s">
        <v>122</v>
      </c>
      <c r="SAE108" s="1" t="s">
        <v>122</v>
      </c>
      <c r="SAF108" s="1" t="s">
        <v>122</v>
      </c>
      <c r="SAG108" s="1" t="s">
        <v>122</v>
      </c>
      <c r="SAH108" s="1" t="s">
        <v>122</v>
      </c>
      <c r="SAI108" s="1" t="s">
        <v>122</v>
      </c>
      <c r="SAJ108" s="1" t="s">
        <v>122</v>
      </c>
      <c r="SAK108" s="1" t="s">
        <v>122</v>
      </c>
      <c r="SAL108" s="1" t="s">
        <v>122</v>
      </c>
      <c r="SAM108" s="1" t="s">
        <v>122</v>
      </c>
      <c r="SAN108" s="1" t="s">
        <v>122</v>
      </c>
      <c r="SAO108" s="1" t="s">
        <v>122</v>
      </c>
      <c r="SAP108" s="1" t="s">
        <v>122</v>
      </c>
      <c r="SAQ108" s="1" t="s">
        <v>122</v>
      </c>
      <c r="SAR108" s="1" t="s">
        <v>122</v>
      </c>
      <c r="SAS108" s="1" t="s">
        <v>122</v>
      </c>
      <c r="SAT108" s="1" t="s">
        <v>122</v>
      </c>
      <c r="SAU108" s="1" t="s">
        <v>122</v>
      </c>
      <c r="SAV108" s="1" t="s">
        <v>122</v>
      </c>
      <c r="SAW108" s="1" t="s">
        <v>122</v>
      </c>
      <c r="SAX108" s="1" t="s">
        <v>122</v>
      </c>
      <c r="SAY108" s="1" t="s">
        <v>122</v>
      </c>
      <c r="SAZ108" s="1" t="s">
        <v>122</v>
      </c>
      <c r="SBA108" s="1" t="s">
        <v>122</v>
      </c>
      <c r="SBB108" s="1" t="s">
        <v>122</v>
      </c>
      <c r="SBC108" s="1" t="s">
        <v>122</v>
      </c>
      <c r="SBD108" s="1" t="s">
        <v>122</v>
      </c>
      <c r="SBE108" s="1" t="s">
        <v>122</v>
      </c>
      <c r="SBF108" s="1" t="s">
        <v>122</v>
      </c>
      <c r="SBG108" s="1" t="s">
        <v>122</v>
      </c>
      <c r="SBH108" s="1" t="s">
        <v>122</v>
      </c>
      <c r="SBI108" s="1" t="s">
        <v>122</v>
      </c>
      <c r="SBJ108" s="1" t="s">
        <v>122</v>
      </c>
      <c r="SBK108" s="1" t="s">
        <v>122</v>
      </c>
      <c r="SBL108" s="1" t="s">
        <v>122</v>
      </c>
      <c r="SBM108" s="1" t="s">
        <v>122</v>
      </c>
      <c r="SBN108" s="1" t="s">
        <v>122</v>
      </c>
      <c r="SBO108" s="1" t="s">
        <v>122</v>
      </c>
      <c r="SBP108" s="1" t="s">
        <v>122</v>
      </c>
      <c r="SBQ108" s="1" t="s">
        <v>122</v>
      </c>
      <c r="SBR108" s="1" t="s">
        <v>122</v>
      </c>
      <c r="SBS108" s="1" t="s">
        <v>122</v>
      </c>
      <c r="SBT108" s="1" t="s">
        <v>122</v>
      </c>
      <c r="SBU108" s="1" t="s">
        <v>122</v>
      </c>
      <c r="SBV108" s="1" t="s">
        <v>122</v>
      </c>
      <c r="SBW108" s="1" t="s">
        <v>122</v>
      </c>
      <c r="SBX108" s="1" t="s">
        <v>122</v>
      </c>
      <c r="SBY108" s="1" t="s">
        <v>122</v>
      </c>
      <c r="SBZ108" s="1" t="s">
        <v>122</v>
      </c>
      <c r="SCA108" s="1" t="s">
        <v>122</v>
      </c>
      <c r="SCB108" s="1" t="s">
        <v>122</v>
      </c>
      <c r="SCC108" s="1" t="s">
        <v>122</v>
      </c>
      <c r="SCD108" s="1" t="s">
        <v>122</v>
      </c>
      <c r="SCE108" s="1" t="s">
        <v>122</v>
      </c>
      <c r="SCF108" s="1" t="s">
        <v>122</v>
      </c>
      <c r="SCG108" s="1" t="s">
        <v>122</v>
      </c>
      <c r="SCH108" s="1" t="s">
        <v>122</v>
      </c>
      <c r="SCI108" s="1" t="s">
        <v>122</v>
      </c>
      <c r="SCJ108" s="1" t="s">
        <v>122</v>
      </c>
      <c r="SCK108" s="1" t="s">
        <v>122</v>
      </c>
      <c r="SCL108" s="1" t="s">
        <v>122</v>
      </c>
      <c r="SCM108" s="1" t="s">
        <v>122</v>
      </c>
      <c r="SCN108" s="1" t="s">
        <v>122</v>
      </c>
      <c r="SCO108" s="1" t="s">
        <v>122</v>
      </c>
      <c r="SCP108" s="1" t="s">
        <v>122</v>
      </c>
      <c r="SCQ108" s="1" t="s">
        <v>122</v>
      </c>
      <c r="SCR108" s="1" t="s">
        <v>122</v>
      </c>
      <c r="SCS108" s="1" t="s">
        <v>122</v>
      </c>
      <c r="SCT108" s="1" t="s">
        <v>122</v>
      </c>
      <c r="SCU108" s="1" t="s">
        <v>122</v>
      </c>
      <c r="SCV108" s="1" t="s">
        <v>122</v>
      </c>
      <c r="SCW108" s="1" t="s">
        <v>122</v>
      </c>
      <c r="SCX108" s="1" t="s">
        <v>122</v>
      </c>
      <c r="SCY108" s="1" t="s">
        <v>122</v>
      </c>
      <c r="SCZ108" s="1" t="s">
        <v>122</v>
      </c>
      <c r="SDA108" s="1" t="s">
        <v>122</v>
      </c>
      <c r="SDB108" s="1" t="s">
        <v>122</v>
      </c>
      <c r="SDC108" s="1" t="s">
        <v>122</v>
      </c>
      <c r="SDD108" s="1" t="s">
        <v>122</v>
      </c>
      <c r="SDE108" s="1" t="s">
        <v>122</v>
      </c>
      <c r="SDF108" s="1" t="s">
        <v>122</v>
      </c>
      <c r="SDG108" s="1" t="s">
        <v>122</v>
      </c>
      <c r="SDH108" s="1" t="s">
        <v>122</v>
      </c>
      <c r="SDI108" s="1" t="s">
        <v>122</v>
      </c>
      <c r="SDJ108" s="1" t="s">
        <v>122</v>
      </c>
      <c r="SDK108" s="1" t="s">
        <v>122</v>
      </c>
      <c r="SDL108" s="1" t="s">
        <v>122</v>
      </c>
      <c r="SDM108" s="1" t="s">
        <v>122</v>
      </c>
      <c r="SDN108" s="1" t="s">
        <v>122</v>
      </c>
      <c r="SDO108" s="1" t="s">
        <v>122</v>
      </c>
      <c r="SDP108" s="1" t="s">
        <v>122</v>
      </c>
      <c r="SDQ108" s="1" t="s">
        <v>122</v>
      </c>
      <c r="SDR108" s="1" t="s">
        <v>122</v>
      </c>
      <c r="SDS108" s="1" t="s">
        <v>122</v>
      </c>
      <c r="SDT108" s="1" t="s">
        <v>122</v>
      </c>
      <c r="SDU108" s="1" t="s">
        <v>122</v>
      </c>
      <c r="SDV108" s="1" t="s">
        <v>122</v>
      </c>
      <c r="SDW108" s="1" t="s">
        <v>122</v>
      </c>
      <c r="SDX108" s="1" t="s">
        <v>122</v>
      </c>
      <c r="SDY108" s="1" t="s">
        <v>122</v>
      </c>
      <c r="SDZ108" s="1" t="s">
        <v>122</v>
      </c>
      <c r="SEA108" s="1" t="s">
        <v>122</v>
      </c>
      <c r="SEB108" s="1" t="s">
        <v>122</v>
      </c>
      <c r="SEC108" s="1" t="s">
        <v>122</v>
      </c>
      <c r="SED108" s="1" t="s">
        <v>122</v>
      </c>
      <c r="SEE108" s="1" t="s">
        <v>122</v>
      </c>
      <c r="SEF108" s="1" t="s">
        <v>122</v>
      </c>
      <c r="SEG108" s="1" t="s">
        <v>122</v>
      </c>
      <c r="SEH108" s="1" t="s">
        <v>122</v>
      </c>
      <c r="SEI108" s="1" t="s">
        <v>122</v>
      </c>
      <c r="SEJ108" s="1" t="s">
        <v>122</v>
      </c>
      <c r="SEK108" s="1" t="s">
        <v>122</v>
      </c>
      <c r="SEL108" s="1" t="s">
        <v>122</v>
      </c>
      <c r="SEM108" s="1" t="s">
        <v>122</v>
      </c>
      <c r="SEN108" s="1" t="s">
        <v>122</v>
      </c>
      <c r="SEO108" s="1" t="s">
        <v>122</v>
      </c>
      <c r="SEP108" s="1" t="s">
        <v>122</v>
      </c>
      <c r="SEQ108" s="1" t="s">
        <v>122</v>
      </c>
      <c r="SER108" s="1" t="s">
        <v>122</v>
      </c>
      <c r="SES108" s="1" t="s">
        <v>122</v>
      </c>
      <c r="SET108" s="1" t="s">
        <v>122</v>
      </c>
      <c r="SEU108" s="1" t="s">
        <v>122</v>
      </c>
      <c r="SEV108" s="1" t="s">
        <v>122</v>
      </c>
      <c r="SEW108" s="1" t="s">
        <v>122</v>
      </c>
      <c r="SEX108" s="1" t="s">
        <v>122</v>
      </c>
      <c r="SEY108" s="1" t="s">
        <v>122</v>
      </c>
      <c r="SEZ108" s="1" t="s">
        <v>122</v>
      </c>
      <c r="SFA108" s="1" t="s">
        <v>122</v>
      </c>
      <c r="SFB108" s="1" t="s">
        <v>122</v>
      </c>
      <c r="SFC108" s="1" t="s">
        <v>122</v>
      </c>
      <c r="SFD108" s="1" t="s">
        <v>122</v>
      </c>
      <c r="SFE108" s="1" t="s">
        <v>122</v>
      </c>
      <c r="SFF108" s="1" t="s">
        <v>122</v>
      </c>
      <c r="SFG108" s="1" t="s">
        <v>122</v>
      </c>
      <c r="SFH108" s="1" t="s">
        <v>122</v>
      </c>
      <c r="SFI108" s="1" t="s">
        <v>122</v>
      </c>
      <c r="SFJ108" s="1" t="s">
        <v>122</v>
      </c>
      <c r="SFK108" s="1" t="s">
        <v>122</v>
      </c>
      <c r="SFL108" s="1" t="s">
        <v>122</v>
      </c>
      <c r="SFM108" s="1" t="s">
        <v>122</v>
      </c>
      <c r="SFN108" s="1" t="s">
        <v>122</v>
      </c>
      <c r="SFO108" s="1" t="s">
        <v>122</v>
      </c>
      <c r="SFP108" s="1" t="s">
        <v>122</v>
      </c>
      <c r="SFQ108" s="1" t="s">
        <v>122</v>
      </c>
      <c r="SFR108" s="1" t="s">
        <v>122</v>
      </c>
      <c r="SFS108" s="1" t="s">
        <v>122</v>
      </c>
      <c r="SFT108" s="1" t="s">
        <v>122</v>
      </c>
      <c r="SFU108" s="1" t="s">
        <v>122</v>
      </c>
      <c r="SFV108" s="1" t="s">
        <v>122</v>
      </c>
      <c r="SFW108" s="1" t="s">
        <v>122</v>
      </c>
      <c r="SFX108" s="1" t="s">
        <v>122</v>
      </c>
      <c r="SFY108" s="1" t="s">
        <v>122</v>
      </c>
      <c r="SFZ108" s="1" t="s">
        <v>122</v>
      </c>
      <c r="SGA108" s="1" t="s">
        <v>122</v>
      </c>
      <c r="SGB108" s="1" t="s">
        <v>122</v>
      </c>
      <c r="SGC108" s="1" t="s">
        <v>122</v>
      </c>
      <c r="SGD108" s="1" t="s">
        <v>122</v>
      </c>
      <c r="SGE108" s="1" t="s">
        <v>122</v>
      </c>
      <c r="SGF108" s="1" t="s">
        <v>122</v>
      </c>
      <c r="SGG108" s="1" t="s">
        <v>122</v>
      </c>
      <c r="SGH108" s="1" t="s">
        <v>122</v>
      </c>
      <c r="SGI108" s="1" t="s">
        <v>122</v>
      </c>
      <c r="SGJ108" s="1" t="s">
        <v>122</v>
      </c>
      <c r="SGK108" s="1" t="s">
        <v>122</v>
      </c>
      <c r="SGL108" s="1" t="s">
        <v>122</v>
      </c>
      <c r="SGM108" s="1" t="s">
        <v>122</v>
      </c>
      <c r="SGN108" s="1" t="s">
        <v>122</v>
      </c>
      <c r="SGO108" s="1" t="s">
        <v>122</v>
      </c>
      <c r="SGP108" s="1" t="s">
        <v>122</v>
      </c>
      <c r="SGQ108" s="1" t="s">
        <v>122</v>
      </c>
      <c r="SGR108" s="1" t="s">
        <v>122</v>
      </c>
      <c r="SGS108" s="1" t="s">
        <v>122</v>
      </c>
      <c r="SGT108" s="1" t="s">
        <v>122</v>
      </c>
      <c r="SGU108" s="1" t="s">
        <v>122</v>
      </c>
      <c r="SGV108" s="1" t="s">
        <v>122</v>
      </c>
      <c r="SGW108" s="1" t="s">
        <v>122</v>
      </c>
      <c r="SGX108" s="1" t="s">
        <v>122</v>
      </c>
      <c r="SGY108" s="1" t="s">
        <v>122</v>
      </c>
      <c r="SGZ108" s="1" t="s">
        <v>122</v>
      </c>
      <c r="SHA108" s="1" t="s">
        <v>122</v>
      </c>
      <c r="SHB108" s="1" t="s">
        <v>122</v>
      </c>
      <c r="SHC108" s="1" t="s">
        <v>122</v>
      </c>
      <c r="SHD108" s="1" t="s">
        <v>122</v>
      </c>
      <c r="SHE108" s="1" t="s">
        <v>122</v>
      </c>
      <c r="SHF108" s="1" t="s">
        <v>122</v>
      </c>
      <c r="SHG108" s="1" t="s">
        <v>122</v>
      </c>
      <c r="SHH108" s="1" t="s">
        <v>122</v>
      </c>
      <c r="SHI108" s="1" t="s">
        <v>122</v>
      </c>
      <c r="SHJ108" s="1" t="s">
        <v>122</v>
      </c>
      <c r="SHK108" s="1" t="s">
        <v>122</v>
      </c>
      <c r="SHL108" s="1" t="s">
        <v>122</v>
      </c>
      <c r="SHM108" s="1" t="s">
        <v>122</v>
      </c>
      <c r="SHN108" s="1" t="s">
        <v>122</v>
      </c>
      <c r="SHO108" s="1" t="s">
        <v>122</v>
      </c>
      <c r="SHP108" s="1" t="s">
        <v>122</v>
      </c>
      <c r="SHQ108" s="1" t="s">
        <v>122</v>
      </c>
      <c r="SHR108" s="1" t="s">
        <v>122</v>
      </c>
      <c r="SHS108" s="1" t="s">
        <v>122</v>
      </c>
      <c r="SHT108" s="1" t="s">
        <v>122</v>
      </c>
      <c r="SHU108" s="1" t="s">
        <v>122</v>
      </c>
      <c r="SHV108" s="1" t="s">
        <v>122</v>
      </c>
      <c r="SHW108" s="1" t="s">
        <v>122</v>
      </c>
      <c r="SHX108" s="1" t="s">
        <v>122</v>
      </c>
      <c r="SHY108" s="1" t="s">
        <v>122</v>
      </c>
      <c r="SHZ108" s="1" t="s">
        <v>122</v>
      </c>
      <c r="SIA108" s="1" t="s">
        <v>122</v>
      </c>
      <c r="SIB108" s="1" t="s">
        <v>122</v>
      </c>
      <c r="SIC108" s="1" t="s">
        <v>122</v>
      </c>
      <c r="SID108" s="1" t="s">
        <v>122</v>
      </c>
      <c r="SIE108" s="1" t="s">
        <v>122</v>
      </c>
      <c r="SIF108" s="1" t="s">
        <v>122</v>
      </c>
      <c r="SIG108" s="1" t="s">
        <v>122</v>
      </c>
      <c r="SIH108" s="1" t="s">
        <v>122</v>
      </c>
      <c r="SII108" s="1" t="s">
        <v>122</v>
      </c>
      <c r="SIJ108" s="1" t="s">
        <v>122</v>
      </c>
      <c r="SIK108" s="1" t="s">
        <v>122</v>
      </c>
      <c r="SIL108" s="1" t="s">
        <v>122</v>
      </c>
      <c r="SIM108" s="1" t="s">
        <v>122</v>
      </c>
      <c r="SIN108" s="1" t="s">
        <v>122</v>
      </c>
      <c r="SIO108" s="1" t="s">
        <v>122</v>
      </c>
      <c r="SIP108" s="1" t="s">
        <v>122</v>
      </c>
      <c r="SIQ108" s="1" t="s">
        <v>122</v>
      </c>
      <c r="SIR108" s="1" t="s">
        <v>122</v>
      </c>
      <c r="SIS108" s="1" t="s">
        <v>122</v>
      </c>
      <c r="SIT108" s="1" t="s">
        <v>122</v>
      </c>
      <c r="SIU108" s="1" t="s">
        <v>122</v>
      </c>
      <c r="SIV108" s="1" t="s">
        <v>122</v>
      </c>
      <c r="SIW108" s="1" t="s">
        <v>122</v>
      </c>
      <c r="SIX108" s="1" t="s">
        <v>122</v>
      </c>
      <c r="SIY108" s="1" t="s">
        <v>122</v>
      </c>
      <c r="SIZ108" s="1" t="s">
        <v>122</v>
      </c>
      <c r="SJA108" s="1" t="s">
        <v>122</v>
      </c>
      <c r="SJB108" s="1" t="s">
        <v>122</v>
      </c>
      <c r="SJC108" s="1" t="s">
        <v>122</v>
      </c>
      <c r="SJD108" s="1" t="s">
        <v>122</v>
      </c>
      <c r="SJE108" s="1" t="s">
        <v>122</v>
      </c>
      <c r="SJF108" s="1" t="s">
        <v>122</v>
      </c>
      <c r="SJG108" s="1" t="s">
        <v>122</v>
      </c>
      <c r="SJH108" s="1" t="s">
        <v>122</v>
      </c>
      <c r="SJI108" s="1" t="s">
        <v>122</v>
      </c>
      <c r="SJJ108" s="1" t="s">
        <v>122</v>
      </c>
      <c r="SJK108" s="1" t="s">
        <v>122</v>
      </c>
      <c r="SJL108" s="1" t="s">
        <v>122</v>
      </c>
      <c r="SJM108" s="1" t="s">
        <v>122</v>
      </c>
      <c r="SJN108" s="1" t="s">
        <v>122</v>
      </c>
      <c r="SJO108" s="1" t="s">
        <v>122</v>
      </c>
      <c r="SJP108" s="1" t="s">
        <v>122</v>
      </c>
      <c r="SJQ108" s="1" t="s">
        <v>122</v>
      </c>
      <c r="SJR108" s="1" t="s">
        <v>122</v>
      </c>
      <c r="SJS108" s="1" t="s">
        <v>122</v>
      </c>
      <c r="SJT108" s="1" t="s">
        <v>122</v>
      </c>
      <c r="SJU108" s="1" t="s">
        <v>122</v>
      </c>
      <c r="SJV108" s="1" t="s">
        <v>122</v>
      </c>
      <c r="SJW108" s="1" t="s">
        <v>122</v>
      </c>
      <c r="SJX108" s="1" t="s">
        <v>122</v>
      </c>
      <c r="SJY108" s="1" t="s">
        <v>122</v>
      </c>
      <c r="SJZ108" s="1" t="s">
        <v>122</v>
      </c>
      <c r="SKA108" s="1" t="s">
        <v>122</v>
      </c>
      <c r="SKB108" s="1" t="s">
        <v>122</v>
      </c>
      <c r="SKC108" s="1" t="s">
        <v>122</v>
      </c>
      <c r="SKD108" s="1" t="s">
        <v>122</v>
      </c>
      <c r="SKE108" s="1" t="s">
        <v>122</v>
      </c>
      <c r="SKF108" s="1" t="s">
        <v>122</v>
      </c>
      <c r="SKG108" s="1" t="s">
        <v>122</v>
      </c>
      <c r="SKH108" s="1" t="s">
        <v>122</v>
      </c>
      <c r="SKI108" s="1" t="s">
        <v>122</v>
      </c>
      <c r="SKJ108" s="1" t="s">
        <v>122</v>
      </c>
      <c r="SKK108" s="1" t="s">
        <v>122</v>
      </c>
      <c r="SKL108" s="1" t="s">
        <v>122</v>
      </c>
      <c r="SKM108" s="1" t="s">
        <v>122</v>
      </c>
      <c r="SKN108" s="1" t="s">
        <v>122</v>
      </c>
      <c r="SKO108" s="1" t="s">
        <v>122</v>
      </c>
      <c r="SKP108" s="1" t="s">
        <v>122</v>
      </c>
      <c r="SKQ108" s="1" t="s">
        <v>122</v>
      </c>
      <c r="SKR108" s="1" t="s">
        <v>122</v>
      </c>
      <c r="SKS108" s="1" t="s">
        <v>122</v>
      </c>
      <c r="SKT108" s="1" t="s">
        <v>122</v>
      </c>
      <c r="SKU108" s="1" t="s">
        <v>122</v>
      </c>
      <c r="SKV108" s="1" t="s">
        <v>122</v>
      </c>
      <c r="SKW108" s="1" t="s">
        <v>122</v>
      </c>
      <c r="SKX108" s="1" t="s">
        <v>122</v>
      </c>
      <c r="SKY108" s="1" t="s">
        <v>122</v>
      </c>
      <c r="SKZ108" s="1" t="s">
        <v>122</v>
      </c>
      <c r="SLA108" s="1" t="s">
        <v>122</v>
      </c>
      <c r="SLB108" s="1" t="s">
        <v>122</v>
      </c>
      <c r="SLC108" s="1" t="s">
        <v>122</v>
      </c>
      <c r="SLD108" s="1" t="s">
        <v>122</v>
      </c>
      <c r="SLE108" s="1" t="s">
        <v>122</v>
      </c>
      <c r="SLF108" s="1" t="s">
        <v>122</v>
      </c>
      <c r="SLG108" s="1" t="s">
        <v>122</v>
      </c>
      <c r="SLH108" s="1" t="s">
        <v>122</v>
      </c>
      <c r="SLI108" s="1" t="s">
        <v>122</v>
      </c>
      <c r="SLJ108" s="1" t="s">
        <v>122</v>
      </c>
      <c r="SLK108" s="1" t="s">
        <v>122</v>
      </c>
      <c r="SLL108" s="1" t="s">
        <v>122</v>
      </c>
      <c r="SLM108" s="1" t="s">
        <v>122</v>
      </c>
      <c r="SLN108" s="1" t="s">
        <v>122</v>
      </c>
      <c r="SLO108" s="1" t="s">
        <v>122</v>
      </c>
      <c r="SLP108" s="1" t="s">
        <v>122</v>
      </c>
      <c r="SLQ108" s="1" t="s">
        <v>122</v>
      </c>
      <c r="SLR108" s="1" t="s">
        <v>122</v>
      </c>
      <c r="SLS108" s="1" t="s">
        <v>122</v>
      </c>
      <c r="SLT108" s="1" t="s">
        <v>122</v>
      </c>
      <c r="SLU108" s="1" t="s">
        <v>122</v>
      </c>
      <c r="SLV108" s="1" t="s">
        <v>122</v>
      </c>
      <c r="SLW108" s="1" t="s">
        <v>122</v>
      </c>
      <c r="SLX108" s="1" t="s">
        <v>122</v>
      </c>
      <c r="SLY108" s="1" t="s">
        <v>122</v>
      </c>
      <c r="SLZ108" s="1" t="s">
        <v>122</v>
      </c>
      <c r="SMA108" s="1" t="s">
        <v>122</v>
      </c>
      <c r="SMB108" s="1" t="s">
        <v>122</v>
      </c>
      <c r="SMC108" s="1" t="s">
        <v>122</v>
      </c>
      <c r="SMD108" s="1" t="s">
        <v>122</v>
      </c>
      <c r="SME108" s="1" t="s">
        <v>122</v>
      </c>
      <c r="SMF108" s="1" t="s">
        <v>122</v>
      </c>
      <c r="SMG108" s="1" t="s">
        <v>122</v>
      </c>
      <c r="SMH108" s="1" t="s">
        <v>122</v>
      </c>
      <c r="SMI108" s="1" t="s">
        <v>122</v>
      </c>
      <c r="SMJ108" s="1" t="s">
        <v>122</v>
      </c>
      <c r="SMK108" s="1" t="s">
        <v>122</v>
      </c>
      <c r="SML108" s="1" t="s">
        <v>122</v>
      </c>
      <c r="SMM108" s="1" t="s">
        <v>122</v>
      </c>
      <c r="SMN108" s="1" t="s">
        <v>122</v>
      </c>
      <c r="SMO108" s="1" t="s">
        <v>122</v>
      </c>
      <c r="SMP108" s="1" t="s">
        <v>122</v>
      </c>
      <c r="SMQ108" s="1" t="s">
        <v>122</v>
      </c>
      <c r="SMR108" s="1" t="s">
        <v>122</v>
      </c>
      <c r="SMS108" s="1" t="s">
        <v>122</v>
      </c>
      <c r="SMT108" s="1" t="s">
        <v>122</v>
      </c>
      <c r="SMU108" s="1" t="s">
        <v>122</v>
      </c>
      <c r="SMV108" s="1" t="s">
        <v>122</v>
      </c>
      <c r="SMW108" s="1" t="s">
        <v>122</v>
      </c>
      <c r="SMX108" s="1" t="s">
        <v>122</v>
      </c>
      <c r="SMY108" s="1" t="s">
        <v>122</v>
      </c>
      <c r="SMZ108" s="1" t="s">
        <v>122</v>
      </c>
      <c r="SNA108" s="1" t="s">
        <v>122</v>
      </c>
      <c r="SNB108" s="1" t="s">
        <v>122</v>
      </c>
      <c r="SNC108" s="1" t="s">
        <v>122</v>
      </c>
      <c r="SND108" s="1" t="s">
        <v>122</v>
      </c>
      <c r="SNE108" s="1" t="s">
        <v>122</v>
      </c>
      <c r="SNF108" s="1" t="s">
        <v>122</v>
      </c>
      <c r="SNG108" s="1" t="s">
        <v>122</v>
      </c>
      <c r="SNH108" s="1" t="s">
        <v>122</v>
      </c>
      <c r="SNI108" s="1" t="s">
        <v>122</v>
      </c>
      <c r="SNJ108" s="1" t="s">
        <v>122</v>
      </c>
      <c r="SNK108" s="1" t="s">
        <v>122</v>
      </c>
      <c r="SNL108" s="1" t="s">
        <v>122</v>
      </c>
      <c r="SNM108" s="1" t="s">
        <v>122</v>
      </c>
      <c r="SNN108" s="1" t="s">
        <v>122</v>
      </c>
      <c r="SNO108" s="1" t="s">
        <v>122</v>
      </c>
      <c r="SNP108" s="1" t="s">
        <v>122</v>
      </c>
      <c r="SNQ108" s="1" t="s">
        <v>122</v>
      </c>
      <c r="SNR108" s="1" t="s">
        <v>122</v>
      </c>
      <c r="SNS108" s="1" t="s">
        <v>122</v>
      </c>
      <c r="SNT108" s="1" t="s">
        <v>122</v>
      </c>
      <c r="SNU108" s="1" t="s">
        <v>122</v>
      </c>
      <c r="SNV108" s="1" t="s">
        <v>122</v>
      </c>
      <c r="SNW108" s="1" t="s">
        <v>122</v>
      </c>
      <c r="SNX108" s="1" t="s">
        <v>122</v>
      </c>
      <c r="SNY108" s="1" t="s">
        <v>122</v>
      </c>
      <c r="SNZ108" s="1" t="s">
        <v>122</v>
      </c>
      <c r="SOA108" s="1" t="s">
        <v>122</v>
      </c>
      <c r="SOB108" s="1" t="s">
        <v>122</v>
      </c>
      <c r="SOC108" s="1" t="s">
        <v>122</v>
      </c>
      <c r="SOD108" s="1" t="s">
        <v>122</v>
      </c>
      <c r="SOE108" s="1" t="s">
        <v>122</v>
      </c>
      <c r="SOF108" s="1" t="s">
        <v>122</v>
      </c>
      <c r="SOG108" s="1" t="s">
        <v>122</v>
      </c>
      <c r="SOH108" s="1" t="s">
        <v>122</v>
      </c>
      <c r="SOI108" s="1" t="s">
        <v>122</v>
      </c>
      <c r="SOJ108" s="1" t="s">
        <v>122</v>
      </c>
      <c r="SOK108" s="1" t="s">
        <v>122</v>
      </c>
      <c r="SOL108" s="1" t="s">
        <v>122</v>
      </c>
      <c r="SOM108" s="1" t="s">
        <v>122</v>
      </c>
      <c r="SON108" s="1" t="s">
        <v>122</v>
      </c>
      <c r="SOO108" s="1" t="s">
        <v>122</v>
      </c>
      <c r="SOP108" s="1" t="s">
        <v>122</v>
      </c>
      <c r="SOQ108" s="1" t="s">
        <v>122</v>
      </c>
      <c r="SOR108" s="1" t="s">
        <v>122</v>
      </c>
      <c r="SOS108" s="1" t="s">
        <v>122</v>
      </c>
      <c r="SOT108" s="1" t="s">
        <v>122</v>
      </c>
      <c r="SOU108" s="1" t="s">
        <v>122</v>
      </c>
      <c r="SOV108" s="1" t="s">
        <v>122</v>
      </c>
      <c r="SOW108" s="1" t="s">
        <v>122</v>
      </c>
      <c r="SOX108" s="1" t="s">
        <v>122</v>
      </c>
      <c r="SOY108" s="1" t="s">
        <v>122</v>
      </c>
      <c r="SOZ108" s="1" t="s">
        <v>122</v>
      </c>
      <c r="SPA108" s="1" t="s">
        <v>122</v>
      </c>
      <c r="SPB108" s="1" t="s">
        <v>122</v>
      </c>
      <c r="SPC108" s="1" t="s">
        <v>122</v>
      </c>
      <c r="SPD108" s="1" t="s">
        <v>122</v>
      </c>
      <c r="SPE108" s="1" t="s">
        <v>122</v>
      </c>
      <c r="SPF108" s="1" t="s">
        <v>122</v>
      </c>
      <c r="SPG108" s="1" t="s">
        <v>122</v>
      </c>
      <c r="SPH108" s="1" t="s">
        <v>122</v>
      </c>
      <c r="SPI108" s="1" t="s">
        <v>122</v>
      </c>
      <c r="SPJ108" s="1" t="s">
        <v>122</v>
      </c>
      <c r="SPK108" s="1" t="s">
        <v>122</v>
      </c>
      <c r="SPL108" s="1" t="s">
        <v>122</v>
      </c>
      <c r="SPM108" s="1" t="s">
        <v>122</v>
      </c>
      <c r="SPN108" s="1" t="s">
        <v>122</v>
      </c>
      <c r="SPO108" s="1" t="s">
        <v>122</v>
      </c>
      <c r="SPP108" s="1" t="s">
        <v>122</v>
      </c>
      <c r="SPQ108" s="1" t="s">
        <v>122</v>
      </c>
      <c r="SPR108" s="1" t="s">
        <v>122</v>
      </c>
      <c r="SPS108" s="1" t="s">
        <v>122</v>
      </c>
      <c r="SPT108" s="1" t="s">
        <v>122</v>
      </c>
      <c r="SPU108" s="1" t="s">
        <v>122</v>
      </c>
      <c r="SPV108" s="1" t="s">
        <v>122</v>
      </c>
      <c r="SPW108" s="1" t="s">
        <v>122</v>
      </c>
      <c r="SPX108" s="1" t="s">
        <v>122</v>
      </c>
      <c r="SPY108" s="1" t="s">
        <v>122</v>
      </c>
      <c r="SPZ108" s="1" t="s">
        <v>122</v>
      </c>
      <c r="SQA108" s="1" t="s">
        <v>122</v>
      </c>
      <c r="SQB108" s="1" t="s">
        <v>122</v>
      </c>
      <c r="SQC108" s="1" t="s">
        <v>122</v>
      </c>
      <c r="SQD108" s="1" t="s">
        <v>122</v>
      </c>
      <c r="SQE108" s="1" t="s">
        <v>122</v>
      </c>
      <c r="SQF108" s="1" t="s">
        <v>122</v>
      </c>
      <c r="SQG108" s="1" t="s">
        <v>122</v>
      </c>
      <c r="SQH108" s="1" t="s">
        <v>122</v>
      </c>
      <c r="SQI108" s="1" t="s">
        <v>122</v>
      </c>
      <c r="SQJ108" s="1" t="s">
        <v>122</v>
      </c>
      <c r="SQK108" s="1" t="s">
        <v>122</v>
      </c>
      <c r="SQL108" s="1" t="s">
        <v>122</v>
      </c>
      <c r="SQM108" s="1" t="s">
        <v>122</v>
      </c>
      <c r="SQN108" s="1" t="s">
        <v>122</v>
      </c>
      <c r="SQO108" s="1" t="s">
        <v>122</v>
      </c>
      <c r="SQP108" s="1" t="s">
        <v>122</v>
      </c>
      <c r="SQQ108" s="1" t="s">
        <v>122</v>
      </c>
      <c r="SQR108" s="1" t="s">
        <v>122</v>
      </c>
      <c r="SQS108" s="1" t="s">
        <v>122</v>
      </c>
      <c r="SQT108" s="1" t="s">
        <v>122</v>
      </c>
      <c r="SQU108" s="1" t="s">
        <v>122</v>
      </c>
      <c r="SQV108" s="1" t="s">
        <v>122</v>
      </c>
      <c r="SQW108" s="1" t="s">
        <v>122</v>
      </c>
      <c r="SQX108" s="1" t="s">
        <v>122</v>
      </c>
      <c r="SQY108" s="1" t="s">
        <v>122</v>
      </c>
      <c r="SQZ108" s="1" t="s">
        <v>122</v>
      </c>
      <c r="SRA108" s="1" t="s">
        <v>122</v>
      </c>
      <c r="SRB108" s="1" t="s">
        <v>122</v>
      </c>
      <c r="SRC108" s="1" t="s">
        <v>122</v>
      </c>
      <c r="SRD108" s="1" t="s">
        <v>122</v>
      </c>
      <c r="SRE108" s="1" t="s">
        <v>122</v>
      </c>
      <c r="SRF108" s="1" t="s">
        <v>122</v>
      </c>
      <c r="SRG108" s="1" t="s">
        <v>122</v>
      </c>
      <c r="SRH108" s="1" t="s">
        <v>122</v>
      </c>
      <c r="SRI108" s="1" t="s">
        <v>122</v>
      </c>
      <c r="SRJ108" s="1" t="s">
        <v>122</v>
      </c>
      <c r="SRK108" s="1" t="s">
        <v>122</v>
      </c>
      <c r="SRL108" s="1" t="s">
        <v>122</v>
      </c>
      <c r="SRM108" s="1" t="s">
        <v>122</v>
      </c>
      <c r="SRN108" s="1" t="s">
        <v>122</v>
      </c>
      <c r="SRO108" s="1" t="s">
        <v>122</v>
      </c>
      <c r="SRP108" s="1" t="s">
        <v>122</v>
      </c>
      <c r="SRQ108" s="1" t="s">
        <v>122</v>
      </c>
      <c r="SRR108" s="1" t="s">
        <v>122</v>
      </c>
      <c r="SRS108" s="1" t="s">
        <v>122</v>
      </c>
      <c r="SRT108" s="1" t="s">
        <v>122</v>
      </c>
      <c r="SRU108" s="1" t="s">
        <v>122</v>
      </c>
      <c r="SRV108" s="1" t="s">
        <v>122</v>
      </c>
      <c r="SRW108" s="1" t="s">
        <v>122</v>
      </c>
      <c r="SRX108" s="1" t="s">
        <v>122</v>
      </c>
      <c r="SRY108" s="1" t="s">
        <v>122</v>
      </c>
      <c r="SRZ108" s="1" t="s">
        <v>122</v>
      </c>
      <c r="SSA108" s="1" t="s">
        <v>122</v>
      </c>
      <c r="SSB108" s="1" t="s">
        <v>122</v>
      </c>
      <c r="SSC108" s="1" t="s">
        <v>122</v>
      </c>
      <c r="SSD108" s="1" t="s">
        <v>122</v>
      </c>
      <c r="SSE108" s="1" t="s">
        <v>122</v>
      </c>
      <c r="SSF108" s="1" t="s">
        <v>122</v>
      </c>
      <c r="SSG108" s="1" t="s">
        <v>122</v>
      </c>
      <c r="SSH108" s="1" t="s">
        <v>122</v>
      </c>
      <c r="SSI108" s="1" t="s">
        <v>122</v>
      </c>
      <c r="SSJ108" s="1" t="s">
        <v>122</v>
      </c>
      <c r="SSK108" s="1" t="s">
        <v>122</v>
      </c>
      <c r="SSL108" s="1" t="s">
        <v>122</v>
      </c>
      <c r="SSM108" s="1" t="s">
        <v>122</v>
      </c>
      <c r="SSN108" s="1" t="s">
        <v>122</v>
      </c>
      <c r="SSO108" s="1" t="s">
        <v>122</v>
      </c>
      <c r="SSP108" s="1" t="s">
        <v>122</v>
      </c>
      <c r="SSQ108" s="1" t="s">
        <v>122</v>
      </c>
      <c r="SSR108" s="1" t="s">
        <v>122</v>
      </c>
      <c r="SSS108" s="1" t="s">
        <v>122</v>
      </c>
      <c r="SST108" s="1" t="s">
        <v>122</v>
      </c>
      <c r="SSU108" s="1" t="s">
        <v>122</v>
      </c>
      <c r="SSV108" s="1" t="s">
        <v>122</v>
      </c>
      <c r="SSW108" s="1" t="s">
        <v>122</v>
      </c>
      <c r="SSX108" s="1" t="s">
        <v>122</v>
      </c>
      <c r="SSY108" s="1" t="s">
        <v>122</v>
      </c>
      <c r="SSZ108" s="1" t="s">
        <v>122</v>
      </c>
      <c r="STA108" s="1" t="s">
        <v>122</v>
      </c>
      <c r="STB108" s="1" t="s">
        <v>122</v>
      </c>
      <c r="STC108" s="1" t="s">
        <v>122</v>
      </c>
      <c r="STD108" s="1" t="s">
        <v>122</v>
      </c>
      <c r="STE108" s="1" t="s">
        <v>122</v>
      </c>
      <c r="STF108" s="1" t="s">
        <v>122</v>
      </c>
      <c r="STG108" s="1" t="s">
        <v>122</v>
      </c>
      <c r="STH108" s="1" t="s">
        <v>122</v>
      </c>
      <c r="STI108" s="1" t="s">
        <v>122</v>
      </c>
      <c r="STJ108" s="1" t="s">
        <v>122</v>
      </c>
      <c r="STK108" s="1" t="s">
        <v>122</v>
      </c>
      <c r="STL108" s="1" t="s">
        <v>122</v>
      </c>
      <c r="STM108" s="1" t="s">
        <v>122</v>
      </c>
      <c r="STN108" s="1" t="s">
        <v>122</v>
      </c>
      <c r="STO108" s="1" t="s">
        <v>122</v>
      </c>
      <c r="STP108" s="1" t="s">
        <v>122</v>
      </c>
      <c r="STQ108" s="1" t="s">
        <v>122</v>
      </c>
      <c r="STR108" s="1" t="s">
        <v>122</v>
      </c>
      <c r="STS108" s="1" t="s">
        <v>122</v>
      </c>
      <c r="STT108" s="1" t="s">
        <v>122</v>
      </c>
      <c r="STU108" s="1" t="s">
        <v>122</v>
      </c>
      <c r="STV108" s="1" t="s">
        <v>122</v>
      </c>
      <c r="STW108" s="1" t="s">
        <v>122</v>
      </c>
      <c r="STX108" s="1" t="s">
        <v>122</v>
      </c>
      <c r="STY108" s="1" t="s">
        <v>122</v>
      </c>
      <c r="STZ108" s="1" t="s">
        <v>122</v>
      </c>
      <c r="SUA108" s="1" t="s">
        <v>122</v>
      </c>
      <c r="SUB108" s="1" t="s">
        <v>122</v>
      </c>
      <c r="SUC108" s="1" t="s">
        <v>122</v>
      </c>
      <c r="SUD108" s="1" t="s">
        <v>122</v>
      </c>
      <c r="SUE108" s="1" t="s">
        <v>122</v>
      </c>
      <c r="SUF108" s="1" t="s">
        <v>122</v>
      </c>
      <c r="SUG108" s="1" t="s">
        <v>122</v>
      </c>
      <c r="SUH108" s="1" t="s">
        <v>122</v>
      </c>
      <c r="SUI108" s="1" t="s">
        <v>122</v>
      </c>
      <c r="SUJ108" s="1" t="s">
        <v>122</v>
      </c>
      <c r="SUK108" s="1" t="s">
        <v>122</v>
      </c>
      <c r="SUL108" s="1" t="s">
        <v>122</v>
      </c>
      <c r="SUM108" s="1" t="s">
        <v>122</v>
      </c>
      <c r="SUN108" s="1" t="s">
        <v>122</v>
      </c>
      <c r="SUO108" s="1" t="s">
        <v>122</v>
      </c>
      <c r="SUP108" s="1" t="s">
        <v>122</v>
      </c>
      <c r="SUQ108" s="1" t="s">
        <v>122</v>
      </c>
      <c r="SUR108" s="1" t="s">
        <v>122</v>
      </c>
      <c r="SUS108" s="1" t="s">
        <v>122</v>
      </c>
      <c r="SUT108" s="1" t="s">
        <v>122</v>
      </c>
      <c r="SUU108" s="1" t="s">
        <v>122</v>
      </c>
      <c r="SUV108" s="1" t="s">
        <v>122</v>
      </c>
      <c r="SUW108" s="1" t="s">
        <v>122</v>
      </c>
      <c r="SUX108" s="1" t="s">
        <v>122</v>
      </c>
      <c r="SUY108" s="1" t="s">
        <v>122</v>
      </c>
      <c r="SUZ108" s="1" t="s">
        <v>122</v>
      </c>
      <c r="SVA108" s="1" t="s">
        <v>122</v>
      </c>
      <c r="SVB108" s="1" t="s">
        <v>122</v>
      </c>
      <c r="SVC108" s="1" t="s">
        <v>122</v>
      </c>
      <c r="SVD108" s="1" t="s">
        <v>122</v>
      </c>
      <c r="SVE108" s="1" t="s">
        <v>122</v>
      </c>
      <c r="SVF108" s="1" t="s">
        <v>122</v>
      </c>
      <c r="SVG108" s="1" t="s">
        <v>122</v>
      </c>
      <c r="SVH108" s="1" t="s">
        <v>122</v>
      </c>
      <c r="SVI108" s="1" t="s">
        <v>122</v>
      </c>
      <c r="SVJ108" s="1" t="s">
        <v>122</v>
      </c>
      <c r="SVK108" s="1" t="s">
        <v>122</v>
      </c>
      <c r="SVL108" s="1" t="s">
        <v>122</v>
      </c>
      <c r="SVM108" s="1" t="s">
        <v>122</v>
      </c>
      <c r="SVN108" s="1" t="s">
        <v>122</v>
      </c>
      <c r="SVO108" s="1" t="s">
        <v>122</v>
      </c>
      <c r="SVP108" s="1" t="s">
        <v>122</v>
      </c>
      <c r="SVQ108" s="1" t="s">
        <v>122</v>
      </c>
      <c r="SVR108" s="1" t="s">
        <v>122</v>
      </c>
      <c r="SVS108" s="1" t="s">
        <v>122</v>
      </c>
      <c r="SVT108" s="1" t="s">
        <v>122</v>
      </c>
      <c r="SVU108" s="1" t="s">
        <v>122</v>
      </c>
      <c r="SVV108" s="1" t="s">
        <v>122</v>
      </c>
      <c r="SVW108" s="1" t="s">
        <v>122</v>
      </c>
      <c r="SVX108" s="1" t="s">
        <v>122</v>
      </c>
      <c r="SVY108" s="1" t="s">
        <v>122</v>
      </c>
      <c r="SVZ108" s="1" t="s">
        <v>122</v>
      </c>
      <c r="SWA108" s="1" t="s">
        <v>122</v>
      </c>
      <c r="SWB108" s="1" t="s">
        <v>122</v>
      </c>
      <c r="SWC108" s="1" t="s">
        <v>122</v>
      </c>
      <c r="SWD108" s="1" t="s">
        <v>122</v>
      </c>
      <c r="SWE108" s="1" t="s">
        <v>122</v>
      </c>
      <c r="SWF108" s="1" t="s">
        <v>122</v>
      </c>
      <c r="SWG108" s="1" t="s">
        <v>122</v>
      </c>
      <c r="SWH108" s="1" t="s">
        <v>122</v>
      </c>
      <c r="SWI108" s="1" t="s">
        <v>122</v>
      </c>
      <c r="SWJ108" s="1" t="s">
        <v>122</v>
      </c>
      <c r="SWK108" s="1" t="s">
        <v>122</v>
      </c>
      <c r="SWL108" s="1" t="s">
        <v>122</v>
      </c>
      <c r="SWM108" s="1" t="s">
        <v>122</v>
      </c>
      <c r="SWN108" s="1" t="s">
        <v>122</v>
      </c>
      <c r="SWO108" s="1" t="s">
        <v>122</v>
      </c>
      <c r="SWP108" s="1" t="s">
        <v>122</v>
      </c>
      <c r="SWQ108" s="1" t="s">
        <v>122</v>
      </c>
      <c r="SWR108" s="1" t="s">
        <v>122</v>
      </c>
      <c r="SWS108" s="1" t="s">
        <v>122</v>
      </c>
      <c r="SWT108" s="1" t="s">
        <v>122</v>
      </c>
      <c r="SWU108" s="1" t="s">
        <v>122</v>
      </c>
      <c r="SWV108" s="1" t="s">
        <v>122</v>
      </c>
      <c r="SWW108" s="1" t="s">
        <v>122</v>
      </c>
      <c r="SWX108" s="1" t="s">
        <v>122</v>
      </c>
      <c r="SWY108" s="1" t="s">
        <v>122</v>
      </c>
      <c r="SWZ108" s="1" t="s">
        <v>122</v>
      </c>
      <c r="SXA108" s="1" t="s">
        <v>122</v>
      </c>
      <c r="SXB108" s="1" t="s">
        <v>122</v>
      </c>
      <c r="SXC108" s="1" t="s">
        <v>122</v>
      </c>
      <c r="SXD108" s="1" t="s">
        <v>122</v>
      </c>
      <c r="SXE108" s="1" t="s">
        <v>122</v>
      </c>
      <c r="SXF108" s="1" t="s">
        <v>122</v>
      </c>
      <c r="SXG108" s="1" t="s">
        <v>122</v>
      </c>
      <c r="SXH108" s="1" t="s">
        <v>122</v>
      </c>
      <c r="SXI108" s="1" t="s">
        <v>122</v>
      </c>
      <c r="SXJ108" s="1" t="s">
        <v>122</v>
      </c>
      <c r="SXK108" s="1" t="s">
        <v>122</v>
      </c>
      <c r="SXL108" s="1" t="s">
        <v>122</v>
      </c>
      <c r="SXM108" s="1" t="s">
        <v>122</v>
      </c>
      <c r="SXN108" s="1" t="s">
        <v>122</v>
      </c>
      <c r="SXO108" s="1" t="s">
        <v>122</v>
      </c>
      <c r="SXP108" s="1" t="s">
        <v>122</v>
      </c>
      <c r="SXQ108" s="1" t="s">
        <v>122</v>
      </c>
      <c r="SXR108" s="1" t="s">
        <v>122</v>
      </c>
      <c r="SXS108" s="1" t="s">
        <v>122</v>
      </c>
      <c r="SXT108" s="1" t="s">
        <v>122</v>
      </c>
      <c r="SXU108" s="1" t="s">
        <v>122</v>
      </c>
      <c r="SXV108" s="1" t="s">
        <v>122</v>
      </c>
      <c r="SXW108" s="1" t="s">
        <v>122</v>
      </c>
      <c r="SXX108" s="1" t="s">
        <v>122</v>
      </c>
      <c r="SXY108" s="1" t="s">
        <v>122</v>
      </c>
      <c r="SXZ108" s="1" t="s">
        <v>122</v>
      </c>
      <c r="SYA108" s="1" t="s">
        <v>122</v>
      </c>
      <c r="SYB108" s="1" t="s">
        <v>122</v>
      </c>
      <c r="SYC108" s="1" t="s">
        <v>122</v>
      </c>
      <c r="SYD108" s="1" t="s">
        <v>122</v>
      </c>
      <c r="SYE108" s="1" t="s">
        <v>122</v>
      </c>
      <c r="SYF108" s="1" t="s">
        <v>122</v>
      </c>
      <c r="SYG108" s="1" t="s">
        <v>122</v>
      </c>
      <c r="SYH108" s="1" t="s">
        <v>122</v>
      </c>
      <c r="SYI108" s="1" t="s">
        <v>122</v>
      </c>
      <c r="SYJ108" s="1" t="s">
        <v>122</v>
      </c>
      <c r="SYK108" s="1" t="s">
        <v>122</v>
      </c>
      <c r="SYL108" s="1" t="s">
        <v>122</v>
      </c>
      <c r="SYM108" s="1" t="s">
        <v>122</v>
      </c>
      <c r="SYN108" s="1" t="s">
        <v>122</v>
      </c>
      <c r="SYO108" s="1" t="s">
        <v>122</v>
      </c>
      <c r="SYP108" s="1" t="s">
        <v>122</v>
      </c>
      <c r="SYQ108" s="1" t="s">
        <v>122</v>
      </c>
      <c r="SYR108" s="1" t="s">
        <v>122</v>
      </c>
      <c r="SYS108" s="1" t="s">
        <v>122</v>
      </c>
      <c r="SYT108" s="1" t="s">
        <v>122</v>
      </c>
      <c r="SYU108" s="1" t="s">
        <v>122</v>
      </c>
      <c r="SYV108" s="1" t="s">
        <v>122</v>
      </c>
      <c r="SYW108" s="1" t="s">
        <v>122</v>
      </c>
      <c r="SYX108" s="1" t="s">
        <v>122</v>
      </c>
      <c r="SYY108" s="1" t="s">
        <v>122</v>
      </c>
      <c r="SYZ108" s="1" t="s">
        <v>122</v>
      </c>
      <c r="SZA108" s="1" t="s">
        <v>122</v>
      </c>
      <c r="SZB108" s="1" t="s">
        <v>122</v>
      </c>
      <c r="SZC108" s="1" t="s">
        <v>122</v>
      </c>
      <c r="SZD108" s="1" t="s">
        <v>122</v>
      </c>
      <c r="SZE108" s="1" t="s">
        <v>122</v>
      </c>
      <c r="SZF108" s="1" t="s">
        <v>122</v>
      </c>
      <c r="SZG108" s="1" t="s">
        <v>122</v>
      </c>
      <c r="SZH108" s="1" t="s">
        <v>122</v>
      </c>
      <c r="SZI108" s="1" t="s">
        <v>122</v>
      </c>
      <c r="SZJ108" s="1" t="s">
        <v>122</v>
      </c>
      <c r="SZK108" s="1" t="s">
        <v>122</v>
      </c>
      <c r="SZL108" s="1" t="s">
        <v>122</v>
      </c>
      <c r="SZM108" s="1" t="s">
        <v>122</v>
      </c>
      <c r="SZN108" s="1" t="s">
        <v>122</v>
      </c>
      <c r="SZO108" s="1" t="s">
        <v>122</v>
      </c>
      <c r="SZP108" s="1" t="s">
        <v>122</v>
      </c>
      <c r="SZQ108" s="1" t="s">
        <v>122</v>
      </c>
      <c r="SZR108" s="1" t="s">
        <v>122</v>
      </c>
      <c r="SZS108" s="1" t="s">
        <v>122</v>
      </c>
      <c r="SZT108" s="1" t="s">
        <v>122</v>
      </c>
      <c r="SZU108" s="1" t="s">
        <v>122</v>
      </c>
      <c r="SZV108" s="1" t="s">
        <v>122</v>
      </c>
      <c r="SZW108" s="1" t="s">
        <v>122</v>
      </c>
      <c r="SZX108" s="1" t="s">
        <v>122</v>
      </c>
      <c r="SZY108" s="1" t="s">
        <v>122</v>
      </c>
      <c r="SZZ108" s="1" t="s">
        <v>122</v>
      </c>
      <c r="TAA108" s="1" t="s">
        <v>122</v>
      </c>
      <c r="TAB108" s="1" t="s">
        <v>122</v>
      </c>
      <c r="TAC108" s="1" t="s">
        <v>122</v>
      </c>
      <c r="TAD108" s="1" t="s">
        <v>122</v>
      </c>
      <c r="TAE108" s="1" t="s">
        <v>122</v>
      </c>
      <c r="TAF108" s="1" t="s">
        <v>122</v>
      </c>
      <c r="TAG108" s="1" t="s">
        <v>122</v>
      </c>
      <c r="TAH108" s="1" t="s">
        <v>122</v>
      </c>
      <c r="TAI108" s="1" t="s">
        <v>122</v>
      </c>
      <c r="TAJ108" s="1" t="s">
        <v>122</v>
      </c>
      <c r="TAK108" s="1" t="s">
        <v>122</v>
      </c>
      <c r="TAL108" s="1" t="s">
        <v>122</v>
      </c>
      <c r="TAM108" s="1" t="s">
        <v>122</v>
      </c>
      <c r="TAN108" s="1" t="s">
        <v>122</v>
      </c>
      <c r="TAO108" s="1" t="s">
        <v>122</v>
      </c>
      <c r="TAP108" s="1" t="s">
        <v>122</v>
      </c>
      <c r="TAQ108" s="1" t="s">
        <v>122</v>
      </c>
      <c r="TAR108" s="1" t="s">
        <v>122</v>
      </c>
      <c r="TAS108" s="1" t="s">
        <v>122</v>
      </c>
      <c r="TAT108" s="1" t="s">
        <v>122</v>
      </c>
      <c r="TAU108" s="1" t="s">
        <v>122</v>
      </c>
      <c r="TAV108" s="1" t="s">
        <v>122</v>
      </c>
      <c r="TAW108" s="1" t="s">
        <v>122</v>
      </c>
      <c r="TAX108" s="1" t="s">
        <v>122</v>
      </c>
      <c r="TAY108" s="1" t="s">
        <v>122</v>
      </c>
      <c r="TAZ108" s="1" t="s">
        <v>122</v>
      </c>
      <c r="TBA108" s="1" t="s">
        <v>122</v>
      </c>
      <c r="TBB108" s="1" t="s">
        <v>122</v>
      </c>
      <c r="TBC108" s="1" t="s">
        <v>122</v>
      </c>
      <c r="TBD108" s="1" t="s">
        <v>122</v>
      </c>
      <c r="TBE108" s="1" t="s">
        <v>122</v>
      </c>
      <c r="TBF108" s="1" t="s">
        <v>122</v>
      </c>
      <c r="TBG108" s="1" t="s">
        <v>122</v>
      </c>
      <c r="TBH108" s="1" t="s">
        <v>122</v>
      </c>
      <c r="TBI108" s="1" t="s">
        <v>122</v>
      </c>
      <c r="TBJ108" s="1" t="s">
        <v>122</v>
      </c>
      <c r="TBK108" s="1" t="s">
        <v>122</v>
      </c>
      <c r="TBL108" s="1" t="s">
        <v>122</v>
      </c>
      <c r="TBM108" s="1" t="s">
        <v>122</v>
      </c>
      <c r="TBN108" s="1" t="s">
        <v>122</v>
      </c>
      <c r="TBO108" s="1" t="s">
        <v>122</v>
      </c>
      <c r="TBP108" s="1" t="s">
        <v>122</v>
      </c>
      <c r="TBQ108" s="1" t="s">
        <v>122</v>
      </c>
      <c r="TBR108" s="1" t="s">
        <v>122</v>
      </c>
      <c r="TBS108" s="1" t="s">
        <v>122</v>
      </c>
      <c r="TBT108" s="1" t="s">
        <v>122</v>
      </c>
      <c r="TBU108" s="1" t="s">
        <v>122</v>
      </c>
      <c r="TBV108" s="1" t="s">
        <v>122</v>
      </c>
      <c r="TBW108" s="1" t="s">
        <v>122</v>
      </c>
      <c r="TBX108" s="1" t="s">
        <v>122</v>
      </c>
      <c r="TBY108" s="1" t="s">
        <v>122</v>
      </c>
      <c r="TBZ108" s="1" t="s">
        <v>122</v>
      </c>
      <c r="TCA108" s="1" t="s">
        <v>122</v>
      </c>
      <c r="TCB108" s="1" t="s">
        <v>122</v>
      </c>
      <c r="TCC108" s="1" t="s">
        <v>122</v>
      </c>
      <c r="TCD108" s="1" t="s">
        <v>122</v>
      </c>
      <c r="TCE108" s="1" t="s">
        <v>122</v>
      </c>
      <c r="TCF108" s="1" t="s">
        <v>122</v>
      </c>
      <c r="TCG108" s="1" t="s">
        <v>122</v>
      </c>
      <c r="TCH108" s="1" t="s">
        <v>122</v>
      </c>
      <c r="TCI108" s="1" t="s">
        <v>122</v>
      </c>
      <c r="TCJ108" s="1" t="s">
        <v>122</v>
      </c>
      <c r="TCK108" s="1" t="s">
        <v>122</v>
      </c>
      <c r="TCL108" s="1" t="s">
        <v>122</v>
      </c>
      <c r="TCM108" s="1" t="s">
        <v>122</v>
      </c>
      <c r="TCN108" s="1" t="s">
        <v>122</v>
      </c>
      <c r="TCO108" s="1" t="s">
        <v>122</v>
      </c>
      <c r="TCP108" s="1" t="s">
        <v>122</v>
      </c>
      <c r="TCQ108" s="1" t="s">
        <v>122</v>
      </c>
      <c r="TCR108" s="1" t="s">
        <v>122</v>
      </c>
      <c r="TCS108" s="1" t="s">
        <v>122</v>
      </c>
      <c r="TCT108" s="1" t="s">
        <v>122</v>
      </c>
      <c r="TCU108" s="1" t="s">
        <v>122</v>
      </c>
      <c r="TCV108" s="1" t="s">
        <v>122</v>
      </c>
      <c r="TCW108" s="1" t="s">
        <v>122</v>
      </c>
      <c r="TCX108" s="1" t="s">
        <v>122</v>
      </c>
      <c r="TCY108" s="1" t="s">
        <v>122</v>
      </c>
      <c r="TCZ108" s="1" t="s">
        <v>122</v>
      </c>
      <c r="TDA108" s="1" t="s">
        <v>122</v>
      </c>
      <c r="TDB108" s="1" t="s">
        <v>122</v>
      </c>
      <c r="TDC108" s="1" t="s">
        <v>122</v>
      </c>
      <c r="TDD108" s="1" t="s">
        <v>122</v>
      </c>
      <c r="TDE108" s="1" t="s">
        <v>122</v>
      </c>
      <c r="TDF108" s="1" t="s">
        <v>122</v>
      </c>
      <c r="TDG108" s="1" t="s">
        <v>122</v>
      </c>
      <c r="TDH108" s="1" t="s">
        <v>122</v>
      </c>
      <c r="TDI108" s="1" t="s">
        <v>122</v>
      </c>
      <c r="TDJ108" s="1" t="s">
        <v>122</v>
      </c>
      <c r="TDK108" s="1" t="s">
        <v>122</v>
      </c>
      <c r="TDL108" s="1" t="s">
        <v>122</v>
      </c>
      <c r="TDM108" s="1" t="s">
        <v>122</v>
      </c>
      <c r="TDN108" s="1" t="s">
        <v>122</v>
      </c>
      <c r="TDO108" s="1" t="s">
        <v>122</v>
      </c>
      <c r="TDP108" s="1" t="s">
        <v>122</v>
      </c>
      <c r="TDQ108" s="1" t="s">
        <v>122</v>
      </c>
      <c r="TDR108" s="1" t="s">
        <v>122</v>
      </c>
      <c r="TDS108" s="1" t="s">
        <v>122</v>
      </c>
      <c r="TDT108" s="1" t="s">
        <v>122</v>
      </c>
      <c r="TDU108" s="1" t="s">
        <v>122</v>
      </c>
      <c r="TDV108" s="1" t="s">
        <v>122</v>
      </c>
      <c r="TDW108" s="1" t="s">
        <v>122</v>
      </c>
      <c r="TDX108" s="1" t="s">
        <v>122</v>
      </c>
      <c r="TDY108" s="1" t="s">
        <v>122</v>
      </c>
      <c r="TDZ108" s="1" t="s">
        <v>122</v>
      </c>
      <c r="TEA108" s="1" t="s">
        <v>122</v>
      </c>
      <c r="TEB108" s="1" t="s">
        <v>122</v>
      </c>
      <c r="TEC108" s="1" t="s">
        <v>122</v>
      </c>
      <c r="TED108" s="1" t="s">
        <v>122</v>
      </c>
      <c r="TEE108" s="1" t="s">
        <v>122</v>
      </c>
      <c r="TEF108" s="1" t="s">
        <v>122</v>
      </c>
      <c r="TEG108" s="1" t="s">
        <v>122</v>
      </c>
      <c r="TEH108" s="1" t="s">
        <v>122</v>
      </c>
      <c r="TEI108" s="1" t="s">
        <v>122</v>
      </c>
      <c r="TEJ108" s="1" t="s">
        <v>122</v>
      </c>
      <c r="TEK108" s="1" t="s">
        <v>122</v>
      </c>
      <c r="TEL108" s="1" t="s">
        <v>122</v>
      </c>
      <c r="TEM108" s="1" t="s">
        <v>122</v>
      </c>
      <c r="TEN108" s="1" t="s">
        <v>122</v>
      </c>
      <c r="TEO108" s="1" t="s">
        <v>122</v>
      </c>
      <c r="TEP108" s="1" t="s">
        <v>122</v>
      </c>
      <c r="TEQ108" s="1" t="s">
        <v>122</v>
      </c>
      <c r="TER108" s="1" t="s">
        <v>122</v>
      </c>
      <c r="TES108" s="1" t="s">
        <v>122</v>
      </c>
      <c r="TET108" s="1" t="s">
        <v>122</v>
      </c>
      <c r="TEU108" s="1" t="s">
        <v>122</v>
      </c>
      <c r="TEV108" s="1" t="s">
        <v>122</v>
      </c>
      <c r="TEW108" s="1" t="s">
        <v>122</v>
      </c>
      <c r="TEX108" s="1" t="s">
        <v>122</v>
      </c>
      <c r="TEY108" s="1" t="s">
        <v>122</v>
      </c>
      <c r="TEZ108" s="1" t="s">
        <v>122</v>
      </c>
      <c r="TFA108" s="1" t="s">
        <v>122</v>
      </c>
      <c r="TFB108" s="1" t="s">
        <v>122</v>
      </c>
      <c r="TFC108" s="1" t="s">
        <v>122</v>
      </c>
      <c r="TFD108" s="1" t="s">
        <v>122</v>
      </c>
      <c r="TFE108" s="1" t="s">
        <v>122</v>
      </c>
      <c r="TFF108" s="1" t="s">
        <v>122</v>
      </c>
      <c r="TFG108" s="1" t="s">
        <v>122</v>
      </c>
      <c r="TFH108" s="1" t="s">
        <v>122</v>
      </c>
      <c r="TFI108" s="1" t="s">
        <v>122</v>
      </c>
      <c r="TFJ108" s="1" t="s">
        <v>122</v>
      </c>
      <c r="TFK108" s="1" t="s">
        <v>122</v>
      </c>
      <c r="TFL108" s="1" t="s">
        <v>122</v>
      </c>
      <c r="TFM108" s="1" t="s">
        <v>122</v>
      </c>
      <c r="TFN108" s="1" t="s">
        <v>122</v>
      </c>
      <c r="TFO108" s="1" t="s">
        <v>122</v>
      </c>
      <c r="TFP108" s="1" t="s">
        <v>122</v>
      </c>
      <c r="TFQ108" s="1" t="s">
        <v>122</v>
      </c>
      <c r="TFR108" s="1" t="s">
        <v>122</v>
      </c>
      <c r="TFS108" s="1" t="s">
        <v>122</v>
      </c>
      <c r="TFT108" s="1" t="s">
        <v>122</v>
      </c>
      <c r="TFU108" s="1" t="s">
        <v>122</v>
      </c>
      <c r="TFV108" s="1" t="s">
        <v>122</v>
      </c>
      <c r="TFW108" s="1" t="s">
        <v>122</v>
      </c>
      <c r="TFX108" s="1" t="s">
        <v>122</v>
      </c>
      <c r="TFY108" s="1" t="s">
        <v>122</v>
      </c>
      <c r="TFZ108" s="1" t="s">
        <v>122</v>
      </c>
      <c r="TGA108" s="1" t="s">
        <v>122</v>
      </c>
      <c r="TGB108" s="1" t="s">
        <v>122</v>
      </c>
      <c r="TGC108" s="1" t="s">
        <v>122</v>
      </c>
      <c r="TGD108" s="1" t="s">
        <v>122</v>
      </c>
      <c r="TGE108" s="1" t="s">
        <v>122</v>
      </c>
      <c r="TGF108" s="1" t="s">
        <v>122</v>
      </c>
      <c r="TGG108" s="1" t="s">
        <v>122</v>
      </c>
      <c r="TGH108" s="1" t="s">
        <v>122</v>
      </c>
      <c r="TGI108" s="1" t="s">
        <v>122</v>
      </c>
      <c r="TGJ108" s="1" t="s">
        <v>122</v>
      </c>
      <c r="TGK108" s="1" t="s">
        <v>122</v>
      </c>
      <c r="TGL108" s="1" t="s">
        <v>122</v>
      </c>
      <c r="TGM108" s="1" t="s">
        <v>122</v>
      </c>
      <c r="TGN108" s="1" t="s">
        <v>122</v>
      </c>
      <c r="TGO108" s="1" t="s">
        <v>122</v>
      </c>
      <c r="TGP108" s="1" t="s">
        <v>122</v>
      </c>
      <c r="TGQ108" s="1" t="s">
        <v>122</v>
      </c>
      <c r="TGR108" s="1" t="s">
        <v>122</v>
      </c>
      <c r="TGS108" s="1" t="s">
        <v>122</v>
      </c>
      <c r="TGT108" s="1" t="s">
        <v>122</v>
      </c>
      <c r="TGU108" s="1" t="s">
        <v>122</v>
      </c>
      <c r="TGV108" s="1" t="s">
        <v>122</v>
      </c>
      <c r="TGW108" s="1" t="s">
        <v>122</v>
      </c>
      <c r="TGX108" s="1" t="s">
        <v>122</v>
      </c>
      <c r="TGY108" s="1" t="s">
        <v>122</v>
      </c>
      <c r="TGZ108" s="1" t="s">
        <v>122</v>
      </c>
      <c r="THA108" s="1" t="s">
        <v>122</v>
      </c>
      <c r="THB108" s="1" t="s">
        <v>122</v>
      </c>
      <c r="THC108" s="1" t="s">
        <v>122</v>
      </c>
      <c r="THD108" s="1" t="s">
        <v>122</v>
      </c>
      <c r="THE108" s="1" t="s">
        <v>122</v>
      </c>
      <c r="THF108" s="1" t="s">
        <v>122</v>
      </c>
      <c r="THG108" s="1" t="s">
        <v>122</v>
      </c>
      <c r="THH108" s="1" t="s">
        <v>122</v>
      </c>
      <c r="THI108" s="1" t="s">
        <v>122</v>
      </c>
      <c r="THJ108" s="1" t="s">
        <v>122</v>
      </c>
      <c r="THK108" s="1" t="s">
        <v>122</v>
      </c>
      <c r="THL108" s="1" t="s">
        <v>122</v>
      </c>
      <c r="THM108" s="1" t="s">
        <v>122</v>
      </c>
      <c r="THN108" s="1" t="s">
        <v>122</v>
      </c>
      <c r="THO108" s="1" t="s">
        <v>122</v>
      </c>
      <c r="THP108" s="1" t="s">
        <v>122</v>
      </c>
      <c r="THQ108" s="1" t="s">
        <v>122</v>
      </c>
      <c r="THR108" s="1" t="s">
        <v>122</v>
      </c>
      <c r="THS108" s="1" t="s">
        <v>122</v>
      </c>
      <c r="THT108" s="1" t="s">
        <v>122</v>
      </c>
      <c r="THU108" s="1" t="s">
        <v>122</v>
      </c>
      <c r="THV108" s="1" t="s">
        <v>122</v>
      </c>
      <c r="THW108" s="1" t="s">
        <v>122</v>
      </c>
      <c r="THX108" s="1" t="s">
        <v>122</v>
      </c>
      <c r="THY108" s="1" t="s">
        <v>122</v>
      </c>
      <c r="THZ108" s="1" t="s">
        <v>122</v>
      </c>
      <c r="TIA108" s="1" t="s">
        <v>122</v>
      </c>
      <c r="TIB108" s="1" t="s">
        <v>122</v>
      </c>
      <c r="TIC108" s="1" t="s">
        <v>122</v>
      </c>
      <c r="TID108" s="1" t="s">
        <v>122</v>
      </c>
      <c r="TIE108" s="1" t="s">
        <v>122</v>
      </c>
      <c r="TIF108" s="1" t="s">
        <v>122</v>
      </c>
      <c r="TIG108" s="1" t="s">
        <v>122</v>
      </c>
      <c r="TIH108" s="1" t="s">
        <v>122</v>
      </c>
      <c r="TII108" s="1" t="s">
        <v>122</v>
      </c>
      <c r="TIJ108" s="1" t="s">
        <v>122</v>
      </c>
      <c r="TIK108" s="1" t="s">
        <v>122</v>
      </c>
      <c r="TIL108" s="1" t="s">
        <v>122</v>
      </c>
      <c r="TIM108" s="1" t="s">
        <v>122</v>
      </c>
      <c r="TIN108" s="1" t="s">
        <v>122</v>
      </c>
      <c r="TIO108" s="1" t="s">
        <v>122</v>
      </c>
      <c r="TIP108" s="1" t="s">
        <v>122</v>
      </c>
      <c r="TIQ108" s="1" t="s">
        <v>122</v>
      </c>
      <c r="TIR108" s="1" t="s">
        <v>122</v>
      </c>
      <c r="TIS108" s="1" t="s">
        <v>122</v>
      </c>
      <c r="TIT108" s="1" t="s">
        <v>122</v>
      </c>
      <c r="TIU108" s="1" t="s">
        <v>122</v>
      </c>
      <c r="TIV108" s="1" t="s">
        <v>122</v>
      </c>
      <c r="TIW108" s="1" t="s">
        <v>122</v>
      </c>
      <c r="TIX108" s="1" t="s">
        <v>122</v>
      </c>
      <c r="TIY108" s="1" t="s">
        <v>122</v>
      </c>
      <c r="TIZ108" s="1" t="s">
        <v>122</v>
      </c>
      <c r="TJA108" s="1" t="s">
        <v>122</v>
      </c>
      <c r="TJB108" s="1" t="s">
        <v>122</v>
      </c>
      <c r="TJC108" s="1" t="s">
        <v>122</v>
      </c>
      <c r="TJD108" s="1" t="s">
        <v>122</v>
      </c>
      <c r="TJE108" s="1" t="s">
        <v>122</v>
      </c>
      <c r="TJF108" s="1" t="s">
        <v>122</v>
      </c>
      <c r="TJG108" s="1" t="s">
        <v>122</v>
      </c>
      <c r="TJH108" s="1" t="s">
        <v>122</v>
      </c>
      <c r="TJI108" s="1" t="s">
        <v>122</v>
      </c>
      <c r="TJJ108" s="1" t="s">
        <v>122</v>
      </c>
      <c r="TJK108" s="1" t="s">
        <v>122</v>
      </c>
      <c r="TJL108" s="1" t="s">
        <v>122</v>
      </c>
      <c r="TJM108" s="1" t="s">
        <v>122</v>
      </c>
      <c r="TJN108" s="1" t="s">
        <v>122</v>
      </c>
      <c r="TJO108" s="1" t="s">
        <v>122</v>
      </c>
      <c r="TJP108" s="1" t="s">
        <v>122</v>
      </c>
      <c r="TJQ108" s="1" t="s">
        <v>122</v>
      </c>
      <c r="TJR108" s="1" t="s">
        <v>122</v>
      </c>
      <c r="TJS108" s="1" t="s">
        <v>122</v>
      </c>
      <c r="TJT108" s="1" t="s">
        <v>122</v>
      </c>
      <c r="TJU108" s="1" t="s">
        <v>122</v>
      </c>
      <c r="TJV108" s="1" t="s">
        <v>122</v>
      </c>
      <c r="TJW108" s="1" t="s">
        <v>122</v>
      </c>
      <c r="TJX108" s="1" t="s">
        <v>122</v>
      </c>
      <c r="TJY108" s="1" t="s">
        <v>122</v>
      </c>
      <c r="TJZ108" s="1" t="s">
        <v>122</v>
      </c>
      <c r="TKA108" s="1" t="s">
        <v>122</v>
      </c>
      <c r="TKB108" s="1" t="s">
        <v>122</v>
      </c>
      <c r="TKC108" s="1" t="s">
        <v>122</v>
      </c>
      <c r="TKD108" s="1" t="s">
        <v>122</v>
      </c>
      <c r="TKE108" s="1" t="s">
        <v>122</v>
      </c>
      <c r="TKF108" s="1" t="s">
        <v>122</v>
      </c>
      <c r="TKG108" s="1" t="s">
        <v>122</v>
      </c>
      <c r="TKH108" s="1" t="s">
        <v>122</v>
      </c>
      <c r="TKI108" s="1" t="s">
        <v>122</v>
      </c>
      <c r="TKJ108" s="1" t="s">
        <v>122</v>
      </c>
      <c r="TKK108" s="1" t="s">
        <v>122</v>
      </c>
      <c r="TKL108" s="1" t="s">
        <v>122</v>
      </c>
      <c r="TKM108" s="1" t="s">
        <v>122</v>
      </c>
      <c r="TKN108" s="1" t="s">
        <v>122</v>
      </c>
      <c r="TKO108" s="1" t="s">
        <v>122</v>
      </c>
      <c r="TKP108" s="1" t="s">
        <v>122</v>
      </c>
      <c r="TKQ108" s="1" t="s">
        <v>122</v>
      </c>
      <c r="TKR108" s="1" t="s">
        <v>122</v>
      </c>
      <c r="TKS108" s="1" t="s">
        <v>122</v>
      </c>
      <c r="TKT108" s="1" t="s">
        <v>122</v>
      </c>
      <c r="TKU108" s="1" t="s">
        <v>122</v>
      </c>
      <c r="TKV108" s="1" t="s">
        <v>122</v>
      </c>
      <c r="TKW108" s="1" t="s">
        <v>122</v>
      </c>
      <c r="TKX108" s="1" t="s">
        <v>122</v>
      </c>
      <c r="TKY108" s="1" t="s">
        <v>122</v>
      </c>
      <c r="TKZ108" s="1" t="s">
        <v>122</v>
      </c>
      <c r="TLA108" s="1" t="s">
        <v>122</v>
      </c>
      <c r="TLB108" s="1" t="s">
        <v>122</v>
      </c>
      <c r="TLC108" s="1" t="s">
        <v>122</v>
      </c>
      <c r="TLD108" s="1" t="s">
        <v>122</v>
      </c>
      <c r="TLE108" s="1" t="s">
        <v>122</v>
      </c>
      <c r="TLF108" s="1" t="s">
        <v>122</v>
      </c>
      <c r="TLG108" s="1" t="s">
        <v>122</v>
      </c>
      <c r="TLH108" s="1" t="s">
        <v>122</v>
      </c>
      <c r="TLI108" s="1" t="s">
        <v>122</v>
      </c>
      <c r="TLJ108" s="1" t="s">
        <v>122</v>
      </c>
      <c r="TLK108" s="1" t="s">
        <v>122</v>
      </c>
      <c r="TLL108" s="1" t="s">
        <v>122</v>
      </c>
      <c r="TLM108" s="1" t="s">
        <v>122</v>
      </c>
      <c r="TLN108" s="1" t="s">
        <v>122</v>
      </c>
      <c r="TLO108" s="1" t="s">
        <v>122</v>
      </c>
      <c r="TLP108" s="1" t="s">
        <v>122</v>
      </c>
      <c r="TLQ108" s="1" t="s">
        <v>122</v>
      </c>
      <c r="TLR108" s="1" t="s">
        <v>122</v>
      </c>
      <c r="TLS108" s="1" t="s">
        <v>122</v>
      </c>
      <c r="TLT108" s="1" t="s">
        <v>122</v>
      </c>
      <c r="TLU108" s="1" t="s">
        <v>122</v>
      </c>
      <c r="TLV108" s="1" t="s">
        <v>122</v>
      </c>
      <c r="TLW108" s="1" t="s">
        <v>122</v>
      </c>
      <c r="TLX108" s="1" t="s">
        <v>122</v>
      </c>
      <c r="TLY108" s="1" t="s">
        <v>122</v>
      </c>
      <c r="TLZ108" s="1" t="s">
        <v>122</v>
      </c>
      <c r="TMA108" s="1" t="s">
        <v>122</v>
      </c>
      <c r="TMB108" s="1" t="s">
        <v>122</v>
      </c>
      <c r="TMC108" s="1" t="s">
        <v>122</v>
      </c>
      <c r="TMD108" s="1" t="s">
        <v>122</v>
      </c>
      <c r="TME108" s="1" t="s">
        <v>122</v>
      </c>
      <c r="TMF108" s="1" t="s">
        <v>122</v>
      </c>
      <c r="TMG108" s="1" t="s">
        <v>122</v>
      </c>
      <c r="TMH108" s="1" t="s">
        <v>122</v>
      </c>
      <c r="TMI108" s="1" t="s">
        <v>122</v>
      </c>
      <c r="TMJ108" s="1" t="s">
        <v>122</v>
      </c>
      <c r="TMK108" s="1" t="s">
        <v>122</v>
      </c>
      <c r="TML108" s="1" t="s">
        <v>122</v>
      </c>
      <c r="TMM108" s="1" t="s">
        <v>122</v>
      </c>
      <c r="TMN108" s="1" t="s">
        <v>122</v>
      </c>
      <c r="TMO108" s="1" t="s">
        <v>122</v>
      </c>
      <c r="TMP108" s="1" t="s">
        <v>122</v>
      </c>
      <c r="TMQ108" s="1" t="s">
        <v>122</v>
      </c>
      <c r="TMR108" s="1" t="s">
        <v>122</v>
      </c>
      <c r="TMS108" s="1" t="s">
        <v>122</v>
      </c>
      <c r="TMT108" s="1" t="s">
        <v>122</v>
      </c>
      <c r="TMU108" s="1" t="s">
        <v>122</v>
      </c>
      <c r="TMV108" s="1" t="s">
        <v>122</v>
      </c>
      <c r="TMW108" s="1" t="s">
        <v>122</v>
      </c>
      <c r="TMX108" s="1" t="s">
        <v>122</v>
      </c>
      <c r="TMY108" s="1" t="s">
        <v>122</v>
      </c>
      <c r="TMZ108" s="1" t="s">
        <v>122</v>
      </c>
      <c r="TNA108" s="1" t="s">
        <v>122</v>
      </c>
      <c r="TNB108" s="1" t="s">
        <v>122</v>
      </c>
      <c r="TNC108" s="1" t="s">
        <v>122</v>
      </c>
      <c r="TND108" s="1" t="s">
        <v>122</v>
      </c>
      <c r="TNE108" s="1" t="s">
        <v>122</v>
      </c>
      <c r="TNF108" s="1" t="s">
        <v>122</v>
      </c>
      <c r="TNG108" s="1" t="s">
        <v>122</v>
      </c>
      <c r="TNH108" s="1" t="s">
        <v>122</v>
      </c>
      <c r="TNI108" s="1" t="s">
        <v>122</v>
      </c>
      <c r="TNJ108" s="1" t="s">
        <v>122</v>
      </c>
      <c r="TNK108" s="1" t="s">
        <v>122</v>
      </c>
      <c r="TNL108" s="1" t="s">
        <v>122</v>
      </c>
      <c r="TNM108" s="1" t="s">
        <v>122</v>
      </c>
      <c r="TNN108" s="1" t="s">
        <v>122</v>
      </c>
      <c r="TNO108" s="1" t="s">
        <v>122</v>
      </c>
      <c r="TNP108" s="1" t="s">
        <v>122</v>
      </c>
      <c r="TNQ108" s="1" t="s">
        <v>122</v>
      </c>
      <c r="TNR108" s="1" t="s">
        <v>122</v>
      </c>
      <c r="TNS108" s="1" t="s">
        <v>122</v>
      </c>
      <c r="TNT108" s="1" t="s">
        <v>122</v>
      </c>
      <c r="TNU108" s="1" t="s">
        <v>122</v>
      </c>
      <c r="TNV108" s="1" t="s">
        <v>122</v>
      </c>
      <c r="TNW108" s="1" t="s">
        <v>122</v>
      </c>
      <c r="TNX108" s="1" t="s">
        <v>122</v>
      </c>
      <c r="TNY108" s="1" t="s">
        <v>122</v>
      </c>
      <c r="TNZ108" s="1" t="s">
        <v>122</v>
      </c>
      <c r="TOA108" s="1" t="s">
        <v>122</v>
      </c>
      <c r="TOB108" s="1" t="s">
        <v>122</v>
      </c>
      <c r="TOC108" s="1" t="s">
        <v>122</v>
      </c>
      <c r="TOD108" s="1" t="s">
        <v>122</v>
      </c>
      <c r="TOE108" s="1" t="s">
        <v>122</v>
      </c>
      <c r="TOF108" s="1" t="s">
        <v>122</v>
      </c>
      <c r="TOG108" s="1" t="s">
        <v>122</v>
      </c>
      <c r="TOH108" s="1" t="s">
        <v>122</v>
      </c>
      <c r="TOI108" s="1" t="s">
        <v>122</v>
      </c>
      <c r="TOJ108" s="1" t="s">
        <v>122</v>
      </c>
      <c r="TOK108" s="1" t="s">
        <v>122</v>
      </c>
      <c r="TOL108" s="1" t="s">
        <v>122</v>
      </c>
      <c r="TOM108" s="1" t="s">
        <v>122</v>
      </c>
      <c r="TON108" s="1" t="s">
        <v>122</v>
      </c>
      <c r="TOO108" s="1" t="s">
        <v>122</v>
      </c>
      <c r="TOP108" s="1" t="s">
        <v>122</v>
      </c>
      <c r="TOQ108" s="1" t="s">
        <v>122</v>
      </c>
      <c r="TOR108" s="1" t="s">
        <v>122</v>
      </c>
      <c r="TOS108" s="1" t="s">
        <v>122</v>
      </c>
      <c r="TOT108" s="1" t="s">
        <v>122</v>
      </c>
      <c r="TOU108" s="1" t="s">
        <v>122</v>
      </c>
      <c r="TOV108" s="1" t="s">
        <v>122</v>
      </c>
      <c r="TOW108" s="1" t="s">
        <v>122</v>
      </c>
      <c r="TOX108" s="1" t="s">
        <v>122</v>
      </c>
      <c r="TOY108" s="1" t="s">
        <v>122</v>
      </c>
      <c r="TOZ108" s="1" t="s">
        <v>122</v>
      </c>
      <c r="TPA108" s="1" t="s">
        <v>122</v>
      </c>
      <c r="TPB108" s="1" t="s">
        <v>122</v>
      </c>
      <c r="TPC108" s="1" t="s">
        <v>122</v>
      </c>
      <c r="TPD108" s="1" t="s">
        <v>122</v>
      </c>
      <c r="TPE108" s="1" t="s">
        <v>122</v>
      </c>
      <c r="TPF108" s="1" t="s">
        <v>122</v>
      </c>
      <c r="TPG108" s="1" t="s">
        <v>122</v>
      </c>
      <c r="TPH108" s="1" t="s">
        <v>122</v>
      </c>
      <c r="TPI108" s="1" t="s">
        <v>122</v>
      </c>
      <c r="TPJ108" s="1" t="s">
        <v>122</v>
      </c>
      <c r="TPK108" s="1" t="s">
        <v>122</v>
      </c>
      <c r="TPL108" s="1" t="s">
        <v>122</v>
      </c>
      <c r="TPM108" s="1" t="s">
        <v>122</v>
      </c>
      <c r="TPN108" s="1" t="s">
        <v>122</v>
      </c>
      <c r="TPO108" s="1" t="s">
        <v>122</v>
      </c>
      <c r="TPP108" s="1" t="s">
        <v>122</v>
      </c>
      <c r="TPQ108" s="1" t="s">
        <v>122</v>
      </c>
      <c r="TPR108" s="1" t="s">
        <v>122</v>
      </c>
      <c r="TPS108" s="1" t="s">
        <v>122</v>
      </c>
      <c r="TPT108" s="1" t="s">
        <v>122</v>
      </c>
      <c r="TPU108" s="1" t="s">
        <v>122</v>
      </c>
      <c r="TPV108" s="1" t="s">
        <v>122</v>
      </c>
      <c r="TPW108" s="1" t="s">
        <v>122</v>
      </c>
      <c r="TPX108" s="1" t="s">
        <v>122</v>
      </c>
      <c r="TPY108" s="1" t="s">
        <v>122</v>
      </c>
      <c r="TPZ108" s="1" t="s">
        <v>122</v>
      </c>
      <c r="TQA108" s="1" t="s">
        <v>122</v>
      </c>
      <c r="TQB108" s="1" t="s">
        <v>122</v>
      </c>
      <c r="TQC108" s="1" t="s">
        <v>122</v>
      </c>
      <c r="TQD108" s="1" t="s">
        <v>122</v>
      </c>
      <c r="TQE108" s="1" t="s">
        <v>122</v>
      </c>
      <c r="TQF108" s="1" t="s">
        <v>122</v>
      </c>
      <c r="TQG108" s="1" t="s">
        <v>122</v>
      </c>
      <c r="TQH108" s="1" t="s">
        <v>122</v>
      </c>
      <c r="TQI108" s="1" t="s">
        <v>122</v>
      </c>
      <c r="TQJ108" s="1" t="s">
        <v>122</v>
      </c>
      <c r="TQK108" s="1" t="s">
        <v>122</v>
      </c>
      <c r="TQL108" s="1" t="s">
        <v>122</v>
      </c>
      <c r="TQM108" s="1" t="s">
        <v>122</v>
      </c>
      <c r="TQN108" s="1" t="s">
        <v>122</v>
      </c>
      <c r="TQO108" s="1" t="s">
        <v>122</v>
      </c>
      <c r="TQP108" s="1" t="s">
        <v>122</v>
      </c>
      <c r="TQQ108" s="1" t="s">
        <v>122</v>
      </c>
      <c r="TQR108" s="1" t="s">
        <v>122</v>
      </c>
      <c r="TQS108" s="1" t="s">
        <v>122</v>
      </c>
      <c r="TQT108" s="1" t="s">
        <v>122</v>
      </c>
      <c r="TQU108" s="1" t="s">
        <v>122</v>
      </c>
      <c r="TQV108" s="1" t="s">
        <v>122</v>
      </c>
      <c r="TQW108" s="1" t="s">
        <v>122</v>
      </c>
      <c r="TQX108" s="1" t="s">
        <v>122</v>
      </c>
      <c r="TQY108" s="1" t="s">
        <v>122</v>
      </c>
      <c r="TQZ108" s="1" t="s">
        <v>122</v>
      </c>
      <c r="TRA108" s="1" t="s">
        <v>122</v>
      </c>
      <c r="TRB108" s="1" t="s">
        <v>122</v>
      </c>
      <c r="TRC108" s="1" t="s">
        <v>122</v>
      </c>
      <c r="TRD108" s="1" t="s">
        <v>122</v>
      </c>
      <c r="TRE108" s="1" t="s">
        <v>122</v>
      </c>
      <c r="TRF108" s="1" t="s">
        <v>122</v>
      </c>
      <c r="TRG108" s="1" t="s">
        <v>122</v>
      </c>
      <c r="TRH108" s="1" t="s">
        <v>122</v>
      </c>
      <c r="TRI108" s="1" t="s">
        <v>122</v>
      </c>
      <c r="TRJ108" s="1" t="s">
        <v>122</v>
      </c>
      <c r="TRK108" s="1" t="s">
        <v>122</v>
      </c>
      <c r="TRL108" s="1" t="s">
        <v>122</v>
      </c>
      <c r="TRM108" s="1" t="s">
        <v>122</v>
      </c>
      <c r="TRN108" s="1" t="s">
        <v>122</v>
      </c>
      <c r="TRO108" s="1" t="s">
        <v>122</v>
      </c>
      <c r="TRP108" s="1" t="s">
        <v>122</v>
      </c>
      <c r="TRQ108" s="1" t="s">
        <v>122</v>
      </c>
      <c r="TRR108" s="1" t="s">
        <v>122</v>
      </c>
      <c r="TRS108" s="1" t="s">
        <v>122</v>
      </c>
      <c r="TRT108" s="1" t="s">
        <v>122</v>
      </c>
      <c r="TRU108" s="1" t="s">
        <v>122</v>
      </c>
      <c r="TRV108" s="1" t="s">
        <v>122</v>
      </c>
      <c r="TRW108" s="1" t="s">
        <v>122</v>
      </c>
      <c r="TRX108" s="1" t="s">
        <v>122</v>
      </c>
      <c r="TRY108" s="1" t="s">
        <v>122</v>
      </c>
      <c r="TRZ108" s="1" t="s">
        <v>122</v>
      </c>
      <c r="TSA108" s="1" t="s">
        <v>122</v>
      </c>
      <c r="TSB108" s="1" t="s">
        <v>122</v>
      </c>
      <c r="TSC108" s="1" t="s">
        <v>122</v>
      </c>
      <c r="TSD108" s="1" t="s">
        <v>122</v>
      </c>
      <c r="TSE108" s="1" t="s">
        <v>122</v>
      </c>
      <c r="TSF108" s="1" t="s">
        <v>122</v>
      </c>
      <c r="TSG108" s="1" t="s">
        <v>122</v>
      </c>
      <c r="TSH108" s="1" t="s">
        <v>122</v>
      </c>
      <c r="TSI108" s="1" t="s">
        <v>122</v>
      </c>
      <c r="TSJ108" s="1" t="s">
        <v>122</v>
      </c>
      <c r="TSK108" s="1" t="s">
        <v>122</v>
      </c>
      <c r="TSL108" s="1" t="s">
        <v>122</v>
      </c>
      <c r="TSM108" s="1" t="s">
        <v>122</v>
      </c>
      <c r="TSN108" s="1" t="s">
        <v>122</v>
      </c>
      <c r="TSO108" s="1" t="s">
        <v>122</v>
      </c>
      <c r="TSP108" s="1" t="s">
        <v>122</v>
      </c>
      <c r="TSQ108" s="1" t="s">
        <v>122</v>
      </c>
      <c r="TSR108" s="1" t="s">
        <v>122</v>
      </c>
      <c r="TSS108" s="1" t="s">
        <v>122</v>
      </c>
      <c r="TST108" s="1" t="s">
        <v>122</v>
      </c>
      <c r="TSU108" s="1" t="s">
        <v>122</v>
      </c>
      <c r="TSV108" s="1" t="s">
        <v>122</v>
      </c>
      <c r="TSW108" s="1" t="s">
        <v>122</v>
      </c>
      <c r="TSX108" s="1" t="s">
        <v>122</v>
      </c>
      <c r="TSY108" s="1" t="s">
        <v>122</v>
      </c>
      <c r="TSZ108" s="1" t="s">
        <v>122</v>
      </c>
      <c r="TTA108" s="1" t="s">
        <v>122</v>
      </c>
      <c r="TTB108" s="1" t="s">
        <v>122</v>
      </c>
      <c r="TTC108" s="1" t="s">
        <v>122</v>
      </c>
      <c r="TTD108" s="1" t="s">
        <v>122</v>
      </c>
      <c r="TTE108" s="1" t="s">
        <v>122</v>
      </c>
      <c r="TTF108" s="1" t="s">
        <v>122</v>
      </c>
      <c r="TTG108" s="1" t="s">
        <v>122</v>
      </c>
      <c r="TTH108" s="1" t="s">
        <v>122</v>
      </c>
      <c r="TTI108" s="1" t="s">
        <v>122</v>
      </c>
      <c r="TTJ108" s="1" t="s">
        <v>122</v>
      </c>
      <c r="TTK108" s="1" t="s">
        <v>122</v>
      </c>
      <c r="TTL108" s="1" t="s">
        <v>122</v>
      </c>
      <c r="TTM108" s="1" t="s">
        <v>122</v>
      </c>
      <c r="TTN108" s="1" t="s">
        <v>122</v>
      </c>
      <c r="TTO108" s="1" t="s">
        <v>122</v>
      </c>
      <c r="TTP108" s="1" t="s">
        <v>122</v>
      </c>
      <c r="TTQ108" s="1" t="s">
        <v>122</v>
      </c>
      <c r="TTR108" s="1" t="s">
        <v>122</v>
      </c>
      <c r="TTS108" s="1" t="s">
        <v>122</v>
      </c>
      <c r="TTT108" s="1" t="s">
        <v>122</v>
      </c>
      <c r="TTU108" s="1" t="s">
        <v>122</v>
      </c>
      <c r="TTV108" s="1" t="s">
        <v>122</v>
      </c>
      <c r="TTW108" s="1" t="s">
        <v>122</v>
      </c>
      <c r="TTX108" s="1" t="s">
        <v>122</v>
      </c>
      <c r="TTY108" s="1" t="s">
        <v>122</v>
      </c>
      <c r="TTZ108" s="1" t="s">
        <v>122</v>
      </c>
      <c r="TUA108" s="1" t="s">
        <v>122</v>
      </c>
      <c r="TUB108" s="1" t="s">
        <v>122</v>
      </c>
      <c r="TUC108" s="1" t="s">
        <v>122</v>
      </c>
      <c r="TUD108" s="1" t="s">
        <v>122</v>
      </c>
      <c r="TUE108" s="1" t="s">
        <v>122</v>
      </c>
      <c r="TUF108" s="1" t="s">
        <v>122</v>
      </c>
      <c r="TUG108" s="1" t="s">
        <v>122</v>
      </c>
      <c r="TUH108" s="1" t="s">
        <v>122</v>
      </c>
      <c r="TUI108" s="1" t="s">
        <v>122</v>
      </c>
      <c r="TUJ108" s="1" t="s">
        <v>122</v>
      </c>
      <c r="TUK108" s="1" t="s">
        <v>122</v>
      </c>
      <c r="TUL108" s="1" t="s">
        <v>122</v>
      </c>
      <c r="TUM108" s="1" t="s">
        <v>122</v>
      </c>
      <c r="TUN108" s="1" t="s">
        <v>122</v>
      </c>
      <c r="TUO108" s="1" t="s">
        <v>122</v>
      </c>
      <c r="TUP108" s="1" t="s">
        <v>122</v>
      </c>
      <c r="TUQ108" s="1" t="s">
        <v>122</v>
      </c>
      <c r="TUR108" s="1" t="s">
        <v>122</v>
      </c>
      <c r="TUS108" s="1" t="s">
        <v>122</v>
      </c>
      <c r="TUT108" s="1" t="s">
        <v>122</v>
      </c>
      <c r="TUU108" s="1" t="s">
        <v>122</v>
      </c>
      <c r="TUV108" s="1" t="s">
        <v>122</v>
      </c>
      <c r="TUW108" s="1" t="s">
        <v>122</v>
      </c>
      <c r="TUX108" s="1" t="s">
        <v>122</v>
      </c>
      <c r="TUY108" s="1" t="s">
        <v>122</v>
      </c>
      <c r="TUZ108" s="1" t="s">
        <v>122</v>
      </c>
      <c r="TVA108" s="1" t="s">
        <v>122</v>
      </c>
      <c r="TVB108" s="1" t="s">
        <v>122</v>
      </c>
      <c r="TVC108" s="1" t="s">
        <v>122</v>
      </c>
      <c r="TVD108" s="1" t="s">
        <v>122</v>
      </c>
      <c r="TVE108" s="1" t="s">
        <v>122</v>
      </c>
      <c r="TVF108" s="1" t="s">
        <v>122</v>
      </c>
      <c r="TVG108" s="1" t="s">
        <v>122</v>
      </c>
      <c r="TVH108" s="1" t="s">
        <v>122</v>
      </c>
      <c r="TVI108" s="1" t="s">
        <v>122</v>
      </c>
      <c r="TVJ108" s="1" t="s">
        <v>122</v>
      </c>
      <c r="TVK108" s="1" t="s">
        <v>122</v>
      </c>
      <c r="TVL108" s="1" t="s">
        <v>122</v>
      </c>
      <c r="TVM108" s="1" t="s">
        <v>122</v>
      </c>
      <c r="TVN108" s="1" t="s">
        <v>122</v>
      </c>
      <c r="TVO108" s="1" t="s">
        <v>122</v>
      </c>
      <c r="TVP108" s="1" t="s">
        <v>122</v>
      </c>
      <c r="TVQ108" s="1" t="s">
        <v>122</v>
      </c>
      <c r="TVR108" s="1" t="s">
        <v>122</v>
      </c>
      <c r="TVS108" s="1" t="s">
        <v>122</v>
      </c>
      <c r="TVT108" s="1" t="s">
        <v>122</v>
      </c>
      <c r="TVU108" s="1" t="s">
        <v>122</v>
      </c>
      <c r="TVV108" s="1" t="s">
        <v>122</v>
      </c>
      <c r="TVW108" s="1" t="s">
        <v>122</v>
      </c>
      <c r="TVX108" s="1" t="s">
        <v>122</v>
      </c>
      <c r="TVY108" s="1" t="s">
        <v>122</v>
      </c>
      <c r="TVZ108" s="1" t="s">
        <v>122</v>
      </c>
      <c r="TWA108" s="1" t="s">
        <v>122</v>
      </c>
      <c r="TWB108" s="1" t="s">
        <v>122</v>
      </c>
      <c r="TWC108" s="1" t="s">
        <v>122</v>
      </c>
      <c r="TWD108" s="1" t="s">
        <v>122</v>
      </c>
      <c r="TWE108" s="1" t="s">
        <v>122</v>
      </c>
      <c r="TWF108" s="1" t="s">
        <v>122</v>
      </c>
      <c r="TWG108" s="1" t="s">
        <v>122</v>
      </c>
      <c r="TWH108" s="1" t="s">
        <v>122</v>
      </c>
      <c r="TWI108" s="1" t="s">
        <v>122</v>
      </c>
      <c r="TWJ108" s="1" t="s">
        <v>122</v>
      </c>
      <c r="TWK108" s="1" t="s">
        <v>122</v>
      </c>
      <c r="TWL108" s="1" t="s">
        <v>122</v>
      </c>
      <c r="TWM108" s="1" t="s">
        <v>122</v>
      </c>
      <c r="TWN108" s="1" t="s">
        <v>122</v>
      </c>
      <c r="TWO108" s="1" t="s">
        <v>122</v>
      </c>
      <c r="TWP108" s="1" t="s">
        <v>122</v>
      </c>
      <c r="TWQ108" s="1" t="s">
        <v>122</v>
      </c>
      <c r="TWR108" s="1" t="s">
        <v>122</v>
      </c>
      <c r="TWS108" s="1" t="s">
        <v>122</v>
      </c>
      <c r="TWT108" s="1" t="s">
        <v>122</v>
      </c>
      <c r="TWU108" s="1" t="s">
        <v>122</v>
      </c>
      <c r="TWV108" s="1" t="s">
        <v>122</v>
      </c>
      <c r="TWW108" s="1" t="s">
        <v>122</v>
      </c>
      <c r="TWX108" s="1" t="s">
        <v>122</v>
      </c>
      <c r="TWY108" s="1" t="s">
        <v>122</v>
      </c>
      <c r="TWZ108" s="1" t="s">
        <v>122</v>
      </c>
      <c r="TXA108" s="1" t="s">
        <v>122</v>
      </c>
      <c r="TXB108" s="1" t="s">
        <v>122</v>
      </c>
      <c r="TXC108" s="1" t="s">
        <v>122</v>
      </c>
      <c r="TXD108" s="1" t="s">
        <v>122</v>
      </c>
      <c r="TXE108" s="1" t="s">
        <v>122</v>
      </c>
      <c r="TXF108" s="1" t="s">
        <v>122</v>
      </c>
      <c r="TXG108" s="1" t="s">
        <v>122</v>
      </c>
      <c r="TXH108" s="1" t="s">
        <v>122</v>
      </c>
      <c r="TXI108" s="1" t="s">
        <v>122</v>
      </c>
      <c r="TXJ108" s="1" t="s">
        <v>122</v>
      </c>
      <c r="TXK108" s="1" t="s">
        <v>122</v>
      </c>
      <c r="TXL108" s="1" t="s">
        <v>122</v>
      </c>
      <c r="TXM108" s="1" t="s">
        <v>122</v>
      </c>
      <c r="TXN108" s="1" t="s">
        <v>122</v>
      </c>
      <c r="TXO108" s="1" t="s">
        <v>122</v>
      </c>
      <c r="TXP108" s="1" t="s">
        <v>122</v>
      </c>
      <c r="TXQ108" s="1" t="s">
        <v>122</v>
      </c>
      <c r="TXR108" s="1" t="s">
        <v>122</v>
      </c>
      <c r="TXS108" s="1" t="s">
        <v>122</v>
      </c>
      <c r="TXT108" s="1" t="s">
        <v>122</v>
      </c>
      <c r="TXU108" s="1" t="s">
        <v>122</v>
      </c>
      <c r="TXV108" s="1" t="s">
        <v>122</v>
      </c>
      <c r="TXW108" s="1" t="s">
        <v>122</v>
      </c>
      <c r="TXX108" s="1" t="s">
        <v>122</v>
      </c>
      <c r="TXY108" s="1" t="s">
        <v>122</v>
      </c>
      <c r="TXZ108" s="1" t="s">
        <v>122</v>
      </c>
      <c r="TYA108" s="1" t="s">
        <v>122</v>
      </c>
      <c r="TYB108" s="1" t="s">
        <v>122</v>
      </c>
      <c r="TYC108" s="1" t="s">
        <v>122</v>
      </c>
      <c r="TYD108" s="1" t="s">
        <v>122</v>
      </c>
      <c r="TYE108" s="1" t="s">
        <v>122</v>
      </c>
      <c r="TYF108" s="1" t="s">
        <v>122</v>
      </c>
      <c r="TYG108" s="1" t="s">
        <v>122</v>
      </c>
      <c r="TYH108" s="1" t="s">
        <v>122</v>
      </c>
      <c r="TYI108" s="1" t="s">
        <v>122</v>
      </c>
      <c r="TYJ108" s="1" t="s">
        <v>122</v>
      </c>
      <c r="TYK108" s="1" t="s">
        <v>122</v>
      </c>
      <c r="TYL108" s="1" t="s">
        <v>122</v>
      </c>
      <c r="TYM108" s="1" t="s">
        <v>122</v>
      </c>
      <c r="TYN108" s="1" t="s">
        <v>122</v>
      </c>
      <c r="TYO108" s="1" t="s">
        <v>122</v>
      </c>
      <c r="TYP108" s="1" t="s">
        <v>122</v>
      </c>
      <c r="TYQ108" s="1" t="s">
        <v>122</v>
      </c>
      <c r="TYR108" s="1" t="s">
        <v>122</v>
      </c>
      <c r="TYS108" s="1" t="s">
        <v>122</v>
      </c>
      <c r="TYT108" s="1" t="s">
        <v>122</v>
      </c>
      <c r="TYU108" s="1" t="s">
        <v>122</v>
      </c>
      <c r="TYV108" s="1" t="s">
        <v>122</v>
      </c>
      <c r="TYW108" s="1" t="s">
        <v>122</v>
      </c>
      <c r="TYX108" s="1" t="s">
        <v>122</v>
      </c>
      <c r="TYY108" s="1" t="s">
        <v>122</v>
      </c>
      <c r="TYZ108" s="1" t="s">
        <v>122</v>
      </c>
      <c r="TZA108" s="1" t="s">
        <v>122</v>
      </c>
      <c r="TZB108" s="1" t="s">
        <v>122</v>
      </c>
      <c r="TZC108" s="1" t="s">
        <v>122</v>
      </c>
      <c r="TZD108" s="1" t="s">
        <v>122</v>
      </c>
      <c r="TZE108" s="1" t="s">
        <v>122</v>
      </c>
      <c r="TZF108" s="1" t="s">
        <v>122</v>
      </c>
      <c r="TZG108" s="1" t="s">
        <v>122</v>
      </c>
      <c r="TZH108" s="1" t="s">
        <v>122</v>
      </c>
      <c r="TZI108" s="1" t="s">
        <v>122</v>
      </c>
      <c r="TZJ108" s="1" t="s">
        <v>122</v>
      </c>
      <c r="TZK108" s="1" t="s">
        <v>122</v>
      </c>
      <c r="TZL108" s="1" t="s">
        <v>122</v>
      </c>
      <c r="TZM108" s="1" t="s">
        <v>122</v>
      </c>
      <c r="TZN108" s="1" t="s">
        <v>122</v>
      </c>
      <c r="TZO108" s="1" t="s">
        <v>122</v>
      </c>
      <c r="TZP108" s="1" t="s">
        <v>122</v>
      </c>
      <c r="TZQ108" s="1" t="s">
        <v>122</v>
      </c>
      <c r="TZR108" s="1" t="s">
        <v>122</v>
      </c>
      <c r="TZS108" s="1" t="s">
        <v>122</v>
      </c>
      <c r="TZT108" s="1" t="s">
        <v>122</v>
      </c>
      <c r="TZU108" s="1" t="s">
        <v>122</v>
      </c>
      <c r="TZV108" s="1" t="s">
        <v>122</v>
      </c>
      <c r="TZW108" s="1" t="s">
        <v>122</v>
      </c>
      <c r="TZX108" s="1" t="s">
        <v>122</v>
      </c>
      <c r="TZY108" s="1" t="s">
        <v>122</v>
      </c>
      <c r="TZZ108" s="1" t="s">
        <v>122</v>
      </c>
      <c r="UAA108" s="1" t="s">
        <v>122</v>
      </c>
      <c r="UAB108" s="1" t="s">
        <v>122</v>
      </c>
      <c r="UAC108" s="1" t="s">
        <v>122</v>
      </c>
      <c r="UAD108" s="1" t="s">
        <v>122</v>
      </c>
      <c r="UAE108" s="1" t="s">
        <v>122</v>
      </c>
      <c r="UAF108" s="1" t="s">
        <v>122</v>
      </c>
      <c r="UAG108" s="1" t="s">
        <v>122</v>
      </c>
      <c r="UAH108" s="1" t="s">
        <v>122</v>
      </c>
      <c r="UAI108" s="1" t="s">
        <v>122</v>
      </c>
      <c r="UAJ108" s="1" t="s">
        <v>122</v>
      </c>
      <c r="UAK108" s="1" t="s">
        <v>122</v>
      </c>
      <c r="UAL108" s="1" t="s">
        <v>122</v>
      </c>
      <c r="UAM108" s="1" t="s">
        <v>122</v>
      </c>
      <c r="UAN108" s="1" t="s">
        <v>122</v>
      </c>
      <c r="UAO108" s="1" t="s">
        <v>122</v>
      </c>
      <c r="UAP108" s="1" t="s">
        <v>122</v>
      </c>
      <c r="UAQ108" s="1" t="s">
        <v>122</v>
      </c>
      <c r="UAR108" s="1" t="s">
        <v>122</v>
      </c>
      <c r="UAS108" s="1" t="s">
        <v>122</v>
      </c>
      <c r="UAT108" s="1" t="s">
        <v>122</v>
      </c>
      <c r="UAU108" s="1" t="s">
        <v>122</v>
      </c>
      <c r="UAV108" s="1" t="s">
        <v>122</v>
      </c>
      <c r="UAW108" s="1" t="s">
        <v>122</v>
      </c>
      <c r="UAX108" s="1" t="s">
        <v>122</v>
      </c>
      <c r="UAY108" s="1" t="s">
        <v>122</v>
      </c>
      <c r="UAZ108" s="1" t="s">
        <v>122</v>
      </c>
      <c r="UBA108" s="1" t="s">
        <v>122</v>
      </c>
      <c r="UBB108" s="1" t="s">
        <v>122</v>
      </c>
      <c r="UBC108" s="1" t="s">
        <v>122</v>
      </c>
      <c r="UBD108" s="1" t="s">
        <v>122</v>
      </c>
      <c r="UBE108" s="1" t="s">
        <v>122</v>
      </c>
      <c r="UBF108" s="1" t="s">
        <v>122</v>
      </c>
      <c r="UBG108" s="1" t="s">
        <v>122</v>
      </c>
      <c r="UBH108" s="1" t="s">
        <v>122</v>
      </c>
      <c r="UBI108" s="1" t="s">
        <v>122</v>
      </c>
      <c r="UBJ108" s="1" t="s">
        <v>122</v>
      </c>
      <c r="UBK108" s="1" t="s">
        <v>122</v>
      </c>
      <c r="UBL108" s="1" t="s">
        <v>122</v>
      </c>
      <c r="UBM108" s="1" t="s">
        <v>122</v>
      </c>
      <c r="UBN108" s="1" t="s">
        <v>122</v>
      </c>
      <c r="UBO108" s="1" t="s">
        <v>122</v>
      </c>
      <c r="UBP108" s="1" t="s">
        <v>122</v>
      </c>
      <c r="UBQ108" s="1" t="s">
        <v>122</v>
      </c>
      <c r="UBR108" s="1" t="s">
        <v>122</v>
      </c>
      <c r="UBS108" s="1" t="s">
        <v>122</v>
      </c>
      <c r="UBT108" s="1" t="s">
        <v>122</v>
      </c>
      <c r="UBU108" s="1" t="s">
        <v>122</v>
      </c>
      <c r="UBV108" s="1" t="s">
        <v>122</v>
      </c>
      <c r="UBW108" s="1" t="s">
        <v>122</v>
      </c>
      <c r="UBX108" s="1" t="s">
        <v>122</v>
      </c>
      <c r="UBY108" s="1" t="s">
        <v>122</v>
      </c>
      <c r="UBZ108" s="1" t="s">
        <v>122</v>
      </c>
      <c r="UCA108" s="1" t="s">
        <v>122</v>
      </c>
      <c r="UCB108" s="1" t="s">
        <v>122</v>
      </c>
      <c r="UCC108" s="1" t="s">
        <v>122</v>
      </c>
      <c r="UCD108" s="1" t="s">
        <v>122</v>
      </c>
      <c r="UCE108" s="1" t="s">
        <v>122</v>
      </c>
      <c r="UCF108" s="1" t="s">
        <v>122</v>
      </c>
      <c r="UCG108" s="1" t="s">
        <v>122</v>
      </c>
      <c r="UCH108" s="1" t="s">
        <v>122</v>
      </c>
      <c r="UCI108" s="1" t="s">
        <v>122</v>
      </c>
      <c r="UCJ108" s="1" t="s">
        <v>122</v>
      </c>
      <c r="UCK108" s="1" t="s">
        <v>122</v>
      </c>
      <c r="UCL108" s="1" t="s">
        <v>122</v>
      </c>
      <c r="UCM108" s="1" t="s">
        <v>122</v>
      </c>
      <c r="UCN108" s="1" t="s">
        <v>122</v>
      </c>
      <c r="UCO108" s="1" t="s">
        <v>122</v>
      </c>
      <c r="UCP108" s="1" t="s">
        <v>122</v>
      </c>
      <c r="UCQ108" s="1" t="s">
        <v>122</v>
      </c>
      <c r="UCR108" s="1" t="s">
        <v>122</v>
      </c>
      <c r="UCS108" s="1" t="s">
        <v>122</v>
      </c>
      <c r="UCT108" s="1" t="s">
        <v>122</v>
      </c>
      <c r="UCU108" s="1" t="s">
        <v>122</v>
      </c>
      <c r="UCV108" s="1" t="s">
        <v>122</v>
      </c>
      <c r="UCW108" s="1" t="s">
        <v>122</v>
      </c>
      <c r="UCX108" s="1" t="s">
        <v>122</v>
      </c>
      <c r="UCY108" s="1" t="s">
        <v>122</v>
      </c>
      <c r="UCZ108" s="1" t="s">
        <v>122</v>
      </c>
      <c r="UDA108" s="1" t="s">
        <v>122</v>
      </c>
      <c r="UDB108" s="1" t="s">
        <v>122</v>
      </c>
      <c r="UDC108" s="1" t="s">
        <v>122</v>
      </c>
      <c r="UDD108" s="1" t="s">
        <v>122</v>
      </c>
      <c r="UDE108" s="1" t="s">
        <v>122</v>
      </c>
      <c r="UDF108" s="1" t="s">
        <v>122</v>
      </c>
      <c r="UDG108" s="1" t="s">
        <v>122</v>
      </c>
      <c r="UDH108" s="1" t="s">
        <v>122</v>
      </c>
      <c r="UDI108" s="1" t="s">
        <v>122</v>
      </c>
      <c r="UDJ108" s="1" t="s">
        <v>122</v>
      </c>
      <c r="UDK108" s="1" t="s">
        <v>122</v>
      </c>
      <c r="UDL108" s="1" t="s">
        <v>122</v>
      </c>
      <c r="UDM108" s="1" t="s">
        <v>122</v>
      </c>
      <c r="UDN108" s="1" t="s">
        <v>122</v>
      </c>
      <c r="UDO108" s="1" t="s">
        <v>122</v>
      </c>
      <c r="UDP108" s="1" t="s">
        <v>122</v>
      </c>
      <c r="UDQ108" s="1" t="s">
        <v>122</v>
      </c>
      <c r="UDR108" s="1" t="s">
        <v>122</v>
      </c>
      <c r="UDS108" s="1" t="s">
        <v>122</v>
      </c>
      <c r="UDT108" s="1" t="s">
        <v>122</v>
      </c>
      <c r="UDU108" s="1" t="s">
        <v>122</v>
      </c>
      <c r="UDV108" s="1" t="s">
        <v>122</v>
      </c>
      <c r="UDW108" s="1" t="s">
        <v>122</v>
      </c>
      <c r="UDX108" s="1" t="s">
        <v>122</v>
      </c>
      <c r="UDY108" s="1" t="s">
        <v>122</v>
      </c>
      <c r="UDZ108" s="1" t="s">
        <v>122</v>
      </c>
      <c r="UEA108" s="1" t="s">
        <v>122</v>
      </c>
      <c r="UEB108" s="1" t="s">
        <v>122</v>
      </c>
      <c r="UEC108" s="1" t="s">
        <v>122</v>
      </c>
      <c r="UED108" s="1" t="s">
        <v>122</v>
      </c>
      <c r="UEE108" s="1" t="s">
        <v>122</v>
      </c>
      <c r="UEF108" s="1" t="s">
        <v>122</v>
      </c>
      <c r="UEG108" s="1" t="s">
        <v>122</v>
      </c>
      <c r="UEH108" s="1" t="s">
        <v>122</v>
      </c>
      <c r="UEI108" s="1" t="s">
        <v>122</v>
      </c>
      <c r="UEJ108" s="1" t="s">
        <v>122</v>
      </c>
      <c r="UEK108" s="1" t="s">
        <v>122</v>
      </c>
      <c r="UEL108" s="1" t="s">
        <v>122</v>
      </c>
      <c r="UEM108" s="1" t="s">
        <v>122</v>
      </c>
      <c r="UEN108" s="1" t="s">
        <v>122</v>
      </c>
      <c r="UEO108" s="1" t="s">
        <v>122</v>
      </c>
      <c r="UEP108" s="1" t="s">
        <v>122</v>
      </c>
      <c r="UEQ108" s="1" t="s">
        <v>122</v>
      </c>
      <c r="UER108" s="1" t="s">
        <v>122</v>
      </c>
      <c r="UES108" s="1" t="s">
        <v>122</v>
      </c>
      <c r="UET108" s="1" t="s">
        <v>122</v>
      </c>
      <c r="UEU108" s="1" t="s">
        <v>122</v>
      </c>
      <c r="UEV108" s="1" t="s">
        <v>122</v>
      </c>
      <c r="UEW108" s="1" t="s">
        <v>122</v>
      </c>
      <c r="UEX108" s="1" t="s">
        <v>122</v>
      </c>
      <c r="UEY108" s="1" t="s">
        <v>122</v>
      </c>
      <c r="UEZ108" s="1" t="s">
        <v>122</v>
      </c>
      <c r="UFA108" s="1" t="s">
        <v>122</v>
      </c>
      <c r="UFB108" s="1" t="s">
        <v>122</v>
      </c>
      <c r="UFC108" s="1" t="s">
        <v>122</v>
      </c>
      <c r="UFD108" s="1" t="s">
        <v>122</v>
      </c>
      <c r="UFE108" s="1" t="s">
        <v>122</v>
      </c>
      <c r="UFF108" s="1" t="s">
        <v>122</v>
      </c>
      <c r="UFG108" s="1" t="s">
        <v>122</v>
      </c>
      <c r="UFH108" s="1" t="s">
        <v>122</v>
      </c>
      <c r="UFI108" s="1" t="s">
        <v>122</v>
      </c>
      <c r="UFJ108" s="1" t="s">
        <v>122</v>
      </c>
      <c r="UFK108" s="1" t="s">
        <v>122</v>
      </c>
      <c r="UFL108" s="1" t="s">
        <v>122</v>
      </c>
      <c r="UFM108" s="1" t="s">
        <v>122</v>
      </c>
      <c r="UFN108" s="1" t="s">
        <v>122</v>
      </c>
      <c r="UFO108" s="1" t="s">
        <v>122</v>
      </c>
      <c r="UFP108" s="1" t="s">
        <v>122</v>
      </c>
      <c r="UFQ108" s="1" t="s">
        <v>122</v>
      </c>
      <c r="UFR108" s="1" t="s">
        <v>122</v>
      </c>
      <c r="UFS108" s="1" t="s">
        <v>122</v>
      </c>
      <c r="UFT108" s="1" t="s">
        <v>122</v>
      </c>
      <c r="UFU108" s="1" t="s">
        <v>122</v>
      </c>
      <c r="UFV108" s="1" t="s">
        <v>122</v>
      </c>
      <c r="UFW108" s="1" t="s">
        <v>122</v>
      </c>
      <c r="UFX108" s="1" t="s">
        <v>122</v>
      </c>
      <c r="UFY108" s="1" t="s">
        <v>122</v>
      </c>
      <c r="UFZ108" s="1" t="s">
        <v>122</v>
      </c>
      <c r="UGA108" s="1" t="s">
        <v>122</v>
      </c>
      <c r="UGB108" s="1" t="s">
        <v>122</v>
      </c>
      <c r="UGC108" s="1" t="s">
        <v>122</v>
      </c>
      <c r="UGD108" s="1" t="s">
        <v>122</v>
      </c>
      <c r="UGE108" s="1" t="s">
        <v>122</v>
      </c>
      <c r="UGF108" s="1" t="s">
        <v>122</v>
      </c>
      <c r="UGG108" s="1" t="s">
        <v>122</v>
      </c>
      <c r="UGH108" s="1" t="s">
        <v>122</v>
      </c>
      <c r="UGI108" s="1" t="s">
        <v>122</v>
      </c>
      <c r="UGJ108" s="1" t="s">
        <v>122</v>
      </c>
      <c r="UGK108" s="1" t="s">
        <v>122</v>
      </c>
      <c r="UGL108" s="1" t="s">
        <v>122</v>
      </c>
      <c r="UGM108" s="1" t="s">
        <v>122</v>
      </c>
      <c r="UGN108" s="1" t="s">
        <v>122</v>
      </c>
      <c r="UGO108" s="1" t="s">
        <v>122</v>
      </c>
      <c r="UGP108" s="1" t="s">
        <v>122</v>
      </c>
      <c r="UGQ108" s="1" t="s">
        <v>122</v>
      </c>
      <c r="UGR108" s="1" t="s">
        <v>122</v>
      </c>
      <c r="UGS108" s="1" t="s">
        <v>122</v>
      </c>
      <c r="UGT108" s="1" t="s">
        <v>122</v>
      </c>
      <c r="UGU108" s="1" t="s">
        <v>122</v>
      </c>
      <c r="UGV108" s="1" t="s">
        <v>122</v>
      </c>
      <c r="UGW108" s="1" t="s">
        <v>122</v>
      </c>
      <c r="UGX108" s="1" t="s">
        <v>122</v>
      </c>
      <c r="UGY108" s="1" t="s">
        <v>122</v>
      </c>
      <c r="UGZ108" s="1" t="s">
        <v>122</v>
      </c>
      <c r="UHA108" s="1" t="s">
        <v>122</v>
      </c>
      <c r="UHB108" s="1" t="s">
        <v>122</v>
      </c>
      <c r="UHC108" s="1" t="s">
        <v>122</v>
      </c>
      <c r="UHD108" s="1" t="s">
        <v>122</v>
      </c>
      <c r="UHE108" s="1" t="s">
        <v>122</v>
      </c>
      <c r="UHF108" s="1" t="s">
        <v>122</v>
      </c>
      <c r="UHG108" s="1" t="s">
        <v>122</v>
      </c>
      <c r="UHH108" s="1" t="s">
        <v>122</v>
      </c>
      <c r="UHI108" s="1" t="s">
        <v>122</v>
      </c>
      <c r="UHJ108" s="1" t="s">
        <v>122</v>
      </c>
      <c r="UHK108" s="1" t="s">
        <v>122</v>
      </c>
      <c r="UHL108" s="1" t="s">
        <v>122</v>
      </c>
      <c r="UHM108" s="1" t="s">
        <v>122</v>
      </c>
      <c r="UHN108" s="1" t="s">
        <v>122</v>
      </c>
      <c r="UHO108" s="1" t="s">
        <v>122</v>
      </c>
      <c r="UHP108" s="1" t="s">
        <v>122</v>
      </c>
      <c r="UHQ108" s="1" t="s">
        <v>122</v>
      </c>
      <c r="UHR108" s="1" t="s">
        <v>122</v>
      </c>
      <c r="UHS108" s="1" t="s">
        <v>122</v>
      </c>
      <c r="UHT108" s="1" t="s">
        <v>122</v>
      </c>
      <c r="UHU108" s="1" t="s">
        <v>122</v>
      </c>
      <c r="UHV108" s="1" t="s">
        <v>122</v>
      </c>
      <c r="UHW108" s="1" t="s">
        <v>122</v>
      </c>
      <c r="UHX108" s="1" t="s">
        <v>122</v>
      </c>
      <c r="UHY108" s="1" t="s">
        <v>122</v>
      </c>
      <c r="UHZ108" s="1" t="s">
        <v>122</v>
      </c>
      <c r="UIA108" s="1" t="s">
        <v>122</v>
      </c>
      <c r="UIB108" s="1" t="s">
        <v>122</v>
      </c>
      <c r="UIC108" s="1" t="s">
        <v>122</v>
      </c>
      <c r="UID108" s="1" t="s">
        <v>122</v>
      </c>
      <c r="UIE108" s="1" t="s">
        <v>122</v>
      </c>
      <c r="UIF108" s="1" t="s">
        <v>122</v>
      </c>
      <c r="UIG108" s="1" t="s">
        <v>122</v>
      </c>
      <c r="UIH108" s="1" t="s">
        <v>122</v>
      </c>
      <c r="UII108" s="1" t="s">
        <v>122</v>
      </c>
      <c r="UIJ108" s="1" t="s">
        <v>122</v>
      </c>
      <c r="UIK108" s="1" t="s">
        <v>122</v>
      </c>
      <c r="UIL108" s="1" t="s">
        <v>122</v>
      </c>
      <c r="UIM108" s="1" t="s">
        <v>122</v>
      </c>
      <c r="UIN108" s="1" t="s">
        <v>122</v>
      </c>
      <c r="UIO108" s="1" t="s">
        <v>122</v>
      </c>
      <c r="UIP108" s="1" t="s">
        <v>122</v>
      </c>
      <c r="UIQ108" s="1" t="s">
        <v>122</v>
      </c>
      <c r="UIR108" s="1" t="s">
        <v>122</v>
      </c>
      <c r="UIS108" s="1" t="s">
        <v>122</v>
      </c>
      <c r="UIT108" s="1" t="s">
        <v>122</v>
      </c>
      <c r="UIU108" s="1" t="s">
        <v>122</v>
      </c>
      <c r="UIV108" s="1" t="s">
        <v>122</v>
      </c>
      <c r="UIW108" s="1" t="s">
        <v>122</v>
      </c>
      <c r="UIX108" s="1" t="s">
        <v>122</v>
      </c>
      <c r="UIY108" s="1" t="s">
        <v>122</v>
      </c>
      <c r="UIZ108" s="1" t="s">
        <v>122</v>
      </c>
      <c r="UJA108" s="1" t="s">
        <v>122</v>
      </c>
      <c r="UJB108" s="1" t="s">
        <v>122</v>
      </c>
      <c r="UJC108" s="1" t="s">
        <v>122</v>
      </c>
      <c r="UJD108" s="1" t="s">
        <v>122</v>
      </c>
      <c r="UJE108" s="1" t="s">
        <v>122</v>
      </c>
      <c r="UJF108" s="1" t="s">
        <v>122</v>
      </c>
      <c r="UJG108" s="1" t="s">
        <v>122</v>
      </c>
      <c r="UJH108" s="1" t="s">
        <v>122</v>
      </c>
      <c r="UJI108" s="1" t="s">
        <v>122</v>
      </c>
      <c r="UJJ108" s="1" t="s">
        <v>122</v>
      </c>
      <c r="UJK108" s="1" t="s">
        <v>122</v>
      </c>
      <c r="UJL108" s="1" t="s">
        <v>122</v>
      </c>
      <c r="UJM108" s="1" t="s">
        <v>122</v>
      </c>
      <c r="UJN108" s="1" t="s">
        <v>122</v>
      </c>
      <c r="UJO108" s="1" t="s">
        <v>122</v>
      </c>
      <c r="UJP108" s="1" t="s">
        <v>122</v>
      </c>
      <c r="UJQ108" s="1" t="s">
        <v>122</v>
      </c>
      <c r="UJR108" s="1" t="s">
        <v>122</v>
      </c>
      <c r="UJS108" s="1" t="s">
        <v>122</v>
      </c>
      <c r="UJT108" s="1" t="s">
        <v>122</v>
      </c>
      <c r="UJU108" s="1" t="s">
        <v>122</v>
      </c>
      <c r="UJV108" s="1" t="s">
        <v>122</v>
      </c>
      <c r="UJW108" s="1" t="s">
        <v>122</v>
      </c>
      <c r="UJX108" s="1" t="s">
        <v>122</v>
      </c>
      <c r="UJY108" s="1" t="s">
        <v>122</v>
      </c>
      <c r="UJZ108" s="1" t="s">
        <v>122</v>
      </c>
      <c r="UKA108" s="1" t="s">
        <v>122</v>
      </c>
      <c r="UKB108" s="1" t="s">
        <v>122</v>
      </c>
      <c r="UKC108" s="1" t="s">
        <v>122</v>
      </c>
      <c r="UKD108" s="1" t="s">
        <v>122</v>
      </c>
      <c r="UKE108" s="1" t="s">
        <v>122</v>
      </c>
      <c r="UKF108" s="1" t="s">
        <v>122</v>
      </c>
      <c r="UKG108" s="1" t="s">
        <v>122</v>
      </c>
      <c r="UKH108" s="1" t="s">
        <v>122</v>
      </c>
      <c r="UKI108" s="1" t="s">
        <v>122</v>
      </c>
      <c r="UKJ108" s="1" t="s">
        <v>122</v>
      </c>
      <c r="UKK108" s="1" t="s">
        <v>122</v>
      </c>
      <c r="UKL108" s="1" t="s">
        <v>122</v>
      </c>
      <c r="UKM108" s="1" t="s">
        <v>122</v>
      </c>
      <c r="UKN108" s="1" t="s">
        <v>122</v>
      </c>
      <c r="UKO108" s="1" t="s">
        <v>122</v>
      </c>
      <c r="UKP108" s="1" t="s">
        <v>122</v>
      </c>
      <c r="UKQ108" s="1" t="s">
        <v>122</v>
      </c>
      <c r="UKR108" s="1" t="s">
        <v>122</v>
      </c>
      <c r="UKS108" s="1" t="s">
        <v>122</v>
      </c>
      <c r="UKT108" s="1" t="s">
        <v>122</v>
      </c>
      <c r="UKU108" s="1" t="s">
        <v>122</v>
      </c>
      <c r="UKV108" s="1" t="s">
        <v>122</v>
      </c>
      <c r="UKW108" s="1" t="s">
        <v>122</v>
      </c>
      <c r="UKX108" s="1" t="s">
        <v>122</v>
      </c>
      <c r="UKY108" s="1" t="s">
        <v>122</v>
      </c>
      <c r="UKZ108" s="1" t="s">
        <v>122</v>
      </c>
      <c r="ULA108" s="1" t="s">
        <v>122</v>
      </c>
      <c r="ULB108" s="1" t="s">
        <v>122</v>
      </c>
      <c r="ULC108" s="1" t="s">
        <v>122</v>
      </c>
      <c r="ULD108" s="1" t="s">
        <v>122</v>
      </c>
      <c r="ULE108" s="1" t="s">
        <v>122</v>
      </c>
      <c r="ULF108" s="1" t="s">
        <v>122</v>
      </c>
      <c r="ULG108" s="1" t="s">
        <v>122</v>
      </c>
      <c r="ULH108" s="1" t="s">
        <v>122</v>
      </c>
      <c r="ULI108" s="1" t="s">
        <v>122</v>
      </c>
      <c r="ULJ108" s="1" t="s">
        <v>122</v>
      </c>
      <c r="ULK108" s="1" t="s">
        <v>122</v>
      </c>
      <c r="ULL108" s="1" t="s">
        <v>122</v>
      </c>
      <c r="ULM108" s="1" t="s">
        <v>122</v>
      </c>
      <c r="ULN108" s="1" t="s">
        <v>122</v>
      </c>
      <c r="ULO108" s="1" t="s">
        <v>122</v>
      </c>
      <c r="ULP108" s="1" t="s">
        <v>122</v>
      </c>
      <c r="ULQ108" s="1" t="s">
        <v>122</v>
      </c>
      <c r="ULR108" s="1" t="s">
        <v>122</v>
      </c>
      <c r="ULS108" s="1" t="s">
        <v>122</v>
      </c>
      <c r="ULT108" s="1" t="s">
        <v>122</v>
      </c>
      <c r="ULU108" s="1" t="s">
        <v>122</v>
      </c>
      <c r="ULV108" s="1" t="s">
        <v>122</v>
      </c>
      <c r="ULW108" s="1" t="s">
        <v>122</v>
      </c>
      <c r="ULX108" s="1" t="s">
        <v>122</v>
      </c>
      <c r="ULY108" s="1" t="s">
        <v>122</v>
      </c>
      <c r="ULZ108" s="1" t="s">
        <v>122</v>
      </c>
      <c r="UMA108" s="1" t="s">
        <v>122</v>
      </c>
      <c r="UMB108" s="1" t="s">
        <v>122</v>
      </c>
      <c r="UMC108" s="1" t="s">
        <v>122</v>
      </c>
      <c r="UMD108" s="1" t="s">
        <v>122</v>
      </c>
      <c r="UME108" s="1" t="s">
        <v>122</v>
      </c>
      <c r="UMF108" s="1" t="s">
        <v>122</v>
      </c>
      <c r="UMG108" s="1" t="s">
        <v>122</v>
      </c>
      <c r="UMH108" s="1" t="s">
        <v>122</v>
      </c>
      <c r="UMI108" s="1" t="s">
        <v>122</v>
      </c>
      <c r="UMJ108" s="1" t="s">
        <v>122</v>
      </c>
      <c r="UMK108" s="1" t="s">
        <v>122</v>
      </c>
      <c r="UML108" s="1" t="s">
        <v>122</v>
      </c>
      <c r="UMM108" s="1" t="s">
        <v>122</v>
      </c>
      <c r="UMN108" s="1" t="s">
        <v>122</v>
      </c>
      <c r="UMO108" s="1" t="s">
        <v>122</v>
      </c>
      <c r="UMP108" s="1" t="s">
        <v>122</v>
      </c>
      <c r="UMQ108" s="1" t="s">
        <v>122</v>
      </c>
      <c r="UMR108" s="1" t="s">
        <v>122</v>
      </c>
      <c r="UMS108" s="1" t="s">
        <v>122</v>
      </c>
      <c r="UMT108" s="1" t="s">
        <v>122</v>
      </c>
      <c r="UMU108" s="1" t="s">
        <v>122</v>
      </c>
      <c r="UMV108" s="1" t="s">
        <v>122</v>
      </c>
      <c r="UMW108" s="1" t="s">
        <v>122</v>
      </c>
      <c r="UMX108" s="1" t="s">
        <v>122</v>
      </c>
      <c r="UMY108" s="1" t="s">
        <v>122</v>
      </c>
      <c r="UMZ108" s="1" t="s">
        <v>122</v>
      </c>
      <c r="UNA108" s="1" t="s">
        <v>122</v>
      </c>
      <c r="UNB108" s="1" t="s">
        <v>122</v>
      </c>
      <c r="UNC108" s="1" t="s">
        <v>122</v>
      </c>
      <c r="UND108" s="1" t="s">
        <v>122</v>
      </c>
      <c r="UNE108" s="1" t="s">
        <v>122</v>
      </c>
      <c r="UNF108" s="1" t="s">
        <v>122</v>
      </c>
      <c r="UNG108" s="1" t="s">
        <v>122</v>
      </c>
      <c r="UNH108" s="1" t="s">
        <v>122</v>
      </c>
      <c r="UNI108" s="1" t="s">
        <v>122</v>
      </c>
      <c r="UNJ108" s="1" t="s">
        <v>122</v>
      </c>
      <c r="UNK108" s="1" t="s">
        <v>122</v>
      </c>
      <c r="UNL108" s="1" t="s">
        <v>122</v>
      </c>
      <c r="UNM108" s="1" t="s">
        <v>122</v>
      </c>
      <c r="UNN108" s="1" t="s">
        <v>122</v>
      </c>
      <c r="UNO108" s="1" t="s">
        <v>122</v>
      </c>
      <c r="UNP108" s="1" t="s">
        <v>122</v>
      </c>
      <c r="UNQ108" s="1" t="s">
        <v>122</v>
      </c>
      <c r="UNR108" s="1" t="s">
        <v>122</v>
      </c>
      <c r="UNS108" s="1" t="s">
        <v>122</v>
      </c>
      <c r="UNT108" s="1" t="s">
        <v>122</v>
      </c>
      <c r="UNU108" s="1" t="s">
        <v>122</v>
      </c>
      <c r="UNV108" s="1" t="s">
        <v>122</v>
      </c>
      <c r="UNW108" s="1" t="s">
        <v>122</v>
      </c>
      <c r="UNX108" s="1" t="s">
        <v>122</v>
      </c>
      <c r="UNY108" s="1" t="s">
        <v>122</v>
      </c>
      <c r="UNZ108" s="1" t="s">
        <v>122</v>
      </c>
      <c r="UOA108" s="1" t="s">
        <v>122</v>
      </c>
      <c r="UOB108" s="1" t="s">
        <v>122</v>
      </c>
      <c r="UOC108" s="1" t="s">
        <v>122</v>
      </c>
      <c r="UOD108" s="1" t="s">
        <v>122</v>
      </c>
      <c r="UOE108" s="1" t="s">
        <v>122</v>
      </c>
      <c r="UOF108" s="1" t="s">
        <v>122</v>
      </c>
      <c r="UOG108" s="1" t="s">
        <v>122</v>
      </c>
      <c r="UOH108" s="1" t="s">
        <v>122</v>
      </c>
      <c r="UOI108" s="1" t="s">
        <v>122</v>
      </c>
      <c r="UOJ108" s="1" t="s">
        <v>122</v>
      </c>
      <c r="UOK108" s="1" t="s">
        <v>122</v>
      </c>
      <c r="UOL108" s="1" t="s">
        <v>122</v>
      </c>
      <c r="UOM108" s="1" t="s">
        <v>122</v>
      </c>
      <c r="UON108" s="1" t="s">
        <v>122</v>
      </c>
      <c r="UOO108" s="1" t="s">
        <v>122</v>
      </c>
      <c r="UOP108" s="1" t="s">
        <v>122</v>
      </c>
      <c r="UOQ108" s="1" t="s">
        <v>122</v>
      </c>
      <c r="UOR108" s="1" t="s">
        <v>122</v>
      </c>
      <c r="UOS108" s="1" t="s">
        <v>122</v>
      </c>
      <c r="UOT108" s="1" t="s">
        <v>122</v>
      </c>
      <c r="UOU108" s="1" t="s">
        <v>122</v>
      </c>
      <c r="UOV108" s="1" t="s">
        <v>122</v>
      </c>
      <c r="UOW108" s="1" t="s">
        <v>122</v>
      </c>
      <c r="UOX108" s="1" t="s">
        <v>122</v>
      </c>
      <c r="UOY108" s="1" t="s">
        <v>122</v>
      </c>
      <c r="UOZ108" s="1" t="s">
        <v>122</v>
      </c>
      <c r="UPA108" s="1" t="s">
        <v>122</v>
      </c>
      <c r="UPB108" s="1" t="s">
        <v>122</v>
      </c>
      <c r="UPC108" s="1" t="s">
        <v>122</v>
      </c>
      <c r="UPD108" s="1" t="s">
        <v>122</v>
      </c>
      <c r="UPE108" s="1" t="s">
        <v>122</v>
      </c>
      <c r="UPF108" s="1" t="s">
        <v>122</v>
      </c>
      <c r="UPG108" s="1" t="s">
        <v>122</v>
      </c>
      <c r="UPH108" s="1" t="s">
        <v>122</v>
      </c>
      <c r="UPI108" s="1" t="s">
        <v>122</v>
      </c>
      <c r="UPJ108" s="1" t="s">
        <v>122</v>
      </c>
      <c r="UPK108" s="1" t="s">
        <v>122</v>
      </c>
      <c r="UPL108" s="1" t="s">
        <v>122</v>
      </c>
      <c r="UPM108" s="1" t="s">
        <v>122</v>
      </c>
      <c r="UPN108" s="1" t="s">
        <v>122</v>
      </c>
      <c r="UPO108" s="1" t="s">
        <v>122</v>
      </c>
      <c r="UPP108" s="1" t="s">
        <v>122</v>
      </c>
      <c r="UPQ108" s="1" t="s">
        <v>122</v>
      </c>
      <c r="UPR108" s="1" t="s">
        <v>122</v>
      </c>
      <c r="UPS108" s="1" t="s">
        <v>122</v>
      </c>
      <c r="UPT108" s="1" t="s">
        <v>122</v>
      </c>
      <c r="UPU108" s="1" t="s">
        <v>122</v>
      </c>
      <c r="UPV108" s="1" t="s">
        <v>122</v>
      </c>
      <c r="UPW108" s="1" t="s">
        <v>122</v>
      </c>
      <c r="UPX108" s="1" t="s">
        <v>122</v>
      </c>
      <c r="UPY108" s="1" t="s">
        <v>122</v>
      </c>
      <c r="UPZ108" s="1" t="s">
        <v>122</v>
      </c>
      <c r="UQA108" s="1" t="s">
        <v>122</v>
      </c>
      <c r="UQB108" s="1" t="s">
        <v>122</v>
      </c>
      <c r="UQC108" s="1" t="s">
        <v>122</v>
      </c>
      <c r="UQD108" s="1" t="s">
        <v>122</v>
      </c>
      <c r="UQE108" s="1" t="s">
        <v>122</v>
      </c>
      <c r="UQF108" s="1" t="s">
        <v>122</v>
      </c>
      <c r="UQG108" s="1" t="s">
        <v>122</v>
      </c>
      <c r="UQH108" s="1" t="s">
        <v>122</v>
      </c>
      <c r="UQI108" s="1" t="s">
        <v>122</v>
      </c>
      <c r="UQJ108" s="1" t="s">
        <v>122</v>
      </c>
      <c r="UQK108" s="1" t="s">
        <v>122</v>
      </c>
      <c r="UQL108" s="1" t="s">
        <v>122</v>
      </c>
      <c r="UQM108" s="1" t="s">
        <v>122</v>
      </c>
      <c r="UQN108" s="1" t="s">
        <v>122</v>
      </c>
      <c r="UQO108" s="1" t="s">
        <v>122</v>
      </c>
      <c r="UQP108" s="1" t="s">
        <v>122</v>
      </c>
      <c r="UQQ108" s="1" t="s">
        <v>122</v>
      </c>
      <c r="UQR108" s="1" t="s">
        <v>122</v>
      </c>
      <c r="UQS108" s="1" t="s">
        <v>122</v>
      </c>
      <c r="UQT108" s="1" t="s">
        <v>122</v>
      </c>
      <c r="UQU108" s="1" t="s">
        <v>122</v>
      </c>
      <c r="UQV108" s="1" t="s">
        <v>122</v>
      </c>
      <c r="UQW108" s="1" t="s">
        <v>122</v>
      </c>
      <c r="UQX108" s="1" t="s">
        <v>122</v>
      </c>
      <c r="UQY108" s="1" t="s">
        <v>122</v>
      </c>
      <c r="UQZ108" s="1" t="s">
        <v>122</v>
      </c>
      <c r="URA108" s="1" t="s">
        <v>122</v>
      </c>
      <c r="URB108" s="1" t="s">
        <v>122</v>
      </c>
      <c r="URC108" s="1" t="s">
        <v>122</v>
      </c>
      <c r="URD108" s="1" t="s">
        <v>122</v>
      </c>
      <c r="URE108" s="1" t="s">
        <v>122</v>
      </c>
      <c r="URF108" s="1" t="s">
        <v>122</v>
      </c>
      <c r="URG108" s="1" t="s">
        <v>122</v>
      </c>
      <c r="URH108" s="1" t="s">
        <v>122</v>
      </c>
      <c r="URI108" s="1" t="s">
        <v>122</v>
      </c>
      <c r="URJ108" s="1" t="s">
        <v>122</v>
      </c>
      <c r="URK108" s="1" t="s">
        <v>122</v>
      </c>
      <c r="URL108" s="1" t="s">
        <v>122</v>
      </c>
      <c r="URM108" s="1" t="s">
        <v>122</v>
      </c>
      <c r="URN108" s="1" t="s">
        <v>122</v>
      </c>
      <c r="URO108" s="1" t="s">
        <v>122</v>
      </c>
      <c r="URP108" s="1" t="s">
        <v>122</v>
      </c>
      <c r="URQ108" s="1" t="s">
        <v>122</v>
      </c>
      <c r="URR108" s="1" t="s">
        <v>122</v>
      </c>
      <c r="URS108" s="1" t="s">
        <v>122</v>
      </c>
      <c r="URT108" s="1" t="s">
        <v>122</v>
      </c>
      <c r="URU108" s="1" t="s">
        <v>122</v>
      </c>
      <c r="URV108" s="1" t="s">
        <v>122</v>
      </c>
      <c r="URW108" s="1" t="s">
        <v>122</v>
      </c>
      <c r="URX108" s="1" t="s">
        <v>122</v>
      </c>
      <c r="URY108" s="1" t="s">
        <v>122</v>
      </c>
      <c r="URZ108" s="1" t="s">
        <v>122</v>
      </c>
      <c r="USA108" s="1" t="s">
        <v>122</v>
      </c>
      <c r="USB108" s="1" t="s">
        <v>122</v>
      </c>
      <c r="USC108" s="1" t="s">
        <v>122</v>
      </c>
      <c r="USD108" s="1" t="s">
        <v>122</v>
      </c>
      <c r="USE108" s="1" t="s">
        <v>122</v>
      </c>
      <c r="USF108" s="1" t="s">
        <v>122</v>
      </c>
      <c r="USG108" s="1" t="s">
        <v>122</v>
      </c>
      <c r="USH108" s="1" t="s">
        <v>122</v>
      </c>
      <c r="USI108" s="1" t="s">
        <v>122</v>
      </c>
      <c r="USJ108" s="1" t="s">
        <v>122</v>
      </c>
      <c r="USK108" s="1" t="s">
        <v>122</v>
      </c>
      <c r="USL108" s="1" t="s">
        <v>122</v>
      </c>
      <c r="USM108" s="1" t="s">
        <v>122</v>
      </c>
      <c r="USN108" s="1" t="s">
        <v>122</v>
      </c>
      <c r="USO108" s="1" t="s">
        <v>122</v>
      </c>
      <c r="USP108" s="1" t="s">
        <v>122</v>
      </c>
      <c r="USQ108" s="1" t="s">
        <v>122</v>
      </c>
      <c r="USR108" s="1" t="s">
        <v>122</v>
      </c>
      <c r="USS108" s="1" t="s">
        <v>122</v>
      </c>
      <c r="UST108" s="1" t="s">
        <v>122</v>
      </c>
      <c r="USU108" s="1" t="s">
        <v>122</v>
      </c>
      <c r="USV108" s="1" t="s">
        <v>122</v>
      </c>
      <c r="USW108" s="1" t="s">
        <v>122</v>
      </c>
      <c r="USX108" s="1" t="s">
        <v>122</v>
      </c>
      <c r="USY108" s="1" t="s">
        <v>122</v>
      </c>
      <c r="USZ108" s="1" t="s">
        <v>122</v>
      </c>
      <c r="UTA108" s="1" t="s">
        <v>122</v>
      </c>
      <c r="UTB108" s="1" t="s">
        <v>122</v>
      </c>
      <c r="UTC108" s="1" t="s">
        <v>122</v>
      </c>
      <c r="UTD108" s="1" t="s">
        <v>122</v>
      </c>
      <c r="UTE108" s="1" t="s">
        <v>122</v>
      </c>
      <c r="UTF108" s="1" t="s">
        <v>122</v>
      </c>
      <c r="UTG108" s="1" t="s">
        <v>122</v>
      </c>
      <c r="UTH108" s="1" t="s">
        <v>122</v>
      </c>
      <c r="UTI108" s="1" t="s">
        <v>122</v>
      </c>
      <c r="UTJ108" s="1" t="s">
        <v>122</v>
      </c>
      <c r="UTK108" s="1" t="s">
        <v>122</v>
      </c>
      <c r="UTL108" s="1" t="s">
        <v>122</v>
      </c>
      <c r="UTM108" s="1" t="s">
        <v>122</v>
      </c>
      <c r="UTN108" s="1" t="s">
        <v>122</v>
      </c>
      <c r="UTO108" s="1" t="s">
        <v>122</v>
      </c>
      <c r="UTP108" s="1" t="s">
        <v>122</v>
      </c>
      <c r="UTQ108" s="1" t="s">
        <v>122</v>
      </c>
      <c r="UTR108" s="1" t="s">
        <v>122</v>
      </c>
      <c r="UTS108" s="1" t="s">
        <v>122</v>
      </c>
      <c r="UTT108" s="1" t="s">
        <v>122</v>
      </c>
      <c r="UTU108" s="1" t="s">
        <v>122</v>
      </c>
      <c r="UTV108" s="1" t="s">
        <v>122</v>
      </c>
      <c r="UTW108" s="1" t="s">
        <v>122</v>
      </c>
      <c r="UTX108" s="1" t="s">
        <v>122</v>
      </c>
      <c r="UTY108" s="1" t="s">
        <v>122</v>
      </c>
      <c r="UTZ108" s="1" t="s">
        <v>122</v>
      </c>
      <c r="UUA108" s="1" t="s">
        <v>122</v>
      </c>
      <c r="UUB108" s="1" t="s">
        <v>122</v>
      </c>
      <c r="UUC108" s="1" t="s">
        <v>122</v>
      </c>
      <c r="UUD108" s="1" t="s">
        <v>122</v>
      </c>
      <c r="UUE108" s="1" t="s">
        <v>122</v>
      </c>
      <c r="UUF108" s="1" t="s">
        <v>122</v>
      </c>
      <c r="UUG108" s="1" t="s">
        <v>122</v>
      </c>
      <c r="UUH108" s="1" t="s">
        <v>122</v>
      </c>
      <c r="UUI108" s="1" t="s">
        <v>122</v>
      </c>
      <c r="UUJ108" s="1" t="s">
        <v>122</v>
      </c>
      <c r="UUK108" s="1" t="s">
        <v>122</v>
      </c>
      <c r="UUL108" s="1" t="s">
        <v>122</v>
      </c>
      <c r="UUM108" s="1" t="s">
        <v>122</v>
      </c>
      <c r="UUN108" s="1" t="s">
        <v>122</v>
      </c>
      <c r="UUO108" s="1" t="s">
        <v>122</v>
      </c>
      <c r="UUP108" s="1" t="s">
        <v>122</v>
      </c>
      <c r="UUQ108" s="1" t="s">
        <v>122</v>
      </c>
      <c r="UUR108" s="1" t="s">
        <v>122</v>
      </c>
      <c r="UUS108" s="1" t="s">
        <v>122</v>
      </c>
      <c r="UUT108" s="1" t="s">
        <v>122</v>
      </c>
      <c r="UUU108" s="1" t="s">
        <v>122</v>
      </c>
      <c r="UUV108" s="1" t="s">
        <v>122</v>
      </c>
      <c r="UUW108" s="1" t="s">
        <v>122</v>
      </c>
      <c r="UUX108" s="1" t="s">
        <v>122</v>
      </c>
      <c r="UUY108" s="1" t="s">
        <v>122</v>
      </c>
      <c r="UUZ108" s="1" t="s">
        <v>122</v>
      </c>
      <c r="UVA108" s="1" t="s">
        <v>122</v>
      </c>
      <c r="UVB108" s="1" t="s">
        <v>122</v>
      </c>
      <c r="UVC108" s="1" t="s">
        <v>122</v>
      </c>
      <c r="UVD108" s="1" t="s">
        <v>122</v>
      </c>
      <c r="UVE108" s="1" t="s">
        <v>122</v>
      </c>
      <c r="UVF108" s="1" t="s">
        <v>122</v>
      </c>
      <c r="UVG108" s="1" t="s">
        <v>122</v>
      </c>
      <c r="UVH108" s="1" t="s">
        <v>122</v>
      </c>
      <c r="UVI108" s="1" t="s">
        <v>122</v>
      </c>
      <c r="UVJ108" s="1" t="s">
        <v>122</v>
      </c>
      <c r="UVK108" s="1" t="s">
        <v>122</v>
      </c>
      <c r="UVL108" s="1" t="s">
        <v>122</v>
      </c>
      <c r="UVM108" s="1" t="s">
        <v>122</v>
      </c>
      <c r="UVN108" s="1" t="s">
        <v>122</v>
      </c>
      <c r="UVO108" s="1" t="s">
        <v>122</v>
      </c>
      <c r="UVP108" s="1" t="s">
        <v>122</v>
      </c>
      <c r="UVQ108" s="1" t="s">
        <v>122</v>
      </c>
      <c r="UVR108" s="1" t="s">
        <v>122</v>
      </c>
      <c r="UVS108" s="1" t="s">
        <v>122</v>
      </c>
      <c r="UVT108" s="1" t="s">
        <v>122</v>
      </c>
      <c r="UVU108" s="1" t="s">
        <v>122</v>
      </c>
      <c r="UVV108" s="1" t="s">
        <v>122</v>
      </c>
      <c r="UVW108" s="1" t="s">
        <v>122</v>
      </c>
      <c r="UVX108" s="1" t="s">
        <v>122</v>
      </c>
      <c r="UVY108" s="1" t="s">
        <v>122</v>
      </c>
      <c r="UVZ108" s="1" t="s">
        <v>122</v>
      </c>
      <c r="UWA108" s="1" t="s">
        <v>122</v>
      </c>
      <c r="UWB108" s="1" t="s">
        <v>122</v>
      </c>
      <c r="UWC108" s="1" t="s">
        <v>122</v>
      </c>
      <c r="UWD108" s="1" t="s">
        <v>122</v>
      </c>
      <c r="UWE108" s="1" t="s">
        <v>122</v>
      </c>
      <c r="UWF108" s="1" t="s">
        <v>122</v>
      </c>
      <c r="UWG108" s="1" t="s">
        <v>122</v>
      </c>
      <c r="UWH108" s="1" t="s">
        <v>122</v>
      </c>
      <c r="UWI108" s="1" t="s">
        <v>122</v>
      </c>
      <c r="UWJ108" s="1" t="s">
        <v>122</v>
      </c>
      <c r="UWK108" s="1" t="s">
        <v>122</v>
      </c>
      <c r="UWL108" s="1" t="s">
        <v>122</v>
      </c>
      <c r="UWM108" s="1" t="s">
        <v>122</v>
      </c>
      <c r="UWN108" s="1" t="s">
        <v>122</v>
      </c>
      <c r="UWO108" s="1" t="s">
        <v>122</v>
      </c>
      <c r="UWP108" s="1" t="s">
        <v>122</v>
      </c>
      <c r="UWQ108" s="1" t="s">
        <v>122</v>
      </c>
      <c r="UWR108" s="1" t="s">
        <v>122</v>
      </c>
      <c r="UWS108" s="1" t="s">
        <v>122</v>
      </c>
      <c r="UWT108" s="1" t="s">
        <v>122</v>
      </c>
      <c r="UWU108" s="1" t="s">
        <v>122</v>
      </c>
      <c r="UWV108" s="1" t="s">
        <v>122</v>
      </c>
      <c r="UWW108" s="1" t="s">
        <v>122</v>
      </c>
      <c r="UWX108" s="1" t="s">
        <v>122</v>
      </c>
      <c r="UWY108" s="1" t="s">
        <v>122</v>
      </c>
      <c r="UWZ108" s="1" t="s">
        <v>122</v>
      </c>
      <c r="UXA108" s="1" t="s">
        <v>122</v>
      </c>
      <c r="UXB108" s="1" t="s">
        <v>122</v>
      </c>
      <c r="UXC108" s="1" t="s">
        <v>122</v>
      </c>
      <c r="UXD108" s="1" t="s">
        <v>122</v>
      </c>
      <c r="UXE108" s="1" t="s">
        <v>122</v>
      </c>
      <c r="UXF108" s="1" t="s">
        <v>122</v>
      </c>
      <c r="UXG108" s="1" t="s">
        <v>122</v>
      </c>
      <c r="UXH108" s="1" t="s">
        <v>122</v>
      </c>
      <c r="UXI108" s="1" t="s">
        <v>122</v>
      </c>
      <c r="UXJ108" s="1" t="s">
        <v>122</v>
      </c>
      <c r="UXK108" s="1" t="s">
        <v>122</v>
      </c>
      <c r="UXL108" s="1" t="s">
        <v>122</v>
      </c>
      <c r="UXM108" s="1" t="s">
        <v>122</v>
      </c>
      <c r="UXN108" s="1" t="s">
        <v>122</v>
      </c>
      <c r="UXO108" s="1" t="s">
        <v>122</v>
      </c>
      <c r="UXP108" s="1" t="s">
        <v>122</v>
      </c>
      <c r="UXQ108" s="1" t="s">
        <v>122</v>
      </c>
      <c r="UXR108" s="1" t="s">
        <v>122</v>
      </c>
      <c r="UXS108" s="1" t="s">
        <v>122</v>
      </c>
      <c r="UXT108" s="1" t="s">
        <v>122</v>
      </c>
      <c r="UXU108" s="1" t="s">
        <v>122</v>
      </c>
      <c r="UXV108" s="1" t="s">
        <v>122</v>
      </c>
      <c r="UXW108" s="1" t="s">
        <v>122</v>
      </c>
      <c r="UXX108" s="1" t="s">
        <v>122</v>
      </c>
      <c r="UXY108" s="1" t="s">
        <v>122</v>
      </c>
      <c r="UXZ108" s="1" t="s">
        <v>122</v>
      </c>
      <c r="UYA108" s="1" t="s">
        <v>122</v>
      </c>
      <c r="UYB108" s="1" t="s">
        <v>122</v>
      </c>
      <c r="UYC108" s="1" t="s">
        <v>122</v>
      </c>
      <c r="UYD108" s="1" t="s">
        <v>122</v>
      </c>
      <c r="UYE108" s="1" t="s">
        <v>122</v>
      </c>
      <c r="UYF108" s="1" t="s">
        <v>122</v>
      </c>
      <c r="UYG108" s="1" t="s">
        <v>122</v>
      </c>
      <c r="UYH108" s="1" t="s">
        <v>122</v>
      </c>
      <c r="UYI108" s="1" t="s">
        <v>122</v>
      </c>
      <c r="UYJ108" s="1" t="s">
        <v>122</v>
      </c>
      <c r="UYK108" s="1" t="s">
        <v>122</v>
      </c>
      <c r="UYL108" s="1" t="s">
        <v>122</v>
      </c>
      <c r="UYM108" s="1" t="s">
        <v>122</v>
      </c>
      <c r="UYN108" s="1" t="s">
        <v>122</v>
      </c>
      <c r="UYO108" s="1" t="s">
        <v>122</v>
      </c>
      <c r="UYP108" s="1" t="s">
        <v>122</v>
      </c>
      <c r="UYQ108" s="1" t="s">
        <v>122</v>
      </c>
      <c r="UYR108" s="1" t="s">
        <v>122</v>
      </c>
      <c r="UYS108" s="1" t="s">
        <v>122</v>
      </c>
      <c r="UYT108" s="1" t="s">
        <v>122</v>
      </c>
      <c r="UYU108" s="1" t="s">
        <v>122</v>
      </c>
      <c r="UYV108" s="1" t="s">
        <v>122</v>
      </c>
      <c r="UYW108" s="1" t="s">
        <v>122</v>
      </c>
      <c r="UYX108" s="1" t="s">
        <v>122</v>
      </c>
      <c r="UYY108" s="1" t="s">
        <v>122</v>
      </c>
      <c r="UYZ108" s="1" t="s">
        <v>122</v>
      </c>
      <c r="UZA108" s="1" t="s">
        <v>122</v>
      </c>
      <c r="UZB108" s="1" t="s">
        <v>122</v>
      </c>
      <c r="UZC108" s="1" t="s">
        <v>122</v>
      </c>
      <c r="UZD108" s="1" t="s">
        <v>122</v>
      </c>
      <c r="UZE108" s="1" t="s">
        <v>122</v>
      </c>
      <c r="UZF108" s="1" t="s">
        <v>122</v>
      </c>
      <c r="UZG108" s="1" t="s">
        <v>122</v>
      </c>
      <c r="UZH108" s="1" t="s">
        <v>122</v>
      </c>
      <c r="UZI108" s="1" t="s">
        <v>122</v>
      </c>
      <c r="UZJ108" s="1" t="s">
        <v>122</v>
      </c>
      <c r="UZK108" s="1" t="s">
        <v>122</v>
      </c>
      <c r="UZL108" s="1" t="s">
        <v>122</v>
      </c>
      <c r="UZM108" s="1" t="s">
        <v>122</v>
      </c>
      <c r="UZN108" s="1" t="s">
        <v>122</v>
      </c>
      <c r="UZO108" s="1" t="s">
        <v>122</v>
      </c>
      <c r="UZP108" s="1" t="s">
        <v>122</v>
      </c>
      <c r="UZQ108" s="1" t="s">
        <v>122</v>
      </c>
      <c r="UZR108" s="1" t="s">
        <v>122</v>
      </c>
      <c r="UZS108" s="1" t="s">
        <v>122</v>
      </c>
      <c r="UZT108" s="1" t="s">
        <v>122</v>
      </c>
      <c r="UZU108" s="1" t="s">
        <v>122</v>
      </c>
      <c r="UZV108" s="1" t="s">
        <v>122</v>
      </c>
      <c r="UZW108" s="1" t="s">
        <v>122</v>
      </c>
      <c r="UZX108" s="1" t="s">
        <v>122</v>
      </c>
      <c r="UZY108" s="1" t="s">
        <v>122</v>
      </c>
      <c r="UZZ108" s="1" t="s">
        <v>122</v>
      </c>
      <c r="VAA108" s="1" t="s">
        <v>122</v>
      </c>
      <c r="VAB108" s="1" t="s">
        <v>122</v>
      </c>
      <c r="VAC108" s="1" t="s">
        <v>122</v>
      </c>
      <c r="VAD108" s="1" t="s">
        <v>122</v>
      </c>
      <c r="VAE108" s="1" t="s">
        <v>122</v>
      </c>
      <c r="VAF108" s="1" t="s">
        <v>122</v>
      </c>
      <c r="VAG108" s="1" t="s">
        <v>122</v>
      </c>
      <c r="VAH108" s="1" t="s">
        <v>122</v>
      </c>
      <c r="VAI108" s="1" t="s">
        <v>122</v>
      </c>
      <c r="VAJ108" s="1" t="s">
        <v>122</v>
      </c>
      <c r="VAK108" s="1" t="s">
        <v>122</v>
      </c>
      <c r="VAL108" s="1" t="s">
        <v>122</v>
      </c>
      <c r="VAM108" s="1" t="s">
        <v>122</v>
      </c>
      <c r="VAN108" s="1" t="s">
        <v>122</v>
      </c>
      <c r="VAO108" s="1" t="s">
        <v>122</v>
      </c>
      <c r="VAP108" s="1" t="s">
        <v>122</v>
      </c>
      <c r="VAQ108" s="1" t="s">
        <v>122</v>
      </c>
      <c r="VAR108" s="1" t="s">
        <v>122</v>
      </c>
      <c r="VAS108" s="1" t="s">
        <v>122</v>
      </c>
      <c r="VAT108" s="1" t="s">
        <v>122</v>
      </c>
      <c r="VAU108" s="1" t="s">
        <v>122</v>
      </c>
      <c r="VAV108" s="1" t="s">
        <v>122</v>
      </c>
      <c r="VAW108" s="1" t="s">
        <v>122</v>
      </c>
      <c r="VAX108" s="1" t="s">
        <v>122</v>
      </c>
      <c r="VAY108" s="1" t="s">
        <v>122</v>
      </c>
      <c r="VAZ108" s="1" t="s">
        <v>122</v>
      </c>
      <c r="VBA108" s="1" t="s">
        <v>122</v>
      </c>
      <c r="VBB108" s="1" t="s">
        <v>122</v>
      </c>
      <c r="VBC108" s="1" t="s">
        <v>122</v>
      </c>
      <c r="VBD108" s="1" t="s">
        <v>122</v>
      </c>
      <c r="VBE108" s="1" t="s">
        <v>122</v>
      </c>
      <c r="VBF108" s="1" t="s">
        <v>122</v>
      </c>
      <c r="VBG108" s="1" t="s">
        <v>122</v>
      </c>
      <c r="VBH108" s="1" t="s">
        <v>122</v>
      </c>
      <c r="VBI108" s="1" t="s">
        <v>122</v>
      </c>
      <c r="VBJ108" s="1" t="s">
        <v>122</v>
      </c>
      <c r="VBK108" s="1" t="s">
        <v>122</v>
      </c>
      <c r="VBL108" s="1" t="s">
        <v>122</v>
      </c>
      <c r="VBM108" s="1" t="s">
        <v>122</v>
      </c>
      <c r="VBN108" s="1" t="s">
        <v>122</v>
      </c>
      <c r="VBO108" s="1" t="s">
        <v>122</v>
      </c>
      <c r="VBP108" s="1" t="s">
        <v>122</v>
      </c>
      <c r="VBQ108" s="1" t="s">
        <v>122</v>
      </c>
      <c r="VBR108" s="1" t="s">
        <v>122</v>
      </c>
      <c r="VBS108" s="1" t="s">
        <v>122</v>
      </c>
      <c r="VBT108" s="1" t="s">
        <v>122</v>
      </c>
      <c r="VBU108" s="1" t="s">
        <v>122</v>
      </c>
      <c r="VBV108" s="1" t="s">
        <v>122</v>
      </c>
      <c r="VBW108" s="1" t="s">
        <v>122</v>
      </c>
      <c r="VBX108" s="1" t="s">
        <v>122</v>
      </c>
      <c r="VBY108" s="1" t="s">
        <v>122</v>
      </c>
      <c r="VBZ108" s="1" t="s">
        <v>122</v>
      </c>
      <c r="VCA108" s="1" t="s">
        <v>122</v>
      </c>
      <c r="VCB108" s="1" t="s">
        <v>122</v>
      </c>
      <c r="VCC108" s="1" t="s">
        <v>122</v>
      </c>
      <c r="VCD108" s="1" t="s">
        <v>122</v>
      </c>
      <c r="VCE108" s="1" t="s">
        <v>122</v>
      </c>
      <c r="VCF108" s="1" t="s">
        <v>122</v>
      </c>
      <c r="VCG108" s="1" t="s">
        <v>122</v>
      </c>
      <c r="VCH108" s="1" t="s">
        <v>122</v>
      </c>
      <c r="VCI108" s="1" t="s">
        <v>122</v>
      </c>
      <c r="VCJ108" s="1" t="s">
        <v>122</v>
      </c>
      <c r="VCK108" s="1" t="s">
        <v>122</v>
      </c>
      <c r="VCL108" s="1" t="s">
        <v>122</v>
      </c>
      <c r="VCM108" s="1" t="s">
        <v>122</v>
      </c>
      <c r="VCN108" s="1" t="s">
        <v>122</v>
      </c>
      <c r="VCO108" s="1" t="s">
        <v>122</v>
      </c>
      <c r="VCP108" s="1" t="s">
        <v>122</v>
      </c>
      <c r="VCQ108" s="1" t="s">
        <v>122</v>
      </c>
      <c r="VCR108" s="1" t="s">
        <v>122</v>
      </c>
      <c r="VCS108" s="1" t="s">
        <v>122</v>
      </c>
      <c r="VCT108" s="1" t="s">
        <v>122</v>
      </c>
      <c r="VCU108" s="1" t="s">
        <v>122</v>
      </c>
      <c r="VCV108" s="1" t="s">
        <v>122</v>
      </c>
      <c r="VCW108" s="1" t="s">
        <v>122</v>
      </c>
      <c r="VCX108" s="1" t="s">
        <v>122</v>
      </c>
      <c r="VCY108" s="1" t="s">
        <v>122</v>
      </c>
      <c r="VCZ108" s="1" t="s">
        <v>122</v>
      </c>
      <c r="VDA108" s="1" t="s">
        <v>122</v>
      </c>
      <c r="VDB108" s="1" t="s">
        <v>122</v>
      </c>
      <c r="VDC108" s="1" t="s">
        <v>122</v>
      </c>
      <c r="VDD108" s="1" t="s">
        <v>122</v>
      </c>
      <c r="VDE108" s="1" t="s">
        <v>122</v>
      </c>
      <c r="VDF108" s="1" t="s">
        <v>122</v>
      </c>
      <c r="VDG108" s="1" t="s">
        <v>122</v>
      </c>
      <c r="VDH108" s="1" t="s">
        <v>122</v>
      </c>
      <c r="VDI108" s="1" t="s">
        <v>122</v>
      </c>
      <c r="VDJ108" s="1" t="s">
        <v>122</v>
      </c>
      <c r="VDK108" s="1" t="s">
        <v>122</v>
      </c>
      <c r="VDL108" s="1" t="s">
        <v>122</v>
      </c>
      <c r="VDM108" s="1" t="s">
        <v>122</v>
      </c>
      <c r="VDN108" s="1" t="s">
        <v>122</v>
      </c>
      <c r="VDO108" s="1" t="s">
        <v>122</v>
      </c>
      <c r="VDP108" s="1" t="s">
        <v>122</v>
      </c>
      <c r="VDQ108" s="1" t="s">
        <v>122</v>
      </c>
      <c r="VDR108" s="1" t="s">
        <v>122</v>
      </c>
      <c r="VDS108" s="1" t="s">
        <v>122</v>
      </c>
      <c r="VDT108" s="1" t="s">
        <v>122</v>
      </c>
      <c r="VDU108" s="1" t="s">
        <v>122</v>
      </c>
      <c r="VDV108" s="1" t="s">
        <v>122</v>
      </c>
      <c r="VDW108" s="1" t="s">
        <v>122</v>
      </c>
      <c r="VDX108" s="1" t="s">
        <v>122</v>
      </c>
      <c r="VDY108" s="1" t="s">
        <v>122</v>
      </c>
      <c r="VDZ108" s="1" t="s">
        <v>122</v>
      </c>
      <c r="VEA108" s="1" t="s">
        <v>122</v>
      </c>
      <c r="VEB108" s="1" t="s">
        <v>122</v>
      </c>
      <c r="VEC108" s="1" t="s">
        <v>122</v>
      </c>
      <c r="VED108" s="1" t="s">
        <v>122</v>
      </c>
      <c r="VEE108" s="1" t="s">
        <v>122</v>
      </c>
      <c r="VEF108" s="1" t="s">
        <v>122</v>
      </c>
      <c r="VEG108" s="1" t="s">
        <v>122</v>
      </c>
      <c r="VEH108" s="1" t="s">
        <v>122</v>
      </c>
      <c r="VEI108" s="1" t="s">
        <v>122</v>
      </c>
      <c r="VEJ108" s="1" t="s">
        <v>122</v>
      </c>
      <c r="VEK108" s="1" t="s">
        <v>122</v>
      </c>
      <c r="VEL108" s="1" t="s">
        <v>122</v>
      </c>
      <c r="VEM108" s="1" t="s">
        <v>122</v>
      </c>
      <c r="VEN108" s="1" t="s">
        <v>122</v>
      </c>
      <c r="VEO108" s="1" t="s">
        <v>122</v>
      </c>
      <c r="VEP108" s="1" t="s">
        <v>122</v>
      </c>
      <c r="VEQ108" s="1" t="s">
        <v>122</v>
      </c>
      <c r="VER108" s="1" t="s">
        <v>122</v>
      </c>
      <c r="VES108" s="1" t="s">
        <v>122</v>
      </c>
      <c r="VET108" s="1" t="s">
        <v>122</v>
      </c>
      <c r="VEU108" s="1" t="s">
        <v>122</v>
      </c>
      <c r="VEV108" s="1" t="s">
        <v>122</v>
      </c>
      <c r="VEW108" s="1" t="s">
        <v>122</v>
      </c>
      <c r="VEX108" s="1" t="s">
        <v>122</v>
      </c>
      <c r="VEY108" s="1" t="s">
        <v>122</v>
      </c>
      <c r="VEZ108" s="1" t="s">
        <v>122</v>
      </c>
      <c r="VFA108" s="1" t="s">
        <v>122</v>
      </c>
      <c r="VFB108" s="1" t="s">
        <v>122</v>
      </c>
      <c r="VFC108" s="1" t="s">
        <v>122</v>
      </c>
      <c r="VFD108" s="1" t="s">
        <v>122</v>
      </c>
      <c r="VFE108" s="1" t="s">
        <v>122</v>
      </c>
      <c r="VFF108" s="1" t="s">
        <v>122</v>
      </c>
      <c r="VFG108" s="1" t="s">
        <v>122</v>
      </c>
      <c r="VFH108" s="1" t="s">
        <v>122</v>
      </c>
      <c r="VFI108" s="1" t="s">
        <v>122</v>
      </c>
      <c r="VFJ108" s="1" t="s">
        <v>122</v>
      </c>
      <c r="VFK108" s="1" t="s">
        <v>122</v>
      </c>
      <c r="VFL108" s="1" t="s">
        <v>122</v>
      </c>
      <c r="VFM108" s="1" t="s">
        <v>122</v>
      </c>
      <c r="VFN108" s="1" t="s">
        <v>122</v>
      </c>
      <c r="VFO108" s="1" t="s">
        <v>122</v>
      </c>
      <c r="VFP108" s="1" t="s">
        <v>122</v>
      </c>
      <c r="VFQ108" s="1" t="s">
        <v>122</v>
      </c>
      <c r="VFR108" s="1" t="s">
        <v>122</v>
      </c>
      <c r="VFS108" s="1" t="s">
        <v>122</v>
      </c>
      <c r="VFT108" s="1" t="s">
        <v>122</v>
      </c>
      <c r="VFU108" s="1" t="s">
        <v>122</v>
      </c>
      <c r="VFV108" s="1" t="s">
        <v>122</v>
      </c>
      <c r="VFW108" s="1" t="s">
        <v>122</v>
      </c>
      <c r="VFX108" s="1" t="s">
        <v>122</v>
      </c>
      <c r="VFY108" s="1" t="s">
        <v>122</v>
      </c>
      <c r="VFZ108" s="1" t="s">
        <v>122</v>
      </c>
      <c r="VGA108" s="1" t="s">
        <v>122</v>
      </c>
      <c r="VGB108" s="1" t="s">
        <v>122</v>
      </c>
      <c r="VGC108" s="1" t="s">
        <v>122</v>
      </c>
      <c r="VGD108" s="1" t="s">
        <v>122</v>
      </c>
      <c r="VGE108" s="1" t="s">
        <v>122</v>
      </c>
      <c r="VGF108" s="1" t="s">
        <v>122</v>
      </c>
      <c r="VGG108" s="1" t="s">
        <v>122</v>
      </c>
      <c r="VGH108" s="1" t="s">
        <v>122</v>
      </c>
      <c r="VGI108" s="1" t="s">
        <v>122</v>
      </c>
      <c r="VGJ108" s="1" t="s">
        <v>122</v>
      </c>
      <c r="VGK108" s="1" t="s">
        <v>122</v>
      </c>
      <c r="VGL108" s="1" t="s">
        <v>122</v>
      </c>
      <c r="VGM108" s="1" t="s">
        <v>122</v>
      </c>
      <c r="VGN108" s="1" t="s">
        <v>122</v>
      </c>
      <c r="VGO108" s="1" t="s">
        <v>122</v>
      </c>
      <c r="VGP108" s="1" t="s">
        <v>122</v>
      </c>
      <c r="VGQ108" s="1" t="s">
        <v>122</v>
      </c>
      <c r="VGR108" s="1" t="s">
        <v>122</v>
      </c>
      <c r="VGS108" s="1" t="s">
        <v>122</v>
      </c>
      <c r="VGT108" s="1" t="s">
        <v>122</v>
      </c>
      <c r="VGU108" s="1" t="s">
        <v>122</v>
      </c>
      <c r="VGV108" s="1" t="s">
        <v>122</v>
      </c>
      <c r="VGW108" s="1" t="s">
        <v>122</v>
      </c>
      <c r="VGX108" s="1" t="s">
        <v>122</v>
      </c>
      <c r="VGY108" s="1" t="s">
        <v>122</v>
      </c>
      <c r="VGZ108" s="1" t="s">
        <v>122</v>
      </c>
      <c r="VHA108" s="1" t="s">
        <v>122</v>
      </c>
      <c r="VHB108" s="1" t="s">
        <v>122</v>
      </c>
      <c r="VHC108" s="1" t="s">
        <v>122</v>
      </c>
      <c r="VHD108" s="1" t="s">
        <v>122</v>
      </c>
      <c r="VHE108" s="1" t="s">
        <v>122</v>
      </c>
      <c r="VHF108" s="1" t="s">
        <v>122</v>
      </c>
      <c r="VHG108" s="1" t="s">
        <v>122</v>
      </c>
      <c r="VHH108" s="1" t="s">
        <v>122</v>
      </c>
      <c r="VHI108" s="1" t="s">
        <v>122</v>
      </c>
      <c r="VHJ108" s="1" t="s">
        <v>122</v>
      </c>
      <c r="VHK108" s="1" t="s">
        <v>122</v>
      </c>
      <c r="VHL108" s="1" t="s">
        <v>122</v>
      </c>
      <c r="VHM108" s="1" t="s">
        <v>122</v>
      </c>
      <c r="VHN108" s="1" t="s">
        <v>122</v>
      </c>
      <c r="VHO108" s="1" t="s">
        <v>122</v>
      </c>
      <c r="VHP108" s="1" t="s">
        <v>122</v>
      </c>
      <c r="VHQ108" s="1" t="s">
        <v>122</v>
      </c>
      <c r="VHR108" s="1" t="s">
        <v>122</v>
      </c>
      <c r="VHS108" s="1" t="s">
        <v>122</v>
      </c>
      <c r="VHT108" s="1" t="s">
        <v>122</v>
      </c>
      <c r="VHU108" s="1" t="s">
        <v>122</v>
      </c>
      <c r="VHV108" s="1" t="s">
        <v>122</v>
      </c>
      <c r="VHW108" s="1" t="s">
        <v>122</v>
      </c>
      <c r="VHX108" s="1" t="s">
        <v>122</v>
      </c>
      <c r="VHY108" s="1" t="s">
        <v>122</v>
      </c>
      <c r="VHZ108" s="1" t="s">
        <v>122</v>
      </c>
      <c r="VIA108" s="1" t="s">
        <v>122</v>
      </c>
      <c r="VIB108" s="1" t="s">
        <v>122</v>
      </c>
      <c r="VIC108" s="1" t="s">
        <v>122</v>
      </c>
      <c r="VID108" s="1" t="s">
        <v>122</v>
      </c>
      <c r="VIE108" s="1" t="s">
        <v>122</v>
      </c>
      <c r="VIF108" s="1" t="s">
        <v>122</v>
      </c>
      <c r="VIG108" s="1" t="s">
        <v>122</v>
      </c>
      <c r="VIH108" s="1" t="s">
        <v>122</v>
      </c>
      <c r="VII108" s="1" t="s">
        <v>122</v>
      </c>
      <c r="VIJ108" s="1" t="s">
        <v>122</v>
      </c>
      <c r="VIK108" s="1" t="s">
        <v>122</v>
      </c>
      <c r="VIL108" s="1" t="s">
        <v>122</v>
      </c>
      <c r="VIM108" s="1" t="s">
        <v>122</v>
      </c>
      <c r="VIN108" s="1" t="s">
        <v>122</v>
      </c>
      <c r="VIO108" s="1" t="s">
        <v>122</v>
      </c>
      <c r="VIP108" s="1" t="s">
        <v>122</v>
      </c>
      <c r="VIQ108" s="1" t="s">
        <v>122</v>
      </c>
      <c r="VIR108" s="1" t="s">
        <v>122</v>
      </c>
      <c r="VIS108" s="1" t="s">
        <v>122</v>
      </c>
      <c r="VIT108" s="1" t="s">
        <v>122</v>
      </c>
      <c r="VIU108" s="1" t="s">
        <v>122</v>
      </c>
      <c r="VIV108" s="1" t="s">
        <v>122</v>
      </c>
      <c r="VIW108" s="1" t="s">
        <v>122</v>
      </c>
      <c r="VIX108" s="1" t="s">
        <v>122</v>
      </c>
      <c r="VIY108" s="1" t="s">
        <v>122</v>
      </c>
      <c r="VIZ108" s="1" t="s">
        <v>122</v>
      </c>
      <c r="VJA108" s="1" t="s">
        <v>122</v>
      </c>
      <c r="VJB108" s="1" t="s">
        <v>122</v>
      </c>
      <c r="VJC108" s="1" t="s">
        <v>122</v>
      </c>
      <c r="VJD108" s="1" t="s">
        <v>122</v>
      </c>
      <c r="VJE108" s="1" t="s">
        <v>122</v>
      </c>
      <c r="VJF108" s="1" t="s">
        <v>122</v>
      </c>
      <c r="VJG108" s="1" t="s">
        <v>122</v>
      </c>
      <c r="VJH108" s="1" t="s">
        <v>122</v>
      </c>
      <c r="VJI108" s="1" t="s">
        <v>122</v>
      </c>
      <c r="VJJ108" s="1" t="s">
        <v>122</v>
      </c>
      <c r="VJK108" s="1" t="s">
        <v>122</v>
      </c>
      <c r="VJL108" s="1" t="s">
        <v>122</v>
      </c>
      <c r="VJM108" s="1" t="s">
        <v>122</v>
      </c>
      <c r="VJN108" s="1" t="s">
        <v>122</v>
      </c>
      <c r="VJO108" s="1" t="s">
        <v>122</v>
      </c>
      <c r="VJP108" s="1" t="s">
        <v>122</v>
      </c>
      <c r="VJQ108" s="1" t="s">
        <v>122</v>
      </c>
      <c r="VJR108" s="1" t="s">
        <v>122</v>
      </c>
      <c r="VJS108" s="1" t="s">
        <v>122</v>
      </c>
      <c r="VJT108" s="1" t="s">
        <v>122</v>
      </c>
      <c r="VJU108" s="1" t="s">
        <v>122</v>
      </c>
      <c r="VJV108" s="1" t="s">
        <v>122</v>
      </c>
      <c r="VJW108" s="1" t="s">
        <v>122</v>
      </c>
      <c r="VJX108" s="1" t="s">
        <v>122</v>
      </c>
      <c r="VJY108" s="1" t="s">
        <v>122</v>
      </c>
      <c r="VJZ108" s="1" t="s">
        <v>122</v>
      </c>
      <c r="VKA108" s="1" t="s">
        <v>122</v>
      </c>
      <c r="VKB108" s="1" t="s">
        <v>122</v>
      </c>
      <c r="VKC108" s="1" t="s">
        <v>122</v>
      </c>
      <c r="VKD108" s="1" t="s">
        <v>122</v>
      </c>
      <c r="VKE108" s="1" t="s">
        <v>122</v>
      </c>
      <c r="VKF108" s="1" t="s">
        <v>122</v>
      </c>
      <c r="VKG108" s="1" t="s">
        <v>122</v>
      </c>
      <c r="VKH108" s="1" t="s">
        <v>122</v>
      </c>
      <c r="VKI108" s="1" t="s">
        <v>122</v>
      </c>
      <c r="VKJ108" s="1" t="s">
        <v>122</v>
      </c>
      <c r="VKK108" s="1" t="s">
        <v>122</v>
      </c>
      <c r="VKL108" s="1" t="s">
        <v>122</v>
      </c>
      <c r="VKM108" s="1" t="s">
        <v>122</v>
      </c>
      <c r="VKN108" s="1" t="s">
        <v>122</v>
      </c>
      <c r="VKO108" s="1" t="s">
        <v>122</v>
      </c>
      <c r="VKP108" s="1" t="s">
        <v>122</v>
      </c>
      <c r="VKQ108" s="1" t="s">
        <v>122</v>
      </c>
      <c r="VKR108" s="1" t="s">
        <v>122</v>
      </c>
      <c r="VKS108" s="1" t="s">
        <v>122</v>
      </c>
      <c r="VKT108" s="1" t="s">
        <v>122</v>
      </c>
      <c r="VKU108" s="1" t="s">
        <v>122</v>
      </c>
      <c r="VKV108" s="1" t="s">
        <v>122</v>
      </c>
      <c r="VKW108" s="1" t="s">
        <v>122</v>
      </c>
      <c r="VKX108" s="1" t="s">
        <v>122</v>
      </c>
      <c r="VKY108" s="1" t="s">
        <v>122</v>
      </c>
      <c r="VKZ108" s="1" t="s">
        <v>122</v>
      </c>
      <c r="VLA108" s="1" t="s">
        <v>122</v>
      </c>
      <c r="VLB108" s="1" t="s">
        <v>122</v>
      </c>
      <c r="VLC108" s="1" t="s">
        <v>122</v>
      </c>
      <c r="VLD108" s="1" t="s">
        <v>122</v>
      </c>
      <c r="VLE108" s="1" t="s">
        <v>122</v>
      </c>
      <c r="VLF108" s="1" t="s">
        <v>122</v>
      </c>
      <c r="VLG108" s="1" t="s">
        <v>122</v>
      </c>
      <c r="VLH108" s="1" t="s">
        <v>122</v>
      </c>
      <c r="VLI108" s="1" t="s">
        <v>122</v>
      </c>
      <c r="VLJ108" s="1" t="s">
        <v>122</v>
      </c>
      <c r="VLK108" s="1" t="s">
        <v>122</v>
      </c>
      <c r="VLL108" s="1" t="s">
        <v>122</v>
      </c>
      <c r="VLM108" s="1" t="s">
        <v>122</v>
      </c>
      <c r="VLN108" s="1" t="s">
        <v>122</v>
      </c>
      <c r="VLO108" s="1" t="s">
        <v>122</v>
      </c>
      <c r="VLP108" s="1" t="s">
        <v>122</v>
      </c>
      <c r="VLQ108" s="1" t="s">
        <v>122</v>
      </c>
      <c r="VLR108" s="1" t="s">
        <v>122</v>
      </c>
      <c r="VLS108" s="1" t="s">
        <v>122</v>
      </c>
      <c r="VLT108" s="1" t="s">
        <v>122</v>
      </c>
      <c r="VLU108" s="1" t="s">
        <v>122</v>
      </c>
      <c r="VLV108" s="1" t="s">
        <v>122</v>
      </c>
      <c r="VLW108" s="1" t="s">
        <v>122</v>
      </c>
      <c r="VLX108" s="1" t="s">
        <v>122</v>
      </c>
      <c r="VLY108" s="1" t="s">
        <v>122</v>
      </c>
      <c r="VLZ108" s="1" t="s">
        <v>122</v>
      </c>
      <c r="VMA108" s="1" t="s">
        <v>122</v>
      </c>
      <c r="VMB108" s="1" t="s">
        <v>122</v>
      </c>
      <c r="VMC108" s="1" t="s">
        <v>122</v>
      </c>
      <c r="VMD108" s="1" t="s">
        <v>122</v>
      </c>
      <c r="VME108" s="1" t="s">
        <v>122</v>
      </c>
      <c r="VMF108" s="1" t="s">
        <v>122</v>
      </c>
      <c r="VMG108" s="1" t="s">
        <v>122</v>
      </c>
      <c r="VMH108" s="1" t="s">
        <v>122</v>
      </c>
      <c r="VMI108" s="1" t="s">
        <v>122</v>
      </c>
      <c r="VMJ108" s="1" t="s">
        <v>122</v>
      </c>
      <c r="VMK108" s="1" t="s">
        <v>122</v>
      </c>
      <c r="VML108" s="1" t="s">
        <v>122</v>
      </c>
      <c r="VMM108" s="1" t="s">
        <v>122</v>
      </c>
      <c r="VMN108" s="1" t="s">
        <v>122</v>
      </c>
      <c r="VMO108" s="1" t="s">
        <v>122</v>
      </c>
      <c r="VMP108" s="1" t="s">
        <v>122</v>
      </c>
      <c r="VMQ108" s="1" t="s">
        <v>122</v>
      </c>
      <c r="VMR108" s="1" t="s">
        <v>122</v>
      </c>
      <c r="VMS108" s="1" t="s">
        <v>122</v>
      </c>
      <c r="VMT108" s="1" t="s">
        <v>122</v>
      </c>
      <c r="VMU108" s="1" t="s">
        <v>122</v>
      </c>
      <c r="VMV108" s="1" t="s">
        <v>122</v>
      </c>
      <c r="VMW108" s="1" t="s">
        <v>122</v>
      </c>
      <c r="VMX108" s="1" t="s">
        <v>122</v>
      </c>
      <c r="VMY108" s="1" t="s">
        <v>122</v>
      </c>
      <c r="VMZ108" s="1" t="s">
        <v>122</v>
      </c>
      <c r="VNA108" s="1" t="s">
        <v>122</v>
      </c>
      <c r="VNB108" s="1" t="s">
        <v>122</v>
      </c>
      <c r="VNC108" s="1" t="s">
        <v>122</v>
      </c>
      <c r="VND108" s="1" t="s">
        <v>122</v>
      </c>
      <c r="VNE108" s="1" t="s">
        <v>122</v>
      </c>
      <c r="VNF108" s="1" t="s">
        <v>122</v>
      </c>
      <c r="VNG108" s="1" t="s">
        <v>122</v>
      </c>
      <c r="VNH108" s="1" t="s">
        <v>122</v>
      </c>
      <c r="VNI108" s="1" t="s">
        <v>122</v>
      </c>
      <c r="VNJ108" s="1" t="s">
        <v>122</v>
      </c>
      <c r="VNK108" s="1" t="s">
        <v>122</v>
      </c>
      <c r="VNL108" s="1" t="s">
        <v>122</v>
      </c>
      <c r="VNM108" s="1" t="s">
        <v>122</v>
      </c>
      <c r="VNN108" s="1" t="s">
        <v>122</v>
      </c>
      <c r="VNO108" s="1" t="s">
        <v>122</v>
      </c>
      <c r="VNP108" s="1" t="s">
        <v>122</v>
      </c>
      <c r="VNQ108" s="1" t="s">
        <v>122</v>
      </c>
      <c r="VNR108" s="1" t="s">
        <v>122</v>
      </c>
      <c r="VNS108" s="1" t="s">
        <v>122</v>
      </c>
      <c r="VNT108" s="1" t="s">
        <v>122</v>
      </c>
      <c r="VNU108" s="1" t="s">
        <v>122</v>
      </c>
      <c r="VNV108" s="1" t="s">
        <v>122</v>
      </c>
      <c r="VNW108" s="1" t="s">
        <v>122</v>
      </c>
      <c r="VNX108" s="1" t="s">
        <v>122</v>
      </c>
      <c r="VNY108" s="1" t="s">
        <v>122</v>
      </c>
      <c r="VNZ108" s="1" t="s">
        <v>122</v>
      </c>
      <c r="VOA108" s="1" t="s">
        <v>122</v>
      </c>
      <c r="VOB108" s="1" t="s">
        <v>122</v>
      </c>
      <c r="VOC108" s="1" t="s">
        <v>122</v>
      </c>
      <c r="VOD108" s="1" t="s">
        <v>122</v>
      </c>
      <c r="VOE108" s="1" t="s">
        <v>122</v>
      </c>
      <c r="VOF108" s="1" t="s">
        <v>122</v>
      </c>
      <c r="VOG108" s="1" t="s">
        <v>122</v>
      </c>
      <c r="VOH108" s="1" t="s">
        <v>122</v>
      </c>
      <c r="VOI108" s="1" t="s">
        <v>122</v>
      </c>
      <c r="VOJ108" s="1" t="s">
        <v>122</v>
      </c>
      <c r="VOK108" s="1" t="s">
        <v>122</v>
      </c>
      <c r="VOL108" s="1" t="s">
        <v>122</v>
      </c>
      <c r="VOM108" s="1" t="s">
        <v>122</v>
      </c>
      <c r="VON108" s="1" t="s">
        <v>122</v>
      </c>
      <c r="VOO108" s="1" t="s">
        <v>122</v>
      </c>
      <c r="VOP108" s="1" t="s">
        <v>122</v>
      </c>
      <c r="VOQ108" s="1" t="s">
        <v>122</v>
      </c>
      <c r="VOR108" s="1" t="s">
        <v>122</v>
      </c>
      <c r="VOS108" s="1" t="s">
        <v>122</v>
      </c>
      <c r="VOT108" s="1" t="s">
        <v>122</v>
      </c>
      <c r="VOU108" s="1" t="s">
        <v>122</v>
      </c>
      <c r="VOV108" s="1" t="s">
        <v>122</v>
      </c>
      <c r="VOW108" s="1" t="s">
        <v>122</v>
      </c>
      <c r="VOX108" s="1" t="s">
        <v>122</v>
      </c>
      <c r="VOY108" s="1" t="s">
        <v>122</v>
      </c>
      <c r="VOZ108" s="1" t="s">
        <v>122</v>
      </c>
      <c r="VPA108" s="1" t="s">
        <v>122</v>
      </c>
      <c r="VPB108" s="1" t="s">
        <v>122</v>
      </c>
      <c r="VPC108" s="1" t="s">
        <v>122</v>
      </c>
      <c r="VPD108" s="1" t="s">
        <v>122</v>
      </c>
      <c r="VPE108" s="1" t="s">
        <v>122</v>
      </c>
      <c r="VPF108" s="1" t="s">
        <v>122</v>
      </c>
      <c r="VPG108" s="1" t="s">
        <v>122</v>
      </c>
      <c r="VPH108" s="1" t="s">
        <v>122</v>
      </c>
      <c r="VPI108" s="1" t="s">
        <v>122</v>
      </c>
      <c r="VPJ108" s="1" t="s">
        <v>122</v>
      </c>
      <c r="VPK108" s="1" t="s">
        <v>122</v>
      </c>
      <c r="VPL108" s="1" t="s">
        <v>122</v>
      </c>
      <c r="VPM108" s="1" t="s">
        <v>122</v>
      </c>
      <c r="VPN108" s="1" t="s">
        <v>122</v>
      </c>
      <c r="VPO108" s="1" t="s">
        <v>122</v>
      </c>
      <c r="VPP108" s="1" t="s">
        <v>122</v>
      </c>
      <c r="VPQ108" s="1" t="s">
        <v>122</v>
      </c>
      <c r="VPR108" s="1" t="s">
        <v>122</v>
      </c>
      <c r="VPS108" s="1" t="s">
        <v>122</v>
      </c>
      <c r="VPT108" s="1" t="s">
        <v>122</v>
      </c>
      <c r="VPU108" s="1" t="s">
        <v>122</v>
      </c>
      <c r="VPV108" s="1" t="s">
        <v>122</v>
      </c>
      <c r="VPW108" s="1" t="s">
        <v>122</v>
      </c>
      <c r="VPX108" s="1" t="s">
        <v>122</v>
      </c>
      <c r="VPY108" s="1" t="s">
        <v>122</v>
      </c>
      <c r="VPZ108" s="1" t="s">
        <v>122</v>
      </c>
      <c r="VQA108" s="1" t="s">
        <v>122</v>
      </c>
      <c r="VQB108" s="1" t="s">
        <v>122</v>
      </c>
      <c r="VQC108" s="1" t="s">
        <v>122</v>
      </c>
      <c r="VQD108" s="1" t="s">
        <v>122</v>
      </c>
      <c r="VQE108" s="1" t="s">
        <v>122</v>
      </c>
      <c r="VQF108" s="1" t="s">
        <v>122</v>
      </c>
      <c r="VQG108" s="1" t="s">
        <v>122</v>
      </c>
      <c r="VQH108" s="1" t="s">
        <v>122</v>
      </c>
      <c r="VQI108" s="1" t="s">
        <v>122</v>
      </c>
      <c r="VQJ108" s="1" t="s">
        <v>122</v>
      </c>
      <c r="VQK108" s="1" t="s">
        <v>122</v>
      </c>
      <c r="VQL108" s="1" t="s">
        <v>122</v>
      </c>
      <c r="VQM108" s="1" t="s">
        <v>122</v>
      </c>
      <c r="VQN108" s="1" t="s">
        <v>122</v>
      </c>
      <c r="VQO108" s="1" t="s">
        <v>122</v>
      </c>
      <c r="VQP108" s="1" t="s">
        <v>122</v>
      </c>
      <c r="VQQ108" s="1" t="s">
        <v>122</v>
      </c>
      <c r="VQR108" s="1" t="s">
        <v>122</v>
      </c>
      <c r="VQS108" s="1" t="s">
        <v>122</v>
      </c>
      <c r="VQT108" s="1" t="s">
        <v>122</v>
      </c>
      <c r="VQU108" s="1" t="s">
        <v>122</v>
      </c>
      <c r="VQV108" s="1" t="s">
        <v>122</v>
      </c>
      <c r="VQW108" s="1" t="s">
        <v>122</v>
      </c>
      <c r="VQX108" s="1" t="s">
        <v>122</v>
      </c>
      <c r="VQY108" s="1" t="s">
        <v>122</v>
      </c>
      <c r="VQZ108" s="1" t="s">
        <v>122</v>
      </c>
      <c r="VRA108" s="1" t="s">
        <v>122</v>
      </c>
      <c r="VRB108" s="1" t="s">
        <v>122</v>
      </c>
      <c r="VRC108" s="1" t="s">
        <v>122</v>
      </c>
      <c r="VRD108" s="1" t="s">
        <v>122</v>
      </c>
      <c r="VRE108" s="1" t="s">
        <v>122</v>
      </c>
      <c r="VRF108" s="1" t="s">
        <v>122</v>
      </c>
      <c r="VRG108" s="1" t="s">
        <v>122</v>
      </c>
      <c r="VRH108" s="1" t="s">
        <v>122</v>
      </c>
      <c r="VRI108" s="1" t="s">
        <v>122</v>
      </c>
      <c r="VRJ108" s="1" t="s">
        <v>122</v>
      </c>
      <c r="VRK108" s="1" t="s">
        <v>122</v>
      </c>
      <c r="VRL108" s="1" t="s">
        <v>122</v>
      </c>
      <c r="VRM108" s="1" t="s">
        <v>122</v>
      </c>
      <c r="VRN108" s="1" t="s">
        <v>122</v>
      </c>
      <c r="VRO108" s="1" t="s">
        <v>122</v>
      </c>
      <c r="VRP108" s="1" t="s">
        <v>122</v>
      </c>
      <c r="VRQ108" s="1" t="s">
        <v>122</v>
      </c>
      <c r="VRR108" s="1" t="s">
        <v>122</v>
      </c>
      <c r="VRS108" s="1" t="s">
        <v>122</v>
      </c>
      <c r="VRT108" s="1" t="s">
        <v>122</v>
      </c>
      <c r="VRU108" s="1" t="s">
        <v>122</v>
      </c>
      <c r="VRV108" s="1" t="s">
        <v>122</v>
      </c>
      <c r="VRW108" s="1" t="s">
        <v>122</v>
      </c>
      <c r="VRX108" s="1" t="s">
        <v>122</v>
      </c>
      <c r="VRY108" s="1" t="s">
        <v>122</v>
      </c>
      <c r="VRZ108" s="1" t="s">
        <v>122</v>
      </c>
      <c r="VSA108" s="1" t="s">
        <v>122</v>
      </c>
      <c r="VSB108" s="1" t="s">
        <v>122</v>
      </c>
      <c r="VSC108" s="1" t="s">
        <v>122</v>
      </c>
      <c r="VSD108" s="1" t="s">
        <v>122</v>
      </c>
      <c r="VSE108" s="1" t="s">
        <v>122</v>
      </c>
      <c r="VSF108" s="1" t="s">
        <v>122</v>
      </c>
      <c r="VSG108" s="1" t="s">
        <v>122</v>
      </c>
      <c r="VSH108" s="1" t="s">
        <v>122</v>
      </c>
      <c r="VSI108" s="1" t="s">
        <v>122</v>
      </c>
      <c r="VSJ108" s="1" t="s">
        <v>122</v>
      </c>
      <c r="VSK108" s="1" t="s">
        <v>122</v>
      </c>
      <c r="VSL108" s="1" t="s">
        <v>122</v>
      </c>
      <c r="VSM108" s="1" t="s">
        <v>122</v>
      </c>
      <c r="VSN108" s="1" t="s">
        <v>122</v>
      </c>
      <c r="VSO108" s="1" t="s">
        <v>122</v>
      </c>
      <c r="VSP108" s="1" t="s">
        <v>122</v>
      </c>
      <c r="VSQ108" s="1" t="s">
        <v>122</v>
      </c>
      <c r="VSR108" s="1" t="s">
        <v>122</v>
      </c>
      <c r="VSS108" s="1" t="s">
        <v>122</v>
      </c>
      <c r="VST108" s="1" t="s">
        <v>122</v>
      </c>
      <c r="VSU108" s="1" t="s">
        <v>122</v>
      </c>
      <c r="VSV108" s="1" t="s">
        <v>122</v>
      </c>
      <c r="VSW108" s="1" t="s">
        <v>122</v>
      </c>
      <c r="VSX108" s="1" t="s">
        <v>122</v>
      </c>
      <c r="VSY108" s="1" t="s">
        <v>122</v>
      </c>
      <c r="VSZ108" s="1" t="s">
        <v>122</v>
      </c>
      <c r="VTA108" s="1" t="s">
        <v>122</v>
      </c>
      <c r="VTB108" s="1" t="s">
        <v>122</v>
      </c>
      <c r="VTC108" s="1" t="s">
        <v>122</v>
      </c>
      <c r="VTD108" s="1" t="s">
        <v>122</v>
      </c>
      <c r="VTE108" s="1" t="s">
        <v>122</v>
      </c>
      <c r="VTF108" s="1" t="s">
        <v>122</v>
      </c>
      <c r="VTG108" s="1" t="s">
        <v>122</v>
      </c>
      <c r="VTH108" s="1" t="s">
        <v>122</v>
      </c>
      <c r="VTI108" s="1" t="s">
        <v>122</v>
      </c>
      <c r="VTJ108" s="1" t="s">
        <v>122</v>
      </c>
      <c r="VTK108" s="1" t="s">
        <v>122</v>
      </c>
      <c r="VTL108" s="1" t="s">
        <v>122</v>
      </c>
      <c r="VTM108" s="1" t="s">
        <v>122</v>
      </c>
      <c r="VTN108" s="1" t="s">
        <v>122</v>
      </c>
      <c r="VTO108" s="1" t="s">
        <v>122</v>
      </c>
      <c r="VTP108" s="1" t="s">
        <v>122</v>
      </c>
      <c r="VTQ108" s="1" t="s">
        <v>122</v>
      </c>
      <c r="VTR108" s="1" t="s">
        <v>122</v>
      </c>
      <c r="VTS108" s="1" t="s">
        <v>122</v>
      </c>
      <c r="VTT108" s="1" t="s">
        <v>122</v>
      </c>
      <c r="VTU108" s="1" t="s">
        <v>122</v>
      </c>
      <c r="VTV108" s="1" t="s">
        <v>122</v>
      </c>
      <c r="VTW108" s="1" t="s">
        <v>122</v>
      </c>
      <c r="VTX108" s="1" t="s">
        <v>122</v>
      </c>
      <c r="VTY108" s="1" t="s">
        <v>122</v>
      </c>
      <c r="VTZ108" s="1" t="s">
        <v>122</v>
      </c>
      <c r="VUA108" s="1" t="s">
        <v>122</v>
      </c>
      <c r="VUB108" s="1" t="s">
        <v>122</v>
      </c>
      <c r="VUC108" s="1" t="s">
        <v>122</v>
      </c>
      <c r="VUD108" s="1" t="s">
        <v>122</v>
      </c>
      <c r="VUE108" s="1" t="s">
        <v>122</v>
      </c>
      <c r="VUF108" s="1" t="s">
        <v>122</v>
      </c>
      <c r="VUG108" s="1" t="s">
        <v>122</v>
      </c>
      <c r="VUH108" s="1" t="s">
        <v>122</v>
      </c>
      <c r="VUI108" s="1" t="s">
        <v>122</v>
      </c>
      <c r="VUJ108" s="1" t="s">
        <v>122</v>
      </c>
      <c r="VUK108" s="1" t="s">
        <v>122</v>
      </c>
      <c r="VUL108" s="1" t="s">
        <v>122</v>
      </c>
      <c r="VUM108" s="1" t="s">
        <v>122</v>
      </c>
      <c r="VUN108" s="1" t="s">
        <v>122</v>
      </c>
      <c r="VUO108" s="1" t="s">
        <v>122</v>
      </c>
      <c r="VUP108" s="1" t="s">
        <v>122</v>
      </c>
      <c r="VUQ108" s="1" t="s">
        <v>122</v>
      </c>
      <c r="VUR108" s="1" t="s">
        <v>122</v>
      </c>
      <c r="VUS108" s="1" t="s">
        <v>122</v>
      </c>
      <c r="VUT108" s="1" t="s">
        <v>122</v>
      </c>
      <c r="VUU108" s="1" t="s">
        <v>122</v>
      </c>
      <c r="VUV108" s="1" t="s">
        <v>122</v>
      </c>
      <c r="VUW108" s="1" t="s">
        <v>122</v>
      </c>
      <c r="VUX108" s="1" t="s">
        <v>122</v>
      </c>
      <c r="VUY108" s="1" t="s">
        <v>122</v>
      </c>
      <c r="VUZ108" s="1" t="s">
        <v>122</v>
      </c>
      <c r="VVA108" s="1" t="s">
        <v>122</v>
      </c>
      <c r="VVB108" s="1" t="s">
        <v>122</v>
      </c>
      <c r="VVC108" s="1" t="s">
        <v>122</v>
      </c>
      <c r="VVD108" s="1" t="s">
        <v>122</v>
      </c>
      <c r="VVE108" s="1" t="s">
        <v>122</v>
      </c>
      <c r="VVF108" s="1" t="s">
        <v>122</v>
      </c>
      <c r="VVG108" s="1" t="s">
        <v>122</v>
      </c>
      <c r="VVH108" s="1" t="s">
        <v>122</v>
      </c>
      <c r="VVI108" s="1" t="s">
        <v>122</v>
      </c>
      <c r="VVJ108" s="1" t="s">
        <v>122</v>
      </c>
      <c r="VVK108" s="1" t="s">
        <v>122</v>
      </c>
      <c r="VVL108" s="1" t="s">
        <v>122</v>
      </c>
      <c r="VVM108" s="1" t="s">
        <v>122</v>
      </c>
      <c r="VVN108" s="1" t="s">
        <v>122</v>
      </c>
      <c r="VVO108" s="1" t="s">
        <v>122</v>
      </c>
      <c r="VVP108" s="1" t="s">
        <v>122</v>
      </c>
      <c r="VVQ108" s="1" t="s">
        <v>122</v>
      </c>
      <c r="VVR108" s="1" t="s">
        <v>122</v>
      </c>
      <c r="VVS108" s="1" t="s">
        <v>122</v>
      </c>
      <c r="VVT108" s="1" t="s">
        <v>122</v>
      </c>
      <c r="VVU108" s="1" t="s">
        <v>122</v>
      </c>
      <c r="VVV108" s="1" t="s">
        <v>122</v>
      </c>
      <c r="VVW108" s="1" t="s">
        <v>122</v>
      </c>
      <c r="VVX108" s="1" t="s">
        <v>122</v>
      </c>
      <c r="VVY108" s="1" t="s">
        <v>122</v>
      </c>
      <c r="VVZ108" s="1" t="s">
        <v>122</v>
      </c>
      <c r="VWA108" s="1" t="s">
        <v>122</v>
      </c>
      <c r="VWB108" s="1" t="s">
        <v>122</v>
      </c>
      <c r="VWC108" s="1" t="s">
        <v>122</v>
      </c>
      <c r="VWD108" s="1" t="s">
        <v>122</v>
      </c>
      <c r="VWE108" s="1" t="s">
        <v>122</v>
      </c>
      <c r="VWF108" s="1" t="s">
        <v>122</v>
      </c>
      <c r="VWG108" s="1" t="s">
        <v>122</v>
      </c>
      <c r="VWH108" s="1" t="s">
        <v>122</v>
      </c>
      <c r="VWI108" s="1" t="s">
        <v>122</v>
      </c>
      <c r="VWJ108" s="1" t="s">
        <v>122</v>
      </c>
      <c r="VWK108" s="1" t="s">
        <v>122</v>
      </c>
      <c r="VWL108" s="1" t="s">
        <v>122</v>
      </c>
      <c r="VWM108" s="1" t="s">
        <v>122</v>
      </c>
      <c r="VWN108" s="1" t="s">
        <v>122</v>
      </c>
      <c r="VWO108" s="1" t="s">
        <v>122</v>
      </c>
      <c r="VWP108" s="1" t="s">
        <v>122</v>
      </c>
      <c r="VWQ108" s="1" t="s">
        <v>122</v>
      </c>
      <c r="VWR108" s="1" t="s">
        <v>122</v>
      </c>
      <c r="VWS108" s="1" t="s">
        <v>122</v>
      </c>
      <c r="VWT108" s="1" t="s">
        <v>122</v>
      </c>
      <c r="VWU108" s="1" t="s">
        <v>122</v>
      </c>
      <c r="VWV108" s="1" t="s">
        <v>122</v>
      </c>
      <c r="VWW108" s="1" t="s">
        <v>122</v>
      </c>
      <c r="VWX108" s="1" t="s">
        <v>122</v>
      </c>
      <c r="VWY108" s="1" t="s">
        <v>122</v>
      </c>
      <c r="VWZ108" s="1" t="s">
        <v>122</v>
      </c>
      <c r="VXA108" s="1" t="s">
        <v>122</v>
      </c>
      <c r="VXB108" s="1" t="s">
        <v>122</v>
      </c>
      <c r="VXC108" s="1" t="s">
        <v>122</v>
      </c>
      <c r="VXD108" s="1" t="s">
        <v>122</v>
      </c>
      <c r="VXE108" s="1" t="s">
        <v>122</v>
      </c>
      <c r="VXF108" s="1" t="s">
        <v>122</v>
      </c>
      <c r="VXG108" s="1" t="s">
        <v>122</v>
      </c>
      <c r="VXH108" s="1" t="s">
        <v>122</v>
      </c>
      <c r="VXI108" s="1" t="s">
        <v>122</v>
      </c>
      <c r="VXJ108" s="1" t="s">
        <v>122</v>
      </c>
      <c r="VXK108" s="1" t="s">
        <v>122</v>
      </c>
      <c r="VXL108" s="1" t="s">
        <v>122</v>
      </c>
      <c r="VXM108" s="1" t="s">
        <v>122</v>
      </c>
      <c r="VXN108" s="1" t="s">
        <v>122</v>
      </c>
      <c r="VXO108" s="1" t="s">
        <v>122</v>
      </c>
      <c r="VXP108" s="1" t="s">
        <v>122</v>
      </c>
      <c r="VXQ108" s="1" t="s">
        <v>122</v>
      </c>
      <c r="VXR108" s="1" t="s">
        <v>122</v>
      </c>
      <c r="VXS108" s="1" t="s">
        <v>122</v>
      </c>
      <c r="VXT108" s="1" t="s">
        <v>122</v>
      </c>
      <c r="VXU108" s="1" t="s">
        <v>122</v>
      </c>
      <c r="VXV108" s="1" t="s">
        <v>122</v>
      </c>
      <c r="VXW108" s="1" t="s">
        <v>122</v>
      </c>
      <c r="VXX108" s="1" t="s">
        <v>122</v>
      </c>
      <c r="VXY108" s="1" t="s">
        <v>122</v>
      </c>
      <c r="VXZ108" s="1" t="s">
        <v>122</v>
      </c>
      <c r="VYA108" s="1" t="s">
        <v>122</v>
      </c>
      <c r="VYB108" s="1" t="s">
        <v>122</v>
      </c>
      <c r="VYC108" s="1" t="s">
        <v>122</v>
      </c>
      <c r="VYD108" s="1" t="s">
        <v>122</v>
      </c>
      <c r="VYE108" s="1" t="s">
        <v>122</v>
      </c>
      <c r="VYF108" s="1" t="s">
        <v>122</v>
      </c>
      <c r="VYG108" s="1" t="s">
        <v>122</v>
      </c>
      <c r="VYH108" s="1" t="s">
        <v>122</v>
      </c>
      <c r="VYI108" s="1" t="s">
        <v>122</v>
      </c>
      <c r="VYJ108" s="1" t="s">
        <v>122</v>
      </c>
      <c r="VYK108" s="1" t="s">
        <v>122</v>
      </c>
      <c r="VYL108" s="1" t="s">
        <v>122</v>
      </c>
      <c r="VYM108" s="1" t="s">
        <v>122</v>
      </c>
      <c r="VYN108" s="1" t="s">
        <v>122</v>
      </c>
      <c r="VYO108" s="1" t="s">
        <v>122</v>
      </c>
      <c r="VYP108" s="1" t="s">
        <v>122</v>
      </c>
      <c r="VYQ108" s="1" t="s">
        <v>122</v>
      </c>
      <c r="VYR108" s="1" t="s">
        <v>122</v>
      </c>
      <c r="VYS108" s="1" t="s">
        <v>122</v>
      </c>
      <c r="VYT108" s="1" t="s">
        <v>122</v>
      </c>
      <c r="VYU108" s="1" t="s">
        <v>122</v>
      </c>
      <c r="VYV108" s="1" t="s">
        <v>122</v>
      </c>
      <c r="VYW108" s="1" t="s">
        <v>122</v>
      </c>
      <c r="VYX108" s="1" t="s">
        <v>122</v>
      </c>
      <c r="VYY108" s="1" t="s">
        <v>122</v>
      </c>
      <c r="VYZ108" s="1" t="s">
        <v>122</v>
      </c>
      <c r="VZA108" s="1" t="s">
        <v>122</v>
      </c>
      <c r="VZB108" s="1" t="s">
        <v>122</v>
      </c>
      <c r="VZC108" s="1" t="s">
        <v>122</v>
      </c>
      <c r="VZD108" s="1" t="s">
        <v>122</v>
      </c>
      <c r="VZE108" s="1" t="s">
        <v>122</v>
      </c>
      <c r="VZF108" s="1" t="s">
        <v>122</v>
      </c>
      <c r="VZG108" s="1" t="s">
        <v>122</v>
      </c>
      <c r="VZH108" s="1" t="s">
        <v>122</v>
      </c>
      <c r="VZI108" s="1" t="s">
        <v>122</v>
      </c>
      <c r="VZJ108" s="1" t="s">
        <v>122</v>
      </c>
      <c r="VZK108" s="1" t="s">
        <v>122</v>
      </c>
      <c r="VZL108" s="1" t="s">
        <v>122</v>
      </c>
      <c r="VZM108" s="1" t="s">
        <v>122</v>
      </c>
      <c r="VZN108" s="1" t="s">
        <v>122</v>
      </c>
      <c r="VZO108" s="1" t="s">
        <v>122</v>
      </c>
      <c r="VZP108" s="1" t="s">
        <v>122</v>
      </c>
      <c r="VZQ108" s="1" t="s">
        <v>122</v>
      </c>
      <c r="VZR108" s="1" t="s">
        <v>122</v>
      </c>
      <c r="VZS108" s="1" t="s">
        <v>122</v>
      </c>
      <c r="VZT108" s="1" t="s">
        <v>122</v>
      </c>
      <c r="VZU108" s="1" t="s">
        <v>122</v>
      </c>
      <c r="VZV108" s="1" t="s">
        <v>122</v>
      </c>
      <c r="VZW108" s="1" t="s">
        <v>122</v>
      </c>
      <c r="VZX108" s="1" t="s">
        <v>122</v>
      </c>
      <c r="VZY108" s="1" t="s">
        <v>122</v>
      </c>
      <c r="VZZ108" s="1" t="s">
        <v>122</v>
      </c>
      <c r="WAA108" s="1" t="s">
        <v>122</v>
      </c>
      <c r="WAB108" s="1" t="s">
        <v>122</v>
      </c>
      <c r="WAC108" s="1" t="s">
        <v>122</v>
      </c>
      <c r="WAD108" s="1" t="s">
        <v>122</v>
      </c>
      <c r="WAE108" s="1" t="s">
        <v>122</v>
      </c>
      <c r="WAF108" s="1" t="s">
        <v>122</v>
      </c>
      <c r="WAG108" s="1" t="s">
        <v>122</v>
      </c>
      <c r="WAH108" s="1" t="s">
        <v>122</v>
      </c>
      <c r="WAI108" s="1" t="s">
        <v>122</v>
      </c>
      <c r="WAJ108" s="1" t="s">
        <v>122</v>
      </c>
      <c r="WAK108" s="1" t="s">
        <v>122</v>
      </c>
      <c r="WAL108" s="1" t="s">
        <v>122</v>
      </c>
      <c r="WAM108" s="1" t="s">
        <v>122</v>
      </c>
      <c r="WAN108" s="1" t="s">
        <v>122</v>
      </c>
      <c r="WAO108" s="1" t="s">
        <v>122</v>
      </c>
      <c r="WAP108" s="1" t="s">
        <v>122</v>
      </c>
      <c r="WAQ108" s="1" t="s">
        <v>122</v>
      </c>
      <c r="WAR108" s="1" t="s">
        <v>122</v>
      </c>
      <c r="WAS108" s="1" t="s">
        <v>122</v>
      </c>
      <c r="WAT108" s="1" t="s">
        <v>122</v>
      </c>
      <c r="WAU108" s="1" t="s">
        <v>122</v>
      </c>
      <c r="WAV108" s="1" t="s">
        <v>122</v>
      </c>
      <c r="WAW108" s="1" t="s">
        <v>122</v>
      </c>
      <c r="WAX108" s="1" t="s">
        <v>122</v>
      </c>
      <c r="WAY108" s="1" t="s">
        <v>122</v>
      </c>
      <c r="WAZ108" s="1" t="s">
        <v>122</v>
      </c>
      <c r="WBA108" s="1" t="s">
        <v>122</v>
      </c>
      <c r="WBB108" s="1" t="s">
        <v>122</v>
      </c>
      <c r="WBC108" s="1" t="s">
        <v>122</v>
      </c>
      <c r="WBD108" s="1" t="s">
        <v>122</v>
      </c>
      <c r="WBE108" s="1" t="s">
        <v>122</v>
      </c>
      <c r="WBF108" s="1" t="s">
        <v>122</v>
      </c>
      <c r="WBG108" s="1" t="s">
        <v>122</v>
      </c>
      <c r="WBH108" s="1" t="s">
        <v>122</v>
      </c>
      <c r="WBI108" s="1" t="s">
        <v>122</v>
      </c>
      <c r="WBJ108" s="1" t="s">
        <v>122</v>
      </c>
      <c r="WBK108" s="1" t="s">
        <v>122</v>
      </c>
      <c r="WBL108" s="1" t="s">
        <v>122</v>
      </c>
      <c r="WBM108" s="1" t="s">
        <v>122</v>
      </c>
      <c r="WBN108" s="1" t="s">
        <v>122</v>
      </c>
      <c r="WBO108" s="1" t="s">
        <v>122</v>
      </c>
      <c r="WBP108" s="1" t="s">
        <v>122</v>
      </c>
      <c r="WBQ108" s="1" t="s">
        <v>122</v>
      </c>
      <c r="WBR108" s="1" t="s">
        <v>122</v>
      </c>
      <c r="WBS108" s="1" t="s">
        <v>122</v>
      </c>
      <c r="WBT108" s="1" t="s">
        <v>122</v>
      </c>
      <c r="WBU108" s="1" t="s">
        <v>122</v>
      </c>
      <c r="WBV108" s="1" t="s">
        <v>122</v>
      </c>
      <c r="WBW108" s="1" t="s">
        <v>122</v>
      </c>
      <c r="WBX108" s="1" t="s">
        <v>122</v>
      </c>
      <c r="WBY108" s="1" t="s">
        <v>122</v>
      </c>
      <c r="WBZ108" s="1" t="s">
        <v>122</v>
      </c>
      <c r="WCA108" s="1" t="s">
        <v>122</v>
      </c>
      <c r="WCB108" s="1" t="s">
        <v>122</v>
      </c>
      <c r="WCC108" s="1" t="s">
        <v>122</v>
      </c>
      <c r="WCD108" s="1" t="s">
        <v>122</v>
      </c>
      <c r="WCE108" s="1" t="s">
        <v>122</v>
      </c>
      <c r="WCF108" s="1" t="s">
        <v>122</v>
      </c>
      <c r="WCG108" s="1" t="s">
        <v>122</v>
      </c>
      <c r="WCH108" s="1" t="s">
        <v>122</v>
      </c>
      <c r="WCI108" s="1" t="s">
        <v>122</v>
      </c>
      <c r="WCJ108" s="1" t="s">
        <v>122</v>
      </c>
      <c r="WCK108" s="1" t="s">
        <v>122</v>
      </c>
      <c r="WCL108" s="1" t="s">
        <v>122</v>
      </c>
      <c r="WCM108" s="1" t="s">
        <v>122</v>
      </c>
      <c r="WCN108" s="1" t="s">
        <v>122</v>
      </c>
      <c r="WCO108" s="1" t="s">
        <v>122</v>
      </c>
      <c r="WCP108" s="1" t="s">
        <v>122</v>
      </c>
      <c r="WCQ108" s="1" t="s">
        <v>122</v>
      </c>
      <c r="WCR108" s="1" t="s">
        <v>122</v>
      </c>
      <c r="WCS108" s="1" t="s">
        <v>122</v>
      </c>
      <c r="WCT108" s="1" t="s">
        <v>122</v>
      </c>
      <c r="WCU108" s="1" t="s">
        <v>122</v>
      </c>
      <c r="WCV108" s="1" t="s">
        <v>122</v>
      </c>
      <c r="WCW108" s="1" t="s">
        <v>122</v>
      </c>
      <c r="WCX108" s="1" t="s">
        <v>122</v>
      </c>
      <c r="WCY108" s="1" t="s">
        <v>122</v>
      </c>
      <c r="WCZ108" s="1" t="s">
        <v>122</v>
      </c>
      <c r="WDA108" s="1" t="s">
        <v>122</v>
      </c>
      <c r="WDB108" s="1" t="s">
        <v>122</v>
      </c>
      <c r="WDC108" s="1" t="s">
        <v>122</v>
      </c>
      <c r="WDD108" s="1" t="s">
        <v>122</v>
      </c>
      <c r="WDE108" s="1" t="s">
        <v>122</v>
      </c>
      <c r="WDF108" s="1" t="s">
        <v>122</v>
      </c>
      <c r="WDG108" s="1" t="s">
        <v>122</v>
      </c>
      <c r="WDH108" s="1" t="s">
        <v>122</v>
      </c>
      <c r="WDI108" s="1" t="s">
        <v>122</v>
      </c>
      <c r="WDJ108" s="1" t="s">
        <v>122</v>
      </c>
      <c r="WDK108" s="1" t="s">
        <v>122</v>
      </c>
      <c r="WDL108" s="1" t="s">
        <v>122</v>
      </c>
      <c r="WDM108" s="1" t="s">
        <v>122</v>
      </c>
      <c r="WDN108" s="1" t="s">
        <v>122</v>
      </c>
      <c r="WDO108" s="1" t="s">
        <v>122</v>
      </c>
      <c r="WDP108" s="1" t="s">
        <v>122</v>
      </c>
      <c r="WDQ108" s="1" t="s">
        <v>122</v>
      </c>
      <c r="WDR108" s="1" t="s">
        <v>122</v>
      </c>
      <c r="WDS108" s="1" t="s">
        <v>122</v>
      </c>
      <c r="WDT108" s="1" t="s">
        <v>122</v>
      </c>
      <c r="WDU108" s="1" t="s">
        <v>122</v>
      </c>
      <c r="WDV108" s="1" t="s">
        <v>122</v>
      </c>
      <c r="WDW108" s="1" t="s">
        <v>122</v>
      </c>
      <c r="WDX108" s="1" t="s">
        <v>122</v>
      </c>
      <c r="WDY108" s="1" t="s">
        <v>122</v>
      </c>
      <c r="WDZ108" s="1" t="s">
        <v>122</v>
      </c>
      <c r="WEA108" s="1" t="s">
        <v>122</v>
      </c>
      <c r="WEB108" s="1" t="s">
        <v>122</v>
      </c>
      <c r="WEC108" s="1" t="s">
        <v>122</v>
      </c>
      <c r="WED108" s="1" t="s">
        <v>122</v>
      </c>
      <c r="WEE108" s="1" t="s">
        <v>122</v>
      </c>
      <c r="WEF108" s="1" t="s">
        <v>122</v>
      </c>
      <c r="WEG108" s="1" t="s">
        <v>122</v>
      </c>
      <c r="WEH108" s="1" t="s">
        <v>122</v>
      </c>
      <c r="WEI108" s="1" t="s">
        <v>122</v>
      </c>
      <c r="WEJ108" s="1" t="s">
        <v>122</v>
      </c>
      <c r="WEK108" s="1" t="s">
        <v>122</v>
      </c>
      <c r="WEL108" s="1" t="s">
        <v>122</v>
      </c>
      <c r="WEM108" s="1" t="s">
        <v>122</v>
      </c>
      <c r="WEN108" s="1" t="s">
        <v>122</v>
      </c>
      <c r="WEO108" s="1" t="s">
        <v>122</v>
      </c>
      <c r="WEP108" s="1" t="s">
        <v>122</v>
      </c>
      <c r="WEQ108" s="1" t="s">
        <v>122</v>
      </c>
      <c r="WER108" s="1" t="s">
        <v>122</v>
      </c>
      <c r="WES108" s="1" t="s">
        <v>122</v>
      </c>
      <c r="WET108" s="1" t="s">
        <v>122</v>
      </c>
      <c r="WEU108" s="1" t="s">
        <v>122</v>
      </c>
      <c r="WEV108" s="1" t="s">
        <v>122</v>
      </c>
      <c r="WEW108" s="1" t="s">
        <v>122</v>
      </c>
      <c r="WEX108" s="1" t="s">
        <v>122</v>
      </c>
      <c r="WEY108" s="1" t="s">
        <v>122</v>
      </c>
      <c r="WEZ108" s="1" t="s">
        <v>122</v>
      </c>
      <c r="WFA108" s="1" t="s">
        <v>122</v>
      </c>
      <c r="WFB108" s="1" t="s">
        <v>122</v>
      </c>
      <c r="WFC108" s="1" t="s">
        <v>122</v>
      </c>
      <c r="WFD108" s="1" t="s">
        <v>122</v>
      </c>
      <c r="WFE108" s="1" t="s">
        <v>122</v>
      </c>
      <c r="WFF108" s="1" t="s">
        <v>122</v>
      </c>
      <c r="WFG108" s="1" t="s">
        <v>122</v>
      </c>
      <c r="WFH108" s="1" t="s">
        <v>122</v>
      </c>
      <c r="WFI108" s="1" t="s">
        <v>122</v>
      </c>
      <c r="WFJ108" s="1" t="s">
        <v>122</v>
      </c>
      <c r="WFK108" s="1" t="s">
        <v>122</v>
      </c>
      <c r="WFL108" s="1" t="s">
        <v>122</v>
      </c>
      <c r="WFM108" s="1" t="s">
        <v>122</v>
      </c>
      <c r="WFN108" s="1" t="s">
        <v>122</v>
      </c>
      <c r="WFO108" s="1" t="s">
        <v>122</v>
      </c>
      <c r="WFP108" s="1" t="s">
        <v>122</v>
      </c>
      <c r="WFQ108" s="1" t="s">
        <v>122</v>
      </c>
      <c r="WFR108" s="1" t="s">
        <v>122</v>
      </c>
      <c r="WFS108" s="1" t="s">
        <v>122</v>
      </c>
      <c r="WFT108" s="1" t="s">
        <v>122</v>
      </c>
      <c r="WFU108" s="1" t="s">
        <v>122</v>
      </c>
      <c r="WFV108" s="1" t="s">
        <v>122</v>
      </c>
      <c r="WFW108" s="1" t="s">
        <v>122</v>
      </c>
      <c r="WFX108" s="1" t="s">
        <v>122</v>
      </c>
      <c r="WFY108" s="1" t="s">
        <v>122</v>
      </c>
      <c r="WFZ108" s="1" t="s">
        <v>122</v>
      </c>
      <c r="WGA108" s="1" t="s">
        <v>122</v>
      </c>
      <c r="WGB108" s="1" t="s">
        <v>122</v>
      </c>
      <c r="WGC108" s="1" t="s">
        <v>122</v>
      </c>
      <c r="WGD108" s="1" t="s">
        <v>122</v>
      </c>
      <c r="WGE108" s="1" t="s">
        <v>122</v>
      </c>
      <c r="WGF108" s="1" t="s">
        <v>122</v>
      </c>
      <c r="WGG108" s="1" t="s">
        <v>122</v>
      </c>
      <c r="WGH108" s="1" t="s">
        <v>122</v>
      </c>
      <c r="WGI108" s="1" t="s">
        <v>122</v>
      </c>
      <c r="WGJ108" s="1" t="s">
        <v>122</v>
      </c>
      <c r="WGK108" s="1" t="s">
        <v>122</v>
      </c>
      <c r="WGL108" s="1" t="s">
        <v>122</v>
      </c>
      <c r="WGM108" s="1" t="s">
        <v>122</v>
      </c>
      <c r="WGN108" s="1" t="s">
        <v>122</v>
      </c>
      <c r="WGO108" s="1" t="s">
        <v>122</v>
      </c>
      <c r="WGP108" s="1" t="s">
        <v>122</v>
      </c>
      <c r="WGQ108" s="1" t="s">
        <v>122</v>
      </c>
      <c r="WGR108" s="1" t="s">
        <v>122</v>
      </c>
      <c r="WGS108" s="1" t="s">
        <v>122</v>
      </c>
      <c r="WGT108" s="1" t="s">
        <v>122</v>
      </c>
      <c r="WGU108" s="1" t="s">
        <v>122</v>
      </c>
      <c r="WGV108" s="1" t="s">
        <v>122</v>
      </c>
      <c r="WGW108" s="1" t="s">
        <v>122</v>
      </c>
      <c r="WGX108" s="1" t="s">
        <v>122</v>
      </c>
      <c r="WGY108" s="1" t="s">
        <v>122</v>
      </c>
      <c r="WGZ108" s="1" t="s">
        <v>122</v>
      </c>
      <c r="WHA108" s="1" t="s">
        <v>122</v>
      </c>
      <c r="WHB108" s="1" t="s">
        <v>122</v>
      </c>
      <c r="WHC108" s="1" t="s">
        <v>122</v>
      </c>
      <c r="WHD108" s="1" t="s">
        <v>122</v>
      </c>
      <c r="WHE108" s="1" t="s">
        <v>122</v>
      </c>
      <c r="WHF108" s="1" t="s">
        <v>122</v>
      </c>
      <c r="WHG108" s="1" t="s">
        <v>122</v>
      </c>
      <c r="WHH108" s="1" t="s">
        <v>122</v>
      </c>
      <c r="WHI108" s="1" t="s">
        <v>122</v>
      </c>
      <c r="WHJ108" s="1" t="s">
        <v>122</v>
      </c>
      <c r="WHK108" s="1" t="s">
        <v>122</v>
      </c>
      <c r="WHL108" s="1" t="s">
        <v>122</v>
      </c>
      <c r="WHM108" s="1" t="s">
        <v>122</v>
      </c>
      <c r="WHN108" s="1" t="s">
        <v>122</v>
      </c>
      <c r="WHO108" s="1" t="s">
        <v>122</v>
      </c>
      <c r="WHP108" s="1" t="s">
        <v>122</v>
      </c>
      <c r="WHQ108" s="1" t="s">
        <v>122</v>
      </c>
      <c r="WHR108" s="1" t="s">
        <v>122</v>
      </c>
      <c r="WHS108" s="1" t="s">
        <v>122</v>
      </c>
      <c r="WHT108" s="1" t="s">
        <v>122</v>
      </c>
      <c r="WHU108" s="1" t="s">
        <v>122</v>
      </c>
      <c r="WHV108" s="1" t="s">
        <v>122</v>
      </c>
      <c r="WHW108" s="1" t="s">
        <v>122</v>
      </c>
      <c r="WHX108" s="1" t="s">
        <v>122</v>
      </c>
      <c r="WHY108" s="1" t="s">
        <v>122</v>
      </c>
      <c r="WHZ108" s="1" t="s">
        <v>122</v>
      </c>
      <c r="WIA108" s="1" t="s">
        <v>122</v>
      </c>
      <c r="WIB108" s="1" t="s">
        <v>122</v>
      </c>
      <c r="WIC108" s="1" t="s">
        <v>122</v>
      </c>
      <c r="WID108" s="1" t="s">
        <v>122</v>
      </c>
      <c r="WIE108" s="1" t="s">
        <v>122</v>
      </c>
      <c r="WIF108" s="1" t="s">
        <v>122</v>
      </c>
      <c r="WIG108" s="1" t="s">
        <v>122</v>
      </c>
      <c r="WIH108" s="1" t="s">
        <v>122</v>
      </c>
      <c r="WII108" s="1" t="s">
        <v>122</v>
      </c>
      <c r="WIJ108" s="1" t="s">
        <v>122</v>
      </c>
      <c r="WIK108" s="1" t="s">
        <v>122</v>
      </c>
      <c r="WIL108" s="1" t="s">
        <v>122</v>
      </c>
      <c r="WIM108" s="1" t="s">
        <v>122</v>
      </c>
      <c r="WIN108" s="1" t="s">
        <v>122</v>
      </c>
      <c r="WIO108" s="1" t="s">
        <v>122</v>
      </c>
      <c r="WIP108" s="1" t="s">
        <v>122</v>
      </c>
      <c r="WIQ108" s="1" t="s">
        <v>122</v>
      </c>
      <c r="WIR108" s="1" t="s">
        <v>122</v>
      </c>
      <c r="WIS108" s="1" t="s">
        <v>122</v>
      </c>
      <c r="WIT108" s="1" t="s">
        <v>122</v>
      </c>
      <c r="WIU108" s="1" t="s">
        <v>122</v>
      </c>
      <c r="WIV108" s="1" t="s">
        <v>122</v>
      </c>
      <c r="WIW108" s="1" t="s">
        <v>122</v>
      </c>
      <c r="WIX108" s="1" t="s">
        <v>122</v>
      </c>
      <c r="WIY108" s="1" t="s">
        <v>122</v>
      </c>
      <c r="WIZ108" s="1" t="s">
        <v>122</v>
      </c>
      <c r="WJA108" s="1" t="s">
        <v>122</v>
      </c>
      <c r="WJB108" s="1" t="s">
        <v>122</v>
      </c>
      <c r="WJC108" s="1" t="s">
        <v>122</v>
      </c>
      <c r="WJD108" s="1" t="s">
        <v>122</v>
      </c>
      <c r="WJE108" s="1" t="s">
        <v>122</v>
      </c>
      <c r="WJF108" s="1" t="s">
        <v>122</v>
      </c>
      <c r="WJG108" s="1" t="s">
        <v>122</v>
      </c>
      <c r="WJH108" s="1" t="s">
        <v>122</v>
      </c>
      <c r="WJI108" s="1" t="s">
        <v>122</v>
      </c>
      <c r="WJJ108" s="1" t="s">
        <v>122</v>
      </c>
      <c r="WJK108" s="1" t="s">
        <v>122</v>
      </c>
      <c r="WJL108" s="1" t="s">
        <v>122</v>
      </c>
      <c r="WJM108" s="1" t="s">
        <v>122</v>
      </c>
      <c r="WJN108" s="1" t="s">
        <v>122</v>
      </c>
      <c r="WJO108" s="1" t="s">
        <v>122</v>
      </c>
      <c r="WJP108" s="1" t="s">
        <v>122</v>
      </c>
      <c r="WJQ108" s="1" t="s">
        <v>122</v>
      </c>
      <c r="WJR108" s="1" t="s">
        <v>122</v>
      </c>
      <c r="WJS108" s="1" t="s">
        <v>122</v>
      </c>
      <c r="WJT108" s="1" t="s">
        <v>122</v>
      </c>
      <c r="WJU108" s="1" t="s">
        <v>122</v>
      </c>
      <c r="WJV108" s="1" t="s">
        <v>122</v>
      </c>
      <c r="WJW108" s="1" t="s">
        <v>122</v>
      </c>
      <c r="WJX108" s="1" t="s">
        <v>122</v>
      </c>
      <c r="WJY108" s="1" t="s">
        <v>122</v>
      </c>
      <c r="WJZ108" s="1" t="s">
        <v>122</v>
      </c>
      <c r="WKA108" s="1" t="s">
        <v>122</v>
      </c>
      <c r="WKB108" s="1" t="s">
        <v>122</v>
      </c>
      <c r="WKC108" s="1" t="s">
        <v>122</v>
      </c>
      <c r="WKD108" s="1" t="s">
        <v>122</v>
      </c>
      <c r="WKE108" s="1" t="s">
        <v>122</v>
      </c>
      <c r="WKF108" s="1" t="s">
        <v>122</v>
      </c>
      <c r="WKG108" s="1" t="s">
        <v>122</v>
      </c>
      <c r="WKH108" s="1" t="s">
        <v>122</v>
      </c>
      <c r="WKI108" s="1" t="s">
        <v>122</v>
      </c>
      <c r="WKJ108" s="1" t="s">
        <v>122</v>
      </c>
      <c r="WKK108" s="1" t="s">
        <v>122</v>
      </c>
      <c r="WKL108" s="1" t="s">
        <v>122</v>
      </c>
      <c r="WKM108" s="1" t="s">
        <v>122</v>
      </c>
      <c r="WKN108" s="1" t="s">
        <v>122</v>
      </c>
      <c r="WKO108" s="1" t="s">
        <v>122</v>
      </c>
      <c r="WKP108" s="1" t="s">
        <v>122</v>
      </c>
      <c r="WKQ108" s="1" t="s">
        <v>122</v>
      </c>
      <c r="WKR108" s="1" t="s">
        <v>122</v>
      </c>
      <c r="WKS108" s="1" t="s">
        <v>122</v>
      </c>
      <c r="WKT108" s="1" t="s">
        <v>122</v>
      </c>
      <c r="WKU108" s="1" t="s">
        <v>122</v>
      </c>
      <c r="WKV108" s="1" t="s">
        <v>122</v>
      </c>
      <c r="WKW108" s="1" t="s">
        <v>122</v>
      </c>
      <c r="WKX108" s="1" t="s">
        <v>122</v>
      </c>
      <c r="WKY108" s="1" t="s">
        <v>122</v>
      </c>
      <c r="WKZ108" s="1" t="s">
        <v>122</v>
      </c>
      <c r="WLA108" s="1" t="s">
        <v>122</v>
      </c>
      <c r="WLB108" s="1" t="s">
        <v>122</v>
      </c>
      <c r="WLC108" s="1" t="s">
        <v>122</v>
      </c>
      <c r="WLD108" s="1" t="s">
        <v>122</v>
      </c>
      <c r="WLE108" s="1" t="s">
        <v>122</v>
      </c>
      <c r="WLF108" s="1" t="s">
        <v>122</v>
      </c>
      <c r="WLG108" s="1" t="s">
        <v>122</v>
      </c>
      <c r="WLH108" s="1" t="s">
        <v>122</v>
      </c>
      <c r="WLI108" s="1" t="s">
        <v>122</v>
      </c>
      <c r="WLJ108" s="1" t="s">
        <v>122</v>
      </c>
      <c r="WLK108" s="1" t="s">
        <v>122</v>
      </c>
      <c r="WLL108" s="1" t="s">
        <v>122</v>
      </c>
      <c r="WLM108" s="1" t="s">
        <v>122</v>
      </c>
      <c r="WLN108" s="1" t="s">
        <v>122</v>
      </c>
      <c r="WLO108" s="1" t="s">
        <v>122</v>
      </c>
      <c r="WLP108" s="1" t="s">
        <v>122</v>
      </c>
      <c r="WLQ108" s="1" t="s">
        <v>122</v>
      </c>
      <c r="WLR108" s="1" t="s">
        <v>122</v>
      </c>
      <c r="WLS108" s="1" t="s">
        <v>122</v>
      </c>
      <c r="WLT108" s="1" t="s">
        <v>122</v>
      </c>
      <c r="WLU108" s="1" t="s">
        <v>122</v>
      </c>
      <c r="WLV108" s="1" t="s">
        <v>122</v>
      </c>
      <c r="WLW108" s="1" t="s">
        <v>122</v>
      </c>
      <c r="WLX108" s="1" t="s">
        <v>122</v>
      </c>
      <c r="WLY108" s="1" t="s">
        <v>122</v>
      </c>
      <c r="WLZ108" s="1" t="s">
        <v>122</v>
      </c>
      <c r="WMA108" s="1" t="s">
        <v>122</v>
      </c>
      <c r="WMB108" s="1" t="s">
        <v>122</v>
      </c>
      <c r="WMC108" s="1" t="s">
        <v>122</v>
      </c>
      <c r="WMD108" s="1" t="s">
        <v>122</v>
      </c>
      <c r="WME108" s="1" t="s">
        <v>122</v>
      </c>
      <c r="WMF108" s="1" t="s">
        <v>122</v>
      </c>
      <c r="WMG108" s="1" t="s">
        <v>122</v>
      </c>
      <c r="WMH108" s="1" t="s">
        <v>122</v>
      </c>
      <c r="WMI108" s="1" t="s">
        <v>122</v>
      </c>
      <c r="WMJ108" s="1" t="s">
        <v>122</v>
      </c>
      <c r="WMK108" s="1" t="s">
        <v>122</v>
      </c>
      <c r="WML108" s="1" t="s">
        <v>122</v>
      </c>
      <c r="WMM108" s="1" t="s">
        <v>122</v>
      </c>
      <c r="WMN108" s="1" t="s">
        <v>122</v>
      </c>
      <c r="WMO108" s="1" t="s">
        <v>122</v>
      </c>
      <c r="WMP108" s="1" t="s">
        <v>122</v>
      </c>
      <c r="WMQ108" s="1" t="s">
        <v>122</v>
      </c>
      <c r="WMR108" s="1" t="s">
        <v>122</v>
      </c>
      <c r="WMS108" s="1" t="s">
        <v>122</v>
      </c>
      <c r="WMT108" s="1" t="s">
        <v>122</v>
      </c>
      <c r="WMU108" s="1" t="s">
        <v>122</v>
      </c>
      <c r="WMV108" s="1" t="s">
        <v>122</v>
      </c>
      <c r="WMW108" s="1" t="s">
        <v>122</v>
      </c>
      <c r="WMX108" s="1" t="s">
        <v>122</v>
      </c>
      <c r="WMY108" s="1" t="s">
        <v>122</v>
      </c>
      <c r="WMZ108" s="1" t="s">
        <v>122</v>
      </c>
      <c r="WNA108" s="1" t="s">
        <v>122</v>
      </c>
      <c r="WNB108" s="1" t="s">
        <v>122</v>
      </c>
      <c r="WNC108" s="1" t="s">
        <v>122</v>
      </c>
      <c r="WND108" s="1" t="s">
        <v>122</v>
      </c>
      <c r="WNE108" s="1" t="s">
        <v>122</v>
      </c>
      <c r="WNF108" s="1" t="s">
        <v>122</v>
      </c>
      <c r="WNG108" s="1" t="s">
        <v>122</v>
      </c>
      <c r="WNH108" s="1" t="s">
        <v>122</v>
      </c>
      <c r="WNI108" s="1" t="s">
        <v>122</v>
      </c>
      <c r="WNJ108" s="1" t="s">
        <v>122</v>
      </c>
      <c r="WNK108" s="1" t="s">
        <v>122</v>
      </c>
      <c r="WNL108" s="1" t="s">
        <v>122</v>
      </c>
      <c r="WNM108" s="1" t="s">
        <v>122</v>
      </c>
      <c r="WNN108" s="1" t="s">
        <v>122</v>
      </c>
      <c r="WNO108" s="1" t="s">
        <v>122</v>
      </c>
      <c r="WNP108" s="1" t="s">
        <v>122</v>
      </c>
      <c r="WNQ108" s="1" t="s">
        <v>122</v>
      </c>
      <c r="WNR108" s="1" t="s">
        <v>122</v>
      </c>
      <c r="WNS108" s="1" t="s">
        <v>122</v>
      </c>
      <c r="WNT108" s="1" t="s">
        <v>122</v>
      </c>
      <c r="WNU108" s="1" t="s">
        <v>122</v>
      </c>
      <c r="WNV108" s="1" t="s">
        <v>122</v>
      </c>
      <c r="WNW108" s="1" t="s">
        <v>122</v>
      </c>
      <c r="WNX108" s="1" t="s">
        <v>122</v>
      </c>
      <c r="WNY108" s="1" t="s">
        <v>122</v>
      </c>
      <c r="WNZ108" s="1" t="s">
        <v>122</v>
      </c>
      <c r="WOA108" s="1" t="s">
        <v>122</v>
      </c>
      <c r="WOB108" s="1" t="s">
        <v>122</v>
      </c>
      <c r="WOC108" s="1" t="s">
        <v>122</v>
      </c>
      <c r="WOD108" s="1" t="s">
        <v>122</v>
      </c>
      <c r="WOE108" s="1" t="s">
        <v>122</v>
      </c>
      <c r="WOF108" s="1" t="s">
        <v>122</v>
      </c>
      <c r="WOG108" s="1" t="s">
        <v>122</v>
      </c>
      <c r="WOH108" s="1" t="s">
        <v>122</v>
      </c>
      <c r="WOI108" s="1" t="s">
        <v>122</v>
      </c>
      <c r="WOJ108" s="1" t="s">
        <v>122</v>
      </c>
      <c r="WOK108" s="1" t="s">
        <v>122</v>
      </c>
      <c r="WOL108" s="1" t="s">
        <v>122</v>
      </c>
      <c r="WOM108" s="1" t="s">
        <v>122</v>
      </c>
      <c r="WON108" s="1" t="s">
        <v>122</v>
      </c>
      <c r="WOO108" s="1" t="s">
        <v>122</v>
      </c>
      <c r="WOP108" s="1" t="s">
        <v>122</v>
      </c>
      <c r="WOQ108" s="1" t="s">
        <v>122</v>
      </c>
      <c r="WOR108" s="1" t="s">
        <v>122</v>
      </c>
      <c r="WOS108" s="1" t="s">
        <v>122</v>
      </c>
      <c r="WOT108" s="1" t="s">
        <v>122</v>
      </c>
      <c r="WOU108" s="1" t="s">
        <v>122</v>
      </c>
      <c r="WOV108" s="1" t="s">
        <v>122</v>
      </c>
      <c r="WOW108" s="1" t="s">
        <v>122</v>
      </c>
      <c r="WOX108" s="1" t="s">
        <v>122</v>
      </c>
      <c r="WOY108" s="1" t="s">
        <v>122</v>
      </c>
      <c r="WOZ108" s="1" t="s">
        <v>122</v>
      </c>
      <c r="WPA108" s="1" t="s">
        <v>122</v>
      </c>
      <c r="WPB108" s="1" t="s">
        <v>122</v>
      </c>
      <c r="WPC108" s="1" t="s">
        <v>122</v>
      </c>
      <c r="WPD108" s="1" t="s">
        <v>122</v>
      </c>
      <c r="WPE108" s="1" t="s">
        <v>122</v>
      </c>
      <c r="WPF108" s="1" t="s">
        <v>122</v>
      </c>
      <c r="WPG108" s="1" t="s">
        <v>122</v>
      </c>
      <c r="WPH108" s="1" t="s">
        <v>122</v>
      </c>
      <c r="WPI108" s="1" t="s">
        <v>122</v>
      </c>
      <c r="WPJ108" s="1" t="s">
        <v>122</v>
      </c>
      <c r="WPK108" s="1" t="s">
        <v>122</v>
      </c>
      <c r="WPL108" s="1" t="s">
        <v>122</v>
      </c>
      <c r="WPM108" s="1" t="s">
        <v>122</v>
      </c>
      <c r="WPN108" s="1" t="s">
        <v>122</v>
      </c>
      <c r="WPO108" s="1" t="s">
        <v>122</v>
      </c>
      <c r="WPP108" s="1" t="s">
        <v>122</v>
      </c>
      <c r="WPQ108" s="1" t="s">
        <v>122</v>
      </c>
      <c r="WPR108" s="1" t="s">
        <v>122</v>
      </c>
      <c r="WPS108" s="1" t="s">
        <v>122</v>
      </c>
      <c r="WPT108" s="1" t="s">
        <v>122</v>
      </c>
      <c r="WPU108" s="1" t="s">
        <v>122</v>
      </c>
      <c r="WPV108" s="1" t="s">
        <v>122</v>
      </c>
      <c r="WPW108" s="1" t="s">
        <v>122</v>
      </c>
      <c r="WPX108" s="1" t="s">
        <v>122</v>
      </c>
      <c r="WPY108" s="1" t="s">
        <v>122</v>
      </c>
      <c r="WPZ108" s="1" t="s">
        <v>122</v>
      </c>
      <c r="WQA108" s="1" t="s">
        <v>122</v>
      </c>
      <c r="WQB108" s="1" t="s">
        <v>122</v>
      </c>
      <c r="WQC108" s="1" t="s">
        <v>122</v>
      </c>
      <c r="WQD108" s="1" t="s">
        <v>122</v>
      </c>
      <c r="WQE108" s="1" t="s">
        <v>122</v>
      </c>
      <c r="WQF108" s="1" t="s">
        <v>122</v>
      </c>
      <c r="WQG108" s="1" t="s">
        <v>122</v>
      </c>
      <c r="WQH108" s="1" t="s">
        <v>122</v>
      </c>
      <c r="WQI108" s="1" t="s">
        <v>122</v>
      </c>
      <c r="WQJ108" s="1" t="s">
        <v>122</v>
      </c>
      <c r="WQK108" s="1" t="s">
        <v>122</v>
      </c>
      <c r="WQL108" s="1" t="s">
        <v>122</v>
      </c>
      <c r="WQM108" s="1" t="s">
        <v>122</v>
      </c>
      <c r="WQN108" s="1" t="s">
        <v>122</v>
      </c>
      <c r="WQO108" s="1" t="s">
        <v>122</v>
      </c>
      <c r="WQP108" s="1" t="s">
        <v>122</v>
      </c>
      <c r="WQQ108" s="1" t="s">
        <v>122</v>
      </c>
      <c r="WQR108" s="1" t="s">
        <v>122</v>
      </c>
      <c r="WQS108" s="1" t="s">
        <v>122</v>
      </c>
      <c r="WQT108" s="1" t="s">
        <v>122</v>
      </c>
      <c r="WQU108" s="1" t="s">
        <v>122</v>
      </c>
      <c r="WQV108" s="1" t="s">
        <v>122</v>
      </c>
      <c r="WQW108" s="1" t="s">
        <v>122</v>
      </c>
      <c r="WQX108" s="1" t="s">
        <v>122</v>
      </c>
      <c r="WQY108" s="1" t="s">
        <v>122</v>
      </c>
      <c r="WQZ108" s="1" t="s">
        <v>122</v>
      </c>
      <c r="WRA108" s="1" t="s">
        <v>122</v>
      </c>
      <c r="WRB108" s="1" t="s">
        <v>122</v>
      </c>
      <c r="WRC108" s="1" t="s">
        <v>122</v>
      </c>
      <c r="WRD108" s="1" t="s">
        <v>122</v>
      </c>
      <c r="WRE108" s="1" t="s">
        <v>122</v>
      </c>
      <c r="WRF108" s="1" t="s">
        <v>122</v>
      </c>
      <c r="WRG108" s="1" t="s">
        <v>122</v>
      </c>
      <c r="WRH108" s="1" t="s">
        <v>122</v>
      </c>
      <c r="WRI108" s="1" t="s">
        <v>122</v>
      </c>
      <c r="WRJ108" s="1" t="s">
        <v>122</v>
      </c>
      <c r="WRK108" s="1" t="s">
        <v>122</v>
      </c>
      <c r="WRL108" s="1" t="s">
        <v>122</v>
      </c>
      <c r="WRM108" s="1" t="s">
        <v>122</v>
      </c>
      <c r="WRN108" s="1" t="s">
        <v>122</v>
      </c>
      <c r="WRO108" s="1" t="s">
        <v>122</v>
      </c>
      <c r="WRP108" s="1" t="s">
        <v>122</v>
      </c>
      <c r="WRQ108" s="1" t="s">
        <v>122</v>
      </c>
      <c r="WRR108" s="1" t="s">
        <v>122</v>
      </c>
      <c r="WRS108" s="1" t="s">
        <v>122</v>
      </c>
      <c r="WRT108" s="1" t="s">
        <v>122</v>
      </c>
      <c r="WRU108" s="1" t="s">
        <v>122</v>
      </c>
      <c r="WRV108" s="1" t="s">
        <v>122</v>
      </c>
      <c r="WRW108" s="1" t="s">
        <v>122</v>
      </c>
      <c r="WRX108" s="1" t="s">
        <v>122</v>
      </c>
      <c r="WRY108" s="1" t="s">
        <v>122</v>
      </c>
      <c r="WRZ108" s="1" t="s">
        <v>122</v>
      </c>
      <c r="WSA108" s="1" t="s">
        <v>122</v>
      </c>
      <c r="WSB108" s="1" t="s">
        <v>122</v>
      </c>
      <c r="WSC108" s="1" t="s">
        <v>122</v>
      </c>
      <c r="WSD108" s="1" t="s">
        <v>122</v>
      </c>
      <c r="WSE108" s="1" t="s">
        <v>122</v>
      </c>
      <c r="WSF108" s="1" t="s">
        <v>122</v>
      </c>
      <c r="WSG108" s="1" t="s">
        <v>122</v>
      </c>
      <c r="WSH108" s="1" t="s">
        <v>122</v>
      </c>
      <c r="WSI108" s="1" t="s">
        <v>122</v>
      </c>
      <c r="WSJ108" s="1" t="s">
        <v>122</v>
      </c>
      <c r="WSK108" s="1" t="s">
        <v>122</v>
      </c>
      <c r="WSL108" s="1" t="s">
        <v>122</v>
      </c>
      <c r="WSM108" s="1" t="s">
        <v>122</v>
      </c>
      <c r="WSN108" s="1" t="s">
        <v>122</v>
      </c>
      <c r="WSO108" s="1" t="s">
        <v>122</v>
      </c>
      <c r="WSP108" s="1" t="s">
        <v>122</v>
      </c>
      <c r="WSQ108" s="1" t="s">
        <v>122</v>
      </c>
      <c r="WSR108" s="1" t="s">
        <v>122</v>
      </c>
      <c r="WSS108" s="1" t="s">
        <v>122</v>
      </c>
      <c r="WST108" s="1" t="s">
        <v>122</v>
      </c>
      <c r="WSU108" s="1" t="s">
        <v>122</v>
      </c>
      <c r="WSV108" s="1" t="s">
        <v>122</v>
      </c>
      <c r="WSW108" s="1" t="s">
        <v>122</v>
      </c>
      <c r="WSX108" s="1" t="s">
        <v>122</v>
      </c>
      <c r="WSY108" s="1" t="s">
        <v>122</v>
      </c>
      <c r="WSZ108" s="1" t="s">
        <v>122</v>
      </c>
      <c r="WTA108" s="1" t="s">
        <v>122</v>
      </c>
      <c r="WTB108" s="1" t="s">
        <v>122</v>
      </c>
      <c r="WTC108" s="1" t="s">
        <v>122</v>
      </c>
      <c r="WTD108" s="1" t="s">
        <v>122</v>
      </c>
      <c r="WTE108" s="1" t="s">
        <v>122</v>
      </c>
      <c r="WTF108" s="1" t="s">
        <v>122</v>
      </c>
      <c r="WTG108" s="1" t="s">
        <v>122</v>
      </c>
      <c r="WTH108" s="1" t="s">
        <v>122</v>
      </c>
      <c r="WTI108" s="1" t="s">
        <v>122</v>
      </c>
      <c r="WTJ108" s="1" t="s">
        <v>122</v>
      </c>
      <c r="WTK108" s="1" t="s">
        <v>122</v>
      </c>
      <c r="WTL108" s="1" t="s">
        <v>122</v>
      </c>
      <c r="WTM108" s="1" t="s">
        <v>122</v>
      </c>
      <c r="WTN108" s="1" t="s">
        <v>122</v>
      </c>
      <c r="WTO108" s="1" t="s">
        <v>122</v>
      </c>
      <c r="WTP108" s="1" t="s">
        <v>122</v>
      </c>
      <c r="WTQ108" s="1" t="s">
        <v>122</v>
      </c>
      <c r="WTR108" s="1" t="s">
        <v>122</v>
      </c>
      <c r="WTS108" s="1" t="s">
        <v>122</v>
      </c>
      <c r="WTT108" s="1" t="s">
        <v>122</v>
      </c>
      <c r="WTU108" s="1" t="s">
        <v>122</v>
      </c>
      <c r="WTV108" s="1" t="s">
        <v>122</v>
      </c>
      <c r="WTW108" s="1" t="s">
        <v>122</v>
      </c>
      <c r="WTX108" s="1" t="s">
        <v>122</v>
      </c>
      <c r="WTY108" s="1" t="s">
        <v>122</v>
      </c>
      <c r="WTZ108" s="1" t="s">
        <v>122</v>
      </c>
      <c r="WUA108" s="1" t="s">
        <v>122</v>
      </c>
      <c r="WUB108" s="1" t="s">
        <v>122</v>
      </c>
      <c r="WUC108" s="1" t="s">
        <v>122</v>
      </c>
      <c r="WUD108" s="1" t="s">
        <v>122</v>
      </c>
      <c r="WUE108" s="1" t="s">
        <v>122</v>
      </c>
      <c r="WUF108" s="1" t="s">
        <v>122</v>
      </c>
      <c r="WUG108" s="1" t="s">
        <v>122</v>
      </c>
      <c r="WUH108" s="1" t="s">
        <v>122</v>
      </c>
      <c r="WUI108" s="1" t="s">
        <v>122</v>
      </c>
      <c r="WUJ108" s="1" t="s">
        <v>122</v>
      </c>
      <c r="WUK108" s="1" t="s">
        <v>122</v>
      </c>
      <c r="WUL108" s="1" t="s">
        <v>122</v>
      </c>
      <c r="WUM108" s="1" t="s">
        <v>122</v>
      </c>
      <c r="WUN108" s="1" t="s">
        <v>122</v>
      </c>
      <c r="WUO108" s="1" t="s">
        <v>122</v>
      </c>
      <c r="WUP108" s="1" t="s">
        <v>122</v>
      </c>
      <c r="WUQ108" s="1" t="s">
        <v>122</v>
      </c>
      <c r="WUR108" s="1" t="s">
        <v>122</v>
      </c>
      <c r="WUS108" s="1" t="s">
        <v>122</v>
      </c>
      <c r="WUT108" s="1" t="s">
        <v>122</v>
      </c>
      <c r="WUU108" s="1" t="s">
        <v>122</v>
      </c>
      <c r="WUV108" s="1" t="s">
        <v>122</v>
      </c>
      <c r="WUW108" s="1" t="s">
        <v>122</v>
      </c>
      <c r="WUX108" s="1" t="s">
        <v>122</v>
      </c>
      <c r="WUY108" s="1" t="s">
        <v>122</v>
      </c>
      <c r="WUZ108" s="1" t="s">
        <v>122</v>
      </c>
      <c r="WVA108" s="1" t="s">
        <v>122</v>
      </c>
      <c r="WVB108" s="1" t="s">
        <v>122</v>
      </c>
      <c r="WVC108" s="1" t="s">
        <v>122</v>
      </c>
      <c r="WVD108" s="1" t="s">
        <v>122</v>
      </c>
      <c r="WVE108" s="1" t="s">
        <v>122</v>
      </c>
      <c r="WVF108" s="1" t="s">
        <v>122</v>
      </c>
      <c r="WVG108" s="1" t="s">
        <v>122</v>
      </c>
      <c r="WVH108" s="1" t="s">
        <v>122</v>
      </c>
      <c r="WVI108" s="1" t="s">
        <v>122</v>
      </c>
      <c r="WVJ108" s="1" t="s">
        <v>122</v>
      </c>
      <c r="WVK108" s="1" t="s">
        <v>122</v>
      </c>
      <c r="WVL108" s="1" t="s">
        <v>122</v>
      </c>
      <c r="WVM108" s="1" t="s">
        <v>122</v>
      </c>
      <c r="WVN108" s="1" t="s">
        <v>122</v>
      </c>
      <c r="WVO108" s="1" t="s">
        <v>122</v>
      </c>
      <c r="WVP108" s="1" t="s">
        <v>122</v>
      </c>
      <c r="WVQ108" s="1" t="s">
        <v>122</v>
      </c>
      <c r="WVR108" s="1" t="s">
        <v>122</v>
      </c>
      <c r="WVS108" s="1" t="s">
        <v>122</v>
      </c>
      <c r="WVT108" s="1" t="s">
        <v>122</v>
      </c>
      <c r="WVU108" s="1" t="s">
        <v>122</v>
      </c>
      <c r="WVV108" s="1" t="s">
        <v>122</v>
      </c>
      <c r="WVW108" s="1" t="s">
        <v>122</v>
      </c>
      <c r="WVX108" s="1" t="s">
        <v>122</v>
      </c>
      <c r="WVY108" s="1" t="s">
        <v>122</v>
      </c>
      <c r="WVZ108" s="1" t="s">
        <v>122</v>
      </c>
      <c r="WWA108" s="1" t="s">
        <v>122</v>
      </c>
      <c r="WWB108" s="1" t="s">
        <v>122</v>
      </c>
      <c r="WWC108" s="1" t="s">
        <v>122</v>
      </c>
      <c r="WWD108" s="1" t="s">
        <v>122</v>
      </c>
      <c r="WWE108" s="1" t="s">
        <v>122</v>
      </c>
      <c r="WWF108" s="1" t="s">
        <v>122</v>
      </c>
      <c r="WWG108" s="1" t="s">
        <v>122</v>
      </c>
      <c r="WWH108" s="1" t="s">
        <v>122</v>
      </c>
      <c r="WWI108" s="1" t="s">
        <v>122</v>
      </c>
      <c r="WWJ108" s="1" t="s">
        <v>122</v>
      </c>
      <c r="WWK108" s="1" t="s">
        <v>122</v>
      </c>
      <c r="WWL108" s="1" t="s">
        <v>122</v>
      </c>
      <c r="WWM108" s="1" t="s">
        <v>122</v>
      </c>
      <c r="WWN108" s="1" t="s">
        <v>122</v>
      </c>
      <c r="WWO108" s="1" t="s">
        <v>122</v>
      </c>
      <c r="WWP108" s="1" t="s">
        <v>122</v>
      </c>
      <c r="WWQ108" s="1" t="s">
        <v>122</v>
      </c>
      <c r="WWR108" s="1" t="s">
        <v>122</v>
      </c>
      <c r="WWS108" s="1" t="s">
        <v>122</v>
      </c>
      <c r="WWT108" s="1" t="s">
        <v>122</v>
      </c>
      <c r="WWU108" s="1" t="s">
        <v>122</v>
      </c>
      <c r="WWV108" s="1" t="s">
        <v>122</v>
      </c>
      <c r="WWW108" s="1" t="s">
        <v>122</v>
      </c>
      <c r="WWX108" s="1" t="s">
        <v>122</v>
      </c>
      <c r="WWY108" s="1" t="s">
        <v>122</v>
      </c>
      <c r="WWZ108" s="1" t="s">
        <v>122</v>
      </c>
      <c r="WXA108" s="1" t="s">
        <v>122</v>
      </c>
      <c r="WXB108" s="1" t="s">
        <v>122</v>
      </c>
      <c r="WXC108" s="1" t="s">
        <v>122</v>
      </c>
      <c r="WXD108" s="1" t="s">
        <v>122</v>
      </c>
      <c r="WXE108" s="1" t="s">
        <v>122</v>
      </c>
      <c r="WXF108" s="1" t="s">
        <v>122</v>
      </c>
      <c r="WXG108" s="1" t="s">
        <v>122</v>
      </c>
      <c r="WXH108" s="1" t="s">
        <v>122</v>
      </c>
      <c r="WXI108" s="1" t="s">
        <v>122</v>
      </c>
      <c r="WXJ108" s="1" t="s">
        <v>122</v>
      </c>
      <c r="WXK108" s="1" t="s">
        <v>122</v>
      </c>
      <c r="WXL108" s="1" t="s">
        <v>122</v>
      </c>
      <c r="WXM108" s="1" t="s">
        <v>122</v>
      </c>
      <c r="WXN108" s="1" t="s">
        <v>122</v>
      </c>
      <c r="WXO108" s="1" t="s">
        <v>122</v>
      </c>
      <c r="WXP108" s="1" t="s">
        <v>122</v>
      </c>
      <c r="WXQ108" s="1" t="s">
        <v>122</v>
      </c>
      <c r="WXR108" s="1" t="s">
        <v>122</v>
      </c>
      <c r="WXS108" s="1" t="s">
        <v>122</v>
      </c>
      <c r="WXT108" s="1" t="s">
        <v>122</v>
      </c>
      <c r="WXU108" s="1" t="s">
        <v>122</v>
      </c>
      <c r="WXV108" s="1" t="s">
        <v>122</v>
      </c>
      <c r="WXW108" s="1" t="s">
        <v>122</v>
      </c>
      <c r="WXX108" s="1" t="s">
        <v>122</v>
      </c>
      <c r="WXY108" s="1" t="s">
        <v>122</v>
      </c>
      <c r="WXZ108" s="1" t="s">
        <v>122</v>
      </c>
      <c r="WYA108" s="1" t="s">
        <v>122</v>
      </c>
      <c r="WYB108" s="1" t="s">
        <v>122</v>
      </c>
      <c r="WYC108" s="1" t="s">
        <v>122</v>
      </c>
      <c r="WYD108" s="1" t="s">
        <v>122</v>
      </c>
      <c r="WYE108" s="1" t="s">
        <v>122</v>
      </c>
      <c r="WYF108" s="1" t="s">
        <v>122</v>
      </c>
      <c r="WYG108" s="1" t="s">
        <v>122</v>
      </c>
      <c r="WYH108" s="1" t="s">
        <v>122</v>
      </c>
      <c r="WYI108" s="1" t="s">
        <v>122</v>
      </c>
      <c r="WYJ108" s="1" t="s">
        <v>122</v>
      </c>
      <c r="WYK108" s="1" t="s">
        <v>122</v>
      </c>
      <c r="WYL108" s="1" t="s">
        <v>122</v>
      </c>
      <c r="WYM108" s="1" t="s">
        <v>122</v>
      </c>
      <c r="WYN108" s="1" t="s">
        <v>122</v>
      </c>
      <c r="WYO108" s="1" t="s">
        <v>122</v>
      </c>
      <c r="WYP108" s="1" t="s">
        <v>122</v>
      </c>
      <c r="WYQ108" s="1" t="s">
        <v>122</v>
      </c>
      <c r="WYR108" s="1" t="s">
        <v>122</v>
      </c>
      <c r="WYS108" s="1" t="s">
        <v>122</v>
      </c>
      <c r="WYT108" s="1" t="s">
        <v>122</v>
      </c>
      <c r="WYU108" s="1" t="s">
        <v>122</v>
      </c>
      <c r="WYV108" s="1" t="s">
        <v>122</v>
      </c>
      <c r="WYW108" s="1" t="s">
        <v>122</v>
      </c>
      <c r="WYX108" s="1" t="s">
        <v>122</v>
      </c>
      <c r="WYY108" s="1" t="s">
        <v>122</v>
      </c>
      <c r="WYZ108" s="1" t="s">
        <v>122</v>
      </c>
      <c r="WZA108" s="1" t="s">
        <v>122</v>
      </c>
      <c r="WZB108" s="1" t="s">
        <v>122</v>
      </c>
      <c r="WZC108" s="1" t="s">
        <v>122</v>
      </c>
      <c r="WZD108" s="1" t="s">
        <v>122</v>
      </c>
      <c r="WZE108" s="1" t="s">
        <v>122</v>
      </c>
      <c r="WZF108" s="1" t="s">
        <v>122</v>
      </c>
      <c r="WZG108" s="1" t="s">
        <v>122</v>
      </c>
      <c r="WZH108" s="1" t="s">
        <v>122</v>
      </c>
      <c r="WZI108" s="1" t="s">
        <v>122</v>
      </c>
      <c r="WZJ108" s="1" t="s">
        <v>122</v>
      </c>
      <c r="WZK108" s="1" t="s">
        <v>122</v>
      </c>
      <c r="WZL108" s="1" t="s">
        <v>122</v>
      </c>
      <c r="WZM108" s="1" t="s">
        <v>122</v>
      </c>
      <c r="WZN108" s="1" t="s">
        <v>122</v>
      </c>
      <c r="WZO108" s="1" t="s">
        <v>122</v>
      </c>
      <c r="WZP108" s="1" t="s">
        <v>122</v>
      </c>
      <c r="WZQ108" s="1" t="s">
        <v>122</v>
      </c>
      <c r="WZR108" s="1" t="s">
        <v>122</v>
      </c>
      <c r="WZS108" s="1" t="s">
        <v>122</v>
      </c>
      <c r="WZT108" s="1" t="s">
        <v>122</v>
      </c>
      <c r="WZU108" s="1" t="s">
        <v>122</v>
      </c>
      <c r="WZV108" s="1" t="s">
        <v>122</v>
      </c>
      <c r="WZW108" s="1" t="s">
        <v>122</v>
      </c>
      <c r="WZX108" s="1" t="s">
        <v>122</v>
      </c>
      <c r="WZY108" s="1" t="s">
        <v>122</v>
      </c>
      <c r="WZZ108" s="1" t="s">
        <v>122</v>
      </c>
      <c r="XAA108" s="1" t="s">
        <v>122</v>
      </c>
      <c r="XAB108" s="1" t="s">
        <v>122</v>
      </c>
      <c r="XAC108" s="1" t="s">
        <v>122</v>
      </c>
      <c r="XAD108" s="1" t="s">
        <v>122</v>
      </c>
      <c r="XAE108" s="1" t="s">
        <v>122</v>
      </c>
      <c r="XAF108" s="1" t="s">
        <v>122</v>
      </c>
      <c r="XAG108" s="1" t="s">
        <v>122</v>
      </c>
      <c r="XAH108" s="1" t="s">
        <v>122</v>
      </c>
      <c r="XAI108" s="1" t="s">
        <v>122</v>
      </c>
      <c r="XAJ108" s="1" t="s">
        <v>122</v>
      </c>
      <c r="XAK108" s="1" t="s">
        <v>122</v>
      </c>
      <c r="XAL108" s="1" t="s">
        <v>122</v>
      </c>
      <c r="XAM108" s="1" t="s">
        <v>122</v>
      </c>
      <c r="XAN108" s="1" t="s">
        <v>122</v>
      </c>
      <c r="XAO108" s="1" t="s">
        <v>122</v>
      </c>
      <c r="XAP108" s="1" t="s">
        <v>122</v>
      </c>
      <c r="XAQ108" s="1" t="s">
        <v>122</v>
      </c>
      <c r="XAR108" s="1" t="s">
        <v>122</v>
      </c>
      <c r="XAS108" s="1" t="s">
        <v>122</v>
      </c>
      <c r="XAT108" s="1" t="s">
        <v>122</v>
      </c>
      <c r="XAU108" s="1" t="s">
        <v>122</v>
      </c>
      <c r="XAV108" s="1" t="s">
        <v>122</v>
      </c>
      <c r="XAW108" s="1" t="s">
        <v>122</v>
      </c>
      <c r="XAX108" s="1" t="s">
        <v>122</v>
      </c>
      <c r="XAY108" s="1" t="s">
        <v>122</v>
      </c>
      <c r="XAZ108" s="1" t="s">
        <v>122</v>
      </c>
      <c r="XBA108" s="1" t="s">
        <v>122</v>
      </c>
      <c r="XBB108" s="1" t="s">
        <v>122</v>
      </c>
      <c r="XBC108" s="1" t="s">
        <v>122</v>
      </c>
      <c r="XBD108" s="1" t="s">
        <v>122</v>
      </c>
      <c r="XBE108" s="1" t="s">
        <v>122</v>
      </c>
      <c r="XBF108" s="1" t="s">
        <v>122</v>
      </c>
      <c r="XBG108" s="1" t="s">
        <v>122</v>
      </c>
      <c r="XBH108" s="1" t="s">
        <v>122</v>
      </c>
      <c r="XBI108" s="1" t="s">
        <v>122</v>
      </c>
      <c r="XBJ108" s="1" t="s">
        <v>122</v>
      </c>
      <c r="XBK108" s="1" t="s">
        <v>122</v>
      </c>
      <c r="XBL108" s="1" t="s">
        <v>122</v>
      </c>
      <c r="XBM108" s="1" t="s">
        <v>122</v>
      </c>
      <c r="XBN108" s="1" t="s">
        <v>122</v>
      </c>
      <c r="XBO108" s="1" t="s">
        <v>122</v>
      </c>
      <c r="XBP108" s="1" t="s">
        <v>122</v>
      </c>
      <c r="XBQ108" s="1" t="s">
        <v>122</v>
      </c>
      <c r="XBR108" s="1" t="s">
        <v>122</v>
      </c>
      <c r="XBS108" s="1" t="s">
        <v>122</v>
      </c>
      <c r="XBT108" s="1" t="s">
        <v>122</v>
      </c>
      <c r="XBU108" s="1" t="s">
        <v>122</v>
      </c>
      <c r="XBV108" s="1" t="s">
        <v>122</v>
      </c>
      <c r="XBW108" s="1" t="s">
        <v>122</v>
      </c>
      <c r="XBX108" s="1" t="s">
        <v>122</v>
      </c>
      <c r="XBY108" s="1" t="s">
        <v>122</v>
      </c>
      <c r="XBZ108" s="1" t="s">
        <v>122</v>
      </c>
      <c r="XCA108" s="1" t="s">
        <v>122</v>
      </c>
      <c r="XCB108" s="1" t="s">
        <v>122</v>
      </c>
      <c r="XCC108" s="1" t="s">
        <v>122</v>
      </c>
      <c r="XCD108" s="1" t="s">
        <v>122</v>
      </c>
      <c r="XCE108" s="1" t="s">
        <v>122</v>
      </c>
      <c r="XCF108" s="1" t="s">
        <v>122</v>
      </c>
      <c r="XCG108" s="1" t="s">
        <v>122</v>
      </c>
      <c r="XCH108" s="1" t="s">
        <v>122</v>
      </c>
      <c r="XCI108" s="1" t="s">
        <v>122</v>
      </c>
      <c r="XCJ108" s="1" t="s">
        <v>122</v>
      </c>
      <c r="XCK108" s="1" t="s">
        <v>122</v>
      </c>
      <c r="XCL108" s="1" t="s">
        <v>122</v>
      </c>
      <c r="XCM108" s="1" t="s">
        <v>122</v>
      </c>
      <c r="XCN108" s="1" t="s">
        <v>122</v>
      </c>
      <c r="XCO108" s="1" t="s">
        <v>122</v>
      </c>
      <c r="XCP108" s="1" t="s">
        <v>122</v>
      </c>
      <c r="XCQ108" s="1" t="s">
        <v>122</v>
      </c>
      <c r="XCR108" s="1" t="s">
        <v>122</v>
      </c>
      <c r="XCS108" s="1" t="s">
        <v>122</v>
      </c>
      <c r="XCT108" s="1" t="s">
        <v>122</v>
      </c>
      <c r="XCU108" s="1" t="s">
        <v>122</v>
      </c>
      <c r="XCV108" s="1" t="s">
        <v>122</v>
      </c>
      <c r="XCW108" s="1" t="s">
        <v>122</v>
      </c>
      <c r="XCX108" s="1" t="s">
        <v>122</v>
      </c>
      <c r="XCY108" s="1" t="s">
        <v>122</v>
      </c>
      <c r="XCZ108" s="1" t="s">
        <v>122</v>
      </c>
      <c r="XDA108" s="1" t="s">
        <v>122</v>
      </c>
      <c r="XDB108" s="1" t="s">
        <v>122</v>
      </c>
      <c r="XDC108" s="1" t="s">
        <v>122</v>
      </c>
      <c r="XDD108" s="1" t="s">
        <v>122</v>
      </c>
      <c r="XDE108" s="1" t="s">
        <v>122</v>
      </c>
      <c r="XDF108" s="1" t="s">
        <v>122</v>
      </c>
      <c r="XDG108" s="1" t="s">
        <v>122</v>
      </c>
      <c r="XDH108" s="1" t="s">
        <v>122</v>
      </c>
      <c r="XDI108" s="1" t="s">
        <v>122</v>
      </c>
      <c r="XDJ108" s="1" t="s">
        <v>122</v>
      </c>
      <c r="XDK108" s="1" t="s">
        <v>122</v>
      </c>
      <c r="XDL108" s="1" t="s">
        <v>122</v>
      </c>
      <c r="XDM108" s="1" t="s">
        <v>122</v>
      </c>
      <c r="XDN108" s="1" t="s">
        <v>122</v>
      </c>
      <c r="XDO108" s="1" t="s">
        <v>122</v>
      </c>
      <c r="XDP108" s="1" t="s">
        <v>122</v>
      </c>
      <c r="XDQ108" s="1" t="s">
        <v>122</v>
      </c>
      <c r="XDR108" s="1" t="s">
        <v>122</v>
      </c>
      <c r="XDS108" s="1" t="s">
        <v>122</v>
      </c>
      <c r="XDT108" s="1" t="s">
        <v>122</v>
      </c>
      <c r="XDU108" s="1" t="s">
        <v>122</v>
      </c>
      <c r="XDV108" s="1" t="s">
        <v>122</v>
      </c>
      <c r="XDW108" s="1" t="s">
        <v>122</v>
      </c>
      <c r="XDX108" s="1" t="s">
        <v>122</v>
      </c>
      <c r="XDY108" s="1" t="s">
        <v>122</v>
      </c>
      <c r="XDZ108" s="1" t="s">
        <v>122</v>
      </c>
      <c r="XEA108" s="1" t="s">
        <v>122</v>
      </c>
      <c r="XEB108" s="1" t="s">
        <v>122</v>
      </c>
      <c r="XEC108" s="1" t="s">
        <v>122</v>
      </c>
      <c r="XED108" s="1" t="s">
        <v>122</v>
      </c>
      <c r="XEE108" s="1" t="s">
        <v>122</v>
      </c>
      <c r="XEF108" s="1" t="s">
        <v>122</v>
      </c>
      <c r="XEG108" s="1" t="s">
        <v>122</v>
      </c>
      <c r="XEH108" s="1" t="s">
        <v>122</v>
      </c>
      <c r="XEI108" s="1" t="s">
        <v>122</v>
      </c>
      <c r="XEJ108" s="1" t="s">
        <v>122</v>
      </c>
      <c r="XEK108" s="1" t="s">
        <v>122</v>
      </c>
      <c r="XEL108" s="1" t="s">
        <v>122</v>
      </c>
      <c r="XEM108" s="1" t="s">
        <v>122</v>
      </c>
      <c r="XEN108" s="1" t="s">
        <v>122</v>
      </c>
      <c r="XEO108" s="1" t="s">
        <v>122</v>
      </c>
      <c r="XEP108" s="1" t="s">
        <v>122</v>
      </c>
      <c r="XEQ108" s="1" t="s">
        <v>122</v>
      </c>
      <c r="XER108" s="1" t="s">
        <v>122</v>
      </c>
      <c r="XES108" s="1" t="s">
        <v>122</v>
      </c>
      <c r="XET108" s="1" t="s">
        <v>122</v>
      </c>
      <c r="XEU108" s="1" t="s">
        <v>122</v>
      </c>
      <c r="XEV108" s="1" t="s">
        <v>122</v>
      </c>
      <c r="XEW108" s="1" t="s">
        <v>122</v>
      </c>
      <c r="XEX108" s="1" t="s">
        <v>122</v>
      </c>
      <c r="XEY108" s="1" t="s">
        <v>122</v>
      </c>
      <c r="XEZ108" s="1" t="s">
        <v>122</v>
      </c>
      <c r="XFA108" s="1" t="s">
        <v>122</v>
      </c>
      <c r="XFB108" s="1" t="s">
        <v>122</v>
      </c>
      <c r="XFC108" s="1" t="s">
        <v>122</v>
      </c>
      <c r="XFD108" s="1" t="s">
        <v>122</v>
      </c>
    </row>
  </sheetData>
  <sortState ref="AQ3:BK107">
    <sortCondition ref="AQ3:AQ107"/>
  </sortState>
  <mergeCells count="15">
    <mergeCell ref="W1:Z1"/>
    <mergeCell ref="B1:E1"/>
    <mergeCell ref="F1:I1"/>
    <mergeCell ref="J1:M1"/>
    <mergeCell ref="N1:Q1"/>
    <mergeCell ref="R1:U1"/>
    <mergeCell ref="AZ1:BC1"/>
    <mergeCell ref="BD1:BG1"/>
    <mergeCell ref="BH1:BK1"/>
    <mergeCell ref="AA1:AD1"/>
    <mergeCell ref="AE1:AH1"/>
    <mergeCell ref="AI1:AL1"/>
    <mergeCell ref="AM1:AP1"/>
    <mergeCell ref="AR1:AU1"/>
    <mergeCell ref="AV1:AY1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K108"/>
  <sheetViews>
    <sheetView topLeftCell="AK1" workbookViewId="0">
      <pane ySplit="2" topLeftCell="A62" activePane="bottomLeft" state="frozen"/>
      <selection pane="bottomLeft" activeCell="BE115" sqref="BE115"/>
    </sheetView>
  </sheetViews>
  <sheetFormatPr baseColWidth="10" defaultRowHeight="15" x14ac:dyDescent="0"/>
  <cols>
    <col min="22" max="22" width="10.83203125" customWidth="1"/>
    <col min="43" max="43" width="10.83203125" customWidth="1"/>
  </cols>
  <sheetData>
    <row r="1" spans="1:63">
      <c r="B1" s="12" t="s">
        <v>280</v>
      </c>
      <c r="C1" s="12"/>
      <c r="D1" s="12"/>
      <c r="E1" s="12"/>
      <c r="F1" s="12" t="s">
        <v>281</v>
      </c>
      <c r="G1" s="12"/>
      <c r="H1" s="12"/>
      <c r="I1" s="12"/>
      <c r="J1" s="12" t="s">
        <v>282</v>
      </c>
      <c r="K1" s="12"/>
      <c r="L1" s="12"/>
      <c r="M1" s="12"/>
      <c r="N1" s="12" t="s">
        <v>283</v>
      </c>
      <c r="O1" s="12"/>
      <c r="P1" s="12"/>
      <c r="Q1" s="12"/>
      <c r="R1" s="12" t="s">
        <v>284</v>
      </c>
      <c r="S1" s="12"/>
      <c r="T1" s="12"/>
      <c r="U1" s="12"/>
      <c r="W1" s="12" t="s">
        <v>280</v>
      </c>
      <c r="X1" s="12"/>
      <c r="Y1" s="12"/>
      <c r="Z1" s="12"/>
      <c r="AA1" s="12" t="s">
        <v>285</v>
      </c>
      <c r="AB1" s="12"/>
      <c r="AC1" s="12"/>
      <c r="AD1" s="12"/>
      <c r="AE1" s="12" t="s">
        <v>286</v>
      </c>
      <c r="AF1" s="12"/>
      <c r="AG1" s="12"/>
      <c r="AH1" s="12"/>
      <c r="AI1" s="12" t="s">
        <v>287</v>
      </c>
      <c r="AJ1" s="12"/>
      <c r="AK1" s="12"/>
      <c r="AL1" s="12"/>
      <c r="AM1" s="12" t="s">
        <v>288</v>
      </c>
      <c r="AN1" s="12"/>
      <c r="AO1" s="12"/>
      <c r="AP1" s="12"/>
      <c r="AR1" s="12" t="s">
        <v>281</v>
      </c>
      <c r="AS1" s="12"/>
      <c r="AT1" s="12"/>
      <c r="AU1" s="12"/>
      <c r="AV1" s="12" t="s">
        <v>285</v>
      </c>
      <c r="AW1" s="12"/>
      <c r="AX1" s="12"/>
      <c r="AY1" s="12"/>
      <c r="AZ1" s="12" t="s">
        <v>289</v>
      </c>
      <c r="BA1" s="12"/>
      <c r="BB1" s="12"/>
      <c r="BC1" s="12"/>
      <c r="BD1" s="12" t="s">
        <v>290</v>
      </c>
      <c r="BE1" s="12"/>
      <c r="BF1" s="12"/>
      <c r="BG1" s="12"/>
      <c r="BH1" s="12" t="s">
        <v>291</v>
      </c>
      <c r="BI1" s="12"/>
      <c r="BJ1" s="12"/>
      <c r="BK1" s="12"/>
    </row>
    <row r="2" spans="1:63">
      <c r="A2" t="s">
        <v>114</v>
      </c>
      <c r="B2" t="s">
        <v>105</v>
      </c>
      <c r="C2" t="s">
        <v>106</v>
      </c>
      <c r="D2" t="s">
        <v>107</v>
      </c>
      <c r="E2" t="s">
        <v>108</v>
      </c>
      <c r="F2" t="s">
        <v>105</v>
      </c>
      <c r="G2" t="s">
        <v>106</v>
      </c>
      <c r="H2" t="s">
        <v>107</v>
      </c>
      <c r="I2" t="s">
        <v>108</v>
      </c>
      <c r="J2" t="s">
        <v>105</v>
      </c>
      <c r="K2" t="s">
        <v>106</v>
      </c>
      <c r="L2" t="s">
        <v>107</v>
      </c>
      <c r="M2" t="s">
        <v>108</v>
      </c>
      <c r="N2" t="s">
        <v>105</v>
      </c>
      <c r="O2" t="s">
        <v>106</v>
      </c>
      <c r="P2" t="s">
        <v>107</v>
      </c>
      <c r="Q2" t="s">
        <v>108</v>
      </c>
      <c r="R2" t="s">
        <v>105</v>
      </c>
      <c r="S2" t="s">
        <v>106</v>
      </c>
      <c r="T2" t="s">
        <v>107</v>
      </c>
      <c r="U2" t="s">
        <v>108</v>
      </c>
      <c r="V2" t="s">
        <v>114</v>
      </c>
      <c r="W2" t="s">
        <v>105</v>
      </c>
      <c r="X2" t="s">
        <v>106</v>
      </c>
      <c r="Y2" t="s">
        <v>107</v>
      </c>
      <c r="Z2" t="s">
        <v>108</v>
      </c>
      <c r="AA2" t="s">
        <v>105</v>
      </c>
      <c r="AB2" t="s">
        <v>106</v>
      </c>
      <c r="AC2" t="s">
        <v>107</v>
      </c>
      <c r="AD2" t="s">
        <v>108</v>
      </c>
      <c r="AE2" t="s">
        <v>105</v>
      </c>
      <c r="AF2" t="s">
        <v>106</v>
      </c>
      <c r="AG2" t="s">
        <v>107</v>
      </c>
      <c r="AH2" t="s">
        <v>108</v>
      </c>
      <c r="AI2" t="s">
        <v>105</v>
      </c>
      <c r="AJ2" t="s">
        <v>106</v>
      </c>
      <c r="AK2" t="s">
        <v>107</v>
      </c>
      <c r="AL2" t="s">
        <v>108</v>
      </c>
      <c r="AM2" t="s">
        <v>105</v>
      </c>
      <c r="AN2" t="s">
        <v>106</v>
      </c>
      <c r="AO2" t="s">
        <v>107</v>
      </c>
      <c r="AP2" t="s">
        <v>108</v>
      </c>
      <c r="AQ2" t="s">
        <v>114</v>
      </c>
      <c r="AR2" t="s">
        <v>105</v>
      </c>
      <c r="AS2" t="s">
        <v>106</v>
      </c>
      <c r="AT2" t="s">
        <v>107</v>
      </c>
      <c r="AU2" t="s">
        <v>108</v>
      </c>
      <c r="AV2" t="s">
        <v>105</v>
      </c>
      <c r="AW2" t="s">
        <v>106</v>
      </c>
      <c r="AX2" t="s">
        <v>107</v>
      </c>
      <c r="AY2" t="s">
        <v>108</v>
      </c>
      <c r="AZ2" t="s">
        <v>105</v>
      </c>
      <c r="BA2" t="s">
        <v>106</v>
      </c>
      <c r="BB2" t="s">
        <v>107</v>
      </c>
      <c r="BC2" t="s">
        <v>108</v>
      </c>
      <c r="BD2" t="s">
        <v>105</v>
      </c>
      <c r="BE2" t="s">
        <v>106</v>
      </c>
      <c r="BF2" t="s">
        <v>107</v>
      </c>
      <c r="BG2" t="s">
        <v>108</v>
      </c>
      <c r="BH2" t="s">
        <v>105</v>
      </c>
      <c r="BI2" t="s">
        <v>106</v>
      </c>
      <c r="BJ2" t="s">
        <v>107</v>
      </c>
      <c r="BK2" t="s">
        <v>108</v>
      </c>
    </row>
    <row r="3" spans="1:63">
      <c r="A3" t="s">
        <v>32</v>
      </c>
      <c r="B3">
        <v>14</v>
      </c>
      <c r="C3">
        <v>0</v>
      </c>
      <c r="D3">
        <v>0</v>
      </c>
      <c r="E3">
        <v>0</v>
      </c>
      <c r="F3">
        <v>14</v>
      </c>
      <c r="G3">
        <v>0</v>
      </c>
      <c r="H3">
        <v>0</v>
      </c>
      <c r="I3">
        <v>0</v>
      </c>
      <c r="J3">
        <v>14</v>
      </c>
      <c r="K3">
        <v>0</v>
      </c>
      <c r="L3">
        <v>0</v>
      </c>
      <c r="M3">
        <v>0</v>
      </c>
      <c r="N3">
        <v>14</v>
      </c>
      <c r="O3">
        <v>0</v>
      </c>
      <c r="P3">
        <v>0</v>
      </c>
      <c r="Q3">
        <v>0</v>
      </c>
      <c r="R3">
        <v>14</v>
      </c>
      <c r="S3">
        <v>0</v>
      </c>
      <c r="T3">
        <v>0</v>
      </c>
      <c r="U3">
        <v>0</v>
      </c>
      <c r="V3" t="s">
        <v>32</v>
      </c>
      <c r="W3">
        <v>14</v>
      </c>
      <c r="X3">
        <v>0</v>
      </c>
      <c r="Y3">
        <v>0</v>
      </c>
      <c r="Z3">
        <v>0</v>
      </c>
      <c r="AA3">
        <v>14</v>
      </c>
      <c r="AB3">
        <v>0</v>
      </c>
      <c r="AC3">
        <v>0</v>
      </c>
      <c r="AD3">
        <v>0</v>
      </c>
      <c r="AE3">
        <v>14</v>
      </c>
      <c r="AF3">
        <v>0</v>
      </c>
      <c r="AG3">
        <v>0</v>
      </c>
      <c r="AH3">
        <v>0</v>
      </c>
      <c r="AI3">
        <v>14</v>
      </c>
      <c r="AJ3">
        <v>0</v>
      </c>
      <c r="AK3">
        <v>0</v>
      </c>
      <c r="AL3">
        <v>0</v>
      </c>
      <c r="AM3">
        <v>14</v>
      </c>
      <c r="AN3">
        <v>0</v>
      </c>
      <c r="AO3">
        <v>0</v>
      </c>
      <c r="AP3">
        <v>0</v>
      </c>
      <c r="AQ3" t="s">
        <v>32</v>
      </c>
      <c r="AR3">
        <v>14</v>
      </c>
      <c r="AS3">
        <v>0</v>
      </c>
      <c r="AT3">
        <v>0</v>
      </c>
      <c r="AU3">
        <v>0</v>
      </c>
      <c r="AV3">
        <v>14</v>
      </c>
      <c r="AW3">
        <v>0</v>
      </c>
      <c r="AX3">
        <v>0</v>
      </c>
      <c r="AY3">
        <v>0</v>
      </c>
      <c r="AZ3">
        <v>14</v>
      </c>
      <c r="BA3">
        <v>0</v>
      </c>
      <c r="BB3">
        <v>0</v>
      </c>
      <c r="BC3">
        <v>0</v>
      </c>
      <c r="BD3">
        <v>14</v>
      </c>
      <c r="BE3">
        <v>0</v>
      </c>
      <c r="BF3">
        <v>0</v>
      </c>
      <c r="BG3">
        <v>0</v>
      </c>
      <c r="BH3">
        <v>14</v>
      </c>
      <c r="BI3">
        <v>0</v>
      </c>
      <c r="BJ3">
        <v>0</v>
      </c>
      <c r="BK3">
        <v>0</v>
      </c>
    </row>
    <row r="4" spans="1:63">
      <c r="A4" t="s">
        <v>58</v>
      </c>
      <c r="B4">
        <v>14</v>
      </c>
      <c r="C4">
        <v>0</v>
      </c>
      <c r="D4">
        <v>0</v>
      </c>
      <c r="E4">
        <v>0</v>
      </c>
      <c r="F4">
        <v>14</v>
      </c>
      <c r="G4">
        <v>0</v>
      </c>
      <c r="H4">
        <v>0</v>
      </c>
      <c r="I4">
        <v>0</v>
      </c>
      <c r="J4">
        <v>14</v>
      </c>
      <c r="K4">
        <v>0</v>
      </c>
      <c r="L4">
        <v>0</v>
      </c>
      <c r="M4">
        <v>0</v>
      </c>
      <c r="N4">
        <v>14</v>
      </c>
      <c r="O4">
        <v>0</v>
      </c>
      <c r="P4">
        <v>0</v>
      </c>
      <c r="Q4">
        <v>0</v>
      </c>
      <c r="R4">
        <v>14</v>
      </c>
      <c r="S4">
        <v>0</v>
      </c>
      <c r="T4">
        <v>0</v>
      </c>
      <c r="U4">
        <v>0</v>
      </c>
      <c r="V4" t="s">
        <v>58</v>
      </c>
      <c r="W4">
        <v>14</v>
      </c>
      <c r="X4">
        <v>0</v>
      </c>
      <c r="Y4">
        <v>0</v>
      </c>
      <c r="Z4">
        <v>0</v>
      </c>
      <c r="AA4">
        <v>14</v>
      </c>
      <c r="AB4">
        <v>0</v>
      </c>
      <c r="AC4">
        <v>0</v>
      </c>
      <c r="AD4">
        <v>0</v>
      </c>
      <c r="AE4">
        <v>14</v>
      </c>
      <c r="AF4">
        <v>0</v>
      </c>
      <c r="AG4">
        <v>0</v>
      </c>
      <c r="AH4">
        <v>0</v>
      </c>
      <c r="AI4">
        <v>14</v>
      </c>
      <c r="AJ4">
        <v>0</v>
      </c>
      <c r="AK4">
        <v>0</v>
      </c>
      <c r="AL4">
        <v>0</v>
      </c>
      <c r="AM4">
        <v>14</v>
      </c>
      <c r="AN4">
        <v>0</v>
      </c>
      <c r="AO4">
        <v>0</v>
      </c>
      <c r="AP4">
        <v>0</v>
      </c>
      <c r="AQ4" t="s">
        <v>58</v>
      </c>
      <c r="AR4">
        <v>14</v>
      </c>
      <c r="AS4">
        <v>0</v>
      </c>
      <c r="AT4">
        <v>0</v>
      </c>
      <c r="AU4">
        <v>0</v>
      </c>
      <c r="AV4">
        <v>14</v>
      </c>
      <c r="AW4">
        <v>0</v>
      </c>
      <c r="AX4">
        <v>0</v>
      </c>
      <c r="AY4">
        <v>0</v>
      </c>
      <c r="AZ4">
        <v>14</v>
      </c>
      <c r="BA4">
        <v>0</v>
      </c>
      <c r="BB4">
        <v>0</v>
      </c>
      <c r="BC4">
        <v>0</v>
      </c>
      <c r="BD4">
        <v>14</v>
      </c>
      <c r="BE4">
        <v>0</v>
      </c>
      <c r="BF4">
        <v>0</v>
      </c>
      <c r="BG4">
        <v>0</v>
      </c>
      <c r="BH4">
        <v>14</v>
      </c>
      <c r="BI4">
        <v>0</v>
      </c>
      <c r="BJ4">
        <v>0</v>
      </c>
      <c r="BK4">
        <v>0</v>
      </c>
    </row>
    <row r="5" spans="1:63">
      <c r="A5" t="s">
        <v>14</v>
      </c>
      <c r="B5">
        <v>18</v>
      </c>
      <c r="C5">
        <v>0</v>
      </c>
      <c r="D5">
        <v>0</v>
      </c>
      <c r="E5">
        <v>0</v>
      </c>
      <c r="F5">
        <v>18</v>
      </c>
      <c r="G5">
        <v>0</v>
      </c>
      <c r="H5">
        <v>0</v>
      </c>
      <c r="I5">
        <v>0</v>
      </c>
      <c r="J5">
        <v>18</v>
      </c>
      <c r="K5">
        <v>0</v>
      </c>
      <c r="L5">
        <v>0</v>
      </c>
      <c r="M5">
        <v>0</v>
      </c>
      <c r="N5">
        <v>18</v>
      </c>
      <c r="O5">
        <v>0</v>
      </c>
      <c r="P5">
        <v>0</v>
      </c>
      <c r="Q5">
        <v>0</v>
      </c>
      <c r="R5">
        <v>18</v>
      </c>
      <c r="S5">
        <v>0</v>
      </c>
      <c r="T5">
        <v>0</v>
      </c>
      <c r="U5">
        <v>0</v>
      </c>
      <c r="V5" t="s">
        <v>14</v>
      </c>
      <c r="W5">
        <v>18</v>
      </c>
      <c r="X5">
        <v>0</v>
      </c>
      <c r="Y5">
        <v>0</v>
      </c>
      <c r="Z5">
        <v>0</v>
      </c>
      <c r="AA5">
        <v>18</v>
      </c>
      <c r="AB5">
        <v>0</v>
      </c>
      <c r="AC5">
        <v>0</v>
      </c>
      <c r="AD5">
        <v>0</v>
      </c>
      <c r="AE5">
        <v>18</v>
      </c>
      <c r="AF5">
        <v>0</v>
      </c>
      <c r="AG5">
        <v>0</v>
      </c>
      <c r="AH5">
        <v>0</v>
      </c>
      <c r="AI5">
        <v>18</v>
      </c>
      <c r="AJ5">
        <v>0</v>
      </c>
      <c r="AK5">
        <v>0</v>
      </c>
      <c r="AL5">
        <v>0</v>
      </c>
      <c r="AM5">
        <v>18</v>
      </c>
      <c r="AN5">
        <v>0</v>
      </c>
      <c r="AO5">
        <v>0</v>
      </c>
      <c r="AP5">
        <v>0</v>
      </c>
      <c r="AQ5" t="s">
        <v>14</v>
      </c>
      <c r="AR5">
        <v>18</v>
      </c>
      <c r="AS5">
        <v>0</v>
      </c>
      <c r="AT5">
        <v>0</v>
      </c>
      <c r="AU5">
        <v>0</v>
      </c>
      <c r="AV5">
        <v>18</v>
      </c>
      <c r="AW5">
        <v>0</v>
      </c>
      <c r="AX5">
        <v>0</v>
      </c>
      <c r="AY5">
        <v>0</v>
      </c>
      <c r="AZ5">
        <v>18</v>
      </c>
      <c r="BA5">
        <v>0</v>
      </c>
      <c r="BB5">
        <v>0</v>
      </c>
      <c r="BC5">
        <v>0</v>
      </c>
      <c r="BD5">
        <v>18</v>
      </c>
      <c r="BE5">
        <v>0</v>
      </c>
      <c r="BF5">
        <v>0</v>
      </c>
      <c r="BG5">
        <v>0</v>
      </c>
      <c r="BH5">
        <v>18</v>
      </c>
      <c r="BI5">
        <v>0</v>
      </c>
      <c r="BJ5">
        <v>0</v>
      </c>
      <c r="BK5">
        <v>0</v>
      </c>
    </row>
    <row r="6" spans="1:63">
      <c r="A6" t="s">
        <v>39</v>
      </c>
      <c r="B6">
        <v>60</v>
      </c>
      <c r="C6">
        <v>0</v>
      </c>
      <c r="D6">
        <v>0</v>
      </c>
      <c r="E6">
        <v>0</v>
      </c>
      <c r="F6">
        <v>60</v>
      </c>
      <c r="G6">
        <v>0</v>
      </c>
      <c r="H6">
        <v>0</v>
      </c>
      <c r="I6">
        <v>0</v>
      </c>
      <c r="J6">
        <v>60</v>
      </c>
      <c r="K6">
        <v>0</v>
      </c>
      <c r="L6">
        <v>0</v>
      </c>
      <c r="M6">
        <v>0</v>
      </c>
      <c r="N6">
        <v>60</v>
      </c>
      <c r="O6">
        <v>0</v>
      </c>
      <c r="P6">
        <v>0</v>
      </c>
      <c r="Q6">
        <v>0</v>
      </c>
      <c r="R6">
        <v>60</v>
      </c>
      <c r="S6">
        <v>0</v>
      </c>
      <c r="T6">
        <v>0</v>
      </c>
      <c r="U6">
        <v>0</v>
      </c>
      <c r="V6" t="s">
        <v>39</v>
      </c>
      <c r="W6">
        <v>60</v>
      </c>
      <c r="X6">
        <v>0</v>
      </c>
      <c r="Y6">
        <v>0</v>
      </c>
      <c r="Z6">
        <v>0</v>
      </c>
      <c r="AA6">
        <v>60</v>
      </c>
      <c r="AB6">
        <v>0</v>
      </c>
      <c r="AC6">
        <v>0</v>
      </c>
      <c r="AD6">
        <v>0</v>
      </c>
      <c r="AE6">
        <v>60</v>
      </c>
      <c r="AF6">
        <v>0</v>
      </c>
      <c r="AG6">
        <v>0</v>
      </c>
      <c r="AH6">
        <v>0</v>
      </c>
      <c r="AI6">
        <v>60</v>
      </c>
      <c r="AJ6">
        <v>0</v>
      </c>
      <c r="AK6">
        <v>0</v>
      </c>
      <c r="AL6">
        <v>0</v>
      </c>
      <c r="AM6">
        <v>60</v>
      </c>
      <c r="AN6">
        <v>0</v>
      </c>
      <c r="AO6">
        <v>0</v>
      </c>
      <c r="AP6">
        <v>0</v>
      </c>
      <c r="AQ6" t="s">
        <v>39</v>
      </c>
      <c r="AR6">
        <v>60</v>
      </c>
      <c r="AS6">
        <v>0</v>
      </c>
      <c r="AT6">
        <v>0</v>
      </c>
      <c r="AU6">
        <v>0</v>
      </c>
      <c r="AV6">
        <v>60</v>
      </c>
      <c r="AW6">
        <v>0</v>
      </c>
      <c r="AX6">
        <v>0</v>
      </c>
      <c r="AY6">
        <v>0</v>
      </c>
      <c r="AZ6">
        <v>60</v>
      </c>
      <c r="BA6">
        <v>0</v>
      </c>
      <c r="BB6">
        <v>0</v>
      </c>
      <c r="BC6">
        <v>0</v>
      </c>
      <c r="BD6">
        <v>60</v>
      </c>
      <c r="BE6">
        <v>0</v>
      </c>
      <c r="BF6">
        <v>0</v>
      </c>
      <c r="BG6">
        <v>0</v>
      </c>
      <c r="BH6">
        <v>60</v>
      </c>
      <c r="BI6">
        <v>0</v>
      </c>
      <c r="BJ6">
        <v>0</v>
      </c>
      <c r="BK6">
        <v>0</v>
      </c>
    </row>
    <row r="7" spans="1:63">
      <c r="A7" t="s">
        <v>51</v>
      </c>
      <c r="B7">
        <v>9</v>
      </c>
      <c r="C7">
        <v>2</v>
      </c>
      <c r="D7">
        <v>0</v>
      </c>
      <c r="E7">
        <v>0</v>
      </c>
      <c r="F7">
        <v>9</v>
      </c>
      <c r="G7">
        <v>2</v>
      </c>
      <c r="H7">
        <v>0</v>
      </c>
      <c r="I7">
        <v>0</v>
      </c>
      <c r="J7">
        <v>11</v>
      </c>
      <c r="K7">
        <v>0</v>
      </c>
      <c r="L7">
        <v>0</v>
      </c>
      <c r="M7">
        <v>0</v>
      </c>
      <c r="N7">
        <v>9</v>
      </c>
      <c r="O7">
        <v>0</v>
      </c>
      <c r="P7">
        <v>2</v>
      </c>
      <c r="Q7">
        <v>0</v>
      </c>
      <c r="R7">
        <v>11</v>
      </c>
      <c r="S7">
        <v>0</v>
      </c>
      <c r="T7">
        <v>0</v>
      </c>
      <c r="U7">
        <v>0</v>
      </c>
      <c r="V7" t="s">
        <v>51</v>
      </c>
      <c r="W7">
        <v>9</v>
      </c>
      <c r="X7">
        <v>2</v>
      </c>
      <c r="Y7">
        <v>0</v>
      </c>
      <c r="Z7">
        <v>0</v>
      </c>
      <c r="AA7">
        <v>9</v>
      </c>
      <c r="AB7">
        <v>2</v>
      </c>
      <c r="AC7">
        <v>0</v>
      </c>
      <c r="AD7">
        <v>0</v>
      </c>
      <c r="AE7">
        <v>11</v>
      </c>
      <c r="AF7">
        <v>0</v>
      </c>
      <c r="AG7">
        <v>0</v>
      </c>
      <c r="AH7">
        <v>0</v>
      </c>
      <c r="AI7">
        <v>9</v>
      </c>
      <c r="AJ7">
        <v>0</v>
      </c>
      <c r="AK7">
        <v>2</v>
      </c>
      <c r="AL7">
        <v>0</v>
      </c>
      <c r="AM7">
        <v>11</v>
      </c>
      <c r="AN7">
        <v>0</v>
      </c>
      <c r="AO7">
        <v>0</v>
      </c>
      <c r="AP7">
        <v>0</v>
      </c>
      <c r="AQ7" t="s">
        <v>51</v>
      </c>
      <c r="AR7">
        <v>9</v>
      </c>
      <c r="AS7">
        <v>2</v>
      </c>
      <c r="AT7">
        <v>0</v>
      </c>
      <c r="AU7">
        <v>0</v>
      </c>
      <c r="AV7">
        <v>9</v>
      </c>
      <c r="AW7">
        <v>2</v>
      </c>
      <c r="AX7">
        <v>0</v>
      </c>
      <c r="AY7">
        <v>0</v>
      </c>
      <c r="AZ7">
        <v>11</v>
      </c>
      <c r="BA7">
        <v>0</v>
      </c>
      <c r="BB7">
        <v>0</v>
      </c>
      <c r="BC7">
        <v>0</v>
      </c>
      <c r="BD7">
        <v>9</v>
      </c>
      <c r="BE7">
        <v>0</v>
      </c>
      <c r="BF7">
        <v>2</v>
      </c>
      <c r="BG7">
        <v>0</v>
      </c>
      <c r="BH7">
        <v>11</v>
      </c>
      <c r="BI7">
        <v>0</v>
      </c>
      <c r="BJ7">
        <v>0</v>
      </c>
      <c r="BK7">
        <v>0</v>
      </c>
    </row>
    <row r="8" spans="1:63">
      <c r="A8" t="s">
        <v>55</v>
      </c>
      <c r="B8">
        <v>33</v>
      </c>
      <c r="C8">
        <v>0</v>
      </c>
      <c r="D8">
        <v>0</v>
      </c>
      <c r="E8">
        <v>0</v>
      </c>
      <c r="F8">
        <v>33</v>
      </c>
      <c r="G8">
        <v>0</v>
      </c>
      <c r="H8">
        <v>0</v>
      </c>
      <c r="I8">
        <v>0</v>
      </c>
      <c r="J8">
        <v>33</v>
      </c>
      <c r="K8">
        <v>0</v>
      </c>
      <c r="L8">
        <v>0</v>
      </c>
      <c r="M8">
        <v>0</v>
      </c>
      <c r="N8">
        <v>33</v>
      </c>
      <c r="O8">
        <v>0</v>
      </c>
      <c r="P8">
        <v>0</v>
      </c>
      <c r="Q8">
        <v>0</v>
      </c>
      <c r="R8">
        <v>33</v>
      </c>
      <c r="S8">
        <v>0</v>
      </c>
      <c r="T8">
        <v>0</v>
      </c>
      <c r="U8">
        <v>0</v>
      </c>
      <c r="V8" t="s">
        <v>55</v>
      </c>
      <c r="W8">
        <v>33</v>
      </c>
      <c r="X8">
        <v>0</v>
      </c>
      <c r="Y8">
        <v>0</v>
      </c>
      <c r="Z8">
        <v>0</v>
      </c>
      <c r="AA8">
        <v>33</v>
      </c>
      <c r="AB8">
        <v>0</v>
      </c>
      <c r="AC8">
        <v>0</v>
      </c>
      <c r="AD8">
        <v>0</v>
      </c>
      <c r="AE8">
        <v>33</v>
      </c>
      <c r="AF8">
        <v>0</v>
      </c>
      <c r="AG8">
        <v>0</v>
      </c>
      <c r="AH8">
        <v>0</v>
      </c>
      <c r="AI8">
        <v>33</v>
      </c>
      <c r="AJ8">
        <v>0</v>
      </c>
      <c r="AK8">
        <v>0</v>
      </c>
      <c r="AL8">
        <v>0</v>
      </c>
      <c r="AM8">
        <v>33</v>
      </c>
      <c r="AN8">
        <v>0</v>
      </c>
      <c r="AO8">
        <v>0</v>
      </c>
      <c r="AP8">
        <v>0</v>
      </c>
      <c r="AQ8" t="s">
        <v>55</v>
      </c>
      <c r="AR8">
        <v>33</v>
      </c>
      <c r="AS8">
        <v>0</v>
      </c>
      <c r="AT8">
        <v>0</v>
      </c>
      <c r="AU8">
        <v>0</v>
      </c>
      <c r="AV8">
        <v>33</v>
      </c>
      <c r="AW8">
        <v>0</v>
      </c>
      <c r="AX8">
        <v>0</v>
      </c>
      <c r="AY8">
        <v>0</v>
      </c>
      <c r="AZ8">
        <v>33</v>
      </c>
      <c r="BA8">
        <v>0</v>
      </c>
      <c r="BB8">
        <v>0</v>
      </c>
      <c r="BC8">
        <v>0</v>
      </c>
      <c r="BD8">
        <v>33</v>
      </c>
      <c r="BE8">
        <v>0</v>
      </c>
      <c r="BF8">
        <v>0</v>
      </c>
      <c r="BG8">
        <v>0</v>
      </c>
      <c r="BH8">
        <v>33</v>
      </c>
      <c r="BI8">
        <v>0</v>
      </c>
      <c r="BJ8">
        <v>0</v>
      </c>
      <c r="BK8">
        <v>0</v>
      </c>
    </row>
    <row r="9" spans="1:63">
      <c r="A9" t="s">
        <v>85</v>
      </c>
      <c r="B9">
        <v>132</v>
      </c>
      <c r="C9">
        <v>0</v>
      </c>
      <c r="D9">
        <v>0</v>
      </c>
      <c r="E9">
        <v>0</v>
      </c>
      <c r="F9">
        <v>132</v>
      </c>
      <c r="G9">
        <v>0</v>
      </c>
      <c r="H9">
        <v>0</v>
      </c>
      <c r="I9">
        <v>0</v>
      </c>
      <c r="J9">
        <v>132</v>
      </c>
      <c r="K9">
        <v>0</v>
      </c>
      <c r="L9">
        <v>0</v>
      </c>
      <c r="M9">
        <v>0</v>
      </c>
      <c r="N9">
        <v>132</v>
      </c>
      <c r="O9">
        <v>0</v>
      </c>
      <c r="P9">
        <v>0</v>
      </c>
      <c r="Q9">
        <v>0</v>
      </c>
      <c r="R9">
        <v>132</v>
      </c>
      <c r="S9">
        <v>0</v>
      </c>
      <c r="T9">
        <v>0</v>
      </c>
      <c r="U9">
        <v>0</v>
      </c>
      <c r="V9" t="s">
        <v>85</v>
      </c>
      <c r="W9">
        <v>132</v>
      </c>
      <c r="X9">
        <v>0</v>
      </c>
      <c r="Y9">
        <v>0</v>
      </c>
      <c r="Z9">
        <v>0</v>
      </c>
      <c r="AA9">
        <v>132</v>
      </c>
      <c r="AB9">
        <v>0</v>
      </c>
      <c r="AC9">
        <v>0</v>
      </c>
      <c r="AD9">
        <v>0</v>
      </c>
      <c r="AE9">
        <v>132</v>
      </c>
      <c r="AF9">
        <v>0</v>
      </c>
      <c r="AG9">
        <v>0</v>
      </c>
      <c r="AH9">
        <v>0</v>
      </c>
      <c r="AI9">
        <v>132</v>
      </c>
      <c r="AJ9">
        <v>0</v>
      </c>
      <c r="AK9">
        <v>0</v>
      </c>
      <c r="AL9">
        <v>0</v>
      </c>
      <c r="AM9">
        <v>132</v>
      </c>
      <c r="AN9">
        <v>0</v>
      </c>
      <c r="AO9">
        <v>0</v>
      </c>
      <c r="AP9">
        <v>0</v>
      </c>
      <c r="AQ9" t="s">
        <v>85</v>
      </c>
      <c r="AR9">
        <v>132</v>
      </c>
      <c r="AS9">
        <v>0</v>
      </c>
      <c r="AT9">
        <v>0</v>
      </c>
      <c r="AU9">
        <v>0</v>
      </c>
      <c r="AV9">
        <v>132</v>
      </c>
      <c r="AW9">
        <v>0</v>
      </c>
      <c r="AX9">
        <v>0</v>
      </c>
      <c r="AY9">
        <v>0</v>
      </c>
      <c r="AZ9">
        <v>132</v>
      </c>
      <c r="BA9">
        <v>0</v>
      </c>
      <c r="BB9">
        <v>0</v>
      </c>
      <c r="BC9">
        <v>0</v>
      </c>
      <c r="BD9">
        <v>132</v>
      </c>
      <c r="BE9">
        <v>0</v>
      </c>
      <c r="BF9">
        <v>0</v>
      </c>
      <c r="BG9">
        <v>0</v>
      </c>
      <c r="BH9">
        <v>132</v>
      </c>
      <c r="BI9">
        <v>0</v>
      </c>
      <c r="BJ9">
        <v>0</v>
      </c>
      <c r="BK9">
        <v>0</v>
      </c>
    </row>
    <row r="10" spans="1:63">
      <c r="A10" t="s">
        <v>30</v>
      </c>
      <c r="B10">
        <v>50</v>
      </c>
      <c r="C10">
        <v>4</v>
      </c>
      <c r="D10">
        <v>0</v>
      </c>
      <c r="E10">
        <v>0</v>
      </c>
      <c r="F10">
        <v>50</v>
      </c>
      <c r="G10">
        <v>4</v>
      </c>
      <c r="H10">
        <v>0</v>
      </c>
      <c r="I10">
        <v>0</v>
      </c>
      <c r="J10">
        <v>54</v>
      </c>
      <c r="K10">
        <v>0</v>
      </c>
      <c r="L10">
        <v>0</v>
      </c>
      <c r="M10">
        <v>0</v>
      </c>
      <c r="N10">
        <v>50</v>
      </c>
      <c r="O10">
        <v>0</v>
      </c>
      <c r="P10">
        <v>4</v>
      </c>
      <c r="Q10">
        <v>0</v>
      </c>
      <c r="R10">
        <v>54</v>
      </c>
      <c r="S10">
        <v>0</v>
      </c>
      <c r="T10">
        <v>0</v>
      </c>
      <c r="U10">
        <v>0</v>
      </c>
      <c r="V10" t="s">
        <v>30</v>
      </c>
      <c r="W10">
        <v>50</v>
      </c>
      <c r="X10">
        <v>4</v>
      </c>
      <c r="Y10">
        <v>0</v>
      </c>
      <c r="Z10">
        <v>0</v>
      </c>
      <c r="AA10">
        <v>50</v>
      </c>
      <c r="AB10">
        <v>4</v>
      </c>
      <c r="AC10">
        <v>0</v>
      </c>
      <c r="AD10">
        <v>0</v>
      </c>
      <c r="AE10">
        <v>54</v>
      </c>
      <c r="AF10">
        <v>0</v>
      </c>
      <c r="AG10">
        <v>0</v>
      </c>
      <c r="AH10">
        <v>0</v>
      </c>
      <c r="AI10">
        <v>50</v>
      </c>
      <c r="AJ10">
        <v>0</v>
      </c>
      <c r="AK10">
        <v>4</v>
      </c>
      <c r="AL10">
        <v>0</v>
      </c>
      <c r="AM10">
        <v>54</v>
      </c>
      <c r="AN10">
        <v>0</v>
      </c>
      <c r="AO10">
        <v>0</v>
      </c>
      <c r="AP10">
        <v>0</v>
      </c>
      <c r="AQ10" t="s">
        <v>30</v>
      </c>
      <c r="AR10">
        <v>50</v>
      </c>
      <c r="AS10">
        <v>4</v>
      </c>
      <c r="AT10">
        <v>0</v>
      </c>
      <c r="AU10">
        <v>0</v>
      </c>
      <c r="AV10">
        <v>50</v>
      </c>
      <c r="AW10">
        <v>4</v>
      </c>
      <c r="AX10">
        <v>0</v>
      </c>
      <c r="AY10">
        <v>0</v>
      </c>
      <c r="AZ10">
        <v>54</v>
      </c>
      <c r="BA10">
        <v>0</v>
      </c>
      <c r="BB10">
        <v>0</v>
      </c>
      <c r="BC10">
        <v>0</v>
      </c>
      <c r="BD10">
        <v>50</v>
      </c>
      <c r="BE10">
        <v>0</v>
      </c>
      <c r="BF10">
        <v>4</v>
      </c>
      <c r="BG10">
        <v>0</v>
      </c>
      <c r="BH10">
        <v>54</v>
      </c>
      <c r="BI10">
        <v>0</v>
      </c>
      <c r="BJ10">
        <v>0</v>
      </c>
      <c r="BK10">
        <v>0</v>
      </c>
    </row>
    <row r="11" spans="1:63">
      <c r="A11" t="s">
        <v>89</v>
      </c>
      <c r="B11">
        <v>51</v>
      </c>
      <c r="C11">
        <v>0</v>
      </c>
      <c r="D11">
        <v>0</v>
      </c>
      <c r="E11">
        <v>0</v>
      </c>
      <c r="F11">
        <v>51</v>
      </c>
      <c r="G11">
        <v>0</v>
      </c>
      <c r="H11">
        <v>0</v>
      </c>
      <c r="I11">
        <v>0</v>
      </c>
      <c r="J11">
        <v>51</v>
      </c>
      <c r="K11">
        <v>0</v>
      </c>
      <c r="L11">
        <v>0</v>
      </c>
      <c r="M11">
        <v>0</v>
      </c>
      <c r="N11">
        <v>51</v>
      </c>
      <c r="O11">
        <v>0</v>
      </c>
      <c r="P11">
        <v>0</v>
      </c>
      <c r="Q11">
        <v>0</v>
      </c>
      <c r="R11">
        <v>51</v>
      </c>
      <c r="S11">
        <v>0</v>
      </c>
      <c r="T11">
        <v>0</v>
      </c>
      <c r="U11">
        <v>0</v>
      </c>
      <c r="V11" t="s">
        <v>89</v>
      </c>
      <c r="W11">
        <v>51</v>
      </c>
      <c r="X11">
        <v>0</v>
      </c>
      <c r="Y11">
        <v>0</v>
      </c>
      <c r="Z11">
        <v>0</v>
      </c>
      <c r="AA11">
        <v>51</v>
      </c>
      <c r="AB11">
        <v>0</v>
      </c>
      <c r="AC11">
        <v>0</v>
      </c>
      <c r="AD11">
        <v>0</v>
      </c>
      <c r="AE11">
        <v>51</v>
      </c>
      <c r="AF11">
        <v>0</v>
      </c>
      <c r="AG11">
        <v>0</v>
      </c>
      <c r="AH11">
        <v>0</v>
      </c>
      <c r="AI11">
        <v>51</v>
      </c>
      <c r="AJ11">
        <v>0</v>
      </c>
      <c r="AK11">
        <v>0</v>
      </c>
      <c r="AL11">
        <v>0</v>
      </c>
      <c r="AM11">
        <v>51</v>
      </c>
      <c r="AN11">
        <v>0</v>
      </c>
      <c r="AO11">
        <v>0</v>
      </c>
      <c r="AP11">
        <v>0</v>
      </c>
      <c r="AQ11" t="s">
        <v>89</v>
      </c>
      <c r="AR11">
        <v>51</v>
      </c>
      <c r="AS11">
        <v>0</v>
      </c>
      <c r="AT11">
        <v>0</v>
      </c>
      <c r="AU11">
        <v>0</v>
      </c>
      <c r="AV11">
        <v>51</v>
      </c>
      <c r="AW11">
        <v>0</v>
      </c>
      <c r="AX11">
        <v>0</v>
      </c>
      <c r="AY11">
        <v>0</v>
      </c>
      <c r="AZ11">
        <v>51</v>
      </c>
      <c r="BA11">
        <v>0</v>
      </c>
      <c r="BB11">
        <v>0</v>
      </c>
      <c r="BC11">
        <v>0</v>
      </c>
      <c r="BD11">
        <v>51</v>
      </c>
      <c r="BE11">
        <v>0</v>
      </c>
      <c r="BF11">
        <v>0</v>
      </c>
      <c r="BG11">
        <v>0</v>
      </c>
      <c r="BH11">
        <v>51</v>
      </c>
      <c r="BI11">
        <v>0</v>
      </c>
      <c r="BJ11">
        <v>0</v>
      </c>
      <c r="BK11">
        <v>0</v>
      </c>
    </row>
    <row r="12" spans="1:63">
      <c r="A12" t="s">
        <v>2</v>
      </c>
      <c r="B12">
        <v>3</v>
      </c>
      <c r="C12">
        <v>0</v>
      </c>
      <c r="D12">
        <v>0</v>
      </c>
      <c r="E12">
        <v>0</v>
      </c>
      <c r="F12">
        <v>3</v>
      </c>
      <c r="G12">
        <v>0</v>
      </c>
      <c r="H12">
        <v>0</v>
      </c>
      <c r="I12">
        <v>0</v>
      </c>
      <c r="J12">
        <v>3</v>
      </c>
      <c r="K12">
        <v>0</v>
      </c>
      <c r="L12">
        <v>0</v>
      </c>
      <c r="M12">
        <v>0</v>
      </c>
      <c r="N12">
        <v>3</v>
      </c>
      <c r="O12">
        <v>0</v>
      </c>
      <c r="P12">
        <v>0</v>
      </c>
      <c r="Q12">
        <v>0</v>
      </c>
      <c r="R12">
        <v>3</v>
      </c>
      <c r="S12">
        <v>0</v>
      </c>
      <c r="T12">
        <v>0</v>
      </c>
      <c r="U12">
        <v>0</v>
      </c>
      <c r="V12" t="s">
        <v>2</v>
      </c>
      <c r="W12">
        <v>3</v>
      </c>
      <c r="X12">
        <v>0</v>
      </c>
      <c r="Y12">
        <v>0</v>
      </c>
      <c r="Z12">
        <v>0</v>
      </c>
      <c r="AA12">
        <v>3</v>
      </c>
      <c r="AB12">
        <v>0</v>
      </c>
      <c r="AC12">
        <v>0</v>
      </c>
      <c r="AD12">
        <v>0</v>
      </c>
      <c r="AE12">
        <v>3</v>
      </c>
      <c r="AF12">
        <v>0</v>
      </c>
      <c r="AG12">
        <v>0</v>
      </c>
      <c r="AH12">
        <v>0</v>
      </c>
      <c r="AI12">
        <v>3</v>
      </c>
      <c r="AJ12">
        <v>0</v>
      </c>
      <c r="AK12">
        <v>0</v>
      </c>
      <c r="AL12">
        <v>0</v>
      </c>
      <c r="AM12">
        <v>3</v>
      </c>
      <c r="AN12">
        <v>0</v>
      </c>
      <c r="AO12">
        <v>0</v>
      </c>
      <c r="AP12">
        <v>0</v>
      </c>
      <c r="AQ12" t="s">
        <v>2</v>
      </c>
      <c r="AR12">
        <v>3</v>
      </c>
      <c r="AS12">
        <v>0</v>
      </c>
      <c r="AT12">
        <v>0</v>
      </c>
      <c r="AU12">
        <v>0</v>
      </c>
      <c r="AV12">
        <v>3</v>
      </c>
      <c r="AW12">
        <v>0</v>
      </c>
      <c r="AX12">
        <v>0</v>
      </c>
      <c r="AY12">
        <v>0</v>
      </c>
      <c r="AZ12">
        <v>3</v>
      </c>
      <c r="BA12">
        <v>0</v>
      </c>
      <c r="BB12">
        <v>0</v>
      </c>
      <c r="BC12">
        <v>0</v>
      </c>
      <c r="BD12">
        <v>3</v>
      </c>
      <c r="BE12">
        <v>0</v>
      </c>
      <c r="BF12">
        <v>0</v>
      </c>
      <c r="BG12">
        <v>0</v>
      </c>
      <c r="BH12">
        <v>3</v>
      </c>
      <c r="BI12">
        <v>0</v>
      </c>
      <c r="BJ12">
        <v>0</v>
      </c>
      <c r="BK12">
        <v>0</v>
      </c>
    </row>
    <row r="13" spans="1:63">
      <c r="A13" t="s">
        <v>37</v>
      </c>
      <c r="B13">
        <v>2</v>
      </c>
      <c r="C13">
        <v>0</v>
      </c>
      <c r="D13">
        <v>0</v>
      </c>
      <c r="E13">
        <v>0</v>
      </c>
      <c r="F13">
        <v>2</v>
      </c>
      <c r="G13">
        <v>0</v>
      </c>
      <c r="H13">
        <v>0</v>
      </c>
      <c r="I13">
        <v>0</v>
      </c>
      <c r="J13">
        <v>2</v>
      </c>
      <c r="K13">
        <v>0</v>
      </c>
      <c r="L13">
        <v>0</v>
      </c>
      <c r="M13">
        <v>0</v>
      </c>
      <c r="N13">
        <v>2</v>
      </c>
      <c r="O13">
        <v>0</v>
      </c>
      <c r="P13">
        <v>0</v>
      </c>
      <c r="Q13">
        <v>0</v>
      </c>
      <c r="R13">
        <v>2</v>
      </c>
      <c r="S13">
        <v>0</v>
      </c>
      <c r="T13">
        <v>0</v>
      </c>
      <c r="U13">
        <v>0</v>
      </c>
      <c r="V13" t="s">
        <v>37</v>
      </c>
      <c r="W13">
        <v>2</v>
      </c>
      <c r="X13">
        <v>0</v>
      </c>
      <c r="Y13">
        <v>0</v>
      </c>
      <c r="Z13">
        <v>0</v>
      </c>
      <c r="AA13">
        <v>2</v>
      </c>
      <c r="AB13">
        <v>0</v>
      </c>
      <c r="AC13">
        <v>0</v>
      </c>
      <c r="AD13">
        <v>0</v>
      </c>
      <c r="AE13">
        <v>2</v>
      </c>
      <c r="AF13">
        <v>0</v>
      </c>
      <c r="AG13">
        <v>0</v>
      </c>
      <c r="AH13">
        <v>0</v>
      </c>
      <c r="AI13">
        <v>2</v>
      </c>
      <c r="AJ13">
        <v>0</v>
      </c>
      <c r="AK13">
        <v>0</v>
      </c>
      <c r="AL13">
        <v>0</v>
      </c>
      <c r="AM13">
        <v>2</v>
      </c>
      <c r="AN13">
        <v>0</v>
      </c>
      <c r="AO13">
        <v>0</v>
      </c>
      <c r="AP13">
        <v>0</v>
      </c>
      <c r="AQ13" t="s">
        <v>37</v>
      </c>
      <c r="AR13">
        <v>2</v>
      </c>
      <c r="AS13">
        <v>0</v>
      </c>
      <c r="AT13">
        <v>0</v>
      </c>
      <c r="AU13">
        <v>0</v>
      </c>
      <c r="AV13">
        <v>2</v>
      </c>
      <c r="AW13">
        <v>0</v>
      </c>
      <c r="AX13">
        <v>0</v>
      </c>
      <c r="AY13">
        <v>0</v>
      </c>
      <c r="AZ13">
        <v>2</v>
      </c>
      <c r="BA13">
        <v>0</v>
      </c>
      <c r="BB13">
        <v>0</v>
      </c>
      <c r="BC13">
        <v>0</v>
      </c>
      <c r="BD13">
        <v>2</v>
      </c>
      <c r="BE13">
        <v>0</v>
      </c>
      <c r="BF13">
        <v>0</v>
      </c>
      <c r="BG13">
        <v>0</v>
      </c>
      <c r="BH13">
        <v>2</v>
      </c>
      <c r="BI13">
        <v>0</v>
      </c>
      <c r="BJ13">
        <v>0</v>
      </c>
      <c r="BK13">
        <v>0</v>
      </c>
    </row>
    <row r="14" spans="1:63">
      <c r="A14" t="s">
        <v>72</v>
      </c>
      <c r="B14">
        <v>8</v>
      </c>
      <c r="C14">
        <v>0</v>
      </c>
      <c r="D14">
        <v>0</v>
      </c>
      <c r="E14">
        <v>0</v>
      </c>
      <c r="F14">
        <v>8</v>
      </c>
      <c r="G14">
        <v>0</v>
      </c>
      <c r="H14">
        <v>0</v>
      </c>
      <c r="I14">
        <v>0</v>
      </c>
      <c r="J14">
        <v>8</v>
      </c>
      <c r="K14">
        <v>0</v>
      </c>
      <c r="L14">
        <v>0</v>
      </c>
      <c r="M14">
        <v>0</v>
      </c>
      <c r="N14">
        <v>8</v>
      </c>
      <c r="O14">
        <v>0</v>
      </c>
      <c r="P14">
        <v>0</v>
      </c>
      <c r="Q14">
        <v>0</v>
      </c>
      <c r="R14">
        <v>8</v>
      </c>
      <c r="S14">
        <v>0</v>
      </c>
      <c r="T14">
        <v>0</v>
      </c>
      <c r="U14">
        <v>0</v>
      </c>
      <c r="V14" t="s">
        <v>72</v>
      </c>
      <c r="W14">
        <v>8</v>
      </c>
      <c r="X14">
        <v>0</v>
      </c>
      <c r="Y14">
        <v>0</v>
      </c>
      <c r="Z14">
        <v>0</v>
      </c>
      <c r="AA14">
        <v>8</v>
      </c>
      <c r="AB14">
        <v>0</v>
      </c>
      <c r="AC14">
        <v>0</v>
      </c>
      <c r="AD14">
        <v>0</v>
      </c>
      <c r="AE14">
        <v>8</v>
      </c>
      <c r="AF14">
        <v>0</v>
      </c>
      <c r="AG14">
        <v>0</v>
      </c>
      <c r="AH14">
        <v>0</v>
      </c>
      <c r="AI14">
        <v>8</v>
      </c>
      <c r="AJ14">
        <v>0</v>
      </c>
      <c r="AK14">
        <v>0</v>
      </c>
      <c r="AL14">
        <v>0</v>
      </c>
      <c r="AM14">
        <v>8</v>
      </c>
      <c r="AN14">
        <v>0</v>
      </c>
      <c r="AO14">
        <v>0</v>
      </c>
      <c r="AP14">
        <v>0</v>
      </c>
      <c r="AQ14" t="s">
        <v>72</v>
      </c>
      <c r="AR14">
        <v>8</v>
      </c>
      <c r="AS14">
        <v>0</v>
      </c>
      <c r="AT14">
        <v>0</v>
      </c>
      <c r="AU14">
        <v>0</v>
      </c>
      <c r="AV14">
        <v>8</v>
      </c>
      <c r="AW14">
        <v>0</v>
      </c>
      <c r="AX14">
        <v>0</v>
      </c>
      <c r="AY14">
        <v>0</v>
      </c>
      <c r="AZ14">
        <v>8</v>
      </c>
      <c r="BA14">
        <v>0</v>
      </c>
      <c r="BB14">
        <v>0</v>
      </c>
      <c r="BC14">
        <v>0</v>
      </c>
      <c r="BD14">
        <v>8</v>
      </c>
      <c r="BE14">
        <v>0</v>
      </c>
      <c r="BF14">
        <v>0</v>
      </c>
      <c r="BG14">
        <v>0</v>
      </c>
      <c r="BH14">
        <v>8</v>
      </c>
      <c r="BI14">
        <v>0</v>
      </c>
      <c r="BJ14">
        <v>0</v>
      </c>
      <c r="BK14">
        <v>0</v>
      </c>
    </row>
    <row r="15" spans="1:63">
      <c r="A15" t="s">
        <v>8</v>
      </c>
      <c r="B15">
        <v>3</v>
      </c>
      <c r="C15">
        <v>0</v>
      </c>
      <c r="D15">
        <v>0</v>
      </c>
      <c r="E15">
        <v>0</v>
      </c>
      <c r="F15">
        <v>3</v>
      </c>
      <c r="G15">
        <v>0</v>
      </c>
      <c r="H15">
        <v>0</v>
      </c>
      <c r="I15">
        <v>0</v>
      </c>
      <c r="J15">
        <v>3</v>
      </c>
      <c r="K15">
        <v>0</v>
      </c>
      <c r="L15">
        <v>0</v>
      </c>
      <c r="M15">
        <v>0</v>
      </c>
      <c r="N15">
        <v>3</v>
      </c>
      <c r="O15">
        <v>0</v>
      </c>
      <c r="P15">
        <v>0</v>
      </c>
      <c r="Q15">
        <v>0</v>
      </c>
      <c r="R15">
        <v>3</v>
      </c>
      <c r="S15">
        <v>0</v>
      </c>
      <c r="T15">
        <v>0</v>
      </c>
      <c r="U15">
        <v>0</v>
      </c>
      <c r="V15" t="s">
        <v>8</v>
      </c>
      <c r="W15">
        <v>3</v>
      </c>
      <c r="X15">
        <v>0</v>
      </c>
      <c r="Y15">
        <v>0</v>
      </c>
      <c r="Z15">
        <v>0</v>
      </c>
      <c r="AA15">
        <v>3</v>
      </c>
      <c r="AB15">
        <v>0</v>
      </c>
      <c r="AC15">
        <v>0</v>
      </c>
      <c r="AD15">
        <v>0</v>
      </c>
      <c r="AE15">
        <v>3</v>
      </c>
      <c r="AF15">
        <v>0</v>
      </c>
      <c r="AG15">
        <v>0</v>
      </c>
      <c r="AH15">
        <v>0</v>
      </c>
      <c r="AI15">
        <v>3</v>
      </c>
      <c r="AJ15">
        <v>0</v>
      </c>
      <c r="AK15">
        <v>0</v>
      </c>
      <c r="AL15">
        <v>0</v>
      </c>
      <c r="AM15">
        <v>3</v>
      </c>
      <c r="AN15">
        <v>0</v>
      </c>
      <c r="AO15">
        <v>0</v>
      </c>
      <c r="AP15">
        <v>0</v>
      </c>
      <c r="AQ15" t="s">
        <v>8</v>
      </c>
      <c r="AR15">
        <v>3</v>
      </c>
      <c r="AS15">
        <v>0</v>
      </c>
      <c r="AT15">
        <v>0</v>
      </c>
      <c r="AU15">
        <v>0</v>
      </c>
      <c r="AV15">
        <v>3</v>
      </c>
      <c r="AW15">
        <v>0</v>
      </c>
      <c r="AX15">
        <v>0</v>
      </c>
      <c r="AY15">
        <v>0</v>
      </c>
      <c r="AZ15">
        <v>3</v>
      </c>
      <c r="BA15">
        <v>0</v>
      </c>
      <c r="BB15">
        <v>0</v>
      </c>
      <c r="BC15">
        <v>0</v>
      </c>
      <c r="BD15">
        <v>3</v>
      </c>
      <c r="BE15">
        <v>0</v>
      </c>
      <c r="BF15">
        <v>0</v>
      </c>
      <c r="BG15">
        <v>0</v>
      </c>
      <c r="BH15">
        <v>3</v>
      </c>
      <c r="BI15">
        <v>0</v>
      </c>
      <c r="BJ15">
        <v>0</v>
      </c>
      <c r="BK15">
        <v>0</v>
      </c>
    </row>
    <row r="16" spans="1:63">
      <c r="A16" t="s">
        <v>101</v>
      </c>
      <c r="B16">
        <v>132</v>
      </c>
      <c r="C16">
        <v>9</v>
      </c>
      <c r="D16">
        <v>0</v>
      </c>
      <c r="E16">
        <v>0</v>
      </c>
      <c r="F16">
        <v>132</v>
      </c>
      <c r="G16">
        <v>9</v>
      </c>
      <c r="H16">
        <v>0</v>
      </c>
      <c r="I16">
        <v>0</v>
      </c>
      <c r="J16">
        <v>135</v>
      </c>
      <c r="K16">
        <v>6</v>
      </c>
      <c r="L16">
        <v>0</v>
      </c>
      <c r="M16">
        <v>0</v>
      </c>
      <c r="N16">
        <v>127</v>
      </c>
      <c r="O16">
        <v>5</v>
      </c>
      <c r="P16">
        <v>8</v>
      </c>
      <c r="Q16">
        <v>1</v>
      </c>
      <c r="R16">
        <v>128</v>
      </c>
      <c r="S16">
        <v>13</v>
      </c>
      <c r="T16">
        <v>0</v>
      </c>
      <c r="U16">
        <v>0</v>
      </c>
      <c r="V16" t="s">
        <v>101</v>
      </c>
      <c r="W16">
        <v>132</v>
      </c>
      <c r="X16">
        <v>9</v>
      </c>
      <c r="Y16">
        <v>0</v>
      </c>
      <c r="Z16">
        <v>0</v>
      </c>
      <c r="AA16">
        <v>132</v>
      </c>
      <c r="AB16">
        <v>9</v>
      </c>
      <c r="AC16">
        <v>0</v>
      </c>
      <c r="AD16">
        <v>0</v>
      </c>
      <c r="AE16">
        <v>135</v>
      </c>
      <c r="AF16">
        <v>6</v>
      </c>
      <c r="AG16">
        <v>0</v>
      </c>
      <c r="AH16">
        <v>0</v>
      </c>
      <c r="AI16">
        <v>127</v>
      </c>
      <c r="AJ16">
        <v>5</v>
      </c>
      <c r="AK16">
        <v>8</v>
      </c>
      <c r="AL16">
        <v>1</v>
      </c>
      <c r="AM16">
        <v>128</v>
      </c>
      <c r="AN16">
        <v>13</v>
      </c>
      <c r="AO16">
        <v>0</v>
      </c>
      <c r="AP16">
        <v>0</v>
      </c>
      <c r="AQ16" t="s">
        <v>101</v>
      </c>
      <c r="AR16">
        <v>132</v>
      </c>
      <c r="AS16">
        <v>9</v>
      </c>
      <c r="AT16">
        <v>0</v>
      </c>
      <c r="AU16">
        <v>0</v>
      </c>
      <c r="AV16">
        <v>132</v>
      </c>
      <c r="AW16">
        <v>9</v>
      </c>
      <c r="AX16">
        <v>0</v>
      </c>
      <c r="AY16">
        <v>0</v>
      </c>
      <c r="AZ16">
        <v>141</v>
      </c>
      <c r="BA16">
        <v>0</v>
      </c>
      <c r="BB16">
        <v>0</v>
      </c>
      <c r="BC16">
        <v>0</v>
      </c>
      <c r="BD16">
        <v>132</v>
      </c>
      <c r="BE16">
        <v>0</v>
      </c>
      <c r="BF16">
        <v>9</v>
      </c>
      <c r="BG16">
        <v>0</v>
      </c>
      <c r="BH16">
        <v>141</v>
      </c>
      <c r="BI16">
        <v>0</v>
      </c>
      <c r="BJ16">
        <v>0</v>
      </c>
      <c r="BK16">
        <v>0</v>
      </c>
    </row>
    <row r="17" spans="1:63">
      <c r="A17" t="s">
        <v>3</v>
      </c>
      <c r="B17">
        <v>31</v>
      </c>
      <c r="C17">
        <v>0</v>
      </c>
      <c r="D17">
        <v>0</v>
      </c>
      <c r="E17">
        <v>0</v>
      </c>
      <c r="F17">
        <v>31</v>
      </c>
      <c r="G17">
        <v>0</v>
      </c>
      <c r="H17">
        <v>0</v>
      </c>
      <c r="I17">
        <v>0</v>
      </c>
      <c r="J17">
        <v>28</v>
      </c>
      <c r="K17">
        <v>3</v>
      </c>
      <c r="L17">
        <v>0</v>
      </c>
      <c r="M17">
        <v>0</v>
      </c>
      <c r="N17">
        <v>28</v>
      </c>
      <c r="O17">
        <v>3</v>
      </c>
      <c r="P17">
        <v>0</v>
      </c>
      <c r="Q17">
        <v>0</v>
      </c>
      <c r="R17">
        <v>28</v>
      </c>
      <c r="S17">
        <v>3</v>
      </c>
      <c r="T17">
        <v>0</v>
      </c>
      <c r="U17">
        <v>0</v>
      </c>
      <c r="V17" t="s">
        <v>3</v>
      </c>
      <c r="W17">
        <v>31</v>
      </c>
      <c r="X17">
        <v>0</v>
      </c>
      <c r="Y17">
        <v>0</v>
      </c>
      <c r="Z17">
        <v>0</v>
      </c>
      <c r="AA17">
        <v>31</v>
      </c>
      <c r="AB17">
        <v>0</v>
      </c>
      <c r="AC17">
        <v>0</v>
      </c>
      <c r="AD17">
        <v>0</v>
      </c>
      <c r="AE17">
        <v>28</v>
      </c>
      <c r="AF17">
        <v>3</v>
      </c>
      <c r="AG17">
        <v>0</v>
      </c>
      <c r="AH17">
        <v>0</v>
      </c>
      <c r="AI17">
        <v>28</v>
      </c>
      <c r="AJ17">
        <v>3</v>
      </c>
      <c r="AK17">
        <v>0</v>
      </c>
      <c r="AL17">
        <v>0</v>
      </c>
      <c r="AM17">
        <v>28</v>
      </c>
      <c r="AN17">
        <v>3</v>
      </c>
      <c r="AO17">
        <v>0</v>
      </c>
      <c r="AP17">
        <v>0</v>
      </c>
      <c r="AQ17" t="s">
        <v>3</v>
      </c>
      <c r="AR17">
        <v>31</v>
      </c>
      <c r="AS17">
        <v>0</v>
      </c>
      <c r="AT17">
        <v>0</v>
      </c>
      <c r="AU17">
        <v>0</v>
      </c>
      <c r="AV17">
        <v>31</v>
      </c>
      <c r="AW17">
        <v>0</v>
      </c>
      <c r="AX17">
        <v>0</v>
      </c>
      <c r="AY17">
        <v>0</v>
      </c>
      <c r="AZ17">
        <v>31</v>
      </c>
      <c r="BA17">
        <v>0</v>
      </c>
      <c r="BB17">
        <v>0</v>
      </c>
      <c r="BC17">
        <v>0</v>
      </c>
      <c r="BD17">
        <v>31</v>
      </c>
      <c r="BE17">
        <v>0</v>
      </c>
      <c r="BF17">
        <v>0</v>
      </c>
      <c r="BG17">
        <v>0</v>
      </c>
      <c r="BH17">
        <v>31</v>
      </c>
      <c r="BI17">
        <v>0</v>
      </c>
      <c r="BJ17">
        <v>0</v>
      </c>
      <c r="BK17">
        <v>0</v>
      </c>
    </row>
    <row r="18" spans="1:63">
      <c r="A18" t="s">
        <v>76</v>
      </c>
      <c r="B18">
        <v>31</v>
      </c>
      <c r="C18">
        <v>0</v>
      </c>
      <c r="D18">
        <v>0</v>
      </c>
      <c r="E18">
        <v>0</v>
      </c>
      <c r="F18">
        <v>31</v>
      </c>
      <c r="G18">
        <v>0</v>
      </c>
      <c r="H18">
        <v>0</v>
      </c>
      <c r="I18">
        <v>0</v>
      </c>
      <c r="J18">
        <v>28</v>
      </c>
      <c r="K18">
        <v>3</v>
      </c>
      <c r="L18">
        <v>0</v>
      </c>
      <c r="M18">
        <v>0</v>
      </c>
      <c r="N18">
        <v>28</v>
      </c>
      <c r="O18">
        <v>3</v>
      </c>
      <c r="P18">
        <v>0</v>
      </c>
      <c r="Q18">
        <v>0</v>
      </c>
      <c r="R18">
        <v>28</v>
      </c>
      <c r="S18">
        <v>3</v>
      </c>
      <c r="T18">
        <v>0</v>
      </c>
      <c r="U18">
        <v>0</v>
      </c>
      <c r="V18" t="s">
        <v>76</v>
      </c>
      <c r="W18">
        <v>31</v>
      </c>
      <c r="X18">
        <v>0</v>
      </c>
      <c r="Y18">
        <v>0</v>
      </c>
      <c r="Z18">
        <v>0</v>
      </c>
      <c r="AA18">
        <v>31</v>
      </c>
      <c r="AB18">
        <v>0</v>
      </c>
      <c r="AC18">
        <v>0</v>
      </c>
      <c r="AD18">
        <v>0</v>
      </c>
      <c r="AE18">
        <v>28</v>
      </c>
      <c r="AF18">
        <v>3</v>
      </c>
      <c r="AG18">
        <v>0</v>
      </c>
      <c r="AH18">
        <v>0</v>
      </c>
      <c r="AI18">
        <v>28</v>
      </c>
      <c r="AJ18">
        <v>3</v>
      </c>
      <c r="AK18">
        <v>0</v>
      </c>
      <c r="AL18">
        <v>0</v>
      </c>
      <c r="AM18">
        <v>28</v>
      </c>
      <c r="AN18">
        <v>3</v>
      </c>
      <c r="AO18">
        <v>0</v>
      </c>
      <c r="AP18">
        <v>0</v>
      </c>
      <c r="AQ18" t="s">
        <v>76</v>
      </c>
      <c r="AR18">
        <v>31</v>
      </c>
      <c r="AS18">
        <v>0</v>
      </c>
      <c r="AT18">
        <v>0</v>
      </c>
      <c r="AU18">
        <v>0</v>
      </c>
      <c r="AV18">
        <v>31</v>
      </c>
      <c r="AW18">
        <v>0</v>
      </c>
      <c r="AX18">
        <v>0</v>
      </c>
      <c r="AY18">
        <v>0</v>
      </c>
      <c r="AZ18">
        <v>31</v>
      </c>
      <c r="BA18">
        <v>0</v>
      </c>
      <c r="BB18">
        <v>0</v>
      </c>
      <c r="BC18">
        <v>0</v>
      </c>
      <c r="BD18">
        <v>31</v>
      </c>
      <c r="BE18">
        <v>0</v>
      </c>
      <c r="BF18">
        <v>0</v>
      </c>
      <c r="BG18">
        <v>0</v>
      </c>
      <c r="BH18">
        <v>31</v>
      </c>
      <c r="BI18">
        <v>0</v>
      </c>
      <c r="BJ18">
        <v>0</v>
      </c>
      <c r="BK18">
        <v>0</v>
      </c>
    </row>
    <row r="19" spans="1:63">
      <c r="A19" t="s">
        <v>29</v>
      </c>
      <c r="B19">
        <v>14</v>
      </c>
      <c r="C19">
        <v>0</v>
      </c>
      <c r="D19">
        <v>0</v>
      </c>
      <c r="E19">
        <v>0</v>
      </c>
      <c r="F19">
        <v>14</v>
      </c>
      <c r="G19">
        <v>0</v>
      </c>
      <c r="H19">
        <v>0</v>
      </c>
      <c r="I19">
        <v>0</v>
      </c>
      <c r="J19">
        <v>14</v>
      </c>
      <c r="K19">
        <v>0</v>
      </c>
      <c r="L19">
        <v>0</v>
      </c>
      <c r="M19">
        <v>0</v>
      </c>
      <c r="N19">
        <v>14</v>
      </c>
      <c r="O19">
        <v>0</v>
      </c>
      <c r="P19">
        <v>0</v>
      </c>
      <c r="Q19">
        <v>0</v>
      </c>
      <c r="R19">
        <v>14</v>
      </c>
      <c r="S19">
        <v>0</v>
      </c>
      <c r="T19">
        <v>0</v>
      </c>
      <c r="U19">
        <v>0</v>
      </c>
      <c r="V19" t="s">
        <v>29</v>
      </c>
      <c r="W19">
        <v>14</v>
      </c>
      <c r="X19">
        <v>0</v>
      </c>
      <c r="Y19">
        <v>0</v>
      </c>
      <c r="Z19">
        <v>0</v>
      </c>
      <c r="AA19">
        <v>14</v>
      </c>
      <c r="AB19">
        <v>0</v>
      </c>
      <c r="AC19">
        <v>0</v>
      </c>
      <c r="AD19">
        <v>0</v>
      </c>
      <c r="AE19">
        <v>14</v>
      </c>
      <c r="AF19">
        <v>0</v>
      </c>
      <c r="AG19">
        <v>0</v>
      </c>
      <c r="AH19">
        <v>0</v>
      </c>
      <c r="AI19">
        <v>14</v>
      </c>
      <c r="AJ19">
        <v>0</v>
      </c>
      <c r="AK19">
        <v>0</v>
      </c>
      <c r="AL19">
        <v>0</v>
      </c>
      <c r="AM19">
        <v>14</v>
      </c>
      <c r="AN19">
        <v>0</v>
      </c>
      <c r="AO19">
        <v>0</v>
      </c>
      <c r="AP19">
        <v>0</v>
      </c>
      <c r="AQ19" t="s">
        <v>29</v>
      </c>
      <c r="AR19">
        <v>14</v>
      </c>
      <c r="AS19">
        <v>0</v>
      </c>
      <c r="AT19">
        <v>0</v>
      </c>
      <c r="AU19">
        <v>0</v>
      </c>
      <c r="AV19">
        <v>14</v>
      </c>
      <c r="AW19">
        <v>0</v>
      </c>
      <c r="AX19">
        <v>0</v>
      </c>
      <c r="AY19">
        <v>0</v>
      </c>
      <c r="AZ19">
        <v>14</v>
      </c>
      <c r="BA19">
        <v>0</v>
      </c>
      <c r="BB19">
        <v>0</v>
      </c>
      <c r="BC19">
        <v>0</v>
      </c>
      <c r="BD19">
        <v>14</v>
      </c>
      <c r="BE19">
        <v>0</v>
      </c>
      <c r="BF19">
        <v>0</v>
      </c>
      <c r="BG19">
        <v>0</v>
      </c>
      <c r="BH19">
        <v>14</v>
      </c>
      <c r="BI19">
        <v>0</v>
      </c>
      <c r="BJ19">
        <v>0</v>
      </c>
      <c r="BK19">
        <v>0</v>
      </c>
    </row>
    <row r="20" spans="1:63">
      <c r="A20" t="s">
        <v>98</v>
      </c>
      <c r="B20">
        <v>176</v>
      </c>
      <c r="C20">
        <v>7</v>
      </c>
      <c r="D20">
        <v>0</v>
      </c>
      <c r="E20">
        <v>0</v>
      </c>
      <c r="F20">
        <v>176</v>
      </c>
      <c r="G20">
        <v>7</v>
      </c>
      <c r="H20">
        <v>0</v>
      </c>
      <c r="I20">
        <v>0</v>
      </c>
      <c r="J20">
        <v>177</v>
      </c>
      <c r="K20">
        <v>6</v>
      </c>
      <c r="L20">
        <v>0</v>
      </c>
      <c r="M20">
        <v>0</v>
      </c>
      <c r="N20">
        <v>170</v>
      </c>
      <c r="O20">
        <v>6</v>
      </c>
      <c r="P20">
        <v>7</v>
      </c>
      <c r="Q20">
        <v>0</v>
      </c>
      <c r="R20">
        <v>177</v>
      </c>
      <c r="S20">
        <v>6</v>
      </c>
      <c r="T20">
        <v>0</v>
      </c>
      <c r="U20">
        <v>0</v>
      </c>
      <c r="V20" t="s">
        <v>98</v>
      </c>
      <c r="W20">
        <v>176</v>
      </c>
      <c r="X20">
        <v>7</v>
      </c>
      <c r="Y20">
        <v>0</v>
      </c>
      <c r="Z20">
        <v>0</v>
      </c>
      <c r="AA20">
        <v>176</v>
      </c>
      <c r="AB20">
        <v>7</v>
      </c>
      <c r="AC20">
        <v>0</v>
      </c>
      <c r="AD20">
        <v>0</v>
      </c>
      <c r="AE20">
        <v>177</v>
      </c>
      <c r="AF20">
        <v>6</v>
      </c>
      <c r="AG20">
        <v>0</v>
      </c>
      <c r="AH20">
        <v>0</v>
      </c>
      <c r="AI20">
        <v>170</v>
      </c>
      <c r="AJ20">
        <v>6</v>
      </c>
      <c r="AK20">
        <v>7</v>
      </c>
      <c r="AL20">
        <v>0</v>
      </c>
      <c r="AM20">
        <v>177</v>
      </c>
      <c r="AN20">
        <v>6</v>
      </c>
      <c r="AO20">
        <v>0</v>
      </c>
      <c r="AP20">
        <v>0</v>
      </c>
      <c r="AQ20" t="s">
        <v>98</v>
      </c>
      <c r="AR20">
        <v>176</v>
      </c>
      <c r="AS20">
        <v>7</v>
      </c>
      <c r="AT20">
        <v>0</v>
      </c>
      <c r="AU20">
        <v>0</v>
      </c>
      <c r="AV20">
        <v>176</v>
      </c>
      <c r="AW20">
        <v>7</v>
      </c>
      <c r="AX20">
        <v>0</v>
      </c>
      <c r="AY20">
        <v>0</v>
      </c>
      <c r="AZ20">
        <v>183</v>
      </c>
      <c r="BA20">
        <v>0</v>
      </c>
      <c r="BB20">
        <v>0</v>
      </c>
      <c r="BC20">
        <v>0</v>
      </c>
      <c r="BD20">
        <v>176</v>
      </c>
      <c r="BE20">
        <v>0</v>
      </c>
      <c r="BF20">
        <v>7</v>
      </c>
      <c r="BG20">
        <v>0</v>
      </c>
      <c r="BH20">
        <v>183</v>
      </c>
      <c r="BI20">
        <v>0</v>
      </c>
      <c r="BJ20">
        <v>0</v>
      </c>
      <c r="BK20">
        <v>0</v>
      </c>
    </row>
    <row r="21" spans="1:63">
      <c r="A21" t="s">
        <v>43</v>
      </c>
      <c r="B21">
        <v>127</v>
      </c>
      <c r="C21">
        <v>0</v>
      </c>
      <c r="D21">
        <v>0</v>
      </c>
      <c r="E21">
        <v>0</v>
      </c>
      <c r="F21">
        <v>127</v>
      </c>
      <c r="G21">
        <v>0</v>
      </c>
      <c r="H21">
        <v>0</v>
      </c>
      <c r="I21">
        <v>0</v>
      </c>
      <c r="J21">
        <v>122</v>
      </c>
      <c r="K21">
        <v>5</v>
      </c>
      <c r="L21">
        <v>0</v>
      </c>
      <c r="M21">
        <v>0</v>
      </c>
      <c r="N21">
        <v>122</v>
      </c>
      <c r="O21">
        <v>5</v>
      </c>
      <c r="P21">
        <v>0</v>
      </c>
      <c r="Q21">
        <v>0</v>
      </c>
      <c r="R21">
        <v>122</v>
      </c>
      <c r="S21">
        <v>5</v>
      </c>
      <c r="T21">
        <v>0</v>
      </c>
      <c r="U21">
        <v>0</v>
      </c>
      <c r="V21" t="s">
        <v>43</v>
      </c>
      <c r="W21">
        <v>127</v>
      </c>
      <c r="X21">
        <v>0</v>
      </c>
      <c r="Y21">
        <v>0</v>
      </c>
      <c r="Z21">
        <v>0</v>
      </c>
      <c r="AA21">
        <v>127</v>
      </c>
      <c r="AB21">
        <v>0</v>
      </c>
      <c r="AC21">
        <v>0</v>
      </c>
      <c r="AD21">
        <v>0</v>
      </c>
      <c r="AE21">
        <v>122</v>
      </c>
      <c r="AF21">
        <v>5</v>
      </c>
      <c r="AG21">
        <v>0</v>
      </c>
      <c r="AH21">
        <v>0</v>
      </c>
      <c r="AI21">
        <v>122</v>
      </c>
      <c r="AJ21">
        <v>5</v>
      </c>
      <c r="AK21">
        <v>0</v>
      </c>
      <c r="AL21">
        <v>0</v>
      </c>
      <c r="AM21">
        <v>122</v>
      </c>
      <c r="AN21">
        <v>5</v>
      </c>
      <c r="AO21">
        <v>0</v>
      </c>
      <c r="AP21">
        <v>0</v>
      </c>
      <c r="AQ21" t="s">
        <v>43</v>
      </c>
      <c r="AR21">
        <v>127</v>
      </c>
      <c r="AS21">
        <v>0</v>
      </c>
      <c r="AT21">
        <v>0</v>
      </c>
      <c r="AU21">
        <v>0</v>
      </c>
      <c r="AV21">
        <v>127</v>
      </c>
      <c r="AW21">
        <v>0</v>
      </c>
      <c r="AX21">
        <v>0</v>
      </c>
      <c r="AY21">
        <v>0</v>
      </c>
      <c r="AZ21">
        <v>127</v>
      </c>
      <c r="BA21">
        <v>0</v>
      </c>
      <c r="BB21">
        <v>0</v>
      </c>
      <c r="BC21">
        <v>0</v>
      </c>
      <c r="BD21">
        <v>127</v>
      </c>
      <c r="BE21">
        <v>0</v>
      </c>
      <c r="BF21">
        <v>0</v>
      </c>
      <c r="BG21">
        <v>0</v>
      </c>
      <c r="BH21">
        <v>127</v>
      </c>
      <c r="BI21">
        <v>0</v>
      </c>
      <c r="BJ21">
        <v>0</v>
      </c>
      <c r="BK21">
        <v>0</v>
      </c>
    </row>
    <row r="22" spans="1:63">
      <c r="A22" t="s">
        <v>28</v>
      </c>
      <c r="B22">
        <v>106</v>
      </c>
      <c r="C22">
        <v>0</v>
      </c>
      <c r="D22">
        <v>0</v>
      </c>
      <c r="E22">
        <v>0</v>
      </c>
      <c r="F22">
        <v>106</v>
      </c>
      <c r="G22">
        <v>0</v>
      </c>
      <c r="H22">
        <v>0</v>
      </c>
      <c r="I22">
        <v>0</v>
      </c>
      <c r="J22">
        <v>101</v>
      </c>
      <c r="K22">
        <v>5</v>
      </c>
      <c r="L22">
        <v>0</v>
      </c>
      <c r="M22">
        <v>0</v>
      </c>
      <c r="N22">
        <v>101</v>
      </c>
      <c r="O22">
        <v>5</v>
      </c>
      <c r="P22">
        <v>0</v>
      </c>
      <c r="Q22">
        <v>0</v>
      </c>
      <c r="R22">
        <v>101</v>
      </c>
      <c r="S22">
        <v>5</v>
      </c>
      <c r="T22">
        <v>0</v>
      </c>
      <c r="U22">
        <v>0</v>
      </c>
      <c r="V22" t="s">
        <v>28</v>
      </c>
      <c r="W22">
        <v>106</v>
      </c>
      <c r="X22">
        <v>0</v>
      </c>
      <c r="Y22">
        <v>0</v>
      </c>
      <c r="Z22">
        <v>0</v>
      </c>
      <c r="AA22">
        <v>106</v>
      </c>
      <c r="AB22">
        <v>0</v>
      </c>
      <c r="AC22">
        <v>0</v>
      </c>
      <c r="AD22">
        <v>0</v>
      </c>
      <c r="AE22">
        <v>101</v>
      </c>
      <c r="AF22">
        <v>5</v>
      </c>
      <c r="AG22">
        <v>0</v>
      </c>
      <c r="AH22">
        <v>0</v>
      </c>
      <c r="AI22">
        <v>101</v>
      </c>
      <c r="AJ22">
        <v>5</v>
      </c>
      <c r="AK22">
        <v>0</v>
      </c>
      <c r="AL22">
        <v>0</v>
      </c>
      <c r="AM22">
        <v>101</v>
      </c>
      <c r="AN22">
        <v>5</v>
      </c>
      <c r="AO22">
        <v>0</v>
      </c>
      <c r="AP22">
        <v>0</v>
      </c>
      <c r="AQ22" t="s">
        <v>28</v>
      </c>
      <c r="AR22">
        <v>106</v>
      </c>
      <c r="AS22">
        <v>0</v>
      </c>
      <c r="AT22">
        <v>0</v>
      </c>
      <c r="AU22">
        <v>0</v>
      </c>
      <c r="AV22">
        <v>106</v>
      </c>
      <c r="AW22">
        <v>0</v>
      </c>
      <c r="AX22">
        <v>0</v>
      </c>
      <c r="AY22">
        <v>0</v>
      </c>
      <c r="AZ22">
        <v>106</v>
      </c>
      <c r="BA22">
        <v>0</v>
      </c>
      <c r="BB22">
        <v>0</v>
      </c>
      <c r="BC22">
        <v>0</v>
      </c>
      <c r="BD22">
        <v>106</v>
      </c>
      <c r="BE22">
        <v>0</v>
      </c>
      <c r="BF22">
        <v>0</v>
      </c>
      <c r="BG22">
        <v>0</v>
      </c>
      <c r="BH22">
        <v>106</v>
      </c>
      <c r="BI22">
        <v>0</v>
      </c>
      <c r="BJ22">
        <v>0</v>
      </c>
      <c r="BK22">
        <v>0</v>
      </c>
    </row>
    <row r="23" spans="1:63">
      <c r="A23" t="s">
        <v>40</v>
      </c>
      <c r="B23">
        <v>3</v>
      </c>
      <c r="C23">
        <v>0</v>
      </c>
      <c r="D23">
        <v>0</v>
      </c>
      <c r="E23">
        <v>0</v>
      </c>
      <c r="F23">
        <v>3</v>
      </c>
      <c r="G23">
        <v>0</v>
      </c>
      <c r="H23">
        <v>0</v>
      </c>
      <c r="I23">
        <v>0</v>
      </c>
      <c r="J23">
        <v>3</v>
      </c>
      <c r="K23">
        <v>0</v>
      </c>
      <c r="L23">
        <v>0</v>
      </c>
      <c r="M23">
        <v>0</v>
      </c>
      <c r="N23">
        <v>3</v>
      </c>
      <c r="O23">
        <v>0</v>
      </c>
      <c r="P23">
        <v>0</v>
      </c>
      <c r="Q23">
        <v>0</v>
      </c>
      <c r="R23">
        <v>3</v>
      </c>
      <c r="S23">
        <v>0</v>
      </c>
      <c r="T23">
        <v>0</v>
      </c>
      <c r="U23">
        <v>0</v>
      </c>
      <c r="V23" t="s">
        <v>40</v>
      </c>
      <c r="W23">
        <v>3</v>
      </c>
      <c r="X23">
        <v>0</v>
      </c>
      <c r="Y23">
        <v>0</v>
      </c>
      <c r="Z23">
        <v>0</v>
      </c>
      <c r="AA23">
        <v>3</v>
      </c>
      <c r="AB23">
        <v>0</v>
      </c>
      <c r="AC23">
        <v>0</v>
      </c>
      <c r="AD23">
        <v>0</v>
      </c>
      <c r="AE23">
        <v>3</v>
      </c>
      <c r="AF23">
        <v>0</v>
      </c>
      <c r="AG23">
        <v>0</v>
      </c>
      <c r="AH23">
        <v>0</v>
      </c>
      <c r="AI23">
        <v>3</v>
      </c>
      <c r="AJ23">
        <v>0</v>
      </c>
      <c r="AK23">
        <v>0</v>
      </c>
      <c r="AL23">
        <v>0</v>
      </c>
      <c r="AM23">
        <v>3</v>
      </c>
      <c r="AN23">
        <v>0</v>
      </c>
      <c r="AO23">
        <v>0</v>
      </c>
      <c r="AP23">
        <v>0</v>
      </c>
      <c r="AQ23" t="s">
        <v>40</v>
      </c>
      <c r="AR23">
        <v>3</v>
      </c>
      <c r="AS23">
        <v>0</v>
      </c>
      <c r="AT23">
        <v>0</v>
      </c>
      <c r="AU23">
        <v>0</v>
      </c>
      <c r="AV23">
        <v>3</v>
      </c>
      <c r="AW23">
        <v>0</v>
      </c>
      <c r="AX23">
        <v>0</v>
      </c>
      <c r="AY23">
        <v>0</v>
      </c>
      <c r="AZ23">
        <v>3</v>
      </c>
      <c r="BA23">
        <v>0</v>
      </c>
      <c r="BB23">
        <v>0</v>
      </c>
      <c r="BC23">
        <v>0</v>
      </c>
      <c r="BD23">
        <v>3</v>
      </c>
      <c r="BE23">
        <v>0</v>
      </c>
      <c r="BF23">
        <v>0</v>
      </c>
      <c r="BG23">
        <v>0</v>
      </c>
      <c r="BH23">
        <v>3</v>
      </c>
      <c r="BI23">
        <v>0</v>
      </c>
      <c r="BJ23">
        <v>0</v>
      </c>
      <c r="BK23">
        <v>0</v>
      </c>
    </row>
    <row r="24" spans="1:63">
      <c r="A24" t="s">
        <v>56</v>
      </c>
      <c r="B24">
        <v>404</v>
      </c>
      <c r="C24">
        <v>2</v>
      </c>
      <c r="D24">
        <v>0</v>
      </c>
      <c r="E24">
        <v>0</v>
      </c>
      <c r="F24">
        <v>404</v>
      </c>
      <c r="G24">
        <v>2</v>
      </c>
      <c r="H24">
        <v>0</v>
      </c>
      <c r="I24">
        <v>0</v>
      </c>
      <c r="J24">
        <v>406</v>
      </c>
      <c r="K24">
        <v>0</v>
      </c>
      <c r="L24">
        <v>0</v>
      </c>
      <c r="M24">
        <v>0</v>
      </c>
      <c r="N24">
        <v>404</v>
      </c>
      <c r="O24">
        <v>0</v>
      </c>
      <c r="P24">
        <v>2</v>
      </c>
      <c r="Q24">
        <v>0</v>
      </c>
      <c r="R24">
        <v>406</v>
      </c>
      <c r="S24">
        <v>0</v>
      </c>
      <c r="T24">
        <v>0</v>
      </c>
      <c r="U24">
        <v>0</v>
      </c>
      <c r="V24" t="s">
        <v>56</v>
      </c>
      <c r="W24">
        <v>404</v>
      </c>
      <c r="X24">
        <v>2</v>
      </c>
      <c r="Y24">
        <v>0</v>
      </c>
      <c r="Z24">
        <v>0</v>
      </c>
      <c r="AA24">
        <v>404</v>
      </c>
      <c r="AB24">
        <v>2</v>
      </c>
      <c r="AC24">
        <v>0</v>
      </c>
      <c r="AD24">
        <v>0</v>
      </c>
      <c r="AE24">
        <v>406</v>
      </c>
      <c r="AF24">
        <v>0</v>
      </c>
      <c r="AG24">
        <v>0</v>
      </c>
      <c r="AH24">
        <v>0</v>
      </c>
      <c r="AI24">
        <v>404</v>
      </c>
      <c r="AJ24">
        <v>0</v>
      </c>
      <c r="AK24">
        <v>2</v>
      </c>
      <c r="AL24">
        <v>0</v>
      </c>
      <c r="AM24">
        <v>406</v>
      </c>
      <c r="AN24">
        <v>0</v>
      </c>
      <c r="AO24">
        <v>0</v>
      </c>
      <c r="AP24">
        <v>0</v>
      </c>
      <c r="AQ24" t="s">
        <v>56</v>
      </c>
      <c r="AR24">
        <v>404</v>
      </c>
      <c r="AS24">
        <v>2</v>
      </c>
      <c r="AT24">
        <v>0</v>
      </c>
      <c r="AU24">
        <v>0</v>
      </c>
      <c r="AV24">
        <v>404</v>
      </c>
      <c r="AW24">
        <v>2</v>
      </c>
      <c r="AX24">
        <v>0</v>
      </c>
      <c r="AY24">
        <v>0</v>
      </c>
      <c r="AZ24">
        <v>406</v>
      </c>
      <c r="BA24">
        <v>0</v>
      </c>
      <c r="BB24">
        <v>0</v>
      </c>
      <c r="BC24">
        <v>0</v>
      </c>
      <c r="BD24">
        <v>404</v>
      </c>
      <c r="BE24">
        <v>0</v>
      </c>
      <c r="BF24">
        <v>2</v>
      </c>
      <c r="BG24">
        <v>0</v>
      </c>
      <c r="BH24">
        <v>406</v>
      </c>
      <c r="BI24">
        <v>0</v>
      </c>
      <c r="BJ24">
        <v>0</v>
      </c>
      <c r="BK24">
        <v>0</v>
      </c>
    </row>
    <row r="25" spans="1:63">
      <c r="A25" t="s">
        <v>18</v>
      </c>
      <c r="B25">
        <v>191</v>
      </c>
      <c r="C25">
        <v>1</v>
      </c>
      <c r="D25">
        <v>0</v>
      </c>
      <c r="E25">
        <v>0</v>
      </c>
      <c r="F25">
        <v>191</v>
      </c>
      <c r="G25">
        <v>1</v>
      </c>
      <c r="H25">
        <v>0</v>
      </c>
      <c r="I25">
        <v>0</v>
      </c>
      <c r="J25">
        <v>192</v>
      </c>
      <c r="K25">
        <v>0</v>
      </c>
      <c r="L25">
        <v>0</v>
      </c>
      <c r="M25">
        <v>0</v>
      </c>
      <c r="N25">
        <v>191</v>
      </c>
      <c r="O25">
        <v>0</v>
      </c>
      <c r="P25">
        <v>1</v>
      </c>
      <c r="Q25">
        <v>0</v>
      </c>
      <c r="R25">
        <v>192</v>
      </c>
      <c r="S25">
        <v>0</v>
      </c>
      <c r="T25">
        <v>0</v>
      </c>
      <c r="U25">
        <v>0</v>
      </c>
      <c r="V25" t="s">
        <v>18</v>
      </c>
      <c r="W25">
        <v>191</v>
      </c>
      <c r="X25">
        <v>1</v>
      </c>
      <c r="Y25">
        <v>0</v>
      </c>
      <c r="Z25">
        <v>0</v>
      </c>
      <c r="AA25">
        <v>191</v>
      </c>
      <c r="AB25">
        <v>1</v>
      </c>
      <c r="AC25">
        <v>0</v>
      </c>
      <c r="AD25">
        <v>0</v>
      </c>
      <c r="AE25">
        <v>192</v>
      </c>
      <c r="AF25">
        <v>0</v>
      </c>
      <c r="AG25">
        <v>0</v>
      </c>
      <c r="AH25">
        <v>0</v>
      </c>
      <c r="AI25">
        <v>191</v>
      </c>
      <c r="AJ25">
        <v>0</v>
      </c>
      <c r="AK25">
        <v>1</v>
      </c>
      <c r="AL25">
        <v>0</v>
      </c>
      <c r="AM25">
        <v>192</v>
      </c>
      <c r="AN25">
        <v>0</v>
      </c>
      <c r="AO25">
        <v>0</v>
      </c>
      <c r="AP25">
        <v>0</v>
      </c>
      <c r="AQ25" t="s">
        <v>18</v>
      </c>
      <c r="AR25">
        <v>191</v>
      </c>
      <c r="AS25">
        <v>1</v>
      </c>
      <c r="AT25">
        <v>0</v>
      </c>
      <c r="AU25">
        <v>0</v>
      </c>
      <c r="AV25">
        <v>191</v>
      </c>
      <c r="AW25">
        <v>1</v>
      </c>
      <c r="AX25">
        <v>0</v>
      </c>
      <c r="AY25">
        <v>0</v>
      </c>
      <c r="AZ25">
        <v>192</v>
      </c>
      <c r="BA25">
        <v>0</v>
      </c>
      <c r="BB25">
        <v>0</v>
      </c>
      <c r="BC25">
        <v>0</v>
      </c>
      <c r="BD25">
        <v>191</v>
      </c>
      <c r="BE25">
        <v>0</v>
      </c>
      <c r="BF25">
        <v>1</v>
      </c>
      <c r="BG25">
        <v>0</v>
      </c>
      <c r="BH25">
        <v>192</v>
      </c>
      <c r="BI25">
        <v>0</v>
      </c>
      <c r="BJ25">
        <v>0</v>
      </c>
      <c r="BK25">
        <v>0</v>
      </c>
    </row>
    <row r="26" spans="1:63">
      <c r="A26" t="s">
        <v>27</v>
      </c>
      <c r="B26">
        <v>118</v>
      </c>
      <c r="C26">
        <v>0</v>
      </c>
      <c r="D26">
        <v>0</v>
      </c>
      <c r="E26">
        <v>0</v>
      </c>
      <c r="F26">
        <v>118</v>
      </c>
      <c r="G26">
        <v>0</v>
      </c>
      <c r="H26">
        <v>0</v>
      </c>
      <c r="I26">
        <v>0</v>
      </c>
      <c r="J26">
        <v>118</v>
      </c>
      <c r="K26">
        <v>0</v>
      </c>
      <c r="L26">
        <v>0</v>
      </c>
      <c r="M26">
        <v>0</v>
      </c>
      <c r="N26">
        <v>118</v>
      </c>
      <c r="O26">
        <v>0</v>
      </c>
      <c r="P26">
        <v>0</v>
      </c>
      <c r="Q26">
        <v>0</v>
      </c>
      <c r="R26">
        <v>118</v>
      </c>
      <c r="S26">
        <v>0</v>
      </c>
      <c r="T26">
        <v>0</v>
      </c>
      <c r="U26">
        <v>0</v>
      </c>
      <c r="V26" t="s">
        <v>27</v>
      </c>
      <c r="W26">
        <v>118</v>
      </c>
      <c r="X26">
        <v>0</v>
      </c>
      <c r="Y26">
        <v>0</v>
      </c>
      <c r="Z26">
        <v>0</v>
      </c>
      <c r="AA26">
        <v>118</v>
      </c>
      <c r="AB26">
        <v>0</v>
      </c>
      <c r="AC26">
        <v>0</v>
      </c>
      <c r="AD26">
        <v>0</v>
      </c>
      <c r="AE26">
        <v>118</v>
      </c>
      <c r="AF26">
        <v>0</v>
      </c>
      <c r="AG26">
        <v>0</v>
      </c>
      <c r="AH26">
        <v>0</v>
      </c>
      <c r="AI26">
        <v>118</v>
      </c>
      <c r="AJ26">
        <v>0</v>
      </c>
      <c r="AK26">
        <v>0</v>
      </c>
      <c r="AL26">
        <v>0</v>
      </c>
      <c r="AM26">
        <v>118</v>
      </c>
      <c r="AN26">
        <v>0</v>
      </c>
      <c r="AO26">
        <v>0</v>
      </c>
      <c r="AP26">
        <v>0</v>
      </c>
      <c r="AQ26" t="s">
        <v>27</v>
      </c>
      <c r="AR26">
        <v>118</v>
      </c>
      <c r="AS26">
        <v>0</v>
      </c>
      <c r="AT26">
        <v>0</v>
      </c>
      <c r="AU26">
        <v>0</v>
      </c>
      <c r="AV26">
        <v>118</v>
      </c>
      <c r="AW26">
        <v>0</v>
      </c>
      <c r="AX26">
        <v>0</v>
      </c>
      <c r="AY26">
        <v>0</v>
      </c>
      <c r="AZ26">
        <v>118</v>
      </c>
      <c r="BA26">
        <v>0</v>
      </c>
      <c r="BB26">
        <v>0</v>
      </c>
      <c r="BC26">
        <v>0</v>
      </c>
      <c r="BD26">
        <v>118</v>
      </c>
      <c r="BE26">
        <v>0</v>
      </c>
      <c r="BF26">
        <v>0</v>
      </c>
      <c r="BG26">
        <v>0</v>
      </c>
      <c r="BH26">
        <v>118</v>
      </c>
      <c r="BI26">
        <v>0</v>
      </c>
      <c r="BJ26">
        <v>0</v>
      </c>
      <c r="BK26">
        <v>0</v>
      </c>
    </row>
    <row r="27" spans="1:63">
      <c r="A27" t="s">
        <v>69</v>
      </c>
      <c r="B27">
        <v>30</v>
      </c>
      <c r="C27">
        <v>0</v>
      </c>
      <c r="D27">
        <v>0</v>
      </c>
      <c r="E27">
        <v>0</v>
      </c>
      <c r="F27">
        <v>30</v>
      </c>
      <c r="G27">
        <v>0</v>
      </c>
      <c r="H27">
        <v>0</v>
      </c>
      <c r="I27">
        <v>0</v>
      </c>
      <c r="J27">
        <v>30</v>
      </c>
      <c r="K27">
        <v>0</v>
      </c>
      <c r="L27">
        <v>0</v>
      </c>
      <c r="M27">
        <v>0</v>
      </c>
      <c r="N27">
        <v>30</v>
      </c>
      <c r="O27">
        <v>0</v>
      </c>
      <c r="P27">
        <v>0</v>
      </c>
      <c r="Q27">
        <v>0</v>
      </c>
      <c r="R27">
        <v>30</v>
      </c>
      <c r="S27">
        <v>0</v>
      </c>
      <c r="T27">
        <v>0</v>
      </c>
      <c r="U27">
        <v>0</v>
      </c>
      <c r="V27" t="s">
        <v>69</v>
      </c>
      <c r="W27">
        <v>30</v>
      </c>
      <c r="X27">
        <v>0</v>
      </c>
      <c r="Y27">
        <v>0</v>
      </c>
      <c r="Z27">
        <v>0</v>
      </c>
      <c r="AA27">
        <v>30</v>
      </c>
      <c r="AB27">
        <v>0</v>
      </c>
      <c r="AC27">
        <v>0</v>
      </c>
      <c r="AD27">
        <v>0</v>
      </c>
      <c r="AE27">
        <v>30</v>
      </c>
      <c r="AF27">
        <v>0</v>
      </c>
      <c r="AG27">
        <v>0</v>
      </c>
      <c r="AH27">
        <v>0</v>
      </c>
      <c r="AI27">
        <v>30</v>
      </c>
      <c r="AJ27">
        <v>0</v>
      </c>
      <c r="AK27">
        <v>0</v>
      </c>
      <c r="AL27">
        <v>0</v>
      </c>
      <c r="AM27">
        <v>30</v>
      </c>
      <c r="AN27">
        <v>0</v>
      </c>
      <c r="AO27">
        <v>0</v>
      </c>
      <c r="AP27">
        <v>0</v>
      </c>
      <c r="AQ27" t="s">
        <v>69</v>
      </c>
      <c r="AR27">
        <v>30</v>
      </c>
      <c r="AS27">
        <v>0</v>
      </c>
      <c r="AT27">
        <v>0</v>
      </c>
      <c r="AU27">
        <v>0</v>
      </c>
      <c r="AV27">
        <v>30</v>
      </c>
      <c r="AW27">
        <v>0</v>
      </c>
      <c r="AX27">
        <v>0</v>
      </c>
      <c r="AY27">
        <v>0</v>
      </c>
      <c r="AZ27">
        <v>30</v>
      </c>
      <c r="BA27">
        <v>0</v>
      </c>
      <c r="BB27">
        <v>0</v>
      </c>
      <c r="BC27">
        <v>0</v>
      </c>
      <c r="BD27">
        <v>30</v>
      </c>
      <c r="BE27">
        <v>0</v>
      </c>
      <c r="BF27">
        <v>0</v>
      </c>
      <c r="BG27">
        <v>0</v>
      </c>
      <c r="BH27">
        <v>30</v>
      </c>
      <c r="BI27">
        <v>0</v>
      </c>
      <c r="BJ27">
        <v>0</v>
      </c>
      <c r="BK27">
        <v>0</v>
      </c>
    </row>
    <row r="28" spans="1:63">
      <c r="A28" t="s">
        <v>71</v>
      </c>
      <c r="B28">
        <v>112</v>
      </c>
      <c r="C28">
        <v>0</v>
      </c>
      <c r="D28">
        <v>0</v>
      </c>
      <c r="E28">
        <v>0</v>
      </c>
      <c r="F28">
        <v>112</v>
      </c>
      <c r="G28">
        <v>0</v>
      </c>
      <c r="H28">
        <v>0</v>
      </c>
      <c r="I28">
        <v>0</v>
      </c>
      <c r="J28">
        <v>112</v>
      </c>
      <c r="K28">
        <v>0</v>
      </c>
      <c r="L28">
        <v>0</v>
      </c>
      <c r="M28">
        <v>0</v>
      </c>
      <c r="N28">
        <v>112</v>
      </c>
      <c r="O28">
        <v>0</v>
      </c>
      <c r="P28">
        <v>0</v>
      </c>
      <c r="Q28">
        <v>0</v>
      </c>
      <c r="R28">
        <v>112</v>
      </c>
      <c r="S28">
        <v>0</v>
      </c>
      <c r="T28">
        <v>0</v>
      </c>
      <c r="U28">
        <v>0</v>
      </c>
      <c r="V28" t="s">
        <v>71</v>
      </c>
      <c r="W28">
        <v>112</v>
      </c>
      <c r="X28">
        <v>0</v>
      </c>
      <c r="Y28">
        <v>0</v>
      </c>
      <c r="Z28">
        <v>0</v>
      </c>
      <c r="AA28">
        <v>112</v>
      </c>
      <c r="AB28">
        <v>0</v>
      </c>
      <c r="AC28">
        <v>0</v>
      </c>
      <c r="AD28">
        <v>0</v>
      </c>
      <c r="AE28">
        <v>112</v>
      </c>
      <c r="AF28">
        <v>0</v>
      </c>
      <c r="AG28">
        <v>0</v>
      </c>
      <c r="AH28">
        <v>0</v>
      </c>
      <c r="AI28">
        <v>112</v>
      </c>
      <c r="AJ28">
        <v>0</v>
      </c>
      <c r="AK28">
        <v>0</v>
      </c>
      <c r="AL28">
        <v>0</v>
      </c>
      <c r="AM28">
        <v>112</v>
      </c>
      <c r="AN28">
        <v>0</v>
      </c>
      <c r="AO28">
        <v>0</v>
      </c>
      <c r="AP28">
        <v>0</v>
      </c>
      <c r="AQ28" t="s">
        <v>71</v>
      </c>
      <c r="AR28">
        <v>112</v>
      </c>
      <c r="AS28">
        <v>0</v>
      </c>
      <c r="AT28">
        <v>0</v>
      </c>
      <c r="AU28">
        <v>0</v>
      </c>
      <c r="AV28">
        <v>112</v>
      </c>
      <c r="AW28">
        <v>0</v>
      </c>
      <c r="AX28">
        <v>0</v>
      </c>
      <c r="AY28">
        <v>0</v>
      </c>
      <c r="AZ28">
        <v>112</v>
      </c>
      <c r="BA28">
        <v>0</v>
      </c>
      <c r="BB28">
        <v>0</v>
      </c>
      <c r="BC28">
        <v>0</v>
      </c>
      <c r="BD28">
        <v>112</v>
      </c>
      <c r="BE28">
        <v>0</v>
      </c>
      <c r="BF28">
        <v>0</v>
      </c>
      <c r="BG28">
        <v>0</v>
      </c>
      <c r="BH28">
        <v>112</v>
      </c>
      <c r="BI28">
        <v>0</v>
      </c>
      <c r="BJ28">
        <v>0</v>
      </c>
      <c r="BK28">
        <v>0</v>
      </c>
    </row>
    <row r="29" spans="1:63">
      <c r="A29" t="s">
        <v>22</v>
      </c>
      <c r="B29">
        <v>44</v>
      </c>
      <c r="C29">
        <v>0</v>
      </c>
      <c r="D29">
        <v>0</v>
      </c>
      <c r="E29">
        <v>0</v>
      </c>
      <c r="F29">
        <v>44</v>
      </c>
      <c r="G29">
        <v>0</v>
      </c>
      <c r="H29">
        <v>0</v>
      </c>
      <c r="I29">
        <v>0</v>
      </c>
      <c r="J29">
        <v>44</v>
      </c>
      <c r="K29">
        <v>0</v>
      </c>
      <c r="L29">
        <v>0</v>
      </c>
      <c r="M29">
        <v>0</v>
      </c>
      <c r="N29">
        <v>44</v>
      </c>
      <c r="O29">
        <v>0</v>
      </c>
      <c r="P29">
        <v>0</v>
      </c>
      <c r="Q29">
        <v>0</v>
      </c>
      <c r="R29">
        <v>44</v>
      </c>
      <c r="S29">
        <v>0</v>
      </c>
      <c r="T29">
        <v>0</v>
      </c>
      <c r="U29">
        <v>0</v>
      </c>
      <c r="V29" t="s">
        <v>22</v>
      </c>
      <c r="W29">
        <v>44</v>
      </c>
      <c r="X29">
        <v>0</v>
      </c>
      <c r="Y29">
        <v>0</v>
      </c>
      <c r="Z29">
        <v>0</v>
      </c>
      <c r="AA29">
        <v>44</v>
      </c>
      <c r="AB29">
        <v>0</v>
      </c>
      <c r="AC29">
        <v>0</v>
      </c>
      <c r="AD29">
        <v>0</v>
      </c>
      <c r="AE29">
        <v>44</v>
      </c>
      <c r="AF29">
        <v>0</v>
      </c>
      <c r="AG29">
        <v>0</v>
      </c>
      <c r="AH29">
        <v>0</v>
      </c>
      <c r="AI29">
        <v>44</v>
      </c>
      <c r="AJ29">
        <v>0</v>
      </c>
      <c r="AK29">
        <v>0</v>
      </c>
      <c r="AL29">
        <v>0</v>
      </c>
      <c r="AM29">
        <v>44</v>
      </c>
      <c r="AN29">
        <v>0</v>
      </c>
      <c r="AO29">
        <v>0</v>
      </c>
      <c r="AP29">
        <v>0</v>
      </c>
      <c r="AQ29" t="s">
        <v>22</v>
      </c>
      <c r="AR29">
        <v>44</v>
      </c>
      <c r="AS29">
        <v>0</v>
      </c>
      <c r="AT29">
        <v>0</v>
      </c>
      <c r="AU29">
        <v>0</v>
      </c>
      <c r="AV29">
        <v>44</v>
      </c>
      <c r="AW29">
        <v>0</v>
      </c>
      <c r="AX29">
        <v>0</v>
      </c>
      <c r="AY29">
        <v>0</v>
      </c>
      <c r="AZ29">
        <v>44</v>
      </c>
      <c r="BA29">
        <v>0</v>
      </c>
      <c r="BB29">
        <v>0</v>
      </c>
      <c r="BC29">
        <v>0</v>
      </c>
      <c r="BD29">
        <v>44</v>
      </c>
      <c r="BE29">
        <v>0</v>
      </c>
      <c r="BF29">
        <v>0</v>
      </c>
      <c r="BG29">
        <v>0</v>
      </c>
      <c r="BH29">
        <v>44</v>
      </c>
      <c r="BI29">
        <v>0</v>
      </c>
      <c r="BJ29">
        <v>0</v>
      </c>
      <c r="BK29">
        <v>0</v>
      </c>
    </row>
    <row r="30" spans="1:63">
      <c r="A30" t="s">
        <v>94</v>
      </c>
      <c r="B30">
        <v>6</v>
      </c>
      <c r="C30">
        <v>0</v>
      </c>
      <c r="D30">
        <v>0</v>
      </c>
      <c r="E30">
        <v>0</v>
      </c>
      <c r="F30">
        <v>6</v>
      </c>
      <c r="G30">
        <v>0</v>
      </c>
      <c r="H30">
        <v>0</v>
      </c>
      <c r="I30">
        <v>0</v>
      </c>
      <c r="J30">
        <v>6</v>
      </c>
      <c r="K30">
        <v>0</v>
      </c>
      <c r="L30">
        <v>0</v>
      </c>
      <c r="M30">
        <v>0</v>
      </c>
      <c r="N30">
        <v>6</v>
      </c>
      <c r="O30">
        <v>0</v>
      </c>
      <c r="P30">
        <v>0</v>
      </c>
      <c r="Q30">
        <v>0</v>
      </c>
      <c r="R30">
        <v>6</v>
      </c>
      <c r="S30">
        <v>0</v>
      </c>
      <c r="T30">
        <v>0</v>
      </c>
      <c r="U30">
        <v>0</v>
      </c>
      <c r="V30" t="s">
        <v>94</v>
      </c>
      <c r="W30">
        <v>6</v>
      </c>
      <c r="X30">
        <v>0</v>
      </c>
      <c r="Y30">
        <v>0</v>
      </c>
      <c r="Z30">
        <v>0</v>
      </c>
      <c r="AA30">
        <v>6</v>
      </c>
      <c r="AB30">
        <v>0</v>
      </c>
      <c r="AC30">
        <v>0</v>
      </c>
      <c r="AD30">
        <v>0</v>
      </c>
      <c r="AE30">
        <v>6</v>
      </c>
      <c r="AF30">
        <v>0</v>
      </c>
      <c r="AG30">
        <v>0</v>
      </c>
      <c r="AH30">
        <v>0</v>
      </c>
      <c r="AI30">
        <v>6</v>
      </c>
      <c r="AJ30">
        <v>0</v>
      </c>
      <c r="AK30">
        <v>0</v>
      </c>
      <c r="AL30">
        <v>0</v>
      </c>
      <c r="AM30">
        <v>6</v>
      </c>
      <c r="AN30">
        <v>0</v>
      </c>
      <c r="AO30">
        <v>0</v>
      </c>
      <c r="AP30">
        <v>0</v>
      </c>
      <c r="AQ30" t="s">
        <v>94</v>
      </c>
      <c r="AR30">
        <v>6</v>
      </c>
      <c r="AS30">
        <v>0</v>
      </c>
      <c r="AT30">
        <v>0</v>
      </c>
      <c r="AU30">
        <v>0</v>
      </c>
      <c r="AV30">
        <v>6</v>
      </c>
      <c r="AW30">
        <v>0</v>
      </c>
      <c r="AX30">
        <v>0</v>
      </c>
      <c r="AY30">
        <v>0</v>
      </c>
      <c r="AZ30">
        <v>6</v>
      </c>
      <c r="BA30">
        <v>0</v>
      </c>
      <c r="BB30">
        <v>0</v>
      </c>
      <c r="BC30">
        <v>0</v>
      </c>
      <c r="BD30">
        <v>6</v>
      </c>
      <c r="BE30">
        <v>0</v>
      </c>
      <c r="BF30">
        <v>0</v>
      </c>
      <c r="BG30">
        <v>0</v>
      </c>
      <c r="BH30">
        <v>6</v>
      </c>
      <c r="BI30">
        <v>0</v>
      </c>
      <c r="BJ30">
        <v>0</v>
      </c>
      <c r="BK30">
        <v>0</v>
      </c>
    </row>
    <row r="31" spans="1:63">
      <c r="A31" t="s">
        <v>20</v>
      </c>
      <c r="B31">
        <v>112</v>
      </c>
      <c r="C31">
        <v>0</v>
      </c>
      <c r="D31">
        <v>0</v>
      </c>
      <c r="E31">
        <v>0</v>
      </c>
      <c r="F31">
        <v>112</v>
      </c>
      <c r="G31">
        <v>0</v>
      </c>
      <c r="H31">
        <v>0</v>
      </c>
      <c r="I31">
        <v>0</v>
      </c>
      <c r="J31">
        <v>112</v>
      </c>
      <c r="K31">
        <v>0</v>
      </c>
      <c r="L31">
        <v>0</v>
      </c>
      <c r="M31">
        <v>0</v>
      </c>
      <c r="N31">
        <v>112</v>
      </c>
      <c r="O31">
        <v>0</v>
      </c>
      <c r="P31">
        <v>0</v>
      </c>
      <c r="Q31">
        <v>0</v>
      </c>
      <c r="R31">
        <v>112</v>
      </c>
      <c r="S31">
        <v>0</v>
      </c>
      <c r="T31">
        <v>0</v>
      </c>
      <c r="U31">
        <v>0</v>
      </c>
      <c r="V31" t="s">
        <v>20</v>
      </c>
      <c r="W31">
        <v>112</v>
      </c>
      <c r="X31">
        <v>0</v>
      </c>
      <c r="Y31">
        <v>0</v>
      </c>
      <c r="Z31">
        <v>0</v>
      </c>
      <c r="AA31">
        <v>112</v>
      </c>
      <c r="AB31">
        <v>0</v>
      </c>
      <c r="AC31">
        <v>0</v>
      </c>
      <c r="AD31">
        <v>0</v>
      </c>
      <c r="AE31">
        <v>112</v>
      </c>
      <c r="AF31">
        <v>0</v>
      </c>
      <c r="AG31">
        <v>0</v>
      </c>
      <c r="AH31">
        <v>0</v>
      </c>
      <c r="AI31">
        <v>112</v>
      </c>
      <c r="AJ31">
        <v>0</v>
      </c>
      <c r="AK31">
        <v>0</v>
      </c>
      <c r="AL31">
        <v>0</v>
      </c>
      <c r="AM31">
        <v>112</v>
      </c>
      <c r="AN31">
        <v>0</v>
      </c>
      <c r="AO31">
        <v>0</v>
      </c>
      <c r="AP31">
        <v>0</v>
      </c>
      <c r="AQ31" t="s">
        <v>20</v>
      </c>
      <c r="AR31">
        <v>112</v>
      </c>
      <c r="AS31">
        <v>0</v>
      </c>
      <c r="AT31">
        <v>0</v>
      </c>
      <c r="AU31">
        <v>0</v>
      </c>
      <c r="AV31">
        <v>112</v>
      </c>
      <c r="AW31">
        <v>0</v>
      </c>
      <c r="AX31">
        <v>0</v>
      </c>
      <c r="AY31">
        <v>0</v>
      </c>
      <c r="AZ31">
        <v>112</v>
      </c>
      <c r="BA31">
        <v>0</v>
      </c>
      <c r="BB31">
        <v>0</v>
      </c>
      <c r="BC31">
        <v>0</v>
      </c>
      <c r="BD31">
        <v>112</v>
      </c>
      <c r="BE31">
        <v>0</v>
      </c>
      <c r="BF31">
        <v>0</v>
      </c>
      <c r="BG31">
        <v>0</v>
      </c>
      <c r="BH31">
        <v>112</v>
      </c>
      <c r="BI31">
        <v>0</v>
      </c>
      <c r="BJ31">
        <v>0</v>
      </c>
      <c r="BK31">
        <v>0</v>
      </c>
    </row>
    <row r="32" spans="1:63">
      <c r="A32" t="s">
        <v>24</v>
      </c>
      <c r="B32">
        <v>43</v>
      </c>
      <c r="C32">
        <v>0</v>
      </c>
      <c r="D32">
        <v>0</v>
      </c>
      <c r="E32">
        <v>0</v>
      </c>
      <c r="F32">
        <v>43</v>
      </c>
      <c r="G32">
        <v>0</v>
      </c>
      <c r="H32">
        <v>0</v>
      </c>
      <c r="I32">
        <v>0</v>
      </c>
      <c r="J32">
        <v>43</v>
      </c>
      <c r="K32">
        <v>0</v>
      </c>
      <c r="L32">
        <v>0</v>
      </c>
      <c r="M32">
        <v>0</v>
      </c>
      <c r="N32">
        <v>43</v>
      </c>
      <c r="O32">
        <v>0</v>
      </c>
      <c r="P32">
        <v>0</v>
      </c>
      <c r="Q32">
        <v>0</v>
      </c>
      <c r="R32">
        <v>43</v>
      </c>
      <c r="S32">
        <v>0</v>
      </c>
      <c r="T32">
        <v>0</v>
      </c>
      <c r="U32">
        <v>0</v>
      </c>
      <c r="V32" t="s">
        <v>24</v>
      </c>
      <c r="W32">
        <v>43</v>
      </c>
      <c r="X32">
        <v>0</v>
      </c>
      <c r="Y32">
        <v>0</v>
      </c>
      <c r="Z32">
        <v>0</v>
      </c>
      <c r="AA32">
        <v>43</v>
      </c>
      <c r="AB32">
        <v>0</v>
      </c>
      <c r="AC32">
        <v>0</v>
      </c>
      <c r="AD32">
        <v>0</v>
      </c>
      <c r="AE32">
        <v>43</v>
      </c>
      <c r="AF32">
        <v>0</v>
      </c>
      <c r="AG32">
        <v>0</v>
      </c>
      <c r="AH32">
        <v>0</v>
      </c>
      <c r="AI32">
        <v>43</v>
      </c>
      <c r="AJ32">
        <v>0</v>
      </c>
      <c r="AK32">
        <v>0</v>
      </c>
      <c r="AL32">
        <v>0</v>
      </c>
      <c r="AM32">
        <v>43</v>
      </c>
      <c r="AN32">
        <v>0</v>
      </c>
      <c r="AO32">
        <v>0</v>
      </c>
      <c r="AP32">
        <v>0</v>
      </c>
      <c r="AQ32" t="s">
        <v>24</v>
      </c>
      <c r="AR32">
        <v>43</v>
      </c>
      <c r="AS32">
        <v>0</v>
      </c>
      <c r="AT32">
        <v>0</v>
      </c>
      <c r="AU32">
        <v>0</v>
      </c>
      <c r="AV32">
        <v>43</v>
      </c>
      <c r="AW32">
        <v>0</v>
      </c>
      <c r="AX32">
        <v>0</v>
      </c>
      <c r="AY32">
        <v>0</v>
      </c>
      <c r="AZ32">
        <v>43</v>
      </c>
      <c r="BA32">
        <v>0</v>
      </c>
      <c r="BB32">
        <v>0</v>
      </c>
      <c r="BC32">
        <v>0</v>
      </c>
      <c r="BD32">
        <v>43</v>
      </c>
      <c r="BE32">
        <v>0</v>
      </c>
      <c r="BF32">
        <v>0</v>
      </c>
      <c r="BG32">
        <v>0</v>
      </c>
      <c r="BH32">
        <v>43</v>
      </c>
      <c r="BI32">
        <v>0</v>
      </c>
      <c r="BJ32">
        <v>0</v>
      </c>
      <c r="BK32">
        <v>0</v>
      </c>
    </row>
    <row r="33" spans="1:63">
      <c r="A33" t="s">
        <v>26</v>
      </c>
      <c r="B33">
        <v>4</v>
      </c>
      <c r="C33">
        <v>0</v>
      </c>
      <c r="D33">
        <v>0</v>
      </c>
      <c r="E33">
        <v>0</v>
      </c>
      <c r="F33">
        <v>4</v>
      </c>
      <c r="G33">
        <v>0</v>
      </c>
      <c r="H33">
        <v>0</v>
      </c>
      <c r="I33">
        <v>0</v>
      </c>
      <c r="J33">
        <v>4</v>
      </c>
      <c r="K33">
        <v>0</v>
      </c>
      <c r="L33">
        <v>0</v>
      </c>
      <c r="M33">
        <v>0</v>
      </c>
      <c r="N33">
        <v>4</v>
      </c>
      <c r="O33">
        <v>0</v>
      </c>
      <c r="P33">
        <v>0</v>
      </c>
      <c r="Q33">
        <v>0</v>
      </c>
      <c r="R33">
        <v>4</v>
      </c>
      <c r="S33">
        <v>0</v>
      </c>
      <c r="T33">
        <v>0</v>
      </c>
      <c r="U33">
        <v>0</v>
      </c>
      <c r="V33" t="s">
        <v>26</v>
      </c>
      <c r="W33">
        <v>4</v>
      </c>
      <c r="X33">
        <v>0</v>
      </c>
      <c r="Y33">
        <v>0</v>
      </c>
      <c r="Z33">
        <v>0</v>
      </c>
      <c r="AA33">
        <v>4</v>
      </c>
      <c r="AB33">
        <v>0</v>
      </c>
      <c r="AC33">
        <v>0</v>
      </c>
      <c r="AD33">
        <v>0</v>
      </c>
      <c r="AE33">
        <v>4</v>
      </c>
      <c r="AF33">
        <v>0</v>
      </c>
      <c r="AG33">
        <v>0</v>
      </c>
      <c r="AH33">
        <v>0</v>
      </c>
      <c r="AI33">
        <v>4</v>
      </c>
      <c r="AJ33">
        <v>0</v>
      </c>
      <c r="AK33">
        <v>0</v>
      </c>
      <c r="AL33">
        <v>0</v>
      </c>
      <c r="AM33">
        <v>4</v>
      </c>
      <c r="AN33">
        <v>0</v>
      </c>
      <c r="AO33">
        <v>0</v>
      </c>
      <c r="AP33">
        <v>0</v>
      </c>
      <c r="AQ33" t="s">
        <v>26</v>
      </c>
      <c r="AR33">
        <v>4</v>
      </c>
      <c r="AS33">
        <v>0</v>
      </c>
      <c r="AT33">
        <v>0</v>
      </c>
      <c r="AU33">
        <v>0</v>
      </c>
      <c r="AV33">
        <v>4</v>
      </c>
      <c r="AW33">
        <v>0</v>
      </c>
      <c r="AX33">
        <v>0</v>
      </c>
      <c r="AY33">
        <v>0</v>
      </c>
      <c r="AZ33">
        <v>4</v>
      </c>
      <c r="BA33">
        <v>0</v>
      </c>
      <c r="BB33">
        <v>0</v>
      </c>
      <c r="BC33">
        <v>0</v>
      </c>
      <c r="BD33">
        <v>4</v>
      </c>
      <c r="BE33">
        <v>0</v>
      </c>
      <c r="BF33">
        <v>0</v>
      </c>
      <c r="BG33">
        <v>0</v>
      </c>
      <c r="BH33">
        <v>4</v>
      </c>
      <c r="BI33">
        <v>0</v>
      </c>
      <c r="BJ33">
        <v>0</v>
      </c>
      <c r="BK33">
        <v>0</v>
      </c>
    </row>
    <row r="34" spans="1:63">
      <c r="A34" t="s">
        <v>104</v>
      </c>
      <c r="B34">
        <v>7</v>
      </c>
      <c r="C34">
        <v>0</v>
      </c>
      <c r="D34">
        <v>0</v>
      </c>
      <c r="E34">
        <v>0</v>
      </c>
      <c r="F34">
        <v>7</v>
      </c>
      <c r="G34">
        <v>0</v>
      </c>
      <c r="H34">
        <v>0</v>
      </c>
      <c r="I34">
        <v>0</v>
      </c>
      <c r="J34">
        <v>7</v>
      </c>
      <c r="K34">
        <v>0</v>
      </c>
      <c r="L34">
        <v>0</v>
      </c>
      <c r="M34">
        <v>0</v>
      </c>
      <c r="N34">
        <v>7</v>
      </c>
      <c r="O34">
        <v>0</v>
      </c>
      <c r="P34">
        <v>0</v>
      </c>
      <c r="Q34">
        <v>0</v>
      </c>
      <c r="R34">
        <v>7</v>
      </c>
      <c r="S34">
        <v>0</v>
      </c>
      <c r="T34">
        <v>0</v>
      </c>
      <c r="U34">
        <v>0</v>
      </c>
      <c r="V34" t="s">
        <v>104</v>
      </c>
      <c r="W34">
        <v>7</v>
      </c>
      <c r="X34">
        <v>0</v>
      </c>
      <c r="Y34">
        <v>0</v>
      </c>
      <c r="Z34">
        <v>0</v>
      </c>
      <c r="AA34">
        <v>7</v>
      </c>
      <c r="AB34">
        <v>0</v>
      </c>
      <c r="AC34">
        <v>0</v>
      </c>
      <c r="AD34">
        <v>0</v>
      </c>
      <c r="AE34">
        <v>7</v>
      </c>
      <c r="AF34">
        <v>0</v>
      </c>
      <c r="AG34">
        <v>0</v>
      </c>
      <c r="AH34">
        <v>0</v>
      </c>
      <c r="AI34">
        <v>7</v>
      </c>
      <c r="AJ34">
        <v>0</v>
      </c>
      <c r="AK34">
        <v>0</v>
      </c>
      <c r="AL34">
        <v>0</v>
      </c>
      <c r="AM34">
        <v>7</v>
      </c>
      <c r="AN34">
        <v>0</v>
      </c>
      <c r="AO34">
        <v>0</v>
      </c>
      <c r="AP34">
        <v>0</v>
      </c>
      <c r="AQ34" t="s">
        <v>104</v>
      </c>
      <c r="AR34">
        <v>7</v>
      </c>
      <c r="AS34">
        <v>0</v>
      </c>
      <c r="AT34">
        <v>0</v>
      </c>
      <c r="AU34">
        <v>0</v>
      </c>
      <c r="AV34">
        <v>7</v>
      </c>
      <c r="AW34">
        <v>0</v>
      </c>
      <c r="AX34">
        <v>0</v>
      </c>
      <c r="AY34">
        <v>0</v>
      </c>
      <c r="AZ34">
        <v>7</v>
      </c>
      <c r="BA34">
        <v>0</v>
      </c>
      <c r="BB34">
        <v>0</v>
      </c>
      <c r="BC34">
        <v>0</v>
      </c>
      <c r="BD34">
        <v>7</v>
      </c>
      <c r="BE34">
        <v>0</v>
      </c>
      <c r="BF34">
        <v>0</v>
      </c>
      <c r="BG34">
        <v>0</v>
      </c>
      <c r="BH34">
        <v>7</v>
      </c>
      <c r="BI34">
        <v>0</v>
      </c>
      <c r="BJ34">
        <v>0</v>
      </c>
      <c r="BK34">
        <v>0</v>
      </c>
    </row>
    <row r="35" spans="1:63">
      <c r="A35" t="s">
        <v>16</v>
      </c>
      <c r="B35">
        <v>88</v>
      </c>
      <c r="C35">
        <v>0</v>
      </c>
      <c r="D35">
        <v>0</v>
      </c>
      <c r="E35">
        <v>0</v>
      </c>
      <c r="F35">
        <v>88</v>
      </c>
      <c r="G35">
        <v>0</v>
      </c>
      <c r="H35">
        <v>0</v>
      </c>
      <c r="I35">
        <v>0</v>
      </c>
      <c r="J35">
        <v>88</v>
      </c>
      <c r="K35">
        <v>0</v>
      </c>
      <c r="L35">
        <v>0</v>
      </c>
      <c r="M35">
        <v>0</v>
      </c>
      <c r="N35">
        <v>88</v>
      </c>
      <c r="O35">
        <v>0</v>
      </c>
      <c r="P35">
        <v>0</v>
      </c>
      <c r="Q35">
        <v>0</v>
      </c>
      <c r="R35">
        <v>88</v>
      </c>
      <c r="S35">
        <v>0</v>
      </c>
      <c r="T35">
        <v>0</v>
      </c>
      <c r="U35">
        <v>0</v>
      </c>
      <c r="V35" t="s">
        <v>16</v>
      </c>
      <c r="W35">
        <v>88</v>
      </c>
      <c r="X35">
        <v>0</v>
      </c>
      <c r="Y35">
        <v>0</v>
      </c>
      <c r="Z35">
        <v>0</v>
      </c>
      <c r="AA35">
        <v>88</v>
      </c>
      <c r="AB35">
        <v>0</v>
      </c>
      <c r="AC35">
        <v>0</v>
      </c>
      <c r="AD35">
        <v>0</v>
      </c>
      <c r="AE35">
        <v>88</v>
      </c>
      <c r="AF35">
        <v>0</v>
      </c>
      <c r="AG35">
        <v>0</v>
      </c>
      <c r="AH35">
        <v>0</v>
      </c>
      <c r="AI35">
        <v>88</v>
      </c>
      <c r="AJ35">
        <v>0</v>
      </c>
      <c r="AK35">
        <v>0</v>
      </c>
      <c r="AL35">
        <v>0</v>
      </c>
      <c r="AM35">
        <v>88</v>
      </c>
      <c r="AN35">
        <v>0</v>
      </c>
      <c r="AO35">
        <v>0</v>
      </c>
      <c r="AP35">
        <v>0</v>
      </c>
      <c r="AQ35" t="s">
        <v>16</v>
      </c>
      <c r="AR35">
        <v>88</v>
      </c>
      <c r="AS35">
        <v>0</v>
      </c>
      <c r="AT35">
        <v>0</v>
      </c>
      <c r="AU35">
        <v>0</v>
      </c>
      <c r="AV35">
        <v>88</v>
      </c>
      <c r="AW35">
        <v>0</v>
      </c>
      <c r="AX35">
        <v>0</v>
      </c>
      <c r="AY35">
        <v>0</v>
      </c>
      <c r="AZ35">
        <v>88</v>
      </c>
      <c r="BA35">
        <v>0</v>
      </c>
      <c r="BB35">
        <v>0</v>
      </c>
      <c r="BC35">
        <v>0</v>
      </c>
      <c r="BD35">
        <v>88</v>
      </c>
      <c r="BE35">
        <v>0</v>
      </c>
      <c r="BF35">
        <v>0</v>
      </c>
      <c r="BG35">
        <v>0</v>
      </c>
      <c r="BH35">
        <v>88</v>
      </c>
      <c r="BI35">
        <v>0</v>
      </c>
      <c r="BJ35">
        <v>0</v>
      </c>
      <c r="BK35">
        <v>0</v>
      </c>
    </row>
    <row r="36" spans="1:63">
      <c r="A36" t="s">
        <v>91</v>
      </c>
      <c r="B36">
        <v>65</v>
      </c>
      <c r="C36">
        <v>6</v>
      </c>
      <c r="D36">
        <v>0</v>
      </c>
      <c r="E36">
        <v>0</v>
      </c>
      <c r="F36">
        <v>65</v>
      </c>
      <c r="G36">
        <v>6</v>
      </c>
      <c r="H36">
        <v>0</v>
      </c>
      <c r="I36">
        <v>0</v>
      </c>
      <c r="J36">
        <v>71</v>
      </c>
      <c r="K36">
        <v>0</v>
      </c>
      <c r="L36">
        <v>0</v>
      </c>
      <c r="M36">
        <v>0</v>
      </c>
      <c r="N36">
        <v>65</v>
      </c>
      <c r="O36">
        <v>0</v>
      </c>
      <c r="P36">
        <v>6</v>
      </c>
      <c r="Q36">
        <v>0</v>
      </c>
      <c r="R36">
        <v>71</v>
      </c>
      <c r="S36">
        <v>0</v>
      </c>
      <c r="T36">
        <v>0</v>
      </c>
      <c r="U36">
        <v>0</v>
      </c>
      <c r="V36" t="s">
        <v>91</v>
      </c>
      <c r="W36">
        <v>65</v>
      </c>
      <c r="X36">
        <v>6</v>
      </c>
      <c r="Y36">
        <v>0</v>
      </c>
      <c r="Z36">
        <v>0</v>
      </c>
      <c r="AA36">
        <v>65</v>
      </c>
      <c r="AB36">
        <v>6</v>
      </c>
      <c r="AC36">
        <v>0</v>
      </c>
      <c r="AD36">
        <v>0</v>
      </c>
      <c r="AE36">
        <v>71</v>
      </c>
      <c r="AF36">
        <v>0</v>
      </c>
      <c r="AG36">
        <v>0</v>
      </c>
      <c r="AH36">
        <v>0</v>
      </c>
      <c r="AI36">
        <v>65</v>
      </c>
      <c r="AJ36">
        <v>0</v>
      </c>
      <c r="AK36">
        <v>6</v>
      </c>
      <c r="AL36">
        <v>0</v>
      </c>
      <c r="AM36">
        <v>71</v>
      </c>
      <c r="AN36">
        <v>0</v>
      </c>
      <c r="AO36">
        <v>0</v>
      </c>
      <c r="AP36">
        <v>0</v>
      </c>
      <c r="AQ36" t="s">
        <v>91</v>
      </c>
      <c r="AR36">
        <v>65</v>
      </c>
      <c r="AS36">
        <v>6</v>
      </c>
      <c r="AT36">
        <v>0</v>
      </c>
      <c r="AU36">
        <v>0</v>
      </c>
      <c r="AV36">
        <v>65</v>
      </c>
      <c r="AW36">
        <v>6</v>
      </c>
      <c r="AX36">
        <v>0</v>
      </c>
      <c r="AY36">
        <v>0</v>
      </c>
      <c r="AZ36">
        <v>71</v>
      </c>
      <c r="BA36">
        <v>0</v>
      </c>
      <c r="BB36">
        <v>0</v>
      </c>
      <c r="BC36">
        <v>0</v>
      </c>
      <c r="BD36">
        <v>65</v>
      </c>
      <c r="BE36">
        <v>0</v>
      </c>
      <c r="BF36">
        <v>6</v>
      </c>
      <c r="BG36">
        <v>0</v>
      </c>
      <c r="BH36">
        <v>71</v>
      </c>
      <c r="BI36">
        <v>0</v>
      </c>
      <c r="BJ36">
        <v>0</v>
      </c>
      <c r="BK36">
        <v>0</v>
      </c>
    </row>
    <row r="37" spans="1:63">
      <c r="A37" t="s">
        <v>64</v>
      </c>
      <c r="B37">
        <v>336</v>
      </c>
      <c r="C37">
        <v>0</v>
      </c>
      <c r="D37">
        <v>0</v>
      </c>
      <c r="E37">
        <v>0</v>
      </c>
      <c r="F37">
        <v>336</v>
      </c>
      <c r="G37">
        <v>0</v>
      </c>
      <c r="H37">
        <v>0</v>
      </c>
      <c r="I37">
        <v>0</v>
      </c>
      <c r="J37">
        <v>336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336</v>
      </c>
      <c r="S37">
        <v>0</v>
      </c>
      <c r="T37">
        <v>0</v>
      </c>
      <c r="U37">
        <v>0</v>
      </c>
      <c r="V37" t="s">
        <v>64</v>
      </c>
      <c r="W37">
        <v>336</v>
      </c>
      <c r="X37">
        <v>0</v>
      </c>
      <c r="Y37">
        <v>0</v>
      </c>
      <c r="Z37">
        <v>0</v>
      </c>
      <c r="AA37">
        <v>336</v>
      </c>
      <c r="AB37">
        <v>0</v>
      </c>
      <c r="AC37">
        <v>0</v>
      </c>
      <c r="AD37">
        <v>0</v>
      </c>
      <c r="AE37">
        <v>336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336</v>
      </c>
      <c r="AN37">
        <v>0</v>
      </c>
      <c r="AO37">
        <v>0</v>
      </c>
      <c r="AP37">
        <v>0</v>
      </c>
      <c r="AQ37" t="s">
        <v>64</v>
      </c>
      <c r="AR37">
        <v>336</v>
      </c>
      <c r="AS37">
        <v>0</v>
      </c>
      <c r="AT37">
        <v>0</v>
      </c>
      <c r="AU37">
        <v>0</v>
      </c>
      <c r="AV37">
        <v>336</v>
      </c>
      <c r="AW37">
        <v>0</v>
      </c>
      <c r="AX37">
        <v>0</v>
      </c>
      <c r="AY37">
        <v>0</v>
      </c>
      <c r="AZ37">
        <v>336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336</v>
      </c>
      <c r="BI37">
        <v>0</v>
      </c>
      <c r="BJ37">
        <v>0</v>
      </c>
      <c r="BK37">
        <v>0</v>
      </c>
    </row>
    <row r="38" spans="1:63">
      <c r="A38" t="s">
        <v>25</v>
      </c>
      <c r="B38">
        <v>152</v>
      </c>
      <c r="C38">
        <v>2</v>
      </c>
      <c r="D38">
        <v>0</v>
      </c>
      <c r="E38">
        <v>0</v>
      </c>
      <c r="F38">
        <v>152</v>
      </c>
      <c r="G38">
        <v>2</v>
      </c>
      <c r="H38">
        <v>0</v>
      </c>
      <c r="I38">
        <v>0</v>
      </c>
      <c r="J38">
        <v>151</v>
      </c>
      <c r="K38">
        <v>14</v>
      </c>
      <c r="L38">
        <v>0</v>
      </c>
      <c r="M38">
        <v>0</v>
      </c>
      <c r="N38">
        <v>139</v>
      </c>
      <c r="O38">
        <v>2</v>
      </c>
      <c r="P38">
        <v>1</v>
      </c>
      <c r="Q38">
        <v>1</v>
      </c>
      <c r="R38">
        <v>140</v>
      </c>
      <c r="S38">
        <v>14</v>
      </c>
      <c r="T38">
        <v>0</v>
      </c>
      <c r="U38">
        <v>0</v>
      </c>
      <c r="V38" t="s">
        <v>25</v>
      </c>
      <c r="W38">
        <v>152</v>
      </c>
      <c r="X38">
        <v>2</v>
      </c>
      <c r="Y38">
        <v>0</v>
      </c>
      <c r="Z38">
        <v>0</v>
      </c>
      <c r="AA38">
        <v>152</v>
      </c>
      <c r="AB38">
        <v>2</v>
      </c>
      <c r="AC38">
        <v>0</v>
      </c>
      <c r="AD38">
        <v>0</v>
      </c>
      <c r="AE38">
        <v>151</v>
      </c>
      <c r="AF38">
        <v>14</v>
      </c>
      <c r="AG38">
        <v>0</v>
      </c>
      <c r="AH38">
        <v>0</v>
      </c>
      <c r="AI38">
        <v>139</v>
      </c>
      <c r="AJ38">
        <v>2</v>
      </c>
      <c r="AK38">
        <v>1</v>
      </c>
      <c r="AL38">
        <v>1</v>
      </c>
      <c r="AM38">
        <v>140</v>
      </c>
      <c r="AN38">
        <v>14</v>
      </c>
      <c r="AO38">
        <v>0</v>
      </c>
      <c r="AP38">
        <v>0</v>
      </c>
      <c r="AQ38" t="s">
        <v>25</v>
      </c>
      <c r="AR38">
        <v>152</v>
      </c>
      <c r="AS38">
        <v>2</v>
      </c>
      <c r="AT38">
        <v>0</v>
      </c>
      <c r="AU38">
        <v>0</v>
      </c>
      <c r="AV38">
        <v>152</v>
      </c>
      <c r="AW38">
        <v>2</v>
      </c>
      <c r="AX38">
        <v>0</v>
      </c>
      <c r="AY38">
        <v>0</v>
      </c>
      <c r="AZ38">
        <v>165</v>
      </c>
      <c r="BA38">
        <v>0</v>
      </c>
      <c r="BB38">
        <v>0</v>
      </c>
      <c r="BC38">
        <v>0</v>
      </c>
      <c r="BD38">
        <v>141</v>
      </c>
      <c r="BE38">
        <v>0</v>
      </c>
      <c r="BF38">
        <v>2</v>
      </c>
      <c r="BG38">
        <v>0</v>
      </c>
      <c r="BH38">
        <v>154</v>
      </c>
      <c r="BI38">
        <v>0</v>
      </c>
      <c r="BJ38">
        <v>0</v>
      </c>
      <c r="BK38">
        <v>0</v>
      </c>
    </row>
    <row r="39" spans="1:63">
      <c r="A39" t="s">
        <v>36</v>
      </c>
      <c r="B39">
        <v>102</v>
      </c>
      <c r="C39">
        <v>15</v>
      </c>
      <c r="D39">
        <v>0</v>
      </c>
      <c r="E39">
        <v>0</v>
      </c>
      <c r="F39">
        <v>102</v>
      </c>
      <c r="G39">
        <v>15</v>
      </c>
      <c r="H39">
        <v>0</v>
      </c>
      <c r="I39">
        <v>0</v>
      </c>
      <c r="J39">
        <v>119</v>
      </c>
      <c r="K39">
        <v>2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117</v>
      </c>
      <c r="S39">
        <v>0</v>
      </c>
      <c r="T39">
        <v>0</v>
      </c>
      <c r="U39">
        <v>0</v>
      </c>
      <c r="V39" t="s">
        <v>36</v>
      </c>
      <c r="W39">
        <v>102</v>
      </c>
      <c r="X39">
        <v>15</v>
      </c>
      <c r="Y39">
        <v>0</v>
      </c>
      <c r="Z39">
        <v>0</v>
      </c>
      <c r="AA39">
        <v>102</v>
      </c>
      <c r="AB39">
        <v>15</v>
      </c>
      <c r="AC39">
        <v>0</v>
      </c>
      <c r="AD39">
        <v>0</v>
      </c>
      <c r="AE39">
        <v>119</v>
      </c>
      <c r="AF39">
        <v>2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117</v>
      </c>
      <c r="AN39">
        <v>0</v>
      </c>
      <c r="AO39">
        <v>0</v>
      </c>
      <c r="AP39">
        <v>0</v>
      </c>
      <c r="AQ39" t="s">
        <v>36</v>
      </c>
      <c r="AR39">
        <v>102</v>
      </c>
      <c r="AS39">
        <v>15</v>
      </c>
      <c r="AT39">
        <v>0</v>
      </c>
      <c r="AU39">
        <v>0</v>
      </c>
      <c r="AV39">
        <v>102</v>
      </c>
      <c r="AW39">
        <v>15</v>
      </c>
      <c r="AX39">
        <v>0</v>
      </c>
      <c r="AY39">
        <v>0</v>
      </c>
      <c r="AZ39">
        <v>121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117</v>
      </c>
      <c r="BI39">
        <v>0</v>
      </c>
      <c r="BJ39">
        <v>0</v>
      </c>
      <c r="BK39">
        <v>0</v>
      </c>
    </row>
    <row r="40" spans="1:63">
      <c r="A40" t="s">
        <v>100</v>
      </c>
      <c r="B40">
        <v>142</v>
      </c>
      <c r="C40">
        <v>32</v>
      </c>
      <c r="D40">
        <v>0</v>
      </c>
      <c r="E40">
        <v>0</v>
      </c>
      <c r="F40">
        <v>141</v>
      </c>
      <c r="G40">
        <v>33</v>
      </c>
      <c r="H40">
        <v>0</v>
      </c>
      <c r="I40">
        <v>0</v>
      </c>
      <c r="J40">
        <v>144</v>
      </c>
      <c r="K40">
        <v>30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143</v>
      </c>
      <c r="S40">
        <v>31</v>
      </c>
      <c r="T40">
        <v>0</v>
      </c>
      <c r="U40">
        <v>0</v>
      </c>
      <c r="V40" t="s">
        <v>100</v>
      </c>
      <c r="W40">
        <v>142</v>
      </c>
      <c r="X40">
        <v>32</v>
      </c>
      <c r="Y40">
        <v>0</v>
      </c>
      <c r="Z40">
        <v>0</v>
      </c>
      <c r="AA40">
        <v>141</v>
      </c>
      <c r="AB40">
        <v>33</v>
      </c>
      <c r="AC40">
        <v>0</v>
      </c>
      <c r="AD40">
        <v>0</v>
      </c>
      <c r="AE40">
        <v>144</v>
      </c>
      <c r="AF40">
        <v>30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143</v>
      </c>
      <c r="AN40">
        <v>31</v>
      </c>
      <c r="AO40">
        <v>0</v>
      </c>
      <c r="AP40">
        <v>0</v>
      </c>
      <c r="AQ40" t="s">
        <v>100</v>
      </c>
      <c r="AR40">
        <v>141</v>
      </c>
      <c r="AS40">
        <v>33</v>
      </c>
      <c r="AT40">
        <v>0</v>
      </c>
      <c r="AU40">
        <v>0</v>
      </c>
      <c r="AV40">
        <v>141</v>
      </c>
      <c r="AW40">
        <v>33</v>
      </c>
      <c r="AX40">
        <v>0</v>
      </c>
      <c r="AY40">
        <v>0</v>
      </c>
      <c r="AZ40">
        <v>174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174</v>
      </c>
      <c r="BI40">
        <v>0</v>
      </c>
      <c r="BJ40">
        <v>0</v>
      </c>
      <c r="BK40">
        <v>0</v>
      </c>
    </row>
    <row r="41" spans="1:63">
      <c r="A41" t="s">
        <v>66</v>
      </c>
      <c r="B41">
        <v>129</v>
      </c>
      <c r="C41">
        <v>14</v>
      </c>
      <c r="D41">
        <v>0</v>
      </c>
      <c r="E41">
        <v>0</v>
      </c>
      <c r="F41">
        <v>129</v>
      </c>
      <c r="G41">
        <v>14</v>
      </c>
      <c r="H41">
        <v>0</v>
      </c>
      <c r="I41">
        <v>0</v>
      </c>
      <c r="J41">
        <v>147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140</v>
      </c>
      <c r="S41">
        <v>3</v>
      </c>
      <c r="T41">
        <v>0</v>
      </c>
      <c r="U41">
        <v>0</v>
      </c>
      <c r="V41" t="s">
        <v>66</v>
      </c>
      <c r="W41">
        <v>129</v>
      </c>
      <c r="X41">
        <v>14</v>
      </c>
      <c r="Y41">
        <v>0</v>
      </c>
      <c r="Z41">
        <v>0</v>
      </c>
      <c r="AA41">
        <v>129</v>
      </c>
      <c r="AB41">
        <v>14</v>
      </c>
      <c r="AC41">
        <v>0</v>
      </c>
      <c r="AD41">
        <v>0</v>
      </c>
      <c r="AE41">
        <v>147</v>
      </c>
      <c r="AF41">
        <v>1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140</v>
      </c>
      <c r="AN41">
        <v>3</v>
      </c>
      <c r="AO41">
        <v>0</v>
      </c>
      <c r="AP41">
        <v>0</v>
      </c>
      <c r="AQ41" t="s">
        <v>66</v>
      </c>
      <c r="AR41">
        <v>129</v>
      </c>
      <c r="AS41">
        <v>14</v>
      </c>
      <c r="AT41">
        <v>0</v>
      </c>
      <c r="AU41">
        <v>0</v>
      </c>
      <c r="AV41">
        <v>129</v>
      </c>
      <c r="AW41">
        <v>14</v>
      </c>
      <c r="AX41">
        <v>0</v>
      </c>
      <c r="AY41">
        <v>0</v>
      </c>
      <c r="AZ41">
        <v>148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143</v>
      </c>
      <c r="BI41">
        <v>0</v>
      </c>
      <c r="BJ41">
        <v>0</v>
      </c>
      <c r="BK41">
        <v>0</v>
      </c>
    </row>
    <row r="42" spans="1:63">
      <c r="A42" t="s">
        <v>60</v>
      </c>
      <c r="B42">
        <v>122</v>
      </c>
      <c r="C42">
        <v>7</v>
      </c>
      <c r="D42">
        <v>0</v>
      </c>
      <c r="E42">
        <v>0</v>
      </c>
      <c r="F42">
        <v>122</v>
      </c>
      <c r="G42">
        <v>7</v>
      </c>
      <c r="H42">
        <v>0</v>
      </c>
      <c r="I42">
        <v>0</v>
      </c>
      <c r="J42">
        <v>125</v>
      </c>
      <c r="K42">
        <v>4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126</v>
      </c>
      <c r="S42">
        <v>3</v>
      </c>
      <c r="T42">
        <v>0</v>
      </c>
      <c r="U42">
        <v>0</v>
      </c>
      <c r="V42" t="s">
        <v>60</v>
      </c>
      <c r="W42">
        <v>122</v>
      </c>
      <c r="X42">
        <v>7</v>
      </c>
      <c r="Y42">
        <v>0</v>
      </c>
      <c r="Z42">
        <v>0</v>
      </c>
      <c r="AA42">
        <v>122</v>
      </c>
      <c r="AB42">
        <v>7</v>
      </c>
      <c r="AC42">
        <v>0</v>
      </c>
      <c r="AD42">
        <v>0</v>
      </c>
      <c r="AE42">
        <v>125</v>
      </c>
      <c r="AF42">
        <v>4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126</v>
      </c>
      <c r="AN42">
        <v>3</v>
      </c>
      <c r="AO42">
        <v>0</v>
      </c>
      <c r="AP42">
        <v>0</v>
      </c>
      <c r="AQ42" t="s">
        <v>60</v>
      </c>
      <c r="AR42">
        <v>122</v>
      </c>
      <c r="AS42">
        <v>7</v>
      </c>
      <c r="AT42">
        <v>0</v>
      </c>
      <c r="AU42">
        <v>0</v>
      </c>
      <c r="AV42">
        <v>122</v>
      </c>
      <c r="AW42">
        <v>7</v>
      </c>
      <c r="AX42">
        <v>0</v>
      </c>
      <c r="AY42">
        <v>0</v>
      </c>
      <c r="AZ42">
        <v>129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129</v>
      </c>
      <c r="BI42">
        <v>0</v>
      </c>
      <c r="BJ42">
        <v>0</v>
      </c>
      <c r="BK42">
        <v>0</v>
      </c>
    </row>
    <row r="43" spans="1:63">
      <c r="A43" t="s">
        <v>12</v>
      </c>
      <c r="B43">
        <v>43</v>
      </c>
      <c r="C43">
        <v>0</v>
      </c>
      <c r="D43">
        <v>0</v>
      </c>
      <c r="E43">
        <v>0</v>
      </c>
      <c r="F43">
        <v>43</v>
      </c>
      <c r="G43">
        <v>0</v>
      </c>
      <c r="H43">
        <v>0</v>
      </c>
      <c r="I43">
        <v>0</v>
      </c>
      <c r="J43">
        <v>38</v>
      </c>
      <c r="K43">
        <v>5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38</v>
      </c>
      <c r="S43">
        <v>5</v>
      </c>
      <c r="T43">
        <v>0</v>
      </c>
      <c r="U43">
        <v>0</v>
      </c>
      <c r="V43" t="s">
        <v>12</v>
      </c>
      <c r="W43">
        <v>43</v>
      </c>
      <c r="X43">
        <v>0</v>
      </c>
      <c r="Y43">
        <v>0</v>
      </c>
      <c r="Z43">
        <v>0</v>
      </c>
      <c r="AA43">
        <v>43</v>
      </c>
      <c r="AB43">
        <v>0</v>
      </c>
      <c r="AC43">
        <v>0</v>
      </c>
      <c r="AD43">
        <v>0</v>
      </c>
      <c r="AE43">
        <v>38</v>
      </c>
      <c r="AF43">
        <v>5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38</v>
      </c>
      <c r="AN43">
        <v>5</v>
      </c>
      <c r="AO43">
        <v>0</v>
      </c>
      <c r="AP43">
        <v>0</v>
      </c>
      <c r="AQ43" t="s">
        <v>12</v>
      </c>
      <c r="AR43">
        <v>43</v>
      </c>
      <c r="AS43">
        <v>0</v>
      </c>
      <c r="AT43">
        <v>0</v>
      </c>
      <c r="AU43">
        <v>0</v>
      </c>
      <c r="AV43">
        <v>43</v>
      </c>
      <c r="AW43">
        <v>0</v>
      </c>
      <c r="AX43">
        <v>0</v>
      </c>
      <c r="AY43">
        <v>0</v>
      </c>
      <c r="AZ43">
        <v>43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43</v>
      </c>
      <c r="BI43">
        <v>0</v>
      </c>
      <c r="BJ43">
        <v>0</v>
      </c>
      <c r="BK43">
        <v>0</v>
      </c>
    </row>
    <row r="44" spans="1:63">
      <c r="A44" t="s">
        <v>21</v>
      </c>
      <c r="B44">
        <v>137</v>
      </c>
      <c r="C44">
        <v>2</v>
      </c>
      <c r="D44">
        <v>0</v>
      </c>
      <c r="E44">
        <v>0</v>
      </c>
      <c r="F44">
        <v>137</v>
      </c>
      <c r="G44">
        <v>2</v>
      </c>
      <c r="H44">
        <v>0</v>
      </c>
      <c r="I44">
        <v>0</v>
      </c>
      <c r="J44">
        <v>135</v>
      </c>
      <c r="K44">
        <v>4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135</v>
      </c>
      <c r="S44">
        <v>4</v>
      </c>
      <c r="T44">
        <v>0</v>
      </c>
      <c r="U44">
        <v>0</v>
      </c>
      <c r="V44" t="s">
        <v>21</v>
      </c>
      <c r="W44">
        <v>137</v>
      </c>
      <c r="X44">
        <v>2</v>
      </c>
      <c r="Y44">
        <v>0</v>
      </c>
      <c r="Z44">
        <v>0</v>
      </c>
      <c r="AA44">
        <v>137</v>
      </c>
      <c r="AB44">
        <v>2</v>
      </c>
      <c r="AC44">
        <v>0</v>
      </c>
      <c r="AD44">
        <v>0</v>
      </c>
      <c r="AE44">
        <v>135</v>
      </c>
      <c r="AF44">
        <v>4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135</v>
      </c>
      <c r="AN44">
        <v>4</v>
      </c>
      <c r="AO44">
        <v>0</v>
      </c>
      <c r="AP44">
        <v>0</v>
      </c>
      <c r="AQ44" t="s">
        <v>21</v>
      </c>
      <c r="AR44">
        <v>137</v>
      </c>
      <c r="AS44">
        <v>2</v>
      </c>
      <c r="AT44">
        <v>0</v>
      </c>
      <c r="AU44">
        <v>0</v>
      </c>
      <c r="AV44">
        <v>137</v>
      </c>
      <c r="AW44">
        <v>2</v>
      </c>
      <c r="AX44">
        <v>0</v>
      </c>
      <c r="AY44">
        <v>0</v>
      </c>
      <c r="AZ44">
        <v>139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139</v>
      </c>
      <c r="BI44">
        <v>0</v>
      </c>
      <c r="BJ44">
        <v>0</v>
      </c>
      <c r="BK44">
        <v>0</v>
      </c>
    </row>
    <row r="45" spans="1:63">
      <c r="A45" t="s">
        <v>44</v>
      </c>
      <c r="B45">
        <v>50</v>
      </c>
      <c r="C45">
        <v>12</v>
      </c>
      <c r="D45">
        <v>0</v>
      </c>
      <c r="E45">
        <v>0</v>
      </c>
      <c r="F45">
        <v>50</v>
      </c>
      <c r="G45">
        <v>12</v>
      </c>
      <c r="H45">
        <v>0</v>
      </c>
      <c r="I45">
        <v>0</v>
      </c>
      <c r="J45">
        <v>61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61</v>
      </c>
      <c r="S45">
        <v>1</v>
      </c>
      <c r="T45">
        <v>0</v>
      </c>
      <c r="U45">
        <v>0</v>
      </c>
      <c r="V45" t="s">
        <v>44</v>
      </c>
      <c r="W45">
        <v>50</v>
      </c>
      <c r="X45">
        <v>12</v>
      </c>
      <c r="Y45">
        <v>0</v>
      </c>
      <c r="Z45">
        <v>0</v>
      </c>
      <c r="AA45">
        <v>50</v>
      </c>
      <c r="AB45">
        <v>12</v>
      </c>
      <c r="AC45">
        <v>0</v>
      </c>
      <c r="AD45">
        <v>0</v>
      </c>
      <c r="AE45">
        <v>61</v>
      </c>
      <c r="AF45">
        <v>1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61</v>
      </c>
      <c r="AN45">
        <v>1</v>
      </c>
      <c r="AO45">
        <v>0</v>
      </c>
      <c r="AP45">
        <v>0</v>
      </c>
      <c r="AQ45" t="s">
        <v>44</v>
      </c>
      <c r="AR45">
        <v>50</v>
      </c>
      <c r="AS45">
        <v>12</v>
      </c>
      <c r="AT45">
        <v>0</v>
      </c>
      <c r="AU45">
        <v>0</v>
      </c>
      <c r="AV45">
        <v>50</v>
      </c>
      <c r="AW45">
        <v>12</v>
      </c>
      <c r="AX45">
        <v>0</v>
      </c>
      <c r="AY45">
        <v>0</v>
      </c>
      <c r="AZ45">
        <v>62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62</v>
      </c>
      <c r="BI45">
        <v>0</v>
      </c>
      <c r="BJ45">
        <v>0</v>
      </c>
      <c r="BK45">
        <v>0</v>
      </c>
    </row>
    <row r="46" spans="1:63">
      <c r="A46" t="s">
        <v>5</v>
      </c>
      <c r="B46">
        <v>30</v>
      </c>
      <c r="C46">
        <v>0</v>
      </c>
      <c r="D46">
        <v>0</v>
      </c>
      <c r="E46">
        <v>0</v>
      </c>
      <c r="F46">
        <v>30</v>
      </c>
      <c r="G46">
        <v>0</v>
      </c>
      <c r="H46">
        <v>0</v>
      </c>
      <c r="I46">
        <v>0</v>
      </c>
      <c r="J46">
        <v>30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30</v>
      </c>
      <c r="S46">
        <v>0</v>
      </c>
      <c r="T46">
        <v>0</v>
      </c>
      <c r="U46">
        <v>0</v>
      </c>
      <c r="V46" t="s">
        <v>5</v>
      </c>
      <c r="W46">
        <v>30</v>
      </c>
      <c r="X46">
        <v>0</v>
      </c>
      <c r="Y46">
        <v>0</v>
      </c>
      <c r="Z46">
        <v>0</v>
      </c>
      <c r="AA46">
        <v>30</v>
      </c>
      <c r="AB46">
        <v>0</v>
      </c>
      <c r="AC46">
        <v>0</v>
      </c>
      <c r="AD46">
        <v>0</v>
      </c>
      <c r="AE46">
        <v>30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30</v>
      </c>
      <c r="AN46">
        <v>0</v>
      </c>
      <c r="AO46">
        <v>0</v>
      </c>
      <c r="AP46">
        <v>0</v>
      </c>
      <c r="AQ46" t="s">
        <v>5</v>
      </c>
      <c r="AR46">
        <v>30</v>
      </c>
      <c r="AS46">
        <v>0</v>
      </c>
      <c r="AT46">
        <v>0</v>
      </c>
      <c r="AU46">
        <v>0</v>
      </c>
      <c r="AV46">
        <v>30</v>
      </c>
      <c r="AW46">
        <v>0</v>
      </c>
      <c r="AX46">
        <v>0</v>
      </c>
      <c r="AY46">
        <v>0</v>
      </c>
      <c r="AZ46">
        <v>30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30</v>
      </c>
      <c r="BI46">
        <v>0</v>
      </c>
      <c r="BJ46">
        <v>0</v>
      </c>
      <c r="BK46">
        <v>0</v>
      </c>
    </row>
    <row r="47" spans="1:63">
      <c r="A47" t="s">
        <v>62</v>
      </c>
      <c r="B47">
        <v>71</v>
      </c>
      <c r="C47">
        <v>15</v>
      </c>
      <c r="D47">
        <v>0</v>
      </c>
      <c r="E47">
        <v>0</v>
      </c>
      <c r="F47">
        <v>71</v>
      </c>
      <c r="G47">
        <v>15</v>
      </c>
      <c r="H47">
        <v>0</v>
      </c>
      <c r="I47">
        <v>0</v>
      </c>
      <c r="J47">
        <v>85</v>
      </c>
      <c r="K47">
        <v>1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79</v>
      </c>
      <c r="S47">
        <v>7</v>
      </c>
      <c r="T47">
        <v>0</v>
      </c>
      <c r="U47">
        <v>0</v>
      </c>
      <c r="V47" t="s">
        <v>62</v>
      </c>
      <c r="W47">
        <v>71</v>
      </c>
      <c r="X47">
        <v>15</v>
      </c>
      <c r="Y47">
        <v>0</v>
      </c>
      <c r="Z47">
        <v>0</v>
      </c>
      <c r="AA47">
        <v>71</v>
      </c>
      <c r="AB47">
        <v>15</v>
      </c>
      <c r="AC47">
        <v>0</v>
      </c>
      <c r="AD47">
        <v>0</v>
      </c>
      <c r="AE47">
        <v>85</v>
      </c>
      <c r="AF47">
        <v>1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79</v>
      </c>
      <c r="AN47">
        <v>7</v>
      </c>
      <c r="AO47">
        <v>0</v>
      </c>
      <c r="AP47">
        <v>0</v>
      </c>
      <c r="AQ47" t="s">
        <v>62</v>
      </c>
      <c r="AR47">
        <v>71</v>
      </c>
      <c r="AS47">
        <v>15</v>
      </c>
      <c r="AT47">
        <v>0</v>
      </c>
      <c r="AU47">
        <v>0</v>
      </c>
      <c r="AV47">
        <v>71</v>
      </c>
      <c r="AW47">
        <v>15</v>
      </c>
      <c r="AX47">
        <v>0</v>
      </c>
      <c r="AY47">
        <v>0</v>
      </c>
      <c r="AZ47">
        <v>86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86</v>
      </c>
      <c r="BI47">
        <v>0</v>
      </c>
      <c r="BJ47">
        <v>0</v>
      </c>
      <c r="BK47">
        <v>0</v>
      </c>
    </row>
    <row r="48" spans="1:63">
      <c r="A48" t="s">
        <v>6</v>
      </c>
      <c r="B48">
        <v>50</v>
      </c>
      <c r="C48">
        <v>6</v>
      </c>
      <c r="D48">
        <v>0</v>
      </c>
      <c r="E48">
        <v>0</v>
      </c>
      <c r="F48">
        <v>50</v>
      </c>
      <c r="G48">
        <v>6</v>
      </c>
      <c r="H48">
        <v>0</v>
      </c>
      <c r="I48">
        <v>0</v>
      </c>
      <c r="J48">
        <v>53</v>
      </c>
      <c r="K48">
        <v>3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47</v>
      </c>
      <c r="S48">
        <v>9</v>
      </c>
      <c r="T48">
        <v>0</v>
      </c>
      <c r="U48">
        <v>0</v>
      </c>
      <c r="V48" t="s">
        <v>6</v>
      </c>
      <c r="W48">
        <v>50</v>
      </c>
      <c r="X48">
        <v>6</v>
      </c>
      <c r="Y48">
        <v>0</v>
      </c>
      <c r="Z48">
        <v>0</v>
      </c>
      <c r="AA48">
        <v>50</v>
      </c>
      <c r="AB48">
        <v>6</v>
      </c>
      <c r="AC48">
        <v>0</v>
      </c>
      <c r="AD48">
        <v>0</v>
      </c>
      <c r="AE48">
        <v>53</v>
      </c>
      <c r="AF48">
        <v>3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47</v>
      </c>
      <c r="AN48">
        <v>9</v>
      </c>
      <c r="AO48">
        <v>0</v>
      </c>
      <c r="AP48">
        <v>0</v>
      </c>
      <c r="AQ48" t="s">
        <v>6</v>
      </c>
      <c r="AR48">
        <v>50</v>
      </c>
      <c r="AS48">
        <v>6</v>
      </c>
      <c r="AT48">
        <v>0</v>
      </c>
      <c r="AU48">
        <v>0</v>
      </c>
      <c r="AV48">
        <v>50</v>
      </c>
      <c r="AW48">
        <v>6</v>
      </c>
      <c r="AX48">
        <v>0</v>
      </c>
      <c r="AY48">
        <v>0</v>
      </c>
      <c r="AZ48">
        <v>56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56</v>
      </c>
      <c r="BI48">
        <v>0</v>
      </c>
      <c r="BJ48">
        <v>0</v>
      </c>
      <c r="BK48">
        <v>0</v>
      </c>
    </row>
    <row r="49" spans="1:63">
      <c r="A49" t="s">
        <v>82</v>
      </c>
      <c r="B49">
        <v>2</v>
      </c>
      <c r="C49">
        <v>0</v>
      </c>
      <c r="D49">
        <v>0</v>
      </c>
      <c r="E49">
        <v>0</v>
      </c>
      <c r="F49">
        <v>2</v>
      </c>
      <c r="G49">
        <v>0</v>
      </c>
      <c r="H49">
        <v>0</v>
      </c>
      <c r="I49">
        <v>0</v>
      </c>
      <c r="J49">
        <v>2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2</v>
      </c>
      <c r="S49">
        <v>0</v>
      </c>
      <c r="T49">
        <v>0</v>
      </c>
      <c r="U49">
        <v>0</v>
      </c>
      <c r="V49" t="s">
        <v>82</v>
      </c>
      <c r="W49">
        <v>2</v>
      </c>
      <c r="X49">
        <v>0</v>
      </c>
      <c r="Y49">
        <v>0</v>
      </c>
      <c r="Z49">
        <v>0</v>
      </c>
      <c r="AA49">
        <v>2</v>
      </c>
      <c r="AB49">
        <v>0</v>
      </c>
      <c r="AC49">
        <v>0</v>
      </c>
      <c r="AD49">
        <v>0</v>
      </c>
      <c r="AE49">
        <v>2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2</v>
      </c>
      <c r="AN49">
        <v>0</v>
      </c>
      <c r="AO49">
        <v>0</v>
      </c>
      <c r="AP49">
        <v>0</v>
      </c>
      <c r="AQ49" t="s">
        <v>82</v>
      </c>
      <c r="AR49">
        <v>2</v>
      </c>
      <c r="AS49">
        <v>0</v>
      </c>
      <c r="AT49">
        <v>0</v>
      </c>
      <c r="AU49">
        <v>0</v>
      </c>
      <c r="AV49">
        <v>2</v>
      </c>
      <c r="AW49">
        <v>0</v>
      </c>
      <c r="AX49">
        <v>0</v>
      </c>
      <c r="AY49">
        <v>0</v>
      </c>
      <c r="AZ49">
        <v>2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2</v>
      </c>
      <c r="BI49">
        <v>0</v>
      </c>
      <c r="BJ49">
        <v>0</v>
      </c>
      <c r="BK49">
        <v>0</v>
      </c>
    </row>
    <row r="50" spans="1:63">
      <c r="A50" t="s">
        <v>92</v>
      </c>
      <c r="B50">
        <v>1</v>
      </c>
      <c r="C50">
        <v>0</v>
      </c>
      <c r="D50">
        <v>0</v>
      </c>
      <c r="E50">
        <v>0</v>
      </c>
      <c r="F50">
        <v>1</v>
      </c>
      <c r="G50">
        <v>0</v>
      </c>
      <c r="H50">
        <v>0</v>
      </c>
      <c r="I50">
        <v>0</v>
      </c>
      <c r="J50">
        <v>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1</v>
      </c>
      <c r="S50">
        <v>0</v>
      </c>
      <c r="T50">
        <v>0</v>
      </c>
      <c r="U50">
        <v>0</v>
      </c>
      <c r="V50" t="s">
        <v>92</v>
      </c>
      <c r="W50">
        <v>1</v>
      </c>
      <c r="X50">
        <v>0</v>
      </c>
      <c r="Y50">
        <v>0</v>
      </c>
      <c r="Z50">
        <v>0</v>
      </c>
      <c r="AA50">
        <v>1</v>
      </c>
      <c r="AB50">
        <v>0</v>
      </c>
      <c r="AC50">
        <v>0</v>
      </c>
      <c r="AD50">
        <v>0</v>
      </c>
      <c r="AE50">
        <v>1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1</v>
      </c>
      <c r="AN50">
        <v>0</v>
      </c>
      <c r="AO50">
        <v>0</v>
      </c>
      <c r="AP50">
        <v>0</v>
      </c>
      <c r="AQ50" t="s">
        <v>92</v>
      </c>
      <c r="AR50">
        <v>1</v>
      </c>
      <c r="AS50">
        <v>0</v>
      </c>
      <c r="AT50">
        <v>0</v>
      </c>
      <c r="AU50">
        <v>0</v>
      </c>
      <c r="AV50">
        <v>1</v>
      </c>
      <c r="AW50">
        <v>0</v>
      </c>
      <c r="AX50">
        <v>0</v>
      </c>
      <c r="AY50">
        <v>0</v>
      </c>
      <c r="AZ50">
        <v>1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1</v>
      </c>
      <c r="BI50">
        <v>0</v>
      </c>
      <c r="BJ50">
        <v>0</v>
      </c>
      <c r="BK50">
        <v>0</v>
      </c>
    </row>
    <row r="51" spans="1:63">
      <c r="A51" t="s">
        <v>53</v>
      </c>
      <c r="B51">
        <v>60</v>
      </c>
      <c r="C51">
        <v>2</v>
      </c>
      <c r="D51">
        <v>0</v>
      </c>
      <c r="E51">
        <v>0</v>
      </c>
      <c r="F51">
        <v>57</v>
      </c>
      <c r="G51">
        <v>5</v>
      </c>
      <c r="H51">
        <v>0</v>
      </c>
      <c r="I51">
        <v>0</v>
      </c>
      <c r="J51">
        <v>60</v>
      </c>
      <c r="K51">
        <v>2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57</v>
      </c>
      <c r="S51">
        <v>5</v>
      </c>
      <c r="T51">
        <v>0</v>
      </c>
      <c r="U51">
        <v>0</v>
      </c>
      <c r="V51" t="s">
        <v>53</v>
      </c>
      <c r="W51">
        <v>60</v>
      </c>
      <c r="X51">
        <v>2</v>
      </c>
      <c r="Y51">
        <v>0</v>
      </c>
      <c r="Z51">
        <v>0</v>
      </c>
      <c r="AA51">
        <v>57</v>
      </c>
      <c r="AB51">
        <v>5</v>
      </c>
      <c r="AC51">
        <v>0</v>
      </c>
      <c r="AD51">
        <v>0</v>
      </c>
      <c r="AE51">
        <v>60</v>
      </c>
      <c r="AF51">
        <v>2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57</v>
      </c>
      <c r="AN51">
        <v>5</v>
      </c>
      <c r="AO51">
        <v>0</v>
      </c>
      <c r="AP51">
        <v>0</v>
      </c>
      <c r="AQ51" t="s">
        <v>53</v>
      </c>
      <c r="AR51">
        <v>57</v>
      </c>
      <c r="AS51">
        <v>5</v>
      </c>
      <c r="AT51">
        <v>0</v>
      </c>
      <c r="AU51">
        <v>0</v>
      </c>
      <c r="AV51">
        <v>57</v>
      </c>
      <c r="AW51">
        <v>5</v>
      </c>
      <c r="AX51">
        <v>0</v>
      </c>
      <c r="AY51">
        <v>0</v>
      </c>
      <c r="AZ51">
        <v>62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62</v>
      </c>
      <c r="BI51">
        <v>0</v>
      </c>
      <c r="BJ51">
        <v>0</v>
      </c>
      <c r="BK51">
        <v>0</v>
      </c>
    </row>
    <row r="52" spans="1:63">
      <c r="A52" t="s">
        <v>11</v>
      </c>
      <c r="B52">
        <v>7</v>
      </c>
      <c r="C52">
        <v>0</v>
      </c>
      <c r="D52">
        <v>0</v>
      </c>
      <c r="E52">
        <v>0</v>
      </c>
      <c r="F52">
        <v>7</v>
      </c>
      <c r="G52">
        <v>0</v>
      </c>
      <c r="H52">
        <v>0</v>
      </c>
      <c r="I52">
        <v>0</v>
      </c>
      <c r="J52">
        <v>6</v>
      </c>
      <c r="K52">
        <v>1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6</v>
      </c>
      <c r="S52">
        <v>1</v>
      </c>
      <c r="T52">
        <v>0</v>
      </c>
      <c r="U52">
        <v>0</v>
      </c>
      <c r="V52" t="s">
        <v>11</v>
      </c>
      <c r="W52">
        <v>7</v>
      </c>
      <c r="X52">
        <v>0</v>
      </c>
      <c r="Y52">
        <v>0</v>
      </c>
      <c r="Z52">
        <v>0</v>
      </c>
      <c r="AA52">
        <v>7</v>
      </c>
      <c r="AB52">
        <v>0</v>
      </c>
      <c r="AC52">
        <v>0</v>
      </c>
      <c r="AD52">
        <v>0</v>
      </c>
      <c r="AE52">
        <v>6</v>
      </c>
      <c r="AF52">
        <v>1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6</v>
      </c>
      <c r="AN52">
        <v>1</v>
      </c>
      <c r="AO52">
        <v>0</v>
      </c>
      <c r="AP52">
        <v>0</v>
      </c>
      <c r="AQ52" t="s">
        <v>11</v>
      </c>
      <c r="AR52">
        <v>7</v>
      </c>
      <c r="AS52">
        <v>0</v>
      </c>
      <c r="AT52">
        <v>0</v>
      </c>
      <c r="AU52">
        <v>0</v>
      </c>
      <c r="AV52">
        <v>7</v>
      </c>
      <c r="AW52">
        <v>0</v>
      </c>
      <c r="AX52">
        <v>0</v>
      </c>
      <c r="AY52">
        <v>0</v>
      </c>
      <c r="AZ52">
        <v>7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7</v>
      </c>
      <c r="BI52">
        <v>0</v>
      </c>
      <c r="BJ52">
        <v>0</v>
      </c>
      <c r="BK52">
        <v>0</v>
      </c>
    </row>
    <row r="53" spans="1:63">
      <c r="A53" t="s">
        <v>84</v>
      </c>
      <c r="B53">
        <v>36</v>
      </c>
      <c r="C53">
        <v>10</v>
      </c>
      <c r="D53">
        <v>0</v>
      </c>
      <c r="E53">
        <v>0</v>
      </c>
      <c r="F53">
        <v>36</v>
      </c>
      <c r="G53">
        <v>10</v>
      </c>
      <c r="H53">
        <v>0</v>
      </c>
      <c r="I53">
        <v>0</v>
      </c>
      <c r="J53">
        <v>45</v>
      </c>
      <c r="K53">
        <v>1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39</v>
      </c>
      <c r="S53">
        <v>7</v>
      </c>
      <c r="T53">
        <v>0</v>
      </c>
      <c r="U53">
        <v>0</v>
      </c>
      <c r="V53" t="s">
        <v>84</v>
      </c>
      <c r="W53">
        <v>36</v>
      </c>
      <c r="X53">
        <v>10</v>
      </c>
      <c r="Y53">
        <v>0</v>
      </c>
      <c r="Z53">
        <v>0</v>
      </c>
      <c r="AA53">
        <v>36</v>
      </c>
      <c r="AB53">
        <v>10</v>
      </c>
      <c r="AC53">
        <v>0</v>
      </c>
      <c r="AD53">
        <v>0</v>
      </c>
      <c r="AE53">
        <v>45</v>
      </c>
      <c r="AF53">
        <v>1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39</v>
      </c>
      <c r="AN53">
        <v>7</v>
      </c>
      <c r="AO53">
        <v>0</v>
      </c>
      <c r="AP53">
        <v>0</v>
      </c>
      <c r="AQ53" t="s">
        <v>84</v>
      </c>
      <c r="AR53">
        <v>36</v>
      </c>
      <c r="AS53">
        <v>10</v>
      </c>
      <c r="AT53">
        <v>0</v>
      </c>
      <c r="AU53">
        <v>0</v>
      </c>
      <c r="AV53">
        <v>36</v>
      </c>
      <c r="AW53">
        <v>10</v>
      </c>
      <c r="AX53">
        <v>0</v>
      </c>
      <c r="AY53">
        <v>0</v>
      </c>
      <c r="AZ53">
        <v>46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46</v>
      </c>
      <c r="BI53">
        <v>0</v>
      </c>
      <c r="BJ53">
        <v>0</v>
      </c>
      <c r="BK53">
        <v>0</v>
      </c>
    </row>
    <row r="54" spans="1:63">
      <c r="A54" t="s">
        <v>50</v>
      </c>
      <c r="B54">
        <v>26</v>
      </c>
      <c r="C54">
        <v>0</v>
      </c>
      <c r="D54">
        <v>0</v>
      </c>
      <c r="E54">
        <v>0</v>
      </c>
      <c r="F54">
        <v>26</v>
      </c>
      <c r="G54">
        <v>0</v>
      </c>
      <c r="H54">
        <v>0</v>
      </c>
      <c r="I54">
        <v>0</v>
      </c>
      <c r="J54">
        <v>26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26</v>
      </c>
      <c r="S54">
        <v>0</v>
      </c>
      <c r="T54">
        <v>0</v>
      </c>
      <c r="U54">
        <v>0</v>
      </c>
      <c r="V54" t="s">
        <v>50</v>
      </c>
      <c r="W54">
        <v>26</v>
      </c>
      <c r="X54">
        <v>0</v>
      </c>
      <c r="Y54">
        <v>0</v>
      </c>
      <c r="Z54">
        <v>0</v>
      </c>
      <c r="AA54">
        <v>26</v>
      </c>
      <c r="AB54">
        <v>0</v>
      </c>
      <c r="AC54">
        <v>0</v>
      </c>
      <c r="AD54">
        <v>0</v>
      </c>
      <c r="AE54">
        <v>26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26</v>
      </c>
      <c r="AN54">
        <v>0</v>
      </c>
      <c r="AO54">
        <v>0</v>
      </c>
      <c r="AP54">
        <v>0</v>
      </c>
      <c r="AQ54" t="s">
        <v>50</v>
      </c>
      <c r="AR54">
        <v>26</v>
      </c>
      <c r="AS54">
        <v>0</v>
      </c>
      <c r="AT54">
        <v>0</v>
      </c>
      <c r="AU54">
        <v>0</v>
      </c>
      <c r="AV54">
        <v>26</v>
      </c>
      <c r="AW54">
        <v>0</v>
      </c>
      <c r="AX54">
        <v>0</v>
      </c>
      <c r="AY54">
        <v>0</v>
      </c>
      <c r="AZ54">
        <v>26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26</v>
      </c>
      <c r="BI54">
        <v>0</v>
      </c>
      <c r="BJ54">
        <v>0</v>
      </c>
      <c r="BK54">
        <v>0</v>
      </c>
    </row>
    <row r="55" spans="1:63">
      <c r="A55" t="s">
        <v>47</v>
      </c>
      <c r="B55">
        <v>53</v>
      </c>
      <c r="C55">
        <v>0</v>
      </c>
      <c r="D55">
        <v>0</v>
      </c>
      <c r="E55">
        <v>0</v>
      </c>
      <c r="F55">
        <v>52</v>
      </c>
      <c r="G55">
        <v>1</v>
      </c>
      <c r="H55">
        <v>0</v>
      </c>
      <c r="I55">
        <v>0</v>
      </c>
      <c r="J55">
        <v>47</v>
      </c>
      <c r="K55">
        <v>6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46</v>
      </c>
      <c r="S55">
        <v>7</v>
      </c>
      <c r="T55">
        <v>0</v>
      </c>
      <c r="U55">
        <v>0</v>
      </c>
      <c r="V55" t="s">
        <v>47</v>
      </c>
      <c r="W55">
        <v>53</v>
      </c>
      <c r="X55">
        <v>0</v>
      </c>
      <c r="Y55">
        <v>0</v>
      </c>
      <c r="Z55">
        <v>0</v>
      </c>
      <c r="AA55">
        <v>52</v>
      </c>
      <c r="AB55">
        <v>1</v>
      </c>
      <c r="AC55">
        <v>0</v>
      </c>
      <c r="AD55">
        <v>0</v>
      </c>
      <c r="AE55">
        <v>47</v>
      </c>
      <c r="AF55">
        <v>6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46</v>
      </c>
      <c r="AN55">
        <v>7</v>
      </c>
      <c r="AO55">
        <v>0</v>
      </c>
      <c r="AP55">
        <v>0</v>
      </c>
      <c r="AQ55" t="s">
        <v>47</v>
      </c>
      <c r="AR55">
        <v>52</v>
      </c>
      <c r="AS55">
        <v>1</v>
      </c>
      <c r="AT55">
        <v>0</v>
      </c>
      <c r="AU55">
        <v>0</v>
      </c>
      <c r="AV55">
        <v>52</v>
      </c>
      <c r="AW55">
        <v>1</v>
      </c>
      <c r="AX55">
        <v>0</v>
      </c>
      <c r="AY55">
        <v>0</v>
      </c>
      <c r="AZ55">
        <v>53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53</v>
      </c>
      <c r="BI55">
        <v>0</v>
      </c>
      <c r="BJ55">
        <v>0</v>
      </c>
      <c r="BK55">
        <v>0</v>
      </c>
    </row>
    <row r="56" spans="1:63">
      <c r="A56" t="s">
        <v>57</v>
      </c>
      <c r="B56">
        <v>8</v>
      </c>
      <c r="C56">
        <v>2</v>
      </c>
      <c r="D56">
        <v>0</v>
      </c>
      <c r="E56">
        <v>0</v>
      </c>
      <c r="F56">
        <v>8</v>
      </c>
      <c r="G56">
        <v>2</v>
      </c>
      <c r="H56">
        <v>0</v>
      </c>
      <c r="I56">
        <v>0</v>
      </c>
      <c r="J56">
        <v>10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10</v>
      </c>
      <c r="S56">
        <v>0</v>
      </c>
      <c r="T56">
        <v>0</v>
      </c>
      <c r="U56">
        <v>0</v>
      </c>
      <c r="V56" t="s">
        <v>57</v>
      </c>
      <c r="W56">
        <v>8</v>
      </c>
      <c r="X56">
        <v>2</v>
      </c>
      <c r="Y56">
        <v>0</v>
      </c>
      <c r="Z56">
        <v>0</v>
      </c>
      <c r="AA56">
        <v>8</v>
      </c>
      <c r="AB56">
        <v>2</v>
      </c>
      <c r="AC56">
        <v>0</v>
      </c>
      <c r="AD56">
        <v>0</v>
      </c>
      <c r="AE56">
        <v>10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10</v>
      </c>
      <c r="AN56">
        <v>0</v>
      </c>
      <c r="AO56">
        <v>0</v>
      </c>
      <c r="AP56">
        <v>0</v>
      </c>
      <c r="AQ56" t="s">
        <v>57</v>
      </c>
      <c r="AR56">
        <v>8</v>
      </c>
      <c r="AS56">
        <v>2</v>
      </c>
      <c r="AT56">
        <v>0</v>
      </c>
      <c r="AU56">
        <v>0</v>
      </c>
      <c r="AV56">
        <v>8</v>
      </c>
      <c r="AW56">
        <v>2</v>
      </c>
      <c r="AX56">
        <v>0</v>
      </c>
      <c r="AY56">
        <v>0</v>
      </c>
      <c r="AZ56">
        <v>10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10</v>
      </c>
      <c r="BI56">
        <v>0</v>
      </c>
      <c r="BJ56">
        <v>0</v>
      </c>
      <c r="BK56">
        <v>0</v>
      </c>
    </row>
    <row r="57" spans="1:63">
      <c r="A57" t="s">
        <v>95</v>
      </c>
      <c r="B57">
        <v>11</v>
      </c>
      <c r="C57">
        <v>1</v>
      </c>
      <c r="D57">
        <v>0</v>
      </c>
      <c r="E57">
        <v>0</v>
      </c>
      <c r="F57">
        <v>11</v>
      </c>
      <c r="G57">
        <v>1</v>
      </c>
      <c r="H57">
        <v>0</v>
      </c>
      <c r="I57">
        <v>0</v>
      </c>
      <c r="J57">
        <v>12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12</v>
      </c>
      <c r="S57">
        <v>0</v>
      </c>
      <c r="T57">
        <v>0</v>
      </c>
      <c r="U57">
        <v>0</v>
      </c>
      <c r="V57" t="s">
        <v>95</v>
      </c>
      <c r="W57">
        <v>11</v>
      </c>
      <c r="X57">
        <v>1</v>
      </c>
      <c r="Y57">
        <v>0</v>
      </c>
      <c r="Z57">
        <v>0</v>
      </c>
      <c r="AA57">
        <v>11</v>
      </c>
      <c r="AB57">
        <v>1</v>
      </c>
      <c r="AC57">
        <v>0</v>
      </c>
      <c r="AD57">
        <v>0</v>
      </c>
      <c r="AE57">
        <v>12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12</v>
      </c>
      <c r="AN57">
        <v>0</v>
      </c>
      <c r="AO57">
        <v>0</v>
      </c>
      <c r="AP57">
        <v>0</v>
      </c>
      <c r="AQ57" t="s">
        <v>95</v>
      </c>
      <c r="AR57">
        <v>11</v>
      </c>
      <c r="AS57">
        <v>1</v>
      </c>
      <c r="AT57">
        <v>0</v>
      </c>
      <c r="AU57">
        <v>0</v>
      </c>
      <c r="AV57">
        <v>11</v>
      </c>
      <c r="AW57">
        <v>1</v>
      </c>
      <c r="AX57">
        <v>0</v>
      </c>
      <c r="AY57">
        <v>0</v>
      </c>
      <c r="AZ57">
        <v>12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12</v>
      </c>
      <c r="BI57">
        <v>0</v>
      </c>
      <c r="BJ57">
        <v>0</v>
      </c>
      <c r="BK57">
        <v>0</v>
      </c>
    </row>
    <row r="58" spans="1:63">
      <c r="A58" t="s">
        <v>41</v>
      </c>
      <c r="B58">
        <v>9</v>
      </c>
      <c r="C58">
        <v>0</v>
      </c>
      <c r="D58">
        <v>0</v>
      </c>
      <c r="E58">
        <v>0</v>
      </c>
      <c r="F58">
        <v>9</v>
      </c>
      <c r="G58">
        <v>0</v>
      </c>
      <c r="H58">
        <v>0</v>
      </c>
      <c r="I58">
        <v>0</v>
      </c>
      <c r="J58">
        <v>9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9</v>
      </c>
      <c r="S58">
        <v>0</v>
      </c>
      <c r="T58">
        <v>0</v>
      </c>
      <c r="U58">
        <v>0</v>
      </c>
      <c r="V58" t="s">
        <v>41</v>
      </c>
      <c r="W58">
        <v>9</v>
      </c>
      <c r="X58">
        <v>0</v>
      </c>
      <c r="Y58">
        <v>0</v>
      </c>
      <c r="Z58">
        <v>0</v>
      </c>
      <c r="AA58">
        <v>9</v>
      </c>
      <c r="AB58">
        <v>0</v>
      </c>
      <c r="AC58">
        <v>0</v>
      </c>
      <c r="AD58">
        <v>0</v>
      </c>
      <c r="AE58">
        <v>9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9</v>
      </c>
      <c r="AN58">
        <v>0</v>
      </c>
      <c r="AO58">
        <v>0</v>
      </c>
      <c r="AP58">
        <v>0</v>
      </c>
      <c r="AQ58" t="s">
        <v>41</v>
      </c>
      <c r="AR58">
        <v>9</v>
      </c>
      <c r="AS58">
        <v>0</v>
      </c>
      <c r="AT58">
        <v>0</v>
      </c>
      <c r="AU58">
        <v>0</v>
      </c>
      <c r="AV58">
        <v>9</v>
      </c>
      <c r="AW58">
        <v>0</v>
      </c>
      <c r="AX58">
        <v>0</v>
      </c>
      <c r="AY58">
        <v>0</v>
      </c>
      <c r="AZ58">
        <v>9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9</v>
      </c>
      <c r="BI58">
        <v>0</v>
      </c>
      <c r="BJ58">
        <v>0</v>
      </c>
      <c r="BK58">
        <v>0</v>
      </c>
    </row>
    <row r="59" spans="1:63">
      <c r="A59" t="s">
        <v>81</v>
      </c>
      <c r="B59">
        <v>109</v>
      </c>
      <c r="C59">
        <v>3</v>
      </c>
      <c r="D59">
        <v>0</v>
      </c>
      <c r="E59">
        <v>0</v>
      </c>
      <c r="F59">
        <v>109</v>
      </c>
      <c r="G59">
        <v>3</v>
      </c>
      <c r="H59">
        <v>0</v>
      </c>
      <c r="I59">
        <v>0</v>
      </c>
      <c r="J59">
        <v>106</v>
      </c>
      <c r="K59">
        <v>6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103</v>
      </c>
      <c r="S59">
        <v>9</v>
      </c>
      <c r="T59">
        <v>0</v>
      </c>
      <c r="U59">
        <v>0</v>
      </c>
      <c r="V59" t="s">
        <v>81</v>
      </c>
      <c r="W59">
        <v>109</v>
      </c>
      <c r="X59">
        <v>3</v>
      </c>
      <c r="Y59">
        <v>0</v>
      </c>
      <c r="Z59">
        <v>0</v>
      </c>
      <c r="AA59">
        <v>109</v>
      </c>
      <c r="AB59">
        <v>3</v>
      </c>
      <c r="AC59">
        <v>0</v>
      </c>
      <c r="AD59">
        <v>0</v>
      </c>
      <c r="AE59">
        <v>106</v>
      </c>
      <c r="AF59">
        <v>6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103</v>
      </c>
      <c r="AN59">
        <v>9</v>
      </c>
      <c r="AO59">
        <v>0</v>
      </c>
      <c r="AP59">
        <v>0</v>
      </c>
      <c r="AQ59" t="s">
        <v>81</v>
      </c>
      <c r="AR59">
        <v>109</v>
      </c>
      <c r="AS59">
        <v>3</v>
      </c>
      <c r="AT59">
        <v>0</v>
      </c>
      <c r="AU59">
        <v>0</v>
      </c>
      <c r="AV59">
        <v>109</v>
      </c>
      <c r="AW59">
        <v>3</v>
      </c>
      <c r="AX59">
        <v>0</v>
      </c>
      <c r="AY59">
        <v>0</v>
      </c>
      <c r="AZ59">
        <v>112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112</v>
      </c>
      <c r="BI59">
        <v>0</v>
      </c>
      <c r="BJ59">
        <v>0</v>
      </c>
      <c r="BK59">
        <v>0</v>
      </c>
    </row>
    <row r="60" spans="1:63">
      <c r="A60" t="s">
        <v>45</v>
      </c>
      <c r="B60">
        <v>926</v>
      </c>
      <c r="C60">
        <v>32</v>
      </c>
      <c r="D60">
        <v>0</v>
      </c>
      <c r="E60">
        <v>0</v>
      </c>
      <c r="F60">
        <v>924</v>
      </c>
      <c r="G60">
        <v>34</v>
      </c>
      <c r="H60">
        <v>0</v>
      </c>
      <c r="I60">
        <v>0</v>
      </c>
      <c r="J60">
        <v>945</v>
      </c>
      <c r="K60">
        <v>13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936</v>
      </c>
      <c r="S60">
        <v>22</v>
      </c>
      <c r="T60">
        <v>0</v>
      </c>
      <c r="U60">
        <v>0</v>
      </c>
      <c r="V60" t="s">
        <v>45</v>
      </c>
      <c r="W60">
        <v>926</v>
      </c>
      <c r="X60">
        <v>32</v>
      </c>
      <c r="Y60">
        <v>0</v>
      </c>
      <c r="Z60">
        <v>0</v>
      </c>
      <c r="AA60">
        <v>924</v>
      </c>
      <c r="AB60">
        <v>34</v>
      </c>
      <c r="AC60">
        <v>0</v>
      </c>
      <c r="AD60">
        <v>0</v>
      </c>
      <c r="AE60">
        <v>945</v>
      </c>
      <c r="AF60">
        <v>13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936</v>
      </c>
      <c r="AN60">
        <v>22</v>
      </c>
      <c r="AO60">
        <v>0</v>
      </c>
      <c r="AP60">
        <v>0</v>
      </c>
      <c r="AQ60" t="s">
        <v>45</v>
      </c>
      <c r="AR60">
        <v>924</v>
      </c>
      <c r="AS60">
        <v>34</v>
      </c>
      <c r="AT60">
        <v>0</v>
      </c>
      <c r="AU60">
        <v>0</v>
      </c>
      <c r="AV60">
        <v>924</v>
      </c>
      <c r="AW60">
        <v>34</v>
      </c>
      <c r="AX60">
        <v>0</v>
      </c>
      <c r="AY60">
        <v>0</v>
      </c>
      <c r="AZ60">
        <v>958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958</v>
      </c>
      <c r="BI60">
        <v>0</v>
      </c>
      <c r="BJ60">
        <v>0</v>
      </c>
      <c r="BK60">
        <v>0</v>
      </c>
    </row>
    <row r="61" spans="1:63">
      <c r="A61" t="s">
        <v>54</v>
      </c>
      <c r="B61">
        <v>472</v>
      </c>
      <c r="C61">
        <v>4</v>
      </c>
      <c r="D61">
        <v>0</v>
      </c>
      <c r="E61">
        <v>0</v>
      </c>
      <c r="F61">
        <v>472</v>
      </c>
      <c r="G61">
        <v>4</v>
      </c>
      <c r="H61">
        <v>0</v>
      </c>
      <c r="I61">
        <v>0</v>
      </c>
      <c r="J61">
        <v>463</v>
      </c>
      <c r="K61">
        <v>13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462</v>
      </c>
      <c r="S61">
        <v>14</v>
      </c>
      <c r="T61">
        <v>0</v>
      </c>
      <c r="U61">
        <v>0</v>
      </c>
      <c r="V61" t="s">
        <v>54</v>
      </c>
      <c r="W61">
        <v>472</v>
      </c>
      <c r="X61">
        <v>4</v>
      </c>
      <c r="Y61">
        <v>0</v>
      </c>
      <c r="Z61">
        <v>0</v>
      </c>
      <c r="AA61">
        <v>472</v>
      </c>
      <c r="AB61">
        <v>4</v>
      </c>
      <c r="AC61">
        <v>0</v>
      </c>
      <c r="AD61">
        <v>0</v>
      </c>
      <c r="AE61">
        <v>463</v>
      </c>
      <c r="AF61">
        <v>13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462</v>
      </c>
      <c r="AN61">
        <v>14</v>
      </c>
      <c r="AO61">
        <v>0</v>
      </c>
      <c r="AP61">
        <v>0</v>
      </c>
      <c r="AQ61" t="s">
        <v>54</v>
      </c>
      <c r="AR61">
        <v>472</v>
      </c>
      <c r="AS61">
        <v>4</v>
      </c>
      <c r="AT61">
        <v>0</v>
      </c>
      <c r="AU61">
        <v>0</v>
      </c>
      <c r="AV61">
        <v>472</v>
      </c>
      <c r="AW61">
        <v>4</v>
      </c>
      <c r="AX61">
        <v>0</v>
      </c>
      <c r="AY61">
        <v>0</v>
      </c>
      <c r="AZ61">
        <v>476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476</v>
      </c>
      <c r="BI61">
        <v>0</v>
      </c>
      <c r="BJ61">
        <v>0</v>
      </c>
      <c r="BK61">
        <v>0</v>
      </c>
    </row>
    <row r="62" spans="1:63">
      <c r="A62" t="s">
        <v>79</v>
      </c>
      <c r="B62">
        <v>580</v>
      </c>
      <c r="C62">
        <v>27</v>
      </c>
      <c r="D62">
        <v>0</v>
      </c>
      <c r="E62">
        <v>0</v>
      </c>
      <c r="F62">
        <v>579</v>
      </c>
      <c r="G62">
        <v>28</v>
      </c>
      <c r="H62">
        <v>0</v>
      </c>
      <c r="I62">
        <v>0</v>
      </c>
      <c r="J62">
        <v>589</v>
      </c>
      <c r="K62">
        <v>18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580</v>
      </c>
      <c r="S62">
        <v>27</v>
      </c>
      <c r="T62">
        <v>0</v>
      </c>
      <c r="U62">
        <v>0</v>
      </c>
      <c r="V62" t="s">
        <v>79</v>
      </c>
      <c r="W62">
        <v>580</v>
      </c>
      <c r="X62">
        <v>27</v>
      </c>
      <c r="Y62">
        <v>0</v>
      </c>
      <c r="Z62">
        <v>0</v>
      </c>
      <c r="AA62">
        <v>579</v>
      </c>
      <c r="AB62">
        <v>28</v>
      </c>
      <c r="AC62">
        <v>0</v>
      </c>
      <c r="AD62">
        <v>0</v>
      </c>
      <c r="AE62">
        <v>589</v>
      </c>
      <c r="AF62">
        <v>18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580</v>
      </c>
      <c r="AN62">
        <v>27</v>
      </c>
      <c r="AO62">
        <v>0</v>
      </c>
      <c r="AP62">
        <v>0</v>
      </c>
      <c r="AQ62" t="s">
        <v>79</v>
      </c>
      <c r="AR62">
        <v>579</v>
      </c>
      <c r="AS62">
        <v>28</v>
      </c>
      <c r="AT62">
        <v>0</v>
      </c>
      <c r="AU62">
        <v>0</v>
      </c>
      <c r="AV62">
        <v>579</v>
      </c>
      <c r="AW62">
        <v>28</v>
      </c>
      <c r="AX62">
        <v>0</v>
      </c>
      <c r="AY62">
        <v>0</v>
      </c>
      <c r="AZ62">
        <v>607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607</v>
      </c>
      <c r="BI62">
        <v>0</v>
      </c>
      <c r="BJ62">
        <v>0</v>
      </c>
      <c r="BK62">
        <v>0</v>
      </c>
    </row>
    <row r="63" spans="1:63">
      <c r="A63" t="s">
        <v>9</v>
      </c>
      <c r="B63">
        <v>732</v>
      </c>
      <c r="C63">
        <v>5</v>
      </c>
      <c r="D63">
        <v>0</v>
      </c>
      <c r="E63">
        <v>0</v>
      </c>
      <c r="F63">
        <v>732</v>
      </c>
      <c r="G63">
        <v>5</v>
      </c>
      <c r="H63">
        <v>0</v>
      </c>
      <c r="I63">
        <v>0</v>
      </c>
      <c r="J63">
        <v>714</v>
      </c>
      <c r="K63">
        <v>23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712</v>
      </c>
      <c r="S63">
        <v>25</v>
      </c>
      <c r="T63">
        <v>0</v>
      </c>
      <c r="U63">
        <v>0</v>
      </c>
      <c r="V63" t="s">
        <v>9</v>
      </c>
      <c r="W63">
        <v>732</v>
      </c>
      <c r="X63">
        <v>5</v>
      </c>
      <c r="Y63">
        <v>0</v>
      </c>
      <c r="Z63">
        <v>0</v>
      </c>
      <c r="AA63">
        <v>732</v>
      </c>
      <c r="AB63">
        <v>5</v>
      </c>
      <c r="AC63">
        <v>0</v>
      </c>
      <c r="AD63">
        <v>0</v>
      </c>
      <c r="AE63">
        <v>714</v>
      </c>
      <c r="AF63">
        <v>23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712</v>
      </c>
      <c r="AN63">
        <v>25</v>
      </c>
      <c r="AO63">
        <v>0</v>
      </c>
      <c r="AP63">
        <v>0</v>
      </c>
      <c r="AQ63" t="s">
        <v>9</v>
      </c>
      <c r="AR63">
        <v>732</v>
      </c>
      <c r="AS63">
        <v>5</v>
      </c>
      <c r="AT63">
        <v>0</v>
      </c>
      <c r="AU63">
        <v>0</v>
      </c>
      <c r="AV63">
        <v>732</v>
      </c>
      <c r="AW63">
        <v>5</v>
      </c>
      <c r="AX63">
        <v>0</v>
      </c>
      <c r="AY63">
        <v>0</v>
      </c>
      <c r="AZ63">
        <v>737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737</v>
      </c>
      <c r="BI63">
        <v>0</v>
      </c>
      <c r="BJ63">
        <v>0</v>
      </c>
      <c r="BK63">
        <v>0</v>
      </c>
    </row>
    <row r="64" spans="1:63">
      <c r="A64" t="s">
        <v>7</v>
      </c>
      <c r="B64">
        <v>56</v>
      </c>
      <c r="C64">
        <v>1</v>
      </c>
      <c r="D64">
        <v>0</v>
      </c>
      <c r="E64">
        <v>0</v>
      </c>
      <c r="F64">
        <v>56</v>
      </c>
      <c r="G64">
        <v>1</v>
      </c>
      <c r="H64">
        <v>0</v>
      </c>
      <c r="I64">
        <v>0</v>
      </c>
      <c r="J64">
        <v>55</v>
      </c>
      <c r="K64">
        <v>2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54</v>
      </c>
      <c r="S64">
        <v>3</v>
      </c>
      <c r="T64">
        <v>0</v>
      </c>
      <c r="U64">
        <v>0</v>
      </c>
      <c r="V64" t="s">
        <v>7</v>
      </c>
      <c r="W64">
        <v>56</v>
      </c>
      <c r="X64">
        <v>1</v>
      </c>
      <c r="Y64">
        <v>0</v>
      </c>
      <c r="Z64">
        <v>0</v>
      </c>
      <c r="AA64">
        <v>56</v>
      </c>
      <c r="AB64">
        <v>1</v>
      </c>
      <c r="AC64">
        <v>0</v>
      </c>
      <c r="AD64">
        <v>0</v>
      </c>
      <c r="AE64">
        <v>55</v>
      </c>
      <c r="AF64">
        <v>2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54</v>
      </c>
      <c r="AN64">
        <v>3</v>
      </c>
      <c r="AO64">
        <v>0</v>
      </c>
      <c r="AP64">
        <v>0</v>
      </c>
      <c r="AQ64" t="s">
        <v>7</v>
      </c>
      <c r="AR64">
        <v>56</v>
      </c>
      <c r="AS64">
        <v>1</v>
      </c>
      <c r="AT64">
        <v>0</v>
      </c>
      <c r="AU64">
        <v>0</v>
      </c>
      <c r="AV64">
        <v>56</v>
      </c>
      <c r="AW64">
        <v>1</v>
      </c>
      <c r="AX64">
        <v>0</v>
      </c>
      <c r="AY64">
        <v>0</v>
      </c>
      <c r="AZ64">
        <v>57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57</v>
      </c>
      <c r="BI64">
        <v>0</v>
      </c>
      <c r="BJ64">
        <v>0</v>
      </c>
      <c r="BK64">
        <v>0</v>
      </c>
    </row>
    <row r="65" spans="1:63">
      <c r="A65" t="s">
        <v>46</v>
      </c>
      <c r="B65">
        <v>26</v>
      </c>
      <c r="C65">
        <v>1</v>
      </c>
      <c r="D65">
        <v>0</v>
      </c>
      <c r="E65">
        <v>0</v>
      </c>
      <c r="F65">
        <v>26</v>
      </c>
      <c r="G65">
        <v>1</v>
      </c>
      <c r="H65">
        <v>0</v>
      </c>
      <c r="I65">
        <v>0</v>
      </c>
      <c r="J65">
        <v>25</v>
      </c>
      <c r="K65">
        <v>2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24</v>
      </c>
      <c r="S65">
        <v>3</v>
      </c>
      <c r="T65">
        <v>0</v>
      </c>
      <c r="U65">
        <v>0</v>
      </c>
      <c r="V65" t="s">
        <v>46</v>
      </c>
      <c r="W65">
        <v>26</v>
      </c>
      <c r="X65">
        <v>1</v>
      </c>
      <c r="Y65">
        <v>0</v>
      </c>
      <c r="Z65">
        <v>0</v>
      </c>
      <c r="AA65">
        <v>26</v>
      </c>
      <c r="AB65">
        <v>1</v>
      </c>
      <c r="AC65">
        <v>0</v>
      </c>
      <c r="AD65">
        <v>0</v>
      </c>
      <c r="AE65">
        <v>25</v>
      </c>
      <c r="AF65">
        <v>2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24</v>
      </c>
      <c r="AN65">
        <v>3</v>
      </c>
      <c r="AO65">
        <v>0</v>
      </c>
      <c r="AP65">
        <v>0</v>
      </c>
      <c r="AQ65" t="s">
        <v>46</v>
      </c>
      <c r="AR65">
        <v>26</v>
      </c>
      <c r="AS65">
        <v>1</v>
      </c>
      <c r="AT65">
        <v>0</v>
      </c>
      <c r="AU65">
        <v>0</v>
      </c>
      <c r="AV65">
        <v>26</v>
      </c>
      <c r="AW65">
        <v>1</v>
      </c>
      <c r="AX65">
        <v>0</v>
      </c>
      <c r="AY65">
        <v>0</v>
      </c>
      <c r="AZ65">
        <v>27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27</v>
      </c>
      <c r="BI65">
        <v>0</v>
      </c>
      <c r="BJ65">
        <v>0</v>
      </c>
      <c r="BK65">
        <v>0</v>
      </c>
    </row>
    <row r="66" spans="1:63">
      <c r="A66" t="s">
        <v>99</v>
      </c>
      <c r="B66">
        <v>175</v>
      </c>
      <c r="C66">
        <v>0</v>
      </c>
      <c r="D66">
        <v>0</v>
      </c>
      <c r="E66">
        <v>0</v>
      </c>
      <c r="F66">
        <v>175</v>
      </c>
      <c r="G66">
        <v>0</v>
      </c>
      <c r="H66">
        <v>0</v>
      </c>
      <c r="I66">
        <v>0</v>
      </c>
      <c r="J66">
        <v>175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175</v>
      </c>
      <c r="S66">
        <v>0</v>
      </c>
      <c r="T66">
        <v>0</v>
      </c>
      <c r="U66">
        <v>0</v>
      </c>
      <c r="V66" t="s">
        <v>99</v>
      </c>
      <c r="W66">
        <v>175</v>
      </c>
      <c r="X66">
        <v>0</v>
      </c>
      <c r="Y66">
        <v>0</v>
      </c>
      <c r="Z66">
        <v>0</v>
      </c>
      <c r="AA66">
        <v>175</v>
      </c>
      <c r="AB66">
        <v>0</v>
      </c>
      <c r="AC66">
        <v>0</v>
      </c>
      <c r="AD66">
        <v>0</v>
      </c>
      <c r="AE66">
        <v>175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175</v>
      </c>
      <c r="AN66">
        <v>0</v>
      </c>
      <c r="AO66">
        <v>0</v>
      </c>
      <c r="AP66">
        <v>0</v>
      </c>
      <c r="AQ66" t="s">
        <v>99</v>
      </c>
      <c r="AR66">
        <v>175</v>
      </c>
      <c r="AS66">
        <v>0</v>
      </c>
      <c r="AT66">
        <v>0</v>
      </c>
      <c r="AU66">
        <v>0</v>
      </c>
      <c r="AV66">
        <v>175</v>
      </c>
      <c r="AW66">
        <v>0</v>
      </c>
      <c r="AX66">
        <v>0</v>
      </c>
      <c r="AY66">
        <v>0</v>
      </c>
      <c r="AZ66">
        <v>175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175</v>
      </c>
      <c r="BI66">
        <v>0</v>
      </c>
      <c r="BJ66">
        <v>0</v>
      </c>
      <c r="BK66">
        <v>0</v>
      </c>
    </row>
    <row r="67" spans="1:63">
      <c r="A67" t="s">
        <v>96</v>
      </c>
      <c r="B67">
        <v>272</v>
      </c>
      <c r="C67">
        <v>0</v>
      </c>
      <c r="D67">
        <v>0</v>
      </c>
      <c r="E67">
        <v>0</v>
      </c>
      <c r="F67">
        <v>272</v>
      </c>
      <c r="G67">
        <v>0</v>
      </c>
      <c r="H67">
        <v>0</v>
      </c>
      <c r="I67">
        <v>0</v>
      </c>
      <c r="J67">
        <v>266</v>
      </c>
      <c r="K67">
        <v>6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266</v>
      </c>
      <c r="S67">
        <v>6</v>
      </c>
      <c r="T67">
        <v>0</v>
      </c>
      <c r="U67">
        <v>0</v>
      </c>
      <c r="V67" t="s">
        <v>96</v>
      </c>
      <c r="W67">
        <v>272</v>
      </c>
      <c r="X67">
        <v>0</v>
      </c>
      <c r="Y67">
        <v>0</v>
      </c>
      <c r="Z67">
        <v>0</v>
      </c>
      <c r="AA67">
        <v>272</v>
      </c>
      <c r="AB67">
        <v>0</v>
      </c>
      <c r="AC67">
        <v>0</v>
      </c>
      <c r="AD67">
        <v>0</v>
      </c>
      <c r="AE67">
        <v>266</v>
      </c>
      <c r="AF67">
        <v>6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266</v>
      </c>
      <c r="AN67">
        <v>6</v>
      </c>
      <c r="AO67">
        <v>0</v>
      </c>
      <c r="AP67">
        <v>0</v>
      </c>
      <c r="AQ67" t="s">
        <v>96</v>
      </c>
      <c r="AR67">
        <v>272</v>
      </c>
      <c r="AS67">
        <v>0</v>
      </c>
      <c r="AT67">
        <v>0</v>
      </c>
      <c r="AU67">
        <v>0</v>
      </c>
      <c r="AV67">
        <v>272</v>
      </c>
      <c r="AW67">
        <v>0</v>
      </c>
      <c r="AX67">
        <v>0</v>
      </c>
      <c r="AY67">
        <v>0</v>
      </c>
      <c r="AZ67">
        <v>272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272</v>
      </c>
      <c r="BI67">
        <v>0</v>
      </c>
      <c r="BJ67">
        <v>0</v>
      </c>
      <c r="BK67">
        <v>0</v>
      </c>
    </row>
    <row r="68" spans="1:63">
      <c r="A68" t="s">
        <v>13</v>
      </c>
      <c r="B68">
        <v>22</v>
      </c>
      <c r="C68">
        <v>0</v>
      </c>
      <c r="D68">
        <v>0</v>
      </c>
      <c r="E68">
        <v>0</v>
      </c>
      <c r="F68">
        <v>22</v>
      </c>
      <c r="G68">
        <v>0</v>
      </c>
      <c r="H68">
        <v>0</v>
      </c>
      <c r="I68">
        <v>0</v>
      </c>
      <c r="J68">
        <v>22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22</v>
      </c>
      <c r="S68">
        <v>0</v>
      </c>
      <c r="T68">
        <v>0</v>
      </c>
      <c r="U68">
        <v>0</v>
      </c>
      <c r="V68" t="s">
        <v>13</v>
      </c>
      <c r="W68">
        <v>22</v>
      </c>
      <c r="X68">
        <v>0</v>
      </c>
      <c r="Y68">
        <v>0</v>
      </c>
      <c r="Z68">
        <v>0</v>
      </c>
      <c r="AA68">
        <v>22</v>
      </c>
      <c r="AB68">
        <v>0</v>
      </c>
      <c r="AC68">
        <v>0</v>
      </c>
      <c r="AD68">
        <v>0</v>
      </c>
      <c r="AE68">
        <v>22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22</v>
      </c>
      <c r="AN68">
        <v>0</v>
      </c>
      <c r="AO68">
        <v>0</v>
      </c>
      <c r="AP68">
        <v>0</v>
      </c>
      <c r="AQ68" t="s">
        <v>13</v>
      </c>
      <c r="AR68">
        <v>22</v>
      </c>
      <c r="AS68">
        <v>0</v>
      </c>
      <c r="AT68">
        <v>0</v>
      </c>
      <c r="AU68">
        <v>0</v>
      </c>
      <c r="AV68">
        <v>22</v>
      </c>
      <c r="AW68">
        <v>0</v>
      </c>
      <c r="AX68">
        <v>0</v>
      </c>
      <c r="AY68">
        <v>0</v>
      </c>
      <c r="AZ68">
        <v>22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22</v>
      </c>
      <c r="BI68">
        <v>0</v>
      </c>
      <c r="BJ68">
        <v>0</v>
      </c>
      <c r="BK68">
        <v>0</v>
      </c>
    </row>
    <row r="69" spans="1:63">
      <c r="A69" t="s">
        <v>93</v>
      </c>
      <c r="B69">
        <v>21</v>
      </c>
      <c r="C69">
        <v>0</v>
      </c>
      <c r="D69">
        <v>0</v>
      </c>
      <c r="E69">
        <v>0</v>
      </c>
      <c r="F69">
        <v>21</v>
      </c>
      <c r="G69">
        <v>0</v>
      </c>
      <c r="H69">
        <v>0</v>
      </c>
      <c r="I69">
        <v>0</v>
      </c>
      <c r="J69">
        <v>21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21</v>
      </c>
      <c r="S69">
        <v>0</v>
      </c>
      <c r="T69">
        <v>0</v>
      </c>
      <c r="U69">
        <v>0</v>
      </c>
      <c r="V69" t="s">
        <v>93</v>
      </c>
      <c r="W69">
        <v>21</v>
      </c>
      <c r="X69">
        <v>0</v>
      </c>
      <c r="Y69">
        <v>0</v>
      </c>
      <c r="Z69">
        <v>0</v>
      </c>
      <c r="AA69">
        <v>21</v>
      </c>
      <c r="AB69">
        <v>0</v>
      </c>
      <c r="AC69">
        <v>0</v>
      </c>
      <c r="AD69">
        <v>0</v>
      </c>
      <c r="AE69">
        <v>21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21</v>
      </c>
      <c r="AN69">
        <v>0</v>
      </c>
      <c r="AO69">
        <v>0</v>
      </c>
      <c r="AP69">
        <v>0</v>
      </c>
      <c r="AQ69" t="s">
        <v>93</v>
      </c>
      <c r="AR69">
        <v>21</v>
      </c>
      <c r="AS69">
        <v>0</v>
      </c>
      <c r="AT69">
        <v>0</v>
      </c>
      <c r="AU69">
        <v>0</v>
      </c>
      <c r="AV69">
        <v>21</v>
      </c>
      <c r="AW69">
        <v>0</v>
      </c>
      <c r="AX69">
        <v>0</v>
      </c>
      <c r="AY69">
        <v>0</v>
      </c>
      <c r="AZ69">
        <v>21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21</v>
      </c>
      <c r="BI69">
        <v>0</v>
      </c>
      <c r="BJ69">
        <v>0</v>
      </c>
      <c r="BK69">
        <v>0</v>
      </c>
    </row>
    <row r="70" spans="1:63">
      <c r="A70" t="s">
        <v>48</v>
      </c>
      <c r="B70">
        <v>120</v>
      </c>
      <c r="C70">
        <v>0</v>
      </c>
      <c r="D70">
        <v>0</v>
      </c>
      <c r="E70">
        <v>0</v>
      </c>
      <c r="F70">
        <v>120</v>
      </c>
      <c r="G70">
        <v>0</v>
      </c>
      <c r="H70">
        <v>0</v>
      </c>
      <c r="I70">
        <v>0</v>
      </c>
      <c r="J70">
        <v>119</v>
      </c>
      <c r="K70">
        <v>1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119</v>
      </c>
      <c r="S70">
        <v>1</v>
      </c>
      <c r="T70">
        <v>0</v>
      </c>
      <c r="U70">
        <v>0</v>
      </c>
      <c r="V70" t="s">
        <v>48</v>
      </c>
      <c r="W70">
        <v>120</v>
      </c>
      <c r="X70">
        <v>0</v>
      </c>
      <c r="Y70">
        <v>0</v>
      </c>
      <c r="Z70">
        <v>0</v>
      </c>
      <c r="AA70">
        <v>120</v>
      </c>
      <c r="AB70">
        <v>0</v>
      </c>
      <c r="AC70">
        <v>0</v>
      </c>
      <c r="AD70">
        <v>0</v>
      </c>
      <c r="AE70">
        <v>119</v>
      </c>
      <c r="AF70">
        <v>1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119</v>
      </c>
      <c r="AN70">
        <v>1</v>
      </c>
      <c r="AO70">
        <v>0</v>
      </c>
      <c r="AP70">
        <v>0</v>
      </c>
      <c r="AQ70" t="s">
        <v>48</v>
      </c>
      <c r="AR70">
        <v>120</v>
      </c>
      <c r="AS70">
        <v>0</v>
      </c>
      <c r="AT70">
        <v>0</v>
      </c>
      <c r="AU70">
        <v>0</v>
      </c>
      <c r="AV70">
        <v>120</v>
      </c>
      <c r="AW70">
        <v>0</v>
      </c>
      <c r="AX70">
        <v>0</v>
      </c>
      <c r="AY70">
        <v>0</v>
      </c>
      <c r="AZ70">
        <v>120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120</v>
      </c>
      <c r="BI70">
        <v>0</v>
      </c>
      <c r="BJ70">
        <v>0</v>
      </c>
      <c r="BK70">
        <v>0</v>
      </c>
    </row>
    <row r="71" spans="1:63">
      <c r="A71" t="s">
        <v>103</v>
      </c>
      <c r="B71">
        <v>162</v>
      </c>
      <c r="C71">
        <v>0</v>
      </c>
      <c r="D71">
        <v>0</v>
      </c>
      <c r="E71">
        <v>0</v>
      </c>
      <c r="F71">
        <v>162</v>
      </c>
      <c r="G71">
        <v>0</v>
      </c>
      <c r="H71">
        <v>0</v>
      </c>
      <c r="I71">
        <v>0</v>
      </c>
      <c r="J71">
        <v>161</v>
      </c>
      <c r="K71">
        <v>1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161</v>
      </c>
      <c r="S71">
        <v>1</v>
      </c>
      <c r="T71">
        <v>0</v>
      </c>
      <c r="U71">
        <v>0</v>
      </c>
      <c r="V71" t="s">
        <v>103</v>
      </c>
      <c r="W71">
        <v>162</v>
      </c>
      <c r="X71">
        <v>0</v>
      </c>
      <c r="Y71">
        <v>0</v>
      </c>
      <c r="Z71">
        <v>0</v>
      </c>
      <c r="AA71">
        <v>162</v>
      </c>
      <c r="AB71">
        <v>0</v>
      </c>
      <c r="AC71">
        <v>0</v>
      </c>
      <c r="AD71">
        <v>0</v>
      </c>
      <c r="AE71">
        <v>161</v>
      </c>
      <c r="AF71">
        <v>1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161</v>
      </c>
      <c r="AN71">
        <v>1</v>
      </c>
      <c r="AO71">
        <v>0</v>
      </c>
      <c r="AP71">
        <v>0</v>
      </c>
      <c r="AQ71" t="s">
        <v>103</v>
      </c>
      <c r="AR71">
        <v>162</v>
      </c>
      <c r="AS71">
        <v>0</v>
      </c>
      <c r="AT71">
        <v>0</v>
      </c>
      <c r="AU71">
        <v>0</v>
      </c>
      <c r="AV71">
        <v>162</v>
      </c>
      <c r="AW71">
        <v>0</v>
      </c>
      <c r="AX71">
        <v>0</v>
      </c>
      <c r="AY71">
        <v>0</v>
      </c>
      <c r="AZ71">
        <v>162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162</v>
      </c>
      <c r="BI71">
        <v>0</v>
      </c>
      <c r="BJ71">
        <v>0</v>
      </c>
      <c r="BK71">
        <v>0</v>
      </c>
    </row>
    <row r="72" spans="1:63">
      <c r="A72" t="s">
        <v>31</v>
      </c>
      <c r="B72">
        <v>258</v>
      </c>
      <c r="C72">
        <v>0</v>
      </c>
      <c r="D72">
        <v>0</v>
      </c>
      <c r="E72">
        <v>0</v>
      </c>
      <c r="F72">
        <v>258</v>
      </c>
      <c r="G72">
        <v>0</v>
      </c>
      <c r="H72">
        <v>0</v>
      </c>
      <c r="I72">
        <v>0</v>
      </c>
      <c r="J72">
        <v>257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257</v>
      </c>
      <c r="S72">
        <v>1</v>
      </c>
      <c r="T72">
        <v>0</v>
      </c>
      <c r="U72">
        <v>0</v>
      </c>
      <c r="V72" t="s">
        <v>31</v>
      </c>
      <c r="W72">
        <v>258</v>
      </c>
      <c r="X72">
        <v>0</v>
      </c>
      <c r="Y72">
        <v>0</v>
      </c>
      <c r="Z72">
        <v>0</v>
      </c>
      <c r="AA72">
        <v>258</v>
      </c>
      <c r="AB72">
        <v>0</v>
      </c>
      <c r="AC72">
        <v>0</v>
      </c>
      <c r="AD72">
        <v>0</v>
      </c>
      <c r="AE72">
        <v>257</v>
      </c>
      <c r="AF72">
        <v>1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257</v>
      </c>
      <c r="AN72">
        <v>1</v>
      </c>
      <c r="AO72">
        <v>0</v>
      </c>
      <c r="AP72">
        <v>0</v>
      </c>
      <c r="AQ72" t="s">
        <v>31</v>
      </c>
      <c r="AR72">
        <v>258</v>
      </c>
      <c r="AS72">
        <v>0</v>
      </c>
      <c r="AT72">
        <v>0</v>
      </c>
      <c r="AU72">
        <v>0</v>
      </c>
      <c r="AV72">
        <v>258</v>
      </c>
      <c r="AW72">
        <v>0</v>
      </c>
      <c r="AX72">
        <v>0</v>
      </c>
      <c r="AY72">
        <v>0</v>
      </c>
      <c r="AZ72">
        <v>258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258</v>
      </c>
      <c r="BI72">
        <v>0</v>
      </c>
      <c r="BJ72">
        <v>0</v>
      </c>
      <c r="BK72">
        <v>0</v>
      </c>
    </row>
    <row r="73" spans="1:63">
      <c r="A73" t="s">
        <v>33</v>
      </c>
      <c r="B73">
        <v>296</v>
      </c>
      <c r="C73">
        <v>18</v>
      </c>
      <c r="D73">
        <v>0</v>
      </c>
      <c r="E73">
        <v>0</v>
      </c>
      <c r="F73">
        <v>296</v>
      </c>
      <c r="G73">
        <v>18</v>
      </c>
      <c r="H73">
        <v>0</v>
      </c>
      <c r="I73">
        <v>0</v>
      </c>
      <c r="J73">
        <v>314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312</v>
      </c>
      <c r="S73">
        <v>2</v>
      </c>
      <c r="T73">
        <v>0</v>
      </c>
      <c r="U73">
        <v>0</v>
      </c>
      <c r="V73" t="s">
        <v>33</v>
      </c>
      <c r="W73">
        <v>296</v>
      </c>
      <c r="X73">
        <v>18</v>
      </c>
      <c r="Y73">
        <v>0</v>
      </c>
      <c r="Z73">
        <v>0</v>
      </c>
      <c r="AA73">
        <v>296</v>
      </c>
      <c r="AB73">
        <v>18</v>
      </c>
      <c r="AC73">
        <v>0</v>
      </c>
      <c r="AD73">
        <v>0</v>
      </c>
      <c r="AE73">
        <v>314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312</v>
      </c>
      <c r="AN73">
        <v>2</v>
      </c>
      <c r="AO73">
        <v>0</v>
      </c>
      <c r="AP73">
        <v>0</v>
      </c>
      <c r="AQ73" t="s">
        <v>33</v>
      </c>
      <c r="AR73">
        <v>296</v>
      </c>
      <c r="AS73">
        <v>18</v>
      </c>
      <c r="AT73">
        <v>0</v>
      </c>
      <c r="AU73">
        <v>0</v>
      </c>
      <c r="AV73">
        <v>296</v>
      </c>
      <c r="AW73">
        <v>18</v>
      </c>
      <c r="AX73">
        <v>0</v>
      </c>
      <c r="AY73">
        <v>0</v>
      </c>
      <c r="AZ73">
        <v>314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314</v>
      </c>
      <c r="BI73">
        <v>0</v>
      </c>
      <c r="BJ73">
        <v>0</v>
      </c>
      <c r="BK73">
        <v>0</v>
      </c>
    </row>
    <row r="74" spans="1:63">
      <c r="A74" t="s">
        <v>75</v>
      </c>
      <c r="B74">
        <v>300</v>
      </c>
      <c r="C74">
        <v>12</v>
      </c>
      <c r="D74">
        <v>0</v>
      </c>
      <c r="E74">
        <v>0</v>
      </c>
      <c r="F74">
        <v>300</v>
      </c>
      <c r="G74">
        <v>12</v>
      </c>
      <c r="H74">
        <v>0</v>
      </c>
      <c r="I74">
        <v>0</v>
      </c>
      <c r="J74">
        <v>312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303</v>
      </c>
      <c r="S74">
        <v>9</v>
      </c>
      <c r="T74">
        <v>0</v>
      </c>
      <c r="U74">
        <v>0</v>
      </c>
      <c r="V74" t="s">
        <v>75</v>
      </c>
      <c r="W74">
        <v>300</v>
      </c>
      <c r="X74">
        <v>12</v>
      </c>
      <c r="Y74">
        <v>0</v>
      </c>
      <c r="Z74">
        <v>0</v>
      </c>
      <c r="AA74">
        <v>300</v>
      </c>
      <c r="AB74">
        <v>12</v>
      </c>
      <c r="AC74">
        <v>0</v>
      </c>
      <c r="AD74">
        <v>0</v>
      </c>
      <c r="AE74">
        <v>312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303</v>
      </c>
      <c r="AN74">
        <v>9</v>
      </c>
      <c r="AO74">
        <v>0</v>
      </c>
      <c r="AP74">
        <v>0</v>
      </c>
      <c r="AQ74" t="s">
        <v>75</v>
      </c>
      <c r="AR74">
        <v>300</v>
      </c>
      <c r="AS74">
        <v>12</v>
      </c>
      <c r="AT74">
        <v>0</v>
      </c>
      <c r="AU74">
        <v>0</v>
      </c>
      <c r="AV74">
        <v>300</v>
      </c>
      <c r="AW74">
        <v>12</v>
      </c>
      <c r="AX74">
        <v>0</v>
      </c>
      <c r="AY74">
        <v>0</v>
      </c>
      <c r="AZ74">
        <v>312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312</v>
      </c>
      <c r="BI74">
        <v>0</v>
      </c>
      <c r="BJ74">
        <v>0</v>
      </c>
      <c r="BK74">
        <v>0</v>
      </c>
    </row>
    <row r="75" spans="1:63">
      <c r="A75" t="s">
        <v>23</v>
      </c>
      <c r="B75">
        <v>89</v>
      </c>
      <c r="C75">
        <v>12</v>
      </c>
      <c r="D75">
        <v>0</v>
      </c>
      <c r="E75">
        <v>0</v>
      </c>
      <c r="F75">
        <v>89</v>
      </c>
      <c r="G75">
        <v>12</v>
      </c>
      <c r="H75">
        <v>0</v>
      </c>
      <c r="I75">
        <v>0</v>
      </c>
      <c r="J75">
        <v>240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101</v>
      </c>
      <c r="S75">
        <v>0</v>
      </c>
      <c r="T75">
        <v>0</v>
      </c>
      <c r="U75">
        <v>0</v>
      </c>
      <c r="V75" t="s">
        <v>23</v>
      </c>
      <c r="W75">
        <v>89</v>
      </c>
      <c r="X75">
        <v>12</v>
      </c>
      <c r="Y75">
        <v>0</v>
      </c>
      <c r="Z75">
        <v>0</v>
      </c>
      <c r="AA75">
        <v>89</v>
      </c>
      <c r="AB75">
        <v>12</v>
      </c>
      <c r="AC75">
        <v>0</v>
      </c>
      <c r="AD75">
        <v>0</v>
      </c>
      <c r="AE75">
        <v>240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101</v>
      </c>
      <c r="AN75">
        <v>0</v>
      </c>
      <c r="AO75">
        <v>0</v>
      </c>
      <c r="AP75">
        <v>0</v>
      </c>
      <c r="AQ75" t="s">
        <v>23</v>
      </c>
      <c r="AR75">
        <v>89</v>
      </c>
      <c r="AS75">
        <v>12</v>
      </c>
      <c r="AT75">
        <v>0</v>
      </c>
      <c r="AU75">
        <v>0</v>
      </c>
      <c r="AV75">
        <v>89</v>
      </c>
      <c r="AW75">
        <v>12</v>
      </c>
      <c r="AX75">
        <v>0</v>
      </c>
      <c r="AY75">
        <v>0</v>
      </c>
      <c r="AZ75">
        <v>240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101</v>
      </c>
      <c r="BI75">
        <v>0</v>
      </c>
      <c r="BJ75">
        <v>0</v>
      </c>
      <c r="BK75">
        <v>0</v>
      </c>
    </row>
    <row r="76" spans="1:63">
      <c r="A76" t="s">
        <v>102</v>
      </c>
      <c r="B76">
        <v>62</v>
      </c>
      <c r="C76">
        <v>8</v>
      </c>
      <c r="D76">
        <v>0</v>
      </c>
      <c r="E76">
        <v>0</v>
      </c>
      <c r="F76">
        <v>62</v>
      </c>
      <c r="G76">
        <v>8</v>
      </c>
      <c r="H76">
        <v>0</v>
      </c>
      <c r="I76">
        <v>0</v>
      </c>
      <c r="J76">
        <v>66</v>
      </c>
      <c r="K76">
        <v>4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63</v>
      </c>
      <c r="S76">
        <v>7</v>
      </c>
      <c r="T76">
        <v>0</v>
      </c>
      <c r="U76">
        <v>0</v>
      </c>
      <c r="V76" t="s">
        <v>102</v>
      </c>
      <c r="W76">
        <v>62</v>
      </c>
      <c r="X76">
        <v>8</v>
      </c>
      <c r="Y76">
        <v>0</v>
      </c>
      <c r="Z76">
        <v>0</v>
      </c>
      <c r="AA76">
        <v>62</v>
      </c>
      <c r="AB76">
        <v>8</v>
      </c>
      <c r="AC76">
        <v>0</v>
      </c>
      <c r="AD76">
        <v>0</v>
      </c>
      <c r="AE76">
        <v>66</v>
      </c>
      <c r="AF76">
        <v>4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63</v>
      </c>
      <c r="AN76">
        <v>7</v>
      </c>
      <c r="AO76">
        <v>0</v>
      </c>
      <c r="AP76">
        <v>0</v>
      </c>
      <c r="AQ76" t="s">
        <v>102</v>
      </c>
      <c r="AR76">
        <v>62</v>
      </c>
      <c r="AS76">
        <v>8</v>
      </c>
      <c r="AT76">
        <v>0</v>
      </c>
      <c r="AU76">
        <v>0</v>
      </c>
      <c r="AV76">
        <v>62</v>
      </c>
      <c r="AW76">
        <v>8</v>
      </c>
      <c r="AX76">
        <v>0</v>
      </c>
      <c r="AY76">
        <v>0</v>
      </c>
      <c r="AZ76">
        <v>70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70</v>
      </c>
      <c r="BI76">
        <v>0</v>
      </c>
      <c r="BJ76">
        <v>0</v>
      </c>
      <c r="BK76">
        <v>0</v>
      </c>
    </row>
    <row r="77" spans="1:63">
      <c r="A77" t="s">
        <v>67</v>
      </c>
      <c r="B77">
        <v>147</v>
      </c>
      <c r="C77">
        <v>0</v>
      </c>
      <c r="D77">
        <v>0</v>
      </c>
      <c r="E77">
        <v>0</v>
      </c>
      <c r="F77">
        <v>147</v>
      </c>
      <c r="G77">
        <v>0</v>
      </c>
      <c r="H77">
        <v>0</v>
      </c>
      <c r="I77">
        <v>0</v>
      </c>
      <c r="J77">
        <v>147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147</v>
      </c>
      <c r="S77">
        <v>0</v>
      </c>
      <c r="T77">
        <v>0</v>
      </c>
      <c r="U77">
        <v>0</v>
      </c>
      <c r="V77" t="s">
        <v>67</v>
      </c>
      <c r="W77">
        <v>147</v>
      </c>
      <c r="X77">
        <v>0</v>
      </c>
      <c r="Y77">
        <v>0</v>
      </c>
      <c r="Z77">
        <v>0</v>
      </c>
      <c r="AA77">
        <v>147</v>
      </c>
      <c r="AB77">
        <v>0</v>
      </c>
      <c r="AC77">
        <v>0</v>
      </c>
      <c r="AD77">
        <v>0</v>
      </c>
      <c r="AE77">
        <v>147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147</v>
      </c>
      <c r="AN77">
        <v>0</v>
      </c>
      <c r="AO77">
        <v>0</v>
      </c>
      <c r="AP77">
        <v>0</v>
      </c>
      <c r="AQ77" t="s">
        <v>67</v>
      </c>
      <c r="AR77">
        <v>147</v>
      </c>
      <c r="AS77">
        <v>0</v>
      </c>
      <c r="AT77">
        <v>0</v>
      </c>
      <c r="AU77">
        <v>0</v>
      </c>
      <c r="AV77">
        <v>147</v>
      </c>
      <c r="AW77">
        <v>0</v>
      </c>
      <c r="AX77">
        <v>0</v>
      </c>
      <c r="AY77">
        <v>0</v>
      </c>
      <c r="AZ77">
        <v>147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147</v>
      </c>
      <c r="BI77">
        <v>0</v>
      </c>
      <c r="BJ77">
        <v>0</v>
      </c>
      <c r="BK77">
        <v>0</v>
      </c>
    </row>
    <row r="78" spans="1:63">
      <c r="A78" t="s">
        <v>52</v>
      </c>
      <c r="B78">
        <v>94</v>
      </c>
      <c r="C78">
        <v>19</v>
      </c>
      <c r="D78">
        <v>0</v>
      </c>
      <c r="E78">
        <v>0</v>
      </c>
      <c r="F78">
        <v>94</v>
      </c>
      <c r="G78">
        <v>19</v>
      </c>
      <c r="H78">
        <v>0</v>
      </c>
      <c r="I78">
        <v>0</v>
      </c>
      <c r="J78">
        <v>113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113</v>
      </c>
      <c r="S78">
        <v>0</v>
      </c>
      <c r="T78">
        <v>0</v>
      </c>
      <c r="U78">
        <v>0</v>
      </c>
      <c r="V78" t="s">
        <v>52</v>
      </c>
      <c r="W78">
        <v>94</v>
      </c>
      <c r="X78">
        <v>19</v>
      </c>
      <c r="Y78">
        <v>0</v>
      </c>
      <c r="Z78">
        <v>0</v>
      </c>
      <c r="AA78">
        <v>94</v>
      </c>
      <c r="AB78">
        <v>19</v>
      </c>
      <c r="AC78">
        <v>0</v>
      </c>
      <c r="AD78">
        <v>0</v>
      </c>
      <c r="AE78">
        <v>113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113</v>
      </c>
      <c r="AN78">
        <v>0</v>
      </c>
      <c r="AO78">
        <v>0</v>
      </c>
      <c r="AP78">
        <v>0</v>
      </c>
      <c r="AQ78" t="s">
        <v>52</v>
      </c>
      <c r="AR78">
        <v>94</v>
      </c>
      <c r="AS78">
        <v>19</v>
      </c>
      <c r="AT78">
        <v>0</v>
      </c>
      <c r="AU78">
        <v>0</v>
      </c>
      <c r="AV78">
        <v>94</v>
      </c>
      <c r="AW78">
        <v>19</v>
      </c>
      <c r="AX78">
        <v>0</v>
      </c>
      <c r="AY78">
        <v>0</v>
      </c>
      <c r="AZ78">
        <v>113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113</v>
      </c>
      <c r="BI78">
        <v>0</v>
      </c>
      <c r="BJ78">
        <v>0</v>
      </c>
      <c r="BK78">
        <v>0</v>
      </c>
    </row>
    <row r="79" spans="1:63">
      <c r="A79" t="s">
        <v>74</v>
      </c>
      <c r="B79">
        <v>13</v>
      </c>
      <c r="C79">
        <v>6</v>
      </c>
      <c r="D79">
        <v>0</v>
      </c>
      <c r="E79">
        <v>0</v>
      </c>
      <c r="F79">
        <v>13</v>
      </c>
      <c r="G79">
        <v>6</v>
      </c>
      <c r="H79">
        <v>0</v>
      </c>
      <c r="I79">
        <v>0</v>
      </c>
      <c r="J79">
        <v>17</v>
      </c>
      <c r="K79">
        <v>2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16</v>
      </c>
      <c r="S79">
        <v>3</v>
      </c>
      <c r="T79">
        <v>0</v>
      </c>
      <c r="U79">
        <v>0</v>
      </c>
      <c r="V79" t="s">
        <v>74</v>
      </c>
      <c r="W79">
        <v>13</v>
      </c>
      <c r="X79">
        <v>6</v>
      </c>
      <c r="Y79">
        <v>0</v>
      </c>
      <c r="Z79">
        <v>0</v>
      </c>
      <c r="AA79">
        <v>13</v>
      </c>
      <c r="AB79">
        <v>6</v>
      </c>
      <c r="AC79">
        <v>0</v>
      </c>
      <c r="AD79">
        <v>0</v>
      </c>
      <c r="AE79">
        <v>17</v>
      </c>
      <c r="AF79">
        <v>2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16</v>
      </c>
      <c r="AN79">
        <v>3</v>
      </c>
      <c r="AO79">
        <v>0</v>
      </c>
      <c r="AP79">
        <v>0</v>
      </c>
      <c r="AQ79" t="s">
        <v>74</v>
      </c>
      <c r="AR79">
        <v>13</v>
      </c>
      <c r="AS79">
        <v>6</v>
      </c>
      <c r="AT79">
        <v>0</v>
      </c>
      <c r="AU79">
        <v>0</v>
      </c>
      <c r="AV79">
        <v>13</v>
      </c>
      <c r="AW79">
        <v>6</v>
      </c>
      <c r="AX79">
        <v>0</v>
      </c>
      <c r="AY79">
        <v>0</v>
      </c>
      <c r="AZ79">
        <v>19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19</v>
      </c>
      <c r="BI79">
        <v>0</v>
      </c>
      <c r="BJ79">
        <v>0</v>
      </c>
      <c r="BK79">
        <v>0</v>
      </c>
    </row>
    <row r="80" spans="1:63">
      <c r="A80" t="s">
        <v>1</v>
      </c>
      <c r="B80">
        <v>8</v>
      </c>
      <c r="C80">
        <v>0</v>
      </c>
      <c r="D80">
        <v>0</v>
      </c>
      <c r="E80">
        <v>0</v>
      </c>
      <c r="F80">
        <v>8</v>
      </c>
      <c r="G80">
        <v>0</v>
      </c>
      <c r="H80">
        <v>0</v>
      </c>
      <c r="I80">
        <v>0</v>
      </c>
      <c r="J80">
        <v>9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8</v>
      </c>
      <c r="S80">
        <v>0</v>
      </c>
      <c r="T80">
        <v>0</v>
      </c>
      <c r="U80">
        <v>0</v>
      </c>
      <c r="V80" t="s">
        <v>1</v>
      </c>
      <c r="W80">
        <v>8</v>
      </c>
      <c r="X80">
        <v>0</v>
      </c>
      <c r="Y80">
        <v>0</v>
      </c>
      <c r="Z80">
        <v>0</v>
      </c>
      <c r="AA80">
        <v>8</v>
      </c>
      <c r="AB80">
        <v>0</v>
      </c>
      <c r="AC80">
        <v>0</v>
      </c>
      <c r="AD80">
        <v>0</v>
      </c>
      <c r="AE80">
        <v>9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8</v>
      </c>
      <c r="AN80">
        <v>0</v>
      </c>
      <c r="AO80">
        <v>0</v>
      </c>
      <c r="AP80">
        <v>0</v>
      </c>
      <c r="AQ80" t="s">
        <v>1</v>
      </c>
      <c r="AR80">
        <v>8</v>
      </c>
      <c r="AS80">
        <v>0</v>
      </c>
      <c r="AT80">
        <v>0</v>
      </c>
      <c r="AU80">
        <v>0</v>
      </c>
      <c r="AV80">
        <v>8</v>
      </c>
      <c r="AW80">
        <v>0</v>
      </c>
      <c r="AX80">
        <v>0</v>
      </c>
      <c r="AY80">
        <v>0</v>
      </c>
      <c r="AZ80">
        <v>9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8</v>
      </c>
      <c r="BI80">
        <v>0</v>
      </c>
      <c r="BJ80">
        <v>0</v>
      </c>
      <c r="BK80">
        <v>0</v>
      </c>
    </row>
    <row r="81" spans="1:63">
      <c r="A81" t="s">
        <v>0</v>
      </c>
      <c r="B81">
        <v>52</v>
      </c>
      <c r="C81">
        <v>42</v>
      </c>
      <c r="D81">
        <v>0</v>
      </c>
      <c r="E81">
        <v>0</v>
      </c>
      <c r="F81">
        <v>52</v>
      </c>
      <c r="G81">
        <v>42</v>
      </c>
      <c r="H81">
        <v>0</v>
      </c>
      <c r="I81">
        <v>0</v>
      </c>
      <c r="J81">
        <v>94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53</v>
      </c>
      <c r="S81">
        <v>41</v>
      </c>
      <c r="T81">
        <v>0</v>
      </c>
      <c r="U81">
        <v>0</v>
      </c>
      <c r="V81" t="s">
        <v>0</v>
      </c>
      <c r="W81">
        <v>52</v>
      </c>
      <c r="X81">
        <v>42</v>
      </c>
      <c r="Y81">
        <v>0</v>
      </c>
      <c r="Z81">
        <v>0</v>
      </c>
      <c r="AA81">
        <v>52</v>
      </c>
      <c r="AB81">
        <v>42</v>
      </c>
      <c r="AC81">
        <v>0</v>
      </c>
      <c r="AD81">
        <v>0</v>
      </c>
      <c r="AE81">
        <v>94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53</v>
      </c>
      <c r="AN81">
        <v>41</v>
      </c>
      <c r="AO81">
        <v>0</v>
      </c>
      <c r="AP81">
        <v>0</v>
      </c>
      <c r="AQ81" t="s">
        <v>0</v>
      </c>
      <c r="AR81">
        <v>52</v>
      </c>
      <c r="AS81">
        <v>42</v>
      </c>
      <c r="AT81">
        <v>0</v>
      </c>
      <c r="AU81">
        <v>0</v>
      </c>
      <c r="AV81">
        <v>52</v>
      </c>
      <c r="AW81">
        <v>42</v>
      </c>
      <c r="AX81">
        <v>0</v>
      </c>
      <c r="AY81">
        <v>0</v>
      </c>
      <c r="AZ81">
        <v>94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94</v>
      </c>
      <c r="BI81">
        <v>0</v>
      </c>
      <c r="BJ81">
        <v>0</v>
      </c>
      <c r="BK81">
        <v>0</v>
      </c>
    </row>
    <row r="82" spans="1:63">
      <c r="A82" t="s">
        <v>90</v>
      </c>
      <c r="B82">
        <v>5</v>
      </c>
      <c r="C82">
        <v>0</v>
      </c>
      <c r="D82">
        <v>0</v>
      </c>
      <c r="E82">
        <v>0</v>
      </c>
      <c r="F82">
        <v>5</v>
      </c>
      <c r="G82">
        <v>0</v>
      </c>
      <c r="H82">
        <v>0</v>
      </c>
      <c r="I82">
        <v>0</v>
      </c>
      <c r="J82">
        <v>5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5</v>
      </c>
      <c r="S82">
        <v>0</v>
      </c>
      <c r="T82">
        <v>0</v>
      </c>
      <c r="U82">
        <v>0</v>
      </c>
      <c r="V82" t="s">
        <v>90</v>
      </c>
      <c r="W82">
        <v>5</v>
      </c>
      <c r="X82">
        <v>0</v>
      </c>
      <c r="Y82">
        <v>0</v>
      </c>
      <c r="Z82">
        <v>0</v>
      </c>
      <c r="AA82">
        <v>5</v>
      </c>
      <c r="AB82">
        <v>0</v>
      </c>
      <c r="AC82">
        <v>0</v>
      </c>
      <c r="AD82">
        <v>0</v>
      </c>
      <c r="AE82">
        <v>5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5</v>
      </c>
      <c r="AN82">
        <v>0</v>
      </c>
      <c r="AO82">
        <v>0</v>
      </c>
      <c r="AP82">
        <v>0</v>
      </c>
      <c r="AQ82" t="s">
        <v>90</v>
      </c>
      <c r="AR82">
        <v>5</v>
      </c>
      <c r="AS82">
        <v>0</v>
      </c>
      <c r="AT82">
        <v>0</v>
      </c>
      <c r="AU82">
        <v>0</v>
      </c>
      <c r="AV82">
        <v>5</v>
      </c>
      <c r="AW82">
        <v>0</v>
      </c>
      <c r="AX82">
        <v>0</v>
      </c>
      <c r="AY82">
        <v>0</v>
      </c>
      <c r="AZ82">
        <v>5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5</v>
      </c>
      <c r="BI82">
        <v>0</v>
      </c>
      <c r="BJ82">
        <v>0</v>
      </c>
      <c r="BK82">
        <v>0</v>
      </c>
    </row>
    <row r="83" spans="1:63">
      <c r="A83" t="s">
        <v>65</v>
      </c>
      <c r="B83">
        <v>50</v>
      </c>
      <c r="C83">
        <v>0</v>
      </c>
      <c r="D83">
        <v>0</v>
      </c>
      <c r="E83">
        <v>0</v>
      </c>
      <c r="F83">
        <v>50</v>
      </c>
      <c r="G83">
        <v>0</v>
      </c>
      <c r="H83">
        <v>0</v>
      </c>
      <c r="I83">
        <v>0</v>
      </c>
      <c r="J83">
        <v>50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50</v>
      </c>
      <c r="S83">
        <v>0</v>
      </c>
      <c r="T83">
        <v>0</v>
      </c>
      <c r="U83">
        <v>0</v>
      </c>
      <c r="V83" t="s">
        <v>65</v>
      </c>
      <c r="W83">
        <v>50</v>
      </c>
      <c r="X83">
        <v>0</v>
      </c>
      <c r="Y83">
        <v>0</v>
      </c>
      <c r="Z83">
        <v>0</v>
      </c>
      <c r="AA83">
        <v>50</v>
      </c>
      <c r="AB83">
        <v>0</v>
      </c>
      <c r="AC83">
        <v>0</v>
      </c>
      <c r="AD83">
        <v>0</v>
      </c>
      <c r="AE83">
        <v>50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50</v>
      </c>
      <c r="AN83">
        <v>0</v>
      </c>
      <c r="AO83">
        <v>0</v>
      </c>
      <c r="AP83">
        <v>0</v>
      </c>
      <c r="AQ83" t="s">
        <v>65</v>
      </c>
      <c r="AR83">
        <v>50</v>
      </c>
      <c r="AS83">
        <v>0</v>
      </c>
      <c r="AT83">
        <v>0</v>
      </c>
      <c r="AU83">
        <v>0</v>
      </c>
      <c r="AV83">
        <v>50</v>
      </c>
      <c r="AW83">
        <v>0</v>
      </c>
      <c r="AX83">
        <v>0</v>
      </c>
      <c r="AY83">
        <v>0</v>
      </c>
      <c r="AZ83">
        <v>50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50</v>
      </c>
      <c r="BI83">
        <v>0</v>
      </c>
      <c r="BJ83">
        <v>0</v>
      </c>
      <c r="BK83">
        <v>0</v>
      </c>
    </row>
    <row r="84" spans="1:63">
      <c r="A84" t="s">
        <v>86</v>
      </c>
      <c r="B84">
        <v>33</v>
      </c>
      <c r="C84">
        <v>0</v>
      </c>
      <c r="D84">
        <v>0</v>
      </c>
      <c r="E84">
        <v>0</v>
      </c>
      <c r="F84">
        <v>33</v>
      </c>
      <c r="G84">
        <v>0</v>
      </c>
      <c r="H84">
        <v>0</v>
      </c>
      <c r="I84">
        <v>0</v>
      </c>
      <c r="J84">
        <v>33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33</v>
      </c>
      <c r="S84">
        <v>0</v>
      </c>
      <c r="T84">
        <v>0</v>
      </c>
      <c r="U84">
        <v>0</v>
      </c>
      <c r="V84" t="s">
        <v>86</v>
      </c>
      <c r="W84">
        <v>33</v>
      </c>
      <c r="X84">
        <v>0</v>
      </c>
      <c r="Y84">
        <v>0</v>
      </c>
      <c r="Z84">
        <v>0</v>
      </c>
      <c r="AA84">
        <v>33</v>
      </c>
      <c r="AB84">
        <v>0</v>
      </c>
      <c r="AC84">
        <v>0</v>
      </c>
      <c r="AD84">
        <v>0</v>
      </c>
      <c r="AE84">
        <v>33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33</v>
      </c>
      <c r="AN84">
        <v>0</v>
      </c>
      <c r="AO84">
        <v>0</v>
      </c>
      <c r="AP84">
        <v>0</v>
      </c>
      <c r="AQ84" t="s">
        <v>86</v>
      </c>
      <c r="AR84">
        <v>33</v>
      </c>
      <c r="AS84">
        <v>0</v>
      </c>
      <c r="AT84">
        <v>0</v>
      </c>
      <c r="AU84">
        <v>0</v>
      </c>
      <c r="AV84">
        <v>33</v>
      </c>
      <c r="AW84">
        <v>0</v>
      </c>
      <c r="AX84">
        <v>0</v>
      </c>
      <c r="AY84">
        <v>0</v>
      </c>
      <c r="AZ84">
        <v>33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33</v>
      </c>
      <c r="BI84">
        <v>0</v>
      </c>
      <c r="BJ84">
        <v>0</v>
      </c>
      <c r="BK84">
        <v>0</v>
      </c>
    </row>
    <row r="85" spans="1:63">
      <c r="A85" t="s">
        <v>88</v>
      </c>
      <c r="B85">
        <v>55</v>
      </c>
      <c r="C85">
        <v>1</v>
      </c>
      <c r="D85">
        <v>0</v>
      </c>
      <c r="E85">
        <v>0</v>
      </c>
      <c r="F85">
        <v>55</v>
      </c>
      <c r="G85">
        <v>1</v>
      </c>
      <c r="H85">
        <v>0</v>
      </c>
      <c r="I85">
        <v>0</v>
      </c>
      <c r="J85">
        <v>56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56</v>
      </c>
      <c r="S85">
        <v>0</v>
      </c>
      <c r="T85">
        <v>0</v>
      </c>
      <c r="U85">
        <v>0</v>
      </c>
      <c r="V85" t="s">
        <v>88</v>
      </c>
      <c r="W85">
        <v>55</v>
      </c>
      <c r="X85">
        <v>1</v>
      </c>
      <c r="Y85">
        <v>0</v>
      </c>
      <c r="Z85">
        <v>0</v>
      </c>
      <c r="AA85">
        <v>55</v>
      </c>
      <c r="AB85">
        <v>1</v>
      </c>
      <c r="AC85">
        <v>0</v>
      </c>
      <c r="AD85">
        <v>0</v>
      </c>
      <c r="AE85">
        <v>56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56</v>
      </c>
      <c r="AN85">
        <v>0</v>
      </c>
      <c r="AO85">
        <v>0</v>
      </c>
      <c r="AP85">
        <v>0</v>
      </c>
      <c r="AQ85" t="s">
        <v>88</v>
      </c>
      <c r="AR85">
        <v>55</v>
      </c>
      <c r="AS85">
        <v>1</v>
      </c>
      <c r="AT85">
        <v>0</v>
      </c>
      <c r="AU85">
        <v>0</v>
      </c>
      <c r="AV85">
        <v>55</v>
      </c>
      <c r="AW85">
        <v>1</v>
      </c>
      <c r="AX85">
        <v>0</v>
      </c>
      <c r="AY85">
        <v>0</v>
      </c>
      <c r="AZ85">
        <v>56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56</v>
      </c>
      <c r="BI85">
        <v>0</v>
      </c>
      <c r="BJ85">
        <v>0</v>
      </c>
      <c r="BK85">
        <v>0</v>
      </c>
    </row>
    <row r="86" spans="1:63">
      <c r="A86" t="s">
        <v>77</v>
      </c>
      <c r="B86">
        <v>85</v>
      </c>
      <c r="C86">
        <v>3</v>
      </c>
      <c r="D86">
        <v>0</v>
      </c>
      <c r="E86">
        <v>0</v>
      </c>
      <c r="F86">
        <v>85</v>
      </c>
      <c r="G86">
        <v>3</v>
      </c>
      <c r="H86">
        <v>0</v>
      </c>
      <c r="I86">
        <v>0</v>
      </c>
      <c r="J86">
        <v>88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88</v>
      </c>
      <c r="S86">
        <v>0</v>
      </c>
      <c r="T86">
        <v>0</v>
      </c>
      <c r="U86">
        <v>0</v>
      </c>
      <c r="V86" t="s">
        <v>77</v>
      </c>
      <c r="W86">
        <v>85</v>
      </c>
      <c r="X86">
        <v>3</v>
      </c>
      <c r="Y86">
        <v>0</v>
      </c>
      <c r="Z86">
        <v>0</v>
      </c>
      <c r="AA86">
        <v>85</v>
      </c>
      <c r="AB86">
        <v>3</v>
      </c>
      <c r="AC86">
        <v>0</v>
      </c>
      <c r="AD86">
        <v>0</v>
      </c>
      <c r="AE86">
        <v>88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88</v>
      </c>
      <c r="AN86">
        <v>0</v>
      </c>
      <c r="AO86">
        <v>0</v>
      </c>
      <c r="AP86">
        <v>0</v>
      </c>
      <c r="AQ86" t="s">
        <v>77</v>
      </c>
      <c r="AR86">
        <v>85</v>
      </c>
      <c r="AS86">
        <v>3</v>
      </c>
      <c r="AT86">
        <v>0</v>
      </c>
      <c r="AU86">
        <v>0</v>
      </c>
      <c r="AV86">
        <v>85</v>
      </c>
      <c r="AW86">
        <v>3</v>
      </c>
      <c r="AX86">
        <v>0</v>
      </c>
      <c r="AY86">
        <v>0</v>
      </c>
      <c r="AZ86">
        <v>88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88</v>
      </c>
      <c r="BI86">
        <v>0</v>
      </c>
      <c r="BJ86">
        <v>0</v>
      </c>
      <c r="BK86">
        <v>0</v>
      </c>
    </row>
    <row r="87" spans="1:63">
      <c r="A87" t="s">
        <v>17</v>
      </c>
      <c r="B87">
        <v>35</v>
      </c>
      <c r="C87">
        <v>1</v>
      </c>
      <c r="D87">
        <v>0</v>
      </c>
      <c r="E87">
        <v>0</v>
      </c>
      <c r="F87">
        <v>35</v>
      </c>
      <c r="G87">
        <v>1</v>
      </c>
      <c r="H87">
        <v>0</v>
      </c>
      <c r="I87">
        <v>0</v>
      </c>
      <c r="J87">
        <v>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36</v>
      </c>
      <c r="S87">
        <v>0</v>
      </c>
      <c r="T87">
        <v>0</v>
      </c>
      <c r="U87">
        <v>0</v>
      </c>
      <c r="V87" t="s">
        <v>17</v>
      </c>
      <c r="W87">
        <v>35</v>
      </c>
      <c r="X87">
        <v>1</v>
      </c>
      <c r="Y87">
        <v>0</v>
      </c>
      <c r="Z87">
        <v>0</v>
      </c>
      <c r="AA87">
        <v>35</v>
      </c>
      <c r="AB87">
        <v>1</v>
      </c>
      <c r="AC87">
        <v>0</v>
      </c>
      <c r="AD87">
        <v>0</v>
      </c>
      <c r="AE87">
        <v>36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36</v>
      </c>
      <c r="AN87">
        <v>0</v>
      </c>
      <c r="AO87">
        <v>0</v>
      </c>
      <c r="AP87">
        <v>0</v>
      </c>
      <c r="AQ87" t="s">
        <v>17</v>
      </c>
      <c r="AR87">
        <v>35</v>
      </c>
      <c r="AS87">
        <v>1</v>
      </c>
      <c r="AT87">
        <v>0</v>
      </c>
      <c r="AU87">
        <v>0</v>
      </c>
      <c r="AV87">
        <v>35</v>
      </c>
      <c r="AW87">
        <v>1</v>
      </c>
      <c r="AX87">
        <v>0</v>
      </c>
      <c r="AY87">
        <v>0</v>
      </c>
      <c r="AZ87">
        <v>36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36</v>
      </c>
      <c r="BI87">
        <v>0</v>
      </c>
      <c r="BJ87">
        <v>0</v>
      </c>
      <c r="BK87">
        <v>0</v>
      </c>
    </row>
    <row r="88" spans="1:63">
      <c r="A88" t="s">
        <v>35</v>
      </c>
      <c r="B88">
        <v>11</v>
      </c>
      <c r="C88">
        <v>0</v>
      </c>
      <c r="D88">
        <v>0</v>
      </c>
      <c r="E88">
        <v>0</v>
      </c>
      <c r="F88">
        <v>11</v>
      </c>
      <c r="G88">
        <v>0</v>
      </c>
      <c r="H88">
        <v>0</v>
      </c>
      <c r="I88">
        <v>0</v>
      </c>
      <c r="J88">
        <v>11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11</v>
      </c>
      <c r="S88">
        <v>0</v>
      </c>
      <c r="T88">
        <v>0</v>
      </c>
      <c r="U88">
        <v>0</v>
      </c>
      <c r="V88" t="s">
        <v>35</v>
      </c>
      <c r="W88">
        <v>11</v>
      </c>
      <c r="X88">
        <v>0</v>
      </c>
      <c r="Y88">
        <v>0</v>
      </c>
      <c r="Z88">
        <v>0</v>
      </c>
      <c r="AA88">
        <v>11</v>
      </c>
      <c r="AB88">
        <v>0</v>
      </c>
      <c r="AC88">
        <v>0</v>
      </c>
      <c r="AD88">
        <v>0</v>
      </c>
      <c r="AE88">
        <v>11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11</v>
      </c>
      <c r="AN88">
        <v>0</v>
      </c>
      <c r="AO88">
        <v>0</v>
      </c>
      <c r="AP88">
        <v>0</v>
      </c>
      <c r="AQ88" t="s">
        <v>35</v>
      </c>
      <c r="AR88">
        <v>11</v>
      </c>
      <c r="AS88">
        <v>0</v>
      </c>
      <c r="AT88">
        <v>0</v>
      </c>
      <c r="AU88">
        <v>0</v>
      </c>
      <c r="AV88">
        <v>11</v>
      </c>
      <c r="AW88">
        <v>0</v>
      </c>
      <c r="AX88">
        <v>0</v>
      </c>
      <c r="AY88">
        <v>0</v>
      </c>
      <c r="AZ88">
        <v>11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11</v>
      </c>
      <c r="BI88">
        <v>0</v>
      </c>
      <c r="BJ88">
        <v>0</v>
      </c>
      <c r="BK88">
        <v>0</v>
      </c>
    </row>
    <row r="89" spans="1:63">
      <c r="A89" t="s">
        <v>83</v>
      </c>
      <c r="B89">
        <v>81</v>
      </c>
      <c r="C89">
        <v>1</v>
      </c>
      <c r="D89">
        <v>0</v>
      </c>
      <c r="E89">
        <v>0</v>
      </c>
      <c r="F89">
        <v>81</v>
      </c>
      <c r="G89">
        <v>1</v>
      </c>
      <c r="H89">
        <v>0</v>
      </c>
      <c r="I89">
        <v>0</v>
      </c>
      <c r="J89">
        <v>82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82</v>
      </c>
      <c r="S89">
        <v>0</v>
      </c>
      <c r="T89">
        <v>0</v>
      </c>
      <c r="U89">
        <v>0</v>
      </c>
      <c r="V89" t="s">
        <v>83</v>
      </c>
      <c r="W89">
        <v>81</v>
      </c>
      <c r="X89">
        <v>1</v>
      </c>
      <c r="Y89">
        <v>0</v>
      </c>
      <c r="Z89">
        <v>0</v>
      </c>
      <c r="AA89">
        <v>81</v>
      </c>
      <c r="AB89">
        <v>1</v>
      </c>
      <c r="AC89">
        <v>0</v>
      </c>
      <c r="AD89">
        <v>0</v>
      </c>
      <c r="AE89">
        <v>82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82</v>
      </c>
      <c r="AN89">
        <v>0</v>
      </c>
      <c r="AO89">
        <v>0</v>
      </c>
      <c r="AP89">
        <v>0</v>
      </c>
      <c r="AQ89" t="s">
        <v>83</v>
      </c>
      <c r="AR89">
        <v>81</v>
      </c>
      <c r="AS89">
        <v>1</v>
      </c>
      <c r="AT89">
        <v>0</v>
      </c>
      <c r="AU89">
        <v>0</v>
      </c>
      <c r="AV89">
        <v>81</v>
      </c>
      <c r="AW89">
        <v>1</v>
      </c>
      <c r="AX89">
        <v>0</v>
      </c>
      <c r="AY89">
        <v>0</v>
      </c>
      <c r="AZ89">
        <v>82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82</v>
      </c>
      <c r="BI89">
        <v>0</v>
      </c>
      <c r="BJ89">
        <v>0</v>
      </c>
      <c r="BK89">
        <v>0</v>
      </c>
    </row>
    <row r="90" spans="1:63">
      <c r="A90" t="s">
        <v>80</v>
      </c>
      <c r="B90">
        <v>125</v>
      </c>
      <c r="C90">
        <v>7</v>
      </c>
      <c r="D90">
        <v>0</v>
      </c>
      <c r="E90">
        <v>0</v>
      </c>
      <c r="F90">
        <v>125</v>
      </c>
      <c r="G90">
        <v>7</v>
      </c>
      <c r="H90">
        <v>0</v>
      </c>
      <c r="I90">
        <v>0</v>
      </c>
      <c r="J90">
        <v>132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132</v>
      </c>
      <c r="S90">
        <v>0</v>
      </c>
      <c r="T90">
        <v>0</v>
      </c>
      <c r="U90">
        <v>0</v>
      </c>
      <c r="V90" t="s">
        <v>80</v>
      </c>
      <c r="W90">
        <v>125</v>
      </c>
      <c r="X90">
        <v>7</v>
      </c>
      <c r="Y90">
        <v>0</v>
      </c>
      <c r="Z90">
        <v>0</v>
      </c>
      <c r="AA90">
        <v>125</v>
      </c>
      <c r="AB90">
        <v>7</v>
      </c>
      <c r="AC90">
        <v>0</v>
      </c>
      <c r="AD90">
        <v>0</v>
      </c>
      <c r="AE90">
        <v>132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132</v>
      </c>
      <c r="AN90">
        <v>0</v>
      </c>
      <c r="AO90">
        <v>0</v>
      </c>
      <c r="AP90">
        <v>0</v>
      </c>
      <c r="AQ90" t="s">
        <v>80</v>
      </c>
      <c r="AR90">
        <v>125</v>
      </c>
      <c r="AS90">
        <v>7</v>
      </c>
      <c r="AT90">
        <v>0</v>
      </c>
      <c r="AU90">
        <v>0</v>
      </c>
      <c r="AV90">
        <v>125</v>
      </c>
      <c r="AW90">
        <v>7</v>
      </c>
      <c r="AX90">
        <v>0</v>
      </c>
      <c r="AY90">
        <v>0</v>
      </c>
      <c r="AZ90">
        <v>132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132</v>
      </c>
      <c r="BI90">
        <v>0</v>
      </c>
      <c r="BJ90">
        <v>0</v>
      </c>
      <c r="BK90">
        <v>0</v>
      </c>
    </row>
    <row r="91" spans="1:63">
      <c r="A91" t="s">
        <v>10</v>
      </c>
      <c r="B91">
        <v>30</v>
      </c>
      <c r="C91">
        <v>0</v>
      </c>
      <c r="D91">
        <v>0</v>
      </c>
      <c r="E91">
        <v>0</v>
      </c>
      <c r="F91">
        <v>30</v>
      </c>
      <c r="G91">
        <v>0</v>
      </c>
      <c r="H91">
        <v>0</v>
      </c>
      <c r="I91">
        <v>0</v>
      </c>
      <c r="J91">
        <v>30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30</v>
      </c>
      <c r="S91">
        <v>0</v>
      </c>
      <c r="T91">
        <v>0</v>
      </c>
      <c r="U91">
        <v>0</v>
      </c>
      <c r="V91" t="s">
        <v>10</v>
      </c>
      <c r="W91">
        <v>30</v>
      </c>
      <c r="X91">
        <v>0</v>
      </c>
      <c r="Y91">
        <v>0</v>
      </c>
      <c r="Z91">
        <v>0</v>
      </c>
      <c r="AA91">
        <v>30</v>
      </c>
      <c r="AB91">
        <v>0</v>
      </c>
      <c r="AC91">
        <v>0</v>
      </c>
      <c r="AD91">
        <v>0</v>
      </c>
      <c r="AE91">
        <v>30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30</v>
      </c>
      <c r="AN91">
        <v>0</v>
      </c>
      <c r="AO91">
        <v>0</v>
      </c>
      <c r="AP91">
        <v>0</v>
      </c>
      <c r="AQ91" t="s">
        <v>10</v>
      </c>
      <c r="AR91">
        <v>30</v>
      </c>
      <c r="AS91">
        <v>0</v>
      </c>
      <c r="AT91">
        <v>0</v>
      </c>
      <c r="AU91">
        <v>0</v>
      </c>
      <c r="AV91">
        <v>30</v>
      </c>
      <c r="AW91">
        <v>0</v>
      </c>
      <c r="AX91">
        <v>0</v>
      </c>
      <c r="AY91">
        <v>0</v>
      </c>
      <c r="AZ91">
        <v>30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30</v>
      </c>
      <c r="BI91">
        <v>0</v>
      </c>
      <c r="BJ91">
        <v>0</v>
      </c>
      <c r="BK91">
        <v>0</v>
      </c>
    </row>
    <row r="92" spans="1:63">
      <c r="A92" t="s">
        <v>97</v>
      </c>
      <c r="B92">
        <v>41</v>
      </c>
      <c r="C92">
        <v>0</v>
      </c>
      <c r="D92">
        <v>0</v>
      </c>
      <c r="E92">
        <v>0</v>
      </c>
      <c r="F92">
        <v>41</v>
      </c>
      <c r="G92">
        <v>0</v>
      </c>
      <c r="H92">
        <v>0</v>
      </c>
      <c r="I92">
        <v>0</v>
      </c>
      <c r="J92">
        <v>40</v>
      </c>
      <c r="K92">
        <v>1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40</v>
      </c>
      <c r="S92">
        <v>1</v>
      </c>
      <c r="T92">
        <v>0</v>
      </c>
      <c r="U92">
        <v>0</v>
      </c>
      <c r="V92" t="s">
        <v>97</v>
      </c>
      <c r="W92">
        <v>41</v>
      </c>
      <c r="X92">
        <v>0</v>
      </c>
      <c r="Y92">
        <v>0</v>
      </c>
      <c r="Z92">
        <v>0</v>
      </c>
      <c r="AA92">
        <v>41</v>
      </c>
      <c r="AB92">
        <v>0</v>
      </c>
      <c r="AC92">
        <v>0</v>
      </c>
      <c r="AD92">
        <v>0</v>
      </c>
      <c r="AE92">
        <v>40</v>
      </c>
      <c r="AF92">
        <v>1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40</v>
      </c>
      <c r="AN92">
        <v>1</v>
      </c>
      <c r="AO92">
        <v>0</v>
      </c>
      <c r="AP92">
        <v>0</v>
      </c>
      <c r="AQ92" t="s">
        <v>97</v>
      </c>
      <c r="AR92">
        <v>41</v>
      </c>
      <c r="AS92">
        <v>0</v>
      </c>
      <c r="AT92">
        <v>0</v>
      </c>
      <c r="AU92">
        <v>0</v>
      </c>
      <c r="AV92">
        <v>41</v>
      </c>
      <c r="AW92">
        <v>0</v>
      </c>
      <c r="AX92">
        <v>0</v>
      </c>
      <c r="AY92">
        <v>0</v>
      </c>
      <c r="AZ92">
        <v>41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41</v>
      </c>
      <c r="BI92">
        <v>0</v>
      </c>
      <c r="BJ92">
        <v>0</v>
      </c>
      <c r="BK92">
        <v>0</v>
      </c>
    </row>
    <row r="93" spans="1:63">
      <c r="A93" t="s">
        <v>15</v>
      </c>
      <c r="B93">
        <v>7</v>
      </c>
      <c r="C93">
        <v>0</v>
      </c>
      <c r="D93">
        <v>0</v>
      </c>
      <c r="E93">
        <v>0</v>
      </c>
      <c r="F93">
        <v>7</v>
      </c>
      <c r="G93">
        <v>0</v>
      </c>
      <c r="H93">
        <v>0</v>
      </c>
      <c r="I93">
        <v>0</v>
      </c>
      <c r="J93">
        <v>7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7</v>
      </c>
      <c r="S93">
        <v>0</v>
      </c>
      <c r="T93">
        <v>0</v>
      </c>
      <c r="U93">
        <v>0</v>
      </c>
      <c r="V93" t="s">
        <v>15</v>
      </c>
      <c r="W93">
        <v>7</v>
      </c>
      <c r="X93">
        <v>0</v>
      </c>
      <c r="Y93">
        <v>0</v>
      </c>
      <c r="Z93">
        <v>0</v>
      </c>
      <c r="AA93">
        <v>7</v>
      </c>
      <c r="AB93">
        <v>0</v>
      </c>
      <c r="AC93">
        <v>0</v>
      </c>
      <c r="AD93">
        <v>0</v>
      </c>
      <c r="AE93">
        <v>7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7</v>
      </c>
      <c r="AN93">
        <v>0</v>
      </c>
      <c r="AO93">
        <v>0</v>
      </c>
      <c r="AP93">
        <v>0</v>
      </c>
      <c r="AQ93" t="s">
        <v>15</v>
      </c>
      <c r="AR93">
        <v>7</v>
      </c>
      <c r="AS93">
        <v>0</v>
      </c>
      <c r="AT93">
        <v>0</v>
      </c>
      <c r="AU93">
        <v>0</v>
      </c>
      <c r="AV93">
        <v>7</v>
      </c>
      <c r="AW93">
        <v>0</v>
      </c>
      <c r="AX93">
        <v>0</v>
      </c>
      <c r="AY93">
        <v>0</v>
      </c>
      <c r="AZ93">
        <v>7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7</v>
      </c>
      <c r="BI93">
        <v>0</v>
      </c>
      <c r="BJ93">
        <v>0</v>
      </c>
      <c r="BK93">
        <v>0</v>
      </c>
    </row>
    <row r="94" spans="1:63">
      <c r="A94" t="s">
        <v>61</v>
      </c>
      <c r="B94">
        <v>48</v>
      </c>
      <c r="C94">
        <v>5</v>
      </c>
      <c r="D94">
        <v>0</v>
      </c>
      <c r="E94">
        <v>0</v>
      </c>
      <c r="F94">
        <v>48</v>
      </c>
      <c r="G94">
        <v>5</v>
      </c>
      <c r="H94">
        <v>0</v>
      </c>
      <c r="I94">
        <v>0</v>
      </c>
      <c r="J94">
        <v>50</v>
      </c>
      <c r="K94">
        <v>3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50</v>
      </c>
      <c r="S94">
        <v>3</v>
      </c>
      <c r="T94">
        <v>0</v>
      </c>
      <c r="U94">
        <v>0</v>
      </c>
      <c r="V94" t="s">
        <v>61</v>
      </c>
      <c r="W94">
        <v>48</v>
      </c>
      <c r="X94">
        <v>5</v>
      </c>
      <c r="Y94">
        <v>0</v>
      </c>
      <c r="Z94">
        <v>0</v>
      </c>
      <c r="AA94">
        <v>48</v>
      </c>
      <c r="AB94">
        <v>5</v>
      </c>
      <c r="AC94">
        <v>0</v>
      </c>
      <c r="AD94">
        <v>0</v>
      </c>
      <c r="AE94">
        <v>50</v>
      </c>
      <c r="AF94">
        <v>3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50</v>
      </c>
      <c r="AN94">
        <v>3</v>
      </c>
      <c r="AO94">
        <v>0</v>
      </c>
      <c r="AP94">
        <v>0</v>
      </c>
      <c r="AQ94" t="s">
        <v>61</v>
      </c>
      <c r="AR94">
        <v>48</v>
      </c>
      <c r="AS94">
        <v>5</v>
      </c>
      <c r="AT94">
        <v>0</v>
      </c>
      <c r="AU94">
        <v>0</v>
      </c>
      <c r="AV94">
        <v>48</v>
      </c>
      <c r="AW94">
        <v>5</v>
      </c>
      <c r="AX94">
        <v>0</v>
      </c>
      <c r="AY94">
        <v>0</v>
      </c>
      <c r="AZ94">
        <v>53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53</v>
      </c>
      <c r="BI94">
        <v>0</v>
      </c>
      <c r="BJ94">
        <v>0</v>
      </c>
      <c r="BK94">
        <v>0</v>
      </c>
    </row>
    <row r="95" spans="1:63">
      <c r="A95" t="s">
        <v>49</v>
      </c>
      <c r="B95">
        <v>18</v>
      </c>
      <c r="C95">
        <v>1</v>
      </c>
      <c r="D95">
        <v>0</v>
      </c>
      <c r="E95">
        <v>0</v>
      </c>
      <c r="F95">
        <v>18</v>
      </c>
      <c r="G95">
        <v>1</v>
      </c>
      <c r="H95">
        <v>0</v>
      </c>
      <c r="I95">
        <v>0</v>
      </c>
      <c r="J95">
        <v>18</v>
      </c>
      <c r="K95">
        <v>1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18</v>
      </c>
      <c r="S95">
        <v>1</v>
      </c>
      <c r="T95">
        <v>0</v>
      </c>
      <c r="U95">
        <v>0</v>
      </c>
      <c r="V95" t="s">
        <v>49</v>
      </c>
      <c r="W95">
        <v>18</v>
      </c>
      <c r="X95">
        <v>1</v>
      </c>
      <c r="Y95">
        <v>0</v>
      </c>
      <c r="Z95">
        <v>0</v>
      </c>
      <c r="AA95">
        <v>18</v>
      </c>
      <c r="AB95">
        <v>1</v>
      </c>
      <c r="AC95">
        <v>0</v>
      </c>
      <c r="AD95">
        <v>0</v>
      </c>
      <c r="AE95">
        <v>18</v>
      </c>
      <c r="AF95">
        <v>1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18</v>
      </c>
      <c r="AN95">
        <v>1</v>
      </c>
      <c r="AO95">
        <v>0</v>
      </c>
      <c r="AP95">
        <v>0</v>
      </c>
      <c r="AQ95" t="s">
        <v>49</v>
      </c>
      <c r="AR95">
        <v>18</v>
      </c>
      <c r="AS95">
        <v>1</v>
      </c>
      <c r="AT95">
        <v>0</v>
      </c>
      <c r="AU95">
        <v>0</v>
      </c>
      <c r="AV95">
        <v>18</v>
      </c>
      <c r="AW95">
        <v>1</v>
      </c>
      <c r="AX95">
        <v>0</v>
      </c>
      <c r="AY95">
        <v>0</v>
      </c>
      <c r="AZ95">
        <v>19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19</v>
      </c>
      <c r="BI95">
        <v>0</v>
      </c>
      <c r="BJ95">
        <v>0</v>
      </c>
      <c r="BK95">
        <v>0</v>
      </c>
    </row>
    <row r="96" spans="1:63">
      <c r="A96" t="s">
        <v>78</v>
      </c>
      <c r="B96">
        <v>15</v>
      </c>
      <c r="C96">
        <v>0</v>
      </c>
      <c r="D96">
        <v>0</v>
      </c>
      <c r="E96">
        <v>0</v>
      </c>
      <c r="F96">
        <v>15</v>
      </c>
      <c r="G96">
        <v>0</v>
      </c>
      <c r="H96">
        <v>0</v>
      </c>
      <c r="I96">
        <v>0</v>
      </c>
      <c r="J96">
        <v>14</v>
      </c>
      <c r="K96">
        <v>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14</v>
      </c>
      <c r="S96">
        <v>1</v>
      </c>
      <c r="T96">
        <v>0</v>
      </c>
      <c r="U96">
        <v>0</v>
      </c>
      <c r="V96" t="s">
        <v>78</v>
      </c>
      <c r="W96">
        <v>15</v>
      </c>
      <c r="X96">
        <v>0</v>
      </c>
      <c r="Y96">
        <v>0</v>
      </c>
      <c r="Z96">
        <v>0</v>
      </c>
      <c r="AA96">
        <v>15</v>
      </c>
      <c r="AB96">
        <v>0</v>
      </c>
      <c r="AC96">
        <v>0</v>
      </c>
      <c r="AD96">
        <v>0</v>
      </c>
      <c r="AE96">
        <v>14</v>
      </c>
      <c r="AF96">
        <v>1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14</v>
      </c>
      <c r="AN96">
        <v>1</v>
      </c>
      <c r="AO96">
        <v>0</v>
      </c>
      <c r="AP96">
        <v>0</v>
      </c>
      <c r="AQ96" t="s">
        <v>78</v>
      </c>
      <c r="AR96">
        <v>15</v>
      </c>
      <c r="AS96">
        <v>0</v>
      </c>
      <c r="AT96">
        <v>0</v>
      </c>
      <c r="AU96">
        <v>0</v>
      </c>
      <c r="AV96">
        <v>15</v>
      </c>
      <c r="AW96">
        <v>0</v>
      </c>
      <c r="AX96">
        <v>0</v>
      </c>
      <c r="AY96">
        <v>0</v>
      </c>
      <c r="AZ96">
        <v>15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15</v>
      </c>
      <c r="BI96">
        <v>0</v>
      </c>
      <c r="BJ96">
        <v>0</v>
      </c>
      <c r="BK96">
        <v>0</v>
      </c>
    </row>
    <row r="97" spans="1:63">
      <c r="A97" t="s">
        <v>73</v>
      </c>
      <c r="B97">
        <v>29</v>
      </c>
      <c r="C97">
        <v>2</v>
      </c>
      <c r="D97">
        <v>0</v>
      </c>
      <c r="E97">
        <v>0</v>
      </c>
      <c r="F97">
        <v>29</v>
      </c>
      <c r="G97">
        <v>2</v>
      </c>
      <c r="H97">
        <v>0</v>
      </c>
      <c r="I97">
        <v>0</v>
      </c>
      <c r="J97">
        <v>30</v>
      </c>
      <c r="K97">
        <v>1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30</v>
      </c>
      <c r="S97">
        <v>1</v>
      </c>
      <c r="T97">
        <v>0</v>
      </c>
      <c r="U97">
        <v>0</v>
      </c>
      <c r="V97" t="s">
        <v>73</v>
      </c>
      <c r="W97">
        <v>29</v>
      </c>
      <c r="X97">
        <v>2</v>
      </c>
      <c r="Y97">
        <v>0</v>
      </c>
      <c r="Z97">
        <v>0</v>
      </c>
      <c r="AA97">
        <v>29</v>
      </c>
      <c r="AB97">
        <v>2</v>
      </c>
      <c r="AC97">
        <v>0</v>
      </c>
      <c r="AD97">
        <v>0</v>
      </c>
      <c r="AE97">
        <v>30</v>
      </c>
      <c r="AF97">
        <v>1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30</v>
      </c>
      <c r="AN97">
        <v>1</v>
      </c>
      <c r="AO97">
        <v>0</v>
      </c>
      <c r="AP97">
        <v>0</v>
      </c>
      <c r="AQ97" t="s">
        <v>73</v>
      </c>
      <c r="AR97">
        <v>29</v>
      </c>
      <c r="AS97">
        <v>2</v>
      </c>
      <c r="AT97">
        <v>0</v>
      </c>
      <c r="AU97">
        <v>0</v>
      </c>
      <c r="AV97">
        <v>29</v>
      </c>
      <c r="AW97">
        <v>2</v>
      </c>
      <c r="AX97">
        <v>0</v>
      </c>
      <c r="AY97">
        <v>0</v>
      </c>
      <c r="AZ97">
        <v>31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31</v>
      </c>
      <c r="BI97">
        <v>0</v>
      </c>
      <c r="BJ97">
        <v>0</v>
      </c>
      <c r="BK97">
        <v>0</v>
      </c>
    </row>
    <row r="98" spans="1:63">
      <c r="A98" t="s">
        <v>63</v>
      </c>
      <c r="B98">
        <v>29</v>
      </c>
      <c r="C98">
        <v>0</v>
      </c>
      <c r="D98">
        <v>0</v>
      </c>
      <c r="E98">
        <v>0</v>
      </c>
      <c r="F98">
        <v>29</v>
      </c>
      <c r="G98">
        <v>0</v>
      </c>
      <c r="H98">
        <v>0</v>
      </c>
      <c r="I98">
        <v>0</v>
      </c>
      <c r="J98">
        <v>29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29</v>
      </c>
      <c r="S98">
        <v>0</v>
      </c>
      <c r="T98">
        <v>0</v>
      </c>
      <c r="U98">
        <v>0</v>
      </c>
      <c r="V98" t="s">
        <v>63</v>
      </c>
      <c r="W98">
        <v>29</v>
      </c>
      <c r="X98">
        <v>0</v>
      </c>
      <c r="Y98">
        <v>0</v>
      </c>
      <c r="Z98">
        <v>0</v>
      </c>
      <c r="AA98">
        <v>29</v>
      </c>
      <c r="AB98">
        <v>0</v>
      </c>
      <c r="AC98">
        <v>0</v>
      </c>
      <c r="AD98">
        <v>0</v>
      </c>
      <c r="AE98">
        <v>29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29</v>
      </c>
      <c r="AN98">
        <v>0</v>
      </c>
      <c r="AO98">
        <v>0</v>
      </c>
      <c r="AP98">
        <v>0</v>
      </c>
      <c r="AQ98" t="s">
        <v>63</v>
      </c>
      <c r="AR98">
        <v>29</v>
      </c>
      <c r="AS98">
        <v>0</v>
      </c>
      <c r="AT98">
        <v>0</v>
      </c>
      <c r="AU98">
        <v>0</v>
      </c>
      <c r="AV98">
        <v>29</v>
      </c>
      <c r="AW98">
        <v>0</v>
      </c>
      <c r="AX98">
        <v>0</v>
      </c>
      <c r="AY98">
        <v>0</v>
      </c>
      <c r="AZ98">
        <v>29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29</v>
      </c>
      <c r="BI98">
        <v>0</v>
      </c>
      <c r="BJ98">
        <v>0</v>
      </c>
      <c r="BK98">
        <v>0</v>
      </c>
    </row>
    <row r="99" spans="1:63">
      <c r="A99" t="s">
        <v>59</v>
      </c>
      <c r="B99">
        <v>22</v>
      </c>
      <c r="C99">
        <v>0</v>
      </c>
      <c r="D99">
        <v>0</v>
      </c>
      <c r="E99">
        <v>0</v>
      </c>
      <c r="F99">
        <v>22</v>
      </c>
      <c r="G99">
        <v>0</v>
      </c>
      <c r="H99">
        <v>0</v>
      </c>
      <c r="I99">
        <v>0</v>
      </c>
      <c r="J99">
        <v>21</v>
      </c>
      <c r="K99">
        <v>1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21</v>
      </c>
      <c r="S99">
        <v>1</v>
      </c>
      <c r="T99">
        <v>0</v>
      </c>
      <c r="U99">
        <v>0</v>
      </c>
      <c r="V99" t="s">
        <v>59</v>
      </c>
      <c r="W99">
        <v>22</v>
      </c>
      <c r="X99">
        <v>0</v>
      </c>
      <c r="Y99">
        <v>0</v>
      </c>
      <c r="Z99">
        <v>0</v>
      </c>
      <c r="AA99">
        <v>22</v>
      </c>
      <c r="AB99">
        <v>0</v>
      </c>
      <c r="AC99">
        <v>0</v>
      </c>
      <c r="AD99">
        <v>0</v>
      </c>
      <c r="AE99">
        <v>21</v>
      </c>
      <c r="AF99">
        <v>1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21</v>
      </c>
      <c r="AN99">
        <v>1</v>
      </c>
      <c r="AO99">
        <v>0</v>
      </c>
      <c r="AP99">
        <v>0</v>
      </c>
      <c r="AQ99" t="s">
        <v>59</v>
      </c>
      <c r="AR99">
        <v>22</v>
      </c>
      <c r="AS99">
        <v>0</v>
      </c>
      <c r="AT99">
        <v>0</v>
      </c>
      <c r="AU99">
        <v>0</v>
      </c>
      <c r="AV99">
        <v>22</v>
      </c>
      <c r="AW99">
        <v>0</v>
      </c>
      <c r="AX99">
        <v>0</v>
      </c>
      <c r="AY99">
        <v>0</v>
      </c>
      <c r="AZ99">
        <v>22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22</v>
      </c>
      <c r="BI99">
        <v>0</v>
      </c>
      <c r="BJ99">
        <v>0</v>
      </c>
      <c r="BK99">
        <v>0</v>
      </c>
    </row>
    <row r="100" spans="1:63">
      <c r="A100" t="s">
        <v>68</v>
      </c>
      <c r="B100">
        <v>130</v>
      </c>
      <c r="C100">
        <v>4</v>
      </c>
      <c r="D100">
        <v>0</v>
      </c>
      <c r="E100">
        <v>0</v>
      </c>
      <c r="F100">
        <v>130</v>
      </c>
      <c r="G100">
        <v>4</v>
      </c>
      <c r="H100">
        <v>0</v>
      </c>
      <c r="I100">
        <v>0</v>
      </c>
      <c r="J100">
        <v>133</v>
      </c>
      <c r="K100">
        <v>1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133</v>
      </c>
      <c r="S100">
        <v>1</v>
      </c>
      <c r="T100">
        <v>0</v>
      </c>
      <c r="U100">
        <v>0</v>
      </c>
      <c r="V100" t="s">
        <v>68</v>
      </c>
      <c r="W100">
        <v>130</v>
      </c>
      <c r="X100">
        <v>4</v>
      </c>
      <c r="Y100">
        <v>0</v>
      </c>
      <c r="Z100">
        <v>0</v>
      </c>
      <c r="AA100">
        <v>130</v>
      </c>
      <c r="AB100">
        <v>4</v>
      </c>
      <c r="AC100">
        <v>0</v>
      </c>
      <c r="AD100">
        <v>0</v>
      </c>
      <c r="AE100">
        <v>133</v>
      </c>
      <c r="AF100">
        <v>1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133</v>
      </c>
      <c r="AN100">
        <v>1</v>
      </c>
      <c r="AO100">
        <v>0</v>
      </c>
      <c r="AP100">
        <v>0</v>
      </c>
      <c r="AQ100" t="s">
        <v>68</v>
      </c>
      <c r="AR100">
        <v>130</v>
      </c>
      <c r="AS100">
        <v>4</v>
      </c>
      <c r="AT100">
        <v>0</v>
      </c>
      <c r="AU100">
        <v>0</v>
      </c>
      <c r="AV100">
        <v>130</v>
      </c>
      <c r="AW100">
        <v>4</v>
      </c>
      <c r="AX100">
        <v>0</v>
      </c>
      <c r="AY100">
        <v>0</v>
      </c>
      <c r="AZ100">
        <v>134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134</v>
      </c>
      <c r="BI100">
        <v>0</v>
      </c>
      <c r="BJ100">
        <v>0</v>
      </c>
      <c r="BK100">
        <v>0</v>
      </c>
    </row>
    <row r="101" spans="1:63">
      <c r="A101" t="s">
        <v>34</v>
      </c>
      <c r="B101">
        <v>111</v>
      </c>
      <c r="C101">
        <v>0</v>
      </c>
      <c r="D101">
        <v>0</v>
      </c>
      <c r="E101">
        <v>0</v>
      </c>
      <c r="F101">
        <v>111</v>
      </c>
      <c r="G101">
        <v>0</v>
      </c>
      <c r="H101">
        <v>0</v>
      </c>
      <c r="I101">
        <v>0</v>
      </c>
      <c r="J101">
        <v>111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111</v>
      </c>
      <c r="S101">
        <v>0</v>
      </c>
      <c r="T101">
        <v>0</v>
      </c>
      <c r="U101">
        <v>0</v>
      </c>
      <c r="V101" t="s">
        <v>34</v>
      </c>
      <c r="W101">
        <v>111</v>
      </c>
      <c r="X101">
        <v>0</v>
      </c>
      <c r="Y101">
        <v>0</v>
      </c>
      <c r="Z101">
        <v>0</v>
      </c>
      <c r="AA101">
        <v>111</v>
      </c>
      <c r="AB101">
        <v>0</v>
      </c>
      <c r="AC101">
        <v>0</v>
      </c>
      <c r="AD101">
        <v>0</v>
      </c>
      <c r="AE101">
        <v>111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111</v>
      </c>
      <c r="AN101">
        <v>0</v>
      </c>
      <c r="AO101">
        <v>0</v>
      </c>
      <c r="AP101">
        <v>0</v>
      </c>
      <c r="AQ101" t="s">
        <v>34</v>
      </c>
      <c r="AR101">
        <v>111</v>
      </c>
      <c r="AS101">
        <v>0</v>
      </c>
      <c r="AT101">
        <v>0</v>
      </c>
      <c r="AU101">
        <v>0</v>
      </c>
      <c r="AV101">
        <v>111</v>
      </c>
      <c r="AW101">
        <v>0</v>
      </c>
      <c r="AX101">
        <v>0</v>
      </c>
      <c r="AY101">
        <v>0</v>
      </c>
      <c r="AZ101">
        <v>111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111</v>
      </c>
      <c r="BI101">
        <v>0</v>
      </c>
      <c r="BJ101">
        <v>0</v>
      </c>
      <c r="BK101">
        <v>0</v>
      </c>
    </row>
    <row r="102" spans="1:63">
      <c r="A102" t="s">
        <v>4</v>
      </c>
      <c r="B102">
        <v>71</v>
      </c>
      <c r="C102">
        <v>0</v>
      </c>
      <c r="D102">
        <v>0</v>
      </c>
      <c r="E102">
        <v>0</v>
      </c>
      <c r="F102">
        <v>71</v>
      </c>
      <c r="G102">
        <v>0</v>
      </c>
      <c r="H102">
        <v>0</v>
      </c>
      <c r="I102">
        <v>0</v>
      </c>
      <c r="J102">
        <v>68</v>
      </c>
      <c r="K102">
        <v>3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68</v>
      </c>
      <c r="S102">
        <v>3</v>
      </c>
      <c r="T102">
        <v>0</v>
      </c>
      <c r="U102">
        <v>0</v>
      </c>
      <c r="V102" t="s">
        <v>4</v>
      </c>
      <c r="W102">
        <v>71</v>
      </c>
      <c r="X102">
        <v>0</v>
      </c>
      <c r="Y102">
        <v>0</v>
      </c>
      <c r="Z102">
        <v>0</v>
      </c>
      <c r="AA102">
        <v>71</v>
      </c>
      <c r="AB102">
        <v>0</v>
      </c>
      <c r="AC102">
        <v>0</v>
      </c>
      <c r="AD102">
        <v>0</v>
      </c>
      <c r="AE102">
        <v>68</v>
      </c>
      <c r="AF102">
        <v>3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68</v>
      </c>
      <c r="AN102">
        <v>3</v>
      </c>
      <c r="AO102">
        <v>0</v>
      </c>
      <c r="AP102">
        <v>0</v>
      </c>
      <c r="AQ102" t="s">
        <v>4</v>
      </c>
      <c r="AR102">
        <v>71</v>
      </c>
      <c r="AS102">
        <v>0</v>
      </c>
      <c r="AT102">
        <v>0</v>
      </c>
      <c r="AU102">
        <v>0</v>
      </c>
      <c r="AV102">
        <v>71</v>
      </c>
      <c r="AW102">
        <v>0</v>
      </c>
      <c r="AX102">
        <v>0</v>
      </c>
      <c r="AY102">
        <v>0</v>
      </c>
      <c r="AZ102">
        <v>71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71</v>
      </c>
      <c r="BI102">
        <v>0</v>
      </c>
      <c r="BJ102">
        <v>0</v>
      </c>
      <c r="BK102">
        <v>0</v>
      </c>
    </row>
    <row r="103" spans="1:63">
      <c r="A103" t="s">
        <v>70</v>
      </c>
      <c r="B103">
        <v>32</v>
      </c>
      <c r="C103">
        <v>0</v>
      </c>
      <c r="D103">
        <v>0</v>
      </c>
      <c r="E103">
        <v>0</v>
      </c>
      <c r="F103">
        <v>32</v>
      </c>
      <c r="G103">
        <v>0</v>
      </c>
      <c r="H103">
        <v>0</v>
      </c>
      <c r="I103">
        <v>0</v>
      </c>
      <c r="J103">
        <v>32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32</v>
      </c>
      <c r="S103">
        <v>0</v>
      </c>
      <c r="T103">
        <v>0</v>
      </c>
      <c r="U103">
        <v>0</v>
      </c>
      <c r="V103" t="s">
        <v>70</v>
      </c>
      <c r="W103">
        <v>32</v>
      </c>
      <c r="X103">
        <v>0</v>
      </c>
      <c r="Y103">
        <v>0</v>
      </c>
      <c r="Z103">
        <v>0</v>
      </c>
      <c r="AA103">
        <v>32</v>
      </c>
      <c r="AB103">
        <v>0</v>
      </c>
      <c r="AC103">
        <v>0</v>
      </c>
      <c r="AD103">
        <v>0</v>
      </c>
      <c r="AE103">
        <v>32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32</v>
      </c>
      <c r="AN103">
        <v>0</v>
      </c>
      <c r="AO103">
        <v>0</v>
      </c>
      <c r="AP103">
        <v>0</v>
      </c>
      <c r="AQ103" t="s">
        <v>70</v>
      </c>
      <c r="AR103">
        <v>32</v>
      </c>
      <c r="AS103">
        <v>0</v>
      </c>
      <c r="AT103">
        <v>0</v>
      </c>
      <c r="AU103">
        <v>0</v>
      </c>
      <c r="AV103">
        <v>32</v>
      </c>
      <c r="AW103">
        <v>0</v>
      </c>
      <c r="AX103">
        <v>0</v>
      </c>
      <c r="AY103">
        <v>0</v>
      </c>
      <c r="AZ103">
        <v>32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32</v>
      </c>
      <c r="BI103">
        <v>0</v>
      </c>
      <c r="BJ103">
        <v>0</v>
      </c>
      <c r="BK103">
        <v>0</v>
      </c>
    </row>
    <row r="104" spans="1:63">
      <c r="A104" t="s">
        <v>87</v>
      </c>
      <c r="B104">
        <v>7</v>
      </c>
      <c r="C104">
        <v>0</v>
      </c>
      <c r="D104">
        <v>0</v>
      </c>
      <c r="E104">
        <v>0</v>
      </c>
      <c r="F104">
        <v>7</v>
      </c>
      <c r="G104">
        <v>0</v>
      </c>
      <c r="H104">
        <v>0</v>
      </c>
      <c r="I104">
        <v>0</v>
      </c>
      <c r="J104">
        <v>7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7</v>
      </c>
      <c r="S104">
        <v>0</v>
      </c>
      <c r="T104">
        <v>0</v>
      </c>
      <c r="U104">
        <v>0</v>
      </c>
      <c r="V104" t="s">
        <v>87</v>
      </c>
      <c r="W104">
        <v>7</v>
      </c>
      <c r="X104">
        <v>0</v>
      </c>
      <c r="Y104">
        <v>0</v>
      </c>
      <c r="Z104">
        <v>0</v>
      </c>
      <c r="AA104">
        <v>7</v>
      </c>
      <c r="AB104">
        <v>0</v>
      </c>
      <c r="AC104">
        <v>0</v>
      </c>
      <c r="AD104">
        <v>0</v>
      </c>
      <c r="AE104">
        <v>7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7</v>
      </c>
      <c r="AN104">
        <v>0</v>
      </c>
      <c r="AO104">
        <v>0</v>
      </c>
      <c r="AP104">
        <v>0</v>
      </c>
      <c r="AQ104" t="s">
        <v>87</v>
      </c>
      <c r="AR104">
        <v>7</v>
      </c>
      <c r="AS104">
        <v>0</v>
      </c>
      <c r="AT104">
        <v>0</v>
      </c>
      <c r="AU104">
        <v>0</v>
      </c>
      <c r="AV104">
        <v>7</v>
      </c>
      <c r="AW104">
        <v>0</v>
      </c>
      <c r="AX104">
        <v>0</v>
      </c>
      <c r="AY104">
        <v>0</v>
      </c>
      <c r="AZ104">
        <v>7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7</v>
      </c>
      <c r="BI104">
        <v>0</v>
      </c>
      <c r="BJ104">
        <v>0</v>
      </c>
      <c r="BK104">
        <v>0</v>
      </c>
    </row>
    <row r="105" spans="1:63">
      <c r="A105" t="s">
        <v>19</v>
      </c>
      <c r="B105">
        <v>156</v>
      </c>
      <c r="C105">
        <v>12</v>
      </c>
      <c r="D105">
        <v>0</v>
      </c>
      <c r="E105">
        <v>0</v>
      </c>
      <c r="F105">
        <v>156</v>
      </c>
      <c r="G105">
        <v>12</v>
      </c>
      <c r="H105">
        <v>0</v>
      </c>
      <c r="I105">
        <v>0</v>
      </c>
      <c r="J105">
        <v>168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168</v>
      </c>
      <c r="S105">
        <v>0</v>
      </c>
      <c r="T105">
        <v>0</v>
      </c>
      <c r="U105">
        <v>0</v>
      </c>
      <c r="V105" t="s">
        <v>19</v>
      </c>
      <c r="W105">
        <v>156</v>
      </c>
      <c r="X105">
        <v>12</v>
      </c>
      <c r="Y105">
        <v>0</v>
      </c>
      <c r="Z105">
        <v>0</v>
      </c>
      <c r="AA105">
        <v>156</v>
      </c>
      <c r="AB105">
        <v>12</v>
      </c>
      <c r="AC105">
        <v>0</v>
      </c>
      <c r="AD105">
        <v>0</v>
      </c>
      <c r="AE105">
        <v>168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168</v>
      </c>
      <c r="AN105">
        <v>0</v>
      </c>
      <c r="AO105">
        <v>0</v>
      </c>
      <c r="AP105">
        <v>0</v>
      </c>
      <c r="AQ105" t="s">
        <v>19</v>
      </c>
      <c r="AR105">
        <v>156</v>
      </c>
      <c r="AS105">
        <v>12</v>
      </c>
      <c r="AT105">
        <v>0</v>
      </c>
      <c r="AU105">
        <v>0</v>
      </c>
      <c r="AV105">
        <v>156</v>
      </c>
      <c r="AW105">
        <v>12</v>
      </c>
      <c r="AX105">
        <v>0</v>
      </c>
      <c r="AY105">
        <v>0</v>
      </c>
      <c r="AZ105">
        <v>168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168</v>
      </c>
      <c r="BI105">
        <v>0</v>
      </c>
      <c r="BJ105">
        <v>0</v>
      </c>
      <c r="BK105">
        <v>0</v>
      </c>
    </row>
    <row r="106" spans="1:63">
      <c r="A106" t="s">
        <v>38</v>
      </c>
      <c r="B106">
        <v>635</v>
      </c>
      <c r="C106">
        <v>19</v>
      </c>
      <c r="D106">
        <v>0</v>
      </c>
      <c r="E106">
        <v>0</v>
      </c>
      <c r="F106">
        <v>635</v>
      </c>
      <c r="G106">
        <v>19</v>
      </c>
      <c r="H106">
        <v>0</v>
      </c>
      <c r="I106">
        <v>0</v>
      </c>
      <c r="J106">
        <v>640</v>
      </c>
      <c r="K106">
        <v>14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638</v>
      </c>
      <c r="S106">
        <v>16</v>
      </c>
      <c r="T106">
        <v>0</v>
      </c>
      <c r="U106">
        <v>0</v>
      </c>
      <c r="V106" t="s">
        <v>38</v>
      </c>
      <c r="W106">
        <v>635</v>
      </c>
      <c r="X106">
        <v>19</v>
      </c>
      <c r="Y106">
        <v>0</v>
      </c>
      <c r="Z106">
        <v>0</v>
      </c>
      <c r="AA106">
        <v>635</v>
      </c>
      <c r="AB106">
        <v>19</v>
      </c>
      <c r="AC106">
        <v>0</v>
      </c>
      <c r="AD106">
        <v>0</v>
      </c>
      <c r="AE106">
        <v>640</v>
      </c>
      <c r="AF106">
        <v>14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638</v>
      </c>
      <c r="AN106">
        <v>16</v>
      </c>
      <c r="AO106">
        <v>0</v>
      </c>
      <c r="AP106">
        <v>0</v>
      </c>
      <c r="AQ106" t="s">
        <v>38</v>
      </c>
      <c r="AR106">
        <v>635</v>
      </c>
      <c r="AS106">
        <v>19</v>
      </c>
      <c r="AT106">
        <v>0</v>
      </c>
      <c r="AU106">
        <v>0</v>
      </c>
      <c r="AV106">
        <v>635</v>
      </c>
      <c r="AW106">
        <v>19</v>
      </c>
      <c r="AX106">
        <v>0</v>
      </c>
      <c r="AY106">
        <v>0</v>
      </c>
      <c r="AZ106">
        <v>654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654</v>
      </c>
      <c r="BI106">
        <v>0</v>
      </c>
      <c r="BJ106">
        <v>0</v>
      </c>
      <c r="BK106">
        <v>0</v>
      </c>
    </row>
    <row r="107" spans="1:63">
      <c r="A107" t="s">
        <v>42</v>
      </c>
      <c r="B107">
        <v>146</v>
      </c>
      <c r="C107">
        <v>23</v>
      </c>
      <c r="D107">
        <v>0</v>
      </c>
      <c r="E107">
        <v>0</v>
      </c>
      <c r="F107">
        <v>146</v>
      </c>
      <c r="G107">
        <v>23</v>
      </c>
      <c r="H107">
        <v>0</v>
      </c>
      <c r="I107">
        <v>0</v>
      </c>
      <c r="J107">
        <v>169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169</v>
      </c>
      <c r="S107">
        <v>0</v>
      </c>
      <c r="T107">
        <v>0</v>
      </c>
      <c r="U107">
        <v>0</v>
      </c>
      <c r="V107" t="s">
        <v>42</v>
      </c>
      <c r="W107">
        <v>146</v>
      </c>
      <c r="X107">
        <v>23</v>
      </c>
      <c r="Y107">
        <v>0</v>
      </c>
      <c r="Z107">
        <v>0</v>
      </c>
      <c r="AA107">
        <v>146</v>
      </c>
      <c r="AB107">
        <v>23</v>
      </c>
      <c r="AC107">
        <v>0</v>
      </c>
      <c r="AD107">
        <v>0</v>
      </c>
      <c r="AE107">
        <v>169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169</v>
      </c>
      <c r="AN107">
        <v>0</v>
      </c>
      <c r="AO107">
        <v>0</v>
      </c>
      <c r="AP107">
        <v>0</v>
      </c>
      <c r="AQ107" t="s">
        <v>42</v>
      </c>
      <c r="AR107">
        <v>146</v>
      </c>
      <c r="AS107">
        <v>23</v>
      </c>
      <c r="AT107">
        <v>0</v>
      </c>
      <c r="AU107">
        <v>0</v>
      </c>
      <c r="AV107">
        <v>146</v>
      </c>
      <c r="AW107">
        <v>23</v>
      </c>
      <c r="AX107">
        <v>0</v>
      </c>
      <c r="AY107">
        <v>0</v>
      </c>
      <c r="AZ107">
        <v>169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169</v>
      </c>
      <c r="BI107">
        <v>0</v>
      </c>
      <c r="BJ107">
        <v>0</v>
      </c>
      <c r="BK107">
        <v>0</v>
      </c>
    </row>
    <row r="108" spans="1:63" s="1" customFormat="1">
      <c r="A108" s="1" t="s">
        <v>122</v>
      </c>
      <c r="B108" s="1">
        <f>SUM(B3:B107)</f>
        <v>10817</v>
      </c>
      <c r="C108" s="1">
        <f t="shared" ref="C108:BK108" si="0">SUM(C3:C107)</f>
        <v>420</v>
      </c>
      <c r="D108" s="1">
        <f t="shared" si="0"/>
        <v>0</v>
      </c>
      <c r="E108" s="1">
        <f t="shared" si="0"/>
        <v>0</v>
      </c>
      <c r="F108" s="1">
        <f t="shared" si="0"/>
        <v>10809</v>
      </c>
      <c r="G108" s="1">
        <f t="shared" si="0"/>
        <v>428</v>
      </c>
      <c r="H108" s="1">
        <f t="shared" si="0"/>
        <v>0</v>
      </c>
      <c r="I108" s="1">
        <f t="shared" si="0"/>
        <v>0</v>
      </c>
      <c r="J108" s="1">
        <f t="shared" si="0"/>
        <v>11176</v>
      </c>
      <c r="K108" s="1">
        <f t="shared" si="0"/>
        <v>221</v>
      </c>
      <c r="L108" s="1">
        <f t="shared" si="0"/>
        <v>0</v>
      </c>
      <c r="M108" s="1">
        <f t="shared" si="0"/>
        <v>0</v>
      </c>
      <c r="N108" s="1">
        <f t="shared" si="0"/>
        <v>2353</v>
      </c>
      <c r="O108" s="1">
        <f t="shared" si="0"/>
        <v>29</v>
      </c>
      <c r="P108" s="1">
        <f t="shared" si="0"/>
        <v>31</v>
      </c>
      <c r="Q108" s="1">
        <f t="shared" si="0"/>
        <v>2</v>
      </c>
      <c r="R108" s="1">
        <f t="shared" si="0"/>
        <v>10903</v>
      </c>
      <c r="S108" s="1">
        <f t="shared" si="0"/>
        <v>334</v>
      </c>
      <c r="T108" s="1">
        <f t="shared" si="0"/>
        <v>0</v>
      </c>
      <c r="U108" s="1">
        <f t="shared" si="0"/>
        <v>0</v>
      </c>
      <c r="V108" s="1">
        <f t="shared" si="0"/>
        <v>0</v>
      </c>
      <c r="W108" s="1">
        <f t="shared" si="0"/>
        <v>10817</v>
      </c>
      <c r="X108" s="1">
        <f t="shared" si="0"/>
        <v>420</v>
      </c>
      <c r="Y108" s="1">
        <f t="shared" si="0"/>
        <v>0</v>
      </c>
      <c r="Z108" s="1">
        <f t="shared" si="0"/>
        <v>0</v>
      </c>
      <c r="AA108" s="1">
        <f t="shared" si="0"/>
        <v>10809</v>
      </c>
      <c r="AB108" s="1">
        <f t="shared" si="0"/>
        <v>428</v>
      </c>
      <c r="AC108" s="1">
        <f t="shared" si="0"/>
        <v>0</v>
      </c>
      <c r="AD108" s="1">
        <f t="shared" si="0"/>
        <v>0</v>
      </c>
      <c r="AE108" s="1">
        <f t="shared" si="0"/>
        <v>11176</v>
      </c>
      <c r="AF108" s="1">
        <f t="shared" si="0"/>
        <v>221</v>
      </c>
      <c r="AG108" s="1">
        <f t="shared" si="0"/>
        <v>0</v>
      </c>
      <c r="AH108" s="1">
        <f t="shared" si="0"/>
        <v>0</v>
      </c>
      <c r="AI108" s="1">
        <f t="shared" si="0"/>
        <v>2353</v>
      </c>
      <c r="AJ108" s="1">
        <f t="shared" si="0"/>
        <v>29</v>
      </c>
      <c r="AK108" s="1">
        <f t="shared" si="0"/>
        <v>31</v>
      </c>
      <c r="AL108" s="1">
        <f t="shared" si="0"/>
        <v>2</v>
      </c>
      <c r="AM108" s="1">
        <f t="shared" si="0"/>
        <v>10903</v>
      </c>
      <c r="AN108" s="1">
        <f t="shared" si="0"/>
        <v>334</v>
      </c>
      <c r="AO108" s="1">
        <f t="shared" si="0"/>
        <v>0</v>
      </c>
      <c r="AP108" s="1">
        <f t="shared" si="0"/>
        <v>0</v>
      </c>
      <c r="AQ108" s="1">
        <f t="shared" si="0"/>
        <v>0</v>
      </c>
      <c r="AR108" s="1">
        <f t="shared" si="0"/>
        <v>10809</v>
      </c>
      <c r="AS108" s="1">
        <f t="shared" si="0"/>
        <v>428</v>
      </c>
      <c r="AT108" s="1">
        <f t="shared" si="0"/>
        <v>0</v>
      </c>
      <c r="AU108" s="1">
        <f t="shared" si="0"/>
        <v>0</v>
      </c>
      <c r="AV108" s="1">
        <f t="shared" si="0"/>
        <v>10809</v>
      </c>
      <c r="AW108" s="1">
        <f t="shared" si="0"/>
        <v>428</v>
      </c>
      <c r="AX108" s="1">
        <f t="shared" si="0"/>
        <v>0</v>
      </c>
      <c r="AY108" s="1">
        <f t="shared" si="0"/>
        <v>0</v>
      </c>
      <c r="AZ108" s="1">
        <f t="shared" si="0"/>
        <v>11397</v>
      </c>
      <c r="BA108" s="1">
        <f t="shared" si="0"/>
        <v>0</v>
      </c>
      <c r="BB108" s="1">
        <f t="shared" si="0"/>
        <v>0</v>
      </c>
      <c r="BC108" s="1">
        <f t="shared" si="0"/>
        <v>0</v>
      </c>
      <c r="BD108" s="1">
        <f t="shared" si="0"/>
        <v>2382</v>
      </c>
      <c r="BE108" s="1">
        <f t="shared" si="0"/>
        <v>0</v>
      </c>
      <c r="BF108" s="1">
        <f t="shared" si="0"/>
        <v>33</v>
      </c>
      <c r="BG108" s="1">
        <f t="shared" si="0"/>
        <v>0</v>
      </c>
      <c r="BH108" s="1">
        <f t="shared" si="0"/>
        <v>11237</v>
      </c>
      <c r="BI108" s="1">
        <f t="shared" si="0"/>
        <v>0</v>
      </c>
      <c r="BJ108" s="1">
        <f t="shared" si="0"/>
        <v>0</v>
      </c>
      <c r="BK108" s="1">
        <f t="shared" si="0"/>
        <v>0</v>
      </c>
    </row>
  </sheetData>
  <sortState ref="AQ3:BK107">
    <sortCondition ref="AQ3:AQ107"/>
  </sortState>
  <mergeCells count="15">
    <mergeCell ref="W1:Z1"/>
    <mergeCell ref="B1:E1"/>
    <mergeCell ref="F1:I1"/>
    <mergeCell ref="J1:M1"/>
    <mergeCell ref="N1:Q1"/>
    <mergeCell ref="R1:U1"/>
    <mergeCell ref="AZ1:BC1"/>
    <mergeCell ref="BD1:BG1"/>
    <mergeCell ref="BH1:BK1"/>
    <mergeCell ref="AA1:AD1"/>
    <mergeCell ref="AE1:AH1"/>
    <mergeCell ref="AI1:AL1"/>
    <mergeCell ref="AM1:AP1"/>
    <mergeCell ref="AR1:AU1"/>
    <mergeCell ref="AV1:AY1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0"/>
  <sheetViews>
    <sheetView topLeftCell="B79" workbookViewId="0">
      <selection activeCell="C107" sqref="C107"/>
    </sheetView>
  </sheetViews>
  <sheetFormatPr baseColWidth="10" defaultColWidth="72.83203125" defaultRowHeight="15" x14ac:dyDescent="0"/>
  <cols>
    <col min="1" max="1" width="13.5" bestFit="1" customWidth="1"/>
    <col min="2" max="2" width="83" customWidth="1"/>
    <col min="3" max="3" width="8.33203125" bestFit="1" customWidth="1"/>
    <col min="4" max="6" width="12.1640625" bestFit="1" customWidth="1"/>
  </cols>
  <sheetData>
    <row r="1" spans="1:6">
      <c r="A1" t="s">
        <v>307</v>
      </c>
      <c r="B1" t="s">
        <v>306</v>
      </c>
      <c r="C1" t="s">
        <v>308</v>
      </c>
      <c r="D1" t="s">
        <v>309</v>
      </c>
      <c r="E1" t="s">
        <v>310</v>
      </c>
      <c r="F1" t="s">
        <v>311</v>
      </c>
    </row>
    <row r="2" spans="1:6">
      <c r="A2" t="s">
        <v>300</v>
      </c>
      <c r="B2" s="5" t="s">
        <v>5</v>
      </c>
      <c r="C2">
        <v>24</v>
      </c>
      <c r="D2">
        <v>9</v>
      </c>
      <c r="E2">
        <v>15</v>
      </c>
      <c r="F2">
        <v>9</v>
      </c>
    </row>
    <row r="3" spans="1:6">
      <c r="A3" t="s">
        <v>300</v>
      </c>
      <c r="B3" s="5" t="s">
        <v>62</v>
      </c>
      <c r="C3">
        <v>107</v>
      </c>
      <c r="D3">
        <v>16</v>
      </c>
      <c r="E3">
        <v>56</v>
      </c>
      <c r="F3">
        <v>16</v>
      </c>
    </row>
    <row r="4" spans="1:6">
      <c r="A4" t="s">
        <v>300</v>
      </c>
      <c r="B4" s="5" t="s">
        <v>6</v>
      </c>
      <c r="C4">
        <v>90</v>
      </c>
      <c r="D4">
        <v>11</v>
      </c>
      <c r="E4">
        <v>44</v>
      </c>
      <c r="F4">
        <v>11</v>
      </c>
    </row>
    <row r="5" spans="1:6">
      <c r="A5" t="s">
        <v>300</v>
      </c>
      <c r="B5" s="5" t="s">
        <v>82</v>
      </c>
      <c r="C5">
        <v>4</v>
      </c>
      <c r="D5">
        <v>0</v>
      </c>
      <c r="E5">
        <v>1</v>
      </c>
      <c r="F5">
        <v>0</v>
      </c>
    </row>
    <row r="6" spans="1:6">
      <c r="A6" t="s">
        <v>300</v>
      </c>
      <c r="B6" s="5" t="s">
        <v>92</v>
      </c>
      <c r="C6">
        <v>3</v>
      </c>
      <c r="D6">
        <v>0</v>
      </c>
      <c r="E6">
        <v>1</v>
      </c>
      <c r="F6">
        <v>0</v>
      </c>
    </row>
    <row r="7" spans="1:6">
      <c r="A7" t="s">
        <v>300</v>
      </c>
      <c r="B7" s="5" t="s">
        <v>53</v>
      </c>
      <c r="C7">
        <v>67</v>
      </c>
      <c r="D7">
        <v>11</v>
      </c>
      <c r="E7">
        <v>34</v>
      </c>
      <c r="F7">
        <v>11</v>
      </c>
    </row>
    <row r="8" spans="1:6">
      <c r="A8" t="s">
        <v>300</v>
      </c>
      <c r="B8" s="5" t="s">
        <v>11</v>
      </c>
      <c r="C8">
        <v>10</v>
      </c>
      <c r="D8">
        <v>0</v>
      </c>
      <c r="E8">
        <v>3</v>
      </c>
      <c r="F8">
        <v>0</v>
      </c>
    </row>
    <row r="9" spans="1:6">
      <c r="A9" t="s">
        <v>300</v>
      </c>
      <c r="B9" s="5" t="s">
        <v>84</v>
      </c>
      <c r="C9">
        <v>65</v>
      </c>
      <c r="D9">
        <v>7</v>
      </c>
      <c r="E9">
        <v>33</v>
      </c>
      <c r="F9">
        <v>7</v>
      </c>
    </row>
    <row r="10" spans="1:6">
      <c r="A10" t="s">
        <v>301</v>
      </c>
      <c r="B10" t="s">
        <v>50</v>
      </c>
      <c r="C10">
        <v>31</v>
      </c>
      <c r="D10">
        <v>2</v>
      </c>
      <c r="E10">
        <v>11</v>
      </c>
      <c r="F10">
        <v>2</v>
      </c>
    </row>
    <row r="11" spans="1:6">
      <c r="A11" t="s">
        <v>301</v>
      </c>
      <c r="B11" t="s">
        <v>47</v>
      </c>
      <c r="C11">
        <v>59</v>
      </c>
      <c r="D11">
        <v>4</v>
      </c>
      <c r="E11">
        <v>20</v>
      </c>
      <c r="F11">
        <v>4</v>
      </c>
    </row>
    <row r="12" spans="1:6">
      <c r="A12" t="s">
        <v>301</v>
      </c>
      <c r="B12" t="s">
        <v>57</v>
      </c>
      <c r="C12">
        <v>11</v>
      </c>
      <c r="D12">
        <v>3</v>
      </c>
      <c r="E12">
        <v>4</v>
      </c>
      <c r="F12">
        <v>3</v>
      </c>
    </row>
    <row r="13" spans="1:6">
      <c r="A13" t="s">
        <v>301</v>
      </c>
      <c r="B13" t="s">
        <v>95</v>
      </c>
      <c r="C13">
        <v>14</v>
      </c>
      <c r="D13">
        <v>3</v>
      </c>
      <c r="E13">
        <v>5</v>
      </c>
      <c r="F13">
        <v>3</v>
      </c>
    </row>
    <row r="14" spans="1:6">
      <c r="A14" t="s">
        <v>301</v>
      </c>
      <c r="B14" t="s">
        <v>41</v>
      </c>
      <c r="C14">
        <v>11</v>
      </c>
      <c r="D14">
        <v>2</v>
      </c>
      <c r="E14">
        <v>3</v>
      </c>
      <c r="F14">
        <v>2</v>
      </c>
    </row>
    <row r="15" spans="1:6">
      <c r="A15" t="s">
        <v>301</v>
      </c>
      <c r="B15" t="s">
        <v>81</v>
      </c>
      <c r="C15">
        <v>129</v>
      </c>
      <c r="D15">
        <v>13</v>
      </c>
      <c r="E15">
        <v>40</v>
      </c>
      <c r="F15">
        <v>11</v>
      </c>
    </row>
    <row r="16" spans="1:6">
      <c r="A16" t="s">
        <v>301</v>
      </c>
      <c r="B16" t="s">
        <v>45</v>
      </c>
      <c r="C16">
        <v>1027</v>
      </c>
      <c r="D16">
        <v>95</v>
      </c>
      <c r="E16">
        <v>311</v>
      </c>
      <c r="F16">
        <v>79</v>
      </c>
    </row>
    <row r="17" spans="1:6">
      <c r="A17" t="s">
        <v>301</v>
      </c>
      <c r="B17" t="s">
        <v>54</v>
      </c>
      <c r="C17">
        <v>560</v>
      </c>
      <c r="D17">
        <v>30</v>
      </c>
      <c r="E17">
        <v>200</v>
      </c>
      <c r="F17">
        <v>27</v>
      </c>
    </row>
    <row r="18" spans="1:6">
      <c r="A18" t="s">
        <v>301</v>
      </c>
      <c r="B18" t="s">
        <v>79</v>
      </c>
      <c r="C18">
        <v>687</v>
      </c>
      <c r="D18">
        <v>45</v>
      </c>
      <c r="E18">
        <v>219</v>
      </c>
      <c r="F18">
        <v>34</v>
      </c>
    </row>
    <row r="19" spans="1:6">
      <c r="A19" t="s">
        <v>301</v>
      </c>
      <c r="B19" t="s">
        <v>9</v>
      </c>
      <c r="C19">
        <v>842</v>
      </c>
      <c r="D19">
        <v>39</v>
      </c>
      <c r="E19">
        <v>267</v>
      </c>
      <c r="F19">
        <v>33</v>
      </c>
    </row>
    <row r="20" spans="1:6">
      <c r="A20" t="s">
        <v>301</v>
      </c>
      <c r="B20" t="s">
        <v>7</v>
      </c>
      <c r="C20">
        <v>69</v>
      </c>
      <c r="D20">
        <v>7</v>
      </c>
      <c r="E20">
        <v>20</v>
      </c>
      <c r="F20">
        <v>7</v>
      </c>
    </row>
    <row r="21" spans="1:6">
      <c r="A21" t="s">
        <v>301</v>
      </c>
      <c r="B21" t="s">
        <v>46</v>
      </c>
      <c r="C21">
        <v>35</v>
      </c>
      <c r="D21">
        <v>3</v>
      </c>
      <c r="E21">
        <v>11</v>
      </c>
      <c r="F21">
        <v>3</v>
      </c>
    </row>
    <row r="22" spans="1:6">
      <c r="A22" t="s">
        <v>301</v>
      </c>
      <c r="B22" t="s">
        <v>99</v>
      </c>
      <c r="C22">
        <v>181</v>
      </c>
      <c r="D22">
        <v>29</v>
      </c>
      <c r="E22">
        <v>106</v>
      </c>
      <c r="F22">
        <v>26</v>
      </c>
    </row>
    <row r="23" spans="1:6">
      <c r="A23" t="s">
        <v>301</v>
      </c>
      <c r="B23" t="s">
        <v>96</v>
      </c>
      <c r="C23">
        <v>278</v>
      </c>
      <c r="D23">
        <v>38</v>
      </c>
      <c r="E23">
        <v>148</v>
      </c>
      <c r="F23">
        <v>35</v>
      </c>
    </row>
    <row r="24" spans="1:6">
      <c r="A24" t="s">
        <v>301</v>
      </c>
      <c r="B24" t="s">
        <v>13</v>
      </c>
      <c r="C24">
        <v>27</v>
      </c>
      <c r="D24">
        <v>7</v>
      </c>
      <c r="E24">
        <v>7</v>
      </c>
      <c r="F24">
        <v>3</v>
      </c>
    </row>
    <row r="25" spans="1:6">
      <c r="A25" t="s">
        <v>301</v>
      </c>
      <c r="B25" t="s">
        <v>93</v>
      </c>
      <c r="C25">
        <v>32</v>
      </c>
      <c r="D25">
        <v>8</v>
      </c>
      <c r="E25">
        <v>8</v>
      </c>
      <c r="F25">
        <v>5</v>
      </c>
    </row>
    <row r="26" spans="1:6">
      <c r="A26" t="s">
        <v>301</v>
      </c>
      <c r="B26" t="s">
        <v>48</v>
      </c>
      <c r="C26">
        <v>160</v>
      </c>
      <c r="D26">
        <v>13</v>
      </c>
      <c r="E26">
        <v>52</v>
      </c>
      <c r="F26">
        <v>11</v>
      </c>
    </row>
    <row r="27" spans="1:6">
      <c r="A27" t="s">
        <v>301</v>
      </c>
      <c r="B27" t="s">
        <v>103</v>
      </c>
      <c r="C27">
        <v>182</v>
      </c>
      <c r="D27">
        <v>26</v>
      </c>
      <c r="E27">
        <v>87</v>
      </c>
      <c r="F27">
        <v>23</v>
      </c>
    </row>
    <row r="28" spans="1:6">
      <c r="A28" t="s">
        <v>301</v>
      </c>
      <c r="B28" t="s">
        <v>31</v>
      </c>
      <c r="C28">
        <v>284</v>
      </c>
      <c r="D28">
        <v>35</v>
      </c>
      <c r="E28">
        <v>135</v>
      </c>
      <c r="F28">
        <v>32</v>
      </c>
    </row>
    <row r="29" spans="1:6">
      <c r="A29" t="s">
        <v>305</v>
      </c>
      <c r="B29" t="s">
        <v>90</v>
      </c>
      <c r="C29">
        <v>8</v>
      </c>
      <c r="D29">
        <v>1</v>
      </c>
      <c r="E29">
        <v>4</v>
      </c>
      <c r="F29">
        <v>1</v>
      </c>
    </row>
    <row r="30" spans="1:6">
      <c r="A30" t="s">
        <v>305</v>
      </c>
      <c r="B30" t="s">
        <v>65</v>
      </c>
      <c r="C30">
        <v>62</v>
      </c>
      <c r="D30">
        <v>6</v>
      </c>
      <c r="E30">
        <v>40</v>
      </c>
      <c r="F30">
        <v>4</v>
      </c>
    </row>
    <row r="31" spans="1:6">
      <c r="A31" t="s">
        <v>305</v>
      </c>
      <c r="B31" t="s">
        <v>86</v>
      </c>
      <c r="C31">
        <v>42</v>
      </c>
      <c r="D31">
        <v>5</v>
      </c>
      <c r="E31">
        <v>25</v>
      </c>
      <c r="F31">
        <v>4</v>
      </c>
    </row>
    <row r="32" spans="1:6">
      <c r="A32" t="s">
        <v>305</v>
      </c>
      <c r="B32" t="s">
        <v>88</v>
      </c>
      <c r="C32">
        <v>72</v>
      </c>
      <c r="D32">
        <v>6</v>
      </c>
      <c r="E32">
        <v>32</v>
      </c>
      <c r="F32">
        <v>5</v>
      </c>
    </row>
    <row r="33" spans="1:6">
      <c r="A33" t="s">
        <v>305</v>
      </c>
      <c r="B33" t="s">
        <v>77</v>
      </c>
      <c r="C33">
        <v>107</v>
      </c>
      <c r="D33">
        <v>9</v>
      </c>
      <c r="E33">
        <v>49</v>
      </c>
      <c r="F33">
        <v>6</v>
      </c>
    </row>
    <row r="34" spans="1:6">
      <c r="A34" t="s">
        <v>305</v>
      </c>
      <c r="B34" t="s">
        <v>17</v>
      </c>
      <c r="C34">
        <v>42</v>
      </c>
      <c r="D34">
        <v>12</v>
      </c>
      <c r="E34">
        <v>21</v>
      </c>
      <c r="F34">
        <v>12</v>
      </c>
    </row>
    <row r="35" spans="1:6">
      <c r="A35" t="s">
        <v>305</v>
      </c>
      <c r="B35" t="s">
        <v>35</v>
      </c>
      <c r="C35">
        <v>20</v>
      </c>
      <c r="D35">
        <v>1</v>
      </c>
      <c r="E35">
        <v>10</v>
      </c>
      <c r="F35">
        <v>1</v>
      </c>
    </row>
    <row r="36" spans="1:6">
      <c r="A36" t="s">
        <v>305</v>
      </c>
      <c r="B36" t="s">
        <v>83</v>
      </c>
      <c r="C36">
        <v>130</v>
      </c>
      <c r="D36">
        <v>11</v>
      </c>
      <c r="E36">
        <v>72</v>
      </c>
      <c r="F36">
        <v>9</v>
      </c>
    </row>
    <row r="37" spans="1:6">
      <c r="A37" t="s">
        <v>305</v>
      </c>
      <c r="B37" t="s">
        <v>80</v>
      </c>
      <c r="C37">
        <v>172</v>
      </c>
      <c r="D37">
        <v>22</v>
      </c>
      <c r="E37">
        <v>102</v>
      </c>
      <c r="F37">
        <v>18</v>
      </c>
    </row>
    <row r="38" spans="1:6">
      <c r="A38" t="s">
        <v>305</v>
      </c>
      <c r="B38" t="s">
        <v>10</v>
      </c>
      <c r="C38">
        <v>32</v>
      </c>
      <c r="D38">
        <v>5</v>
      </c>
      <c r="E38">
        <v>17</v>
      </c>
      <c r="F38">
        <v>5</v>
      </c>
    </row>
    <row r="39" spans="1:6">
      <c r="A39" t="s">
        <v>305</v>
      </c>
      <c r="B39" t="s">
        <v>97</v>
      </c>
      <c r="C39">
        <v>42</v>
      </c>
      <c r="D39">
        <v>5</v>
      </c>
      <c r="E39">
        <v>21</v>
      </c>
      <c r="F39">
        <v>4</v>
      </c>
    </row>
    <row r="40" spans="1:6">
      <c r="A40" t="s">
        <v>305</v>
      </c>
      <c r="B40" t="s">
        <v>15</v>
      </c>
      <c r="C40">
        <v>13</v>
      </c>
      <c r="D40">
        <v>1</v>
      </c>
      <c r="E40">
        <v>7</v>
      </c>
      <c r="F40">
        <v>1</v>
      </c>
    </row>
    <row r="41" spans="1:6">
      <c r="A41" t="s">
        <v>305</v>
      </c>
      <c r="B41" t="s">
        <v>61</v>
      </c>
      <c r="C41">
        <v>69</v>
      </c>
      <c r="D41">
        <v>5</v>
      </c>
      <c r="E41">
        <v>29</v>
      </c>
      <c r="F41">
        <v>5</v>
      </c>
    </row>
    <row r="42" spans="1:6">
      <c r="A42" t="s">
        <v>305</v>
      </c>
      <c r="B42" t="s">
        <v>49</v>
      </c>
      <c r="C42">
        <v>29</v>
      </c>
      <c r="D42">
        <v>1</v>
      </c>
      <c r="E42">
        <v>12</v>
      </c>
      <c r="F42">
        <v>1</v>
      </c>
    </row>
    <row r="43" spans="1:6">
      <c r="A43" t="s">
        <v>305</v>
      </c>
      <c r="B43" t="s">
        <v>78</v>
      </c>
      <c r="C43">
        <v>22</v>
      </c>
      <c r="D43">
        <v>1</v>
      </c>
      <c r="E43">
        <v>10</v>
      </c>
      <c r="F43">
        <v>1</v>
      </c>
    </row>
    <row r="44" spans="1:6">
      <c r="A44" t="s">
        <v>305</v>
      </c>
      <c r="B44" t="s">
        <v>73</v>
      </c>
      <c r="C44">
        <v>40</v>
      </c>
      <c r="D44">
        <v>5</v>
      </c>
      <c r="E44">
        <v>16</v>
      </c>
      <c r="F44">
        <v>5</v>
      </c>
    </row>
    <row r="45" spans="1:6">
      <c r="A45" t="s">
        <v>305</v>
      </c>
      <c r="B45" t="s">
        <v>63</v>
      </c>
      <c r="C45">
        <v>35</v>
      </c>
      <c r="D45">
        <v>2</v>
      </c>
      <c r="E45">
        <v>19</v>
      </c>
      <c r="F45">
        <v>2</v>
      </c>
    </row>
    <row r="46" spans="1:6">
      <c r="A46" t="s">
        <v>305</v>
      </c>
      <c r="B46" t="s">
        <v>59</v>
      </c>
      <c r="C46">
        <v>33</v>
      </c>
      <c r="D46">
        <v>3</v>
      </c>
      <c r="E46">
        <v>14</v>
      </c>
      <c r="F46">
        <v>3</v>
      </c>
    </row>
    <row r="47" spans="1:6">
      <c r="A47" t="s">
        <v>305</v>
      </c>
      <c r="B47" t="s">
        <v>68</v>
      </c>
      <c r="C47">
        <v>141</v>
      </c>
      <c r="D47">
        <v>14</v>
      </c>
      <c r="E47">
        <v>63</v>
      </c>
      <c r="F47">
        <v>12</v>
      </c>
    </row>
    <row r="48" spans="1:6">
      <c r="A48" t="s">
        <v>305</v>
      </c>
      <c r="B48" t="s">
        <v>34</v>
      </c>
      <c r="C48">
        <v>121</v>
      </c>
      <c r="D48">
        <v>12</v>
      </c>
      <c r="E48">
        <v>54</v>
      </c>
      <c r="F48">
        <v>11</v>
      </c>
    </row>
    <row r="49" spans="1:6">
      <c r="A49" t="s">
        <v>305</v>
      </c>
      <c r="B49" t="s">
        <v>4</v>
      </c>
      <c r="C49">
        <v>71</v>
      </c>
      <c r="D49">
        <v>10</v>
      </c>
      <c r="E49">
        <v>21</v>
      </c>
      <c r="F49">
        <v>10</v>
      </c>
    </row>
    <row r="50" spans="1:6">
      <c r="A50" t="s">
        <v>298</v>
      </c>
      <c r="B50" t="s">
        <v>21</v>
      </c>
      <c r="C50">
        <v>132</v>
      </c>
      <c r="D50">
        <v>10</v>
      </c>
      <c r="E50">
        <v>53</v>
      </c>
      <c r="F50">
        <v>10</v>
      </c>
    </row>
    <row r="51" spans="1:6">
      <c r="A51" t="s">
        <v>304</v>
      </c>
      <c r="B51" s="5" t="s">
        <v>52</v>
      </c>
      <c r="C51">
        <v>110</v>
      </c>
      <c r="D51">
        <v>9</v>
      </c>
      <c r="E51">
        <v>36</v>
      </c>
      <c r="F51">
        <v>9</v>
      </c>
    </row>
    <row r="52" spans="1:6">
      <c r="A52" t="s">
        <v>304</v>
      </c>
      <c r="B52" s="5" t="s">
        <v>74</v>
      </c>
      <c r="C52">
        <v>33</v>
      </c>
      <c r="D52">
        <v>2</v>
      </c>
      <c r="E52">
        <v>17</v>
      </c>
      <c r="F52">
        <v>2</v>
      </c>
    </row>
    <row r="53" spans="1:6">
      <c r="A53" t="s">
        <v>304</v>
      </c>
      <c r="B53" s="5" t="s">
        <v>1</v>
      </c>
      <c r="C53">
        <v>45</v>
      </c>
      <c r="D53">
        <v>5</v>
      </c>
      <c r="E53">
        <v>16</v>
      </c>
      <c r="F53">
        <v>4</v>
      </c>
    </row>
    <row r="54" spans="1:6">
      <c r="A54" t="s">
        <v>296</v>
      </c>
      <c r="B54" s="5" t="s">
        <v>32</v>
      </c>
      <c r="C54">
        <v>16</v>
      </c>
      <c r="D54">
        <v>2</v>
      </c>
      <c r="E54">
        <v>5</v>
      </c>
      <c r="F54">
        <v>2</v>
      </c>
    </row>
    <row r="55" spans="1:6">
      <c r="A55" t="s">
        <v>296</v>
      </c>
      <c r="B55" s="5" t="s">
        <v>58</v>
      </c>
      <c r="C55">
        <v>16</v>
      </c>
      <c r="D55">
        <v>2</v>
      </c>
      <c r="E55">
        <v>5</v>
      </c>
      <c r="F55">
        <v>2</v>
      </c>
    </row>
    <row r="56" spans="1:6">
      <c r="A56" t="s">
        <v>296</v>
      </c>
      <c r="B56" s="5" t="s">
        <v>14</v>
      </c>
      <c r="C56">
        <v>15</v>
      </c>
      <c r="D56">
        <v>4</v>
      </c>
      <c r="E56">
        <v>1</v>
      </c>
      <c r="F56">
        <v>1</v>
      </c>
    </row>
    <row r="57" spans="1:6">
      <c r="A57" t="s">
        <v>296</v>
      </c>
      <c r="B57" s="5" t="s">
        <v>39</v>
      </c>
      <c r="C57">
        <v>102</v>
      </c>
      <c r="D57">
        <v>0</v>
      </c>
      <c r="E57">
        <v>13</v>
      </c>
      <c r="F57">
        <v>0</v>
      </c>
    </row>
    <row r="58" spans="1:6">
      <c r="A58" t="s">
        <v>296</v>
      </c>
      <c r="B58" s="5" t="s">
        <v>51</v>
      </c>
      <c r="C58">
        <v>17</v>
      </c>
      <c r="D58">
        <v>0</v>
      </c>
      <c r="E58">
        <v>6</v>
      </c>
      <c r="F58">
        <v>0</v>
      </c>
    </row>
    <row r="59" spans="1:6">
      <c r="A59" t="s">
        <v>296</v>
      </c>
      <c r="B59" s="5" t="s">
        <v>55</v>
      </c>
      <c r="C59">
        <v>61</v>
      </c>
      <c r="D59">
        <v>6</v>
      </c>
      <c r="E59">
        <v>23</v>
      </c>
      <c r="F59">
        <v>6</v>
      </c>
    </row>
    <row r="60" spans="1:6">
      <c r="A60" t="s">
        <v>296</v>
      </c>
      <c r="B60" s="5" t="s">
        <v>85</v>
      </c>
      <c r="C60">
        <v>247</v>
      </c>
      <c r="D60">
        <v>28</v>
      </c>
      <c r="E60">
        <v>137</v>
      </c>
      <c r="F60">
        <v>28</v>
      </c>
    </row>
    <row r="61" spans="1:6">
      <c r="A61" t="s">
        <v>296</v>
      </c>
      <c r="B61" s="5" t="s">
        <v>30</v>
      </c>
      <c r="C61">
        <v>186</v>
      </c>
      <c r="D61">
        <v>1</v>
      </c>
      <c r="E61">
        <v>57</v>
      </c>
      <c r="F61">
        <v>1</v>
      </c>
    </row>
    <row r="62" spans="1:6">
      <c r="A62" t="s">
        <v>296</v>
      </c>
      <c r="B62" s="5" t="s">
        <v>89</v>
      </c>
      <c r="C62">
        <v>74</v>
      </c>
      <c r="D62">
        <v>8</v>
      </c>
      <c r="E62">
        <v>30</v>
      </c>
      <c r="F62">
        <v>8</v>
      </c>
    </row>
    <row r="63" spans="1:6">
      <c r="A63" t="s">
        <v>296</v>
      </c>
      <c r="B63" s="5" t="s">
        <v>0</v>
      </c>
      <c r="C63">
        <v>124</v>
      </c>
      <c r="D63">
        <v>7</v>
      </c>
      <c r="E63">
        <v>47</v>
      </c>
      <c r="F63">
        <v>7</v>
      </c>
    </row>
    <row r="64" spans="1:6">
      <c r="A64" t="s">
        <v>302</v>
      </c>
      <c r="B64" s="5" t="s">
        <v>33</v>
      </c>
      <c r="C64">
        <v>339</v>
      </c>
      <c r="D64">
        <v>55</v>
      </c>
      <c r="E64">
        <v>159</v>
      </c>
      <c r="F64">
        <v>51</v>
      </c>
    </row>
    <row r="65" spans="1:6">
      <c r="A65" t="s">
        <v>302</v>
      </c>
      <c r="B65" s="5" t="s">
        <v>75</v>
      </c>
      <c r="C65">
        <v>366</v>
      </c>
      <c r="D65">
        <v>46</v>
      </c>
      <c r="E65">
        <v>148</v>
      </c>
      <c r="F65">
        <v>39</v>
      </c>
    </row>
    <row r="66" spans="1:6">
      <c r="A66" t="s">
        <v>302</v>
      </c>
      <c r="B66" s="5" t="s">
        <v>23</v>
      </c>
      <c r="C66">
        <v>271</v>
      </c>
      <c r="D66">
        <v>32</v>
      </c>
      <c r="E66">
        <v>97</v>
      </c>
      <c r="F66">
        <v>31</v>
      </c>
    </row>
    <row r="67" spans="1:6">
      <c r="A67" t="s">
        <v>295</v>
      </c>
      <c r="B67" s="5" t="s">
        <v>2</v>
      </c>
      <c r="C67">
        <v>6</v>
      </c>
      <c r="D67">
        <v>1</v>
      </c>
      <c r="E67">
        <v>1</v>
      </c>
      <c r="F67">
        <v>1</v>
      </c>
    </row>
    <row r="68" spans="1:6">
      <c r="A68" t="s">
        <v>295</v>
      </c>
      <c r="B68" s="5" t="s">
        <v>37</v>
      </c>
      <c r="C68">
        <v>4</v>
      </c>
      <c r="D68">
        <v>1</v>
      </c>
      <c r="E68">
        <v>1</v>
      </c>
      <c r="F68">
        <v>1</v>
      </c>
    </row>
    <row r="69" spans="1:6">
      <c r="A69" t="s">
        <v>295</v>
      </c>
      <c r="B69" s="5" t="s">
        <v>72</v>
      </c>
      <c r="C69">
        <v>7</v>
      </c>
      <c r="D69">
        <v>4</v>
      </c>
      <c r="E69">
        <v>1</v>
      </c>
      <c r="F69">
        <v>1</v>
      </c>
    </row>
    <row r="70" spans="1:6">
      <c r="A70" t="s">
        <v>295</v>
      </c>
      <c r="B70" s="5" t="s">
        <v>8</v>
      </c>
      <c r="C70">
        <v>16</v>
      </c>
      <c r="D70">
        <v>2</v>
      </c>
      <c r="E70">
        <v>8</v>
      </c>
      <c r="F70">
        <v>2</v>
      </c>
    </row>
    <row r="71" spans="1:6">
      <c r="A71" t="s">
        <v>295</v>
      </c>
      <c r="B71" s="5" t="s">
        <v>101</v>
      </c>
      <c r="C71">
        <v>168</v>
      </c>
      <c r="D71">
        <v>17</v>
      </c>
      <c r="E71">
        <v>54</v>
      </c>
      <c r="F71">
        <v>16</v>
      </c>
    </row>
    <row r="72" spans="1:6">
      <c r="A72" t="s">
        <v>295</v>
      </c>
      <c r="B72" s="5" t="s">
        <v>3</v>
      </c>
      <c r="C72">
        <v>33</v>
      </c>
      <c r="D72">
        <v>4</v>
      </c>
      <c r="E72">
        <v>16</v>
      </c>
      <c r="F72">
        <v>4</v>
      </c>
    </row>
    <row r="73" spans="1:6">
      <c r="A73" t="s">
        <v>295</v>
      </c>
      <c r="B73" s="5" t="s">
        <v>76</v>
      </c>
      <c r="C73">
        <v>33</v>
      </c>
      <c r="D73">
        <v>4</v>
      </c>
      <c r="E73">
        <v>16</v>
      </c>
      <c r="F73">
        <v>4</v>
      </c>
    </row>
    <row r="74" spans="1:6">
      <c r="A74" t="s">
        <v>295</v>
      </c>
      <c r="B74" s="5" t="s">
        <v>29</v>
      </c>
      <c r="C74">
        <v>16</v>
      </c>
      <c r="D74">
        <v>3</v>
      </c>
      <c r="E74">
        <v>9</v>
      </c>
      <c r="F74">
        <v>3</v>
      </c>
    </row>
    <row r="75" spans="1:6">
      <c r="A75" t="s">
        <v>295</v>
      </c>
      <c r="B75" s="5" t="s">
        <v>98</v>
      </c>
      <c r="C75">
        <v>228</v>
      </c>
      <c r="D75">
        <v>18</v>
      </c>
      <c r="E75">
        <v>65</v>
      </c>
      <c r="F75">
        <v>17</v>
      </c>
    </row>
    <row r="76" spans="1:6">
      <c r="A76" t="s">
        <v>295</v>
      </c>
      <c r="B76" s="5" t="s">
        <v>43</v>
      </c>
      <c r="C76">
        <v>151</v>
      </c>
      <c r="D76">
        <v>17</v>
      </c>
      <c r="E76">
        <v>48</v>
      </c>
      <c r="F76">
        <v>16</v>
      </c>
    </row>
    <row r="77" spans="1:6">
      <c r="A77" t="s">
        <v>295</v>
      </c>
      <c r="B77" s="5" t="s">
        <v>28</v>
      </c>
      <c r="C77">
        <v>135</v>
      </c>
      <c r="D77">
        <v>14</v>
      </c>
      <c r="E77">
        <v>47</v>
      </c>
      <c r="F77">
        <v>13</v>
      </c>
    </row>
    <row r="78" spans="1:6">
      <c r="A78" t="s">
        <v>295</v>
      </c>
      <c r="B78" s="5" t="s">
        <v>40</v>
      </c>
      <c r="C78">
        <v>14</v>
      </c>
      <c r="D78">
        <v>1</v>
      </c>
      <c r="E78">
        <v>7</v>
      </c>
      <c r="F78">
        <v>1</v>
      </c>
    </row>
    <row r="79" spans="1:6">
      <c r="A79" t="s">
        <v>299</v>
      </c>
      <c r="B79" s="5" t="s">
        <v>44</v>
      </c>
      <c r="C79">
        <v>123</v>
      </c>
      <c r="D79">
        <v>0</v>
      </c>
      <c r="E79">
        <v>47</v>
      </c>
      <c r="F79">
        <v>0</v>
      </c>
    </row>
    <row r="80" spans="1:6">
      <c r="A80" t="s">
        <v>297</v>
      </c>
      <c r="B80" t="s">
        <v>56</v>
      </c>
      <c r="C80">
        <v>259</v>
      </c>
      <c r="D80">
        <v>97</v>
      </c>
      <c r="E80">
        <v>82</v>
      </c>
      <c r="F80">
        <v>69</v>
      </c>
    </row>
    <row r="81" spans="1:6">
      <c r="A81" t="s">
        <v>297</v>
      </c>
      <c r="B81" t="s">
        <v>18</v>
      </c>
      <c r="C81">
        <v>142</v>
      </c>
      <c r="D81">
        <v>47</v>
      </c>
      <c r="E81">
        <v>41</v>
      </c>
      <c r="F81">
        <v>29</v>
      </c>
    </row>
    <row r="82" spans="1:6">
      <c r="A82" t="s">
        <v>297</v>
      </c>
      <c r="B82" t="s">
        <v>27</v>
      </c>
      <c r="C82">
        <v>87</v>
      </c>
      <c r="D82">
        <v>25</v>
      </c>
      <c r="E82">
        <v>13</v>
      </c>
      <c r="F82">
        <v>9</v>
      </c>
    </row>
    <row r="83" spans="1:6">
      <c r="A83" t="s">
        <v>297</v>
      </c>
      <c r="B83" t="s">
        <v>69</v>
      </c>
      <c r="C83">
        <v>27</v>
      </c>
      <c r="D83">
        <v>6</v>
      </c>
      <c r="E83">
        <v>7</v>
      </c>
      <c r="F83">
        <v>4</v>
      </c>
    </row>
    <row r="84" spans="1:6">
      <c r="A84" t="s">
        <v>297</v>
      </c>
      <c r="B84" t="s">
        <v>71</v>
      </c>
      <c r="C84">
        <v>144</v>
      </c>
      <c r="D84">
        <v>34</v>
      </c>
      <c r="E84">
        <v>93</v>
      </c>
      <c r="F84">
        <v>32</v>
      </c>
    </row>
    <row r="85" spans="1:6">
      <c r="A85" t="s">
        <v>297</v>
      </c>
      <c r="B85" t="s">
        <v>22</v>
      </c>
      <c r="C85">
        <v>39</v>
      </c>
      <c r="D85">
        <v>9</v>
      </c>
      <c r="E85">
        <v>16</v>
      </c>
      <c r="F85">
        <v>7</v>
      </c>
    </row>
    <row r="86" spans="1:6">
      <c r="A86" t="s">
        <v>297</v>
      </c>
      <c r="B86" t="s">
        <v>94</v>
      </c>
      <c r="C86">
        <v>14</v>
      </c>
      <c r="D86">
        <v>0</v>
      </c>
      <c r="E86">
        <v>4</v>
      </c>
      <c r="F86">
        <v>0</v>
      </c>
    </row>
    <row r="87" spans="1:6">
      <c r="A87" t="s">
        <v>297</v>
      </c>
      <c r="B87" t="s">
        <v>20</v>
      </c>
      <c r="C87">
        <v>143</v>
      </c>
      <c r="D87">
        <v>34</v>
      </c>
      <c r="E87">
        <v>92</v>
      </c>
      <c r="F87">
        <v>32</v>
      </c>
    </row>
    <row r="88" spans="1:6">
      <c r="A88" t="s">
        <v>297</v>
      </c>
      <c r="B88" t="s">
        <v>24</v>
      </c>
      <c r="C88">
        <v>38</v>
      </c>
      <c r="D88">
        <v>9</v>
      </c>
      <c r="E88">
        <v>15</v>
      </c>
      <c r="F88">
        <v>7</v>
      </c>
    </row>
    <row r="89" spans="1:6">
      <c r="A89" t="s">
        <v>297</v>
      </c>
      <c r="B89" t="s">
        <v>26</v>
      </c>
      <c r="C89">
        <v>13</v>
      </c>
      <c r="D89">
        <v>0</v>
      </c>
      <c r="E89">
        <v>3</v>
      </c>
      <c r="F89">
        <v>0</v>
      </c>
    </row>
    <row r="90" spans="1:6">
      <c r="A90" t="s">
        <v>297</v>
      </c>
      <c r="B90" t="s">
        <v>104</v>
      </c>
      <c r="C90">
        <v>15</v>
      </c>
      <c r="D90">
        <v>0</v>
      </c>
      <c r="E90">
        <v>5</v>
      </c>
      <c r="F90">
        <v>0</v>
      </c>
    </row>
    <row r="91" spans="1:6">
      <c r="A91" t="s">
        <v>297</v>
      </c>
      <c r="B91" t="s">
        <v>16</v>
      </c>
      <c r="C91">
        <v>88</v>
      </c>
      <c r="D91">
        <v>14</v>
      </c>
      <c r="E91">
        <v>70</v>
      </c>
      <c r="F91">
        <v>14</v>
      </c>
    </row>
    <row r="92" spans="1:6">
      <c r="A92" t="s">
        <v>297</v>
      </c>
      <c r="B92" t="s">
        <v>91</v>
      </c>
      <c r="C92">
        <v>73</v>
      </c>
      <c r="D92">
        <v>9</v>
      </c>
      <c r="E92">
        <v>22</v>
      </c>
      <c r="F92">
        <v>9</v>
      </c>
    </row>
    <row r="93" spans="1:6">
      <c r="A93" t="s">
        <v>297</v>
      </c>
      <c r="B93" s="5" t="s">
        <v>64</v>
      </c>
      <c r="C93">
        <v>374</v>
      </c>
      <c r="D93">
        <v>70</v>
      </c>
      <c r="E93">
        <v>120</v>
      </c>
      <c r="F93">
        <v>33</v>
      </c>
    </row>
    <row r="94" spans="1:6">
      <c r="A94" t="s">
        <v>297</v>
      </c>
      <c r="B94" s="5" t="s">
        <v>25</v>
      </c>
      <c r="C94">
        <v>125</v>
      </c>
      <c r="D94">
        <v>48</v>
      </c>
      <c r="E94">
        <v>68</v>
      </c>
      <c r="F94">
        <v>28</v>
      </c>
    </row>
    <row r="95" spans="1:6">
      <c r="A95" t="s">
        <v>297</v>
      </c>
      <c r="B95" s="5" t="s">
        <v>36</v>
      </c>
      <c r="C95">
        <v>103</v>
      </c>
      <c r="D95">
        <v>24</v>
      </c>
      <c r="E95">
        <v>59</v>
      </c>
      <c r="F95">
        <v>20</v>
      </c>
    </row>
    <row r="96" spans="1:6">
      <c r="A96" t="s">
        <v>297</v>
      </c>
      <c r="B96" s="5" t="s">
        <v>100</v>
      </c>
      <c r="C96">
        <v>142</v>
      </c>
      <c r="D96">
        <v>28</v>
      </c>
      <c r="E96">
        <v>64</v>
      </c>
      <c r="F96">
        <v>26</v>
      </c>
    </row>
    <row r="97" spans="1:6">
      <c r="A97" t="s">
        <v>297</v>
      </c>
      <c r="B97" s="5" t="s">
        <v>66</v>
      </c>
      <c r="C97">
        <v>112</v>
      </c>
      <c r="D97">
        <v>50</v>
      </c>
      <c r="E97">
        <v>54</v>
      </c>
      <c r="F97">
        <v>27</v>
      </c>
    </row>
    <row r="98" spans="1:6">
      <c r="A98" t="s">
        <v>297</v>
      </c>
      <c r="B98" s="5" t="s">
        <v>60</v>
      </c>
      <c r="C98">
        <v>124</v>
      </c>
      <c r="D98">
        <v>26</v>
      </c>
      <c r="E98">
        <v>54</v>
      </c>
      <c r="F98">
        <v>17</v>
      </c>
    </row>
    <row r="99" spans="1:6">
      <c r="A99" t="s">
        <v>297</v>
      </c>
      <c r="B99" s="5" t="s">
        <v>12</v>
      </c>
      <c r="C99">
        <v>48</v>
      </c>
      <c r="D99">
        <v>14</v>
      </c>
      <c r="E99">
        <v>18</v>
      </c>
      <c r="F99">
        <v>10</v>
      </c>
    </row>
    <row r="100" spans="1:6">
      <c r="A100" t="s">
        <v>297</v>
      </c>
      <c r="B100" t="s">
        <v>42</v>
      </c>
      <c r="C100">
        <v>110</v>
      </c>
      <c r="D100">
        <v>31</v>
      </c>
      <c r="E100">
        <v>47</v>
      </c>
      <c r="F100">
        <v>16</v>
      </c>
    </row>
    <row r="101" spans="1:6">
      <c r="A101" t="s">
        <v>303</v>
      </c>
      <c r="B101" s="5" t="s">
        <v>102</v>
      </c>
      <c r="C101">
        <v>131</v>
      </c>
      <c r="D101">
        <v>6</v>
      </c>
      <c r="E101">
        <v>22</v>
      </c>
      <c r="F101">
        <v>6</v>
      </c>
    </row>
    <row r="102" spans="1:6">
      <c r="A102" t="s">
        <v>303</v>
      </c>
      <c r="B102" s="5" t="s">
        <v>67</v>
      </c>
      <c r="C102">
        <v>405</v>
      </c>
      <c r="D102">
        <v>28</v>
      </c>
      <c r="E102">
        <v>108</v>
      </c>
      <c r="F102">
        <v>27</v>
      </c>
    </row>
    <row r="103" spans="1:6">
      <c r="A103" t="s">
        <v>303</v>
      </c>
      <c r="B103" s="5" t="s">
        <v>70</v>
      </c>
      <c r="C103">
        <v>130</v>
      </c>
      <c r="D103">
        <v>0</v>
      </c>
      <c r="E103">
        <v>33</v>
      </c>
      <c r="F103">
        <v>0</v>
      </c>
    </row>
    <row r="104" spans="1:6">
      <c r="A104" t="s">
        <v>303</v>
      </c>
      <c r="B104" t="s">
        <v>87</v>
      </c>
      <c r="C104">
        <v>17</v>
      </c>
      <c r="D104">
        <v>0</v>
      </c>
      <c r="E104">
        <v>8</v>
      </c>
      <c r="F104">
        <v>0</v>
      </c>
    </row>
    <row r="105" spans="1:6">
      <c r="A105" t="s">
        <v>303</v>
      </c>
      <c r="B105" t="s">
        <v>19</v>
      </c>
      <c r="C105">
        <v>272</v>
      </c>
      <c r="D105">
        <v>4</v>
      </c>
      <c r="E105">
        <v>88</v>
      </c>
      <c r="F105">
        <v>3</v>
      </c>
    </row>
    <row r="106" spans="1:6">
      <c r="A106" t="s">
        <v>303</v>
      </c>
      <c r="B106" t="s">
        <v>38</v>
      </c>
      <c r="C106">
        <v>1601</v>
      </c>
      <c r="D106">
        <v>11</v>
      </c>
      <c r="E106">
        <v>390</v>
      </c>
      <c r="F106">
        <v>11</v>
      </c>
    </row>
    <row r="107" spans="1:6">
      <c r="C107">
        <f>AVERAGE(C2:C106)</f>
        <v>134.81904761904761</v>
      </c>
      <c r="D107">
        <f>AVERAGE(D2:D106)</f>
        <v>14.476190476190476</v>
      </c>
      <c r="E107">
        <f t="shared" ref="E107:F107" si="0">AVERAGE(E2:E106)</f>
        <v>49.952380952380949</v>
      </c>
      <c r="F107">
        <f t="shared" si="0"/>
        <v>11.742857142857142</v>
      </c>
    </row>
    <row r="108" spans="1:6">
      <c r="C108">
        <f>MIN(C2:C106)</f>
        <v>3</v>
      </c>
      <c r="D108">
        <f>MIN(D2:D106)</f>
        <v>0</v>
      </c>
      <c r="E108">
        <f t="shared" ref="E108:F108" si="1">MIN(E2:E106)</f>
        <v>1</v>
      </c>
      <c r="F108">
        <f t="shared" si="1"/>
        <v>0</v>
      </c>
    </row>
    <row r="109" spans="1:6">
      <c r="C109">
        <f>MAX(C2:C106)</f>
        <v>1601</v>
      </c>
      <c r="D109">
        <f>MAX(D2:D106)</f>
        <v>97</v>
      </c>
      <c r="E109">
        <f t="shared" ref="E109:F109" si="2">MAX(E2:E106)</f>
        <v>390</v>
      </c>
      <c r="F109">
        <f t="shared" si="2"/>
        <v>79</v>
      </c>
    </row>
    <row r="110" spans="1:6">
      <c r="C110">
        <f>MEDIAN(C2:C106)</f>
        <v>71</v>
      </c>
      <c r="D110">
        <f>MEDIAN(D2:D106)</f>
        <v>7</v>
      </c>
      <c r="E110">
        <f t="shared" ref="E110:F110" si="3">MEDIAN(E2:E106)</f>
        <v>25</v>
      </c>
      <c r="F110">
        <f t="shared" si="3"/>
        <v>7</v>
      </c>
    </row>
  </sheetData>
  <sortState ref="A1:G105">
    <sortCondition ref="A1:A105"/>
    <sortCondition ref="B1:B105"/>
  </sortState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"/>
  <sheetViews>
    <sheetView workbookViewId="0">
      <selection activeCell="B4" sqref="B4"/>
    </sheetView>
  </sheetViews>
  <sheetFormatPr baseColWidth="10" defaultRowHeight="15" x14ac:dyDescent="0"/>
  <cols>
    <col min="1" max="1" width="15.33203125" bestFit="1" customWidth="1"/>
  </cols>
  <sheetData>
    <row r="1" spans="1:10">
      <c r="A1" s="7" t="s">
        <v>312</v>
      </c>
      <c r="B1" s="7" t="s">
        <v>316</v>
      </c>
      <c r="C1" s="7" t="s">
        <v>317</v>
      </c>
      <c r="D1" s="7" t="s">
        <v>318</v>
      </c>
      <c r="E1" s="7" t="s">
        <v>319</v>
      </c>
      <c r="F1" s="7" t="s">
        <v>320</v>
      </c>
      <c r="G1" s="7" t="s">
        <v>321</v>
      </c>
      <c r="H1" s="7" t="s">
        <v>322</v>
      </c>
      <c r="I1" s="7" t="s">
        <v>323</v>
      </c>
      <c r="J1" s="7" t="s">
        <v>324</v>
      </c>
    </row>
    <row r="2" spans="1:10">
      <c r="A2" s="7" t="s">
        <v>313</v>
      </c>
      <c r="B2" s="7">
        <v>10</v>
      </c>
      <c r="C2" s="7">
        <v>10</v>
      </c>
      <c r="D2" s="7">
        <v>10</v>
      </c>
      <c r="E2" s="7">
        <v>13</v>
      </c>
      <c r="F2" s="7">
        <v>12</v>
      </c>
      <c r="G2" s="7">
        <v>12</v>
      </c>
      <c r="H2" s="7">
        <v>14</v>
      </c>
      <c r="I2" s="7">
        <v>14</v>
      </c>
      <c r="J2" s="7">
        <v>14</v>
      </c>
    </row>
    <row r="3" spans="1:10">
      <c r="A3" s="7" t="s">
        <v>314</v>
      </c>
      <c r="B3" s="7">
        <v>9</v>
      </c>
      <c r="C3" s="7">
        <v>10</v>
      </c>
      <c r="D3" s="7">
        <v>10</v>
      </c>
      <c r="E3" s="7">
        <v>12</v>
      </c>
      <c r="F3" s="7">
        <v>12</v>
      </c>
      <c r="G3" s="7">
        <v>12</v>
      </c>
      <c r="H3" s="7">
        <v>14</v>
      </c>
      <c r="I3" s="7">
        <v>14</v>
      </c>
      <c r="J3" s="7">
        <v>14</v>
      </c>
    </row>
    <row r="4" spans="1:10">
      <c r="A4" s="7" t="s">
        <v>315</v>
      </c>
      <c r="B4" s="7">
        <v>7</v>
      </c>
      <c r="C4" s="7">
        <v>8</v>
      </c>
      <c r="D4" s="7">
        <v>8</v>
      </c>
      <c r="E4" s="7">
        <v>10</v>
      </c>
      <c r="F4" s="7">
        <v>10</v>
      </c>
      <c r="G4" s="7">
        <v>10</v>
      </c>
      <c r="H4" s="7">
        <v>12</v>
      </c>
      <c r="I4" s="7">
        <v>12</v>
      </c>
      <c r="J4" s="7">
        <v>12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RQ Reg vs Block</vt:lpstr>
      <vt:lpstr>time 1</vt:lpstr>
      <vt:lpstr>accuracy dom5dom4</vt:lpstr>
      <vt:lpstr>accuracy dom7dom6</vt:lpstr>
      <vt:lpstr>accuracy dom9dom8</vt:lpstr>
      <vt:lpstr>time 2</vt:lpstr>
      <vt:lpstr>accuracy dom51dom41</vt:lpstr>
      <vt:lpstr>accuracy dom71dom61</vt:lpstr>
      <vt:lpstr>accuracy dom91dom81</vt:lpstr>
      <vt:lpstr>time 3</vt:lpstr>
      <vt:lpstr>accuracy dom52dom42</vt:lpstr>
      <vt:lpstr>accuracy dom72dom62</vt:lpstr>
      <vt:lpstr>accuracy dom92dom82</vt:lpstr>
      <vt:lpstr>Method data</vt:lpstr>
      <vt:lpstr>Domains</vt:lpstr>
    </vt:vector>
  </TitlesOfParts>
  <Company>Boise State University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Elena Sherman</dc:creator>
  <cp:lastModifiedBy>Elena Sherman</cp:lastModifiedBy>
  <dcterms:created xsi:type="dcterms:W3CDTF">2015-04-25T20:09:08Z</dcterms:created>
  <dcterms:modified xsi:type="dcterms:W3CDTF">2015-05-12T01:34:44Z</dcterms:modified>
</cp:coreProperties>
</file>