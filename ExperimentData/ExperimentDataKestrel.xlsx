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725"/>
  <workbookPr showInkAnnotation="0" autoCompressPictures="0"/>
  <bookViews>
    <workbookView xWindow="-100" yWindow="0" windowWidth="37360" windowHeight="21160" tabRatio="500" firstSheet="6" activeTab="12"/>
  </bookViews>
  <sheets>
    <sheet name="time 1" sheetId="4" r:id="rId1"/>
    <sheet name="accuracy dom5dom4" sheetId="1" r:id="rId2"/>
    <sheet name="accuracy dom7dom6" sheetId="2" r:id="rId3"/>
    <sheet name="accuracy dom9dom8" sheetId="3" r:id="rId4"/>
    <sheet name="time 2" sheetId="5" r:id="rId5"/>
    <sheet name="accuracy dom51dom41" sheetId="6" r:id="rId6"/>
    <sheet name="accuracy dom71dom61" sheetId="7" r:id="rId7"/>
    <sheet name="accuracy dom91dom81" sheetId="8" r:id="rId8"/>
    <sheet name="time 3" sheetId="9" r:id="rId9"/>
    <sheet name="accuracy dom52dom42" sheetId="10" r:id="rId10"/>
    <sheet name="accuracy dom72dom62" sheetId="11" r:id="rId11"/>
    <sheet name="accuracy dom92dom82" sheetId="12" r:id="rId12"/>
    <sheet name="Method data" sheetId="13" r:id="rId13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09" i="13" l="1"/>
  <c r="C109" i="13"/>
  <c r="D108" i="13"/>
  <c r="C108" i="13"/>
  <c r="D107" i="13"/>
  <c r="C107" i="13"/>
  <c r="D106" i="13"/>
  <c r="C106" i="13"/>
  <c r="E101" i="13"/>
  <c r="E102" i="13"/>
  <c r="E103" i="13"/>
  <c r="E104" i="13"/>
  <c r="E105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86" i="13"/>
  <c r="E87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42" i="13"/>
  <c r="E43" i="13"/>
  <c r="E44" i="13"/>
  <c r="E45" i="13"/>
  <c r="E46" i="13"/>
  <c r="E47" i="13"/>
  <c r="E48" i="13"/>
  <c r="E49" i="13"/>
  <c r="E50" i="13"/>
  <c r="E51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25" i="13"/>
  <c r="E26" i="13"/>
  <c r="E27" i="13"/>
  <c r="E28" i="13"/>
  <c r="E19" i="13"/>
  <c r="E20" i="13"/>
  <c r="E21" i="13"/>
  <c r="E22" i="13"/>
  <c r="E23" i="13"/>
  <c r="E24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2" i="13"/>
  <c r="E3" i="13"/>
  <c r="E1" i="13"/>
  <c r="BK108" i="12"/>
  <c r="BJ108" i="12"/>
  <c r="BI108" i="12"/>
  <c r="BH108" i="12"/>
  <c r="BG108" i="12"/>
  <c r="BF108" i="12"/>
  <c r="BE108" i="12"/>
  <c r="BD108" i="12"/>
  <c r="BC108" i="12"/>
  <c r="BB108" i="12"/>
  <c r="BA108" i="12"/>
  <c r="AZ108" i="12"/>
  <c r="AY108" i="12"/>
  <c r="AX108" i="12"/>
  <c r="AW108" i="12"/>
  <c r="AV108" i="12"/>
  <c r="AU108" i="12"/>
  <c r="AT108" i="12"/>
  <c r="AS108" i="12"/>
  <c r="AR108" i="12"/>
  <c r="AQ108" i="12"/>
  <c r="AP108" i="12"/>
  <c r="AO108" i="12"/>
  <c r="AN108" i="12"/>
  <c r="AM108" i="12"/>
  <c r="AL108" i="12"/>
  <c r="AK108" i="12"/>
  <c r="AJ108" i="12"/>
  <c r="AI108" i="12"/>
  <c r="AH108" i="12"/>
  <c r="AG108" i="12"/>
  <c r="AF108" i="12"/>
  <c r="AE108" i="12"/>
  <c r="AD108" i="12"/>
  <c r="AC108" i="12"/>
  <c r="AB108" i="12"/>
  <c r="AA108" i="12"/>
  <c r="Z108" i="12"/>
  <c r="Y108" i="12"/>
  <c r="X108" i="12"/>
  <c r="W108" i="12"/>
  <c r="V108" i="12"/>
  <c r="U108" i="12"/>
  <c r="T108" i="12"/>
  <c r="S108" i="12"/>
  <c r="R108" i="12"/>
  <c r="Q108" i="12"/>
  <c r="P108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R108" i="8"/>
  <c r="AQ108" i="8"/>
  <c r="AP108" i="8"/>
  <c r="AO108" i="8"/>
  <c r="AN108" i="8"/>
  <c r="AM108" i="8"/>
  <c r="AL108" i="8"/>
  <c r="AK108" i="8"/>
  <c r="AJ108" i="8"/>
  <c r="AI108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108" i="3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108" i="2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B108" i="1"/>
</calcChain>
</file>

<file path=xl/sharedStrings.xml><?xml version="1.0" encoding="utf-8"?>
<sst xmlns="http://schemas.openxmlformats.org/spreadsheetml/2006/main" count="53339" uniqueCount="292">
  <si>
    <t>&lt;test.StructurePanel: int calculateTranslateConstants(int,int)&gt;</t>
  </si>
  <si>
    <t>&lt;test.QRCodeDataBlockReader: void &lt;init&gt;(int[],int,int)&gt;</t>
  </si>
  <si>
    <t>&lt;test.Base64: boolean isData(byte)&gt;</t>
  </si>
  <si>
    <t>&lt;test.Base64: byte[] encode(java.math.BigInteger,int)&gt;</t>
  </si>
  <si>
    <t>&lt;test.TIFFFaxEncoder: int nextState(byte[],int,int,int)&gt;</t>
  </si>
  <si>
    <t>&lt;test.GeoEngine: boolean checkNSWE(short,int,int,int,int)&gt;</t>
  </si>
  <si>
    <t>&lt;test.GeoEngine: double nCanMoveNext(int,int,int,int,int,int,byte,short,java.lang.Object)&gt;</t>
  </si>
  <si>
    <t>&lt;test.ImageData: void buildDitheredGradientChannel(int,int,int,int,int,boolean,byte[],int,int,int)&gt;</t>
  </si>
  <si>
    <t>&lt;test.Base64: byte[] decode(org.w3c.dom.Element)&gt;</t>
  </si>
  <si>
    <t>&lt;test.ImageData: void blit(int,byte[],int,int,int,int,int,int,int,int,int,int,int,byte[],int,int,int,byte[],int,int,int,int,int,int,int,int,int,int,boolean,boolean)&gt;</t>
  </si>
  <si>
    <t>&lt;test.TIFFFaxDecoder: void getNextChangingElement(int,boolean,int[])&gt;</t>
  </si>
  <si>
    <t>&lt;test.GeoEngine: short getRegionOffset(int,int)&gt;</t>
  </si>
  <si>
    <t>&lt;test.client: void method142(int,int,int,int,int,int,int,int,boolean,int,byte[][][])&gt;</t>
  </si>
  <si>
    <t>&lt;test.ImageData: void setAlpha(int,int,int)&gt;</t>
  </si>
  <si>
    <t>&lt;test.BallonFactory: boolean isInsideBounds(java.awt.Rectangle,int,int)&gt;</t>
  </si>
  <si>
    <t>&lt;test.TIFFFaxDecoder: void updatePointer(int)&gt;</t>
  </si>
  <si>
    <t>&lt;test.Class13: void method226(byte,int,int,int,int[],int,byte[],int,int)&gt;</t>
  </si>
  <si>
    <t>&lt;test.TIFFFaxDecoder: int readEOL(boolean)&gt;</t>
  </si>
  <si>
    <t>&lt;test.Class11: boolean method220(int,int,int,int,int,int,int)&gt;</t>
  </si>
  <si>
    <t>&lt;test.TileRenderor: void drawRoute(java.awt.Graphics,int,int,java.awt.Color)&gt;</t>
  </si>
  <si>
    <t>&lt;test.Class11: void method215(int,int,boolean,boolean,int,int)&gt;</t>
  </si>
  <si>
    <t>&lt;test.FastBlurFilter: void blur(int[],int[],int,int,int)&gt;</t>
  </si>
  <si>
    <t>&lt;test.Class11: void method212(boolean,int,int,int,int,int,int)&gt;</t>
  </si>
  <si>
    <t>&lt;test.InfTree: int huft_build(int[],int,int,int,int[],int[],int[],int[],int[],int[],int[])&gt;</t>
  </si>
  <si>
    <t>&lt;test.Class11: void method216(int,int,int,int,byte,int,boolean)&gt;</t>
  </si>
  <si>
    <t>&lt;test.client: boolean processMenuClick(int,int,int,int,boolean,int,int,int,int,int,int,int,int)&gt;</t>
  </si>
  <si>
    <t>&lt;test.Class11: void method217(int,int,int,int)&gt;</t>
  </si>
  <si>
    <t>&lt;test.Class11: boolean method221(byte,int,int,int,int,int,int,int)&gt;</t>
  </si>
  <si>
    <t>&lt;test.Base64: void decode(java.io.InputStream,java.io.OutputStream)&gt;</t>
  </si>
  <si>
    <t>&lt;test.Base64: int removeWhiteSpace(byte[])&gt;</t>
  </si>
  <si>
    <t>&lt;test.BallonFactory: java.awt.Shape[] getArrow(int,int)&gt;</t>
  </si>
  <si>
    <t>&lt;test.ImageData: void setPixels(int,int,int,int[],int)&gt;</t>
  </si>
  <si>
    <t>&lt;test.BallonFactory: boolean correctHorizontally(java.awt.Rectangle,int,int)&gt;</t>
  </si>
  <si>
    <t>&lt;test.InfBlocks: int proc(int,int,int,int,int,int,int,int,int,int,int,int,int,int)&gt;</t>
  </si>
  <si>
    <t>&lt;test.TIFFFaxEncoder: int encodeT6(byte[],int,int,int,int,byte[])&gt;</t>
  </si>
  <si>
    <t>&lt;test.TIFFFaxDecoder: void decode1D(byte[],byte[],int,int)&gt;</t>
  </si>
  <si>
    <t>&lt;test.client: int method120(int,boolean,int,int,int,int,int,int,int,byte[][][])&gt;</t>
  </si>
  <si>
    <t>&lt;test.Base64: boolean isPad(byte)&gt;</t>
  </si>
  <si>
    <t>&lt;test.TileRenderor: void drawTile(java.awt.Graphics,int,int,int,int)&gt;</t>
  </si>
  <si>
    <t>&lt;test.BallonFactory: java.awt.geom.GeneralPath getNormalPath(java.awt.Rectangle)&gt;</t>
  </si>
  <si>
    <t>&lt;test.Base64: void fillElementWithBigInteger(org.w3c.dom.Element,java.math.BigInteger)&gt;</t>
  </si>
  <si>
    <t>&lt;test.ImageData: int getMSBOffset(int)&gt;</t>
  </si>
  <si>
    <t>&lt;test.WorldController: boolean method324(int,int,int,int)&gt;</t>
  </si>
  <si>
    <t>&lt;test.Base64: void decode(byte[],java.io.OutputStream)&gt;</t>
  </si>
  <si>
    <t>&lt;test.GeoData: float getZ(int,int,int,int)&gt;</t>
  </si>
  <si>
    <t>&lt;test.ImageData: void blit(int,byte[],int,int,int,int,int,int,int,byte[],byte[],byte[],int,byte[],int,int,int,byte[],int,int,int,int,int,int,int,byte[],byte[],byte[],boolean,boolean)&gt;</t>
  </si>
  <si>
    <t>&lt;test.ImageData: void buildPreciseGradientChannel(int,int,int,int,int,boolean,byte[],int,int)&gt;</t>
  </si>
  <si>
    <t>&lt;test.ImageData: int closestMatch(int,byte,byte,byte,int,int,int,byte[],byte[],byte[])&gt;</t>
  </si>
  <si>
    <t>&lt;test.ImageData: void setPixel(int,int,int)&gt;</t>
  </si>
  <si>
    <t>&lt;test.TIFFFaxEncoder: int add2DBits(byte[],int,int[][],int)&gt;</t>
  </si>
  <si>
    <t>&lt;test.ImageData: byte[] convertPad(byte[],int,int,int,int,int)&gt;</t>
  </si>
  <si>
    <t>&lt;test.BallonFactory: java.awt.Rectangle addPadding(java.awt.Rectangle)&gt;</t>
  </si>
  <si>
    <t>&lt;test.QRCodeDataBlockReader: int getNextBits(int,int,int)&gt;</t>
  </si>
  <si>
    <t>&lt;test.GeoEngine: java.lang.Object moveCheck(java.lang.Object,java.lang.Object,int,int,int,int,int,int)&gt;</t>
  </si>
  <si>
    <t>&lt;test.ImageData: void blit(int,byte[],int,int,int,int,int,int,int,byte[],byte[],byte[],int,byte[],int,int,int,byte[],int,int,int,int,int,int,int,int,int,int,boolean,boolean)&gt;</t>
  </si>
  <si>
    <t>&lt;test.BallonFactory: java.awt.Rectangle getTextBounds(int,int,int,int)&gt;</t>
  </si>
  <si>
    <t>&lt;test.Class11: boolean method219(int,int,int,int,int,int,int)&gt;</t>
  </si>
  <si>
    <t>&lt;test.ImageData: int getChannelShift(int)&gt;</t>
  </si>
  <si>
    <t>&lt;test.BallonFactory: boolean correctVertically(java.awt.Rectangle,int,int)&gt;</t>
  </si>
  <si>
    <t>&lt;test.TIFFFaxEncoder: int encodeRLE(byte[],int,int,int,byte[],boolean)&gt;</t>
  </si>
  <si>
    <t>&lt;test.client: void method108(int,int,int,int,int,int,int[],int,int,int,int,byte[][][],int[][][],int,int)&gt;</t>
  </si>
  <si>
    <t>&lt;test.TIFFFaxEncoder: int add1DBits(byte[],int,int,int)&gt;</t>
  </si>
  <si>
    <t>&lt;test.GeoEngine: boolean nLOS(int,int,int,int,int,int,boolean,short,byte,int)&gt;</t>
  </si>
  <si>
    <t>&lt;test.TIFFFaxEncoder: int encode1D(byte[],int,int,int,byte[],int)&gt;</t>
  </si>
  <si>
    <t>&lt;test.client: boolean method85(int,int,int,int,int,int,int,int,int,int,boolean,int,int[][],int[][],int[],int[],int[][],int,int)&gt;</t>
  </si>
  <si>
    <t>&lt;test.TIFFFaxDecoder: int decodeBlackCodeWord()&gt;</t>
  </si>
  <si>
    <t>&lt;test.client: void determineMenuSize(int,int,int,int,int)&gt;</t>
  </si>
  <si>
    <t>&lt;test.MapViewer: void paintRoutes(java.awt.Graphics,int,java.lang.Object[][])&gt;</t>
  </si>
  <si>
    <t>&lt;test.TIFFFaxEncoder: int encodeT4(boolean,boolean,byte[],int,int,int,int,byte[])&gt;</t>
  </si>
  <si>
    <t>&lt;test.Class11: void method210()&gt;</t>
  </si>
  <si>
    <t>&lt;test.TileRenderor: void &lt;init&gt;()&gt;</t>
  </si>
  <si>
    <t>&lt;test.Class11: void method211(int,int,int,int,byte,boolean)&gt;</t>
  </si>
  <si>
    <t>&lt;test.Base64: boolean isWhiteSpace(byte)&gt;</t>
  </si>
  <si>
    <t>&lt;test.TIFFFaxEncoder: int addEOL(boolean,boolean,boolean,byte[],int)&gt;</t>
  </si>
  <si>
    <t>&lt;test.QRCodeDataBlockReader: java.lang.String getKanjiString(int)&gt;</t>
  </si>
  <si>
    <t>&lt;test.InfCodes: int proc(test.InfBlocks,int,int)&gt;</t>
  </si>
  <si>
    <t>&lt;test.Base64: byte[] getBytes(java.math.BigInteger,int)&gt;</t>
  </si>
  <si>
    <t>&lt;test.TIFFFaxDecoder: int nextNBits(int)&gt;</t>
  </si>
  <si>
    <t>&lt;test.TIFFFaxEncoder: int addEOFB(byte[],int)&gt;</t>
  </si>
  <si>
    <t>&lt;test.ImageData: void blit(int,byte[],int,int,int,int,int,int,int,int,int,int,int,byte[],int,int,int,byte[],int,int,int,int,int,int,int,byte[],byte[],byte[],boolean,boolean)&gt;</t>
  </si>
  <si>
    <t>&lt;test.TIFFFaxDecoder: void decodeT6(byte[],byte[],int,int,long)&gt;</t>
  </si>
  <si>
    <t>&lt;test.ImageData: int getPixel(int,int)&gt;</t>
  </si>
  <si>
    <t>&lt;test.GeoEngine: int getBlock(int)&gt;</t>
  </si>
  <si>
    <t>&lt;test.TIFFFaxDecoder: void decode2D(byte[],byte[],int,int,long)&gt;</t>
  </si>
  <si>
    <t>&lt;test.GeoEngine: short nGetNSWE(int,int,int,byte,short)&gt;</t>
  </si>
  <si>
    <t>&lt;test.BallonFactory: java.awt.Shape getCirclePath(java.awt.Rectangle)&gt;</t>
  </si>
  <si>
    <t>&lt;test.TIFFFaxDecoder: int decodeWhiteCodeWord()&gt;</t>
  </si>
  <si>
    <t>&lt;test.TileRenderor: void createRotatedImage(java.awt.Graphics,java.lang.String,java.awt.Color,java.awt.Color,int)&gt;</t>
  </si>
  <si>
    <t>&lt;test.TIFFFaxDecoder: int nextLesserThan8Bits(int)&gt;</t>
  </si>
  <si>
    <t>&lt;test.BallonFactory: java.util.ArrayList getLines(java.awt.FontMetrics,java.lang.String,double,int)&gt;</t>
  </si>
  <si>
    <t>&lt;test.TIFFFaxDecoder: boolean advancePointer()&gt;</t>
  </si>
  <si>
    <t>&lt;test.Class13: void method232(int[],int[],int[],byte[],int,int,int)&gt;</t>
  </si>
  <si>
    <t>&lt;test.GeoEngine: int getCell(int)&gt;</t>
  </si>
  <si>
    <t>&lt;test.ImageData: void setAlphas(int,int,int,byte[],int)&gt;</t>
  </si>
  <si>
    <t>&lt;test.Class11: void method213(int,int,int)&gt;</t>
  </si>
  <si>
    <t>&lt;test.ImageData: int getChannelWidth(int,int)&gt;</t>
  </si>
  <si>
    <t>&lt;test.ImageData: void getPixels(int,int,int,int[],int)&gt;</t>
  </si>
  <si>
    <t>&lt;test.TIFFFaxDecoder: void setToBlack(byte[],int,int,int)&gt;</t>
  </si>
  <si>
    <t>&lt;test.Base64: java.lang.String encode(byte[],int)&gt;</t>
  </si>
  <si>
    <t>&lt;test.ImageData: void getPixels(int,int,int,byte[],int)&gt;</t>
  </si>
  <si>
    <t>&lt;test.client: void calcCameraPos(int,int,int,int,int,int,int,int,int,int,int,int,int,int,int,int)&gt;</t>
  </si>
  <si>
    <t>&lt;test.Base64: byte[] decodeInternal(byte[])&gt;</t>
  </si>
  <si>
    <t>&lt;test.MapViewer: void paint(java.awt.Graphics,java.lang.Object[][],int,int,int,int,int,int)&gt;</t>
  </si>
  <si>
    <t>&lt;test.ImageData: void setPixels(int,int,int,byte[],int)&gt;</t>
  </si>
  <si>
    <t>&lt;test.Class11: void method218(int,int,int)&gt;</t>
  </si>
  <si>
    <t>sat/sat</t>
  </si>
  <si>
    <t>unsat/sat</t>
  </si>
  <si>
    <t>sat/unsat</t>
  </si>
  <si>
    <t>unsat/unsat</t>
  </si>
  <si>
    <t>dom5N_vs_dom5Y</t>
  </si>
  <si>
    <t>dom4N_vs_dom4Y</t>
  </si>
  <si>
    <t>dom5N_vs_dom4N</t>
  </si>
  <si>
    <t>dom5Y_vs_dom4N</t>
  </si>
  <si>
    <t>dom5Y_vs_dom4Y</t>
  </si>
  <si>
    <t>Method</t>
  </si>
  <si>
    <t>dom5_4N_vs_dom5_4Y</t>
  </si>
  <si>
    <t>dom5N_vs_dom5_4N</t>
  </si>
  <si>
    <t>dom5Y_vs_dom5_4N</t>
  </si>
  <si>
    <t>dom5Y_vs_dom5_4Y</t>
  </si>
  <si>
    <t>dom4N_vs_dom5_4N</t>
  </si>
  <si>
    <t>dom4Y_vs_dom5_4N</t>
  </si>
  <si>
    <t>dom4Y_vs_dom5_4Y</t>
  </si>
  <si>
    <t>Total</t>
  </si>
  <si>
    <t>dom7N_vs_dom7Y</t>
  </si>
  <si>
    <t>dom6N_vs_dom6Y</t>
  </si>
  <si>
    <t>dom7N_vs_dom6N</t>
  </si>
  <si>
    <t>dom7Y_vs_dom6N</t>
  </si>
  <si>
    <t>dom7Y_vs_dom6Y</t>
  </si>
  <si>
    <t>dom7_6N_vs_dom7_6Y</t>
  </si>
  <si>
    <t>dom7N_vs_dom7_6N</t>
  </si>
  <si>
    <t>dom7Y_vs_dom7_6N</t>
  </si>
  <si>
    <t>dom7Y_vs_dom7_6Y</t>
  </si>
  <si>
    <t>dom6N_vs_dom7_6N</t>
  </si>
  <si>
    <t>dom6Y_vs_dom7_6N</t>
  </si>
  <si>
    <t>dom6Y_vs_dom7_6Y</t>
  </si>
  <si>
    <t>dom9N_vs_dom9Y</t>
  </si>
  <si>
    <t>dom8N_vs_dom8Y</t>
  </si>
  <si>
    <t>dom9N_vs_dom8N</t>
  </si>
  <si>
    <t>dom9Y_vs_dom8N</t>
  </si>
  <si>
    <t>dom9Y_vs_dom8Y</t>
  </si>
  <si>
    <t>dom9_8N_vs_dom9_8Y</t>
  </si>
  <si>
    <t>dom9N_vs_dom9_8N</t>
  </si>
  <si>
    <t>dom9Y_vs_dom9_8N</t>
  </si>
  <si>
    <t>dom9Y_vs_dom9_8Y</t>
  </si>
  <si>
    <t>dom8N_vs_dom9_8N</t>
  </si>
  <si>
    <t>dom8Y_vs_dom9_8N</t>
  </si>
  <si>
    <t>dom8Y_vs_dom9_8Y</t>
  </si>
  <si>
    <t>test.BallonFactory</t>
  </si>
  <si>
    <t>dom4_sN</t>
  </si>
  <si>
    <t>dom4_sY</t>
  </si>
  <si>
    <t>dom5_4_sN</t>
  </si>
  <si>
    <t>dom5_4_sY</t>
  </si>
  <si>
    <t>dom5_sN</t>
  </si>
  <si>
    <t>dom5_sY</t>
  </si>
  <si>
    <t>dom6_sN</t>
  </si>
  <si>
    <t>dom6_sY</t>
  </si>
  <si>
    <t>dom7_6_sN</t>
  </si>
  <si>
    <t>dom7_6_sY</t>
  </si>
  <si>
    <t>dom7_sN</t>
  </si>
  <si>
    <t>dom7_sY</t>
  </si>
  <si>
    <t>dom8_sN</t>
  </si>
  <si>
    <t>dom9_8_sN</t>
  </si>
  <si>
    <t>dom9_8_sY</t>
  </si>
  <si>
    <t>dom8_sY</t>
  </si>
  <si>
    <t>dom9_sN</t>
  </si>
  <si>
    <t>dom9_sY</t>
  </si>
  <si>
    <t>test.Base64</t>
  </si>
  <si>
    <t>test.Class11</t>
  </si>
  <si>
    <t>test.Class13</t>
  </si>
  <si>
    <t>test.client</t>
  </si>
  <si>
    <t>test.GeoEngine</t>
  </si>
  <si>
    <t>test.GeoData</t>
  </si>
  <si>
    <t>test.QRCodeDataBlockReader</t>
  </si>
  <si>
    <t>test.TileRenderor</t>
  </si>
  <si>
    <t>test.StructurePanel</t>
  </si>
  <si>
    <t>test.MapViewer</t>
  </si>
  <si>
    <t>test.InfTree</t>
  </si>
  <si>
    <t>test.InfBlocks</t>
  </si>
  <si>
    <t>test.InfCodes</t>
  </si>
  <si>
    <t>test.WorldController</t>
  </si>
  <si>
    <t>test.TIFFFaxDecoder</t>
  </si>
  <si>
    <t>test.TIFFFaxEncoder</t>
  </si>
  <si>
    <t>test.ImageData</t>
  </si>
  <si>
    <t>test.FastBlurFilter</t>
  </si>
  <si>
    <t>dom51_sN</t>
  </si>
  <si>
    <t>dom51_sY</t>
  </si>
  <si>
    <t>dom41_sN</t>
  </si>
  <si>
    <t>dom41_sY</t>
  </si>
  <si>
    <t>dom51_41_sN</t>
  </si>
  <si>
    <t>dom51_41_sY</t>
  </si>
  <si>
    <t>dom71_sN</t>
  </si>
  <si>
    <t>dom71_sY</t>
  </si>
  <si>
    <t>dom61_sN</t>
  </si>
  <si>
    <t>dom61_sY</t>
  </si>
  <si>
    <t>dom71_61_sN</t>
  </si>
  <si>
    <t>dom71_61_sY</t>
  </si>
  <si>
    <t>dom91_sN</t>
  </si>
  <si>
    <t>dom91_sY</t>
  </si>
  <si>
    <t>dom81_sN</t>
  </si>
  <si>
    <t>dom81_sY</t>
  </si>
  <si>
    <t>dom91_81_sN</t>
  </si>
  <si>
    <t>dom91_81_sY</t>
  </si>
  <si>
    <t>dom51N_vs_dom51Y</t>
  </si>
  <si>
    <t>dom41N_vs_dom41Y</t>
  </si>
  <si>
    <t>dom51Y_vs_dom41N</t>
  </si>
  <si>
    <t>dom51N_vs_dom51_41N</t>
  </si>
  <si>
    <t>dom51Y_vs_dom51_41Y</t>
  </si>
  <si>
    <t>dom41N_vs_dom51_41N</t>
  </si>
  <si>
    <t>dom41Y_vs_dom51_41N</t>
  </si>
  <si>
    <t>dom41Y_vs_dom51_41Y</t>
  </si>
  <si>
    <t>dom51Y_vs_dom41Y</t>
  </si>
  <si>
    <t>dom51N_vs_dom41N</t>
  </si>
  <si>
    <t>dom51_41N_vs_dom51_41Y</t>
  </si>
  <si>
    <t>dom51Y_vs_dom51_41N</t>
  </si>
  <si>
    <t>dom61N_vs_dom61Y</t>
  </si>
  <si>
    <t>dom71N_vs_dom71Y</t>
  </si>
  <si>
    <t>dom71N_vs_dom61N</t>
  </si>
  <si>
    <t>dom71Y_vs_dom61N</t>
  </si>
  <si>
    <t>dom71Y_vs_dom61Y</t>
  </si>
  <si>
    <t>dom71_61N_vs_dom71_61Y</t>
  </si>
  <si>
    <t>dom71N_vs_dom71_61N</t>
  </si>
  <si>
    <t>dom71Y_vs_dom71_61N</t>
  </si>
  <si>
    <t>dom71Y_vs_dom71_61Y</t>
  </si>
  <si>
    <t>dom61N_vs_dom71_61N</t>
  </si>
  <si>
    <t>dom61Y_vs_dom71_61N</t>
  </si>
  <si>
    <t>dom61Y_vs_dom71_61Y</t>
  </si>
  <si>
    <t>dom81N_vs_dom81Y</t>
  </si>
  <si>
    <t>dom91N_vs_dom91Y</t>
  </si>
  <si>
    <t>dom91N_vs_dom81N</t>
  </si>
  <si>
    <t>dom91Y_vs_dom81N</t>
  </si>
  <si>
    <t>dom91Y_vs_dom81Y</t>
  </si>
  <si>
    <t>dom91_81N_vs_dom91_81Y</t>
  </si>
  <si>
    <t>dom91N_vs_dom91_81N</t>
  </si>
  <si>
    <t>dom91Y_vs_dom91_81N</t>
  </si>
  <si>
    <t>dom91Y_vs_dom91_81Y</t>
  </si>
  <si>
    <t>dom81N_vs_dom91_81N</t>
  </si>
  <si>
    <t>dom81Y_vs_dom91_81N</t>
  </si>
  <si>
    <t>dom81Y_vs_dom91_81Y</t>
  </si>
  <si>
    <t>dom42_sN</t>
  </si>
  <si>
    <t>dom42_sY</t>
  </si>
  <si>
    <t>dom52_sN</t>
  </si>
  <si>
    <t>dom52_sY</t>
  </si>
  <si>
    <t>dom52_42_sN</t>
  </si>
  <si>
    <t>dom52_42_sY</t>
  </si>
  <si>
    <t>dom62_sN</t>
  </si>
  <si>
    <t>dom62_sY</t>
  </si>
  <si>
    <t>dom72_sN</t>
  </si>
  <si>
    <t>dom72_sY</t>
  </si>
  <si>
    <t>dom72_62_sN</t>
  </si>
  <si>
    <t>dom72_62_sY</t>
  </si>
  <si>
    <t>dom82_sN</t>
  </si>
  <si>
    <t>dom82_sY</t>
  </si>
  <si>
    <t>dom92_sN</t>
  </si>
  <si>
    <t>dom92_sY</t>
  </si>
  <si>
    <t>dom92_82_sN</t>
  </si>
  <si>
    <t>dom92_82_sY</t>
  </si>
  <si>
    <t>dom42N_vs_dom42Y</t>
  </si>
  <si>
    <t>dom52N_vs_dom52Y</t>
  </si>
  <si>
    <t>dom52N_vs_dom42N</t>
  </si>
  <si>
    <t>dom52Y_vs_dom42N</t>
  </si>
  <si>
    <t>dom52Y_vs_dom42Y</t>
  </si>
  <si>
    <t>dom52_42N_vs_dom52_42Y</t>
  </si>
  <si>
    <t>dom52N_vs_dom52_42N</t>
  </si>
  <si>
    <t>dom52Y_vs_dom52_42N</t>
  </si>
  <si>
    <t>dom52Y_vs_dom52_42Y</t>
  </si>
  <si>
    <t>dom42N_vs_dom52_42N</t>
  </si>
  <si>
    <t>dom42Y_vs_dom52_42N</t>
  </si>
  <si>
    <t>dom42Y_vs_dom52_42Y</t>
  </si>
  <si>
    <t>dom62N_vs_dom62Y</t>
  </si>
  <si>
    <t>dom72N_vs_dom72Y</t>
  </si>
  <si>
    <t>dom72N_vs_dom62N</t>
  </si>
  <si>
    <t>dom72Y_vs_dom62N</t>
  </si>
  <si>
    <t>dom72Y_vs_dom62Y</t>
  </si>
  <si>
    <t>dom72_62N_vs_dom72_62Y</t>
  </si>
  <si>
    <t>dom72N_vs_dom72_62N</t>
  </si>
  <si>
    <t>dom72Y_vs_dom72_62N</t>
  </si>
  <si>
    <t>dom72Y_vs_dom72_62Y</t>
  </si>
  <si>
    <t>dom62N_vs_dom72_62N</t>
  </si>
  <si>
    <t>dom62Y_vs_dom72_62N</t>
  </si>
  <si>
    <t>dom62Y_vs_dom72_62Y</t>
  </si>
  <si>
    <t>dom92N_vs_dom92Y</t>
  </si>
  <si>
    <t>dom82N_vs_dom82Y</t>
  </si>
  <si>
    <t>dom92N_vs_dom82N</t>
  </si>
  <si>
    <t>dom92Y_vs_dom82N</t>
  </si>
  <si>
    <t>dom92Y_vs_dom82Y</t>
  </si>
  <si>
    <t>dom92_82N_vs_dom92_82Y</t>
  </si>
  <si>
    <t>dom92N_vs_dom92_82N</t>
  </si>
  <si>
    <t>dom92Y_vs_dom92_82N</t>
  </si>
  <si>
    <t>dom92Y_vs_dom92_82Y</t>
  </si>
  <si>
    <t>dom82N_vs_dom92_82N</t>
  </si>
  <si>
    <t>dom82Y_vs_dom92_82N</t>
  </si>
  <si>
    <t>dom82Y_vs_dom92_82Y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</si>
</sst>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b/>
      <sz val="12"/>
      <color rgb="FF3F3F3F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8">
    <xf numFmtId="0" fontId="0" fillId="0" borderId="0"/>
    <xf numFmtId="0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1"/>
    <xf numFmtId="0" fontId="4" fillId="0" borderId="0" xfId="0" applyFont="1"/>
    <xf numFmtId="0" fontId="0" fillId="0" borderId="0" xfId="0" applyFill="1"/>
    <xf numFmtId="0" fontId="4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Alignment="1">
      <alignment horizontal="center"/>
    </xf>
  </cellXfs>
  <cellStyles count="3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Normal" xfId="0" builtinId="0"/>
    <cellStyle name="Output" xfId="1" builtinId="2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47625">
              <a:noFill/>
            </a:ln>
          </c:spPr>
          <c:trendline>
            <c:trendlineType val="linear"/>
            <c:intercept val="0.0"/>
            <c:dispRSqr val="0"/>
            <c:dispEq val="1"/>
            <c:trendlineLbl>
              <c:layout/>
              <c:numFmt formatCode="General" sourceLinked="0"/>
            </c:trendlineLbl>
          </c:trendline>
          <c:xVal>
            <c:numRef>
              <c:f>'Method data'!$C$1:$C$105</c:f>
              <c:numCache>
                <c:formatCode>General</c:formatCode>
                <c:ptCount val="105"/>
                <c:pt idx="0">
                  <c:v>16.0</c:v>
                </c:pt>
                <c:pt idx="1">
                  <c:v>16.0</c:v>
                </c:pt>
                <c:pt idx="2">
                  <c:v>15.0</c:v>
                </c:pt>
                <c:pt idx="3">
                  <c:v>102.0</c:v>
                </c:pt>
                <c:pt idx="4">
                  <c:v>17.0</c:v>
                </c:pt>
                <c:pt idx="5">
                  <c:v>61.0</c:v>
                </c:pt>
                <c:pt idx="6">
                  <c:v>247.0</c:v>
                </c:pt>
                <c:pt idx="7">
                  <c:v>186.0</c:v>
                </c:pt>
                <c:pt idx="8">
                  <c:v>74.0</c:v>
                </c:pt>
                <c:pt idx="9">
                  <c:v>6.0</c:v>
                </c:pt>
                <c:pt idx="10">
                  <c:v>4.0</c:v>
                </c:pt>
                <c:pt idx="11">
                  <c:v>7.0</c:v>
                </c:pt>
                <c:pt idx="12">
                  <c:v>16.0</c:v>
                </c:pt>
                <c:pt idx="13">
                  <c:v>168.0</c:v>
                </c:pt>
                <c:pt idx="14">
                  <c:v>33.0</c:v>
                </c:pt>
                <c:pt idx="15">
                  <c:v>33.0</c:v>
                </c:pt>
                <c:pt idx="16">
                  <c:v>16.0</c:v>
                </c:pt>
                <c:pt idx="17">
                  <c:v>228.0</c:v>
                </c:pt>
                <c:pt idx="18">
                  <c:v>151.0</c:v>
                </c:pt>
                <c:pt idx="19">
                  <c:v>135.0</c:v>
                </c:pt>
                <c:pt idx="20">
                  <c:v>14.0</c:v>
                </c:pt>
                <c:pt idx="21">
                  <c:v>259.0</c:v>
                </c:pt>
                <c:pt idx="22">
                  <c:v>142.0</c:v>
                </c:pt>
                <c:pt idx="23">
                  <c:v>87.0</c:v>
                </c:pt>
                <c:pt idx="24">
                  <c:v>27.0</c:v>
                </c:pt>
                <c:pt idx="25">
                  <c:v>144.0</c:v>
                </c:pt>
                <c:pt idx="26">
                  <c:v>39.0</c:v>
                </c:pt>
                <c:pt idx="27">
                  <c:v>14.0</c:v>
                </c:pt>
                <c:pt idx="28">
                  <c:v>143.0</c:v>
                </c:pt>
                <c:pt idx="29">
                  <c:v>38.0</c:v>
                </c:pt>
                <c:pt idx="30">
                  <c:v>13.0</c:v>
                </c:pt>
                <c:pt idx="31">
                  <c:v>15.0</c:v>
                </c:pt>
                <c:pt idx="32">
                  <c:v>88.0</c:v>
                </c:pt>
                <c:pt idx="33">
                  <c:v>73.0</c:v>
                </c:pt>
                <c:pt idx="34">
                  <c:v>374.0</c:v>
                </c:pt>
                <c:pt idx="35">
                  <c:v>125.0</c:v>
                </c:pt>
                <c:pt idx="36">
                  <c:v>103.0</c:v>
                </c:pt>
                <c:pt idx="37">
                  <c:v>142.0</c:v>
                </c:pt>
                <c:pt idx="38">
                  <c:v>112.0</c:v>
                </c:pt>
                <c:pt idx="39">
                  <c:v>124.0</c:v>
                </c:pt>
                <c:pt idx="40">
                  <c:v>48.0</c:v>
                </c:pt>
                <c:pt idx="41">
                  <c:v>132.0</c:v>
                </c:pt>
                <c:pt idx="42">
                  <c:v>123.0</c:v>
                </c:pt>
                <c:pt idx="43">
                  <c:v>24.0</c:v>
                </c:pt>
                <c:pt idx="44">
                  <c:v>107.0</c:v>
                </c:pt>
                <c:pt idx="45">
                  <c:v>90.0</c:v>
                </c:pt>
                <c:pt idx="46">
                  <c:v>4.0</c:v>
                </c:pt>
                <c:pt idx="47">
                  <c:v>3.0</c:v>
                </c:pt>
                <c:pt idx="48">
                  <c:v>67.0</c:v>
                </c:pt>
                <c:pt idx="49">
                  <c:v>10.0</c:v>
                </c:pt>
                <c:pt idx="50">
                  <c:v>65.0</c:v>
                </c:pt>
                <c:pt idx="51">
                  <c:v>31.0</c:v>
                </c:pt>
                <c:pt idx="52">
                  <c:v>59.0</c:v>
                </c:pt>
                <c:pt idx="53">
                  <c:v>11.0</c:v>
                </c:pt>
                <c:pt idx="54">
                  <c:v>14.0</c:v>
                </c:pt>
                <c:pt idx="55">
                  <c:v>11.0</c:v>
                </c:pt>
                <c:pt idx="56">
                  <c:v>129.0</c:v>
                </c:pt>
                <c:pt idx="57">
                  <c:v>1027.0</c:v>
                </c:pt>
                <c:pt idx="58">
                  <c:v>560.0</c:v>
                </c:pt>
                <c:pt idx="59">
                  <c:v>687.0</c:v>
                </c:pt>
                <c:pt idx="60">
                  <c:v>842.0</c:v>
                </c:pt>
                <c:pt idx="61">
                  <c:v>69.0</c:v>
                </c:pt>
                <c:pt idx="62">
                  <c:v>35.0</c:v>
                </c:pt>
                <c:pt idx="63">
                  <c:v>181.0</c:v>
                </c:pt>
                <c:pt idx="64">
                  <c:v>278.0</c:v>
                </c:pt>
                <c:pt idx="65">
                  <c:v>27.0</c:v>
                </c:pt>
                <c:pt idx="66">
                  <c:v>32.0</c:v>
                </c:pt>
                <c:pt idx="67">
                  <c:v>160.0</c:v>
                </c:pt>
                <c:pt idx="68">
                  <c:v>182.0</c:v>
                </c:pt>
                <c:pt idx="69">
                  <c:v>284.0</c:v>
                </c:pt>
                <c:pt idx="70">
                  <c:v>339.0</c:v>
                </c:pt>
                <c:pt idx="71">
                  <c:v>366.0</c:v>
                </c:pt>
                <c:pt idx="72">
                  <c:v>271.0</c:v>
                </c:pt>
                <c:pt idx="73">
                  <c:v>131.0</c:v>
                </c:pt>
                <c:pt idx="74">
                  <c:v>405.0</c:v>
                </c:pt>
                <c:pt idx="75">
                  <c:v>110.0</c:v>
                </c:pt>
                <c:pt idx="76">
                  <c:v>33.0</c:v>
                </c:pt>
                <c:pt idx="77">
                  <c:v>45.0</c:v>
                </c:pt>
                <c:pt idx="78">
                  <c:v>124.0</c:v>
                </c:pt>
                <c:pt idx="79">
                  <c:v>8.0</c:v>
                </c:pt>
                <c:pt idx="80">
                  <c:v>62.0</c:v>
                </c:pt>
                <c:pt idx="81">
                  <c:v>42.0</c:v>
                </c:pt>
                <c:pt idx="82">
                  <c:v>72.0</c:v>
                </c:pt>
                <c:pt idx="83">
                  <c:v>107.0</c:v>
                </c:pt>
                <c:pt idx="84">
                  <c:v>42.0</c:v>
                </c:pt>
                <c:pt idx="85">
                  <c:v>20.0</c:v>
                </c:pt>
                <c:pt idx="86">
                  <c:v>130.0</c:v>
                </c:pt>
                <c:pt idx="87">
                  <c:v>172.0</c:v>
                </c:pt>
                <c:pt idx="88">
                  <c:v>32.0</c:v>
                </c:pt>
                <c:pt idx="89">
                  <c:v>42.0</c:v>
                </c:pt>
                <c:pt idx="90">
                  <c:v>13.0</c:v>
                </c:pt>
                <c:pt idx="91">
                  <c:v>69.0</c:v>
                </c:pt>
                <c:pt idx="92">
                  <c:v>29.0</c:v>
                </c:pt>
                <c:pt idx="93">
                  <c:v>22.0</c:v>
                </c:pt>
                <c:pt idx="94">
                  <c:v>40.0</c:v>
                </c:pt>
                <c:pt idx="95">
                  <c:v>35.0</c:v>
                </c:pt>
                <c:pt idx="96">
                  <c:v>33.0</c:v>
                </c:pt>
                <c:pt idx="97">
                  <c:v>141.0</c:v>
                </c:pt>
                <c:pt idx="98">
                  <c:v>121.0</c:v>
                </c:pt>
                <c:pt idx="99">
                  <c:v>71.0</c:v>
                </c:pt>
                <c:pt idx="100">
                  <c:v>130.0</c:v>
                </c:pt>
                <c:pt idx="101">
                  <c:v>17.0</c:v>
                </c:pt>
                <c:pt idx="102">
                  <c:v>272.0</c:v>
                </c:pt>
                <c:pt idx="103">
                  <c:v>1601.0</c:v>
                </c:pt>
                <c:pt idx="104">
                  <c:v>110.0</c:v>
                </c:pt>
              </c:numCache>
            </c:numRef>
          </c:xVal>
          <c:yVal>
            <c:numRef>
              <c:f>'Method data'!$D$1:$D$105</c:f>
              <c:numCache>
                <c:formatCode>General</c:formatCode>
                <c:ptCount val="105"/>
                <c:pt idx="0">
                  <c:v>2.0</c:v>
                </c:pt>
                <c:pt idx="1">
                  <c:v>2.0</c:v>
                </c:pt>
                <c:pt idx="2">
                  <c:v>4.0</c:v>
                </c:pt>
                <c:pt idx="3">
                  <c:v>0.0</c:v>
                </c:pt>
                <c:pt idx="4">
                  <c:v>0.0</c:v>
                </c:pt>
                <c:pt idx="5">
                  <c:v>6.0</c:v>
                </c:pt>
                <c:pt idx="6">
                  <c:v>28.0</c:v>
                </c:pt>
                <c:pt idx="7">
                  <c:v>1.0</c:v>
                </c:pt>
                <c:pt idx="8">
                  <c:v>8.0</c:v>
                </c:pt>
                <c:pt idx="9">
                  <c:v>1.0</c:v>
                </c:pt>
                <c:pt idx="10">
                  <c:v>1.0</c:v>
                </c:pt>
                <c:pt idx="11">
                  <c:v>4.0</c:v>
                </c:pt>
                <c:pt idx="12">
                  <c:v>2.0</c:v>
                </c:pt>
                <c:pt idx="13">
                  <c:v>17.0</c:v>
                </c:pt>
                <c:pt idx="14">
                  <c:v>4.0</c:v>
                </c:pt>
                <c:pt idx="15">
                  <c:v>4.0</c:v>
                </c:pt>
                <c:pt idx="16">
                  <c:v>3.0</c:v>
                </c:pt>
                <c:pt idx="17">
                  <c:v>18.0</c:v>
                </c:pt>
                <c:pt idx="18">
                  <c:v>17.0</c:v>
                </c:pt>
                <c:pt idx="19">
                  <c:v>14.0</c:v>
                </c:pt>
                <c:pt idx="20">
                  <c:v>1.0</c:v>
                </c:pt>
                <c:pt idx="21">
                  <c:v>97.0</c:v>
                </c:pt>
                <c:pt idx="22">
                  <c:v>47.0</c:v>
                </c:pt>
                <c:pt idx="23">
                  <c:v>25.0</c:v>
                </c:pt>
                <c:pt idx="24">
                  <c:v>6.0</c:v>
                </c:pt>
                <c:pt idx="25">
                  <c:v>34.0</c:v>
                </c:pt>
                <c:pt idx="26">
                  <c:v>9.0</c:v>
                </c:pt>
                <c:pt idx="27">
                  <c:v>0.0</c:v>
                </c:pt>
                <c:pt idx="28">
                  <c:v>34.0</c:v>
                </c:pt>
                <c:pt idx="29">
                  <c:v>9.0</c:v>
                </c:pt>
                <c:pt idx="30">
                  <c:v>0.0</c:v>
                </c:pt>
                <c:pt idx="31">
                  <c:v>0.0</c:v>
                </c:pt>
                <c:pt idx="32">
                  <c:v>14.0</c:v>
                </c:pt>
                <c:pt idx="33">
                  <c:v>9.0</c:v>
                </c:pt>
                <c:pt idx="34">
                  <c:v>70.0</c:v>
                </c:pt>
                <c:pt idx="35">
                  <c:v>48.0</c:v>
                </c:pt>
                <c:pt idx="36">
                  <c:v>24.0</c:v>
                </c:pt>
                <c:pt idx="37">
                  <c:v>28.0</c:v>
                </c:pt>
                <c:pt idx="38">
                  <c:v>50.0</c:v>
                </c:pt>
                <c:pt idx="39">
                  <c:v>26.0</c:v>
                </c:pt>
                <c:pt idx="40">
                  <c:v>14.0</c:v>
                </c:pt>
                <c:pt idx="41">
                  <c:v>10.0</c:v>
                </c:pt>
                <c:pt idx="42">
                  <c:v>0.0</c:v>
                </c:pt>
                <c:pt idx="43">
                  <c:v>9.0</c:v>
                </c:pt>
                <c:pt idx="44">
                  <c:v>16.0</c:v>
                </c:pt>
                <c:pt idx="45">
                  <c:v>11.0</c:v>
                </c:pt>
                <c:pt idx="46">
                  <c:v>0.0</c:v>
                </c:pt>
                <c:pt idx="47">
                  <c:v>0.0</c:v>
                </c:pt>
                <c:pt idx="48">
                  <c:v>11.0</c:v>
                </c:pt>
                <c:pt idx="49">
                  <c:v>0.0</c:v>
                </c:pt>
                <c:pt idx="50">
                  <c:v>7.0</c:v>
                </c:pt>
                <c:pt idx="51">
                  <c:v>2.0</c:v>
                </c:pt>
                <c:pt idx="52">
                  <c:v>4.0</c:v>
                </c:pt>
                <c:pt idx="53">
                  <c:v>3.0</c:v>
                </c:pt>
                <c:pt idx="54">
                  <c:v>3.0</c:v>
                </c:pt>
                <c:pt idx="55">
                  <c:v>2.0</c:v>
                </c:pt>
                <c:pt idx="56">
                  <c:v>13.0</c:v>
                </c:pt>
                <c:pt idx="57">
                  <c:v>95.0</c:v>
                </c:pt>
                <c:pt idx="58">
                  <c:v>30.0</c:v>
                </c:pt>
                <c:pt idx="59">
                  <c:v>45.0</c:v>
                </c:pt>
                <c:pt idx="60">
                  <c:v>39.0</c:v>
                </c:pt>
                <c:pt idx="61">
                  <c:v>7.0</c:v>
                </c:pt>
                <c:pt idx="62">
                  <c:v>3.0</c:v>
                </c:pt>
                <c:pt idx="63">
                  <c:v>29.0</c:v>
                </c:pt>
                <c:pt idx="64">
                  <c:v>38.0</c:v>
                </c:pt>
                <c:pt idx="65">
                  <c:v>7.0</c:v>
                </c:pt>
                <c:pt idx="66">
                  <c:v>8.0</c:v>
                </c:pt>
                <c:pt idx="67">
                  <c:v>13.0</c:v>
                </c:pt>
                <c:pt idx="68">
                  <c:v>26.0</c:v>
                </c:pt>
                <c:pt idx="69">
                  <c:v>35.0</c:v>
                </c:pt>
                <c:pt idx="70">
                  <c:v>55.0</c:v>
                </c:pt>
                <c:pt idx="71">
                  <c:v>46.0</c:v>
                </c:pt>
                <c:pt idx="72">
                  <c:v>32.0</c:v>
                </c:pt>
                <c:pt idx="73">
                  <c:v>6.0</c:v>
                </c:pt>
                <c:pt idx="74">
                  <c:v>28.0</c:v>
                </c:pt>
                <c:pt idx="75">
                  <c:v>9.0</c:v>
                </c:pt>
                <c:pt idx="76">
                  <c:v>2.0</c:v>
                </c:pt>
                <c:pt idx="77">
                  <c:v>5.0</c:v>
                </c:pt>
                <c:pt idx="78">
                  <c:v>7.0</c:v>
                </c:pt>
                <c:pt idx="79">
                  <c:v>1.0</c:v>
                </c:pt>
                <c:pt idx="80">
                  <c:v>6.0</c:v>
                </c:pt>
                <c:pt idx="81">
                  <c:v>5.0</c:v>
                </c:pt>
                <c:pt idx="82">
                  <c:v>6.0</c:v>
                </c:pt>
                <c:pt idx="83">
                  <c:v>9.0</c:v>
                </c:pt>
                <c:pt idx="84">
                  <c:v>12.0</c:v>
                </c:pt>
                <c:pt idx="85">
                  <c:v>1.0</c:v>
                </c:pt>
                <c:pt idx="86">
                  <c:v>11.0</c:v>
                </c:pt>
                <c:pt idx="87">
                  <c:v>22.0</c:v>
                </c:pt>
                <c:pt idx="88">
                  <c:v>5.0</c:v>
                </c:pt>
                <c:pt idx="89">
                  <c:v>5.0</c:v>
                </c:pt>
                <c:pt idx="90">
                  <c:v>1.0</c:v>
                </c:pt>
                <c:pt idx="91">
                  <c:v>5.0</c:v>
                </c:pt>
                <c:pt idx="92">
                  <c:v>1.0</c:v>
                </c:pt>
                <c:pt idx="93">
                  <c:v>1.0</c:v>
                </c:pt>
                <c:pt idx="94">
                  <c:v>5.0</c:v>
                </c:pt>
                <c:pt idx="95">
                  <c:v>2.0</c:v>
                </c:pt>
                <c:pt idx="96">
                  <c:v>3.0</c:v>
                </c:pt>
                <c:pt idx="97">
                  <c:v>14.0</c:v>
                </c:pt>
                <c:pt idx="98">
                  <c:v>12.0</c:v>
                </c:pt>
                <c:pt idx="99">
                  <c:v>10.0</c:v>
                </c:pt>
                <c:pt idx="100">
                  <c:v>0.0</c:v>
                </c:pt>
                <c:pt idx="101">
                  <c:v>0.0</c:v>
                </c:pt>
                <c:pt idx="102">
                  <c:v>4.0</c:v>
                </c:pt>
                <c:pt idx="103">
                  <c:v>11.0</c:v>
                </c:pt>
                <c:pt idx="104">
                  <c:v>31.0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7428104"/>
        <c:axId val="2087517160"/>
      </c:scatterChart>
      <c:valAx>
        <c:axId val="2087428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87517160"/>
        <c:crosses val="autoZero"/>
        <c:crossBetween val="midCat"/>
      </c:valAx>
      <c:valAx>
        <c:axId val="20875171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8742810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711200</xdr:colOff>
      <xdr:row>108</xdr:row>
      <xdr:rowOff>25400</xdr:rowOff>
    </xdr:from>
    <xdr:to>
      <xdr:col>44</xdr:col>
      <xdr:colOff>647700</xdr:colOff>
      <xdr:row>130</xdr:row>
      <xdr:rowOff>63500</xdr:rowOff>
    </xdr:to>
    <xdr:pic>
      <xdr:nvPicPr>
        <xdr:cNvPr id="7" name="Picture 6" descr="clip_image006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1400" y="20599400"/>
          <a:ext cx="5715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673100</xdr:colOff>
      <xdr:row>67</xdr:row>
      <xdr:rowOff>120650</xdr:rowOff>
    </xdr:from>
    <xdr:to>
      <xdr:col>5</xdr:col>
      <xdr:colOff>3086100</xdr:colOff>
      <xdr:row>96</xdr:row>
      <xdr:rowOff>139700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A81" workbookViewId="0">
      <selection activeCell="H117" sqref="H11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2"/>
      <c r="B1" s="2"/>
      <c r="C1" s="2" t="s">
        <v>152</v>
      </c>
      <c r="D1" s="2" t="s">
        <v>153</v>
      </c>
      <c r="E1" s="2" t="s">
        <v>148</v>
      </c>
      <c r="F1" s="2" t="s">
        <v>149</v>
      </c>
      <c r="G1" s="2" t="s">
        <v>150</v>
      </c>
      <c r="H1" s="2" t="s">
        <v>151</v>
      </c>
      <c r="I1" s="2" t="s">
        <v>158</v>
      </c>
      <c r="J1" s="2" t="s">
        <v>159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164</v>
      </c>
      <c r="P1" s="2" t="s">
        <v>165</v>
      </c>
      <c r="Q1" s="2" t="s">
        <v>160</v>
      </c>
      <c r="R1" s="2" t="s">
        <v>163</v>
      </c>
      <c r="S1" s="2" t="s">
        <v>161</v>
      </c>
      <c r="T1" s="2" t="s">
        <v>162</v>
      </c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>
      <c r="A2" s="2" t="s">
        <v>147</v>
      </c>
      <c r="B2" s="2" t="s">
        <v>32</v>
      </c>
      <c r="C2" s="2">
        <v>106</v>
      </c>
      <c r="D2" s="2">
        <v>106</v>
      </c>
      <c r="E2" s="2">
        <v>233</v>
      </c>
      <c r="F2" s="2">
        <v>261</v>
      </c>
      <c r="G2" s="2">
        <v>89</v>
      </c>
      <c r="H2" s="2">
        <v>72</v>
      </c>
      <c r="I2" s="2">
        <v>166</v>
      </c>
      <c r="J2" s="2">
        <v>166</v>
      </c>
      <c r="K2" s="2">
        <v>1491</v>
      </c>
      <c r="L2" s="2">
        <v>927</v>
      </c>
      <c r="M2" s="2">
        <v>138</v>
      </c>
      <c r="N2" s="2">
        <v>120</v>
      </c>
      <c r="O2" s="2">
        <v>186</v>
      </c>
      <c r="P2" s="2">
        <v>172</v>
      </c>
      <c r="Q2" s="2">
        <v>4557</v>
      </c>
      <c r="R2" s="2">
        <v>4649</v>
      </c>
      <c r="S2" s="2">
        <v>129</v>
      </c>
      <c r="T2" s="2">
        <v>132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>
      <c r="A3" s="2" t="s">
        <v>147</v>
      </c>
      <c r="B3" s="2" t="s">
        <v>58</v>
      </c>
      <c r="C3" s="2">
        <v>117</v>
      </c>
      <c r="D3" s="2">
        <v>114</v>
      </c>
      <c r="E3" s="2">
        <v>229</v>
      </c>
      <c r="F3" s="2">
        <v>302</v>
      </c>
      <c r="G3" s="2">
        <v>68</v>
      </c>
      <c r="H3" s="2">
        <v>69</v>
      </c>
      <c r="I3" s="2">
        <v>157</v>
      </c>
      <c r="J3" s="2">
        <v>163</v>
      </c>
      <c r="K3" s="2">
        <v>1197</v>
      </c>
      <c r="L3" s="2">
        <v>938</v>
      </c>
      <c r="M3" s="2">
        <v>119</v>
      </c>
      <c r="N3" s="2">
        <v>125</v>
      </c>
      <c r="O3" s="2">
        <v>178</v>
      </c>
      <c r="P3" s="2">
        <v>188</v>
      </c>
      <c r="Q3" s="2">
        <v>4291</v>
      </c>
      <c r="R3" s="2">
        <v>4745</v>
      </c>
      <c r="S3" s="2">
        <v>128</v>
      </c>
      <c r="T3" s="2">
        <v>137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>
      <c r="A4" s="2" t="s">
        <v>147</v>
      </c>
      <c r="B4" s="2" t="s">
        <v>14</v>
      </c>
      <c r="C4" s="2">
        <v>146</v>
      </c>
      <c r="D4" s="2">
        <v>166</v>
      </c>
      <c r="E4" s="2">
        <v>293</v>
      </c>
      <c r="F4" s="2">
        <v>303</v>
      </c>
      <c r="G4" s="2">
        <v>106</v>
      </c>
      <c r="H4" s="2">
        <v>105</v>
      </c>
      <c r="I4" s="2">
        <v>203</v>
      </c>
      <c r="J4" s="2">
        <v>221</v>
      </c>
      <c r="K4" s="2">
        <v>2171</v>
      </c>
      <c r="L4" s="2">
        <v>2705</v>
      </c>
      <c r="M4" s="2">
        <v>172</v>
      </c>
      <c r="N4" s="2">
        <v>169</v>
      </c>
      <c r="O4" s="2">
        <v>245</v>
      </c>
      <c r="P4" s="2">
        <v>233</v>
      </c>
      <c r="Q4" s="2">
        <v>4999</v>
      </c>
      <c r="R4" s="2">
        <v>3754</v>
      </c>
      <c r="S4" s="2">
        <v>182</v>
      </c>
      <c r="T4" s="2">
        <v>193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>
      <c r="A5" s="2" t="s">
        <v>147</v>
      </c>
      <c r="B5" s="2" t="s">
        <v>39</v>
      </c>
      <c r="C5" s="2">
        <v>273</v>
      </c>
      <c r="D5" s="2">
        <v>278</v>
      </c>
      <c r="E5" s="2">
        <v>538</v>
      </c>
      <c r="F5" s="2">
        <v>548</v>
      </c>
      <c r="G5" s="2">
        <v>212</v>
      </c>
      <c r="H5" s="2">
        <v>220</v>
      </c>
      <c r="I5" s="2">
        <v>355</v>
      </c>
      <c r="J5" s="2">
        <v>380</v>
      </c>
      <c r="K5" s="2">
        <v>2969</v>
      </c>
      <c r="L5" s="2">
        <v>3117</v>
      </c>
      <c r="M5" s="2">
        <v>304</v>
      </c>
      <c r="N5" s="2">
        <v>304</v>
      </c>
      <c r="O5" s="2">
        <v>380</v>
      </c>
      <c r="P5" s="2">
        <v>420</v>
      </c>
      <c r="Q5" s="2">
        <v>9894</v>
      </c>
      <c r="R5" s="2">
        <v>7193</v>
      </c>
      <c r="S5" s="2">
        <v>317</v>
      </c>
      <c r="T5" s="2">
        <v>345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>
      <c r="A6" s="2" t="s">
        <v>147</v>
      </c>
      <c r="B6" s="2" t="s">
        <v>51</v>
      </c>
      <c r="C6" s="2">
        <v>119</v>
      </c>
      <c r="D6" s="2">
        <v>66</v>
      </c>
      <c r="E6" s="2">
        <v>159</v>
      </c>
      <c r="F6" s="2">
        <v>158</v>
      </c>
      <c r="G6" s="2">
        <v>72</v>
      </c>
      <c r="H6" s="2">
        <v>47</v>
      </c>
      <c r="I6" s="2">
        <v>99</v>
      </c>
      <c r="J6" s="2">
        <v>102</v>
      </c>
      <c r="K6" s="2">
        <v>1353</v>
      </c>
      <c r="L6" s="2">
        <v>1378</v>
      </c>
      <c r="M6" s="2">
        <v>91</v>
      </c>
      <c r="N6" s="2">
        <v>79</v>
      </c>
      <c r="O6" s="2">
        <v>111</v>
      </c>
      <c r="P6" s="2">
        <v>109</v>
      </c>
      <c r="Q6" s="2">
        <v>1458</v>
      </c>
      <c r="R6" s="2">
        <v>1779</v>
      </c>
      <c r="S6" s="2">
        <v>82</v>
      </c>
      <c r="T6" s="2">
        <v>82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>
      <c r="A7" s="2" t="s">
        <v>147</v>
      </c>
      <c r="B7" s="2" t="s">
        <v>55</v>
      </c>
      <c r="C7" s="2">
        <v>247</v>
      </c>
      <c r="D7" s="2">
        <v>270</v>
      </c>
      <c r="E7" s="2">
        <v>406</v>
      </c>
      <c r="F7" s="2">
        <v>420</v>
      </c>
      <c r="G7" s="2">
        <v>169</v>
      </c>
      <c r="H7" s="2">
        <v>215</v>
      </c>
      <c r="I7" s="2">
        <v>328</v>
      </c>
      <c r="J7" s="2">
        <v>367</v>
      </c>
      <c r="K7" s="2">
        <v>4359</v>
      </c>
      <c r="L7" s="2">
        <v>3990</v>
      </c>
      <c r="M7" s="2">
        <v>254</v>
      </c>
      <c r="N7" s="2">
        <v>280</v>
      </c>
      <c r="O7" s="2">
        <v>337</v>
      </c>
      <c r="P7" s="2">
        <v>407</v>
      </c>
      <c r="Q7" s="2">
        <v>4464</v>
      </c>
      <c r="R7" s="2">
        <v>5956</v>
      </c>
      <c r="S7" s="2">
        <v>289</v>
      </c>
      <c r="T7" s="2">
        <v>341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>
      <c r="A8" s="2" t="s">
        <v>147</v>
      </c>
      <c r="B8" s="2" t="s">
        <v>85</v>
      </c>
      <c r="C8" s="2">
        <v>975</v>
      </c>
      <c r="D8" s="2">
        <v>2062</v>
      </c>
      <c r="E8" s="2">
        <v>3074</v>
      </c>
      <c r="F8" s="2">
        <v>4662</v>
      </c>
      <c r="G8" s="2">
        <v>680</v>
      </c>
      <c r="H8" s="2">
        <v>1616</v>
      </c>
      <c r="I8" s="2">
        <v>1311</v>
      </c>
      <c r="J8" s="2">
        <v>2810</v>
      </c>
      <c r="K8" s="2">
        <v>21756</v>
      </c>
      <c r="L8" s="2">
        <v>40943</v>
      </c>
      <c r="M8" s="2">
        <v>1206</v>
      </c>
      <c r="N8" s="2">
        <v>2117</v>
      </c>
      <c r="O8" s="2">
        <v>1378</v>
      </c>
      <c r="P8" s="2">
        <v>3040</v>
      </c>
      <c r="Q8" s="2">
        <v>64753</v>
      </c>
      <c r="R8" s="2">
        <v>89533</v>
      </c>
      <c r="S8" s="2">
        <v>1211</v>
      </c>
      <c r="T8" s="2">
        <v>2608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</row>
    <row r="9" spans="1:56">
      <c r="A9" s="2" t="s">
        <v>147</v>
      </c>
      <c r="B9" s="2" t="s">
        <v>30</v>
      </c>
      <c r="C9" s="2">
        <v>452</v>
      </c>
      <c r="D9" s="2">
        <v>482</v>
      </c>
      <c r="E9" s="2">
        <v>884</v>
      </c>
      <c r="F9" s="2">
        <v>900</v>
      </c>
      <c r="G9" s="2">
        <v>324</v>
      </c>
      <c r="H9" s="2">
        <v>539</v>
      </c>
      <c r="I9" s="2">
        <v>590</v>
      </c>
      <c r="J9" s="2">
        <v>607</v>
      </c>
      <c r="K9" s="2">
        <v>8639</v>
      </c>
      <c r="L9" s="2">
        <v>8603</v>
      </c>
      <c r="M9" s="2">
        <v>456</v>
      </c>
      <c r="N9" s="2">
        <v>483</v>
      </c>
      <c r="O9" s="2">
        <v>621</v>
      </c>
      <c r="P9" s="2">
        <v>663</v>
      </c>
      <c r="Q9" s="2">
        <v>13140</v>
      </c>
      <c r="R9" s="2">
        <v>12932</v>
      </c>
      <c r="S9" s="2">
        <v>527</v>
      </c>
      <c r="T9" s="2">
        <v>556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>
      <c r="A10" s="2" t="s">
        <v>147</v>
      </c>
      <c r="B10" s="2" t="s">
        <v>89</v>
      </c>
      <c r="C10" s="2">
        <v>997</v>
      </c>
      <c r="D10" s="2">
        <v>1248</v>
      </c>
      <c r="E10" s="2">
        <v>1961</v>
      </c>
      <c r="F10" s="2">
        <v>2332</v>
      </c>
      <c r="G10" s="2">
        <v>679</v>
      </c>
      <c r="H10" s="2">
        <v>847</v>
      </c>
      <c r="I10" s="2">
        <v>2052</v>
      </c>
      <c r="J10" s="2">
        <v>2647</v>
      </c>
      <c r="K10" s="2">
        <v>14445</v>
      </c>
      <c r="L10" s="2">
        <v>29349</v>
      </c>
      <c r="M10" s="2">
        <v>1784</v>
      </c>
      <c r="N10" s="2">
        <v>1958</v>
      </c>
      <c r="O10" s="2">
        <v>2455</v>
      </c>
      <c r="P10" s="2">
        <v>3061</v>
      </c>
      <c r="Q10" s="2">
        <v>57023</v>
      </c>
      <c r="R10" s="2">
        <v>61990</v>
      </c>
      <c r="S10" s="2">
        <v>2083</v>
      </c>
      <c r="T10" s="2">
        <v>2751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>
      <c r="A11" s="2" t="s">
        <v>166</v>
      </c>
      <c r="B11" s="2" t="s">
        <v>2</v>
      </c>
      <c r="C11" s="2">
        <v>22</v>
      </c>
      <c r="D11" s="2">
        <v>20</v>
      </c>
      <c r="E11" s="2">
        <v>29</v>
      </c>
      <c r="F11" s="2">
        <v>28</v>
      </c>
      <c r="G11" s="2">
        <v>23</v>
      </c>
      <c r="H11" s="2">
        <v>14</v>
      </c>
      <c r="I11" s="2">
        <v>31</v>
      </c>
      <c r="J11" s="2">
        <v>27</v>
      </c>
      <c r="K11" s="2">
        <v>419</v>
      </c>
      <c r="L11" s="2">
        <v>421</v>
      </c>
      <c r="M11" s="2">
        <v>20</v>
      </c>
      <c r="N11" s="2">
        <v>23</v>
      </c>
      <c r="O11" s="2">
        <v>30</v>
      </c>
      <c r="P11" s="2">
        <v>30</v>
      </c>
      <c r="Q11" s="2">
        <v>494</v>
      </c>
      <c r="R11" s="2">
        <v>486</v>
      </c>
      <c r="S11" s="2">
        <v>24</v>
      </c>
      <c r="T11" s="2">
        <v>24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A12" s="2" t="s">
        <v>166</v>
      </c>
      <c r="B12" s="2" t="s">
        <v>37</v>
      </c>
      <c r="C12" s="2">
        <v>19</v>
      </c>
      <c r="D12" s="2">
        <v>30</v>
      </c>
      <c r="E12" s="2">
        <v>36</v>
      </c>
      <c r="F12" s="2">
        <v>42</v>
      </c>
      <c r="G12" s="2">
        <v>25</v>
      </c>
      <c r="H12" s="2">
        <v>18</v>
      </c>
      <c r="I12" s="2">
        <v>28</v>
      </c>
      <c r="J12" s="2">
        <v>40</v>
      </c>
      <c r="K12" s="2">
        <v>440</v>
      </c>
      <c r="L12" s="2">
        <v>443</v>
      </c>
      <c r="M12" s="2">
        <v>23</v>
      </c>
      <c r="N12" s="2">
        <v>22</v>
      </c>
      <c r="O12" s="2">
        <v>30</v>
      </c>
      <c r="P12" s="2">
        <v>30</v>
      </c>
      <c r="Q12" s="2">
        <v>912</v>
      </c>
      <c r="R12" s="2">
        <v>946</v>
      </c>
      <c r="S12" s="2">
        <v>23</v>
      </c>
      <c r="T12" s="2">
        <v>39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>
      <c r="A13" s="2" t="s">
        <v>166</v>
      </c>
      <c r="B13" s="2" t="s">
        <v>72</v>
      </c>
      <c r="C13" s="2">
        <v>73</v>
      </c>
      <c r="D13" s="2">
        <v>79</v>
      </c>
      <c r="E13" s="2">
        <v>146</v>
      </c>
      <c r="F13" s="2">
        <v>158</v>
      </c>
      <c r="G13" s="2">
        <v>60</v>
      </c>
      <c r="H13" s="2">
        <v>50</v>
      </c>
      <c r="I13" s="2">
        <v>137</v>
      </c>
      <c r="J13" s="2">
        <v>120</v>
      </c>
      <c r="K13" s="2">
        <v>757</v>
      </c>
      <c r="L13" s="2">
        <v>685</v>
      </c>
      <c r="M13" s="2">
        <v>85</v>
      </c>
      <c r="N13" s="2">
        <v>82</v>
      </c>
      <c r="O13" s="2">
        <v>126</v>
      </c>
      <c r="P13" s="2">
        <v>123</v>
      </c>
      <c r="Q13" s="2">
        <v>2171</v>
      </c>
      <c r="R13" s="2">
        <v>1657</v>
      </c>
      <c r="S13" s="2">
        <v>150</v>
      </c>
      <c r="T13" s="2">
        <v>91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>
      <c r="A14" s="2" t="s">
        <v>166</v>
      </c>
      <c r="B14" s="2" t="s">
        <v>8</v>
      </c>
      <c r="C14" s="2">
        <v>20</v>
      </c>
      <c r="D14" s="2">
        <v>19</v>
      </c>
      <c r="E14" s="2">
        <v>35</v>
      </c>
      <c r="F14" s="2">
        <v>36</v>
      </c>
      <c r="G14" s="2">
        <v>19</v>
      </c>
      <c r="H14" s="2">
        <v>14</v>
      </c>
      <c r="I14" s="2">
        <v>27</v>
      </c>
      <c r="J14" s="2">
        <v>28</v>
      </c>
      <c r="K14" s="2">
        <v>431</v>
      </c>
      <c r="L14" s="2">
        <v>418</v>
      </c>
      <c r="M14" s="2">
        <v>21</v>
      </c>
      <c r="N14" s="2">
        <v>20</v>
      </c>
      <c r="O14" s="2">
        <v>30</v>
      </c>
      <c r="P14" s="2">
        <v>31</v>
      </c>
      <c r="Q14" s="2">
        <v>525</v>
      </c>
      <c r="R14" s="2">
        <v>561</v>
      </c>
      <c r="S14" s="2">
        <v>25</v>
      </c>
      <c r="T14" s="2">
        <v>24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1:56">
      <c r="A15" s="2" t="s">
        <v>166</v>
      </c>
      <c r="B15" s="2" t="s">
        <v>101</v>
      </c>
      <c r="C15" s="2">
        <v>1488</v>
      </c>
      <c r="D15" s="2">
        <v>1844</v>
      </c>
      <c r="E15" s="2">
        <v>2353</v>
      </c>
      <c r="F15" s="2">
        <v>2666</v>
      </c>
      <c r="G15" s="2">
        <v>1040</v>
      </c>
      <c r="H15" s="2">
        <v>1273</v>
      </c>
      <c r="I15" s="2">
        <v>3070</v>
      </c>
      <c r="J15" s="2">
        <v>3958</v>
      </c>
      <c r="K15" s="2">
        <v>28333</v>
      </c>
      <c r="L15" s="2">
        <v>29787</v>
      </c>
      <c r="M15" s="2">
        <v>2437</v>
      </c>
      <c r="N15" s="2">
        <v>2951</v>
      </c>
      <c r="O15" s="2">
        <v>3607</v>
      </c>
      <c r="P15" s="2">
        <v>4638</v>
      </c>
      <c r="Q15" s="2">
        <v>44822</v>
      </c>
      <c r="R15" s="2">
        <v>58407</v>
      </c>
      <c r="S15" s="2">
        <v>3158</v>
      </c>
      <c r="T15" s="2">
        <v>3905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>
      <c r="A16" s="2" t="s">
        <v>166</v>
      </c>
      <c r="B16" s="2" t="s">
        <v>3</v>
      </c>
      <c r="C16" s="2">
        <v>239</v>
      </c>
      <c r="D16" s="2">
        <v>296</v>
      </c>
      <c r="E16" s="2">
        <v>467</v>
      </c>
      <c r="F16" s="2">
        <v>489</v>
      </c>
      <c r="G16" s="2">
        <v>160</v>
      </c>
      <c r="H16" s="2">
        <v>205</v>
      </c>
      <c r="I16" s="2">
        <v>323</v>
      </c>
      <c r="J16" s="2">
        <v>379</v>
      </c>
      <c r="K16" s="2">
        <v>3002</v>
      </c>
      <c r="L16" s="2">
        <v>3687</v>
      </c>
      <c r="M16" s="2">
        <v>383</v>
      </c>
      <c r="N16" s="2">
        <v>294</v>
      </c>
      <c r="O16" s="2">
        <v>370</v>
      </c>
      <c r="P16" s="2">
        <v>403</v>
      </c>
      <c r="Q16" s="2">
        <v>5871</v>
      </c>
      <c r="R16" s="2">
        <v>6145</v>
      </c>
      <c r="S16" s="2">
        <v>279</v>
      </c>
      <c r="T16" s="2">
        <v>344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>
      <c r="A17" s="2" t="s">
        <v>166</v>
      </c>
      <c r="B17" s="2" t="s">
        <v>76</v>
      </c>
      <c r="C17" s="2">
        <v>241</v>
      </c>
      <c r="D17" s="2">
        <v>295</v>
      </c>
      <c r="E17" s="2">
        <v>439</v>
      </c>
      <c r="F17" s="2">
        <v>475</v>
      </c>
      <c r="G17" s="2">
        <v>180</v>
      </c>
      <c r="H17" s="2">
        <v>201</v>
      </c>
      <c r="I17" s="2">
        <v>323</v>
      </c>
      <c r="J17" s="2">
        <v>400</v>
      </c>
      <c r="K17" s="2">
        <v>2737</v>
      </c>
      <c r="L17" s="2">
        <v>3591</v>
      </c>
      <c r="M17" s="2">
        <v>326</v>
      </c>
      <c r="N17" s="2">
        <v>291</v>
      </c>
      <c r="O17" s="2">
        <v>347</v>
      </c>
      <c r="P17" s="2">
        <v>403</v>
      </c>
      <c r="Q17" s="2">
        <v>5804</v>
      </c>
      <c r="R17" s="2">
        <v>7143</v>
      </c>
      <c r="S17" s="2">
        <v>290</v>
      </c>
      <c r="T17" s="2">
        <v>330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1:56">
      <c r="A18" s="2" t="s">
        <v>166</v>
      </c>
      <c r="B18" s="2" t="s">
        <v>29</v>
      </c>
      <c r="C18" s="2">
        <v>302</v>
      </c>
      <c r="D18" s="2">
        <v>305</v>
      </c>
      <c r="E18" s="2">
        <v>504</v>
      </c>
      <c r="F18" s="2">
        <v>502</v>
      </c>
      <c r="G18" s="2">
        <v>216</v>
      </c>
      <c r="H18" s="2">
        <v>213</v>
      </c>
      <c r="I18" s="2">
        <v>713</v>
      </c>
      <c r="J18" s="2">
        <v>732</v>
      </c>
      <c r="K18" s="2">
        <v>4349</v>
      </c>
      <c r="L18" s="2">
        <v>5021</v>
      </c>
      <c r="M18" s="2">
        <v>517</v>
      </c>
      <c r="N18" s="2">
        <v>531</v>
      </c>
      <c r="O18" s="2">
        <v>818</v>
      </c>
      <c r="P18" s="2">
        <v>824</v>
      </c>
      <c r="Q18" s="2">
        <v>4224</v>
      </c>
      <c r="R18" s="2">
        <v>4372</v>
      </c>
      <c r="S18" s="2">
        <v>677</v>
      </c>
      <c r="T18" s="2">
        <v>679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>
      <c r="A19" s="2" t="s">
        <v>166</v>
      </c>
      <c r="B19" s="2" t="s">
        <v>98</v>
      </c>
      <c r="C19" s="2">
        <v>2598</v>
      </c>
      <c r="D19" s="2">
        <v>3408</v>
      </c>
      <c r="E19" s="2">
        <v>4686</v>
      </c>
      <c r="F19" s="2">
        <v>5219</v>
      </c>
      <c r="G19" s="2">
        <v>1840</v>
      </c>
      <c r="H19" s="2">
        <v>2312</v>
      </c>
      <c r="I19" s="2">
        <v>5880</v>
      </c>
      <c r="J19" s="2">
        <v>7712</v>
      </c>
      <c r="K19" s="2">
        <v>49540</v>
      </c>
      <c r="L19" s="2">
        <v>57351</v>
      </c>
      <c r="M19" s="2">
        <v>4362</v>
      </c>
      <c r="N19" s="2">
        <v>7213</v>
      </c>
      <c r="O19" s="2">
        <v>6842</v>
      </c>
      <c r="P19" s="2">
        <v>9189</v>
      </c>
      <c r="Q19" s="2">
        <v>94538</v>
      </c>
      <c r="R19" s="2">
        <v>137356</v>
      </c>
      <c r="S19" s="2">
        <v>6058</v>
      </c>
      <c r="T19" s="2">
        <v>7958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>
      <c r="A20" s="2" t="s">
        <v>166</v>
      </c>
      <c r="B20" s="2" t="s">
        <v>43</v>
      </c>
      <c r="C20" s="2">
        <v>1286</v>
      </c>
      <c r="D20" s="2">
        <v>1565</v>
      </c>
      <c r="E20" s="2">
        <v>2071</v>
      </c>
      <c r="F20" s="2">
        <v>2303</v>
      </c>
      <c r="G20" s="2">
        <v>917</v>
      </c>
      <c r="H20" s="2">
        <v>1082</v>
      </c>
      <c r="I20" s="2">
        <v>2671</v>
      </c>
      <c r="J20" s="2">
        <v>3261</v>
      </c>
      <c r="K20" s="2">
        <v>26706</v>
      </c>
      <c r="L20" s="2">
        <v>21985</v>
      </c>
      <c r="M20" s="2">
        <v>2013</v>
      </c>
      <c r="N20" s="2">
        <v>2365</v>
      </c>
      <c r="O20" s="2">
        <v>3179</v>
      </c>
      <c r="P20" s="2">
        <v>3819</v>
      </c>
      <c r="Q20" s="2">
        <v>40025</v>
      </c>
      <c r="R20" s="2">
        <v>43048</v>
      </c>
      <c r="S20" s="2">
        <v>2691</v>
      </c>
      <c r="T20" s="2">
        <v>3508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1:56">
      <c r="A21" s="2" t="s">
        <v>166</v>
      </c>
      <c r="B21" s="2" t="s">
        <v>28</v>
      </c>
      <c r="C21" s="2">
        <v>857</v>
      </c>
      <c r="D21" s="2">
        <v>906</v>
      </c>
      <c r="E21" s="2">
        <v>1847</v>
      </c>
      <c r="F21" s="2">
        <v>1880</v>
      </c>
      <c r="G21" s="2">
        <v>621</v>
      </c>
      <c r="H21" s="2">
        <v>645</v>
      </c>
      <c r="I21" s="2">
        <v>1764</v>
      </c>
      <c r="J21" s="2">
        <v>1898</v>
      </c>
      <c r="K21" s="2">
        <v>21388</v>
      </c>
      <c r="L21" s="2">
        <v>27366</v>
      </c>
      <c r="M21" s="2">
        <v>1357</v>
      </c>
      <c r="N21" s="2">
        <v>1468</v>
      </c>
      <c r="O21" s="2">
        <v>2134</v>
      </c>
      <c r="P21" s="2">
        <v>2212</v>
      </c>
      <c r="Q21" s="2">
        <v>31898</v>
      </c>
      <c r="R21" s="2">
        <v>31615</v>
      </c>
      <c r="S21" s="2">
        <v>1780</v>
      </c>
      <c r="T21" s="2">
        <v>2010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>
      <c r="A22" s="2" t="s">
        <v>166</v>
      </c>
      <c r="B22" s="2" t="s">
        <v>40</v>
      </c>
      <c r="C22" s="2">
        <v>20</v>
      </c>
      <c r="D22" s="2">
        <v>24</v>
      </c>
      <c r="E22" s="2">
        <v>42</v>
      </c>
      <c r="F22" s="2">
        <v>39</v>
      </c>
      <c r="G22" s="2">
        <v>14</v>
      </c>
      <c r="H22" s="2">
        <v>14</v>
      </c>
      <c r="I22" s="2">
        <v>46</v>
      </c>
      <c r="J22" s="2">
        <v>27</v>
      </c>
      <c r="K22" s="2">
        <v>436</v>
      </c>
      <c r="L22" s="2">
        <v>499</v>
      </c>
      <c r="M22" s="2">
        <v>21</v>
      </c>
      <c r="N22" s="2">
        <v>21</v>
      </c>
      <c r="O22" s="2">
        <v>32</v>
      </c>
      <c r="P22" s="2">
        <v>32</v>
      </c>
      <c r="Q22" s="2">
        <v>368</v>
      </c>
      <c r="R22" s="2">
        <v>371</v>
      </c>
      <c r="S22" s="2">
        <v>25</v>
      </c>
      <c r="T22" s="2">
        <v>25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>
      <c r="A23" s="2" t="s">
        <v>167</v>
      </c>
      <c r="B23" s="2" t="s">
        <v>56</v>
      </c>
      <c r="C23" s="2">
        <v>3277</v>
      </c>
      <c r="D23" s="2">
        <v>3585</v>
      </c>
      <c r="E23" s="2">
        <v>6811</v>
      </c>
      <c r="F23" s="2">
        <v>7103</v>
      </c>
      <c r="G23" s="2">
        <v>2296</v>
      </c>
      <c r="H23" s="2">
        <v>2453</v>
      </c>
      <c r="I23" s="2">
        <v>4498</v>
      </c>
      <c r="J23" s="2">
        <v>4900</v>
      </c>
      <c r="K23" s="2">
        <v>70096</v>
      </c>
      <c r="L23" s="2">
        <v>75473</v>
      </c>
      <c r="M23" s="2">
        <v>3462</v>
      </c>
      <c r="N23" s="2">
        <v>3691</v>
      </c>
      <c r="O23" s="2">
        <v>4831</v>
      </c>
      <c r="P23" s="2">
        <v>5403</v>
      </c>
      <c r="Q23" s="2">
        <v>139032</v>
      </c>
      <c r="R23" s="2">
        <v>135752</v>
      </c>
      <c r="S23" s="2">
        <v>4131</v>
      </c>
      <c r="T23" s="2">
        <v>4803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</row>
    <row r="24" spans="1:56">
      <c r="A24" s="2" t="s">
        <v>167</v>
      </c>
      <c r="B24" s="2" t="s">
        <v>18</v>
      </c>
      <c r="C24" s="2">
        <v>1505</v>
      </c>
      <c r="D24" s="2">
        <v>1554</v>
      </c>
      <c r="E24" s="2">
        <v>2975</v>
      </c>
      <c r="F24" s="2">
        <v>3092</v>
      </c>
      <c r="G24" s="2">
        <v>1026</v>
      </c>
      <c r="H24" s="2">
        <v>1088</v>
      </c>
      <c r="I24" s="2">
        <v>2027</v>
      </c>
      <c r="J24" s="2">
        <v>2165</v>
      </c>
      <c r="K24" s="2">
        <v>30071</v>
      </c>
      <c r="L24" s="2">
        <v>30602</v>
      </c>
      <c r="M24" s="2">
        <v>1546</v>
      </c>
      <c r="N24" s="2">
        <v>1609</v>
      </c>
      <c r="O24" s="2">
        <v>2173</v>
      </c>
      <c r="P24" s="2">
        <v>2282</v>
      </c>
      <c r="Q24" s="2">
        <v>59749</v>
      </c>
      <c r="R24" s="2">
        <v>59485</v>
      </c>
      <c r="S24" s="2">
        <v>1804</v>
      </c>
      <c r="T24" s="2">
        <v>1960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>
      <c r="A25" s="2" t="s">
        <v>167</v>
      </c>
      <c r="B25" s="2" t="s">
        <v>27</v>
      </c>
      <c r="C25" s="2">
        <v>938</v>
      </c>
      <c r="D25" s="2">
        <v>1008</v>
      </c>
      <c r="E25" s="2">
        <v>1822</v>
      </c>
      <c r="F25" s="2">
        <v>1917</v>
      </c>
      <c r="G25" s="2">
        <v>653</v>
      </c>
      <c r="H25" s="2">
        <v>691</v>
      </c>
      <c r="I25" s="2">
        <v>1398</v>
      </c>
      <c r="J25" s="2">
        <v>1383</v>
      </c>
      <c r="K25" s="2">
        <v>19676</v>
      </c>
      <c r="L25" s="2">
        <v>20335</v>
      </c>
      <c r="M25" s="2">
        <v>1042</v>
      </c>
      <c r="N25" s="2">
        <v>1038</v>
      </c>
      <c r="O25" s="2">
        <v>1386</v>
      </c>
      <c r="P25" s="2">
        <v>1485</v>
      </c>
      <c r="Q25" s="2">
        <v>40701</v>
      </c>
      <c r="R25" s="2">
        <v>37659</v>
      </c>
      <c r="S25" s="2">
        <v>1211</v>
      </c>
      <c r="T25" s="2">
        <v>1249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>
      <c r="A26" s="2" t="s">
        <v>167</v>
      </c>
      <c r="B26" s="2" t="s">
        <v>69</v>
      </c>
      <c r="C26" s="2">
        <v>705</v>
      </c>
      <c r="D26" s="2">
        <v>737</v>
      </c>
      <c r="E26" s="2">
        <v>1247</v>
      </c>
      <c r="F26" s="2">
        <v>1287</v>
      </c>
      <c r="G26" s="2">
        <v>486</v>
      </c>
      <c r="H26" s="2">
        <v>492</v>
      </c>
      <c r="I26" s="2">
        <v>1850</v>
      </c>
      <c r="J26" s="2">
        <v>1942</v>
      </c>
      <c r="K26" s="2">
        <v>13753</v>
      </c>
      <c r="L26" s="2">
        <v>13900</v>
      </c>
      <c r="M26" s="2">
        <v>1382</v>
      </c>
      <c r="N26" s="2">
        <v>1440</v>
      </c>
      <c r="O26" s="2">
        <v>2211</v>
      </c>
      <c r="P26" s="2">
        <v>2285</v>
      </c>
      <c r="Q26" s="2">
        <v>22368</v>
      </c>
      <c r="R26" s="2">
        <v>21560</v>
      </c>
      <c r="S26" s="2">
        <v>1899</v>
      </c>
      <c r="T26" s="2">
        <v>1914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</row>
    <row r="27" spans="1:56">
      <c r="A27" s="2" t="s">
        <v>167</v>
      </c>
      <c r="B27" s="2" t="s">
        <v>71</v>
      </c>
      <c r="C27" s="2">
        <v>940</v>
      </c>
      <c r="D27" s="2">
        <v>998</v>
      </c>
      <c r="E27" s="2">
        <v>1726</v>
      </c>
      <c r="F27" s="2">
        <v>1738</v>
      </c>
      <c r="G27" s="2">
        <v>674</v>
      </c>
      <c r="H27" s="2">
        <v>691</v>
      </c>
      <c r="I27" s="2">
        <v>1295</v>
      </c>
      <c r="J27" s="2">
        <v>1328</v>
      </c>
      <c r="K27" s="2">
        <v>13622</v>
      </c>
      <c r="L27" s="2">
        <v>15236</v>
      </c>
      <c r="M27" s="2">
        <v>981</v>
      </c>
      <c r="N27" s="2">
        <v>997</v>
      </c>
      <c r="O27" s="2">
        <v>1428</v>
      </c>
      <c r="P27" s="2">
        <v>1421</v>
      </c>
      <c r="Q27" s="2">
        <v>30153</v>
      </c>
      <c r="R27" s="2">
        <v>34515</v>
      </c>
      <c r="S27" s="2">
        <v>1151</v>
      </c>
      <c r="T27" s="2">
        <v>1275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>
      <c r="A28" s="2" t="s">
        <v>167</v>
      </c>
      <c r="B28" s="2" t="s">
        <v>22</v>
      </c>
      <c r="C28" s="2">
        <v>382</v>
      </c>
      <c r="D28" s="2">
        <v>798</v>
      </c>
      <c r="E28" s="2">
        <v>1040</v>
      </c>
      <c r="F28" s="2">
        <v>1370</v>
      </c>
      <c r="G28" s="2">
        <v>275</v>
      </c>
      <c r="H28" s="2">
        <v>550</v>
      </c>
      <c r="I28" s="2">
        <v>554</v>
      </c>
      <c r="J28" s="2">
        <v>1165</v>
      </c>
      <c r="K28" s="2">
        <v>5812</v>
      </c>
      <c r="L28" s="2">
        <v>14531</v>
      </c>
      <c r="M28" s="2">
        <v>405</v>
      </c>
      <c r="N28" s="2">
        <v>871</v>
      </c>
      <c r="O28" s="2">
        <v>567</v>
      </c>
      <c r="P28" s="2">
        <v>1192</v>
      </c>
      <c r="Q28" s="2">
        <v>19424</v>
      </c>
      <c r="R28" s="2">
        <v>21416</v>
      </c>
      <c r="S28" s="2">
        <v>472</v>
      </c>
      <c r="T28" s="2">
        <v>1074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>
      <c r="A29" s="2" t="s">
        <v>167</v>
      </c>
      <c r="B29" s="2" t="s">
        <v>94</v>
      </c>
      <c r="C29" s="2">
        <v>24</v>
      </c>
      <c r="D29" s="2">
        <v>25</v>
      </c>
      <c r="E29" s="2">
        <v>81</v>
      </c>
      <c r="F29" s="2">
        <v>62</v>
      </c>
      <c r="G29" s="2">
        <v>22</v>
      </c>
      <c r="H29" s="2">
        <v>20</v>
      </c>
      <c r="I29" s="2">
        <v>38</v>
      </c>
      <c r="J29" s="2">
        <v>37</v>
      </c>
      <c r="K29" s="2">
        <v>280</v>
      </c>
      <c r="L29" s="2">
        <v>326</v>
      </c>
      <c r="M29" s="2">
        <v>27</v>
      </c>
      <c r="N29" s="2">
        <v>29</v>
      </c>
      <c r="O29" s="2">
        <v>43</v>
      </c>
      <c r="P29" s="2">
        <v>44</v>
      </c>
      <c r="Q29" s="2">
        <v>772</v>
      </c>
      <c r="R29" s="2">
        <v>794</v>
      </c>
      <c r="S29" s="2">
        <v>32</v>
      </c>
      <c r="T29" s="2">
        <v>32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</row>
    <row r="30" spans="1:56">
      <c r="A30" s="2" t="s">
        <v>167</v>
      </c>
      <c r="B30" s="2" t="s">
        <v>20</v>
      </c>
      <c r="C30" s="2">
        <v>918</v>
      </c>
      <c r="D30" s="2">
        <v>979</v>
      </c>
      <c r="E30" s="2">
        <v>1718</v>
      </c>
      <c r="F30" s="2">
        <v>1669</v>
      </c>
      <c r="G30" s="2">
        <v>659</v>
      </c>
      <c r="H30" s="2">
        <v>724</v>
      </c>
      <c r="I30" s="2">
        <v>1305</v>
      </c>
      <c r="J30" s="2">
        <v>1334</v>
      </c>
      <c r="K30" s="2">
        <v>13269</v>
      </c>
      <c r="L30" s="2">
        <v>15024</v>
      </c>
      <c r="M30" s="2">
        <v>1011</v>
      </c>
      <c r="N30" s="2">
        <v>1052</v>
      </c>
      <c r="O30" s="2">
        <v>1403</v>
      </c>
      <c r="P30" s="2">
        <v>1467</v>
      </c>
      <c r="Q30" s="2">
        <v>31739</v>
      </c>
      <c r="R30" s="2">
        <v>33736</v>
      </c>
      <c r="S30" s="2">
        <v>1199</v>
      </c>
      <c r="T30" s="2">
        <v>1251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>
      <c r="A31" s="2" t="s">
        <v>167</v>
      </c>
      <c r="B31" s="2" t="s">
        <v>24</v>
      </c>
      <c r="C31" s="2">
        <v>365</v>
      </c>
      <c r="D31" s="2">
        <v>715</v>
      </c>
      <c r="E31" s="2">
        <v>988</v>
      </c>
      <c r="F31" s="2">
        <v>1242</v>
      </c>
      <c r="G31" s="2">
        <v>257</v>
      </c>
      <c r="H31" s="2">
        <v>508</v>
      </c>
      <c r="I31" s="2">
        <v>511</v>
      </c>
      <c r="J31" s="2">
        <v>1050</v>
      </c>
      <c r="K31" s="2">
        <v>5457</v>
      </c>
      <c r="L31" s="2">
        <v>9688</v>
      </c>
      <c r="M31" s="2">
        <v>403</v>
      </c>
      <c r="N31" s="2">
        <v>779</v>
      </c>
      <c r="O31" s="2">
        <v>552</v>
      </c>
      <c r="P31" s="2">
        <v>1125</v>
      </c>
      <c r="Q31" s="2">
        <v>20771</v>
      </c>
      <c r="R31" s="2">
        <v>22458</v>
      </c>
      <c r="S31" s="2">
        <v>518</v>
      </c>
      <c r="T31" s="2">
        <v>905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>
      <c r="A32" s="2" t="s">
        <v>167</v>
      </c>
      <c r="B32" s="2" t="s">
        <v>26</v>
      </c>
      <c r="C32" s="2">
        <v>38</v>
      </c>
      <c r="D32" s="2">
        <v>28</v>
      </c>
      <c r="E32" s="2">
        <v>83</v>
      </c>
      <c r="F32" s="2">
        <v>71</v>
      </c>
      <c r="G32" s="2">
        <v>29</v>
      </c>
      <c r="H32" s="2">
        <v>20</v>
      </c>
      <c r="I32" s="2">
        <v>33</v>
      </c>
      <c r="J32" s="2">
        <v>41</v>
      </c>
      <c r="K32" s="2">
        <v>478</v>
      </c>
      <c r="L32" s="2">
        <v>596</v>
      </c>
      <c r="M32" s="2">
        <v>28</v>
      </c>
      <c r="N32" s="2">
        <v>37</v>
      </c>
      <c r="O32" s="2">
        <v>37</v>
      </c>
      <c r="P32" s="2">
        <v>47</v>
      </c>
      <c r="Q32" s="2">
        <v>485</v>
      </c>
      <c r="R32" s="2">
        <v>454</v>
      </c>
      <c r="S32" s="2">
        <v>30</v>
      </c>
      <c r="T32" s="2">
        <v>39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</row>
    <row r="33" spans="1:56">
      <c r="A33" s="2" t="s">
        <v>167</v>
      </c>
      <c r="B33" s="2" t="s">
        <v>104</v>
      </c>
      <c r="C33" s="2">
        <v>36</v>
      </c>
      <c r="D33" s="2">
        <v>41</v>
      </c>
      <c r="E33" s="2">
        <v>109</v>
      </c>
      <c r="F33" s="2">
        <v>104</v>
      </c>
      <c r="G33" s="2">
        <v>28</v>
      </c>
      <c r="H33" s="2">
        <v>40</v>
      </c>
      <c r="I33" s="2">
        <v>95</v>
      </c>
      <c r="J33" s="2">
        <v>56</v>
      </c>
      <c r="K33" s="2">
        <v>375</v>
      </c>
      <c r="L33" s="2">
        <v>359</v>
      </c>
      <c r="M33" s="2">
        <v>42</v>
      </c>
      <c r="N33" s="2">
        <v>45</v>
      </c>
      <c r="O33" s="2">
        <v>64</v>
      </c>
      <c r="P33" s="2">
        <v>65</v>
      </c>
      <c r="Q33" s="2">
        <v>787</v>
      </c>
      <c r="R33" s="2">
        <v>775</v>
      </c>
      <c r="S33" s="2">
        <v>51</v>
      </c>
      <c r="T33" s="2">
        <v>49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>
      <c r="A34" s="2" t="s">
        <v>168</v>
      </c>
      <c r="B34" s="2" t="s">
        <v>16</v>
      </c>
      <c r="C34" s="2">
        <v>676</v>
      </c>
      <c r="D34" s="2">
        <v>1041</v>
      </c>
      <c r="E34" s="2">
        <v>2911</v>
      </c>
      <c r="F34" s="2">
        <v>4671</v>
      </c>
      <c r="G34" s="2">
        <v>478</v>
      </c>
      <c r="H34" s="2">
        <v>731</v>
      </c>
      <c r="I34" s="2">
        <v>899</v>
      </c>
      <c r="J34" s="2">
        <v>1458</v>
      </c>
      <c r="K34" s="2">
        <v>24352</v>
      </c>
      <c r="L34" s="2">
        <v>46271</v>
      </c>
      <c r="M34" s="2">
        <v>774</v>
      </c>
      <c r="N34" s="2">
        <v>1127</v>
      </c>
      <c r="O34" s="2">
        <v>963</v>
      </c>
      <c r="P34" s="2">
        <v>1525</v>
      </c>
      <c r="Q34" s="2">
        <v>51569</v>
      </c>
      <c r="R34" s="2">
        <v>87068</v>
      </c>
      <c r="S34" s="2">
        <v>818</v>
      </c>
      <c r="T34" s="2">
        <v>1442</v>
      </c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>
      <c r="A35" s="2" t="s">
        <v>168</v>
      </c>
      <c r="B35" s="2" t="s">
        <v>91</v>
      </c>
      <c r="C35" s="2">
        <v>1256</v>
      </c>
      <c r="D35" s="2">
        <v>1495</v>
      </c>
      <c r="E35" s="2">
        <v>2136</v>
      </c>
      <c r="F35" s="2">
        <v>2525</v>
      </c>
      <c r="G35" s="2">
        <v>852</v>
      </c>
      <c r="H35" s="2">
        <v>1119</v>
      </c>
      <c r="I35" s="2">
        <v>2239</v>
      </c>
      <c r="J35" s="2">
        <v>2574</v>
      </c>
      <c r="K35" s="2">
        <v>23713</v>
      </c>
      <c r="L35" s="2">
        <v>28099</v>
      </c>
      <c r="M35" s="2">
        <v>1731</v>
      </c>
      <c r="N35" s="2">
        <v>1911</v>
      </c>
      <c r="O35" s="2">
        <v>2593</v>
      </c>
      <c r="P35" s="2">
        <v>2839</v>
      </c>
      <c r="Q35" s="2">
        <v>50603</v>
      </c>
      <c r="R35" s="2">
        <v>54869</v>
      </c>
      <c r="S35" s="2">
        <v>2184</v>
      </c>
      <c r="T35" s="2">
        <v>2476</v>
      </c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>
      <c r="A36" s="2" t="s">
        <v>169</v>
      </c>
      <c r="B36" s="2" t="s">
        <v>64</v>
      </c>
      <c r="C36" s="2">
        <v>4618</v>
      </c>
      <c r="D36" s="2">
        <v>6084</v>
      </c>
      <c r="E36" s="2">
        <v>24988</v>
      </c>
      <c r="F36" s="2">
        <v>34801</v>
      </c>
      <c r="G36" s="2">
        <v>3190</v>
      </c>
      <c r="H36" s="2">
        <v>4068</v>
      </c>
      <c r="I36" s="2">
        <v>7393</v>
      </c>
      <c r="J36" s="2">
        <v>9221</v>
      </c>
      <c r="K36" s="2">
        <v>230057</v>
      </c>
      <c r="L36" s="2">
        <v>394793</v>
      </c>
      <c r="M36" s="2">
        <v>5624</v>
      </c>
      <c r="N36" s="2">
        <v>7176</v>
      </c>
      <c r="O36" s="2">
        <v>8382</v>
      </c>
      <c r="P36" s="2">
        <v>10488</v>
      </c>
      <c r="Q36" s="2">
        <v>400538</v>
      </c>
      <c r="R36" s="2">
        <v>611808</v>
      </c>
      <c r="S36" s="2">
        <v>7025</v>
      </c>
      <c r="T36" s="2">
        <v>8984</v>
      </c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>
      <c r="A37" s="2" t="s">
        <v>169</v>
      </c>
      <c r="B37" s="2" t="s">
        <v>25</v>
      </c>
      <c r="C37" s="2">
        <v>2414</v>
      </c>
      <c r="D37" s="2">
        <v>2710</v>
      </c>
      <c r="E37" s="2">
        <v>4619</v>
      </c>
      <c r="F37" s="2">
        <v>4683</v>
      </c>
      <c r="G37" s="2">
        <v>1955</v>
      </c>
      <c r="H37" s="2">
        <v>1806</v>
      </c>
      <c r="I37" s="2">
        <v>4468</v>
      </c>
      <c r="J37" s="2">
        <v>4720</v>
      </c>
      <c r="K37" s="2">
        <v>43387</v>
      </c>
      <c r="L37" s="2">
        <v>54023</v>
      </c>
      <c r="M37" s="2">
        <v>3296</v>
      </c>
      <c r="N37" s="2">
        <v>3535</v>
      </c>
      <c r="O37" s="2">
        <v>4985</v>
      </c>
      <c r="P37" s="2">
        <v>5452</v>
      </c>
      <c r="Q37" s="2">
        <v>144190</v>
      </c>
      <c r="R37" s="2">
        <v>118316</v>
      </c>
      <c r="S37" s="2">
        <v>4205</v>
      </c>
      <c r="T37" s="2">
        <v>4709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>
      <c r="A38" s="2" t="s">
        <v>169</v>
      </c>
      <c r="B38" s="2" t="s">
        <v>36</v>
      </c>
      <c r="C38" s="2">
        <v>1534</v>
      </c>
      <c r="D38" s="2">
        <v>2887</v>
      </c>
      <c r="E38" s="2">
        <v>4171</v>
      </c>
      <c r="F38" s="2">
        <v>6264</v>
      </c>
      <c r="G38" s="2">
        <v>1073</v>
      </c>
      <c r="H38" s="2">
        <v>1913</v>
      </c>
      <c r="I38" s="2">
        <v>2087</v>
      </c>
      <c r="J38" s="2">
        <v>3880</v>
      </c>
      <c r="K38" s="2">
        <v>33940</v>
      </c>
      <c r="L38" s="2">
        <v>50506</v>
      </c>
      <c r="M38" s="2">
        <v>1603</v>
      </c>
      <c r="N38" s="2">
        <v>2950</v>
      </c>
      <c r="O38" s="2">
        <v>2183</v>
      </c>
      <c r="P38" s="2">
        <v>3961</v>
      </c>
      <c r="Q38" s="2">
        <v>118616</v>
      </c>
      <c r="R38" s="2">
        <v>107675</v>
      </c>
      <c r="S38" s="2">
        <v>1897</v>
      </c>
      <c r="T38" s="2">
        <v>3546</v>
      </c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>
      <c r="A39" s="2" t="s">
        <v>169</v>
      </c>
      <c r="B39" s="2" t="s">
        <v>100</v>
      </c>
      <c r="C39" s="2">
        <v>1597</v>
      </c>
      <c r="D39" s="2">
        <v>1888</v>
      </c>
      <c r="E39" s="2">
        <v>3009</v>
      </c>
      <c r="F39" s="2">
        <v>3072</v>
      </c>
      <c r="G39" s="2">
        <v>1206</v>
      </c>
      <c r="H39" s="2">
        <v>1571</v>
      </c>
      <c r="I39" s="2">
        <v>2275</v>
      </c>
      <c r="J39" s="2">
        <v>2699</v>
      </c>
      <c r="K39" s="2">
        <v>22824</v>
      </c>
      <c r="L39" s="2">
        <v>26580</v>
      </c>
      <c r="M39" s="2">
        <v>2078</v>
      </c>
      <c r="N39" s="2">
        <v>2061</v>
      </c>
      <c r="O39" s="2">
        <v>2580</v>
      </c>
      <c r="P39" s="2">
        <v>3118</v>
      </c>
      <c r="Q39" s="2">
        <v>57784</v>
      </c>
      <c r="R39" s="2">
        <v>49497</v>
      </c>
      <c r="S39" s="2">
        <v>2126</v>
      </c>
      <c r="T39" s="2">
        <v>2579</v>
      </c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>
      <c r="A40" s="2" t="s">
        <v>169</v>
      </c>
      <c r="B40" s="2" t="s">
        <v>66</v>
      </c>
      <c r="C40" s="2">
        <v>1396</v>
      </c>
      <c r="D40" s="2">
        <v>1637</v>
      </c>
      <c r="E40" s="2">
        <v>2381</v>
      </c>
      <c r="F40" s="2">
        <v>2468</v>
      </c>
      <c r="G40" s="2">
        <v>945</v>
      </c>
      <c r="H40" s="2">
        <v>1143</v>
      </c>
      <c r="I40" s="2">
        <v>2211</v>
      </c>
      <c r="J40" s="2">
        <v>2634</v>
      </c>
      <c r="K40" s="2">
        <v>26387</v>
      </c>
      <c r="L40" s="2">
        <v>24358</v>
      </c>
      <c r="M40" s="2">
        <v>2059</v>
      </c>
      <c r="N40" s="2">
        <v>2078</v>
      </c>
      <c r="O40" s="2">
        <v>2490</v>
      </c>
      <c r="P40" s="2">
        <v>2918</v>
      </c>
      <c r="Q40" s="2">
        <v>49506</v>
      </c>
      <c r="R40" s="2">
        <v>44573</v>
      </c>
      <c r="S40" s="2">
        <v>2058</v>
      </c>
      <c r="T40" s="2">
        <v>2507</v>
      </c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>
      <c r="A41" s="2" t="s">
        <v>169</v>
      </c>
      <c r="B41" s="2" t="s">
        <v>60</v>
      </c>
      <c r="C41" s="2">
        <v>1133</v>
      </c>
      <c r="D41" s="2">
        <v>1442</v>
      </c>
      <c r="E41" s="2">
        <v>2080</v>
      </c>
      <c r="F41" s="2">
        <v>2281</v>
      </c>
      <c r="G41" s="2">
        <v>772</v>
      </c>
      <c r="H41" s="2">
        <v>995</v>
      </c>
      <c r="I41" s="2">
        <v>1548</v>
      </c>
      <c r="J41" s="2">
        <v>2070</v>
      </c>
      <c r="K41" s="2">
        <v>14053</v>
      </c>
      <c r="L41" s="2">
        <v>15892</v>
      </c>
      <c r="M41" s="2">
        <v>1185</v>
      </c>
      <c r="N41" s="2">
        <v>1543</v>
      </c>
      <c r="O41" s="2">
        <v>1844</v>
      </c>
      <c r="P41" s="2">
        <v>2793</v>
      </c>
      <c r="Q41" s="2">
        <v>34114</v>
      </c>
      <c r="R41" s="2">
        <v>40387</v>
      </c>
      <c r="S41" s="2">
        <v>1570</v>
      </c>
      <c r="T41" s="2">
        <v>2318</v>
      </c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>
      <c r="A42" s="2" t="s">
        <v>169</v>
      </c>
      <c r="B42" s="2" t="s">
        <v>12</v>
      </c>
      <c r="C42" s="2">
        <v>319</v>
      </c>
      <c r="D42" s="2">
        <v>462</v>
      </c>
      <c r="E42" s="2">
        <v>470</v>
      </c>
      <c r="F42" s="2">
        <v>466</v>
      </c>
      <c r="G42" s="2">
        <v>215</v>
      </c>
      <c r="H42" s="2">
        <v>322</v>
      </c>
      <c r="I42" s="2">
        <v>414</v>
      </c>
      <c r="J42" s="2">
        <v>443</v>
      </c>
      <c r="K42" s="2">
        <v>3138</v>
      </c>
      <c r="L42" s="2">
        <v>3169</v>
      </c>
      <c r="M42" s="2">
        <v>320</v>
      </c>
      <c r="N42" s="2">
        <v>345</v>
      </c>
      <c r="O42" s="2">
        <v>443</v>
      </c>
      <c r="P42" s="2">
        <v>466</v>
      </c>
      <c r="Q42" s="2">
        <v>4188</v>
      </c>
      <c r="R42" s="2">
        <v>6010</v>
      </c>
      <c r="S42" s="2">
        <v>375</v>
      </c>
      <c r="T42" s="2">
        <v>416</v>
      </c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>
      <c r="A43" s="2" t="s">
        <v>183</v>
      </c>
      <c r="B43" s="2" t="s">
        <v>21</v>
      </c>
      <c r="C43" s="2">
        <v>4462</v>
      </c>
      <c r="D43" s="2">
        <v>5835</v>
      </c>
      <c r="E43" s="2">
        <v>10231</v>
      </c>
      <c r="F43" s="2">
        <v>9850</v>
      </c>
      <c r="G43" s="2">
        <v>3017</v>
      </c>
      <c r="H43" s="2">
        <v>3883</v>
      </c>
      <c r="I43" s="2">
        <v>11734</v>
      </c>
      <c r="J43" s="2">
        <v>15938</v>
      </c>
      <c r="K43" s="2">
        <v>90201</v>
      </c>
      <c r="L43" s="2">
        <v>152196</v>
      </c>
      <c r="M43" s="2">
        <v>8800</v>
      </c>
      <c r="N43" s="2">
        <v>11992</v>
      </c>
      <c r="O43" s="2">
        <v>14743</v>
      </c>
      <c r="P43" s="2">
        <v>18776</v>
      </c>
      <c r="Q43" s="2">
        <v>311979</v>
      </c>
      <c r="R43" s="2">
        <v>346050</v>
      </c>
      <c r="S43" s="2">
        <v>16127</v>
      </c>
      <c r="T43" s="2">
        <v>22133</v>
      </c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>
      <c r="A44" s="2" t="s">
        <v>171</v>
      </c>
      <c r="B44" s="2" t="s">
        <v>44</v>
      </c>
      <c r="C44" s="2">
        <v>560</v>
      </c>
      <c r="D44" s="2">
        <v>648</v>
      </c>
      <c r="E44" s="2">
        <v>1073</v>
      </c>
      <c r="F44" s="2">
        <v>971</v>
      </c>
      <c r="G44" s="2">
        <v>386</v>
      </c>
      <c r="H44" s="2">
        <v>459</v>
      </c>
      <c r="I44" s="2">
        <v>861</v>
      </c>
      <c r="J44" s="2">
        <v>885</v>
      </c>
      <c r="K44" s="2">
        <v>9822</v>
      </c>
      <c r="L44" s="2">
        <v>10065</v>
      </c>
      <c r="M44" s="2">
        <v>614</v>
      </c>
      <c r="N44" s="2">
        <v>699</v>
      </c>
      <c r="O44" s="2">
        <v>929</v>
      </c>
      <c r="P44" s="2">
        <v>923</v>
      </c>
      <c r="Q44" s="2">
        <v>22624</v>
      </c>
      <c r="R44" s="2">
        <v>18198</v>
      </c>
      <c r="S44" s="2">
        <v>968</v>
      </c>
      <c r="T44" s="2">
        <v>825</v>
      </c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>
      <c r="A45" s="2" t="s">
        <v>170</v>
      </c>
      <c r="B45" s="2" t="s">
        <v>5</v>
      </c>
      <c r="C45" s="2">
        <v>260</v>
      </c>
      <c r="D45" s="2">
        <v>419</v>
      </c>
      <c r="E45" s="2">
        <v>534</v>
      </c>
      <c r="F45" s="2">
        <v>488</v>
      </c>
      <c r="G45" s="2">
        <v>186</v>
      </c>
      <c r="H45" s="2">
        <v>181</v>
      </c>
      <c r="I45" s="2">
        <v>340</v>
      </c>
      <c r="J45" s="2">
        <v>344</v>
      </c>
      <c r="K45" s="2">
        <v>5076</v>
      </c>
      <c r="L45" s="2">
        <v>5137</v>
      </c>
      <c r="M45" s="2">
        <v>261</v>
      </c>
      <c r="N45" s="2">
        <v>268</v>
      </c>
      <c r="O45" s="2">
        <v>359</v>
      </c>
      <c r="P45" s="2">
        <v>378</v>
      </c>
      <c r="Q45" s="2">
        <v>8735</v>
      </c>
      <c r="R45" s="2">
        <v>6752</v>
      </c>
      <c r="S45" s="2">
        <v>308</v>
      </c>
      <c r="T45" s="2">
        <v>304</v>
      </c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>
      <c r="A46" s="2" t="s">
        <v>170</v>
      </c>
      <c r="B46" s="2" t="s">
        <v>62</v>
      </c>
      <c r="C46" s="2">
        <v>809</v>
      </c>
      <c r="D46" s="2">
        <v>10419</v>
      </c>
      <c r="E46" s="2">
        <v>1425</v>
      </c>
      <c r="F46" s="2">
        <v>7389</v>
      </c>
      <c r="G46" s="2">
        <v>579</v>
      </c>
      <c r="H46" s="2">
        <v>4001</v>
      </c>
      <c r="I46" s="2">
        <v>1162</v>
      </c>
      <c r="J46" s="2">
        <v>9612</v>
      </c>
      <c r="K46" s="2">
        <v>12965</v>
      </c>
      <c r="L46" s="2">
        <v>23155</v>
      </c>
      <c r="M46" s="2">
        <v>853</v>
      </c>
      <c r="N46" s="2">
        <v>6593</v>
      </c>
      <c r="O46" s="2">
        <v>1235</v>
      </c>
      <c r="P46" s="2">
        <v>10513</v>
      </c>
      <c r="Q46" s="2">
        <v>22597</v>
      </c>
      <c r="R46" s="2">
        <v>32425</v>
      </c>
      <c r="S46" s="2">
        <v>1107</v>
      </c>
      <c r="T46" s="2">
        <v>9627</v>
      </c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>
      <c r="A47" s="2" t="s">
        <v>170</v>
      </c>
      <c r="B47" s="2" t="s">
        <v>6</v>
      </c>
      <c r="C47" s="2">
        <v>660</v>
      </c>
      <c r="D47" s="2">
        <v>80033</v>
      </c>
      <c r="E47" s="2">
        <v>1258</v>
      </c>
      <c r="F47" s="2">
        <v>3356</v>
      </c>
      <c r="G47" s="2">
        <v>469</v>
      </c>
      <c r="H47" s="2">
        <v>1407</v>
      </c>
      <c r="I47" s="2">
        <v>1672</v>
      </c>
      <c r="J47" s="2">
        <v>4688</v>
      </c>
      <c r="K47" s="2">
        <v>21407</v>
      </c>
      <c r="L47" s="2">
        <v>40847</v>
      </c>
      <c r="M47" s="2">
        <v>1239</v>
      </c>
      <c r="N47" s="2">
        <v>77793</v>
      </c>
      <c r="O47" s="2">
        <v>1850</v>
      </c>
      <c r="P47" s="2">
        <v>6276</v>
      </c>
      <c r="Q47" s="2">
        <v>39567</v>
      </c>
      <c r="R47" s="2">
        <v>36252</v>
      </c>
      <c r="S47" s="2">
        <v>1701</v>
      </c>
      <c r="T47" s="2">
        <v>40882</v>
      </c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>
      <c r="A48" s="2" t="s">
        <v>170</v>
      </c>
      <c r="B48" s="2" t="s">
        <v>82</v>
      </c>
      <c r="C48" s="2">
        <v>23</v>
      </c>
      <c r="D48" s="2">
        <v>29</v>
      </c>
      <c r="E48" s="2">
        <v>49</v>
      </c>
      <c r="F48" s="2">
        <v>49</v>
      </c>
      <c r="G48" s="2">
        <v>17</v>
      </c>
      <c r="H48" s="2">
        <v>18</v>
      </c>
      <c r="I48" s="2">
        <v>32</v>
      </c>
      <c r="J48" s="2">
        <v>34</v>
      </c>
      <c r="K48" s="2">
        <v>154</v>
      </c>
      <c r="L48" s="2">
        <v>182</v>
      </c>
      <c r="M48" s="2">
        <v>47</v>
      </c>
      <c r="N48" s="2">
        <v>28</v>
      </c>
      <c r="O48" s="2">
        <v>35</v>
      </c>
      <c r="P48" s="2">
        <v>36</v>
      </c>
      <c r="Q48" s="2">
        <v>514</v>
      </c>
      <c r="R48" s="2">
        <v>431</v>
      </c>
      <c r="S48" s="2">
        <v>30</v>
      </c>
      <c r="T48" s="2">
        <v>31</v>
      </c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>
      <c r="A49" s="2" t="s">
        <v>170</v>
      </c>
      <c r="B49" s="2" t="s">
        <v>92</v>
      </c>
      <c r="C49" s="2">
        <v>13</v>
      </c>
      <c r="D49" s="2">
        <v>12</v>
      </c>
      <c r="E49" s="2">
        <v>17</v>
      </c>
      <c r="F49" s="2">
        <v>28</v>
      </c>
      <c r="G49" s="2">
        <v>12</v>
      </c>
      <c r="H49" s="2">
        <v>10</v>
      </c>
      <c r="I49" s="2">
        <v>17</v>
      </c>
      <c r="J49" s="2">
        <v>17</v>
      </c>
      <c r="K49" s="2">
        <v>23</v>
      </c>
      <c r="L49" s="2">
        <v>37</v>
      </c>
      <c r="M49" s="2">
        <v>13</v>
      </c>
      <c r="N49" s="2">
        <v>13</v>
      </c>
      <c r="O49" s="2">
        <v>18</v>
      </c>
      <c r="P49" s="2">
        <v>17</v>
      </c>
      <c r="Q49" s="2">
        <v>17</v>
      </c>
      <c r="R49" s="2">
        <v>17</v>
      </c>
      <c r="S49" s="2">
        <v>15</v>
      </c>
      <c r="T49" s="2">
        <v>20</v>
      </c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>
      <c r="A50" s="2" t="s">
        <v>170</v>
      </c>
      <c r="B50" s="2" t="s">
        <v>53</v>
      </c>
      <c r="C50" s="2">
        <v>870</v>
      </c>
      <c r="D50" s="2">
        <v>36733</v>
      </c>
      <c r="E50" s="2">
        <v>1355</v>
      </c>
      <c r="F50" s="2">
        <v>26141</v>
      </c>
      <c r="G50" s="2">
        <v>590</v>
      </c>
      <c r="H50" s="2">
        <v>32879</v>
      </c>
      <c r="I50" s="2">
        <v>1790</v>
      </c>
      <c r="J50" s="2">
        <v>64171</v>
      </c>
      <c r="K50" s="2">
        <v>14505</v>
      </c>
      <c r="L50" s="2">
        <v>52576</v>
      </c>
      <c r="M50" s="2">
        <v>1304</v>
      </c>
      <c r="N50" s="2">
        <v>42022</v>
      </c>
      <c r="O50" s="2">
        <v>2101</v>
      </c>
      <c r="P50" s="2">
        <v>56083</v>
      </c>
      <c r="Q50" s="2">
        <v>28399</v>
      </c>
      <c r="R50" s="2">
        <v>90992</v>
      </c>
      <c r="S50" s="2">
        <v>1864</v>
      </c>
      <c r="T50" s="2">
        <v>50790</v>
      </c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>
      <c r="A51" s="2" t="s">
        <v>170</v>
      </c>
      <c r="B51" s="2" t="s">
        <v>11</v>
      </c>
      <c r="C51" s="2">
        <v>64</v>
      </c>
      <c r="D51" s="2">
        <v>75</v>
      </c>
      <c r="E51" s="2">
        <v>156</v>
      </c>
      <c r="F51" s="2">
        <v>154</v>
      </c>
      <c r="G51" s="2">
        <v>47</v>
      </c>
      <c r="H51" s="2">
        <v>80</v>
      </c>
      <c r="I51" s="2">
        <v>90</v>
      </c>
      <c r="J51" s="2">
        <v>98</v>
      </c>
      <c r="K51" s="2">
        <v>934</v>
      </c>
      <c r="L51" s="2">
        <v>1330</v>
      </c>
      <c r="M51" s="2">
        <v>70</v>
      </c>
      <c r="N51" s="2">
        <v>79</v>
      </c>
      <c r="O51" s="2">
        <v>101</v>
      </c>
      <c r="P51" s="2">
        <v>107</v>
      </c>
      <c r="Q51" s="2">
        <v>2068</v>
      </c>
      <c r="R51" s="2">
        <v>2064</v>
      </c>
      <c r="S51" s="2">
        <v>82</v>
      </c>
      <c r="T51" s="2">
        <v>91</v>
      </c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>
      <c r="A52" s="2" t="s">
        <v>170</v>
      </c>
      <c r="B52" s="2" t="s">
        <v>84</v>
      </c>
      <c r="C52" s="2">
        <v>478</v>
      </c>
      <c r="D52" s="2">
        <v>2099</v>
      </c>
      <c r="E52" s="2">
        <v>872</v>
      </c>
      <c r="F52" s="2">
        <v>2459</v>
      </c>
      <c r="G52" s="2">
        <v>358</v>
      </c>
      <c r="H52" s="2">
        <v>1504</v>
      </c>
      <c r="I52" s="2">
        <v>745</v>
      </c>
      <c r="J52" s="2">
        <v>3254</v>
      </c>
      <c r="K52" s="2">
        <v>8118</v>
      </c>
      <c r="L52" s="2">
        <v>10817</v>
      </c>
      <c r="M52" s="2">
        <v>549</v>
      </c>
      <c r="N52" s="2">
        <v>2039</v>
      </c>
      <c r="O52" s="2">
        <v>811</v>
      </c>
      <c r="P52" s="2">
        <v>3221</v>
      </c>
      <c r="Q52" s="2">
        <v>14908</v>
      </c>
      <c r="R52" s="2">
        <v>18946</v>
      </c>
      <c r="S52" s="2">
        <v>774</v>
      </c>
      <c r="T52" s="2">
        <v>3044</v>
      </c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>
      <c r="A53" s="2" t="s">
        <v>182</v>
      </c>
      <c r="B53" s="2" t="s">
        <v>50</v>
      </c>
      <c r="C53" s="2">
        <v>465</v>
      </c>
      <c r="D53" s="2">
        <v>595</v>
      </c>
      <c r="E53" s="2">
        <v>842</v>
      </c>
      <c r="F53" s="2">
        <v>920</v>
      </c>
      <c r="G53" s="2">
        <v>322</v>
      </c>
      <c r="H53" s="2">
        <v>370</v>
      </c>
      <c r="I53" s="2">
        <v>891</v>
      </c>
      <c r="J53" s="2">
        <v>1110</v>
      </c>
      <c r="K53" s="2">
        <v>9986</v>
      </c>
      <c r="L53" s="2">
        <v>9744</v>
      </c>
      <c r="M53" s="2">
        <v>641</v>
      </c>
      <c r="N53" s="2">
        <v>843</v>
      </c>
      <c r="O53" s="2">
        <v>1062</v>
      </c>
      <c r="P53" s="2">
        <v>1260</v>
      </c>
      <c r="Q53" s="2">
        <v>21291</v>
      </c>
      <c r="R53" s="2">
        <v>20696</v>
      </c>
      <c r="S53" s="2">
        <v>902</v>
      </c>
      <c r="T53" s="2">
        <v>1073</v>
      </c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>
      <c r="A54" s="2" t="s">
        <v>182</v>
      </c>
      <c r="B54" s="2" t="s">
        <v>47</v>
      </c>
      <c r="C54" s="2">
        <v>941</v>
      </c>
      <c r="D54" s="2">
        <v>505906</v>
      </c>
      <c r="E54" s="2">
        <v>1391</v>
      </c>
      <c r="F54" s="2">
        <v>569171</v>
      </c>
      <c r="G54" s="2">
        <v>668</v>
      </c>
      <c r="H54" s="2">
        <v>400907</v>
      </c>
      <c r="I54" s="2">
        <v>2267</v>
      </c>
      <c r="J54" s="2">
        <v>1018534</v>
      </c>
      <c r="K54" s="2">
        <v>10193</v>
      </c>
      <c r="L54" s="2">
        <v>1087619</v>
      </c>
      <c r="M54" s="2">
        <v>1860</v>
      </c>
      <c r="N54" s="2">
        <v>843575</v>
      </c>
      <c r="O54" s="2">
        <v>2965</v>
      </c>
      <c r="P54" s="2">
        <v>1114997</v>
      </c>
      <c r="Q54" s="2">
        <v>25202</v>
      </c>
      <c r="R54" s="2">
        <v>1110169</v>
      </c>
      <c r="S54" s="2">
        <v>3038</v>
      </c>
      <c r="T54" s="2">
        <v>956642</v>
      </c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1:56">
      <c r="A55" s="2" t="s">
        <v>182</v>
      </c>
      <c r="B55" s="2" t="s">
        <v>57</v>
      </c>
      <c r="C55" s="2">
        <v>155</v>
      </c>
      <c r="D55" s="2">
        <v>165</v>
      </c>
      <c r="E55" s="2">
        <v>263</v>
      </c>
      <c r="F55" s="2">
        <v>269</v>
      </c>
      <c r="G55" s="2">
        <v>106</v>
      </c>
      <c r="H55" s="2">
        <v>105</v>
      </c>
      <c r="I55" s="2">
        <v>371</v>
      </c>
      <c r="J55" s="2">
        <v>321</v>
      </c>
      <c r="K55" s="2">
        <v>2796</v>
      </c>
      <c r="L55" s="2">
        <v>2510</v>
      </c>
      <c r="M55" s="2">
        <v>278</v>
      </c>
      <c r="N55" s="2">
        <v>240</v>
      </c>
      <c r="O55" s="2">
        <v>273</v>
      </c>
      <c r="P55" s="2">
        <v>230</v>
      </c>
      <c r="Q55" s="2">
        <v>1323</v>
      </c>
      <c r="R55" s="2">
        <v>1278</v>
      </c>
      <c r="S55" s="2">
        <v>206</v>
      </c>
      <c r="T55" s="2">
        <v>178</v>
      </c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>
      <c r="A56" s="2" t="s">
        <v>182</v>
      </c>
      <c r="B56" s="2" t="s">
        <v>95</v>
      </c>
      <c r="C56" s="2">
        <v>84</v>
      </c>
      <c r="D56" s="2">
        <v>136</v>
      </c>
      <c r="E56" s="2">
        <v>210</v>
      </c>
      <c r="F56" s="2">
        <v>324</v>
      </c>
      <c r="G56" s="2">
        <v>58</v>
      </c>
      <c r="H56" s="2">
        <v>93</v>
      </c>
      <c r="I56" s="2">
        <v>133</v>
      </c>
      <c r="J56" s="2">
        <v>207</v>
      </c>
      <c r="K56" s="2">
        <v>1280</v>
      </c>
      <c r="L56" s="2">
        <v>1797</v>
      </c>
      <c r="M56" s="2">
        <v>94</v>
      </c>
      <c r="N56" s="2">
        <v>281</v>
      </c>
      <c r="O56" s="2">
        <v>139</v>
      </c>
      <c r="P56" s="2">
        <v>219</v>
      </c>
      <c r="Q56" s="2">
        <v>1295</v>
      </c>
      <c r="R56" s="2">
        <v>1523</v>
      </c>
      <c r="S56" s="2">
        <v>111</v>
      </c>
      <c r="T56" s="2">
        <v>168</v>
      </c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>
      <c r="A57" s="2" t="s">
        <v>182</v>
      </c>
      <c r="B57" s="2" t="s">
        <v>41</v>
      </c>
      <c r="C57" s="2">
        <v>160</v>
      </c>
      <c r="D57" s="2">
        <v>184</v>
      </c>
      <c r="E57" s="2">
        <v>294</v>
      </c>
      <c r="F57" s="2">
        <v>332</v>
      </c>
      <c r="G57" s="2">
        <v>110</v>
      </c>
      <c r="H57" s="2">
        <v>132</v>
      </c>
      <c r="I57" s="2">
        <v>320</v>
      </c>
      <c r="J57" s="2">
        <v>354</v>
      </c>
      <c r="K57" s="2">
        <v>1952</v>
      </c>
      <c r="L57" s="2">
        <v>2976</v>
      </c>
      <c r="M57" s="2">
        <v>246</v>
      </c>
      <c r="N57" s="2">
        <v>279</v>
      </c>
      <c r="O57" s="2">
        <v>222</v>
      </c>
      <c r="P57" s="2">
        <v>283</v>
      </c>
      <c r="Q57" s="2">
        <v>1227</v>
      </c>
      <c r="R57" s="2">
        <v>1123</v>
      </c>
      <c r="S57" s="2">
        <v>216</v>
      </c>
      <c r="T57" s="2">
        <v>211</v>
      </c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>
      <c r="A58" s="2" t="s">
        <v>182</v>
      </c>
      <c r="B58" s="2" t="s">
        <v>81</v>
      </c>
      <c r="C58" s="2">
        <v>785</v>
      </c>
      <c r="D58" s="2">
        <v>938</v>
      </c>
      <c r="E58" s="2">
        <v>1415</v>
      </c>
      <c r="F58" s="2">
        <v>1496</v>
      </c>
      <c r="G58" s="2">
        <v>564</v>
      </c>
      <c r="H58" s="2">
        <v>631</v>
      </c>
      <c r="I58" s="2">
        <v>1131</v>
      </c>
      <c r="J58" s="2">
        <v>1344</v>
      </c>
      <c r="K58" s="2">
        <v>10787</v>
      </c>
      <c r="L58" s="2">
        <v>12046</v>
      </c>
      <c r="M58" s="2">
        <v>838</v>
      </c>
      <c r="N58" s="2">
        <v>1029</v>
      </c>
      <c r="O58" s="2">
        <v>1230</v>
      </c>
      <c r="P58" s="2">
        <v>1470</v>
      </c>
      <c r="Q58" s="2">
        <v>24169</v>
      </c>
      <c r="R58" s="2">
        <v>22219</v>
      </c>
      <c r="S58" s="2">
        <v>1057</v>
      </c>
      <c r="T58" s="2">
        <v>1388</v>
      </c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>
      <c r="A59" s="2" t="s">
        <v>182</v>
      </c>
      <c r="B59" s="2" t="s">
        <v>45</v>
      </c>
      <c r="C59" s="2">
        <v>10845</v>
      </c>
      <c r="D59" s="2">
        <v>1061388</v>
      </c>
      <c r="E59" s="2">
        <v>43367</v>
      </c>
      <c r="F59" s="2">
        <v>1155434</v>
      </c>
      <c r="G59" s="2">
        <v>7584</v>
      </c>
      <c r="H59" s="2">
        <v>678900</v>
      </c>
      <c r="I59" s="2">
        <v>19132</v>
      </c>
      <c r="J59" s="2">
        <v>2047061</v>
      </c>
      <c r="K59" s="2">
        <v>284175</v>
      </c>
      <c r="L59" s="2">
        <v>2443366</v>
      </c>
      <c r="M59" s="2">
        <v>14533</v>
      </c>
      <c r="N59" s="2">
        <v>1465696</v>
      </c>
      <c r="O59" s="2">
        <v>24301</v>
      </c>
      <c r="P59" s="2">
        <v>2644011</v>
      </c>
      <c r="Q59" s="2">
        <v>693013</v>
      </c>
      <c r="R59" s="2">
        <v>3321075</v>
      </c>
      <c r="S59" s="2">
        <v>20308</v>
      </c>
      <c r="T59" s="2">
        <v>1901020</v>
      </c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>
      <c r="A60" s="2" t="s">
        <v>182</v>
      </c>
      <c r="B60" s="2" t="s">
        <v>54</v>
      </c>
      <c r="C60" s="2">
        <v>3527</v>
      </c>
      <c r="D60" s="2">
        <v>25399</v>
      </c>
      <c r="E60" s="2">
        <v>11256</v>
      </c>
      <c r="F60" s="2">
        <v>34562</v>
      </c>
      <c r="G60" s="2">
        <v>2679</v>
      </c>
      <c r="H60" s="2">
        <v>25927</v>
      </c>
      <c r="I60" s="2">
        <v>5457</v>
      </c>
      <c r="J60" s="2">
        <v>36937</v>
      </c>
      <c r="K60" s="2">
        <v>85384</v>
      </c>
      <c r="L60" s="2">
        <v>152775</v>
      </c>
      <c r="M60" s="2">
        <v>4192</v>
      </c>
      <c r="N60" s="2">
        <v>34299</v>
      </c>
      <c r="O60" s="2">
        <v>6470</v>
      </c>
      <c r="P60" s="2">
        <v>41257</v>
      </c>
      <c r="Q60" s="2">
        <v>199416</v>
      </c>
      <c r="R60" s="2">
        <v>264053</v>
      </c>
      <c r="S60" s="2">
        <v>6777</v>
      </c>
      <c r="T60" s="2">
        <v>35390</v>
      </c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1:56">
      <c r="A61" s="2" t="s">
        <v>182</v>
      </c>
      <c r="B61" s="2" t="s">
        <v>79</v>
      </c>
      <c r="C61" s="2">
        <v>6264</v>
      </c>
      <c r="D61" s="2">
        <v>512762</v>
      </c>
      <c r="E61" s="2">
        <v>19084</v>
      </c>
      <c r="F61" s="2">
        <v>450033</v>
      </c>
      <c r="G61" s="2">
        <v>4492</v>
      </c>
      <c r="H61" s="2">
        <v>378872</v>
      </c>
      <c r="I61" s="2">
        <v>10097</v>
      </c>
      <c r="J61" s="2">
        <v>1058802</v>
      </c>
      <c r="K61" s="2">
        <v>150001</v>
      </c>
      <c r="L61" s="2">
        <v>1520972</v>
      </c>
      <c r="M61" s="2">
        <v>7780</v>
      </c>
      <c r="N61" s="2">
        <v>770425</v>
      </c>
      <c r="O61" s="2">
        <v>11962</v>
      </c>
      <c r="P61" s="2">
        <v>1183274</v>
      </c>
      <c r="Q61" s="2">
        <v>344317</v>
      </c>
      <c r="R61" s="2">
        <v>1802252</v>
      </c>
      <c r="S61" s="2">
        <v>12499</v>
      </c>
      <c r="T61" s="2">
        <v>1410464</v>
      </c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>
      <c r="A62" s="2" t="s">
        <v>182</v>
      </c>
      <c r="B62" s="2" t="s">
        <v>9</v>
      </c>
      <c r="C62" s="2">
        <v>5177</v>
      </c>
      <c r="D62" s="2">
        <v>27446</v>
      </c>
      <c r="E62" s="2">
        <v>19357</v>
      </c>
      <c r="F62" s="2">
        <v>45582</v>
      </c>
      <c r="G62" s="2">
        <v>3784</v>
      </c>
      <c r="H62" s="2">
        <v>23081</v>
      </c>
      <c r="I62" s="2">
        <v>7464</v>
      </c>
      <c r="J62" s="2">
        <v>36495</v>
      </c>
      <c r="K62" s="2">
        <v>117171</v>
      </c>
      <c r="L62" s="2">
        <v>245584</v>
      </c>
      <c r="M62" s="2">
        <v>5741</v>
      </c>
      <c r="N62" s="2">
        <v>35144</v>
      </c>
      <c r="O62" s="2">
        <v>8407</v>
      </c>
      <c r="P62" s="2">
        <v>48209</v>
      </c>
      <c r="Q62" s="2">
        <v>364306</v>
      </c>
      <c r="R62" s="2">
        <v>393014</v>
      </c>
      <c r="S62" s="2">
        <v>9476</v>
      </c>
      <c r="T62" s="2">
        <v>42075</v>
      </c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>
      <c r="A63" s="2" t="s">
        <v>182</v>
      </c>
      <c r="B63" s="2" t="s">
        <v>7</v>
      </c>
      <c r="C63" s="2">
        <v>1812</v>
      </c>
      <c r="D63" s="2">
        <v>2276</v>
      </c>
      <c r="E63" s="2">
        <v>3121</v>
      </c>
      <c r="F63" s="2">
        <v>3508</v>
      </c>
      <c r="G63" s="2">
        <v>1274</v>
      </c>
      <c r="H63" s="2">
        <v>1571</v>
      </c>
      <c r="I63" s="2">
        <v>4487</v>
      </c>
      <c r="J63" s="2">
        <v>5789</v>
      </c>
      <c r="K63" s="2">
        <v>39630</v>
      </c>
      <c r="L63" s="2">
        <v>53161</v>
      </c>
      <c r="M63" s="2">
        <v>3438</v>
      </c>
      <c r="N63" s="2">
        <v>4334</v>
      </c>
      <c r="O63" s="2">
        <v>5503</v>
      </c>
      <c r="P63" s="2">
        <v>6976</v>
      </c>
      <c r="Q63" s="2">
        <v>99865</v>
      </c>
      <c r="R63" s="2">
        <v>107656</v>
      </c>
      <c r="S63" s="2">
        <v>4562</v>
      </c>
      <c r="T63" s="2">
        <v>7236</v>
      </c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1:56">
      <c r="A64" s="2" t="s">
        <v>182</v>
      </c>
      <c r="B64" s="2" t="s">
        <v>46</v>
      </c>
      <c r="C64" s="2">
        <v>552</v>
      </c>
      <c r="D64" s="2">
        <v>612</v>
      </c>
      <c r="E64" s="2">
        <v>886</v>
      </c>
      <c r="F64" s="2">
        <v>1225</v>
      </c>
      <c r="G64" s="2">
        <v>381</v>
      </c>
      <c r="H64" s="2">
        <v>658</v>
      </c>
      <c r="I64" s="2">
        <v>1218</v>
      </c>
      <c r="J64" s="2">
        <v>8755</v>
      </c>
      <c r="K64" s="2">
        <v>10436</v>
      </c>
      <c r="L64" s="2">
        <v>10862</v>
      </c>
      <c r="M64" s="2">
        <v>924</v>
      </c>
      <c r="N64" s="2">
        <v>1097</v>
      </c>
      <c r="O64" s="2">
        <v>1425</v>
      </c>
      <c r="P64" s="2">
        <v>1821</v>
      </c>
      <c r="Q64" s="2">
        <v>19847</v>
      </c>
      <c r="R64" s="2">
        <v>0</v>
      </c>
      <c r="S64" s="2">
        <v>1172</v>
      </c>
      <c r="T64" s="2">
        <v>1428</v>
      </c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>
      <c r="A65" s="2" t="s">
        <v>182</v>
      </c>
      <c r="B65" s="2" t="s">
        <v>99</v>
      </c>
      <c r="C65" s="2">
        <v>1827</v>
      </c>
      <c r="D65" s="2">
        <v>3107</v>
      </c>
      <c r="E65" s="2">
        <v>3432</v>
      </c>
      <c r="F65" s="2">
        <v>5252</v>
      </c>
      <c r="G65" s="2">
        <v>1276</v>
      </c>
      <c r="H65" s="2">
        <v>2011</v>
      </c>
      <c r="I65" s="2">
        <v>3098</v>
      </c>
      <c r="J65" s="2">
        <v>5237</v>
      </c>
      <c r="K65" s="2">
        <v>29653</v>
      </c>
      <c r="L65" s="2">
        <v>66744</v>
      </c>
      <c r="M65" s="2">
        <v>2407</v>
      </c>
      <c r="N65" s="2">
        <v>3792</v>
      </c>
      <c r="O65" s="2">
        <v>3652</v>
      </c>
      <c r="P65" s="2">
        <v>5796</v>
      </c>
      <c r="Q65" s="2">
        <v>88005</v>
      </c>
      <c r="R65" s="2">
        <v>119039</v>
      </c>
      <c r="S65" s="2">
        <v>3396</v>
      </c>
      <c r="T65" s="2">
        <v>5128</v>
      </c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>
      <c r="A66" s="2" t="s">
        <v>182</v>
      </c>
      <c r="B66" s="2" t="s">
        <v>96</v>
      </c>
      <c r="C66" s="2">
        <v>4179</v>
      </c>
      <c r="D66" s="2">
        <v>5592</v>
      </c>
      <c r="E66" s="2">
        <v>7731</v>
      </c>
      <c r="F66" s="2">
        <v>10167</v>
      </c>
      <c r="G66" s="2">
        <v>2707</v>
      </c>
      <c r="H66" s="2">
        <v>3874</v>
      </c>
      <c r="I66" s="2">
        <v>8280</v>
      </c>
      <c r="J66" s="2">
        <v>12096</v>
      </c>
      <c r="K66" s="2">
        <v>85876</v>
      </c>
      <c r="L66" s="2">
        <v>163980</v>
      </c>
      <c r="M66" s="2">
        <v>6104</v>
      </c>
      <c r="N66" s="2">
        <v>8813</v>
      </c>
      <c r="O66" s="2">
        <v>10495</v>
      </c>
      <c r="P66" s="2">
        <v>14301</v>
      </c>
      <c r="Q66" s="2">
        <v>254107</v>
      </c>
      <c r="R66" s="2">
        <v>307424</v>
      </c>
      <c r="S66" s="2">
        <v>9265</v>
      </c>
      <c r="T66" s="2">
        <v>13360</v>
      </c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1:56">
      <c r="A67" s="2" t="s">
        <v>182</v>
      </c>
      <c r="B67" s="2" t="s">
        <v>13</v>
      </c>
      <c r="C67" s="2">
        <v>209</v>
      </c>
      <c r="D67" s="2">
        <v>215</v>
      </c>
      <c r="E67" s="2">
        <v>441</v>
      </c>
      <c r="F67" s="2">
        <v>432</v>
      </c>
      <c r="G67" s="2">
        <v>137</v>
      </c>
      <c r="H67" s="2">
        <v>140</v>
      </c>
      <c r="I67" s="2">
        <v>333</v>
      </c>
      <c r="J67" s="2">
        <v>357</v>
      </c>
      <c r="K67" s="2">
        <v>3800</v>
      </c>
      <c r="L67" s="2">
        <v>3621</v>
      </c>
      <c r="M67" s="2">
        <v>233</v>
      </c>
      <c r="N67" s="2">
        <v>303</v>
      </c>
      <c r="O67" s="2">
        <v>369</v>
      </c>
      <c r="P67" s="2">
        <v>391</v>
      </c>
      <c r="Q67" s="2">
        <v>4865</v>
      </c>
      <c r="R67" s="2">
        <v>4906</v>
      </c>
      <c r="S67" s="2">
        <v>386</v>
      </c>
      <c r="T67" s="2">
        <v>334</v>
      </c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>
      <c r="A68" s="2" t="s">
        <v>182</v>
      </c>
      <c r="B68" s="2" t="s">
        <v>93</v>
      </c>
      <c r="C68" s="2">
        <v>214</v>
      </c>
      <c r="D68" s="2">
        <v>227</v>
      </c>
      <c r="E68" s="2">
        <v>419</v>
      </c>
      <c r="F68" s="2">
        <v>454</v>
      </c>
      <c r="G68" s="2">
        <v>143</v>
      </c>
      <c r="H68" s="2">
        <v>147</v>
      </c>
      <c r="I68" s="2">
        <v>344</v>
      </c>
      <c r="J68" s="2">
        <v>366</v>
      </c>
      <c r="K68" s="2">
        <v>3431</v>
      </c>
      <c r="L68" s="2">
        <v>3627</v>
      </c>
      <c r="M68" s="2">
        <v>244</v>
      </c>
      <c r="N68" s="2">
        <v>290</v>
      </c>
      <c r="O68" s="2">
        <v>396</v>
      </c>
      <c r="P68" s="2">
        <v>422</v>
      </c>
      <c r="Q68" s="2">
        <v>5742</v>
      </c>
      <c r="R68" s="2">
        <v>5287</v>
      </c>
      <c r="S68" s="2">
        <v>389</v>
      </c>
      <c r="T68" s="2">
        <v>333</v>
      </c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>
      <c r="A69" s="2" t="s">
        <v>182</v>
      </c>
      <c r="B69" s="2" t="s">
        <v>48</v>
      </c>
      <c r="C69" s="2">
        <v>732</v>
      </c>
      <c r="D69" s="2">
        <v>773</v>
      </c>
      <c r="E69" s="2">
        <v>1313</v>
      </c>
      <c r="F69" s="2">
        <v>1646</v>
      </c>
      <c r="G69" s="2">
        <v>512</v>
      </c>
      <c r="H69" s="2">
        <v>541</v>
      </c>
      <c r="I69" s="2">
        <v>1043</v>
      </c>
      <c r="J69" s="2">
        <v>1130</v>
      </c>
      <c r="K69" s="2">
        <v>10238</v>
      </c>
      <c r="L69" s="2">
        <v>11180</v>
      </c>
      <c r="M69" s="2">
        <v>823</v>
      </c>
      <c r="N69" s="2">
        <v>918</v>
      </c>
      <c r="O69" s="2">
        <v>1243</v>
      </c>
      <c r="P69" s="2">
        <v>1348</v>
      </c>
      <c r="Q69" s="2">
        <v>22866</v>
      </c>
      <c r="R69" s="2">
        <v>21694</v>
      </c>
      <c r="S69" s="2">
        <v>1345</v>
      </c>
      <c r="T69" s="2">
        <v>1196</v>
      </c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1:56">
      <c r="A70" s="2" t="s">
        <v>182</v>
      </c>
      <c r="B70" s="2" t="s">
        <v>103</v>
      </c>
      <c r="C70" s="2">
        <v>1833</v>
      </c>
      <c r="D70" s="2">
        <v>3035</v>
      </c>
      <c r="E70" s="2">
        <v>3394</v>
      </c>
      <c r="F70" s="2">
        <v>5036</v>
      </c>
      <c r="G70" s="2">
        <v>1223</v>
      </c>
      <c r="H70" s="2">
        <v>2082</v>
      </c>
      <c r="I70" s="2">
        <v>3171</v>
      </c>
      <c r="J70" s="2">
        <v>5054</v>
      </c>
      <c r="K70" s="2">
        <v>28487</v>
      </c>
      <c r="L70" s="2">
        <v>63897</v>
      </c>
      <c r="M70" s="2">
        <v>2305</v>
      </c>
      <c r="N70" s="2">
        <v>3747</v>
      </c>
      <c r="O70" s="2">
        <v>3476</v>
      </c>
      <c r="P70" s="2">
        <v>5792</v>
      </c>
      <c r="Q70" s="2">
        <v>81270</v>
      </c>
      <c r="R70" s="2">
        <v>115934</v>
      </c>
      <c r="S70" s="2">
        <v>3993</v>
      </c>
      <c r="T70" s="2">
        <v>5022</v>
      </c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>
      <c r="A71" s="2" t="s">
        <v>182</v>
      </c>
      <c r="B71" s="2" t="s">
        <v>31</v>
      </c>
      <c r="C71" s="2">
        <v>3939</v>
      </c>
      <c r="D71" s="2">
        <v>5522</v>
      </c>
      <c r="E71" s="2">
        <v>8055</v>
      </c>
      <c r="F71" s="2">
        <v>10474</v>
      </c>
      <c r="G71" s="2">
        <v>2689</v>
      </c>
      <c r="H71" s="2">
        <v>3757</v>
      </c>
      <c r="I71" s="2">
        <v>8250</v>
      </c>
      <c r="J71" s="2">
        <v>11910</v>
      </c>
      <c r="K71" s="2">
        <v>86399</v>
      </c>
      <c r="L71" s="2">
        <v>206396</v>
      </c>
      <c r="M71" s="2">
        <v>6000</v>
      </c>
      <c r="N71" s="2">
        <v>8654</v>
      </c>
      <c r="O71" s="2">
        <v>9955</v>
      </c>
      <c r="P71" s="2">
        <v>14157</v>
      </c>
      <c r="Q71" s="2">
        <v>272227</v>
      </c>
      <c r="R71" s="2">
        <v>329859</v>
      </c>
      <c r="S71" s="2">
        <v>9027</v>
      </c>
      <c r="T71" s="2">
        <v>12640</v>
      </c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>
      <c r="A72" s="2" t="s">
        <v>177</v>
      </c>
      <c r="B72" s="2" t="s">
        <v>33</v>
      </c>
      <c r="C72" s="2">
        <v>2572</v>
      </c>
      <c r="D72" s="2">
        <v>4600</v>
      </c>
      <c r="E72" s="2">
        <v>30012</v>
      </c>
      <c r="F72" s="2">
        <v>32917</v>
      </c>
      <c r="G72" s="2">
        <v>1794</v>
      </c>
      <c r="H72" s="2">
        <v>3164</v>
      </c>
      <c r="I72" s="2">
        <v>3568</v>
      </c>
      <c r="J72" s="2">
        <v>6953</v>
      </c>
      <c r="K72" s="2">
        <v>207655</v>
      </c>
      <c r="L72" s="2">
        <v>341597</v>
      </c>
      <c r="M72" s="2">
        <v>2716</v>
      </c>
      <c r="N72" s="2">
        <v>5111</v>
      </c>
      <c r="O72" s="2">
        <v>3914</v>
      </c>
      <c r="P72" s="2">
        <v>7774</v>
      </c>
      <c r="Q72" s="2">
        <v>548331</v>
      </c>
      <c r="R72" s="2">
        <v>611999</v>
      </c>
      <c r="S72" s="2">
        <v>3551</v>
      </c>
      <c r="T72" s="2">
        <v>6526</v>
      </c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1:56">
      <c r="A73" s="2" t="s">
        <v>178</v>
      </c>
      <c r="B73" s="2" t="s">
        <v>75</v>
      </c>
      <c r="C73" s="2">
        <v>2719</v>
      </c>
      <c r="D73" s="2">
        <v>5108</v>
      </c>
      <c r="E73" s="2">
        <v>36328</v>
      </c>
      <c r="F73" s="2">
        <v>37798</v>
      </c>
      <c r="G73" s="2">
        <v>1921</v>
      </c>
      <c r="H73" s="2">
        <v>3601</v>
      </c>
      <c r="I73" s="2">
        <v>3967</v>
      </c>
      <c r="J73" s="2">
        <v>7618</v>
      </c>
      <c r="K73" s="2">
        <v>334572</v>
      </c>
      <c r="L73" s="2">
        <v>383542</v>
      </c>
      <c r="M73" s="2">
        <v>2936</v>
      </c>
      <c r="N73" s="2">
        <v>5463</v>
      </c>
      <c r="O73" s="2">
        <v>4508</v>
      </c>
      <c r="P73" s="2">
        <v>7993</v>
      </c>
      <c r="Q73" s="2">
        <v>654172</v>
      </c>
      <c r="R73" s="2">
        <v>655209</v>
      </c>
      <c r="S73" s="2">
        <v>3754</v>
      </c>
      <c r="T73" s="2">
        <v>6807</v>
      </c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>
      <c r="A74" s="2" t="s">
        <v>176</v>
      </c>
      <c r="B74" s="2" t="s">
        <v>23</v>
      </c>
      <c r="C74" s="2">
        <v>8247</v>
      </c>
      <c r="D74" s="2">
        <v>1478</v>
      </c>
      <c r="E74" s="2">
        <v>21586</v>
      </c>
      <c r="F74" s="2">
        <v>2512</v>
      </c>
      <c r="G74" s="2">
        <v>5798</v>
      </c>
      <c r="H74" s="2">
        <v>1069</v>
      </c>
      <c r="I74" s="2">
        <v>18570</v>
      </c>
      <c r="J74" s="2">
        <v>2988</v>
      </c>
      <c r="K74" s="2">
        <v>256868</v>
      </c>
      <c r="L74" s="2">
        <v>27041</v>
      </c>
      <c r="M74" s="2">
        <v>13633</v>
      </c>
      <c r="N74" s="2">
        <v>2057</v>
      </c>
      <c r="O74" s="2">
        <v>24724</v>
      </c>
      <c r="P74" s="2">
        <v>3044</v>
      </c>
      <c r="Q74" s="2">
        <v>635381</v>
      </c>
      <c r="R74" s="2">
        <v>41003</v>
      </c>
      <c r="S74" s="2">
        <v>21038</v>
      </c>
      <c r="T74" s="2">
        <v>2504</v>
      </c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>
      <c r="A75" s="2" t="s">
        <v>175</v>
      </c>
      <c r="B75" s="2" t="s">
        <v>102</v>
      </c>
      <c r="C75" s="2">
        <v>1961</v>
      </c>
      <c r="D75" s="2">
        <v>2526</v>
      </c>
      <c r="E75" s="2">
        <v>3406</v>
      </c>
      <c r="F75" s="2">
        <v>3461</v>
      </c>
      <c r="G75" s="2">
        <v>1318</v>
      </c>
      <c r="H75" s="2">
        <v>1546</v>
      </c>
      <c r="I75" s="2">
        <v>4873</v>
      </c>
      <c r="J75" s="2">
        <v>5409</v>
      </c>
      <c r="K75" s="2">
        <v>46420</v>
      </c>
      <c r="L75" s="2">
        <v>44437</v>
      </c>
      <c r="M75" s="2">
        <v>3669</v>
      </c>
      <c r="N75" s="2">
        <v>4146</v>
      </c>
      <c r="O75" s="2">
        <v>5963</v>
      </c>
      <c r="P75" s="2">
        <v>6607</v>
      </c>
      <c r="Q75" s="2">
        <v>99997</v>
      </c>
      <c r="R75" s="2">
        <v>130009</v>
      </c>
      <c r="S75" s="2">
        <v>5308</v>
      </c>
      <c r="T75" s="2">
        <v>5664</v>
      </c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1:56">
      <c r="A76" s="2" t="s">
        <v>175</v>
      </c>
      <c r="B76" s="2" t="s">
        <v>67</v>
      </c>
      <c r="C76" s="2">
        <v>4599</v>
      </c>
      <c r="D76" s="2">
        <v>5081</v>
      </c>
      <c r="E76" s="2">
        <v>19507</v>
      </c>
      <c r="F76" s="2">
        <v>21924</v>
      </c>
      <c r="G76" s="2">
        <v>3157</v>
      </c>
      <c r="H76" s="2">
        <v>3470</v>
      </c>
      <c r="I76" s="2">
        <v>11872</v>
      </c>
      <c r="J76" s="2">
        <v>11980</v>
      </c>
      <c r="K76" s="2">
        <v>238511</v>
      </c>
      <c r="L76" s="2">
        <v>272240</v>
      </c>
      <c r="M76" s="2">
        <v>8153</v>
      </c>
      <c r="N76" s="2">
        <v>9048</v>
      </c>
      <c r="O76" s="2">
        <v>13361</v>
      </c>
      <c r="P76" s="2">
        <v>14844</v>
      </c>
      <c r="Q76" s="2">
        <v>694879</v>
      </c>
      <c r="R76" s="2">
        <v>605000</v>
      </c>
      <c r="S76" s="2">
        <v>11566</v>
      </c>
      <c r="T76" s="2">
        <v>12834</v>
      </c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>
      <c r="A77" s="2" t="s">
        <v>172</v>
      </c>
      <c r="B77" s="2" t="s">
        <v>52</v>
      </c>
      <c r="C77" s="2">
        <v>1449</v>
      </c>
      <c r="D77" s="2">
        <v>1585</v>
      </c>
      <c r="E77" s="2">
        <v>2672</v>
      </c>
      <c r="F77" s="2">
        <v>2557</v>
      </c>
      <c r="G77" s="2">
        <v>990</v>
      </c>
      <c r="H77" s="2">
        <v>1078</v>
      </c>
      <c r="I77" s="2">
        <v>3037</v>
      </c>
      <c r="J77" s="2">
        <v>2776</v>
      </c>
      <c r="K77" s="2">
        <v>25607</v>
      </c>
      <c r="L77" s="2">
        <v>24991</v>
      </c>
      <c r="M77" s="2">
        <v>2782</v>
      </c>
      <c r="N77" s="2">
        <v>2098</v>
      </c>
      <c r="O77" s="2">
        <v>3422</v>
      </c>
      <c r="P77" s="2">
        <v>3032</v>
      </c>
      <c r="Q77" s="2">
        <v>72588</v>
      </c>
      <c r="R77" s="2">
        <v>45637</v>
      </c>
      <c r="S77" s="2">
        <v>2922</v>
      </c>
      <c r="T77" s="2">
        <v>2542</v>
      </c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>
      <c r="A78" s="2" t="s">
        <v>172</v>
      </c>
      <c r="B78" s="2" t="s">
        <v>74</v>
      </c>
      <c r="C78" s="2">
        <v>146</v>
      </c>
      <c r="D78" s="2">
        <v>264</v>
      </c>
      <c r="E78" s="2">
        <v>451</v>
      </c>
      <c r="F78" s="2">
        <v>355</v>
      </c>
      <c r="G78" s="2">
        <v>108</v>
      </c>
      <c r="H78" s="2">
        <v>189</v>
      </c>
      <c r="I78" s="2">
        <v>201</v>
      </c>
      <c r="J78" s="2">
        <v>372</v>
      </c>
      <c r="K78" s="2">
        <v>4361</v>
      </c>
      <c r="L78" s="2">
        <v>1930</v>
      </c>
      <c r="M78" s="2">
        <v>185</v>
      </c>
      <c r="N78" s="2">
        <v>272</v>
      </c>
      <c r="O78" s="2">
        <v>209</v>
      </c>
      <c r="P78" s="2">
        <v>377</v>
      </c>
      <c r="Q78" s="2">
        <v>6104</v>
      </c>
      <c r="R78" s="2">
        <v>4280</v>
      </c>
      <c r="S78" s="2">
        <v>175</v>
      </c>
      <c r="T78" s="2">
        <v>343</v>
      </c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1:56">
      <c r="A79" s="2" t="s">
        <v>172</v>
      </c>
      <c r="B79" s="2" t="s">
        <v>1</v>
      </c>
      <c r="C79" s="2">
        <v>60</v>
      </c>
      <c r="D79" s="2">
        <v>33</v>
      </c>
      <c r="E79" s="2">
        <v>84</v>
      </c>
      <c r="F79" s="2">
        <v>80</v>
      </c>
      <c r="G79" s="2">
        <v>22</v>
      </c>
      <c r="H79" s="2">
        <v>29</v>
      </c>
      <c r="I79" s="2">
        <v>62</v>
      </c>
      <c r="J79" s="2">
        <v>59</v>
      </c>
      <c r="K79" s="2">
        <v>138</v>
      </c>
      <c r="L79" s="2">
        <v>142</v>
      </c>
      <c r="M79" s="2">
        <v>49</v>
      </c>
      <c r="N79" s="2">
        <v>49</v>
      </c>
      <c r="O79" s="2">
        <v>80</v>
      </c>
      <c r="P79" s="2">
        <v>75</v>
      </c>
      <c r="Q79" s="2">
        <v>194</v>
      </c>
      <c r="R79" s="2">
        <v>180</v>
      </c>
      <c r="S79" s="2">
        <v>65</v>
      </c>
      <c r="T79" s="2">
        <v>64</v>
      </c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>
      <c r="A80" s="2" t="s">
        <v>174</v>
      </c>
      <c r="B80" s="2" t="s">
        <v>0</v>
      </c>
      <c r="C80" s="2">
        <v>801</v>
      </c>
      <c r="D80" s="2">
        <v>960</v>
      </c>
      <c r="E80" s="2">
        <v>1313</v>
      </c>
      <c r="F80" s="2">
        <v>1093</v>
      </c>
      <c r="G80" s="2">
        <v>575</v>
      </c>
      <c r="H80" s="2">
        <v>650</v>
      </c>
      <c r="I80" s="2">
        <v>1221</v>
      </c>
      <c r="J80" s="2">
        <v>1441</v>
      </c>
      <c r="K80" s="2">
        <v>8505</v>
      </c>
      <c r="L80" s="2">
        <v>6984</v>
      </c>
      <c r="M80" s="2">
        <v>987</v>
      </c>
      <c r="N80" s="2">
        <v>1029</v>
      </c>
      <c r="O80" s="2">
        <v>1261</v>
      </c>
      <c r="P80" s="2">
        <v>1674</v>
      </c>
      <c r="Q80" s="2">
        <v>22102</v>
      </c>
      <c r="R80" s="2">
        <v>13300</v>
      </c>
      <c r="S80" s="2">
        <v>1127</v>
      </c>
      <c r="T80" s="2">
        <v>1437</v>
      </c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>
      <c r="A81" s="2" t="s">
        <v>180</v>
      </c>
      <c r="B81" s="2" t="s">
        <v>90</v>
      </c>
      <c r="C81" s="2">
        <v>28</v>
      </c>
      <c r="D81" s="2">
        <v>35</v>
      </c>
      <c r="E81" s="2">
        <v>67</v>
      </c>
      <c r="F81" s="2">
        <v>66</v>
      </c>
      <c r="G81" s="2">
        <v>20</v>
      </c>
      <c r="H81" s="2">
        <v>19</v>
      </c>
      <c r="I81" s="2">
        <v>42</v>
      </c>
      <c r="J81" s="2">
        <v>42</v>
      </c>
      <c r="K81" s="2">
        <v>982</v>
      </c>
      <c r="L81" s="2">
        <v>990</v>
      </c>
      <c r="M81" s="2">
        <v>33</v>
      </c>
      <c r="N81" s="2">
        <v>31</v>
      </c>
      <c r="O81" s="2">
        <v>46</v>
      </c>
      <c r="P81" s="2">
        <v>46</v>
      </c>
      <c r="Q81" s="2">
        <v>969</v>
      </c>
      <c r="R81" s="2">
        <v>913</v>
      </c>
      <c r="S81" s="2">
        <v>35</v>
      </c>
      <c r="T81" s="2">
        <v>37</v>
      </c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1:56">
      <c r="A82" s="2" t="s">
        <v>180</v>
      </c>
      <c r="B82" s="2" t="s">
        <v>65</v>
      </c>
      <c r="C82" s="2">
        <v>336</v>
      </c>
      <c r="D82" s="2">
        <v>362</v>
      </c>
      <c r="E82" s="2">
        <v>1431</v>
      </c>
      <c r="F82" s="2">
        <v>1386</v>
      </c>
      <c r="G82" s="2">
        <v>214</v>
      </c>
      <c r="H82" s="2">
        <v>255</v>
      </c>
      <c r="I82" s="2">
        <v>445</v>
      </c>
      <c r="J82" s="2">
        <v>511</v>
      </c>
      <c r="K82" s="2">
        <v>10268</v>
      </c>
      <c r="L82" s="2">
        <v>11924</v>
      </c>
      <c r="M82" s="2">
        <v>329</v>
      </c>
      <c r="N82" s="2">
        <v>364</v>
      </c>
      <c r="O82" s="2">
        <v>490</v>
      </c>
      <c r="P82" s="2">
        <v>550</v>
      </c>
      <c r="Q82" s="2">
        <v>25742</v>
      </c>
      <c r="R82" s="2">
        <v>29765</v>
      </c>
      <c r="S82" s="2">
        <v>370</v>
      </c>
      <c r="T82" s="2">
        <v>405</v>
      </c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>
      <c r="A83" s="2" t="s">
        <v>180</v>
      </c>
      <c r="B83" s="2" t="s">
        <v>86</v>
      </c>
      <c r="C83" s="2">
        <v>246</v>
      </c>
      <c r="D83" s="2">
        <v>412</v>
      </c>
      <c r="E83" s="2">
        <v>798</v>
      </c>
      <c r="F83" s="2">
        <v>947</v>
      </c>
      <c r="G83" s="2">
        <v>158</v>
      </c>
      <c r="H83" s="2">
        <v>343</v>
      </c>
      <c r="I83" s="2">
        <v>347</v>
      </c>
      <c r="J83" s="2">
        <v>550</v>
      </c>
      <c r="K83" s="2">
        <v>6327</v>
      </c>
      <c r="L83" s="2">
        <v>7418</v>
      </c>
      <c r="M83" s="2">
        <v>262</v>
      </c>
      <c r="N83" s="2">
        <v>404</v>
      </c>
      <c r="O83" s="2">
        <v>381</v>
      </c>
      <c r="P83" s="2">
        <v>582</v>
      </c>
      <c r="Q83" s="2">
        <v>9321</v>
      </c>
      <c r="R83" s="2">
        <v>10936</v>
      </c>
      <c r="S83" s="2">
        <v>270</v>
      </c>
      <c r="T83" s="2">
        <v>440</v>
      </c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>
      <c r="A84" s="2" t="s">
        <v>180</v>
      </c>
      <c r="B84" s="2" t="s">
        <v>88</v>
      </c>
      <c r="C84" s="2">
        <v>325</v>
      </c>
      <c r="D84" s="2">
        <v>358</v>
      </c>
      <c r="E84" s="2">
        <v>718</v>
      </c>
      <c r="F84" s="2">
        <v>728</v>
      </c>
      <c r="G84" s="2">
        <v>268</v>
      </c>
      <c r="H84" s="2">
        <v>243</v>
      </c>
      <c r="I84" s="2">
        <v>471</v>
      </c>
      <c r="J84" s="2">
        <v>510</v>
      </c>
      <c r="K84" s="2">
        <v>5084</v>
      </c>
      <c r="L84" s="2">
        <v>5513</v>
      </c>
      <c r="M84" s="2">
        <v>345</v>
      </c>
      <c r="N84" s="2">
        <v>374</v>
      </c>
      <c r="O84" s="2">
        <v>531</v>
      </c>
      <c r="P84" s="2">
        <v>568</v>
      </c>
      <c r="Q84" s="2">
        <v>9362</v>
      </c>
      <c r="R84" s="2">
        <v>8363</v>
      </c>
      <c r="S84" s="2">
        <v>385</v>
      </c>
      <c r="T84" s="2">
        <v>418</v>
      </c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1:56">
      <c r="A85" s="2" t="s">
        <v>180</v>
      </c>
      <c r="B85" s="2" t="s">
        <v>77</v>
      </c>
      <c r="C85" s="2">
        <v>576</v>
      </c>
      <c r="D85" s="2">
        <v>595</v>
      </c>
      <c r="E85" s="2">
        <v>1041</v>
      </c>
      <c r="F85" s="2">
        <v>1029</v>
      </c>
      <c r="G85" s="2">
        <v>426</v>
      </c>
      <c r="H85" s="2">
        <v>421</v>
      </c>
      <c r="I85" s="2">
        <v>770</v>
      </c>
      <c r="J85" s="2">
        <v>800</v>
      </c>
      <c r="K85" s="2">
        <v>7462</v>
      </c>
      <c r="L85" s="2">
        <v>7786</v>
      </c>
      <c r="M85" s="2">
        <v>707</v>
      </c>
      <c r="N85" s="2">
        <v>615</v>
      </c>
      <c r="O85" s="2">
        <v>835</v>
      </c>
      <c r="P85" s="2">
        <v>865</v>
      </c>
      <c r="Q85" s="2">
        <v>15663</v>
      </c>
      <c r="R85" s="2">
        <v>14791</v>
      </c>
      <c r="S85" s="2">
        <v>669</v>
      </c>
      <c r="T85" s="2">
        <v>695</v>
      </c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>
      <c r="A86" s="2" t="s">
        <v>180</v>
      </c>
      <c r="B86" s="2" t="s">
        <v>17</v>
      </c>
      <c r="C86" s="2">
        <v>246</v>
      </c>
      <c r="D86" s="2">
        <v>277</v>
      </c>
      <c r="E86" s="2">
        <v>555</v>
      </c>
      <c r="F86" s="2">
        <v>555</v>
      </c>
      <c r="G86" s="2">
        <v>161</v>
      </c>
      <c r="H86" s="2">
        <v>169</v>
      </c>
      <c r="I86" s="2">
        <v>362</v>
      </c>
      <c r="J86" s="2">
        <v>380</v>
      </c>
      <c r="K86" s="2">
        <v>3321</v>
      </c>
      <c r="L86" s="2">
        <v>3152</v>
      </c>
      <c r="M86" s="2">
        <v>273</v>
      </c>
      <c r="N86" s="2">
        <v>280</v>
      </c>
      <c r="O86" s="2">
        <v>395</v>
      </c>
      <c r="P86" s="2">
        <v>423</v>
      </c>
      <c r="Q86" s="2">
        <v>4800</v>
      </c>
      <c r="R86" s="2">
        <v>4612</v>
      </c>
      <c r="S86" s="2">
        <v>301</v>
      </c>
      <c r="T86" s="2">
        <v>315</v>
      </c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>
      <c r="A87" s="2" t="s">
        <v>180</v>
      </c>
      <c r="B87" s="2" t="s">
        <v>35</v>
      </c>
      <c r="C87" s="2">
        <v>257</v>
      </c>
      <c r="D87" s="2">
        <v>274</v>
      </c>
      <c r="E87" s="2">
        <v>590</v>
      </c>
      <c r="F87" s="2">
        <v>607</v>
      </c>
      <c r="G87" s="2">
        <v>161</v>
      </c>
      <c r="H87" s="2">
        <v>177</v>
      </c>
      <c r="I87" s="2">
        <v>599</v>
      </c>
      <c r="J87" s="2">
        <v>654</v>
      </c>
      <c r="K87" s="2">
        <v>3899</v>
      </c>
      <c r="L87" s="2">
        <v>4135</v>
      </c>
      <c r="M87" s="2">
        <v>440</v>
      </c>
      <c r="N87" s="2">
        <v>483</v>
      </c>
      <c r="O87" s="2">
        <v>699</v>
      </c>
      <c r="P87" s="2">
        <v>751</v>
      </c>
      <c r="Q87" s="2">
        <v>8456</v>
      </c>
      <c r="R87" s="2">
        <v>8826</v>
      </c>
      <c r="S87" s="2">
        <v>587</v>
      </c>
      <c r="T87" s="2">
        <v>607</v>
      </c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>
      <c r="A88" s="2" t="s">
        <v>180</v>
      </c>
      <c r="B88" s="2" t="s">
        <v>83</v>
      </c>
      <c r="C88" s="2">
        <v>1965</v>
      </c>
      <c r="D88" s="2">
        <v>2356</v>
      </c>
      <c r="E88" s="2">
        <v>4822</v>
      </c>
      <c r="F88" s="2">
        <v>5512</v>
      </c>
      <c r="G88" s="2">
        <v>1434</v>
      </c>
      <c r="H88" s="2">
        <v>1645</v>
      </c>
      <c r="I88" s="2">
        <v>5028</v>
      </c>
      <c r="J88" s="2">
        <v>6299</v>
      </c>
      <c r="K88" s="2">
        <v>50115</v>
      </c>
      <c r="L88" s="2">
        <v>92201</v>
      </c>
      <c r="M88" s="2">
        <v>3799</v>
      </c>
      <c r="N88" s="2">
        <v>4742</v>
      </c>
      <c r="O88" s="2">
        <v>6545</v>
      </c>
      <c r="P88" s="2">
        <v>8169</v>
      </c>
      <c r="Q88" s="2">
        <v>163509</v>
      </c>
      <c r="R88" s="2">
        <v>174175</v>
      </c>
      <c r="S88" s="2">
        <v>5444</v>
      </c>
      <c r="T88" s="2">
        <v>6785</v>
      </c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>
      <c r="A89" s="2" t="s">
        <v>180</v>
      </c>
      <c r="B89" s="2" t="s">
        <v>80</v>
      </c>
      <c r="C89" s="2">
        <v>4120</v>
      </c>
      <c r="D89" s="2">
        <v>5588</v>
      </c>
      <c r="E89" s="2">
        <v>9376</v>
      </c>
      <c r="F89" s="2">
        <v>10764</v>
      </c>
      <c r="G89" s="2">
        <v>3009</v>
      </c>
      <c r="H89" s="2">
        <v>3662</v>
      </c>
      <c r="I89" s="2">
        <v>9266</v>
      </c>
      <c r="J89" s="2">
        <v>12452</v>
      </c>
      <c r="K89" s="2">
        <v>76322</v>
      </c>
      <c r="L89" s="2">
        <v>144127</v>
      </c>
      <c r="M89" s="2">
        <v>6624</v>
      </c>
      <c r="N89" s="2">
        <v>9102</v>
      </c>
      <c r="O89" s="2">
        <v>10962</v>
      </c>
      <c r="P89" s="2">
        <v>14522</v>
      </c>
      <c r="Q89" s="2">
        <v>200134</v>
      </c>
      <c r="R89" s="2">
        <v>276394</v>
      </c>
      <c r="S89" s="2">
        <v>9045</v>
      </c>
      <c r="T89" s="2">
        <v>12675</v>
      </c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>
      <c r="A90" s="2" t="s">
        <v>180</v>
      </c>
      <c r="B90" s="2" t="s">
        <v>10</v>
      </c>
      <c r="C90" s="2">
        <v>319</v>
      </c>
      <c r="D90" s="2">
        <v>392</v>
      </c>
      <c r="E90" s="2">
        <v>803</v>
      </c>
      <c r="F90" s="2">
        <v>847</v>
      </c>
      <c r="G90" s="2">
        <v>282</v>
      </c>
      <c r="H90" s="2">
        <v>238</v>
      </c>
      <c r="I90" s="2">
        <v>449</v>
      </c>
      <c r="J90" s="2">
        <v>551</v>
      </c>
      <c r="K90" s="2">
        <v>6397</v>
      </c>
      <c r="L90" s="2">
        <v>6369</v>
      </c>
      <c r="M90" s="2">
        <v>347</v>
      </c>
      <c r="N90" s="2">
        <v>418</v>
      </c>
      <c r="O90" s="2">
        <v>524</v>
      </c>
      <c r="P90" s="2">
        <v>607</v>
      </c>
      <c r="Q90" s="2">
        <v>12828</v>
      </c>
      <c r="R90" s="2">
        <v>13615</v>
      </c>
      <c r="S90" s="2">
        <v>382</v>
      </c>
      <c r="T90" s="2">
        <v>459</v>
      </c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1:56">
      <c r="A91" s="2" t="s">
        <v>180</v>
      </c>
      <c r="B91" s="2" t="s">
        <v>97</v>
      </c>
      <c r="C91" s="2">
        <v>424</v>
      </c>
      <c r="D91" s="2">
        <v>654</v>
      </c>
      <c r="E91" s="2">
        <v>1020</v>
      </c>
      <c r="F91" s="2">
        <v>1208</v>
      </c>
      <c r="G91" s="2">
        <v>287</v>
      </c>
      <c r="H91" s="2">
        <v>452</v>
      </c>
      <c r="I91" s="2">
        <v>619</v>
      </c>
      <c r="J91" s="2">
        <v>875</v>
      </c>
      <c r="K91" s="2">
        <v>5531</v>
      </c>
      <c r="L91" s="2">
        <v>9091</v>
      </c>
      <c r="M91" s="2">
        <v>486</v>
      </c>
      <c r="N91" s="2">
        <v>689</v>
      </c>
      <c r="O91" s="2">
        <v>671</v>
      </c>
      <c r="P91" s="2">
        <v>954</v>
      </c>
      <c r="Q91" s="2">
        <v>16778</v>
      </c>
      <c r="R91" s="2">
        <v>20839</v>
      </c>
      <c r="S91" s="2">
        <v>545</v>
      </c>
      <c r="T91" s="2">
        <v>789</v>
      </c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>
      <c r="A92" s="2" t="s">
        <v>180</v>
      </c>
      <c r="B92" s="2" t="s">
        <v>15</v>
      </c>
      <c r="C92" s="2">
        <v>49</v>
      </c>
      <c r="D92" s="2">
        <v>54</v>
      </c>
      <c r="E92" s="2">
        <v>122</v>
      </c>
      <c r="F92" s="2">
        <v>121</v>
      </c>
      <c r="G92" s="2">
        <v>34</v>
      </c>
      <c r="H92" s="2">
        <v>36</v>
      </c>
      <c r="I92" s="2">
        <v>73</v>
      </c>
      <c r="J92" s="2">
        <v>80</v>
      </c>
      <c r="K92" s="2">
        <v>854</v>
      </c>
      <c r="L92" s="2">
        <v>814</v>
      </c>
      <c r="M92" s="2">
        <v>56</v>
      </c>
      <c r="N92" s="2">
        <v>56</v>
      </c>
      <c r="O92" s="2">
        <v>80</v>
      </c>
      <c r="P92" s="2">
        <v>85</v>
      </c>
      <c r="Q92" s="2">
        <v>1169</v>
      </c>
      <c r="R92" s="2">
        <v>1076</v>
      </c>
      <c r="S92" s="2">
        <v>62</v>
      </c>
      <c r="T92" s="2">
        <v>65</v>
      </c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>
      <c r="A93" s="2" t="s">
        <v>181</v>
      </c>
      <c r="B93" s="2" t="s">
        <v>61</v>
      </c>
      <c r="C93" s="2">
        <v>341</v>
      </c>
      <c r="D93" s="2">
        <v>552</v>
      </c>
      <c r="E93" s="2">
        <v>767</v>
      </c>
      <c r="F93" s="2">
        <v>916</v>
      </c>
      <c r="G93" s="2">
        <v>236</v>
      </c>
      <c r="H93" s="2">
        <v>374</v>
      </c>
      <c r="I93" s="2">
        <v>461</v>
      </c>
      <c r="J93" s="2">
        <v>709</v>
      </c>
      <c r="K93" s="2">
        <v>3390</v>
      </c>
      <c r="L93" s="2">
        <v>6558</v>
      </c>
      <c r="M93" s="2">
        <v>353</v>
      </c>
      <c r="N93" s="2">
        <v>657</v>
      </c>
      <c r="O93" s="2">
        <v>494</v>
      </c>
      <c r="P93" s="2">
        <v>752</v>
      </c>
      <c r="Q93" s="2">
        <v>8812</v>
      </c>
      <c r="R93" s="2">
        <v>9039</v>
      </c>
      <c r="S93" s="2">
        <v>589</v>
      </c>
      <c r="T93" s="2">
        <v>622</v>
      </c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1:56">
      <c r="A94" s="2" t="s">
        <v>181</v>
      </c>
      <c r="B94" s="2" t="s">
        <v>49</v>
      </c>
      <c r="C94" s="2">
        <v>128</v>
      </c>
      <c r="D94" s="2">
        <v>168</v>
      </c>
      <c r="E94" s="2">
        <v>283</v>
      </c>
      <c r="F94" s="2">
        <v>295</v>
      </c>
      <c r="G94" s="2">
        <v>130</v>
      </c>
      <c r="H94" s="2">
        <v>120</v>
      </c>
      <c r="I94" s="2">
        <v>182</v>
      </c>
      <c r="J94" s="2">
        <v>230</v>
      </c>
      <c r="K94" s="2">
        <v>1537</v>
      </c>
      <c r="L94" s="2">
        <v>2370</v>
      </c>
      <c r="M94" s="2">
        <v>132</v>
      </c>
      <c r="N94" s="2">
        <v>190</v>
      </c>
      <c r="O94" s="2">
        <v>187</v>
      </c>
      <c r="P94" s="2">
        <v>253</v>
      </c>
      <c r="Q94" s="2">
        <v>3250</v>
      </c>
      <c r="R94" s="2">
        <v>3128</v>
      </c>
      <c r="S94" s="2">
        <v>185</v>
      </c>
      <c r="T94" s="2">
        <v>249</v>
      </c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>
      <c r="A95" s="2" t="s">
        <v>181</v>
      </c>
      <c r="B95" s="2" t="s">
        <v>78</v>
      </c>
      <c r="C95" s="2">
        <v>190</v>
      </c>
      <c r="D95" s="2">
        <v>160</v>
      </c>
      <c r="E95" s="2">
        <v>318</v>
      </c>
      <c r="F95" s="2">
        <v>366</v>
      </c>
      <c r="G95" s="2">
        <v>77</v>
      </c>
      <c r="H95" s="2">
        <v>167</v>
      </c>
      <c r="I95" s="2">
        <v>160</v>
      </c>
      <c r="J95" s="2">
        <v>216</v>
      </c>
      <c r="K95" s="2">
        <v>1026</v>
      </c>
      <c r="L95" s="2">
        <v>2004</v>
      </c>
      <c r="M95" s="2">
        <v>122</v>
      </c>
      <c r="N95" s="2">
        <v>166</v>
      </c>
      <c r="O95" s="2">
        <v>176</v>
      </c>
      <c r="P95" s="2">
        <v>239</v>
      </c>
      <c r="Q95" s="2">
        <v>3156</v>
      </c>
      <c r="R95" s="2">
        <v>3319</v>
      </c>
      <c r="S95" s="2">
        <v>142</v>
      </c>
      <c r="T95" s="2">
        <v>185</v>
      </c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>
      <c r="A96" s="2" t="s">
        <v>181</v>
      </c>
      <c r="B96" s="2" t="s">
        <v>73</v>
      </c>
      <c r="C96" s="2">
        <v>229</v>
      </c>
      <c r="D96" s="2">
        <v>279</v>
      </c>
      <c r="E96" s="2">
        <v>438</v>
      </c>
      <c r="F96" s="2">
        <v>428</v>
      </c>
      <c r="G96" s="2">
        <v>237</v>
      </c>
      <c r="H96" s="2">
        <v>214</v>
      </c>
      <c r="I96" s="2">
        <v>321</v>
      </c>
      <c r="J96" s="2">
        <v>351</v>
      </c>
      <c r="K96" s="2">
        <v>2771</v>
      </c>
      <c r="L96" s="2">
        <v>3371</v>
      </c>
      <c r="M96" s="2">
        <v>259</v>
      </c>
      <c r="N96" s="2">
        <v>277</v>
      </c>
      <c r="O96" s="2">
        <v>432</v>
      </c>
      <c r="P96" s="2">
        <v>407</v>
      </c>
      <c r="Q96" s="2">
        <v>5315</v>
      </c>
      <c r="R96" s="2">
        <v>5424</v>
      </c>
      <c r="S96" s="2">
        <v>290</v>
      </c>
      <c r="T96" s="2">
        <v>314</v>
      </c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1:56">
      <c r="A97" s="2" t="s">
        <v>181</v>
      </c>
      <c r="B97" s="2" t="s">
        <v>63</v>
      </c>
      <c r="C97" s="2">
        <v>284</v>
      </c>
      <c r="D97" s="2">
        <v>298</v>
      </c>
      <c r="E97" s="2">
        <v>547</v>
      </c>
      <c r="F97" s="2">
        <v>528</v>
      </c>
      <c r="G97" s="2">
        <v>188</v>
      </c>
      <c r="H97" s="2">
        <v>209</v>
      </c>
      <c r="I97" s="2">
        <v>390</v>
      </c>
      <c r="J97" s="2">
        <v>392</v>
      </c>
      <c r="K97" s="2">
        <v>3776</v>
      </c>
      <c r="L97" s="2">
        <v>5211</v>
      </c>
      <c r="M97" s="2">
        <v>475</v>
      </c>
      <c r="N97" s="2">
        <v>309</v>
      </c>
      <c r="O97" s="2">
        <v>404</v>
      </c>
      <c r="P97" s="2">
        <v>407</v>
      </c>
      <c r="Q97" s="2">
        <v>11348</v>
      </c>
      <c r="R97" s="2">
        <v>10629</v>
      </c>
      <c r="S97" s="2">
        <v>321</v>
      </c>
      <c r="T97" s="2">
        <v>346</v>
      </c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>
      <c r="A98" s="2" t="s">
        <v>181</v>
      </c>
      <c r="B98" s="2" t="s">
        <v>59</v>
      </c>
      <c r="C98" s="2">
        <v>264</v>
      </c>
      <c r="D98" s="2">
        <v>270</v>
      </c>
      <c r="E98" s="2">
        <v>540</v>
      </c>
      <c r="F98" s="2">
        <v>443</v>
      </c>
      <c r="G98" s="2">
        <v>171</v>
      </c>
      <c r="H98" s="2">
        <v>180</v>
      </c>
      <c r="I98" s="2">
        <v>521</v>
      </c>
      <c r="J98" s="2">
        <v>517</v>
      </c>
      <c r="K98" s="2">
        <v>2636</v>
      </c>
      <c r="L98" s="2">
        <v>3137</v>
      </c>
      <c r="M98" s="2">
        <v>457</v>
      </c>
      <c r="N98" s="2">
        <v>390</v>
      </c>
      <c r="O98" s="2">
        <v>564</v>
      </c>
      <c r="P98" s="2">
        <v>592</v>
      </c>
      <c r="Q98" s="2">
        <v>4170</v>
      </c>
      <c r="R98" s="2">
        <v>4048</v>
      </c>
      <c r="S98" s="2">
        <v>475</v>
      </c>
      <c r="T98" s="2">
        <v>486</v>
      </c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>
      <c r="A99" s="2" t="s">
        <v>181</v>
      </c>
      <c r="B99" s="2" t="s">
        <v>68</v>
      </c>
      <c r="C99" s="2">
        <v>2412</v>
      </c>
      <c r="D99" s="2">
        <v>2883</v>
      </c>
      <c r="E99" s="2">
        <v>4794</v>
      </c>
      <c r="F99" s="2">
        <v>5087</v>
      </c>
      <c r="G99" s="2">
        <v>2057</v>
      </c>
      <c r="H99" s="2">
        <v>2298</v>
      </c>
      <c r="I99" s="2">
        <v>5735</v>
      </c>
      <c r="J99" s="2">
        <v>6605</v>
      </c>
      <c r="K99" s="2">
        <v>56152</v>
      </c>
      <c r="L99" s="2">
        <v>84430</v>
      </c>
      <c r="M99" s="2">
        <v>4220</v>
      </c>
      <c r="N99" s="2">
        <v>4959</v>
      </c>
      <c r="O99" s="2">
        <v>7167</v>
      </c>
      <c r="P99" s="2">
        <v>7887</v>
      </c>
      <c r="Q99" s="2">
        <v>203306</v>
      </c>
      <c r="R99" s="2">
        <v>169050</v>
      </c>
      <c r="S99" s="2">
        <v>5885</v>
      </c>
      <c r="T99" s="2">
        <v>6892</v>
      </c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>
      <c r="A100" s="2" t="s">
        <v>181</v>
      </c>
      <c r="B100" s="2" t="s">
        <v>34</v>
      </c>
      <c r="C100" s="2">
        <v>2002</v>
      </c>
      <c r="D100" s="2">
        <v>2249</v>
      </c>
      <c r="E100" s="2">
        <v>4176</v>
      </c>
      <c r="F100" s="2">
        <v>4172</v>
      </c>
      <c r="G100" s="2">
        <v>1498</v>
      </c>
      <c r="H100" s="2">
        <v>1603</v>
      </c>
      <c r="I100" s="2">
        <v>2852</v>
      </c>
      <c r="J100" s="2">
        <v>2998</v>
      </c>
      <c r="K100" s="2">
        <v>32846</v>
      </c>
      <c r="L100" s="2">
        <v>41372</v>
      </c>
      <c r="M100" s="2">
        <v>2181</v>
      </c>
      <c r="N100" s="2">
        <v>2289</v>
      </c>
      <c r="O100" s="2">
        <v>3086</v>
      </c>
      <c r="P100" s="2">
        <v>3241</v>
      </c>
      <c r="Q100" s="2">
        <v>90661</v>
      </c>
      <c r="R100" s="2">
        <v>80973</v>
      </c>
      <c r="S100" s="2">
        <v>2618</v>
      </c>
      <c r="T100" s="2">
        <v>2767</v>
      </c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>
      <c r="A101" s="2" t="s">
        <v>181</v>
      </c>
      <c r="B101" s="2" t="s">
        <v>4</v>
      </c>
      <c r="C101" s="2">
        <v>618</v>
      </c>
      <c r="D101" s="2">
        <v>674</v>
      </c>
      <c r="E101" s="2">
        <v>1168</v>
      </c>
      <c r="F101" s="2">
        <v>1540</v>
      </c>
      <c r="G101" s="2">
        <v>395</v>
      </c>
      <c r="H101" s="2">
        <v>740</v>
      </c>
      <c r="I101" s="2">
        <v>772</v>
      </c>
      <c r="J101" s="2">
        <v>879</v>
      </c>
      <c r="K101" s="2">
        <v>9108</v>
      </c>
      <c r="L101" s="2">
        <v>10617</v>
      </c>
      <c r="M101" s="2">
        <v>610</v>
      </c>
      <c r="N101" s="2">
        <v>680</v>
      </c>
      <c r="O101" s="2">
        <v>825</v>
      </c>
      <c r="P101" s="2">
        <v>962</v>
      </c>
      <c r="Q101" s="2">
        <v>24570</v>
      </c>
      <c r="R101" s="2">
        <v>23036</v>
      </c>
      <c r="S101" s="2">
        <v>695</v>
      </c>
      <c r="T101" s="2">
        <v>816</v>
      </c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>
      <c r="A102" s="2" t="s">
        <v>173</v>
      </c>
      <c r="B102" s="2" t="s">
        <v>70</v>
      </c>
      <c r="C102" s="2">
        <v>202</v>
      </c>
      <c r="D102" s="2">
        <v>168</v>
      </c>
      <c r="E102" s="2">
        <v>427</v>
      </c>
      <c r="F102" s="2">
        <v>400</v>
      </c>
      <c r="G102" s="2">
        <v>89</v>
      </c>
      <c r="H102" s="2">
        <v>108</v>
      </c>
      <c r="I102" s="2">
        <v>182</v>
      </c>
      <c r="J102" s="2">
        <v>207</v>
      </c>
      <c r="K102" s="2">
        <v>1913</v>
      </c>
      <c r="L102" s="2">
        <v>2228</v>
      </c>
      <c r="M102" s="2">
        <v>136</v>
      </c>
      <c r="N102" s="2">
        <v>161</v>
      </c>
      <c r="O102" s="2">
        <v>192</v>
      </c>
      <c r="P102" s="2">
        <v>222</v>
      </c>
      <c r="Q102" s="2">
        <v>3564</v>
      </c>
      <c r="R102" s="2">
        <v>3511</v>
      </c>
      <c r="S102" s="2">
        <v>149</v>
      </c>
      <c r="T102" s="2">
        <v>184</v>
      </c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1:56">
      <c r="A103" s="2" t="s">
        <v>173</v>
      </c>
      <c r="B103" s="2" t="s">
        <v>87</v>
      </c>
      <c r="C103" s="2">
        <v>58</v>
      </c>
      <c r="D103" s="2">
        <v>51</v>
      </c>
      <c r="E103" s="2">
        <v>141</v>
      </c>
      <c r="F103" s="2">
        <v>129</v>
      </c>
      <c r="G103" s="2">
        <v>33</v>
      </c>
      <c r="H103" s="2">
        <v>34</v>
      </c>
      <c r="I103" s="2">
        <v>74</v>
      </c>
      <c r="J103" s="2">
        <v>85</v>
      </c>
      <c r="K103" s="2">
        <v>773</v>
      </c>
      <c r="L103" s="2">
        <v>1014</v>
      </c>
      <c r="M103" s="2">
        <v>72</v>
      </c>
      <c r="N103" s="2">
        <v>56</v>
      </c>
      <c r="O103" s="2">
        <v>81</v>
      </c>
      <c r="P103" s="2">
        <v>85</v>
      </c>
      <c r="Q103" s="2">
        <v>2503</v>
      </c>
      <c r="R103" s="2">
        <v>2565</v>
      </c>
      <c r="S103" s="2">
        <v>62</v>
      </c>
      <c r="T103" s="2">
        <v>64</v>
      </c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>
      <c r="A104" s="2" t="s">
        <v>173</v>
      </c>
      <c r="B104" s="2" t="s">
        <v>19</v>
      </c>
      <c r="C104" s="2">
        <v>1077</v>
      </c>
      <c r="D104" s="2">
        <v>1222</v>
      </c>
      <c r="E104" s="2">
        <v>1834</v>
      </c>
      <c r="F104" s="2">
        <v>1931</v>
      </c>
      <c r="G104" s="2">
        <v>790</v>
      </c>
      <c r="H104" s="2">
        <v>894</v>
      </c>
      <c r="I104" s="2">
        <v>1417</v>
      </c>
      <c r="J104" s="2">
        <v>1688</v>
      </c>
      <c r="K104" s="2">
        <v>10509</v>
      </c>
      <c r="L104" s="2">
        <v>16402</v>
      </c>
      <c r="M104" s="2">
        <v>1109</v>
      </c>
      <c r="N104" s="2">
        <v>1261</v>
      </c>
      <c r="O104" s="2">
        <v>1496</v>
      </c>
      <c r="P104" s="2">
        <v>1760</v>
      </c>
      <c r="Q104" s="2">
        <v>33012</v>
      </c>
      <c r="R104" s="2">
        <v>27972</v>
      </c>
      <c r="S104" s="2">
        <v>1289</v>
      </c>
      <c r="T104" s="2">
        <v>1623</v>
      </c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>
      <c r="A105" s="2" t="s">
        <v>173</v>
      </c>
      <c r="B105" s="2" t="s">
        <v>38</v>
      </c>
      <c r="C105" s="2">
        <v>9035</v>
      </c>
      <c r="D105" s="2">
        <v>10991</v>
      </c>
      <c r="E105" s="2">
        <v>19886</v>
      </c>
      <c r="F105" s="2">
        <v>22323</v>
      </c>
      <c r="G105" s="2">
        <v>6239</v>
      </c>
      <c r="H105" s="2">
        <v>7508</v>
      </c>
      <c r="I105" s="2">
        <v>17628</v>
      </c>
      <c r="J105" s="2">
        <v>22151</v>
      </c>
      <c r="K105" s="2">
        <v>142243</v>
      </c>
      <c r="L105" s="2">
        <v>170498</v>
      </c>
      <c r="M105" s="2">
        <v>13208</v>
      </c>
      <c r="N105" s="2">
        <v>16584</v>
      </c>
      <c r="O105" s="2">
        <v>21451</v>
      </c>
      <c r="P105" s="2">
        <v>25637</v>
      </c>
      <c r="Q105" s="2">
        <v>316843</v>
      </c>
      <c r="R105" s="2">
        <v>357167</v>
      </c>
      <c r="S105" s="2">
        <v>17845</v>
      </c>
      <c r="T105" s="2">
        <v>23114</v>
      </c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1:56">
      <c r="A106" s="2" t="s">
        <v>179</v>
      </c>
      <c r="B106" s="2" t="s">
        <v>42</v>
      </c>
      <c r="C106" s="2">
        <v>4015</v>
      </c>
      <c r="D106" s="2">
        <v>5040</v>
      </c>
      <c r="E106" s="2">
        <v>5749</v>
      </c>
      <c r="F106" s="2">
        <v>6625</v>
      </c>
      <c r="G106" s="2">
        <v>2887</v>
      </c>
      <c r="H106" s="2">
        <v>3338</v>
      </c>
      <c r="I106" s="2">
        <v>9310</v>
      </c>
      <c r="J106" s="2">
        <v>12342</v>
      </c>
      <c r="K106" s="2">
        <v>38412</v>
      </c>
      <c r="L106" s="2">
        <v>48996</v>
      </c>
      <c r="M106" s="2">
        <v>6818</v>
      </c>
      <c r="N106" s="2">
        <v>9038</v>
      </c>
      <c r="O106" s="2">
        <v>11593</v>
      </c>
      <c r="P106" s="2">
        <v>14994</v>
      </c>
      <c r="Q106" s="2">
        <v>106364</v>
      </c>
      <c r="R106" s="2">
        <v>96201</v>
      </c>
      <c r="S106" s="2">
        <v>9263</v>
      </c>
      <c r="T106" s="2">
        <v>12096</v>
      </c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1:5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1:5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1:5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1:5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1:5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1:5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1:5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1:5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1:5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1:5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1:5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1:5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1:5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1:5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1:5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1:5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1:5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1:5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1:5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1:5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1: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1:5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1:5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1:5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1:5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1:5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1:5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1:5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1:5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1:5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1:5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1:5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1:5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1:5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1:5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1:5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1:5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1:5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1:5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1:5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1:5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1:5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1:5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1:5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1:5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1:5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1:5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1:5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1:5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1:5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1:5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1:5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1:5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1:5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1:5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1:5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1:5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1:5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1:5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1:5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1:5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1:5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1:5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1:5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1:5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1:5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1:5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1:5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1:5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1:5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1:5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1:5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1:5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1:5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1:5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1:5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1:5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1:5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1:5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1:5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1:5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1:5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1:5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1:5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1:5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69" activePane="bottomLeft" state="frozen"/>
      <selection pane="bottomLeft" activeCell="A76" sqref="A76"/>
    </sheetView>
  </sheetViews>
  <sheetFormatPr baseColWidth="10" defaultRowHeight="15" x14ac:dyDescent="0"/>
  <cols>
    <col min="1" max="1" width="61.83203125" customWidth="1"/>
    <col min="22" max="22" width="0" hidden="1" customWidth="1"/>
    <col min="43" max="43" width="0" hidden="1" customWidth="1"/>
  </cols>
  <sheetData>
    <row r="1" spans="1:63">
      <c r="B1" s="7" t="s">
        <v>109</v>
      </c>
      <c r="C1" s="7"/>
      <c r="D1" s="7"/>
      <c r="E1" s="7"/>
      <c r="F1" s="7" t="s">
        <v>110</v>
      </c>
      <c r="G1" s="7"/>
      <c r="H1" s="7"/>
      <c r="I1" s="7"/>
      <c r="J1" s="7" t="s">
        <v>111</v>
      </c>
      <c r="K1" s="7"/>
      <c r="L1" s="7"/>
      <c r="M1" s="7"/>
      <c r="N1" s="7" t="s">
        <v>112</v>
      </c>
      <c r="O1" s="7"/>
      <c r="P1" s="7"/>
      <c r="Q1" s="7"/>
      <c r="R1" s="7" t="s">
        <v>113</v>
      </c>
      <c r="S1" s="7"/>
      <c r="T1" s="7"/>
      <c r="U1" s="7"/>
      <c r="W1" s="7" t="s">
        <v>109</v>
      </c>
      <c r="X1" s="7"/>
      <c r="Y1" s="7"/>
      <c r="Z1" s="7"/>
      <c r="AA1" s="7" t="s">
        <v>115</v>
      </c>
      <c r="AB1" s="7"/>
      <c r="AC1" s="7"/>
      <c r="AD1" s="7"/>
      <c r="AE1" s="7" t="s">
        <v>116</v>
      </c>
      <c r="AF1" s="7"/>
      <c r="AG1" s="7"/>
      <c r="AH1" s="7"/>
      <c r="AI1" s="7" t="s">
        <v>117</v>
      </c>
      <c r="AJ1" s="7"/>
      <c r="AK1" s="7"/>
      <c r="AL1" s="7"/>
      <c r="AM1" s="7" t="s">
        <v>118</v>
      </c>
      <c r="AN1" s="7"/>
      <c r="AO1" s="7"/>
      <c r="AP1" s="7"/>
      <c r="AR1" s="7" t="s">
        <v>110</v>
      </c>
      <c r="AS1" s="7"/>
      <c r="AT1" s="7"/>
      <c r="AU1" s="7"/>
      <c r="AV1" s="7" t="s">
        <v>115</v>
      </c>
      <c r="AW1" s="7"/>
      <c r="AX1" s="7"/>
      <c r="AY1" s="7"/>
      <c r="AZ1" s="7" t="s">
        <v>119</v>
      </c>
      <c r="BA1" s="7"/>
      <c r="BB1" s="7"/>
      <c r="BC1" s="7"/>
      <c r="BD1" s="7" t="s">
        <v>120</v>
      </c>
      <c r="BE1" s="7"/>
      <c r="BF1" s="7"/>
      <c r="BG1" s="7"/>
      <c r="BH1" s="7" t="s">
        <v>121</v>
      </c>
      <c r="BI1" s="7"/>
      <c r="BJ1" s="7"/>
      <c r="BK1" s="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11</v>
      </c>
      <c r="C7">
        <v>0</v>
      </c>
      <c r="D7">
        <v>0</v>
      </c>
      <c r="E7">
        <v>0</v>
      </c>
      <c r="F7">
        <v>11</v>
      </c>
      <c r="G7">
        <v>0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11</v>
      </c>
      <c r="O7">
        <v>0</v>
      </c>
      <c r="P7">
        <v>0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11</v>
      </c>
      <c r="X7">
        <v>0</v>
      </c>
      <c r="Y7">
        <v>0</v>
      </c>
      <c r="Z7">
        <v>0</v>
      </c>
      <c r="AA7">
        <v>11</v>
      </c>
      <c r="AB7">
        <v>0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11</v>
      </c>
      <c r="AJ7">
        <v>0</v>
      </c>
      <c r="AK7">
        <v>0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11</v>
      </c>
      <c r="AS7">
        <v>0</v>
      </c>
      <c r="AT7">
        <v>0</v>
      </c>
      <c r="AU7">
        <v>0</v>
      </c>
      <c r="AV7">
        <v>11</v>
      </c>
      <c r="AW7">
        <v>0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11</v>
      </c>
      <c r="BE7">
        <v>0</v>
      </c>
      <c r="BF7">
        <v>0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134</v>
      </c>
      <c r="C16">
        <v>7</v>
      </c>
      <c r="D16">
        <v>0</v>
      </c>
      <c r="E16">
        <v>0</v>
      </c>
      <c r="F16">
        <v>134</v>
      </c>
      <c r="G16">
        <v>7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134</v>
      </c>
      <c r="O16">
        <v>0</v>
      </c>
      <c r="P16">
        <v>7</v>
      </c>
      <c r="Q16">
        <v>0</v>
      </c>
      <c r="R16">
        <v>140</v>
      </c>
      <c r="S16">
        <v>1</v>
      </c>
      <c r="T16">
        <v>0</v>
      </c>
      <c r="U16">
        <v>0</v>
      </c>
      <c r="V16" t="s">
        <v>101</v>
      </c>
      <c r="W16">
        <v>134</v>
      </c>
      <c r="X16">
        <v>7</v>
      </c>
      <c r="Y16">
        <v>0</v>
      </c>
      <c r="Z16">
        <v>0</v>
      </c>
      <c r="AA16">
        <v>134</v>
      </c>
      <c r="AB16">
        <v>7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134</v>
      </c>
      <c r="AJ16">
        <v>0</v>
      </c>
      <c r="AK16">
        <v>7</v>
      </c>
      <c r="AL16">
        <v>0</v>
      </c>
      <c r="AM16">
        <v>140</v>
      </c>
      <c r="AN16">
        <v>1</v>
      </c>
      <c r="AO16">
        <v>0</v>
      </c>
      <c r="AP16">
        <v>0</v>
      </c>
      <c r="AQ16" t="s">
        <v>101</v>
      </c>
      <c r="AR16">
        <v>134</v>
      </c>
      <c r="AS16">
        <v>7</v>
      </c>
      <c r="AT16">
        <v>0</v>
      </c>
      <c r="AU16">
        <v>0</v>
      </c>
      <c r="AV16">
        <v>134</v>
      </c>
      <c r="AW16">
        <v>7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134</v>
      </c>
      <c r="BE16">
        <v>0</v>
      </c>
      <c r="BF16">
        <v>7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178</v>
      </c>
      <c r="C20">
        <v>5</v>
      </c>
      <c r="D20">
        <v>0</v>
      </c>
      <c r="E20">
        <v>0</v>
      </c>
      <c r="F20">
        <v>178</v>
      </c>
      <c r="G20">
        <v>5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178</v>
      </c>
      <c r="O20">
        <v>0</v>
      </c>
      <c r="P20">
        <v>5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178</v>
      </c>
      <c r="X20">
        <v>5</v>
      </c>
      <c r="Y20">
        <v>0</v>
      </c>
      <c r="Z20">
        <v>0</v>
      </c>
      <c r="AA20">
        <v>178</v>
      </c>
      <c r="AB20">
        <v>5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178</v>
      </c>
      <c r="AJ20">
        <v>0</v>
      </c>
      <c r="AK20">
        <v>5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178</v>
      </c>
      <c r="AS20">
        <v>5</v>
      </c>
      <c r="AT20">
        <v>0</v>
      </c>
      <c r="AU20">
        <v>0</v>
      </c>
      <c r="AV20">
        <v>178</v>
      </c>
      <c r="AW20">
        <v>5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178</v>
      </c>
      <c r="BE20">
        <v>0</v>
      </c>
      <c r="BF20">
        <v>5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71</v>
      </c>
      <c r="C36">
        <v>0</v>
      </c>
      <c r="D36">
        <v>0</v>
      </c>
      <c r="E36">
        <v>0</v>
      </c>
      <c r="F36">
        <v>71</v>
      </c>
      <c r="G36">
        <v>0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71</v>
      </c>
      <c r="O36">
        <v>0</v>
      </c>
      <c r="P36">
        <v>0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71</v>
      </c>
      <c r="X36">
        <v>0</v>
      </c>
      <c r="Y36">
        <v>0</v>
      </c>
      <c r="Z36">
        <v>0</v>
      </c>
      <c r="AA36">
        <v>71</v>
      </c>
      <c r="AB36">
        <v>0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71</v>
      </c>
      <c r="AJ36">
        <v>0</v>
      </c>
      <c r="AK36">
        <v>0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71</v>
      </c>
      <c r="AS36">
        <v>0</v>
      </c>
      <c r="AT36">
        <v>0</v>
      </c>
      <c r="AU36">
        <v>0</v>
      </c>
      <c r="AV36">
        <v>71</v>
      </c>
      <c r="AW36">
        <v>0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71</v>
      </c>
      <c r="BE36">
        <v>0</v>
      </c>
      <c r="BF36">
        <v>0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168</v>
      </c>
      <c r="K38">
        <v>0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168</v>
      </c>
      <c r="AF38">
        <v>0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139</v>
      </c>
      <c r="C44">
        <v>0</v>
      </c>
      <c r="D44">
        <v>0</v>
      </c>
      <c r="E44">
        <v>0</v>
      </c>
      <c r="F44">
        <v>139</v>
      </c>
      <c r="G44">
        <v>0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139</v>
      </c>
      <c r="X44">
        <v>0</v>
      </c>
      <c r="Y44">
        <v>0</v>
      </c>
      <c r="Z44">
        <v>0</v>
      </c>
      <c r="AA44">
        <v>139</v>
      </c>
      <c r="AB44">
        <v>0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139</v>
      </c>
      <c r="AS44">
        <v>0</v>
      </c>
      <c r="AT44">
        <v>0</v>
      </c>
      <c r="AU44">
        <v>0</v>
      </c>
      <c r="AV44">
        <v>139</v>
      </c>
      <c r="AW44">
        <v>0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958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958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97</v>
      </c>
      <c r="C75">
        <v>4</v>
      </c>
      <c r="D75">
        <v>0</v>
      </c>
      <c r="E75">
        <v>0</v>
      </c>
      <c r="F75">
        <v>97</v>
      </c>
      <c r="G75">
        <v>4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97</v>
      </c>
      <c r="X75">
        <v>4</v>
      </c>
      <c r="Y75">
        <v>0</v>
      </c>
      <c r="Z75">
        <v>0</v>
      </c>
      <c r="AA75">
        <v>97</v>
      </c>
      <c r="AB75">
        <v>4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97</v>
      </c>
      <c r="AS75">
        <v>4</v>
      </c>
      <c r="AT75">
        <v>0</v>
      </c>
      <c r="AU75">
        <v>0</v>
      </c>
      <c r="AV75">
        <v>97</v>
      </c>
      <c r="AW75">
        <v>4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68</v>
      </c>
      <c r="S76">
        <v>1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69</v>
      </c>
      <c r="AN76">
        <v>1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98</v>
      </c>
      <c r="C78">
        <v>15</v>
      </c>
      <c r="D78">
        <v>0</v>
      </c>
      <c r="E78">
        <v>0</v>
      </c>
      <c r="F78">
        <v>98</v>
      </c>
      <c r="G78">
        <v>15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98</v>
      </c>
      <c r="X78">
        <v>15</v>
      </c>
      <c r="Y78">
        <v>0</v>
      </c>
      <c r="Z78">
        <v>0</v>
      </c>
      <c r="AA78">
        <v>98</v>
      </c>
      <c r="AB78">
        <v>15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98</v>
      </c>
      <c r="AS78">
        <v>15</v>
      </c>
      <c r="AT78">
        <v>0</v>
      </c>
      <c r="AU78">
        <v>0</v>
      </c>
      <c r="AV78">
        <v>98</v>
      </c>
      <c r="AW78">
        <v>15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56</v>
      </c>
      <c r="C85">
        <v>0</v>
      </c>
      <c r="D85">
        <v>0</v>
      </c>
      <c r="E85">
        <v>0</v>
      </c>
      <c r="F85">
        <v>56</v>
      </c>
      <c r="G85">
        <v>0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56</v>
      </c>
      <c r="X85">
        <v>0</v>
      </c>
      <c r="Y85">
        <v>0</v>
      </c>
      <c r="Z85">
        <v>0</v>
      </c>
      <c r="AA85">
        <v>56</v>
      </c>
      <c r="AB85">
        <v>0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56</v>
      </c>
      <c r="AS85">
        <v>0</v>
      </c>
      <c r="AT85">
        <v>0</v>
      </c>
      <c r="AU85">
        <v>0</v>
      </c>
      <c r="AV85">
        <v>56</v>
      </c>
      <c r="AW85">
        <v>0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132</v>
      </c>
      <c r="C100">
        <v>2</v>
      </c>
      <c r="D100">
        <v>0</v>
      </c>
      <c r="E100">
        <v>0</v>
      </c>
      <c r="F100">
        <v>132</v>
      </c>
      <c r="G100">
        <v>2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132</v>
      </c>
      <c r="X100">
        <v>2</v>
      </c>
      <c r="Y100">
        <v>0</v>
      </c>
      <c r="Z100">
        <v>0</v>
      </c>
      <c r="AA100">
        <v>132</v>
      </c>
      <c r="AB100">
        <v>2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132</v>
      </c>
      <c r="AS100">
        <v>2</v>
      </c>
      <c r="AT100">
        <v>0</v>
      </c>
      <c r="AU100">
        <v>0</v>
      </c>
      <c r="AV100">
        <v>132</v>
      </c>
      <c r="AW100">
        <v>2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628</v>
      </c>
      <c r="C106">
        <v>26</v>
      </c>
      <c r="D106">
        <v>0</v>
      </c>
      <c r="E106">
        <v>0</v>
      </c>
      <c r="F106">
        <v>628</v>
      </c>
      <c r="G106">
        <v>26</v>
      </c>
      <c r="H106">
        <v>0</v>
      </c>
      <c r="I106">
        <v>0</v>
      </c>
      <c r="J106">
        <v>654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628</v>
      </c>
      <c r="X106">
        <v>26</v>
      </c>
      <c r="Y106">
        <v>0</v>
      </c>
      <c r="Z106">
        <v>0</v>
      </c>
      <c r="AA106">
        <v>628</v>
      </c>
      <c r="AB106">
        <v>26</v>
      </c>
      <c r="AC106">
        <v>0</v>
      </c>
      <c r="AD106">
        <v>0</v>
      </c>
      <c r="AE106">
        <v>654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628</v>
      </c>
      <c r="AS106">
        <v>26</v>
      </c>
      <c r="AT106">
        <v>0</v>
      </c>
      <c r="AU106">
        <v>0</v>
      </c>
      <c r="AV106">
        <v>628</v>
      </c>
      <c r="AW106">
        <v>26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10841</v>
      </c>
      <c r="C108" s="1">
        <f t="shared" ref="C108:U108" si="0">SUM(C3:C107)</f>
        <v>396</v>
      </c>
      <c r="D108" s="1">
        <f t="shared" si="0"/>
        <v>0</v>
      </c>
      <c r="E108" s="1">
        <f t="shared" si="0"/>
        <v>0</v>
      </c>
      <c r="F108" s="1">
        <f t="shared" si="0"/>
        <v>10842</v>
      </c>
      <c r="G108" s="1">
        <f t="shared" si="0"/>
        <v>395</v>
      </c>
      <c r="H108" s="1">
        <f t="shared" si="0"/>
        <v>0</v>
      </c>
      <c r="I108" s="1">
        <f t="shared" si="0"/>
        <v>0</v>
      </c>
      <c r="J108" s="1">
        <f t="shared" si="0"/>
        <v>11401</v>
      </c>
      <c r="K108" s="1">
        <f t="shared" si="0"/>
        <v>0</v>
      </c>
      <c r="L108" s="1">
        <f t="shared" si="0"/>
        <v>0</v>
      </c>
      <c r="M108" s="1">
        <f t="shared" si="0"/>
        <v>0</v>
      </c>
      <c r="N108" s="1">
        <f t="shared" si="0"/>
        <v>2399</v>
      </c>
      <c r="O108" s="1">
        <f t="shared" si="0"/>
        <v>0</v>
      </c>
      <c r="P108" s="1">
        <f t="shared" si="0"/>
        <v>16</v>
      </c>
      <c r="Q108" s="1">
        <f t="shared" si="0"/>
        <v>0</v>
      </c>
      <c r="R108" s="1">
        <f t="shared" si="0"/>
        <v>11234</v>
      </c>
      <c r="S108" s="1">
        <f t="shared" si="0"/>
        <v>2</v>
      </c>
      <c r="T108" s="1">
        <f t="shared" si="0"/>
        <v>1</v>
      </c>
      <c r="U108" s="1">
        <f t="shared" si="0"/>
        <v>0</v>
      </c>
      <c r="V108" s="1">
        <f t="shared" ref="V108" si="1">SUM(V3:V107)</f>
        <v>0</v>
      </c>
      <c r="W108" s="1">
        <f t="shared" ref="W108" si="2">SUM(W3:W107)</f>
        <v>10841</v>
      </c>
      <c r="X108" s="1">
        <f t="shared" ref="X108" si="3">SUM(X3:X107)</f>
        <v>396</v>
      </c>
      <c r="Y108" s="1">
        <f t="shared" ref="Y108" si="4">SUM(Y3:Y107)</f>
        <v>0</v>
      </c>
      <c r="Z108" s="1">
        <f t="shared" ref="Z108" si="5">SUM(Z3:Z107)</f>
        <v>0</v>
      </c>
      <c r="AA108" s="1">
        <f t="shared" ref="AA108" si="6">SUM(AA3:AA107)</f>
        <v>10841</v>
      </c>
      <c r="AB108" s="1">
        <f t="shared" ref="AB108" si="7">SUM(AB3:AB107)</f>
        <v>396</v>
      </c>
      <c r="AC108" s="1">
        <f t="shared" ref="AC108" si="8">SUM(AC3:AC107)</f>
        <v>0</v>
      </c>
      <c r="AD108" s="1">
        <f t="shared" ref="AD108" si="9">SUM(AD3:AD107)</f>
        <v>0</v>
      </c>
      <c r="AE108" s="1">
        <f t="shared" ref="AE108" si="10">SUM(AE3:AE107)</f>
        <v>11401</v>
      </c>
      <c r="AF108" s="1">
        <f t="shared" ref="AF108" si="11">SUM(AF3:AF107)</f>
        <v>0</v>
      </c>
      <c r="AG108" s="1">
        <f t="shared" ref="AG108" si="12">SUM(AG3:AG107)</f>
        <v>0</v>
      </c>
      <c r="AH108" s="1">
        <f t="shared" ref="AH108" si="13">SUM(AH3:AH107)</f>
        <v>0</v>
      </c>
      <c r="AI108" s="1">
        <f t="shared" ref="AI108" si="14">SUM(AI3:AI107)</f>
        <v>2399</v>
      </c>
      <c r="AJ108" s="1">
        <f t="shared" ref="AJ108" si="15">SUM(AJ3:AJ107)</f>
        <v>0</v>
      </c>
      <c r="AK108" s="1">
        <f t="shared" ref="AK108" si="16">SUM(AK3:AK107)</f>
        <v>16</v>
      </c>
      <c r="AL108" s="1">
        <f t="shared" ref="AL108" si="17">SUM(AL3:AL107)</f>
        <v>0</v>
      </c>
      <c r="AM108" s="1">
        <f t="shared" ref="AM108" si="18">SUM(AM3:AM107)</f>
        <v>11235</v>
      </c>
      <c r="AN108" s="1">
        <f t="shared" ref="AN108" si="19">SUM(AN3:AN107)</f>
        <v>2</v>
      </c>
      <c r="AO108" s="1">
        <f t="shared" ref="AO108" si="20">SUM(AO3:AO107)</f>
        <v>0</v>
      </c>
      <c r="AP108" s="1">
        <f t="shared" ref="AP108" si="21">SUM(AP3:AP107)</f>
        <v>0</v>
      </c>
      <c r="AQ108" s="1">
        <f t="shared" ref="AQ108" si="22">SUM(AQ3:AQ107)</f>
        <v>0</v>
      </c>
      <c r="AR108" s="1">
        <f t="shared" ref="AR108" si="23">SUM(AR3:AR107)</f>
        <v>10842</v>
      </c>
      <c r="AS108" s="1">
        <f t="shared" ref="AS108" si="24">SUM(AS3:AS107)</f>
        <v>395</v>
      </c>
      <c r="AT108" s="1">
        <f t="shared" ref="AT108" si="25">SUM(AT3:AT107)</f>
        <v>0</v>
      </c>
      <c r="AU108" s="1">
        <f t="shared" ref="AU108" si="26">SUM(AU3:AU107)</f>
        <v>0</v>
      </c>
      <c r="AV108" s="1">
        <f t="shared" ref="AV108" si="27">SUM(AV3:AV107)</f>
        <v>10841</v>
      </c>
      <c r="AW108" s="1">
        <f t="shared" ref="AW108" si="28">SUM(AW3:AW107)</f>
        <v>396</v>
      </c>
      <c r="AX108" s="1">
        <f t="shared" ref="AX108" si="29">SUM(AX3:AX107)</f>
        <v>0</v>
      </c>
      <c r="AY108" s="1">
        <f t="shared" ref="AY108" si="30">SUM(AY3:AY107)</f>
        <v>0</v>
      </c>
      <c r="AZ108" s="1">
        <f t="shared" ref="AZ108" si="31">SUM(AZ3:AZ107)</f>
        <v>11401</v>
      </c>
      <c r="BA108" s="1">
        <f t="shared" ref="BA108" si="32">SUM(BA3:BA107)</f>
        <v>0</v>
      </c>
      <c r="BB108" s="1">
        <f t="shared" ref="BB108" si="33">SUM(BB3:BB107)</f>
        <v>0</v>
      </c>
      <c r="BC108" s="1">
        <f t="shared" ref="BC108" si="34">SUM(BC3:BC107)</f>
        <v>0</v>
      </c>
      <c r="BD108" s="1">
        <f t="shared" ref="BD108" si="35">SUM(BD3:BD107)</f>
        <v>2399</v>
      </c>
      <c r="BE108" s="1">
        <f t="shared" ref="BE108" si="36">SUM(BE3:BE107)</f>
        <v>0</v>
      </c>
      <c r="BF108" s="1">
        <f t="shared" ref="BF108" si="37">SUM(BF3:BF107)</f>
        <v>16</v>
      </c>
      <c r="BG108" s="1">
        <f t="shared" ref="BG108" si="38">SUM(BG3:BG107)</f>
        <v>0</v>
      </c>
      <c r="BH108" s="1">
        <f t="shared" ref="BH108" si="39">SUM(BH3:BH107)</f>
        <v>11236</v>
      </c>
      <c r="BI108" s="1">
        <f t="shared" ref="BI108" si="40">SUM(BI3:BI107)</f>
        <v>1</v>
      </c>
      <c r="BJ108" s="1">
        <f t="shared" ref="BJ108" si="41">SUM(BJ3:BJ107)</f>
        <v>0</v>
      </c>
      <c r="BK108" s="1">
        <f t="shared" ref="BK108" si="42">SUM(BK3:BK107)</f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I1" workbookViewId="0">
      <pane ySplit="2" topLeftCell="A38" activePane="bottomLeft" state="frozen"/>
      <selection pane="bottomLeft" activeCell="AH38" sqref="AH38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7" t="s">
        <v>123</v>
      </c>
      <c r="C1" s="7"/>
      <c r="D1" s="7"/>
      <c r="E1" s="7"/>
      <c r="F1" s="7" t="s">
        <v>124</v>
      </c>
      <c r="G1" s="7"/>
      <c r="H1" s="7"/>
      <c r="I1" s="7"/>
      <c r="J1" s="7" t="s">
        <v>125</v>
      </c>
      <c r="K1" s="7"/>
      <c r="L1" s="7"/>
      <c r="M1" s="7"/>
      <c r="N1" s="7" t="s">
        <v>126</v>
      </c>
      <c r="O1" s="7"/>
      <c r="P1" s="7"/>
      <c r="Q1" s="7"/>
      <c r="R1" s="7" t="s">
        <v>127</v>
      </c>
      <c r="S1" s="7"/>
      <c r="T1" s="7"/>
      <c r="U1" s="7"/>
      <c r="W1" s="7" t="s">
        <v>123</v>
      </c>
      <c r="X1" s="7"/>
      <c r="Y1" s="7"/>
      <c r="Z1" s="7"/>
      <c r="AA1" s="7" t="s">
        <v>128</v>
      </c>
      <c r="AB1" s="7"/>
      <c r="AC1" s="7"/>
      <c r="AD1" s="7"/>
      <c r="AE1" s="7" t="s">
        <v>129</v>
      </c>
      <c r="AF1" s="7"/>
      <c r="AG1" s="7"/>
      <c r="AH1" s="7"/>
      <c r="AI1" s="7" t="s">
        <v>130</v>
      </c>
      <c r="AJ1" s="7"/>
      <c r="AK1" s="7"/>
      <c r="AL1" s="7"/>
      <c r="AM1" s="7" t="s">
        <v>131</v>
      </c>
      <c r="AN1" s="7"/>
      <c r="AO1" s="7"/>
      <c r="AP1" s="7"/>
      <c r="AR1" s="7" t="s">
        <v>124</v>
      </c>
      <c r="AS1" s="7"/>
      <c r="AT1" s="7"/>
      <c r="AU1" s="7"/>
      <c r="AV1" s="7" t="s">
        <v>128</v>
      </c>
      <c r="AW1" s="7"/>
      <c r="AX1" s="7"/>
      <c r="AY1" s="7"/>
      <c r="AZ1" s="7" t="s">
        <v>132</v>
      </c>
      <c r="BA1" s="7"/>
      <c r="BB1" s="7"/>
      <c r="BC1" s="7"/>
      <c r="BD1" s="7" t="s">
        <v>133</v>
      </c>
      <c r="BE1" s="7"/>
      <c r="BF1" s="7"/>
      <c r="BG1" s="7"/>
      <c r="BH1" s="7" t="s">
        <v>134</v>
      </c>
      <c r="BI1" s="7"/>
      <c r="BJ1" s="7"/>
      <c r="BK1" s="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133</v>
      </c>
      <c r="S16">
        <v>8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133</v>
      </c>
      <c r="AN16">
        <v>8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131</v>
      </c>
      <c r="C41">
        <v>12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139</v>
      </c>
      <c r="S41">
        <v>4</v>
      </c>
      <c r="T41">
        <v>0</v>
      </c>
      <c r="U41">
        <v>0</v>
      </c>
      <c r="V41" t="s">
        <v>66</v>
      </c>
      <c r="W41">
        <v>131</v>
      </c>
      <c r="X41">
        <v>12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139</v>
      </c>
      <c r="AN41">
        <v>4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49</v>
      </c>
      <c r="S48">
        <v>7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55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49</v>
      </c>
      <c r="AN48">
        <v>7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111</v>
      </c>
      <c r="S59">
        <v>1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111</v>
      </c>
      <c r="AN59">
        <v>1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946</v>
      </c>
      <c r="K60">
        <v>12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931</v>
      </c>
      <c r="S60">
        <v>27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946</v>
      </c>
      <c r="AF60">
        <v>12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931</v>
      </c>
      <c r="AN60">
        <v>27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474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474</v>
      </c>
      <c r="S61">
        <v>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474</v>
      </c>
      <c r="AF61">
        <v>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474</v>
      </c>
      <c r="AN61">
        <v>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600</v>
      </c>
      <c r="K62">
        <v>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585</v>
      </c>
      <c r="S62">
        <v>22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600</v>
      </c>
      <c r="AF62">
        <v>7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585</v>
      </c>
      <c r="AN62">
        <v>22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734</v>
      </c>
      <c r="K63">
        <v>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734</v>
      </c>
      <c r="S63">
        <v>3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734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734</v>
      </c>
      <c r="AN63">
        <v>3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271</v>
      </c>
      <c r="S67">
        <v>1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271</v>
      </c>
      <c r="AN67">
        <v>1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118</v>
      </c>
      <c r="S70">
        <v>2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118</v>
      </c>
      <c r="AN70">
        <v>2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256</v>
      </c>
      <c r="S72">
        <v>2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256</v>
      </c>
      <c r="AN72">
        <v>2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312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312</v>
      </c>
      <c r="AF73">
        <v>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310</v>
      </c>
      <c r="S74">
        <v>2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310</v>
      </c>
      <c r="AN74">
        <v>2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61</v>
      </c>
      <c r="S76">
        <v>9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61</v>
      </c>
      <c r="AN76">
        <v>9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93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68</v>
      </c>
      <c r="S81">
        <v>26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93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68</v>
      </c>
      <c r="AN81">
        <v>26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31</v>
      </c>
      <c r="S103">
        <v>1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31</v>
      </c>
      <c r="AN103">
        <v>1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159</v>
      </c>
      <c r="C105">
        <v>9</v>
      </c>
      <c r="D105">
        <v>0</v>
      </c>
      <c r="E105">
        <v>0</v>
      </c>
      <c r="F105">
        <v>159</v>
      </c>
      <c r="G105">
        <v>9</v>
      </c>
      <c r="H105">
        <v>0</v>
      </c>
      <c r="I105">
        <v>0</v>
      </c>
      <c r="J105">
        <v>167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159</v>
      </c>
      <c r="X105">
        <v>9</v>
      </c>
      <c r="Y105">
        <v>0</v>
      </c>
      <c r="Z105">
        <v>0</v>
      </c>
      <c r="AA105">
        <v>159</v>
      </c>
      <c r="AB105">
        <v>9</v>
      </c>
      <c r="AC105">
        <v>0</v>
      </c>
      <c r="AD105">
        <v>0</v>
      </c>
      <c r="AE105">
        <v>167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159</v>
      </c>
      <c r="AS105">
        <v>9</v>
      </c>
      <c r="AT105">
        <v>0</v>
      </c>
      <c r="AU105">
        <v>0</v>
      </c>
      <c r="AV105">
        <v>159</v>
      </c>
      <c r="AW105">
        <v>9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637</v>
      </c>
      <c r="C106">
        <v>17</v>
      </c>
      <c r="D106">
        <v>0</v>
      </c>
      <c r="E106">
        <v>0</v>
      </c>
      <c r="F106">
        <v>637</v>
      </c>
      <c r="G106">
        <v>17</v>
      </c>
      <c r="H106">
        <v>0</v>
      </c>
      <c r="I106">
        <v>0</v>
      </c>
      <c r="J106">
        <v>650</v>
      </c>
      <c r="K106">
        <v>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650</v>
      </c>
      <c r="S106">
        <v>4</v>
      </c>
      <c r="T106">
        <v>0</v>
      </c>
      <c r="U106">
        <v>0</v>
      </c>
      <c r="V106" t="s">
        <v>38</v>
      </c>
      <c r="W106">
        <v>637</v>
      </c>
      <c r="X106">
        <v>17</v>
      </c>
      <c r="Y106">
        <v>0</v>
      </c>
      <c r="Z106">
        <v>0</v>
      </c>
      <c r="AA106">
        <v>637</v>
      </c>
      <c r="AB106">
        <v>17</v>
      </c>
      <c r="AC106">
        <v>0</v>
      </c>
      <c r="AD106">
        <v>0</v>
      </c>
      <c r="AE106">
        <v>650</v>
      </c>
      <c r="AF106">
        <v>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650</v>
      </c>
      <c r="AN106">
        <v>4</v>
      </c>
      <c r="AO106">
        <v>0</v>
      </c>
      <c r="AP106">
        <v>0</v>
      </c>
      <c r="AQ106" t="s">
        <v>38</v>
      </c>
      <c r="AR106">
        <v>637</v>
      </c>
      <c r="AS106">
        <v>17</v>
      </c>
      <c r="AT106">
        <v>0</v>
      </c>
      <c r="AU106">
        <v>0</v>
      </c>
      <c r="AV106">
        <v>637</v>
      </c>
      <c r="AW106">
        <v>17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dom7dom6'!B3:B107)</f>
        <v>10816</v>
      </c>
      <c r="C108" s="1">
        <f>SUM('accuracy dom7dom6'!C3:C107)</f>
        <v>421</v>
      </c>
      <c r="D108" s="1">
        <f>SUM('accuracy dom7dom6'!D3:D107)</f>
        <v>0</v>
      </c>
      <c r="E108" s="1">
        <f>SUM('accuracy dom7dom6'!E3:E107)</f>
        <v>0</v>
      </c>
      <c r="F108" s="1">
        <f>SUM('accuracy dom7dom6'!F3:F107)</f>
        <v>10815</v>
      </c>
      <c r="G108" s="1">
        <f>SUM('accuracy dom7dom6'!G3:G107)</f>
        <v>422</v>
      </c>
      <c r="H108" s="1">
        <f>SUM('accuracy dom7dom6'!H3:H107)</f>
        <v>0</v>
      </c>
      <c r="I108" s="1">
        <f>SUM('accuracy dom7dom6'!I3:I107)</f>
        <v>0</v>
      </c>
      <c r="J108" s="1">
        <f>SUM('accuracy dom7dom6'!J3:J107)</f>
        <v>11314</v>
      </c>
      <c r="K108" s="1">
        <f>SUM('accuracy dom7dom6'!K3:K107)</f>
        <v>87</v>
      </c>
      <c r="L108" s="1">
        <f>SUM('accuracy dom7dom6'!L3:L107)</f>
        <v>0</v>
      </c>
      <c r="M108" s="1">
        <f>SUM('accuracy dom7dom6'!M3:M107)</f>
        <v>0</v>
      </c>
      <c r="N108" s="1">
        <f>SUM('accuracy dom7dom6'!N3:N107)</f>
        <v>2365</v>
      </c>
      <c r="O108" s="1">
        <f>SUM('accuracy dom7dom6'!O3:O107)</f>
        <v>22</v>
      </c>
      <c r="P108" s="1">
        <f>SUM('accuracy dom7dom6'!P3:P107)</f>
        <v>27</v>
      </c>
      <c r="Q108" s="1">
        <f>SUM('accuracy dom7dom6'!Q3:Q107)</f>
        <v>1</v>
      </c>
      <c r="R108" s="1">
        <f>SUM('accuracy dom7dom6'!R3:R107)</f>
        <v>11068</v>
      </c>
      <c r="S108" s="1">
        <f>SUM('accuracy dom7dom6'!S3:S107)</f>
        <v>169</v>
      </c>
      <c r="T108" s="1">
        <f>SUM('accuracy dom7dom6'!T3:T107)</f>
        <v>0</v>
      </c>
      <c r="U108" s="1">
        <f>SUM('accuracy dom7dom6'!U3:U107)</f>
        <v>0</v>
      </c>
      <c r="V108" s="1">
        <f>SUM('accuracy dom7dom6'!V3:V107)</f>
        <v>0</v>
      </c>
      <c r="W108" s="1">
        <f>SUM('accuracy dom7dom6'!W3:W107)</f>
        <v>10816</v>
      </c>
      <c r="X108" s="1">
        <f>SUM('accuracy dom7dom6'!X3:X107)</f>
        <v>421</v>
      </c>
      <c r="Y108" s="1">
        <f>SUM('accuracy dom7dom6'!Y3:Y107)</f>
        <v>0</v>
      </c>
      <c r="Z108" s="1">
        <f>SUM('accuracy dom7dom6'!Z3:Z107)</f>
        <v>0</v>
      </c>
      <c r="AA108" s="1">
        <f>SUM('accuracy dom7dom6'!AA3:AA107)</f>
        <v>10815</v>
      </c>
      <c r="AB108" s="1">
        <f>SUM('accuracy dom7dom6'!AB3:AB107)</f>
        <v>422</v>
      </c>
      <c r="AC108" s="1">
        <f>SUM('accuracy dom7dom6'!AC3:AC107)</f>
        <v>0</v>
      </c>
      <c r="AD108" s="1">
        <f>SUM('accuracy dom7dom6'!AD3:AD107)</f>
        <v>0</v>
      </c>
      <c r="AE108" s="1">
        <f>SUM('accuracy dom7dom6'!AE3:AE107)</f>
        <v>11314</v>
      </c>
      <c r="AF108" s="1">
        <f>SUM('accuracy dom7dom6'!AF3:AF107)</f>
        <v>87</v>
      </c>
      <c r="AG108" s="1">
        <f>SUM('accuracy dom7dom6'!AG3:AG107)</f>
        <v>0</v>
      </c>
      <c r="AH108" s="1">
        <f>SUM('accuracy dom7dom6'!AH3:AH107)</f>
        <v>0</v>
      </c>
      <c r="AI108" s="1">
        <f>SUM('accuracy dom7dom6'!AI3:AI107)</f>
        <v>2365</v>
      </c>
      <c r="AJ108" s="1">
        <f>SUM('accuracy dom7dom6'!AJ3:AJ107)</f>
        <v>22</v>
      </c>
      <c r="AK108" s="1">
        <f>SUM('accuracy dom7dom6'!AK3:AK107)</f>
        <v>27</v>
      </c>
      <c r="AL108" s="1">
        <f>SUM('accuracy dom7dom6'!AL3:AL107)</f>
        <v>1</v>
      </c>
      <c r="AM108" s="1">
        <f>SUM('accuracy dom7dom6'!AM3:AM107)</f>
        <v>11068</v>
      </c>
      <c r="AN108" s="1">
        <f>SUM('accuracy dom7dom6'!AN3:AN107)</f>
        <v>169</v>
      </c>
      <c r="AO108" s="1">
        <f>SUM('accuracy dom7dom6'!AO3:AO107)</f>
        <v>0</v>
      </c>
      <c r="AP108" s="1">
        <f>SUM('accuracy dom7dom6'!AP3:AP107)</f>
        <v>0</v>
      </c>
      <c r="AQ108" s="1">
        <f>SUM('accuracy dom7dom6'!AQ3:AQ107)</f>
        <v>0</v>
      </c>
      <c r="AR108" s="1">
        <f>SUM('accuracy dom7dom6'!AR3:AR107)</f>
        <v>10815</v>
      </c>
      <c r="AS108" s="1">
        <f>SUM('accuracy dom7dom6'!AS3:AS107)</f>
        <v>422</v>
      </c>
      <c r="AT108" s="1">
        <f>SUM('accuracy dom7dom6'!AT3:AT107)</f>
        <v>0</v>
      </c>
      <c r="AU108" s="1">
        <f>SUM('accuracy dom7dom6'!AU3:AU107)</f>
        <v>0</v>
      </c>
      <c r="AV108" s="1">
        <f>SUM('accuracy dom7dom6'!AV3:AV107)</f>
        <v>10815</v>
      </c>
      <c r="AW108" s="1">
        <f>SUM('accuracy dom7dom6'!AW3:AW107)</f>
        <v>422</v>
      </c>
      <c r="AX108" s="1">
        <f>SUM('accuracy dom7dom6'!AX3:AX107)</f>
        <v>0</v>
      </c>
      <c r="AY108" s="1">
        <f>SUM('accuracy dom7dom6'!AY3:AY107)</f>
        <v>0</v>
      </c>
      <c r="AZ108" s="1">
        <f>SUM('accuracy dom7dom6'!AZ3:AZ107)</f>
        <v>11401</v>
      </c>
      <c r="BA108" s="1">
        <f>SUM('accuracy dom7dom6'!BA3:BA107)</f>
        <v>0</v>
      </c>
      <c r="BB108" s="1">
        <f>SUM('accuracy dom7dom6'!BB3:BB107)</f>
        <v>0</v>
      </c>
      <c r="BC108" s="1">
        <f>SUM('accuracy dom7dom6'!BC3:BC107)</f>
        <v>0</v>
      </c>
      <c r="BD108" s="1">
        <f>SUM('accuracy dom7dom6'!BD3:BD107)</f>
        <v>2387</v>
      </c>
      <c r="BE108" s="1">
        <f>SUM('accuracy dom7dom6'!BE3:BE107)</f>
        <v>0</v>
      </c>
      <c r="BF108" s="1">
        <f>SUM('accuracy dom7dom6'!BF3:BF107)</f>
        <v>28</v>
      </c>
      <c r="BG108" s="1">
        <f>SUM('accuracy dom7dom6'!BG3:BG107)</f>
        <v>0</v>
      </c>
      <c r="BH108" s="1">
        <f>SUM('accuracy dom7dom6'!BH3:BH107)</f>
        <v>11237</v>
      </c>
      <c r="BI108" s="1">
        <f>SUM('accuracy dom7dom6'!BI3:BI107)</f>
        <v>0</v>
      </c>
      <c r="BJ108" s="1">
        <f>SUM('accuracy dom7dom6'!BJ3:BJ107)</f>
        <v>0</v>
      </c>
      <c r="BK108" s="1">
        <f>SUM('accuracy dom7dom6'!BK3:BK107)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R1:AU1"/>
    <mergeCell ref="AV1:AY1"/>
    <mergeCell ref="AZ1:BC1"/>
    <mergeCell ref="BD1:BG1"/>
    <mergeCell ref="BH1:BK1"/>
    <mergeCell ref="AA1:AD1"/>
    <mergeCell ref="AE1:AH1"/>
    <mergeCell ref="AI1:AL1"/>
    <mergeCell ref="AM1:AP1"/>
    <mergeCell ref="B1:E1"/>
    <mergeCell ref="F1:I1"/>
    <mergeCell ref="J1:M1"/>
    <mergeCell ref="N1:Q1"/>
    <mergeCell ref="R1:U1"/>
    <mergeCell ref="W1:Z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1" activePane="bottomLeft" state="frozen"/>
      <selection pane="bottomLeft" activeCell="AR108" sqref="AR108"/>
    </sheetView>
  </sheetViews>
  <sheetFormatPr baseColWidth="10" defaultRowHeight="15" x14ac:dyDescent="0"/>
  <cols>
    <col min="22" max="22" width="0" hidden="1" customWidth="1"/>
    <col min="43" max="43" width="0" hidden="1" customWidth="1"/>
  </cols>
  <sheetData>
    <row r="1" spans="1:63">
      <c r="B1" s="7" t="s">
        <v>135</v>
      </c>
      <c r="C1" s="7"/>
      <c r="D1" s="7"/>
      <c r="E1" s="7"/>
      <c r="F1" s="7" t="s">
        <v>136</v>
      </c>
      <c r="G1" s="7"/>
      <c r="H1" s="7"/>
      <c r="I1" s="7"/>
      <c r="J1" s="7" t="s">
        <v>137</v>
      </c>
      <c r="K1" s="7"/>
      <c r="L1" s="7"/>
      <c r="M1" s="7"/>
      <c r="N1" s="7" t="s">
        <v>138</v>
      </c>
      <c r="O1" s="7"/>
      <c r="P1" s="7"/>
      <c r="Q1" s="7"/>
      <c r="R1" s="7" t="s">
        <v>139</v>
      </c>
      <c r="S1" s="7"/>
      <c r="T1" s="7"/>
      <c r="U1" s="7"/>
      <c r="W1" s="7" t="s">
        <v>135</v>
      </c>
      <c r="X1" s="7"/>
      <c r="Y1" s="7"/>
      <c r="Z1" s="7"/>
      <c r="AA1" s="7" t="s">
        <v>140</v>
      </c>
      <c r="AB1" s="7"/>
      <c r="AC1" s="7"/>
      <c r="AD1" s="7"/>
      <c r="AE1" s="7" t="s">
        <v>141</v>
      </c>
      <c r="AF1" s="7"/>
      <c r="AG1" s="7"/>
      <c r="AH1" s="7"/>
      <c r="AI1" s="7" t="s">
        <v>142</v>
      </c>
      <c r="AJ1" s="7"/>
      <c r="AK1" s="7"/>
      <c r="AL1" s="7"/>
      <c r="AM1" s="7" t="s">
        <v>143</v>
      </c>
      <c r="AN1" s="7"/>
      <c r="AO1" s="7"/>
      <c r="AP1" s="7"/>
      <c r="AR1" s="7" t="s">
        <v>136</v>
      </c>
      <c r="AS1" s="7"/>
      <c r="AT1" s="7"/>
      <c r="AU1" s="7"/>
      <c r="AV1" s="7" t="s">
        <v>140</v>
      </c>
      <c r="AW1" s="7"/>
      <c r="AX1" s="7"/>
      <c r="AY1" s="7"/>
      <c r="AZ1" s="7" t="s">
        <v>144</v>
      </c>
      <c r="BA1" s="7"/>
      <c r="BB1" s="7"/>
      <c r="BC1" s="7"/>
      <c r="BD1" s="7" t="s">
        <v>145</v>
      </c>
      <c r="BE1" s="7"/>
      <c r="BF1" s="7"/>
      <c r="BG1" s="7"/>
      <c r="BH1" s="7" t="s">
        <v>146</v>
      </c>
      <c r="BI1" s="7"/>
      <c r="BJ1" s="7"/>
      <c r="BK1" s="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64</v>
      </c>
      <c r="C36">
        <v>7</v>
      </c>
      <c r="D36">
        <v>0</v>
      </c>
      <c r="E36">
        <v>0</v>
      </c>
      <c r="F36">
        <v>64</v>
      </c>
      <c r="G36">
        <v>7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64</v>
      </c>
      <c r="O36">
        <v>0</v>
      </c>
      <c r="P36">
        <v>7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64</v>
      </c>
      <c r="X36">
        <v>7</v>
      </c>
      <c r="Y36">
        <v>0</v>
      </c>
      <c r="Z36">
        <v>0</v>
      </c>
      <c r="AA36">
        <v>64</v>
      </c>
      <c r="AB36">
        <v>7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64</v>
      </c>
      <c r="AJ36">
        <v>0</v>
      </c>
      <c r="AK36">
        <v>7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64</v>
      </c>
      <c r="AS36">
        <v>7</v>
      </c>
      <c r="AT36">
        <v>0</v>
      </c>
      <c r="AU36">
        <v>0</v>
      </c>
      <c r="AV36">
        <v>64</v>
      </c>
      <c r="AW36">
        <v>7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64</v>
      </c>
      <c r="BE36">
        <v>0</v>
      </c>
      <c r="BF36">
        <v>7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148</v>
      </c>
      <c r="K40">
        <v>26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148</v>
      </c>
      <c r="AF40">
        <v>26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80</v>
      </c>
      <c r="S47">
        <v>6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80</v>
      </c>
      <c r="AN47">
        <v>6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47</v>
      </c>
      <c r="C48">
        <v>9</v>
      </c>
      <c r="D48">
        <v>0</v>
      </c>
      <c r="E48">
        <v>0</v>
      </c>
      <c r="F48">
        <v>47</v>
      </c>
      <c r="G48">
        <v>9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50</v>
      </c>
      <c r="S48">
        <v>6</v>
      </c>
      <c r="T48">
        <v>0</v>
      </c>
      <c r="U48">
        <v>0</v>
      </c>
      <c r="V48" t="s">
        <v>6</v>
      </c>
      <c r="W48">
        <v>47</v>
      </c>
      <c r="X48">
        <v>9</v>
      </c>
      <c r="Y48">
        <v>0</v>
      </c>
      <c r="Z48">
        <v>0</v>
      </c>
      <c r="AA48">
        <v>47</v>
      </c>
      <c r="AB48">
        <v>9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50</v>
      </c>
      <c r="AN48">
        <v>6</v>
      </c>
      <c r="AO48">
        <v>0</v>
      </c>
      <c r="AP48">
        <v>0</v>
      </c>
      <c r="AQ48" t="s">
        <v>6</v>
      </c>
      <c r="AR48">
        <v>47</v>
      </c>
      <c r="AS48">
        <v>9</v>
      </c>
      <c r="AT48">
        <v>0</v>
      </c>
      <c r="AU48">
        <v>0</v>
      </c>
      <c r="AV48">
        <v>47</v>
      </c>
      <c r="AW48">
        <v>9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</v>
      </c>
      <c r="S53">
        <v>6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40</v>
      </c>
      <c r="AN53">
        <v>6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949</v>
      </c>
      <c r="K60">
        <v>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949</v>
      </c>
      <c r="S60">
        <v>9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949</v>
      </c>
      <c r="AF60">
        <v>9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949</v>
      </c>
      <c r="AN60">
        <v>9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603</v>
      </c>
      <c r="S62">
        <v>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603</v>
      </c>
      <c r="AN62">
        <v>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0</v>
      </c>
      <c r="AS65">
        <v>0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295</v>
      </c>
      <c r="C73">
        <v>19</v>
      </c>
      <c r="D73">
        <v>0</v>
      </c>
      <c r="E73">
        <v>0</v>
      </c>
      <c r="F73">
        <v>295</v>
      </c>
      <c r="G73">
        <v>19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295</v>
      </c>
      <c r="X73">
        <v>19</v>
      </c>
      <c r="Y73">
        <v>0</v>
      </c>
      <c r="Z73">
        <v>0</v>
      </c>
      <c r="AA73">
        <v>295</v>
      </c>
      <c r="AB73">
        <v>19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295</v>
      </c>
      <c r="AS73">
        <v>19</v>
      </c>
      <c r="AT73">
        <v>0</v>
      </c>
      <c r="AU73">
        <v>0</v>
      </c>
      <c r="AV73">
        <v>295</v>
      </c>
      <c r="AW73">
        <v>19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67</v>
      </c>
      <c r="S76">
        <v>2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67</v>
      </c>
      <c r="AN76">
        <v>3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50</v>
      </c>
      <c r="C81">
        <v>44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60</v>
      </c>
      <c r="S81">
        <v>34</v>
      </c>
      <c r="T81">
        <v>0</v>
      </c>
      <c r="U81">
        <v>0</v>
      </c>
      <c r="V81" t="s">
        <v>0</v>
      </c>
      <c r="W81">
        <v>50</v>
      </c>
      <c r="X81">
        <v>44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60</v>
      </c>
      <c r="AN81">
        <v>34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648</v>
      </c>
      <c r="S106">
        <v>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648</v>
      </c>
      <c r="AN106">
        <v>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10792</v>
      </c>
      <c r="C108" s="1">
        <f t="shared" ref="C108:BK108" si="0">SUM(C3:C107)</f>
        <v>445</v>
      </c>
      <c r="D108" s="1">
        <f t="shared" si="0"/>
        <v>0</v>
      </c>
      <c r="E108" s="1">
        <f t="shared" si="0"/>
        <v>0</v>
      </c>
      <c r="F108" s="1">
        <f t="shared" si="0"/>
        <v>10767</v>
      </c>
      <c r="G108" s="1">
        <f t="shared" si="0"/>
        <v>443</v>
      </c>
      <c r="H108" s="1">
        <f t="shared" si="0"/>
        <v>0</v>
      </c>
      <c r="I108" s="1">
        <f t="shared" si="0"/>
        <v>0</v>
      </c>
      <c r="J108" s="1">
        <f t="shared" si="0"/>
        <v>11307</v>
      </c>
      <c r="K108" s="1">
        <f t="shared" si="0"/>
        <v>91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29</v>
      </c>
      <c r="Q108" s="1">
        <f t="shared" si="0"/>
        <v>1</v>
      </c>
      <c r="R108" s="1">
        <f t="shared" si="0"/>
        <v>11110</v>
      </c>
      <c r="S108" s="1">
        <f t="shared" si="0"/>
        <v>99</v>
      </c>
      <c r="T108" s="1">
        <f t="shared" si="0"/>
        <v>1</v>
      </c>
      <c r="U108" s="1">
        <f t="shared" si="0"/>
        <v>0</v>
      </c>
      <c r="V108" s="1">
        <f t="shared" si="0"/>
        <v>0</v>
      </c>
      <c r="W108" s="1">
        <f t="shared" si="0"/>
        <v>10792</v>
      </c>
      <c r="X108" s="1">
        <f t="shared" si="0"/>
        <v>445</v>
      </c>
      <c r="Y108" s="1">
        <f t="shared" si="0"/>
        <v>0</v>
      </c>
      <c r="Z108" s="1">
        <f t="shared" si="0"/>
        <v>0</v>
      </c>
      <c r="AA108" s="1">
        <f t="shared" si="0"/>
        <v>10791</v>
      </c>
      <c r="AB108" s="1">
        <f t="shared" si="0"/>
        <v>446</v>
      </c>
      <c r="AC108" s="1">
        <f t="shared" si="0"/>
        <v>0</v>
      </c>
      <c r="AD108" s="1">
        <f t="shared" si="0"/>
        <v>0</v>
      </c>
      <c r="AE108" s="1">
        <f t="shared" si="0"/>
        <v>11307</v>
      </c>
      <c r="AF108" s="1">
        <f t="shared" si="0"/>
        <v>91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29</v>
      </c>
      <c r="AL108" s="1">
        <f t="shared" si="0"/>
        <v>1</v>
      </c>
      <c r="AM108" s="1">
        <f t="shared" si="0"/>
        <v>11137</v>
      </c>
      <c r="AN108" s="1">
        <f t="shared" si="0"/>
        <v>100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10767</v>
      </c>
      <c r="AS108" s="1">
        <f t="shared" si="0"/>
        <v>443</v>
      </c>
      <c r="AT108" s="1">
        <f t="shared" si="0"/>
        <v>0</v>
      </c>
      <c r="AU108" s="1">
        <f t="shared" si="0"/>
        <v>0</v>
      </c>
      <c r="AV108" s="1">
        <f t="shared" si="0"/>
        <v>10791</v>
      </c>
      <c r="AW108" s="1">
        <f t="shared" si="0"/>
        <v>446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6747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T98" workbookViewId="0">
      <selection activeCell="E115" sqref="E115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4"/>
      <c r="B1" s="4"/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194</v>
      </c>
      <c r="N1" s="4" t="s">
        <v>195</v>
      </c>
      <c r="O1" s="4" t="s">
        <v>196</v>
      </c>
      <c r="P1" s="4" t="s">
        <v>197</v>
      </c>
      <c r="Q1" s="4" t="s">
        <v>198</v>
      </c>
      <c r="R1" s="4" t="s">
        <v>199</v>
      </c>
      <c r="S1" s="4" t="s">
        <v>200</v>
      </c>
      <c r="T1" s="4" t="s">
        <v>201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>
      <c r="A2" s="4" t="s">
        <v>147</v>
      </c>
      <c r="B2" s="4" t="s">
        <v>32</v>
      </c>
      <c r="C2" s="4">
        <v>110</v>
      </c>
      <c r="D2" s="4">
        <v>109</v>
      </c>
      <c r="E2" s="4">
        <v>516</v>
      </c>
      <c r="F2" s="4">
        <v>474</v>
      </c>
      <c r="G2" s="4">
        <v>126</v>
      </c>
      <c r="H2" s="4">
        <v>92</v>
      </c>
      <c r="I2" s="4">
        <v>139</v>
      </c>
      <c r="J2" s="4">
        <v>155</v>
      </c>
      <c r="K2" s="4">
        <v>709</v>
      </c>
      <c r="L2" s="4">
        <v>655</v>
      </c>
      <c r="M2" s="4">
        <v>113</v>
      </c>
      <c r="N2" s="4">
        <v>115</v>
      </c>
      <c r="O2" s="4">
        <v>181</v>
      </c>
      <c r="P2" s="4">
        <v>178</v>
      </c>
      <c r="Q2" s="4">
        <v>2332</v>
      </c>
      <c r="R2" s="4">
        <v>2109</v>
      </c>
      <c r="S2" s="4">
        <v>129</v>
      </c>
      <c r="T2" s="4">
        <v>129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spans="1:56">
      <c r="A3" s="4" t="s">
        <v>147</v>
      </c>
      <c r="B3" s="4" t="s">
        <v>58</v>
      </c>
      <c r="C3" s="4">
        <v>113</v>
      </c>
      <c r="D3" s="4">
        <v>113</v>
      </c>
      <c r="E3" s="4">
        <v>511</v>
      </c>
      <c r="F3" s="4">
        <v>460</v>
      </c>
      <c r="G3" s="4">
        <v>85</v>
      </c>
      <c r="H3" s="4">
        <v>86</v>
      </c>
      <c r="I3" s="4">
        <v>157</v>
      </c>
      <c r="J3" s="4">
        <v>164</v>
      </c>
      <c r="K3" s="4">
        <v>664</v>
      </c>
      <c r="L3" s="4">
        <v>782</v>
      </c>
      <c r="M3" s="4">
        <v>110</v>
      </c>
      <c r="N3" s="4">
        <v>116</v>
      </c>
      <c r="O3" s="4">
        <v>181</v>
      </c>
      <c r="P3" s="4">
        <v>229</v>
      </c>
      <c r="Q3" s="4">
        <v>2253</v>
      </c>
      <c r="R3" s="4">
        <v>2242</v>
      </c>
      <c r="S3" s="4">
        <v>128</v>
      </c>
      <c r="T3" s="4">
        <v>131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</row>
    <row r="4" spans="1:56">
      <c r="A4" s="4" t="s">
        <v>147</v>
      </c>
      <c r="B4" s="4" t="s">
        <v>14</v>
      </c>
      <c r="C4" s="4">
        <v>161</v>
      </c>
      <c r="D4" s="4">
        <v>172</v>
      </c>
      <c r="E4" s="4">
        <v>691</v>
      </c>
      <c r="F4" s="4">
        <v>581</v>
      </c>
      <c r="G4" s="4">
        <v>118</v>
      </c>
      <c r="H4" s="4">
        <v>136</v>
      </c>
      <c r="I4" s="4">
        <v>198</v>
      </c>
      <c r="J4" s="4">
        <v>208</v>
      </c>
      <c r="K4" s="4">
        <v>1006</v>
      </c>
      <c r="L4" s="4">
        <v>1025</v>
      </c>
      <c r="M4" s="4">
        <v>162</v>
      </c>
      <c r="N4" s="4">
        <v>167</v>
      </c>
      <c r="O4" s="4">
        <v>235</v>
      </c>
      <c r="P4" s="4">
        <v>256</v>
      </c>
      <c r="Q4" s="4">
        <v>2670</v>
      </c>
      <c r="R4" s="4">
        <v>2523</v>
      </c>
      <c r="S4" s="4">
        <v>246</v>
      </c>
      <c r="T4" s="4">
        <v>189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</row>
    <row r="5" spans="1:56">
      <c r="A5" s="4" t="s">
        <v>147</v>
      </c>
      <c r="B5" s="4" t="s">
        <v>39</v>
      </c>
      <c r="C5" s="4">
        <v>283</v>
      </c>
      <c r="D5" s="4">
        <v>307</v>
      </c>
      <c r="E5" s="4">
        <v>800</v>
      </c>
      <c r="F5" s="4">
        <v>877</v>
      </c>
      <c r="G5" s="4">
        <v>244</v>
      </c>
      <c r="H5" s="4">
        <v>260</v>
      </c>
      <c r="I5" s="4">
        <v>339</v>
      </c>
      <c r="J5" s="4">
        <v>348</v>
      </c>
      <c r="K5" s="4">
        <v>1599</v>
      </c>
      <c r="L5" s="4">
        <v>1436</v>
      </c>
      <c r="M5" s="4">
        <v>295</v>
      </c>
      <c r="N5" s="4">
        <v>328</v>
      </c>
      <c r="O5" s="4">
        <v>402</v>
      </c>
      <c r="P5" s="4">
        <v>441</v>
      </c>
      <c r="Q5" s="4">
        <v>6845</v>
      </c>
      <c r="R5" s="4">
        <v>6129</v>
      </c>
      <c r="S5" s="4">
        <v>319</v>
      </c>
      <c r="T5" s="4">
        <v>425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</row>
    <row r="6" spans="1:56">
      <c r="A6" s="4" t="s">
        <v>147</v>
      </c>
      <c r="B6" s="4" t="s">
        <v>51</v>
      </c>
      <c r="C6" s="4">
        <v>76</v>
      </c>
      <c r="D6" s="4">
        <v>74</v>
      </c>
      <c r="E6" s="4">
        <v>353</v>
      </c>
      <c r="F6" s="4">
        <v>309</v>
      </c>
      <c r="G6" s="4">
        <v>98</v>
      </c>
      <c r="H6" s="4">
        <v>83</v>
      </c>
      <c r="I6" s="4">
        <v>94</v>
      </c>
      <c r="J6" s="4">
        <v>99</v>
      </c>
      <c r="K6" s="4">
        <v>395</v>
      </c>
      <c r="L6" s="4">
        <v>444</v>
      </c>
      <c r="M6" s="4">
        <v>75</v>
      </c>
      <c r="N6" s="4">
        <v>73</v>
      </c>
      <c r="O6" s="4">
        <v>109</v>
      </c>
      <c r="P6" s="4">
        <v>109</v>
      </c>
      <c r="Q6" s="4">
        <v>1165</v>
      </c>
      <c r="R6" s="4">
        <v>1481</v>
      </c>
      <c r="S6" s="4">
        <v>84</v>
      </c>
      <c r="T6" s="4">
        <v>90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</row>
    <row r="7" spans="1:56">
      <c r="A7" s="4" t="s">
        <v>147</v>
      </c>
      <c r="B7" s="4" t="s">
        <v>55</v>
      </c>
      <c r="C7" s="4">
        <v>265</v>
      </c>
      <c r="D7" s="4">
        <v>295</v>
      </c>
      <c r="E7" s="4">
        <v>690</v>
      </c>
      <c r="F7" s="4">
        <v>773</v>
      </c>
      <c r="G7" s="4">
        <v>201</v>
      </c>
      <c r="H7" s="4">
        <v>238</v>
      </c>
      <c r="I7" s="4">
        <v>313</v>
      </c>
      <c r="J7" s="4">
        <v>344</v>
      </c>
      <c r="K7" s="4">
        <v>1052</v>
      </c>
      <c r="L7" s="4">
        <v>1546</v>
      </c>
      <c r="M7" s="4">
        <v>261</v>
      </c>
      <c r="N7" s="4">
        <v>298</v>
      </c>
      <c r="O7" s="4">
        <v>356</v>
      </c>
      <c r="P7" s="4">
        <v>416</v>
      </c>
      <c r="Q7" s="4">
        <v>3714</v>
      </c>
      <c r="R7" s="4">
        <v>3393</v>
      </c>
      <c r="S7" s="4">
        <v>290</v>
      </c>
      <c r="T7" s="4">
        <v>336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</row>
    <row r="8" spans="1:56">
      <c r="A8" s="4" t="s">
        <v>147</v>
      </c>
      <c r="B8" s="4" t="s">
        <v>85</v>
      </c>
      <c r="C8" s="4">
        <v>1030</v>
      </c>
      <c r="D8" s="4">
        <v>2173</v>
      </c>
      <c r="E8" s="4">
        <v>6377</v>
      </c>
      <c r="F8" s="4">
        <v>12146</v>
      </c>
      <c r="G8" s="4">
        <v>771</v>
      </c>
      <c r="H8" s="4">
        <v>1692</v>
      </c>
      <c r="I8" s="4">
        <v>1222</v>
      </c>
      <c r="J8" s="4">
        <v>2610</v>
      </c>
      <c r="K8" s="4">
        <v>11359</v>
      </c>
      <c r="L8" s="4">
        <v>17818</v>
      </c>
      <c r="M8" s="4">
        <v>1065</v>
      </c>
      <c r="N8" s="4">
        <v>2123</v>
      </c>
      <c r="O8" s="4">
        <v>1376</v>
      </c>
      <c r="P8" s="4">
        <v>3074</v>
      </c>
      <c r="Q8" s="4">
        <v>38730</v>
      </c>
      <c r="R8" s="4">
        <v>61272</v>
      </c>
      <c r="S8" s="4">
        <v>1221</v>
      </c>
      <c r="T8" s="4">
        <v>2548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</row>
    <row r="9" spans="1:56">
      <c r="A9" s="4" t="s">
        <v>147</v>
      </c>
      <c r="B9" s="4" t="s">
        <v>30</v>
      </c>
      <c r="C9" s="4">
        <v>478</v>
      </c>
      <c r="D9" s="4">
        <v>510</v>
      </c>
      <c r="E9" s="4">
        <v>1691</v>
      </c>
      <c r="F9" s="4">
        <v>1907</v>
      </c>
      <c r="G9" s="4">
        <v>374</v>
      </c>
      <c r="H9" s="4">
        <v>408</v>
      </c>
      <c r="I9" s="4">
        <v>557</v>
      </c>
      <c r="J9" s="4">
        <v>586</v>
      </c>
      <c r="K9" s="4">
        <v>2914</v>
      </c>
      <c r="L9" s="4">
        <v>3010</v>
      </c>
      <c r="M9" s="4">
        <v>463</v>
      </c>
      <c r="N9" s="4">
        <v>468</v>
      </c>
      <c r="O9" s="4">
        <v>643</v>
      </c>
      <c r="P9" s="4">
        <v>676</v>
      </c>
      <c r="Q9" s="4">
        <v>9511</v>
      </c>
      <c r="R9" s="4">
        <v>9968</v>
      </c>
      <c r="S9" s="4">
        <v>538</v>
      </c>
      <c r="T9" s="4">
        <v>585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</row>
    <row r="10" spans="1:56">
      <c r="A10" s="4" t="s">
        <v>147</v>
      </c>
      <c r="B10" s="4" t="s">
        <v>89</v>
      </c>
      <c r="C10" s="4">
        <v>1266</v>
      </c>
      <c r="D10" s="4">
        <v>1661</v>
      </c>
      <c r="E10" s="4">
        <v>5764</v>
      </c>
      <c r="F10" s="4">
        <v>6315</v>
      </c>
      <c r="G10" s="4">
        <v>967</v>
      </c>
      <c r="H10" s="4">
        <v>1295</v>
      </c>
      <c r="I10" s="4">
        <v>1757</v>
      </c>
      <c r="J10" s="4">
        <v>2342</v>
      </c>
      <c r="K10" s="4">
        <v>9822</v>
      </c>
      <c r="L10" s="4">
        <v>11374</v>
      </c>
      <c r="M10" s="4">
        <v>1371</v>
      </c>
      <c r="N10" s="4">
        <v>1729</v>
      </c>
      <c r="O10" s="4">
        <v>2298</v>
      </c>
      <c r="P10" s="4">
        <v>3059</v>
      </c>
      <c r="Q10" s="4">
        <v>30499</v>
      </c>
      <c r="R10" s="4">
        <v>31633</v>
      </c>
      <c r="S10" s="4">
        <v>1902</v>
      </c>
      <c r="T10" s="4">
        <v>2428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</row>
    <row r="11" spans="1:56">
      <c r="A11" s="4" t="s">
        <v>166</v>
      </c>
      <c r="B11" s="4" t="s">
        <v>2</v>
      </c>
      <c r="C11" s="4">
        <v>20</v>
      </c>
      <c r="D11" s="4">
        <v>20</v>
      </c>
      <c r="E11" s="4">
        <v>107</v>
      </c>
      <c r="F11" s="4">
        <v>109</v>
      </c>
      <c r="G11" s="4">
        <v>16</v>
      </c>
      <c r="H11" s="4">
        <v>16</v>
      </c>
      <c r="I11" s="4">
        <v>26</v>
      </c>
      <c r="J11" s="4">
        <v>25</v>
      </c>
      <c r="K11" s="4">
        <v>203</v>
      </c>
      <c r="L11" s="4">
        <v>197</v>
      </c>
      <c r="M11" s="4">
        <v>22</v>
      </c>
      <c r="N11" s="4">
        <v>20</v>
      </c>
      <c r="O11" s="4">
        <v>30</v>
      </c>
      <c r="P11" s="4">
        <v>31</v>
      </c>
      <c r="Q11" s="4">
        <v>425</v>
      </c>
      <c r="R11" s="4">
        <v>436</v>
      </c>
      <c r="S11" s="4">
        <v>24</v>
      </c>
      <c r="T11" s="4">
        <v>23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</row>
    <row r="12" spans="1:56">
      <c r="A12" s="4" t="s">
        <v>166</v>
      </c>
      <c r="B12" s="4" t="s">
        <v>37</v>
      </c>
      <c r="C12" s="4">
        <v>20</v>
      </c>
      <c r="D12" s="4">
        <v>20</v>
      </c>
      <c r="E12" s="4">
        <v>90</v>
      </c>
      <c r="F12" s="4">
        <v>135</v>
      </c>
      <c r="G12" s="4">
        <v>16</v>
      </c>
      <c r="H12" s="4">
        <v>16</v>
      </c>
      <c r="I12" s="4">
        <v>25</v>
      </c>
      <c r="J12" s="4">
        <v>25</v>
      </c>
      <c r="K12" s="4">
        <v>221</v>
      </c>
      <c r="L12" s="4">
        <v>217</v>
      </c>
      <c r="M12" s="4">
        <v>20</v>
      </c>
      <c r="N12" s="4">
        <v>19</v>
      </c>
      <c r="O12" s="4">
        <v>30</v>
      </c>
      <c r="P12" s="4">
        <v>29</v>
      </c>
      <c r="Q12" s="4">
        <v>475</v>
      </c>
      <c r="R12" s="4">
        <v>456</v>
      </c>
      <c r="S12" s="4">
        <v>25</v>
      </c>
      <c r="T12" s="4">
        <v>24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</row>
    <row r="13" spans="1:56">
      <c r="A13" s="4" t="s">
        <v>166</v>
      </c>
      <c r="B13" s="4" t="s">
        <v>72</v>
      </c>
      <c r="C13" s="4">
        <v>77</v>
      </c>
      <c r="D13" s="4">
        <v>82</v>
      </c>
      <c r="E13" s="4">
        <v>401</v>
      </c>
      <c r="F13" s="4">
        <v>343</v>
      </c>
      <c r="G13" s="4">
        <v>62</v>
      </c>
      <c r="H13" s="4">
        <v>62</v>
      </c>
      <c r="I13" s="4">
        <v>96</v>
      </c>
      <c r="J13" s="4">
        <v>101</v>
      </c>
      <c r="K13" s="4">
        <v>417</v>
      </c>
      <c r="L13" s="4">
        <v>386</v>
      </c>
      <c r="M13" s="4">
        <v>79</v>
      </c>
      <c r="N13" s="4">
        <v>82</v>
      </c>
      <c r="O13" s="4">
        <v>122</v>
      </c>
      <c r="P13" s="4">
        <v>123</v>
      </c>
      <c r="Q13" s="4">
        <v>1309</v>
      </c>
      <c r="R13" s="4">
        <v>1312</v>
      </c>
      <c r="S13" s="4">
        <v>94</v>
      </c>
      <c r="T13" s="4">
        <v>93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</row>
    <row r="14" spans="1:56">
      <c r="A14" s="4" t="s">
        <v>166</v>
      </c>
      <c r="B14" s="4" t="s">
        <v>8</v>
      </c>
      <c r="C14" s="4">
        <v>21</v>
      </c>
      <c r="D14" s="4">
        <v>21</v>
      </c>
      <c r="E14" s="4">
        <v>107</v>
      </c>
      <c r="F14" s="4">
        <v>135</v>
      </c>
      <c r="G14" s="4">
        <v>16</v>
      </c>
      <c r="H14" s="4">
        <v>16</v>
      </c>
      <c r="I14" s="4">
        <v>25</v>
      </c>
      <c r="J14" s="4">
        <v>25</v>
      </c>
      <c r="K14" s="4">
        <v>231</v>
      </c>
      <c r="L14" s="4">
        <v>236</v>
      </c>
      <c r="M14" s="4">
        <v>20</v>
      </c>
      <c r="N14" s="4">
        <v>21</v>
      </c>
      <c r="O14" s="4">
        <v>31</v>
      </c>
      <c r="P14" s="4">
        <v>31</v>
      </c>
      <c r="Q14" s="4">
        <v>299</v>
      </c>
      <c r="R14" s="4">
        <v>318</v>
      </c>
      <c r="S14" s="4">
        <v>24</v>
      </c>
      <c r="T14" s="4">
        <v>25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</row>
    <row r="15" spans="1:56">
      <c r="A15" s="4" t="s">
        <v>166</v>
      </c>
      <c r="B15" s="4" t="s">
        <v>101</v>
      </c>
      <c r="C15" s="4">
        <v>1848</v>
      </c>
      <c r="D15" s="4">
        <v>2323</v>
      </c>
      <c r="E15" s="4">
        <v>4967</v>
      </c>
      <c r="F15" s="4">
        <v>6391</v>
      </c>
      <c r="G15" s="4">
        <v>1459</v>
      </c>
      <c r="H15" s="4">
        <v>1822</v>
      </c>
      <c r="I15" s="4">
        <v>2616</v>
      </c>
      <c r="J15" s="4">
        <v>3280</v>
      </c>
      <c r="K15" s="4">
        <v>9532</v>
      </c>
      <c r="L15" s="4">
        <v>9794</v>
      </c>
      <c r="M15" s="4">
        <v>2055</v>
      </c>
      <c r="N15" s="4">
        <v>2623</v>
      </c>
      <c r="O15" s="4">
        <v>3509</v>
      </c>
      <c r="P15" s="4">
        <v>4332</v>
      </c>
      <c r="Q15" s="4">
        <v>33509</v>
      </c>
      <c r="R15" s="4">
        <v>32997</v>
      </c>
      <c r="S15" s="4">
        <v>2816</v>
      </c>
      <c r="T15" s="4">
        <v>3496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</row>
    <row r="16" spans="1:56">
      <c r="A16" s="4" t="s">
        <v>166</v>
      </c>
      <c r="B16" s="4" t="s">
        <v>3</v>
      </c>
      <c r="C16" s="4">
        <v>279</v>
      </c>
      <c r="D16" s="4">
        <v>312</v>
      </c>
      <c r="E16" s="4">
        <v>1059</v>
      </c>
      <c r="F16" s="4">
        <v>1220</v>
      </c>
      <c r="G16" s="4">
        <v>266</v>
      </c>
      <c r="H16" s="4">
        <v>239</v>
      </c>
      <c r="I16" s="4">
        <v>310</v>
      </c>
      <c r="J16" s="4">
        <v>388</v>
      </c>
      <c r="K16" s="4">
        <v>1887</v>
      </c>
      <c r="L16" s="4">
        <v>1703</v>
      </c>
      <c r="M16" s="4">
        <v>291</v>
      </c>
      <c r="N16" s="4">
        <v>294</v>
      </c>
      <c r="O16" s="4">
        <v>364</v>
      </c>
      <c r="P16" s="4">
        <v>420</v>
      </c>
      <c r="Q16" s="4">
        <v>5282</v>
      </c>
      <c r="R16" s="4">
        <v>4693</v>
      </c>
      <c r="S16" s="4">
        <v>297</v>
      </c>
      <c r="T16" s="4">
        <v>331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spans="1:56">
      <c r="A17" s="4" t="s">
        <v>166</v>
      </c>
      <c r="B17" s="4" t="s">
        <v>76</v>
      </c>
      <c r="C17" s="4">
        <v>259</v>
      </c>
      <c r="D17" s="4">
        <v>303</v>
      </c>
      <c r="E17" s="4">
        <v>1078</v>
      </c>
      <c r="F17" s="4">
        <v>1083</v>
      </c>
      <c r="G17" s="4">
        <v>214</v>
      </c>
      <c r="H17" s="4">
        <v>265</v>
      </c>
      <c r="I17" s="4">
        <v>333</v>
      </c>
      <c r="J17" s="4">
        <v>383</v>
      </c>
      <c r="K17" s="4">
        <v>1862</v>
      </c>
      <c r="L17" s="4">
        <v>1590</v>
      </c>
      <c r="M17" s="4">
        <v>256</v>
      </c>
      <c r="N17" s="4">
        <v>292</v>
      </c>
      <c r="O17" s="4">
        <v>367</v>
      </c>
      <c r="P17" s="4">
        <v>415</v>
      </c>
      <c r="Q17" s="4">
        <v>4887</v>
      </c>
      <c r="R17" s="4">
        <v>4422</v>
      </c>
      <c r="S17" s="4">
        <v>324</v>
      </c>
      <c r="T17" s="4">
        <v>347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</row>
    <row r="18" spans="1:56">
      <c r="A18" s="4" t="s">
        <v>166</v>
      </c>
      <c r="B18" s="4" t="s">
        <v>29</v>
      </c>
      <c r="C18" s="4">
        <v>413</v>
      </c>
      <c r="D18" s="4">
        <v>401</v>
      </c>
      <c r="E18" s="4">
        <v>1030</v>
      </c>
      <c r="F18" s="4">
        <v>1030</v>
      </c>
      <c r="G18" s="4">
        <v>314</v>
      </c>
      <c r="H18" s="4">
        <v>315</v>
      </c>
      <c r="I18" s="4">
        <v>573</v>
      </c>
      <c r="J18" s="4">
        <v>560</v>
      </c>
      <c r="K18" s="4">
        <v>1546</v>
      </c>
      <c r="L18" s="4">
        <v>1509</v>
      </c>
      <c r="M18" s="4">
        <v>454</v>
      </c>
      <c r="N18" s="4">
        <v>456</v>
      </c>
      <c r="O18" s="4">
        <v>774</v>
      </c>
      <c r="P18" s="4">
        <v>759</v>
      </c>
      <c r="Q18" s="4">
        <v>3050</v>
      </c>
      <c r="R18" s="4">
        <v>2894</v>
      </c>
      <c r="S18" s="4">
        <v>605</v>
      </c>
      <c r="T18" s="4">
        <v>607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</row>
    <row r="19" spans="1:56">
      <c r="A19" s="4" t="s">
        <v>166</v>
      </c>
      <c r="B19" s="4" t="s">
        <v>98</v>
      </c>
      <c r="C19" s="4">
        <v>3561</v>
      </c>
      <c r="D19" s="4">
        <v>4551</v>
      </c>
      <c r="E19" s="4">
        <v>9082</v>
      </c>
      <c r="F19" s="4">
        <v>13149</v>
      </c>
      <c r="G19" s="4">
        <v>2607</v>
      </c>
      <c r="H19" s="4">
        <v>3507</v>
      </c>
      <c r="I19" s="4">
        <v>4797</v>
      </c>
      <c r="J19" s="4">
        <v>6466</v>
      </c>
      <c r="K19" s="4">
        <v>20595</v>
      </c>
      <c r="L19" s="4">
        <v>24206</v>
      </c>
      <c r="M19" s="4">
        <v>3799</v>
      </c>
      <c r="N19" s="4">
        <v>5124</v>
      </c>
      <c r="O19" s="4">
        <v>6335</v>
      </c>
      <c r="P19" s="4">
        <v>8899</v>
      </c>
      <c r="Q19" s="4">
        <v>60942</v>
      </c>
      <c r="R19" s="4">
        <v>76619</v>
      </c>
      <c r="S19" s="4">
        <v>5429</v>
      </c>
      <c r="T19" s="4">
        <v>7054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</row>
    <row r="20" spans="1:56">
      <c r="A20" s="4" t="s">
        <v>166</v>
      </c>
      <c r="B20" s="4" t="s">
        <v>43</v>
      </c>
      <c r="C20" s="4">
        <v>1600</v>
      </c>
      <c r="D20" s="4">
        <v>1967</v>
      </c>
      <c r="E20" s="4">
        <v>4214</v>
      </c>
      <c r="F20" s="4">
        <v>5500</v>
      </c>
      <c r="G20" s="4">
        <v>1248</v>
      </c>
      <c r="H20" s="4">
        <v>1523</v>
      </c>
      <c r="I20" s="4">
        <v>2167</v>
      </c>
      <c r="J20" s="4">
        <v>2797</v>
      </c>
      <c r="K20" s="4">
        <v>8166</v>
      </c>
      <c r="L20" s="4">
        <v>8945</v>
      </c>
      <c r="M20" s="4">
        <v>1804</v>
      </c>
      <c r="N20" s="4">
        <v>2281</v>
      </c>
      <c r="O20" s="4">
        <v>2959</v>
      </c>
      <c r="P20" s="4">
        <v>3635</v>
      </c>
      <c r="Q20" s="4">
        <v>28972</v>
      </c>
      <c r="R20" s="4">
        <v>29532</v>
      </c>
      <c r="S20" s="4">
        <v>2461</v>
      </c>
      <c r="T20" s="4">
        <v>2918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</row>
    <row r="21" spans="1:56">
      <c r="A21" s="4" t="s">
        <v>166</v>
      </c>
      <c r="B21" s="4" t="s">
        <v>28</v>
      </c>
      <c r="C21" s="4">
        <v>1065</v>
      </c>
      <c r="D21" s="4">
        <v>1173</v>
      </c>
      <c r="E21" s="4">
        <v>3520</v>
      </c>
      <c r="F21" s="4">
        <v>4069</v>
      </c>
      <c r="G21" s="4">
        <v>843</v>
      </c>
      <c r="H21" s="4">
        <v>896</v>
      </c>
      <c r="I21" s="4">
        <v>1516</v>
      </c>
      <c r="J21" s="4">
        <v>1523</v>
      </c>
      <c r="K21" s="4">
        <v>6783</v>
      </c>
      <c r="L21" s="4">
        <v>6885</v>
      </c>
      <c r="M21" s="4">
        <v>1212</v>
      </c>
      <c r="N21" s="4">
        <v>1312</v>
      </c>
      <c r="O21" s="4">
        <v>1989</v>
      </c>
      <c r="P21" s="4">
        <v>2172</v>
      </c>
      <c r="Q21" s="4">
        <v>20775</v>
      </c>
      <c r="R21" s="4">
        <v>21465</v>
      </c>
      <c r="S21" s="4">
        <v>1668</v>
      </c>
      <c r="T21" s="4">
        <v>1726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</row>
    <row r="22" spans="1:56">
      <c r="A22" s="4" t="s">
        <v>166</v>
      </c>
      <c r="B22" s="4" t="s">
        <v>40</v>
      </c>
      <c r="C22" s="4">
        <v>22</v>
      </c>
      <c r="D22" s="4">
        <v>21</v>
      </c>
      <c r="E22" s="4">
        <v>207</v>
      </c>
      <c r="F22" s="4">
        <v>208</v>
      </c>
      <c r="G22" s="4">
        <v>16</v>
      </c>
      <c r="H22" s="4">
        <v>17</v>
      </c>
      <c r="I22" s="4">
        <v>26</v>
      </c>
      <c r="J22" s="4">
        <v>26</v>
      </c>
      <c r="K22" s="4">
        <v>232</v>
      </c>
      <c r="L22" s="4">
        <v>236</v>
      </c>
      <c r="M22" s="4">
        <v>21</v>
      </c>
      <c r="N22" s="4">
        <v>35</v>
      </c>
      <c r="O22" s="4">
        <v>32</v>
      </c>
      <c r="P22" s="4">
        <v>58</v>
      </c>
      <c r="Q22" s="4">
        <v>508</v>
      </c>
      <c r="R22" s="4">
        <v>508</v>
      </c>
      <c r="S22" s="4">
        <v>35</v>
      </c>
      <c r="T22" s="4">
        <v>25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</row>
    <row r="23" spans="1:56">
      <c r="A23" s="4" t="s">
        <v>167</v>
      </c>
      <c r="B23" s="4" t="s">
        <v>56</v>
      </c>
      <c r="C23" s="4">
        <v>3675</v>
      </c>
      <c r="D23" s="4">
        <v>3805</v>
      </c>
      <c r="E23" s="4">
        <v>18964</v>
      </c>
      <c r="F23" s="4">
        <v>18492</v>
      </c>
      <c r="G23" s="4">
        <v>2790</v>
      </c>
      <c r="H23" s="4">
        <v>2967</v>
      </c>
      <c r="I23" s="4">
        <v>4409</v>
      </c>
      <c r="J23" s="4">
        <v>4764</v>
      </c>
      <c r="K23" s="4">
        <v>37194</v>
      </c>
      <c r="L23" s="4">
        <v>36561</v>
      </c>
      <c r="M23" s="4">
        <v>3496</v>
      </c>
      <c r="N23" s="4">
        <v>3730</v>
      </c>
      <c r="O23" s="4">
        <v>5166</v>
      </c>
      <c r="P23" s="4">
        <v>5548</v>
      </c>
      <c r="Q23" s="4">
        <v>105379</v>
      </c>
      <c r="R23" s="4">
        <v>109562</v>
      </c>
      <c r="S23" s="4">
        <v>4272</v>
      </c>
      <c r="T23" s="4">
        <v>4786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</row>
    <row r="24" spans="1:56">
      <c r="A24" s="4" t="s">
        <v>167</v>
      </c>
      <c r="B24" s="4" t="s">
        <v>18</v>
      </c>
      <c r="C24" s="4">
        <v>1724</v>
      </c>
      <c r="D24" s="4">
        <v>1674</v>
      </c>
      <c r="E24" s="4">
        <v>7750</v>
      </c>
      <c r="F24" s="4">
        <v>7749</v>
      </c>
      <c r="G24" s="4">
        <v>1200</v>
      </c>
      <c r="H24" s="4">
        <v>1298</v>
      </c>
      <c r="I24" s="4">
        <v>1868</v>
      </c>
      <c r="J24" s="4">
        <v>2077</v>
      </c>
      <c r="K24" s="4">
        <v>17976</v>
      </c>
      <c r="L24" s="4">
        <v>14261</v>
      </c>
      <c r="M24" s="4">
        <v>1511</v>
      </c>
      <c r="N24" s="4">
        <v>1708</v>
      </c>
      <c r="O24" s="4">
        <v>2196</v>
      </c>
      <c r="P24" s="4">
        <v>2353</v>
      </c>
      <c r="Q24" s="4">
        <v>44359</v>
      </c>
      <c r="R24" s="4">
        <v>42713</v>
      </c>
      <c r="S24" s="4">
        <v>1900</v>
      </c>
      <c r="T24" s="4">
        <v>1997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</row>
    <row r="25" spans="1:56">
      <c r="A25" s="4" t="s">
        <v>167</v>
      </c>
      <c r="B25" s="4" t="s">
        <v>27</v>
      </c>
      <c r="C25" s="4">
        <v>1056</v>
      </c>
      <c r="D25" s="4">
        <v>1069</v>
      </c>
      <c r="E25" s="4">
        <v>5139</v>
      </c>
      <c r="F25" s="4">
        <v>5072</v>
      </c>
      <c r="G25" s="4">
        <v>793</v>
      </c>
      <c r="H25" s="4">
        <v>827</v>
      </c>
      <c r="I25" s="4">
        <v>1166</v>
      </c>
      <c r="J25" s="4">
        <v>1324</v>
      </c>
      <c r="K25" s="4">
        <v>8377</v>
      </c>
      <c r="L25" s="4">
        <v>7992</v>
      </c>
      <c r="M25" s="4">
        <v>1026</v>
      </c>
      <c r="N25" s="4">
        <v>1044</v>
      </c>
      <c r="O25" s="4">
        <v>1457</v>
      </c>
      <c r="P25" s="4">
        <v>1563</v>
      </c>
      <c r="Q25" s="4">
        <v>25981</v>
      </c>
      <c r="R25" s="4">
        <v>26067</v>
      </c>
      <c r="S25" s="4">
        <v>1196</v>
      </c>
      <c r="T25" s="4">
        <v>1246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</row>
    <row r="26" spans="1:56">
      <c r="A26" s="4" t="s">
        <v>167</v>
      </c>
      <c r="B26" s="4" t="s">
        <v>69</v>
      </c>
      <c r="C26" s="4">
        <v>1023</v>
      </c>
      <c r="D26" s="4">
        <v>1045</v>
      </c>
      <c r="E26" s="4">
        <v>4365</v>
      </c>
      <c r="F26" s="4">
        <v>3235</v>
      </c>
      <c r="G26" s="4">
        <v>762</v>
      </c>
      <c r="H26" s="4">
        <v>753</v>
      </c>
      <c r="I26" s="4">
        <v>1465</v>
      </c>
      <c r="J26" s="4">
        <v>1494</v>
      </c>
      <c r="K26" s="4">
        <v>5390</v>
      </c>
      <c r="L26" s="4">
        <v>5625</v>
      </c>
      <c r="M26" s="4">
        <v>1141</v>
      </c>
      <c r="N26" s="4">
        <v>1176</v>
      </c>
      <c r="O26" s="4">
        <v>2217</v>
      </c>
      <c r="P26" s="4">
        <v>2035</v>
      </c>
      <c r="Q26" s="4">
        <v>13153</v>
      </c>
      <c r="R26" s="4">
        <v>13968</v>
      </c>
      <c r="S26" s="4">
        <v>1648</v>
      </c>
      <c r="T26" s="4">
        <v>1567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spans="1:56">
      <c r="A27" s="4" t="s">
        <v>167</v>
      </c>
      <c r="B27" s="4" t="s">
        <v>71</v>
      </c>
      <c r="C27" s="4">
        <v>1012</v>
      </c>
      <c r="D27" s="4">
        <v>1038</v>
      </c>
      <c r="E27" s="4">
        <v>3267</v>
      </c>
      <c r="F27" s="4">
        <v>3968</v>
      </c>
      <c r="G27" s="4">
        <v>824</v>
      </c>
      <c r="H27" s="4">
        <v>914</v>
      </c>
      <c r="I27" s="4">
        <v>1188</v>
      </c>
      <c r="J27" s="4">
        <v>1239</v>
      </c>
      <c r="K27" s="4">
        <v>6057</v>
      </c>
      <c r="L27" s="4">
        <v>5643</v>
      </c>
      <c r="M27" s="4">
        <v>980</v>
      </c>
      <c r="N27" s="4">
        <v>1072</v>
      </c>
      <c r="O27" s="4">
        <v>1430</v>
      </c>
      <c r="P27" s="4">
        <v>1459</v>
      </c>
      <c r="Q27" s="4">
        <v>18038</v>
      </c>
      <c r="R27" s="4">
        <v>19721</v>
      </c>
      <c r="S27" s="4">
        <v>1170</v>
      </c>
      <c r="T27" s="4">
        <v>1206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</row>
    <row r="28" spans="1:56">
      <c r="A28" s="4" t="s">
        <v>167</v>
      </c>
      <c r="B28" s="4" t="s">
        <v>22</v>
      </c>
      <c r="C28" s="4">
        <v>411</v>
      </c>
      <c r="D28" s="4">
        <v>893</v>
      </c>
      <c r="E28" s="4">
        <v>2566</v>
      </c>
      <c r="F28" s="4">
        <v>3231</v>
      </c>
      <c r="G28" s="4">
        <v>321</v>
      </c>
      <c r="H28" s="4">
        <v>687</v>
      </c>
      <c r="I28" s="4">
        <v>481</v>
      </c>
      <c r="J28" s="4">
        <v>1069</v>
      </c>
      <c r="K28" s="4">
        <v>3841</v>
      </c>
      <c r="L28" s="4">
        <v>5500</v>
      </c>
      <c r="M28" s="4">
        <v>454</v>
      </c>
      <c r="N28" s="4">
        <v>853</v>
      </c>
      <c r="O28" s="4">
        <v>576</v>
      </c>
      <c r="P28" s="4">
        <v>1348</v>
      </c>
      <c r="Q28" s="4">
        <v>11587</v>
      </c>
      <c r="R28" s="4">
        <v>15345</v>
      </c>
      <c r="S28" s="4">
        <v>481</v>
      </c>
      <c r="T28" s="4">
        <v>1079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</row>
    <row r="29" spans="1:56">
      <c r="A29" s="4" t="s">
        <v>167</v>
      </c>
      <c r="B29" s="4" t="s">
        <v>94</v>
      </c>
      <c r="C29" s="4">
        <v>26</v>
      </c>
      <c r="D29" s="4">
        <v>27</v>
      </c>
      <c r="E29" s="4">
        <v>148</v>
      </c>
      <c r="F29" s="4">
        <v>142</v>
      </c>
      <c r="G29" s="4">
        <v>36</v>
      </c>
      <c r="H29" s="4">
        <v>24</v>
      </c>
      <c r="I29" s="4">
        <v>35</v>
      </c>
      <c r="J29" s="4">
        <v>35</v>
      </c>
      <c r="K29" s="4">
        <v>247</v>
      </c>
      <c r="L29" s="4">
        <v>262</v>
      </c>
      <c r="M29" s="4">
        <v>28</v>
      </c>
      <c r="N29" s="4">
        <v>28</v>
      </c>
      <c r="O29" s="4">
        <v>45</v>
      </c>
      <c r="P29" s="4">
        <v>43</v>
      </c>
      <c r="Q29" s="4">
        <v>546</v>
      </c>
      <c r="R29" s="4">
        <v>548</v>
      </c>
      <c r="S29" s="4">
        <v>33</v>
      </c>
      <c r="T29" s="4">
        <v>33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56">
      <c r="A30" s="4" t="s">
        <v>167</v>
      </c>
      <c r="B30" s="4" t="s">
        <v>20</v>
      </c>
      <c r="C30" s="4">
        <v>983</v>
      </c>
      <c r="D30" s="4">
        <v>1385</v>
      </c>
      <c r="E30" s="4">
        <v>3290</v>
      </c>
      <c r="F30" s="4">
        <v>4469</v>
      </c>
      <c r="G30" s="4">
        <v>796</v>
      </c>
      <c r="H30" s="4">
        <v>1423</v>
      </c>
      <c r="I30" s="4">
        <v>1193</v>
      </c>
      <c r="J30" s="4">
        <v>1263</v>
      </c>
      <c r="K30" s="4">
        <v>6069</v>
      </c>
      <c r="L30" s="4">
        <v>5971</v>
      </c>
      <c r="M30" s="4">
        <v>984</v>
      </c>
      <c r="N30" s="4">
        <v>1021</v>
      </c>
      <c r="O30" s="4">
        <v>1394</v>
      </c>
      <c r="P30" s="4">
        <v>1478</v>
      </c>
      <c r="Q30" s="4">
        <v>18341</v>
      </c>
      <c r="R30" s="4">
        <v>22019</v>
      </c>
      <c r="S30" s="4">
        <v>1216</v>
      </c>
      <c r="T30" s="4">
        <v>1228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spans="1:56">
      <c r="A31" s="4" t="s">
        <v>167</v>
      </c>
      <c r="B31" s="4" t="s">
        <v>24</v>
      </c>
      <c r="C31" s="4">
        <v>401</v>
      </c>
      <c r="D31" s="4">
        <v>781</v>
      </c>
      <c r="E31" s="4">
        <v>2481</v>
      </c>
      <c r="F31" s="4">
        <v>3201</v>
      </c>
      <c r="G31" s="4">
        <v>325</v>
      </c>
      <c r="H31" s="4">
        <v>607</v>
      </c>
      <c r="I31" s="4">
        <v>513</v>
      </c>
      <c r="J31" s="4">
        <v>930</v>
      </c>
      <c r="K31" s="4">
        <v>3955</v>
      </c>
      <c r="L31" s="4">
        <v>4955</v>
      </c>
      <c r="M31" s="4">
        <v>387</v>
      </c>
      <c r="N31" s="4">
        <v>739</v>
      </c>
      <c r="O31" s="4">
        <v>777</v>
      </c>
      <c r="P31" s="4">
        <v>1094</v>
      </c>
      <c r="Q31" s="4">
        <v>10963</v>
      </c>
      <c r="R31" s="4">
        <v>14017</v>
      </c>
      <c r="S31" s="4">
        <v>460</v>
      </c>
      <c r="T31" s="4">
        <v>894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</row>
    <row r="32" spans="1:56">
      <c r="A32" s="4" t="s">
        <v>167</v>
      </c>
      <c r="B32" s="4" t="s">
        <v>26</v>
      </c>
      <c r="C32" s="4">
        <v>26</v>
      </c>
      <c r="D32" s="4">
        <v>33</v>
      </c>
      <c r="E32" s="4">
        <v>136</v>
      </c>
      <c r="F32" s="4">
        <v>143</v>
      </c>
      <c r="G32" s="4">
        <v>33</v>
      </c>
      <c r="H32" s="4">
        <v>24</v>
      </c>
      <c r="I32" s="4">
        <v>29</v>
      </c>
      <c r="J32" s="4">
        <v>37</v>
      </c>
      <c r="K32" s="4">
        <v>277</v>
      </c>
      <c r="L32" s="4">
        <v>287</v>
      </c>
      <c r="M32" s="4">
        <v>24</v>
      </c>
      <c r="N32" s="4">
        <v>30</v>
      </c>
      <c r="O32" s="4">
        <v>41</v>
      </c>
      <c r="P32" s="4">
        <v>82</v>
      </c>
      <c r="Q32" s="4">
        <v>581</v>
      </c>
      <c r="R32" s="4">
        <v>619</v>
      </c>
      <c r="S32" s="4">
        <v>31</v>
      </c>
      <c r="T32" s="4">
        <v>39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</row>
    <row r="33" spans="1:56">
      <c r="A33" s="4" t="s">
        <v>167</v>
      </c>
      <c r="B33" s="4" t="s">
        <v>104</v>
      </c>
      <c r="C33" s="4">
        <v>51</v>
      </c>
      <c r="D33" s="4">
        <v>42</v>
      </c>
      <c r="E33" s="4">
        <v>261</v>
      </c>
      <c r="F33" s="4">
        <v>176</v>
      </c>
      <c r="G33" s="4">
        <v>31</v>
      </c>
      <c r="H33" s="4">
        <v>31</v>
      </c>
      <c r="I33" s="4">
        <v>84</v>
      </c>
      <c r="J33" s="4">
        <v>53</v>
      </c>
      <c r="K33" s="4">
        <v>326</v>
      </c>
      <c r="L33" s="4">
        <v>334</v>
      </c>
      <c r="M33" s="4">
        <v>41</v>
      </c>
      <c r="N33" s="4">
        <v>42</v>
      </c>
      <c r="O33" s="4">
        <v>74</v>
      </c>
      <c r="P33" s="4">
        <v>66</v>
      </c>
      <c r="Q33" s="4">
        <v>960</v>
      </c>
      <c r="R33" s="4">
        <v>576</v>
      </c>
      <c r="S33" s="4">
        <v>50</v>
      </c>
      <c r="T33" s="4">
        <v>50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1:56">
      <c r="A34" s="4" t="s">
        <v>168</v>
      </c>
      <c r="B34" s="4" t="s">
        <v>16</v>
      </c>
      <c r="C34" s="4">
        <v>712</v>
      </c>
      <c r="D34" s="4">
        <v>1131</v>
      </c>
      <c r="E34" s="4">
        <v>7583</v>
      </c>
      <c r="F34" s="4">
        <v>10287</v>
      </c>
      <c r="G34" s="4">
        <v>546</v>
      </c>
      <c r="H34" s="4">
        <v>865</v>
      </c>
      <c r="I34" s="4">
        <v>845</v>
      </c>
      <c r="J34" s="4">
        <v>1369</v>
      </c>
      <c r="K34" s="4">
        <v>10571</v>
      </c>
      <c r="L34" s="4">
        <v>16526</v>
      </c>
      <c r="M34" s="4">
        <v>679</v>
      </c>
      <c r="N34" s="4">
        <v>1112</v>
      </c>
      <c r="O34" s="4">
        <v>1153</v>
      </c>
      <c r="P34" s="4">
        <v>1622</v>
      </c>
      <c r="Q34" s="4">
        <v>30788</v>
      </c>
      <c r="R34" s="4">
        <v>50437</v>
      </c>
      <c r="S34" s="4">
        <v>818</v>
      </c>
      <c r="T34" s="4">
        <v>1360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</row>
    <row r="35" spans="1:56">
      <c r="A35" s="4" t="s">
        <v>168</v>
      </c>
      <c r="B35" s="4" t="s">
        <v>91</v>
      </c>
      <c r="C35" s="4">
        <v>1523</v>
      </c>
      <c r="D35" s="4">
        <v>1783</v>
      </c>
      <c r="E35" s="4">
        <v>5428</v>
      </c>
      <c r="F35" s="4">
        <v>6736</v>
      </c>
      <c r="G35" s="4">
        <v>1126</v>
      </c>
      <c r="H35" s="4">
        <v>1337</v>
      </c>
      <c r="I35" s="4">
        <v>1923</v>
      </c>
      <c r="J35" s="4">
        <v>2276</v>
      </c>
      <c r="K35" s="4">
        <v>9686</v>
      </c>
      <c r="L35" s="4">
        <v>10541</v>
      </c>
      <c r="M35" s="4">
        <v>1549</v>
      </c>
      <c r="N35" s="4">
        <v>1816</v>
      </c>
      <c r="O35" s="4">
        <v>2555</v>
      </c>
      <c r="P35" s="4">
        <v>2886</v>
      </c>
      <c r="Q35" s="4">
        <v>30723</v>
      </c>
      <c r="R35" s="4">
        <v>37829</v>
      </c>
      <c r="S35" s="4">
        <v>2115</v>
      </c>
      <c r="T35" s="4">
        <v>2372</v>
      </c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</row>
    <row r="36" spans="1:56">
      <c r="A36" s="4" t="s">
        <v>169</v>
      </c>
      <c r="B36" s="4" t="s">
        <v>64</v>
      </c>
      <c r="C36" s="4">
        <v>5264</v>
      </c>
      <c r="D36" s="4">
        <v>6613</v>
      </c>
      <c r="E36" s="4">
        <v>53582</v>
      </c>
      <c r="F36" s="4">
        <v>73514</v>
      </c>
      <c r="G36" s="4">
        <v>4192</v>
      </c>
      <c r="H36" s="4">
        <v>5317</v>
      </c>
      <c r="I36" s="4">
        <v>6548</v>
      </c>
      <c r="J36" s="4">
        <v>8472</v>
      </c>
      <c r="K36" s="4">
        <v>96908</v>
      </c>
      <c r="L36" s="4">
        <v>180818</v>
      </c>
      <c r="M36" s="4">
        <v>5531</v>
      </c>
      <c r="N36" s="4">
        <v>6722</v>
      </c>
      <c r="O36" s="4">
        <v>8347</v>
      </c>
      <c r="P36" s="4">
        <v>10412</v>
      </c>
      <c r="Q36" s="4">
        <v>320125</v>
      </c>
      <c r="R36" s="4">
        <v>528211</v>
      </c>
      <c r="S36" s="4">
        <v>6986</v>
      </c>
      <c r="T36" s="4">
        <v>8685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</row>
    <row r="37" spans="1:56">
      <c r="A37" s="4" t="s">
        <v>169</v>
      </c>
      <c r="B37" s="4" t="s">
        <v>25</v>
      </c>
      <c r="C37" s="4">
        <v>2797</v>
      </c>
      <c r="D37" s="4">
        <v>3051</v>
      </c>
      <c r="E37" s="4">
        <v>13529</v>
      </c>
      <c r="F37" s="4">
        <v>13542</v>
      </c>
      <c r="G37" s="4">
        <v>2145</v>
      </c>
      <c r="H37" s="4">
        <v>2398</v>
      </c>
      <c r="I37" s="4">
        <v>3727</v>
      </c>
      <c r="J37" s="4">
        <v>3958</v>
      </c>
      <c r="K37" s="4">
        <v>23352</v>
      </c>
      <c r="L37" s="4">
        <v>23955</v>
      </c>
      <c r="M37" s="4">
        <v>3034</v>
      </c>
      <c r="N37" s="4">
        <v>3326</v>
      </c>
      <c r="O37" s="4">
        <v>4818</v>
      </c>
      <c r="P37" s="4">
        <v>5392</v>
      </c>
      <c r="Q37" s="4">
        <v>82340</v>
      </c>
      <c r="R37" s="4">
        <v>84733</v>
      </c>
      <c r="S37" s="4">
        <v>3925</v>
      </c>
      <c r="T37" s="4">
        <v>4358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</row>
    <row r="38" spans="1:56">
      <c r="A38" s="4" t="s">
        <v>169</v>
      </c>
      <c r="B38" s="4" t="s">
        <v>36</v>
      </c>
      <c r="C38" s="4">
        <v>1635</v>
      </c>
      <c r="D38" s="4">
        <v>2967</v>
      </c>
      <c r="E38" s="4">
        <v>15436</v>
      </c>
      <c r="F38" s="4">
        <v>17075</v>
      </c>
      <c r="G38" s="4">
        <v>1249</v>
      </c>
      <c r="H38" s="4">
        <v>2323</v>
      </c>
      <c r="I38" s="4">
        <v>1932</v>
      </c>
      <c r="J38" s="4">
        <v>3697</v>
      </c>
      <c r="K38" s="4">
        <v>24889</v>
      </c>
      <c r="L38" s="4">
        <v>27724</v>
      </c>
      <c r="M38" s="4">
        <v>1750</v>
      </c>
      <c r="N38" s="4">
        <v>2905</v>
      </c>
      <c r="O38" s="4">
        <v>2410</v>
      </c>
      <c r="P38" s="4">
        <v>4135</v>
      </c>
      <c r="Q38" s="4">
        <v>75365</v>
      </c>
      <c r="R38" s="4">
        <v>87965</v>
      </c>
      <c r="S38" s="4">
        <v>1907</v>
      </c>
      <c r="T38" s="4">
        <v>3582</v>
      </c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</row>
    <row r="39" spans="1:56">
      <c r="A39" s="4" t="s">
        <v>169</v>
      </c>
      <c r="B39" s="4" t="s">
        <v>100</v>
      </c>
      <c r="C39" s="4">
        <v>1847</v>
      </c>
      <c r="D39" s="4">
        <v>2221</v>
      </c>
      <c r="E39" s="4">
        <v>8069</v>
      </c>
      <c r="F39" s="4">
        <v>6732</v>
      </c>
      <c r="G39" s="4">
        <v>1454</v>
      </c>
      <c r="H39" s="4">
        <v>1677</v>
      </c>
      <c r="I39" s="4">
        <v>2037</v>
      </c>
      <c r="J39" s="4">
        <v>2505</v>
      </c>
      <c r="K39" s="4">
        <v>11693</v>
      </c>
      <c r="L39" s="4">
        <v>10371</v>
      </c>
      <c r="M39" s="4">
        <v>1687</v>
      </c>
      <c r="N39" s="4">
        <v>1995</v>
      </c>
      <c r="O39" s="4">
        <v>2786</v>
      </c>
      <c r="P39" s="4">
        <v>3167</v>
      </c>
      <c r="Q39" s="4">
        <v>34121</v>
      </c>
      <c r="R39" s="4">
        <v>32896</v>
      </c>
      <c r="S39" s="4">
        <v>2062</v>
      </c>
      <c r="T39" s="4">
        <v>2526</v>
      </c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</row>
    <row r="40" spans="1:56">
      <c r="A40" s="4" t="s">
        <v>169</v>
      </c>
      <c r="B40" s="4" t="s">
        <v>66</v>
      </c>
      <c r="C40" s="4">
        <v>1533</v>
      </c>
      <c r="D40" s="4">
        <v>1886</v>
      </c>
      <c r="E40" s="4">
        <v>5788</v>
      </c>
      <c r="F40" s="4">
        <v>5284</v>
      </c>
      <c r="G40" s="4">
        <v>1222</v>
      </c>
      <c r="H40" s="4">
        <v>1458</v>
      </c>
      <c r="I40" s="4">
        <v>1905</v>
      </c>
      <c r="J40" s="4">
        <v>2325</v>
      </c>
      <c r="K40" s="4">
        <v>8585</v>
      </c>
      <c r="L40" s="4">
        <v>8999</v>
      </c>
      <c r="M40" s="4">
        <v>1585</v>
      </c>
      <c r="N40" s="4">
        <v>1923</v>
      </c>
      <c r="O40" s="4">
        <v>2435</v>
      </c>
      <c r="P40" s="4">
        <v>2827</v>
      </c>
      <c r="Q40" s="4">
        <v>25917</v>
      </c>
      <c r="R40" s="4">
        <v>25732</v>
      </c>
      <c r="S40" s="4">
        <v>2022</v>
      </c>
      <c r="T40" s="4">
        <v>2329</v>
      </c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spans="1:56">
      <c r="A41" s="4" t="s">
        <v>169</v>
      </c>
      <c r="B41" s="4" t="s">
        <v>60</v>
      </c>
      <c r="C41" s="4">
        <v>1201</v>
      </c>
      <c r="D41" s="4">
        <v>1566</v>
      </c>
      <c r="E41" s="4">
        <v>4078</v>
      </c>
      <c r="F41" s="4">
        <v>4370</v>
      </c>
      <c r="G41" s="4">
        <v>916</v>
      </c>
      <c r="H41" s="4">
        <v>1236</v>
      </c>
      <c r="I41" s="4">
        <v>1451</v>
      </c>
      <c r="J41" s="4">
        <v>2031</v>
      </c>
      <c r="K41" s="4">
        <v>6500</v>
      </c>
      <c r="L41" s="4">
        <v>7598</v>
      </c>
      <c r="M41" s="4">
        <v>1144</v>
      </c>
      <c r="N41" s="4">
        <v>1554</v>
      </c>
      <c r="O41" s="4">
        <v>1663</v>
      </c>
      <c r="P41" s="4">
        <v>2192</v>
      </c>
      <c r="Q41" s="4">
        <v>19483</v>
      </c>
      <c r="R41" s="4">
        <v>20011</v>
      </c>
      <c r="S41" s="4">
        <v>1376</v>
      </c>
      <c r="T41" s="4">
        <v>1789</v>
      </c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</row>
    <row r="42" spans="1:56">
      <c r="A42" s="4" t="s">
        <v>169</v>
      </c>
      <c r="B42" s="4" t="s">
        <v>12</v>
      </c>
      <c r="C42" s="4">
        <v>332</v>
      </c>
      <c r="D42" s="4">
        <v>336</v>
      </c>
      <c r="E42" s="4">
        <v>803</v>
      </c>
      <c r="F42" s="4">
        <v>838</v>
      </c>
      <c r="G42" s="4">
        <v>264</v>
      </c>
      <c r="H42" s="4">
        <v>268</v>
      </c>
      <c r="I42" s="4">
        <v>384</v>
      </c>
      <c r="J42" s="4">
        <v>454</v>
      </c>
      <c r="K42" s="4">
        <v>1100</v>
      </c>
      <c r="L42" s="4">
        <v>1471</v>
      </c>
      <c r="M42" s="4">
        <v>309</v>
      </c>
      <c r="N42" s="4">
        <v>319</v>
      </c>
      <c r="O42" s="4">
        <v>445</v>
      </c>
      <c r="P42" s="4">
        <v>470</v>
      </c>
      <c r="Q42" s="4">
        <v>3033</v>
      </c>
      <c r="R42" s="4">
        <v>3236</v>
      </c>
      <c r="S42" s="4">
        <v>375</v>
      </c>
      <c r="T42" s="4">
        <v>386</v>
      </c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</row>
    <row r="43" spans="1:56">
      <c r="A43" s="4" t="s">
        <v>183</v>
      </c>
      <c r="B43" s="4" t="s">
        <v>21</v>
      </c>
      <c r="C43" s="4">
        <v>6465</v>
      </c>
      <c r="D43" s="4">
        <v>8606</v>
      </c>
      <c r="E43" s="4">
        <v>26078</v>
      </c>
      <c r="F43" s="4">
        <v>29267</v>
      </c>
      <c r="G43" s="4">
        <v>4816</v>
      </c>
      <c r="H43" s="4">
        <v>6626</v>
      </c>
      <c r="I43" s="4">
        <v>9026</v>
      </c>
      <c r="J43" s="4">
        <v>12463</v>
      </c>
      <c r="K43" s="4">
        <v>46929</v>
      </c>
      <c r="L43" s="4">
        <v>56986</v>
      </c>
      <c r="M43" s="4">
        <v>7434</v>
      </c>
      <c r="N43" s="4">
        <v>9911</v>
      </c>
      <c r="O43" s="4">
        <v>13237</v>
      </c>
      <c r="P43" s="4">
        <v>18694</v>
      </c>
      <c r="Q43" s="4">
        <v>152266</v>
      </c>
      <c r="R43" s="4">
        <v>214767</v>
      </c>
      <c r="S43" s="4">
        <v>10624</v>
      </c>
      <c r="T43" s="4">
        <v>14989</v>
      </c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</row>
    <row r="44" spans="1:56">
      <c r="A44" s="4" t="s">
        <v>171</v>
      </c>
      <c r="B44" s="4" t="s">
        <v>44</v>
      </c>
      <c r="C44" s="4">
        <v>766</v>
      </c>
      <c r="D44" s="4">
        <v>687</v>
      </c>
      <c r="E44" s="4">
        <v>2372</v>
      </c>
      <c r="F44" s="4">
        <v>2094</v>
      </c>
      <c r="G44" s="4">
        <v>592</v>
      </c>
      <c r="H44" s="4">
        <v>577</v>
      </c>
      <c r="I44" s="4">
        <v>740</v>
      </c>
      <c r="J44" s="4">
        <v>806</v>
      </c>
      <c r="K44" s="4">
        <v>4034</v>
      </c>
      <c r="L44" s="4">
        <v>3126</v>
      </c>
      <c r="M44" s="4">
        <v>627</v>
      </c>
      <c r="N44" s="4">
        <v>686</v>
      </c>
      <c r="O44" s="4">
        <v>1110</v>
      </c>
      <c r="P44" s="4">
        <v>983</v>
      </c>
      <c r="Q44" s="4">
        <v>11781</v>
      </c>
      <c r="R44" s="4">
        <v>9856</v>
      </c>
      <c r="S44" s="4">
        <v>838</v>
      </c>
      <c r="T44" s="4">
        <v>800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spans="1:56">
      <c r="A45" s="4" t="s">
        <v>170</v>
      </c>
      <c r="B45" s="4" t="s">
        <v>5</v>
      </c>
      <c r="C45" s="4">
        <v>262</v>
      </c>
      <c r="D45" s="4">
        <v>261</v>
      </c>
      <c r="E45" s="4">
        <v>1242</v>
      </c>
      <c r="F45" s="4">
        <v>1047</v>
      </c>
      <c r="G45" s="4">
        <v>268</v>
      </c>
      <c r="H45" s="4">
        <v>209</v>
      </c>
      <c r="I45" s="4">
        <v>317</v>
      </c>
      <c r="J45" s="4">
        <v>322</v>
      </c>
      <c r="K45" s="4">
        <v>2146</v>
      </c>
      <c r="L45" s="4">
        <v>1810</v>
      </c>
      <c r="M45" s="4">
        <v>271</v>
      </c>
      <c r="N45" s="4">
        <v>265</v>
      </c>
      <c r="O45" s="4">
        <v>376</v>
      </c>
      <c r="P45" s="4">
        <v>378</v>
      </c>
      <c r="Q45" s="4">
        <v>5507</v>
      </c>
      <c r="R45" s="4">
        <v>4726</v>
      </c>
      <c r="S45" s="4">
        <v>313</v>
      </c>
      <c r="T45" s="4">
        <v>319</v>
      </c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</row>
    <row r="46" spans="1:56">
      <c r="A46" s="4" t="s">
        <v>170</v>
      </c>
      <c r="B46" s="4" t="s">
        <v>62</v>
      </c>
      <c r="C46" s="4">
        <v>920</v>
      </c>
      <c r="D46" s="4">
        <v>11016</v>
      </c>
      <c r="E46" s="4">
        <v>3013</v>
      </c>
      <c r="F46" s="4">
        <v>10738</v>
      </c>
      <c r="G46" s="4">
        <v>904</v>
      </c>
      <c r="H46" s="4">
        <v>4828</v>
      </c>
      <c r="I46" s="4">
        <v>1041</v>
      </c>
      <c r="J46" s="4">
        <v>12070</v>
      </c>
      <c r="K46" s="4">
        <v>4911</v>
      </c>
      <c r="L46" s="4">
        <v>12519</v>
      </c>
      <c r="M46" s="4">
        <v>857</v>
      </c>
      <c r="N46" s="4">
        <v>7961</v>
      </c>
      <c r="O46" s="4">
        <v>1348</v>
      </c>
      <c r="P46" s="4">
        <v>13697</v>
      </c>
      <c r="Q46" s="4">
        <v>16760</v>
      </c>
      <c r="R46" s="4">
        <v>25010</v>
      </c>
      <c r="S46" s="4">
        <v>1129</v>
      </c>
      <c r="T46" s="4">
        <v>10004</v>
      </c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</row>
    <row r="47" spans="1:56">
      <c r="A47" s="4" t="s">
        <v>170</v>
      </c>
      <c r="B47" s="4" t="s">
        <v>6</v>
      </c>
      <c r="C47" s="4">
        <v>998</v>
      </c>
      <c r="D47" s="4">
        <v>3681</v>
      </c>
      <c r="E47" s="4">
        <v>3622</v>
      </c>
      <c r="F47" s="4">
        <v>72356</v>
      </c>
      <c r="G47" s="4">
        <v>771</v>
      </c>
      <c r="H47" s="4">
        <v>2491</v>
      </c>
      <c r="I47" s="4">
        <v>1391</v>
      </c>
      <c r="J47" s="4">
        <v>0</v>
      </c>
      <c r="K47" s="4">
        <v>7081</v>
      </c>
      <c r="L47" s="4">
        <v>21815</v>
      </c>
      <c r="M47" s="4">
        <v>1114</v>
      </c>
      <c r="N47" s="4">
        <v>3360</v>
      </c>
      <c r="O47" s="4">
        <v>2068</v>
      </c>
      <c r="P47" s="4">
        <v>0</v>
      </c>
      <c r="Q47" s="4">
        <v>29427</v>
      </c>
      <c r="R47" s="4">
        <v>24406</v>
      </c>
      <c r="S47" s="4">
        <v>1631</v>
      </c>
      <c r="T47" s="4">
        <v>34685</v>
      </c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</row>
    <row r="48" spans="1:56">
      <c r="A48" s="4" t="s">
        <v>170</v>
      </c>
      <c r="B48" s="4" t="s">
        <v>82</v>
      </c>
      <c r="C48" s="4">
        <v>25</v>
      </c>
      <c r="D48" s="4">
        <v>25</v>
      </c>
      <c r="E48" s="4">
        <v>98</v>
      </c>
      <c r="F48" s="4">
        <v>97</v>
      </c>
      <c r="G48" s="4">
        <v>24</v>
      </c>
      <c r="H48" s="4">
        <v>21</v>
      </c>
      <c r="I48" s="4">
        <v>33</v>
      </c>
      <c r="J48" s="4">
        <v>31</v>
      </c>
      <c r="K48" s="4">
        <v>146</v>
      </c>
      <c r="L48" s="4">
        <v>146</v>
      </c>
      <c r="M48" s="4">
        <v>25</v>
      </c>
      <c r="N48" s="4">
        <v>26</v>
      </c>
      <c r="O48" s="4">
        <v>37</v>
      </c>
      <c r="P48" s="4">
        <v>38</v>
      </c>
      <c r="Q48" s="4">
        <v>364</v>
      </c>
      <c r="R48" s="4">
        <v>377</v>
      </c>
      <c r="S48" s="4">
        <v>30</v>
      </c>
      <c r="T48" s="4">
        <v>31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</row>
    <row r="49" spans="1:56">
      <c r="A49" s="4" t="s">
        <v>170</v>
      </c>
      <c r="B49" s="4" t="s">
        <v>92</v>
      </c>
      <c r="C49" s="4">
        <v>13</v>
      </c>
      <c r="D49" s="4">
        <v>13</v>
      </c>
      <c r="E49" s="4">
        <v>24</v>
      </c>
      <c r="F49" s="4">
        <v>27</v>
      </c>
      <c r="G49" s="4">
        <v>13</v>
      </c>
      <c r="H49" s="4">
        <v>11</v>
      </c>
      <c r="I49" s="4">
        <v>17</v>
      </c>
      <c r="J49" s="4">
        <v>16</v>
      </c>
      <c r="K49" s="4">
        <v>17</v>
      </c>
      <c r="L49" s="4">
        <v>17</v>
      </c>
      <c r="M49" s="4">
        <v>15</v>
      </c>
      <c r="N49" s="4">
        <v>17</v>
      </c>
      <c r="O49" s="4">
        <v>18</v>
      </c>
      <c r="P49" s="4">
        <v>18</v>
      </c>
      <c r="Q49" s="4">
        <v>23</v>
      </c>
      <c r="R49" s="4">
        <v>23</v>
      </c>
      <c r="S49" s="4">
        <v>15</v>
      </c>
      <c r="T49" s="4">
        <v>15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</row>
    <row r="50" spans="1:56">
      <c r="A50" s="4" t="s">
        <v>170</v>
      </c>
      <c r="B50" s="4" t="s">
        <v>53</v>
      </c>
      <c r="C50" s="4">
        <v>1134</v>
      </c>
      <c r="D50" s="4">
        <v>36666</v>
      </c>
      <c r="E50" s="4">
        <v>3099</v>
      </c>
      <c r="F50" s="4">
        <v>30723</v>
      </c>
      <c r="G50" s="4">
        <v>866</v>
      </c>
      <c r="H50" s="4">
        <v>32717</v>
      </c>
      <c r="I50" s="4">
        <v>1509</v>
      </c>
      <c r="J50" s="4">
        <v>42615</v>
      </c>
      <c r="K50" s="4">
        <v>4766</v>
      </c>
      <c r="L50" s="4">
        <v>52812</v>
      </c>
      <c r="M50" s="4">
        <v>1180</v>
      </c>
      <c r="N50" s="4">
        <v>43372</v>
      </c>
      <c r="O50" s="4">
        <v>1953</v>
      </c>
      <c r="P50" s="4">
        <v>58847</v>
      </c>
      <c r="Q50" s="4">
        <v>13313</v>
      </c>
      <c r="R50" s="4">
        <v>65940</v>
      </c>
      <c r="S50" s="4">
        <v>1641</v>
      </c>
      <c r="T50" s="4">
        <v>39925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</row>
    <row r="51" spans="1:56">
      <c r="A51" s="4" t="s">
        <v>170</v>
      </c>
      <c r="B51" s="4" t="s">
        <v>11</v>
      </c>
      <c r="C51" s="4">
        <v>75</v>
      </c>
      <c r="D51" s="4">
        <v>76</v>
      </c>
      <c r="E51" s="4">
        <v>317</v>
      </c>
      <c r="F51" s="4">
        <v>299</v>
      </c>
      <c r="G51" s="4">
        <v>93</v>
      </c>
      <c r="H51" s="4">
        <v>61</v>
      </c>
      <c r="I51" s="4">
        <v>86</v>
      </c>
      <c r="J51" s="4">
        <v>95</v>
      </c>
      <c r="K51" s="4">
        <v>484</v>
      </c>
      <c r="L51" s="4">
        <v>453</v>
      </c>
      <c r="M51" s="4">
        <v>71</v>
      </c>
      <c r="N51" s="4">
        <v>76</v>
      </c>
      <c r="O51" s="4">
        <v>101</v>
      </c>
      <c r="P51" s="4">
        <v>111</v>
      </c>
      <c r="Q51" s="4">
        <v>1257</v>
      </c>
      <c r="R51" s="4">
        <v>1126</v>
      </c>
      <c r="S51" s="4">
        <v>81</v>
      </c>
      <c r="T51" s="4">
        <v>89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</row>
    <row r="52" spans="1:56">
      <c r="A52" s="4" t="s">
        <v>170</v>
      </c>
      <c r="B52" s="4" t="s">
        <v>84</v>
      </c>
      <c r="C52" s="4">
        <v>597</v>
      </c>
      <c r="D52" s="4">
        <v>2046</v>
      </c>
      <c r="E52" s="4">
        <v>2035</v>
      </c>
      <c r="F52" s="4">
        <v>5564</v>
      </c>
      <c r="G52" s="4">
        <v>658</v>
      </c>
      <c r="H52" s="4">
        <v>1715</v>
      </c>
      <c r="I52" s="4">
        <v>628</v>
      </c>
      <c r="J52" s="4">
        <v>3041</v>
      </c>
      <c r="K52" s="4">
        <v>3220</v>
      </c>
      <c r="L52" s="4">
        <v>7598</v>
      </c>
      <c r="M52" s="4">
        <v>551</v>
      </c>
      <c r="N52" s="4">
        <v>2185</v>
      </c>
      <c r="O52" s="4">
        <v>840</v>
      </c>
      <c r="P52" s="4">
        <v>3128</v>
      </c>
      <c r="Q52" s="4">
        <v>10733</v>
      </c>
      <c r="R52" s="4">
        <v>12610</v>
      </c>
      <c r="S52" s="4">
        <v>702</v>
      </c>
      <c r="T52" s="4">
        <v>1979</v>
      </c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</row>
    <row r="53" spans="1:56">
      <c r="A53" s="4" t="s">
        <v>182</v>
      </c>
      <c r="B53" s="4" t="s">
        <v>50</v>
      </c>
      <c r="C53" s="4">
        <v>599</v>
      </c>
      <c r="D53" s="4">
        <v>701</v>
      </c>
      <c r="E53" s="4">
        <v>1850</v>
      </c>
      <c r="F53" s="4">
        <v>2114</v>
      </c>
      <c r="G53" s="4">
        <v>464</v>
      </c>
      <c r="H53" s="4">
        <v>597</v>
      </c>
      <c r="I53" s="4">
        <v>749</v>
      </c>
      <c r="J53" s="4">
        <v>940</v>
      </c>
      <c r="K53" s="4">
        <v>3124</v>
      </c>
      <c r="L53" s="4">
        <v>4141</v>
      </c>
      <c r="M53" s="4">
        <v>862</v>
      </c>
      <c r="N53" s="4">
        <v>780</v>
      </c>
      <c r="O53" s="4">
        <v>1057</v>
      </c>
      <c r="P53" s="4">
        <v>1262</v>
      </c>
      <c r="Q53" s="4">
        <v>9121</v>
      </c>
      <c r="R53" s="4">
        <v>10011</v>
      </c>
      <c r="S53" s="4">
        <v>787</v>
      </c>
      <c r="T53" s="4">
        <v>954</v>
      </c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</row>
    <row r="54" spans="1:56">
      <c r="A54" s="4" t="s">
        <v>182</v>
      </c>
      <c r="B54" s="4" t="s">
        <v>47</v>
      </c>
      <c r="C54" s="4">
        <v>1494</v>
      </c>
      <c r="D54" s="4">
        <v>625602</v>
      </c>
      <c r="E54" s="4">
        <v>3346</v>
      </c>
      <c r="F54" s="4">
        <v>667540</v>
      </c>
      <c r="G54" s="4">
        <v>1138</v>
      </c>
      <c r="H54" s="4">
        <v>476820</v>
      </c>
      <c r="I54" s="4">
        <v>1879</v>
      </c>
      <c r="J54" s="4">
        <v>913226</v>
      </c>
      <c r="K54" s="4">
        <v>5102</v>
      </c>
      <c r="L54" s="4">
        <v>868041</v>
      </c>
      <c r="M54" s="4">
        <v>1569</v>
      </c>
      <c r="N54" s="4">
        <v>721319</v>
      </c>
      <c r="O54" s="4">
        <v>2695</v>
      </c>
      <c r="P54" s="4">
        <v>975532</v>
      </c>
      <c r="Q54" s="4">
        <v>14323</v>
      </c>
      <c r="R54" s="4">
        <v>1140201</v>
      </c>
      <c r="S54" s="4">
        <v>2293</v>
      </c>
      <c r="T54" s="4">
        <v>850395</v>
      </c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spans="1:56">
      <c r="A55" s="4" t="s">
        <v>182</v>
      </c>
      <c r="B55" s="4" t="s">
        <v>57</v>
      </c>
      <c r="C55" s="4">
        <v>206</v>
      </c>
      <c r="D55" s="4">
        <v>170</v>
      </c>
      <c r="E55" s="4">
        <v>517</v>
      </c>
      <c r="F55" s="4">
        <v>468</v>
      </c>
      <c r="G55" s="4">
        <v>151</v>
      </c>
      <c r="H55" s="4">
        <v>130</v>
      </c>
      <c r="I55" s="4">
        <v>300</v>
      </c>
      <c r="J55" s="4">
        <v>367</v>
      </c>
      <c r="K55" s="4">
        <v>913</v>
      </c>
      <c r="L55" s="4">
        <v>913</v>
      </c>
      <c r="M55" s="4">
        <v>235</v>
      </c>
      <c r="N55" s="4">
        <v>245</v>
      </c>
      <c r="O55" s="4">
        <v>598</v>
      </c>
      <c r="P55" s="4">
        <v>353</v>
      </c>
      <c r="Q55" s="4">
        <v>1428</v>
      </c>
      <c r="R55" s="4">
        <v>1363</v>
      </c>
      <c r="S55" s="4">
        <v>295</v>
      </c>
      <c r="T55" s="4">
        <v>264</v>
      </c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</row>
    <row r="56" spans="1:56">
      <c r="A56" s="4" t="s">
        <v>182</v>
      </c>
      <c r="B56" s="4" t="s">
        <v>95</v>
      </c>
      <c r="C56" s="4">
        <v>92</v>
      </c>
      <c r="D56" s="4">
        <v>154</v>
      </c>
      <c r="E56" s="4">
        <v>437</v>
      </c>
      <c r="F56" s="4">
        <v>638</v>
      </c>
      <c r="G56" s="4">
        <v>71</v>
      </c>
      <c r="H56" s="4">
        <v>117</v>
      </c>
      <c r="I56" s="4">
        <v>117</v>
      </c>
      <c r="J56" s="4">
        <v>195</v>
      </c>
      <c r="K56" s="4">
        <v>744</v>
      </c>
      <c r="L56" s="4">
        <v>1012</v>
      </c>
      <c r="M56" s="4">
        <v>93</v>
      </c>
      <c r="N56" s="4">
        <v>153</v>
      </c>
      <c r="O56" s="4">
        <v>227</v>
      </c>
      <c r="P56" s="4">
        <v>233</v>
      </c>
      <c r="Q56" s="4">
        <v>1655</v>
      </c>
      <c r="R56" s="4">
        <v>2758</v>
      </c>
      <c r="S56" s="4">
        <v>107</v>
      </c>
      <c r="T56" s="4">
        <v>167</v>
      </c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</row>
    <row r="57" spans="1:56">
      <c r="A57" s="4" t="s">
        <v>182</v>
      </c>
      <c r="B57" s="4" t="s">
        <v>41</v>
      </c>
      <c r="C57" s="4">
        <v>167</v>
      </c>
      <c r="D57" s="4">
        <v>197</v>
      </c>
      <c r="E57" s="4">
        <v>490</v>
      </c>
      <c r="F57" s="4">
        <v>534</v>
      </c>
      <c r="G57" s="4">
        <v>153</v>
      </c>
      <c r="H57" s="4">
        <v>156</v>
      </c>
      <c r="I57" s="4">
        <v>282</v>
      </c>
      <c r="J57" s="4">
        <v>342</v>
      </c>
      <c r="K57" s="4">
        <v>1064</v>
      </c>
      <c r="L57" s="4">
        <v>839</v>
      </c>
      <c r="M57" s="4">
        <v>244</v>
      </c>
      <c r="N57" s="4">
        <v>338</v>
      </c>
      <c r="O57" s="4">
        <v>333</v>
      </c>
      <c r="P57" s="4">
        <v>395</v>
      </c>
      <c r="Q57" s="4">
        <v>1301</v>
      </c>
      <c r="R57" s="4">
        <v>1306</v>
      </c>
      <c r="S57" s="4">
        <v>257</v>
      </c>
      <c r="T57" s="4">
        <v>308</v>
      </c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</row>
    <row r="58" spans="1:56">
      <c r="A58" s="4" t="s">
        <v>182</v>
      </c>
      <c r="B58" s="4" t="s">
        <v>81</v>
      </c>
      <c r="C58" s="4">
        <v>906</v>
      </c>
      <c r="D58" s="4">
        <v>1067</v>
      </c>
      <c r="E58" s="4">
        <v>3841</v>
      </c>
      <c r="F58" s="4">
        <v>3006</v>
      </c>
      <c r="G58" s="4">
        <v>718</v>
      </c>
      <c r="H58" s="4">
        <v>868</v>
      </c>
      <c r="I58" s="4">
        <v>1000</v>
      </c>
      <c r="J58" s="4">
        <v>1231</v>
      </c>
      <c r="K58" s="4">
        <v>4954</v>
      </c>
      <c r="L58" s="4">
        <v>5311</v>
      </c>
      <c r="M58" s="4">
        <v>896</v>
      </c>
      <c r="N58" s="4">
        <v>999</v>
      </c>
      <c r="O58" s="4">
        <v>1331</v>
      </c>
      <c r="P58" s="4">
        <v>1654</v>
      </c>
      <c r="Q58" s="4">
        <v>12397</v>
      </c>
      <c r="R58" s="4">
        <v>12593</v>
      </c>
      <c r="S58" s="4">
        <v>1000</v>
      </c>
      <c r="T58" s="4">
        <v>1350</v>
      </c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</row>
    <row r="59" spans="1:56">
      <c r="A59" s="4" t="s">
        <v>182</v>
      </c>
      <c r="B59" s="4" t="s">
        <v>45</v>
      </c>
      <c r="C59" s="4">
        <v>13794</v>
      </c>
      <c r="D59" s="4">
        <v>1298706</v>
      </c>
      <c r="E59" s="4">
        <v>86999</v>
      </c>
      <c r="F59" s="4">
        <v>1523459</v>
      </c>
      <c r="G59" s="4">
        <v>10554</v>
      </c>
      <c r="H59" s="4">
        <v>1045152</v>
      </c>
      <c r="I59" s="4">
        <v>17421</v>
      </c>
      <c r="J59" s="4">
        <v>1644571</v>
      </c>
      <c r="K59" s="4">
        <v>129358</v>
      </c>
      <c r="L59" s="4">
        <v>1754352</v>
      </c>
      <c r="M59" s="4">
        <v>14085</v>
      </c>
      <c r="N59" s="4">
        <v>1251792</v>
      </c>
      <c r="O59" s="4">
        <v>22095</v>
      </c>
      <c r="P59" s="4">
        <v>1904757</v>
      </c>
      <c r="Q59" s="4">
        <v>378774</v>
      </c>
      <c r="R59" s="4">
        <v>2542465</v>
      </c>
      <c r="S59" s="4">
        <v>18064</v>
      </c>
      <c r="T59" s="4">
        <v>1590970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</row>
    <row r="60" spans="1:56">
      <c r="A60" s="4" t="s">
        <v>182</v>
      </c>
      <c r="B60" s="4" t="s">
        <v>54</v>
      </c>
      <c r="C60" s="4">
        <v>4168</v>
      </c>
      <c r="D60" s="4">
        <v>23165</v>
      </c>
      <c r="E60" s="4">
        <v>25425</v>
      </c>
      <c r="F60" s="4">
        <v>50835</v>
      </c>
      <c r="G60" s="4">
        <v>3212</v>
      </c>
      <c r="H60" s="4">
        <v>19816</v>
      </c>
      <c r="I60" s="4">
        <v>6231</v>
      </c>
      <c r="J60" s="4">
        <v>24838</v>
      </c>
      <c r="K60" s="4">
        <v>40646</v>
      </c>
      <c r="L60" s="4">
        <v>98613</v>
      </c>
      <c r="M60" s="4">
        <v>5371</v>
      </c>
      <c r="N60" s="4">
        <v>28919</v>
      </c>
      <c r="O60" s="4">
        <v>6002</v>
      </c>
      <c r="P60" s="4">
        <v>25478</v>
      </c>
      <c r="Q60" s="4">
        <v>120017</v>
      </c>
      <c r="R60" s="4">
        <v>197665</v>
      </c>
      <c r="S60" s="4">
        <v>5167</v>
      </c>
      <c r="T60" s="4">
        <v>28446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</row>
    <row r="61" spans="1:56">
      <c r="A61" s="4" t="s">
        <v>182</v>
      </c>
      <c r="B61" s="4" t="s">
        <v>79</v>
      </c>
      <c r="C61" s="4">
        <v>7503</v>
      </c>
      <c r="D61" s="4">
        <v>753729</v>
      </c>
      <c r="E61" s="4">
        <v>41223</v>
      </c>
      <c r="F61" s="4">
        <v>733257</v>
      </c>
      <c r="G61" s="4">
        <v>5977</v>
      </c>
      <c r="H61" s="4">
        <v>530833</v>
      </c>
      <c r="I61" s="4">
        <v>9011</v>
      </c>
      <c r="J61" s="4">
        <v>779306</v>
      </c>
      <c r="K61" s="4">
        <v>62771</v>
      </c>
      <c r="L61" s="4">
        <v>1018600</v>
      </c>
      <c r="M61" s="4">
        <v>7576</v>
      </c>
      <c r="N61" s="4">
        <v>798912</v>
      </c>
      <c r="O61" s="4">
        <v>11391</v>
      </c>
      <c r="P61" s="4">
        <v>1052493</v>
      </c>
      <c r="Q61" s="4">
        <v>202951</v>
      </c>
      <c r="R61" s="4">
        <v>1360610</v>
      </c>
      <c r="S61" s="4">
        <v>9338</v>
      </c>
      <c r="T61" s="4">
        <v>928930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</row>
    <row r="62" spans="1:56">
      <c r="A62" s="4" t="s">
        <v>182</v>
      </c>
      <c r="B62" s="4" t="s">
        <v>9</v>
      </c>
      <c r="C62" s="4">
        <v>5846</v>
      </c>
      <c r="D62" s="4">
        <v>29370</v>
      </c>
      <c r="E62" s="4">
        <v>37277</v>
      </c>
      <c r="F62" s="4">
        <v>66426</v>
      </c>
      <c r="G62" s="4">
        <v>4602</v>
      </c>
      <c r="H62" s="4">
        <v>20792</v>
      </c>
      <c r="I62" s="4">
        <v>6801</v>
      </c>
      <c r="J62" s="4">
        <v>35755</v>
      </c>
      <c r="K62" s="4">
        <v>59786</v>
      </c>
      <c r="L62" s="4">
        <v>142313</v>
      </c>
      <c r="M62" s="4">
        <v>7412</v>
      </c>
      <c r="N62" s="4">
        <v>37699</v>
      </c>
      <c r="O62" s="4">
        <v>8092</v>
      </c>
      <c r="P62" s="4">
        <v>35129</v>
      </c>
      <c r="Q62" s="4">
        <v>166676</v>
      </c>
      <c r="R62" s="4">
        <v>354910</v>
      </c>
      <c r="S62" s="4">
        <v>6631</v>
      </c>
      <c r="T62" s="4">
        <v>38283</v>
      </c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</row>
    <row r="63" spans="1:56">
      <c r="A63" s="4" t="s">
        <v>182</v>
      </c>
      <c r="B63" s="4" t="s">
        <v>7</v>
      </c>
      <c r="C63" s="4">
        <v>2467</v>
      </c>
      <c r="D63" s="4">
        <v>3292</v>
      </c>
      <c r="E63" s="4">
        <v>8656</v>
      </c>
      <c r="F63" s="4">
        <v>11848</v>
      </c>
      <c r="G63" s="4">
        <v>1879</v>
      </c>
      <c r="H63" s="4">
        <v>2340</v>
      </c>
      <c r="I63" s="4">
        <v>3606</v>
      </c>
      <c r="J63" s="4">
        <v>4574</v>
      </c>
      <c r="K63" s="4">
        <v>14181</v>
      </c>
      <c r="L63" s="4">
        <v>19910</v>
      </c>
      <c r="M63" s="4">
        <v>2836</v>
      </c>
      <c r="N63" s="4">
        <v>3618</v>
      </c>
      <c r="O63" s="4">
        <v>4980</v>
      </c>
      <c r="P63" s="4">
        <v>6506</v>
      </c>
      <c r="Q63" s="4">
        <v>48963</v>
      </c>
      <c r="R63" s="4">
        <v>70283</v>
      </c>
      <c r="S63" s="4">
        <v>4032</v>
      </c>
      <c r="T63" s="4">
        <v>5748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</row>
    <row r="64" spans="1:56">
      <c r="A64" s="4" t="s">
        <v>182</v>
      </c>
      <c r="B64" s="4" t="s">
        <v>46</v>
      </c>
      <c r="C64" s="4">
        <v>702</v>
      </c>
      <c r="D64" s="4">
        <v>848</v>
      </c>
      <c r="E64" s="4">
        <v>1834</v>
      </c>
      <c r="F64" s="4">
        <v>2082</v>
      </c>
      <c r="G64" s="4">
        <v>555</v>
      </c>
      <c r="H64" s="4">
        <v>623</v>
      </c>
      <c r="I64" s="4">
        <v>939</v>
      </c>
      <c r="J64" s="4">
        <v>1154</v>
      </c>
      <c r="K64" s="4">
        <v>3624</v>
      </c>
      <c r="L64" s="4">
        <v>4703</v>
      </c>
      <c r="M64" s="4">
        <v>779</v>
      </c>
      <c r="N64" s="4">
        <v>906</v>
      </c>
      <c r="O64" s="4">
        <v>1314</v>
      </c>
      <c r="P64" s="4">
        <v>1612</v>
      </c>
      <c r="Q64" s="4">
        <v>10619</v>
      </c>
      <c r="R64" s="4">
        <v>11588</v>
      </c>
      <c r="S64" s="4">
        <v>1020</v>
      </c>
      <c r="T64" s="4">
        <v>1259</v>
      </c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</row>
    <row r="65" spans="1:56">
      <c r="A65" s="4" t="s">
        <v>182</v>
      </c>
      <c r="B65" s="4" t="s">
        <v>99</v>
      </c>
      <c r="C65" s="4">
        <v>2285</v>
      </c>
      <c r="D65" s="4">
        <v>3677</v>
      </c>
      <c r="E65" s="4">
        <v>8260</v>
      </c>
      <c r="F65" s="4">
        <v>11564</v>
      </c>
      <c r="G65" s="4">
        <v>1785</v>
      </c>
      <c r="H65" s="4">
        <v>2963</v>
      </c>
      <c r="I65" s="4">
        <v>2755</v>
      </c>
      <c r="J65" s="4">
        <v>4605</v>
      </c>
      <c r="K65" s="4">
        <v>13688</v>
      </c>
      <c r="L65" s="4">
        <v>22812</v>
      </c>
      <c r="M65" s="4">
        <v>2246</v>
      </c>
      <c r="N65" s="4">
        <v>4084</v>
      </c>
      <c r="O65" s="4">
        <v>3664</v>
      </c>
      <c r="P65" s="4">
        <v>6073</v>
      </c>
      <c r="Q65" s="4">
        <v>54678</v>
      </c>
      <c r="R65" s="4">
        <v>79972</v>
      </c>
      <c r="S65" s="4">
        <v>3109</v>
      </c>
      <c r="T65" s="4">
        <v>5022</v>
      </c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</row>
    <row r="66" spans="1:56">
      <c r="A66" s="4" t="s">
        <v>182</v>
      </c>
      <c r="B66" s="4" t="s">
        <v>96</v>
      </c>
      <c r="C66" s="4">
        <v>5265</v>
      </c>
      <c r="D66" s="4">
        <v>7449</v>
      </c>
      <c r="E66" s="4">
        <v>20446</v>
      </c>
      <c r="F66" s="4">
        <v>25850</v>
      </c>
      <c r="G66" s="4">
        <v>4074</v>
      </c>
      <c r="H66" s="4">
        <v>5824</v>
      </c>
      <c r="I66" s="4">
        <v>6826</v>
      </c>
      <c r="J66" s="4">
        <v>9834</v>
      </c>
      <c r="K66" s="4">
        <v>34629</v>
      </c>
      <c r="L66" s="4">
        <v>63638</v>
      </c>
      <c r="M66" s="4">
        <v>5615</v>
      </c>
      <c r="N66" s="4">
        <v>8162</v>
      </c>
      <c r="O66" s="4">
        <v>9852</v>
      </c>
      <c r="P66" s="4">
        <v>14311</v>
      </c>
      <c r="Q66" s="4">
        <v>121381</v>
      </c>
      <c r="R66" s="4">
        <v>188994</v>
      </c>
      <c r="S66" s="4">
        <v>7910</v>
      </c>
      <c r="T66" s="4">
        <v>11630</v>
      </c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</row>
    <row r="67" spans="1:56">
      <c r="A67" s="4" t="s">
        <v>182</v>
      </c>
      <c r="B67" s="4" t="s">
        <v>13</v>
      </c>
      <c r="C67" s="4">
        <v>245</v>
      </c>
      <c r="D67" s="4">
        <v>336</v>
      </c>
      <c r="E67" s="4">
        <v>987</v>
      </c>
      <c r="F67" s="4">
        <v>968</v>
      </c>
      <c r="G67" s="4">
        <v>291</v>
      </c>
      <c r="H67" s="4">
        <v>315</v>
      </c>
      <c r="I67" s="4">
        <v>298</v>
      </c>
      <c r="J67" s="4">
        <v>306</v>
      </c>
      <c r="K67" s="4">
        <v>1377</v>
      </c>
      <c r="L67" s="4">
        <v>1455</v>
      </c>
      <c r="M67" s="4">
        <v>240</v>
      </c>
      <c r="N67" s="4">
        <v>248</v>
      </c>
      <c r="O67" s="4">
        <v>395</v>
      </c>
      <c r="P67" s="4">
        <v>393</v>
      </c>
      <c r="Q67" s="4">
        <v>3256</v>
      </c>
      <c r="R67" s="4">
        <v>3406</v>
      </c>
      <c r="S67" s="4">
        <v>295</v>
      </c>
      <c r="T67" s="4">
        <v>295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</row>
    <row r="68" spans="1:56">
      <c r="A68" s="4" t="s">
        <v>182</v>
      </c>
      <c r="B68" s="4" t="s">
        <v>93</v>
      </c>
      <c r="C68" s="4">
        <v>284</v>
      </c>
      <c r="D68" s="4">
        <v>321</v>
      </c>
      <c r="E68" s="4">
        <v>1047</v>
      </c>
      <c r="F68" s="4">
        <v>923</v>
      </c>
      <c r="G68" s="4">
        <v>199</v>
      </c>
      <c r="H68" s="4">
        <v>193</v>
      </c>
      <c r="I68" s="4">
        <v>270</v>
      </c>
      <c r="J68" s="4">
        <v>331</v>
      </c>
      <c r="K68" s="4">
        <v>1436</v>
      </c>
      <c r="L68" s="4">
        <v>1663</v>
      </c>
      <c r="M68" s="4">
        <v>307</v>
      </c>
      <c r="N68" s="4">
        <v>272</v>
      </c>
      <c r="O68" s="4">
        <v>427</v>
      </c>
      <c r="P68" s="4">
        <v>449</v>
      </c>
      <c r="Q68" s="4">
        <v>3639</v>
      </c>
      <c r="R68" s="4">
        <v>3643</v>
      </c>
      <c r="S68" s="4">
        <v>289</v>
      </c>
      <c r="T68" s="4">
        <v>373</v>
      </c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</row>
    <row r="69" spans="1:56">
      <c r="A69" s="4" t="s">
        <v>182</v>
      </c>
      <c r="B69" s="4" t="s">
        <v>48</v>
      </c>
      <c r="C69" s="4">
        <v>836</v>
      </c>
      <c r="D69" s="4">
        <v>859</v>
      </c>
      <c r="E69" s="4">
        <v>2803</v>
      </c>
      <c r="F69" s="4">
        <v>3150</v>
      </c>
      <c r="G69" s="4">
        <v>669</v>
      </c>
      <c r="H69" s="4">
        <v>725</v>
      </c>
      <c r="I69" s="4">
        <v>951</v>
      </c>
      <c r="J69" s="4">
        <v>1066</v>
      </c>
      <c r="K69" s="4">
        <v>4897</v>
      </c>
      <c r="L69" s="4">
        <v>5089</v>
      </c>
      <c r="M69" s="4">
        <v>836</v>
      </c>
      <c r="N69" s="4">
        <v>885</v>
      </c>
      <c r="O69" s="4">
        <v>1282</v>
      </c>
      <c r="P69" s="4">
        <v>1412</v>
      </c>
      <c r="Q69" s="4">
        <v>12183</v>
      </c>
      <c r="R69" s="4">
        <v>13612</v>
      </c>
      <c r="S69" s="4">
        <v>991</v>
      </c>
      <c r="T69" s="4">
        <v>1213</v>
      </c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</row>
    <row r="70" spans="1:56">
      <c r="A70" s="4" t="s">
        <v>182</v>
      </c>
      <c r="B70" s="4" t="s">
        <v>103</v>
      </c>
      <c r="C70" s="4">
        <v>2222</v>
      </c>
      <c r="D70" s="4">
        <v>3581</v>
      </c>
      <c r="E70" s="4">
        <v>7725</v>
      </c>
      <c r="F70" s="4">
        <v>11767</v>
      </c>
      <c r="G70" s="4">
        <v>1637</v>
      </c>
      <c r="H70" s="4">
        <v>2856</v>
      </c>
      <c r="I70" s="4">
        <v>2704</v>
      </c>
      <c r="J70" s="4">
        <v>5717</v>
      </c>
      <c r="K70" s="4">
        <v>13011</v>
      </c>
      <c r="L70" s="4">
        <v>22723</v>
      </c>
      <c r="M70" s="4">
        <v>2865</v>
      </c>
      <c r="N70" s="4">
        <v>3868</v>
      </c>
      <c r="O70" s="4">
        <v>3919</v>
      </c>
      <c r="P70" s="4">
        <v>6106</v>
      </c>
      <c r="Q70" s="4">
        <v>52221</v>
      </c>
      <c r="R70" s="4">
        <v>68776</v>
      </c>
      <c r="S70" s="4">
        <v>3134</v>
      </c>
      <c r="T70" s="4">
        <v>4880</v>
      </c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</row>
    <row r="71" spans="1:56">
      <c r="A71" s="4" t="s">
        <v>182</v>
      </c>
      <c r="B71" s="4" t="s">
        <v>31</v>
      </c>
      <c r="C71" s="4">
        <v>5275</v>
      </c>
      <c r="D71" s="4">
        <v>7378</v>
      </c>
      <c r="E71" s="4">
        <v>19991</v>
      </c>
      <c r="F71" s="4">
        <v>26721</v>
      </c>
      <c r="G71" s="4">
        <v>4102</v>
      </c>
      <c r="H71" s="4">
        <v>5720</v>
      </c>
      <c r="I71" s="4">
        <v>7278</v>
      </c>
      <c r="J71" s="4">
        <v>9974</v>
      </c>
      <c r="K71" s="4">
        <v>37061</v>
      </c>
      <c r="L71" s="4">
        <v>67966</v>
      </c>
      <c r="M71" s="4">
        <v>5578</v>
      </c>
      <c r="N71" s="4">
        <v>9715</v>
      </c>
      <c r="O71" s="4">
        <v>9980</v>
      </c>
      <c r="P71" s="4">
        <v>14102</v>
      </c>
      <c r="Q71" s="4">
        <v>141829</v>
      </c>
      <c r="R71" s="4">
        <v>210362</v>
      </c>
      <c r="S71" s="4">
        <v>7840</v>
      </c>
      <c r="T71" s="4">
        <v>11291</v>
      </c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</row>
    <row r="72" spans="1:56">
      <c r="A72" s="4" t="s">
        <v>177</v>
      </c>
      <c r="B72" s="4" t="s">
        <v>33</v>
      </c>
      <c r="C72" s="4">
        <v>2771</v>
      </c>
      <c r="D72" s="4">
        <v>5177</v>
      </c>
      <c r="E72" s="4">
        <v>92889</v>
      </c>
      <c r="F72" s="4">
        <v>84760</v>
      </c>
      <c r="G72" s="4">
        <v>2124</v>
      </c>
      <c r="H72" s="4">
        <v>4012</v>
      </c>
      <c r="I72" s="4">
        <v>3281</v>
      </c>
      <c r="J72" s="4">
        <v>6270</v>
      </c>
      <c r="K72" s="4">
        <v>125140</v>
      </c>
      <c r="L72" s="4">
        <v>172282</v>
      </c>
      <c r="M72" s="4">
        <v>2723</v>
      </c>
      <c r="N72" s="4">
        <v>5163</v>
      </c>
      <c r="O72" s="4">
        <v>4001</v>
      </c>
      <c r="P72" s="4">
        <v>7690</v>
      </c>
      <c r="Q72" s="4">
        <v>389697</v>
      </c>
      <c r="R72" s="4">
        <v>506904</v>
      </c>
      <c r="S72" s="4">
        <v>3307</v>
      </c>
      <c r="T72" s="4">
        <v>6392</v>
      </c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</row>
    <row r="73" spans="1:56">
      <c r="A73" s="4" t="s">
        <v>178</v>
      </c>
      <c r="B73" s="4" t="s">
        <v>75</v>
      </c>
      <c r="C73" s="4">
        <v>2992</v>
      </c>
      <c r="D73" s="4">
        <v>5643</v>
      </c>
      <c r="E73" s="4">
        <v>118797</v>
      </c>
      <c r="F73" s="4">
        <v>92982</v>
      </c>
      <c r="G73" s="4">
        <v>2391</v>
      </c>
      <c r="H73" s="4">
        <v>4436</v>
      </c>
      <c r="I73" s="4">
        <v>3658</v>
      </c>
      <c r="J73" s="4">
        <v>6788</v>
      </c>
      <c r="K73" s="4">
        <v>140760</v>
      </c>
      <c r="L73" s="4">
        <v>155914</v>
      </c>
      <c r="M73" s="4">
        <v>2886</v>
      </c>
      <c r="N73" s="4">
        <v>5389</v>
      </c>
      <c r="O73" s="4">
        <v>4505</v>
      </c>
      <c r="P73" s="4">
        <v>8236</v>
      </c>
      <c r="Q73" s="4">
        <v>429251</v>
      </c>
      <c r="R73" s="4">
        <v>452178</v>
      </c>
      <c r="S73" s="4">
        <v>3643</v>
      </c>
      <c r="T73" s="4">
        <v>8695</v>
      </c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</row>
    <row r="74" spans="1:56">
      <c r="A74" s="4" t="s">
        <v>176</v>
      </c>
      <c r="B74" s="4" t="s">
        <v>23</v>
      </c>
      <c r="C74" s="4">
        <v>10918</v>
      </c>
      <c r="D74" s="4">
        <v>1633</v>
      </c>
      <c r="E74" s="4">
        <v>64903</v>
      </c>
      <c r="F74" s="4">
        <v>4604</v>
      </c>
      <c r="G74" s="4">
        <v>8427</v>
      </c>
      <c r="H74" s="4">
        <v>1316</v>
      </c>
      <c r="I74" s="4">
        <v>16259</v>
      </c>
      <c r="J74" s="4">
        <v>2296</v>
      </c>
      <c r="K74" s="4">
        <v>123021</v>
      </c>
      <c r="L74" s="4">
        <v>8678</v>
      </c>
      <c r="M74" s="4">
        <v>12997</v>
      </c>
      <c r="N74" s="4">
        <v>1923</v>
      </c>
      <c r="O74" s="4">
        <v>30125</v>
      </c>
      <c r="P74" s="4">
        <v>3209</v>
      </c>
      <c r="Q74" s="4">
        <v>447127</v>
      </c>
      <c r="R74" s="4">
        <v>29984</v>
      </c>
      <c r="S74" s="4">
        <v>20239</v>
      </c>
      <c r="T74" s="4">
        <v>2516</v>
      </c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</row>
    <row r="75" spans="1:56">
      <c r="A75" s="4" t="s">
        <v>175</v>
      </c>
      <c r="B75" s="4" t="s">
        <v>102</v>
      </c>
      <c r="C75" s="4">
        <v>2726</v>
      </c>
      <c r="D75" s="4">
        <v>3006</v>
      </c>
      <c r="E75" s="4">
        <v>8541</v>
      </c>
      <c r="F75" s="4">
        <v>8322</v>
      </c>
      <c r="G75" s="4">
        <v>2182</v>
      </c>
      <c r="H75" s="4">
        <v>2370</v>
      </c>
      <c r="I75" s="4">
        <v>3824</v>
      </c>
      <c r="J75" s="4">
        <v>4264</v>
      </c>
      <c r="K75" s="4">
        <v>14745</v>
      </c>
      <c r="L75" s="4">
        <v>18156</v>
      </c>
      <c r="M75" s="4">
        <v>3019</v>
      </c>
      <c r="N75" s="4">
        <v>3412</v>
      </c>
      <c r="O75" s="4">
        <v>5407</v>
      </c>
      <c r="P75" s="4">
        <v>6303</v>
      </c>
      <c r="Q75" s="4">
        <v>60192</v>
      </c>
      <c r="R75" s="4">
        <v>68697</v>
      </c>
      <c r="S75" s="4">
        <v>4394</v>
      </c>
      <c r="T75" s="4">
        <v>5012</v>
      </c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</row>
    <row r="76" spans="1:56">
      <c r="A76" s="4" t="s">
        <v>175</v>
      </c>
      <c r="B76" s="4" t="s">
        <v>67</v>
      </c>
      <c r="C76" s="4">
        <v>5980</v>
      </c>
      <c r="D76" s="4">
        <v>6664</v>
      </c>
      <c r="E76" s="4">
        <v>64980</v>
      </c>
      <c r="F76" s="4">
        <v>73452</v>
      </c>
      <c r="G76" s="4">
        <v>4785</v>
      </c>
      <c r="H76" s="4">
        <v>5132</v>
      </c>
      <c r="I76" s="4">
        <v>8568</v>
      </c>
      <c r="J76" s="4">
        <v>9692</v>
      </c>
      <c r="K76" s="4">
        <v>127704</v>
      </c>
      <c r="L76" s="4">
        <v>130622</v>
      </c>
      <c r="M76" s="4">
        <v>7273</v>
      </c>
      <c r="N76" s="4">
        <v>7790</v>
      </c>
      <c r="O76" s="4">
        <v>12353</v>
      </c>
      <c r="P76" s="4">
        <v>13643</v>
      </c>
      <c r="Q76" s="4">
        <v>404700</v>
      </c>
      <c r="R76" s="4">
        <v>490079</v>
      </c>
      <c r="S76" s="4">
        <v>10819</v>
      </c>
      <c r="T76" s="4">
        <v>11184</v>
      </c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</row>
    <row r="77" spans="1:56">
      <c r="A77" s="4" t="s">
        <v>172</v>
      </c>
      <c r="B77" s="4" t="s">
        <v>52</v>
      </c>
      <c r="C77" s="4">
        <v>1870</v>
      </c>
      <c r="D77" s="4">
        <v>1771</v>
      </c>
      <c r="E77" s="4">
        <v>6156</v>
      </c>
      <c r="F77" s="4">
        <v>5727</v>
      </c>
      <c r="G77" s="4">
        <v>1364</v>
      </c>
      <c r="H77" s="4">
        <v>1354</v>
      </c>
      <c r="I77" s="4">
        <v>2400</v>
      </c>
      <c r="J77" s="4">
        <v>2311</v>
      </c>
      <c r="K77" s="4">
        <v>11323</v>
      </c>
      <c r="L77" s="4">
        <v>9221</v>
      </c>
      <c r="M77" s="4">
        <v>1959</v>
      </c>
      <c r="N77" s="4">
        <v>1925</v>
      </c>
      <c r="O77" s="4">
        <v>3195</v>
      </c>
      <c r="P77" s="4">
        <v>3078</v>
      </c>
      <c r="Q77" s="4">
        <v>41637</v>
      </c>
      <c r="R77" s="4">
        <v>31563</v>
      </c>
      <c r="S77" s="4">
        <v>2558</v>
      </c>
      <c r="T77" s="4">
        <v>2530</v>
      </c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</row>
    <row r="78" spans="1:56">
      <c r="A78" s="4" t="s">
        <v>172</v>
      </c>
      <c r="B78" s="4" t="s">
        <v>74</v>
      </c>
      <c r="C78" s="4">
        <v>160</v>
      </c>
      <c r="D78" s="4">
        <v>282</v>
      </c>
      <c r="E78" s="4">
        <v>791</v>
      </c>
      <c r="F78" s="4">
        <v>604</v>
      </c>
      <c r="G78" s="4">
        <v>118</v>
      </c>
      <c r="H78" s="4">
        <v>230</v>
      </c>
      <c r="I78" s="4">
        <v>180</v>
      </c>
      <c r="J78" s="4">
        <v>0</v>
      </c>
      <c r="K78" s="4">
        <v>1414</v>
      </c>
      <c r="L78" s="4">
        <v>0</v>
      </c>
      <c r="M78" s="4">
        <v>144</v>
      </c>
      <c r="N78" s="4">
        <v>269</v>
      </c>
      <c r="O78" s="4">
        <v>209</v>
      </c>
      <c r="P78" s="4">
        <v>427</v>
      </c>
      <c r="Q78" s="4">
        <v>5080</v>
      </c>
      <c r="R78" s="4">
        <v>2286</v>
      </c>
      <c r="S78" s="4">
        <v>179</v>
      </c>
      <c r="T78" s="4">
        <v>327</v>
      </c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</row>
    <row r="79" spans="1:56">
      <c r="A79" s="4" t="s">
        <v>172</v>
      </c>
      <c r="B79" s="4" t="s">
        <v>1</v>
      </c>
      <c r="C79" s="4">
        <v>47</v>
      </c>
      <c r="D79" s="4">
        <v>44</v>
      </c>
      <c r="E79" s="4">
        <v>168</v>
      </c>
      <c r="F79" s="4">
        <v>155</v>
      </c>
      <c r="G79" s="4">
        <v>60</v>
      </c>
      <c r="H79" s="4">
        <v>35</v>
      </c>
      <c r="I79" s="4">
        <v>42</v>
      </c>
      <c r="J79" s="4">
        <v>44</v>
      </c>
      <c r="K79" s="4">
        <v>125</v>
      </c>
      <c r="L79" s="4">
        <v>119</v>
      </c>
      <c r="M79" s="4">
        <v>33</v>
      </c>
      <c r="N79" s="4">
        <v>34</v>
      </c>
      <c r="O79" s="4">
        <v>57</v>
      </c>
      <c r="P79" s="4">
        <v>57</v>
      </c>
      <c r="Q79" s="4">
        <v>331</v>
      </c>
      <c r="R79" s="4">
        <v>323</v>
      </c>
      <c r="S79" s="4">
        <v>46</v>
      </c>
      <c r="T79" s="4">
        <v>46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</row>
    <row r="80" spans="1:56">
      <c r="A80" s="4" t="s">
        <v>174</v>
      </c>
      <c r="B80" s="4" t="s">
        <v>0</v>
      </c>
      <c r="C80" s="4">
        <v>1008</v>
      </c>
      <c r="D80" s="4">
        <v>1203</v>
      </c>
      <c r="E80" s="4">
        <v>3435</v>
      </c>
      <c r="F80" s="4">
        <v>2420</v>
      </c>
      <c r="G80" s="4">
        <v>831</v>
      </c>
      <c r="H80" s="4">
        <v>879</v>
      </c>
      <c r="I80" s="4">
        <v>1471</v>
      </c>
      <c r="J80" s="4">
        <v>1293</v>
      </c>
      <c r="K80" s="4">
        <v>4338</v>
      </c>
      <c r="L80" s="4">
        <v>3477</v>
      </c>
      <c r="M80" s="4">
        <v>1197</v>
      </c>
      <c r="N80" s="4">
        <v>1066</v>
      </c>
      <c r="O80" s="4">
        <v>1613</v>
      </c>
      <c r="P80" s="4">
        <v>1665</v>
      </c>
      <c r="Q80" s="4">
        <v>13301</v>
      </c>
      <c r="R80" s="4">
        <v>7352</v>
      </c>
      <c r="S80" s="4">
        <v>1361</v>
      </c>
      <c r="T80" s="4">
        <v>1439</v>
      </c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</row>
    <row r="81" spans="1:56">
      <c r="A81" s="4" t="s">
        <v>180</v>
      </c>
      <c r="B81" s="4" t="s">
        <v>90</v>
      </c>
      <c r="C81" s="4">
        <v>31</v>
      </c>
      <c r="D81" s="4">
        <v>30</v>
      </c>
      <c r="E81" s="4">
        <v>158</v>
      </c>
      <c r="F81" s="4">
        <v>319</v>
      </c>
      <c r="G81" s="4">
        <v>26</v>
      </c>
      <c r="H81" s="4">
        <v>26</v>
      </c>
      <c r="I81" s="4">
        <v>63</v>
      </c>
      <c r="J81" s="4">
        <v>42</v>
      </c>
      <c r="K81" s="4">
        <v>620</v>
      </c>
      <c r="L81" s="4">
        <v>557</v>
      </c>
      <c r="M81" s="4">
        <v>33</v>
      </c>
      <c r="N81" s="4">
        <v>56</v>
      </c>
      <c r="O81" s="4">
        <v>48</v>
      </c>
      <c r="P81" s="4">
        <v>50</v>
      </c>
      <c r="Q81" s="4">
        <v>1134</v>
      </c>
      <c r="R81" s="4">
        <v>910</v>
      </c>
      <c r="S81" s="4">
        <v>36</v>
      </c>
      <c r="T81" s="4">
        <v>36</v>
      </c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</row>
    <row r="82" spans="1:56">
      <c r="A82" s="4" t="s">
        <v>180</v>
      </c>
      <c r="B82" s="4" t="s">
        <v>65</v>
      </c>
      <c r="C82" s="4">
        <v>346</v>
      </c>
      <c r="D82" s="4">
        <v>389</v>
      </c>
      <c r="E82" s="4">
        <v>3284</v>
      </c>
      <c r="F82" s="4">
        <v>3443</v>
      </c>
      <c r="G82" s="4">
        <v>258</v>
      </c>
      <c r="H82" s="4">
        <v>280</v>
      </c>
      <c r="I82" s="4">
        <v>438</v>
      </c>
      <c r="J82" s="4">
        <v>466</v>
      </c>
      <c r="K82" s="4">
        <v>4645</v>
      </c>
      <c r="L82" s="4">
        <v>5093</v>
      </c>
      <c r="M82" s="4">
        <v>329</v>
      </c>
      <c r="N82" s="4">
        <v>365</v>
      </c>
      <c r="O82" s="4">
        <v>498</v>
      </c>
      <c r="P82" s="4">
        <v>556</v>
      </c>
      <c r="Q82" s="4">
        <v>16156</v>
      </c>
      <c r="R82" s="4">
        <v>15564</v>
      </c>
      <c r="S82" s="4">
        <v>367</v>
      </c>
      <c r="T82" s="4">
        <v>415</v>
      </c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</row>
    <row r="83" spans="1:56">
      <c r="A83" s="4" t="s">
        <v>180</v>
      </c>
      <c r="B83" s="4" t="s">
        <v>86</v>
      </c>
      <c r="C83" s="4">
        <v>255</v>
      </c>
      <c r="D83" s="4">
        <v>414</v>
      </c>
      <c r="E83" s="4">
        <v>1360</v>
      </c>
      <c r="F83" s="4">
        <v>1764</v>
      </c>
      <c r="G83" s="4">
        <v>304</v>
      </c>
      <c r="H83" s="4">
        <v>305</v>
      </c>
      <c r="I83" s="4">
        <v>316</v>
      </c>
      <c r="J83" s="4">
        <v>508</v>
      </c>
      <c r="K83" s="4">
        <v>2076</v>
      </c>
      <c r="L83" s="4">
        <v>3345</v>
      </c>
      <c r="M83" s="4">
        <v>241</v>
      </c>
      <c r="N83" s="4">
        <v>395</v>
      </c>
      <c r="O83" s="4">
        <v>386</v>
      </c>
      <c r="P83" s="4">
        <v>601</v>
      </c>
      <c r="Q83" s="4">
        <v>5994</v>
      </c>
      <c r="R83" s="4">
        <v>6495</v>
      </c>
      <c r="S83" s="4">
        <v>347</v>
      </c>
      <c r="T83" s="4">
        <v>439</v>
      </c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</row>
    <row r="84" spans="1:56">
      <c r="A84" s="4" t="s">
        <v>180</v>
      </c>
      <c r="B84" s="4" t="s">
        <v>88</v>
      </c>
      <c r="C84" s="4">
        <v>352</v>
      </c>
      <c r="D84" s="4">
        <v>370</v>
      </c>
      <c r="E84" s="4">
        <v>1310</v>
      </c>
      <c r="F84" s="4">
        <v>1734</v>
      </c>
      <c r="G84" s="4">
        <v>263</v>
      </c>
      <c r="H84" s="4">
        <v>295</v>
      </c>
      <c r="I84" s="4">
        <v>463</v>
      </c>
      <c r="J84" s="4">
        <v>598</v>
      </c>
      <c r="K84" s="4">
        <v>2216</v>
      </c>
      <c r="L84" s="4">
        <v>2266</v>
      </c>
      <c r="M84" s="4">
        <v>379</v>
      </c>
      <c r="N84" s="4">
        <v>372</v>
      </c>
      <c r="O84" s="4">
        <v>520</v>
      </c>
      <c r="P84" s="4">
        <v>561</v>
      </c>
      <c r="Q84" s="4">
        <v>5937</v>
      </c>
      <c r="R84" s="4">
        <v>5798</v>
      </c>
      <c r="S84" s="4">
        <v>387</v>
      </c>
      <c r="T84" s="4">
        <v>420</v>
      </c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</row>
    <row r="85" spans="1:56">
      <c r="A85" s="4" t="s">
        <v>180</v>
      </c>
      <c r="B85" s="4" t="s">
        <v>77</v>
      </c>
      <c r="C85" s="4">
        <v>587</v>
      </c>
      <c r="D85" s="4">
        <v>639</v>
      </c>
      <c r="E85" s="4">
        <v>2388</v>
      </c>
      <c r="F85" s="4">
        <v>2519</v>
      </c>
      <c r="G85" s="4">
        <v>483</v>
      </c>
      <c r="H85" s="4">
        <v>488</v>
      </c>
      <c r="I85" s="4">
        <v>707</v>
      </c>
      <c r="J85" s="4">
        <v>733</v>
      </c>
      <c r="K85" s="4">
        <v>3587</v>
      </c>
      <c r="L85" s="4">
        <v>3451</v>
      </c>
      <c r="M85" s="4">
        <v>592</v>
      </c>
      <c r="N85" s="4">
        <v>622</v>
      </c>
      <c r="O85" s="4">
        <v>835</v>
      </c>
      <c r="P85" s="4">
        <v>857</v>
      </c>
      <c r="Q85" s="4">
        <v>9838</v>
      </c>
      <c r="R85" s="4">
        <v>9477</v>
      </c>
      <c r="S85" s="4">
        <v>643</v>
      </c>
      <c r="T85" s="4">
        <v>686</v>
      </c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</row>
    <row r="86" spans="1:56">
      <c r="A86" s="4" t="s">
        <v>180</v>
      </c>
      <c r="B86" s="4" t="s">
        <v>17</v>
      </c>
      <c r="C86" s="4">
        <v>280</v>
      </c>
      <c r="D86" s="4">
        <v>268</v>
      </c>
      <c r="E86" s="4">
        <v>973</v>
      </c>
      <c r="F86" s="4">
        <v>928</v>
      </c>
      <c r="G86" s="4">
        <v>196</v>
      </c>
      <c r="H86" s="4">
        <v>226</v>
      </c>
      <c r="I86" s="4">
        <v>323</v>
      </c>
      <c r="J86" s="4">
        <v>360</v>
      </c>
      <c r="K86" s="4">
        <v>1286</v>
      </c>
      <c r="L86" s="4">
        <v>1627</v>
      </c>
      <c r="M86" s="4">
        <v>265</v>
      </c>
      <c r="N86" s="4">
        <v>395</v>
      </c>
      <c r="O86" s="4">
        <v>405</v>
      </c>
      <c r="P86" s="4">
        <v>430</v>
      </c>
      <c r="Q86" s="4">
        <v>3242</v>
      </c>
      <c r="R86" s="4">
        <v>3071</v>
      </c>
      <c r="S86" s="4">
        <v>326</v>
      </c>
      <c r="T86" s="4">
        <v>351</v>
      </c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</row>
    <row r="87" spans="1:56">
      <c r="A87" s="4" t="s">
        <v>180</v>
      </c>
      <c r="B87" s="4" t="s">
        <v>35</v>
      </c>
      <c r="C87" s="4">
        <v>315</v>
      </c>
      <c r="D87" s="4">
        <v>380</v>
      </c>
      <c r="E87" s="4">
        <v>1326</v>
      </c>
      <c r="F87" s="4">
        <v>1140</v>
      </c>
      <c r="G87" s="4">
        <v>237</v>
      </c>
      <c r="H87" s="4">
        <v>274</v>
      </c>
      <c r="I87" s="4">
        <v>496</v>
      </c>
      <c r="J87" s="4">
        <v>562</v>
      </c>
      <c r="K87" s="4">
        <v>1615</v>
      </c>
      <c r="L87" s="4">
        <v>1713</v>
      </c>
      <c r="M87" s="4">
        <v>379</v>
      </c>
      <c r="N87" s="4">
        <v>417</v>
      </c>
      <c r="O87" s="4">
        <v>647</v>
      </c>
      <c r="P87" s="4">
        <v>869</v>
      </c>
      <c r="Q87" s="4">
        <v>3492</v>
      </c>
      <c r="R87" s="4">
        <v>3966</v>
      </c>
      <c r="S87" s="4">
        <v>509</v>
      </c>
      <c r="T87" s="4">
        <v>549</v>
      </c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</row>
    <row r="88" spans="1:56">
      <c r="A88" s="4" t="s">
        <v>180</v>
      </c>
      <c r="B88" s="4" t="s">
        <v>83</v>
      </c>
      <c r="C88" s="4">
        <v>2748</v>
      </c>
      <c r="D88" s="4">
        <v>3344</v>
      </c>
      <c r="E88" s="4">
        <v>15664</v>
      </c>
      <c r="F88" s="4">
        <v>13634</v>
      </c>
      <c r="G88" s="4">
        <v>2105</v>
      </c>
      <c r="H88" s="4">
        <v>2573</v>
      </c>
      <c r="I88" s="4">
        <v>4044</v>
      </c>
      <c r="J88" s="4">
        <v>5038</v>
      </c>
      <c r="K88" s="4">
        <v>22563</v>
      </c>
      <c r="L88" s="4">
        <v>30822</v>
      </c>
      <c r="M88" s="4">
        <v>4152</v>
      </c>
      <c r="N88" s="4">
        <v>4020</v>
      </c>
      <c r="O88" s="4">
        <v>5485</v>
      </c>
      <c r="P88" s="4">
        <v>7363</v>
      </c>
      <c r="Q88" s="4">
        <v>83541</v>
      </c>
      <c r="R88" s="4">
        <v>115564</v>
      </c>
      <c r="S88" s="4">
        <v>4561</v>
      </c>
      <c r="T88" s="4">
        <v>5994</v>
      </c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</row>
    <row r="89" spans="1:56">
      <c r="A89" s="4" t="s">
        <v>180</v>
      </c>
      <c r="B89" s="4" t="s">
        <v>80</v>
      </c>
      <c r="C89" s="4">
        <v>5280</v>
      </c>
      <c r="D89" s="4">
        <v>7448</v>
      </c>
      <c r="E89" s="4">
        <v>19475</v>
      </c>
      <c r="F89" s="4">
        <v>24289</v>
      </c>
      <c r="G89" s="4">
        <v>3956</v>
      </c>
      <c r="H89" s="4">
        <v>5179</v>
      </c>
      <c r="I89" s="4">
        <v>7575</v>
      </c>
      <c r="J89" s="4">
        <v>10259</v>
      </c>
      <c r="K89" s="4">
        <v>36189</v>
      </c>
      <c r="L89" s="4">
        <v>47716</v>
      </c>
      <c r="M89" s="4">
        <v>5771</v>
      </c>
      <c r="N89" s="4">
        <v>7837</v>
      </c>
      <c r="O89" s="4">
        <v>12252</v>
      </c>
      <c r="P89" s="4">
        <v>14532</v>
      </c>
      <c r="Q89" s="4">
        <v>115174</v>
      </c>
      <c r="R89" s="4">
        <v>179999</v>
      </c>
      <c r="S89" s="4">
        <v>7955</v>
      </c>
      <c r="T89" s="4">
        <v>10976</v>
      </c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</row>
    <row r="90" spans="1:56">
      <c r="A90" s="4" t="s">
        <v>180</v>
      </c>
      <c r="B90" s="4" t="s">
        <v>10</v>
      </c>
      <c r="C90" s="4">
        <v>323</v>
      </c>
      <c r="D90" s="4">
        <v>406</v>
      </c>
      <c r="E90" s="4">
        <v>1907</v>
      </c>
      <c r="F90" s="4">
        <v>2087</v>
      </c>
      <c r="G90" s="4">
        <v>244</v>
      </c>
      <c r="H90" s="4">
        <v>309</v>
      </c>
      <c r="I90" s="4">
        <v>427</v>
      </c>
      <c r="J90" s="4">
        <v>529</v>
      </c>
      <c r="K90" s="4">
        <v>2873</v>
      </c>
      <c r="L90" s="4">
        <v>2854</v>
      </c>
      <c r="M90" s="4">
        <v>332</v>
      </c>
      <c r="N90" s="4">
        <v>414</v>
      </c>
      <c r="O90" s="4">
        <v>527</v>
      </c>
      <c r="P90" s="4">
        <v>592</v>
      </c>
      <c r="Q90" s="4">
        <v>7312</v>
      </c>
      <c r="R90" s="4">
        <v>7590</v>
      </c>
      <c r="S90" s="4">
        <v>377</v>
      </c>
      <c r="T90" s="4">
        <v>566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</row>
    <row r="91" spans="1:56">
      <c r="A91" s="4" t="s">
        <v>180</v>
      </c>
      <c r="B91" s="4" t="s">
        <v>97</v>
      </c>
      <c r="C91" s="4">
        <v>454</v>
      </c>
      <c r="D91" s="4">
        <v>712</v>
      </c>
      <c r="E91" s="4">
        <v>2719</v>
      </c>
      <c r="F91" s="4">
        <v>2991</v>
      </c>
      <c r="G91" s="4">
        <v>353</v>
      </c>
      <c r="H91" s="4">
        <v>548</v>
      </c>
      <c r="I91" s="4">
        <v>578</v>
      </c>
      <c r="J91" s="4">
        <v>843</v>
      </c>
      <c r="K91" s="4">
        <v>3978</v>
      </c>
      <c r="L91" s="4">
        <v>4423</v>
      </c>
      <c r="M91" s="4">
        <v>487</v>
      </c>
      <c r="N91" s="4">
        <v>688</v>
      </c>
      <c r="O91" s="4">
        <v>685</v>
      </c>
      <c r="P91" s="4">
        <v>985</v>
      </c>
      <c r="Q91" s="4">
        <v>11294</v>
      </c>
      <c r="R91" s="4">
        <v>16400</v>
      </c>
      <c r="S91" s="4">
        <v>599</v>
      </c>
      <c r="T91" s="4">
        <v>782</v>
      </c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</row>
    <row r="92" spans="1:56">
      <c r="A92" s="4" t="s">
        <v>180</v>
      </c>
      <c r="B92" s="4" t="s">
        <v>15</v>
      </c>
      <c r="C92" s="4">
        <v>65</v>
      </c>
      <c r="D92" s="4">
        <v>55</v>
      </c>
      <c r="E92" s="4">
        <v>548</v>
      </c>
      <c r="F92" s="4">
        <v>463</v>
      </c>
      <c r="G92" s="4">
        <v>52</v>
      </c>
      <c r="H92" s="4">
        <v>42</v>
      </c>
      <c r="I92" s="4">
        <v>70</v>
      </c>
      <c r="J92" s="4">
        <v>74</v>
      </c>
      <c r="K92" s="4">
        <v>671</v>
      </c>
      <c r="L92" s="4">
        <v>733</v>
      </c>
      <c r="M92" s="4">
        <v>55</v>
      </c>
      <c r="N92" s="4">
        <v>56</v>
      </c>
      <c r="O92" s="4">
        <v>81</v>
      </c>
      <c r="P92" s="4">
        <v>88</v>
      </c>
      <c r="Q92" s="4">
        <v>1097</v>
      </c>
      <c r="R92" s="4">
        <v>1241</v>
      </c>
      <c r="S92" s="4">
        <v>64</v>
      </c>
      <c r="T92" s="4">
        <v>66</v>
      </c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</row>
    <row r="93" spans="1:56">
      <c r="A93" s="4" t="s">
        <v>181</v>
      </c>
      <c r="B93" s="4" t="s">
        <v>61</v>
      </c>
      <c r="C93" s="4">
        <v>362</v>
      </c>
      <c r="D93" s="4">
        <v>556</v>
      </c>
      <c r="E93" s="4">
        <v>1656</v>
      </c>
      <c r="F93" s="4">
        <v>2005</v>
      </c>
      <c r="G93" s="4">
        <v>283</v>
      </c>
      <c r="H93" s="4">
        <v>436</v>
      </c>
      <c r="I93" s="4">
        <v>428</v>
      </c>
      <c r="J93" s="4">
        <v>653</v>
      </c>
      <c r="K93" s="4">
        <v>2258</v>
      </c>
      <c r="L93" s="4">
        <v>2765</v>
      </c>
      <c r="M93" s="4">
        <v>367</v>
      </c>
      <c r="N93" s="4">
        <v>550</v>
      </c>
      <c r="O93" s="4">
        <v>503</v>
      </c>
      <c r="P93" s="4">
        <v>777</v>
      </c>
      <c r="Q93" s="4">
        <v>6893</v>
      </c>
      <c r="R93" s="4">
        <v>8382</v>
      </c>
      <c r="S93" s="4">
        <v>407</v>
      </c>
      <c r="T93" s="4">
        <v>648</v>
      </c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</row>
    <row r="94" spans="1:56">
      <c r="A94" s="4" t="s">
        <v>181</v>
      </c>
      <c r="B94" s="4" t="s">
        <v>49</v>
      </c>
      <c r="C94" s="4">
        <v>129</v>
      </c>
      <c r="D94" s="4">
        <v>176</v>
      </c>
      <c r="E94" s="4">
        <v>573</v>
      </c>
      <c r="F94" s="4">
        <v>670</v>
      </c>
      <c r="G94" s="4">
        <v>101</v>
      </c>
      <c r="H94" s="4">
        <v>138</v>
      </c>
      <c r="I94" s="4">
        <v>163</v>
      </c>
      <c r="J94" s="4">
        <v>216</v>
      </c>
      <c r="K94" s="4">
        <v>799</v>
      </c>
      <c r="L94" s="4">
        <v>708</v>
      </c>
      <c r="M94" s="4">
        <v>132</v>
      </c>
      <c r="N94" s="4">
        <v>184</v>
      </c>
      <c r="O94" s="4">
        <v>188</v>
      </c>
      <c r="P94" s="4">
        <v>257</v>
      </c>
      <c r="Q94" s="4">
        <v>2453</v>
      </c>
      <c r="R94" s="4">
        <v>2569</v>
      </c>
      <c r="S94" s="4">
        <v>152</v>
      </c>
      <c r="T94" s="4">
        <v>202</v>
      </c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</row>
    <row r="95" spans="1:56">
      <c r="A95" s="4" t="s">
        <v>181</v>
      </c>
      <c r="B95" s="4" t="s">
        <v>78</v>
      </c>
      <c r="C95" s="4">
        <v>119</v>
      </c>
      <c r="D95" s="4">
        <v>159</v>
      </c>
      <c r="E95" s="4">
        <v>511</v>
      </c>
      <c r="F95" s="4">
        <v>514</v>
      </c>
      <c r="G95" s="4">
        <v>104</v>
      </c>
      <c r="H95" s="4">
        <v>125</v>
      </c>
      <c r="I95" s="4">
        <v>150</v>
      </c>
      <c r="J95" s="4">
        <v>198</v>
      </c>
      <c r="K95" s="4">
        <v>720</v>
      </c>
      <c r="L95" s="4">
        <v>798</v>
      </c>
      <c r="M95" s="4">
        <v>121</v>
      </c>
      <c r="N95" s="4">
        <v>168</v>
      </c>
      <c r="O95" s="4">
        <v>173</v>
      </c>
      <c r="P95" s="4">
        <v>236</v>
      </c>
      <c r="Q95" s="4">
        <v>2092</v>
      </c>
      <c r="R95" s="4">
        <v>2596</v>
      </c>
      <c r="S95" s="4">
        <v>135</v>
      </c>
      <c r="T95" s="4">
        <v>201</v>
      </c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</row>
    <row r="96" spans="1:56">
      <c r="A96" s="4" t="s">
        <v>181</v>
      </c>
      <c r="B96" s="4" t="s">
        <v>73</v>
      </c>
      <c r="C96" s="4">
        <v>258</v>
      </c>
      <c r="D96" s="4">
        <v>262</v>
      </c>
      <c r="E96" s="4">
        <v>890</v>
      </c>
      <c r="F96" s="4">
        <v>796</v>
      </c>
      <c r="G96" s="4">
        <v>200</v>
      </c>
      <c r="H96" s="4">
        <v>214</v>
      </c>
      <c r="I96" s="4">
        <v>301</v>
      </c>
      <c r="J96" s="4">
        <v>334</v>
      </c>
      <c r="K96" s="4">
        <v>1238</v>
      </c>
      <c r="L96" s="4">
        <v>1341</v>
      </c>
      <c r="M96" s="4">
        <v>250</v>
      </c>
      <c r="N96" s="4">
        <v>286</v>
      </c>
      <c r="O96" s="4">
        <v>347</v>
      </c>
      <c r="P96" s="4">
        <v>383</v>
      </c>
      <c r="Q96" s="4">
        <v>3169</v>
      </c>
      <c r="R96" s="4">
        <v>3831</v>
      </c>
      <c r="S96" s="4">
        <v>291</v>
      </c>
      <c r="T96" s="4">
        <v>323</v>
      </c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</row>
    <row r="97" spans="1:56">
      <c r="A97" s="4" t="s">
        <v>181</v>
      </c>
      <c r="B97" s="4" t="s">
        <v>63</v>
      </c>
      <c r="C97" s="4">
        <v>315</v>
      </c>
      <c r="D97" s="4">
        <v>294</v>
      </c>
      <c r="E97" s="4">
        <v>1155</v>
      </c>
      <c r="F97" s="4">
        <v>1173</v>
      </c>
      <c r="G97" s="4">
        <v>231</v>
      </c>
      <c r="H97" s="4">
        <v>258</v>
      </c>
      <c r="I97" s="4">
        <v>332</v>
      </c>
      <c r="J97" s="4">
        <v>358</v>
      </c>
      <c r="K97" s="4">
        <v>2013</v>
      </c>
      <c r="L97" s="4">
        <v>2037</v>
      </c>
      <c r="M97" s="4">
        <v>285</v>
      </c>
      <c r="N97" s="4">
        <v>306</v>
      </c>
      <c r="O97" s="4">
        <v>400</v>
      </c>
      <c r="P97" s="4">
        <v>423</v>
      </c>
      <c r="Q97" s="4">
        <v>7734</v>
      </c>
      <c r="R97" s="4">
        <v>7192</v>
      </c>
      <c r="S97" s="4">
        <v>332</v>
      </c>
      <c r="T97" s="4">
        <v>349</v>
      </c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</row>
    <row r="98" spans="1:56">
      <c r="A98" s="4" t="s">
        <v>181</v>
      </c>
      <c r="B98" s="4" t="s">
        <v>59</v>
      </c>
      <c r="C98" s="4">
        <v>311</v>
      </c>
      <c r="D98" s="4">
        <v>313</v>
      </c>
      <c r="E98" s="4">
        <v>862</v>
      </c>
      <c r="F98" s="4">
        <v>895</v>
      </c>
      <c r="G98" s="4">
        <v>241</v>
      </c>
      <c r="H98" s="4">
        <v>267</v>
      </c>
      <c r="I98" s="4">
        <v>507</v>
      </c>
      <c r="J98" s="4">
        <v>529</v>
      </c>
      <c r="K98" s="4">
        <v>1170</v>
      </c>
      <c r="L98" s="4">
        <v>1254</v>
      </c>
      <c r="M98" s="4">
        <v>398</v>
      </c>
      <c r="N98" s="4">
        <v>437</v>
      </c>
      <c r="O98" s="4">
        <v>546</v>
      </c>
      <c r="P98" s="4">
        <v>555</v>
      </c>
      <c r="Q98" s="4">
        <v>2821</v>
      </c>
      <c r="R98" s="4">
        <v>3193</v>
      </c>
      <c r="S98" s="4">
        <v>542</v>
      </c>
      <c r="T98" s="4">
        <v>452</v>
      </c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</row>
    <row r="99" spans="1:56">
      <c r="A99" s="4" t="s">
        <v>181</v>
      </c>
      <c r="B99" s="4" t="s">
        <v>68</v>
      </c>
      <c r="C99" s="4">
        <v>3159</v>
      </c>
      <c r="D99" s="4">
        <v>3687</v>
      </c>
      <c r="E99" s="4">
        <v>13356</v>
      </c>
      <c r="F99" s="4">
        <v>13495</v>
      </c>
      <c r="G99" s="4">
        <v>2371</v>
      </c>
      <c r="H99" s="4">
        <v>2828</v>
      </c>
      <c r="I99" s="4">
        <v>4591</v>
      </c>
      <c r="J99" s="4">
        <v>5223</v>
      </c>
      <c r="K99" s="4">
        <v>25315</v>
      </c>
      <c r="L99" s="4">
        <v>27071</v>
      </c>
      <c r="M99" s="4">
        <v>3573</v>
      </c>
      <c r="N99" s="4">
        <v>4208</v>
      </c>
      <c r="O99" s="4">
        <v>6348</v>
      </c>
      <c r="P99" s="4">
        <v>7056</v>
      </c>
      <c r="Q99" s="4">
        <v>99210</v>
      </c>
      <c r="R99" s="4">
        <v>98900</v>
      </c>
      <c r="S99" s="4">
        <v>5142</v>
      </c>
      <c r="T99" s="4">
        <v>6218</v>
      </c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</row>
    <row r="100" spans="1:56">
      <c r="A100" s="4" t="s">
        <v>181</v>
      </c>
      <c r="B100" s="4" t="s">
        <v>34</v>
      </c>
      <c r="C100" s="4">
        <v>2062</v>
      </c>
      <c r="D100" s="4">
        <v>2318</v>
      </c>
      <c r="E100" s="4">
        <v>9651</v>
      </c>
      <c r="F100" s="4">
        <v>12248</v>
      </c>
      <c r="G100" s="4">
        <v>1686</v>
      </c>
      <c r="H100" s="4">
        <v>1809</v>
      </c>
      <c r="I100" s="4">
        <v>2558</v>
      </c>
      <c r="J100" s="4">
        <v>2814</v>
      </c>
      <c r="K100" s="4">
        <v>14882</v>
      </c>
      <c r="L100" s="4">
        <v>16699</v>
      </c>
      <c r="M100" s="4">
        <v>2147</v>
      </c>
      <c r="N100" s="4">
        <v>2281</v>
      </c>
      <c r="O100" s="4">
        <v>3103</v>
      </c>
      <c r="P100" s="4">
        <v>4192</v>
      </c>
      <c r="Q100" s="4">
        <v>54642</v>
      </c>
      <c r="R100" s="4">
        <v>53125</v>
      </c>
      <c r="S100" s="4">
        <v>2545</v>
      </c>
      <c r="T100" s="4">
        <v>2834</v>
      </c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</row>
    <row r="101" spans="1:56">
      <c r="A101" s="4" t="s">
        <v>181</v>
      </c>
      <c r="B101" s="4" t="s">
        <v>4</v>
      </c>
      <c r="C101" s="4">
        <v>586</v>
      </c>
      <c r="D101" s="4">
        <v>673</v>
      </c>
      <c r="E101" s="4">
        <v>3037</v>
      </c>
      <c r="F101" s="4">
        <v>3126</v>
      </c>
      <c r="G101" s="4">
        <v>464</v>
      </c>
      <c r="H101" s="4">
        <v>550</v>
      </c>
      <c r="I101" s="4">
        <v>723</v>
      </c>
      <c r="J101" s="4">
        <v>848</v>
      </c>
      <c r="K101" s="4">
        <v>5105</v>
      </c>
      <c r="L101" s="4">
        <v>5318</v>
      </c>
      <c r="M101" s="4">
        <v>582</v>
      </c>
      <c r="N101" s="4">
        <v>708</v>
      </c>
      <c r="O101" s="4">
        <v>866</v>
      </c>
      <c r="P101" s="4">
        <v>978</v>
      </c>
      <c r="Q101" s="4">
        <v>15239</v>
      </c>
      <c r="R101" s="4">
        <v>16460</v>
      </c>
      <c r="S101" s="4">
        <v>888</v>
      </c>
      <c r="T101" s="4">
        <v>810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</row>
    <row r="102" spans="1:56">
      <c r="A102" s="4" t="s">
        <v>173</v>
      </c>
      <c r="B102" s="4" t="s">
        <v>70</v>
      </c>
      <c r="C102" s="4">
        <v>133</v>
      </c>
      <c r="D102" s="4">
        <v>159</v>
      </c>
      <c r="E102" s="4">
        <v>534</v>
      </c>
      <c r="F102" s="4">
        <v>717</v>
      </c>
      <c r="G102" s="4">
        <v>108</v>
      </c>
      <c r="H102" s="4">
        <v>125</v>
      </c>
      <c r="I102" s="4">
        <v>169</v>
      </c>
      <c r="J102" s="4">
        <v>195</v>
      </c>
      <c r="K102" s="4">
        <v>820</v>
      </c>
      <c r="L102" s="4">
        <v>1024</v>
      </c>
      <c r="M102" s="4">
        <v>136</v>
      </c>
      <c r="N102" s="4">
        <v>168</v>
      </c>
      <c r="O102" s="4">
        <v>201</v>
      </c>
      <c r="P102" s="4">
        <v>266</v>
      </c>
      <c r="Q102" s="4">
        <v>2778</v>
      </c>
      <c r="R102" s="4">
        <v>3241</v>
      </c>
      <c r="S102" s="4">
        <v>194</v>
      </c>
      <c r="T102" s="4">
        <v>181</v>
      </c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</row>
    <row r="103" spans="1:56">
      <c r="A103" s="4" t="s">
        <v>173</v>
      </c>
      <c r="B103" s="4" t="s">
        <v>87</v>
      </c>
      <c r="C103" s="4">
        <v>54</v>
      </c>
      <c r="D103" s="4">
        <v>58</v>
      </c>
      <c r="E103" s="4">
        <v>400</v>
      </c>
      <c r="F103" s="4">
        <v>331</v>
      </c>
      <c r="G103" s="4">
        <v>41</v>
      </c>
      <c r="H103" s="4">
        <v>41</v>
      </c>
      <c r="I103" s="4">
        <v>68</v>
      </c>
      <c r="J103" s="4">
        <v>70</v>
      </c>
      <c r="K103" s="4">
        <v>503</v>
      </c>
      <c r="L103" s="4">
        <v>495</v>
      </c>
      <c r="M103" s="4">
        <v>55</v>
      </c>
      <c r="N103" s="4">
        <v>56</v>
      </c>
      <c r="O103" s="4">
        <v>84</v>
      </c>
      <c r="P103" s="4">
        <v>89</v>
      </c>
      <c r="Q103" s="4">
        <v>1383</v>
      </c>
      <c r="R103" s="4">
        <v>1494</v>
      </c>
      <c r="S103" s="4">
        <v>62</v>
      </c>
      <c r="T103" s="4">
        <v>67</v>
      </c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</row>
    <row r="104" spans="1:56">
      <c r="A104" s="4" t="s">
        <v>173</v>
      </c>
      <c r="B104" s="4" t="s">
        <v>19</v>
      </c>
      <c r="C104" s="4">
        <v>1155</v>
      </c>
      <c r="D104" s="4">
        <v>1310</v>
      </c>
      <c r="E104" s="4">
        <v>3681</v>
      </c>
      <c r="F104" s="4">
        <v>3754</v>
      </c>
      <c r="G104" s="4">
        <v>997</v>
      </c>
      <c r="H104" s="4">
        <v>1071</v>
      </c>
      <c r="I104" s="4">
        <v>1336</v>
      </c>
      <c r="J104" s="4">
        <v>1566</v>
      </c>
      <c r="K104" s="4">
        <v>5205</v>
      </c>
      <c r="L104" s="4">
        <v>6552</v>
      </c>
      <c r="M104" s="4">
        <v>1088</v>
      </c>
      <c r="N104" s="4">
        <v>1267</v>
      </c>
      <c r="O104" s="4">
        <v>1500</v>
      </c>
      <c r="P104" s="4">
        <v>1820</v>
      </c>
      <c r="Q104" s="4">
        <v>18832</v>
      </c>
      <c r="R104" s="4">
        <v>17897</v>
      </c>
      <c r="S104" s="4">
        <v>1290</v>
      </c>
      <c r="T104" s="4">
        <v>1511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</row>
    <row r="105" spans="1:56">
      <c r="A105" s="4" t="s">
        <v>173</v>
      </c>
      <c r="B105" s="4" t="s">
        <v>38</v>
      </c>
      <c r="C105" s="4">
        <v>11174</v>
      </c>
      <c r="D105" s="4">
        <v>13882</v>
      </c>
      <c r="E105" s="4">
        <v>33698</v>
      </c>
      <c r="F105" s="4">
        <v>41870</v>
      </c>
      <c r="G105" s="4">
        <v>8695</v>
      </c>
      <c r="H105" s="4">
        <v>10682</v>
      </c>
      <c r="I105" s="4">
        <v>14647</v>
      </c>
      <c r="J105" s="4">
        <v>19724</v>
      </c>
      <c r="K105" s="4">
        <v>63733</v>
      </c>
      <c r="L105" s="4">
        <v>77018</v>
      </c>
      <c r="M105" s="4">
        <v>11906</v>
      </c>
      <c r="N105" s="4">
        <v>14762</v>
      </c>
      <c r="O105" s="4">
        <v>19490</v>
      </c>
      <c r="P105" s="4">
        <v>25606</v>
      </c>
      <c r="Q105" s="4">
        <v>175147</v>
      </c>
      <c r="R105" s="4">
        <v>257119</v>
      </c>
      <c r="S105" s="4">
        <v>15903</v>
      </c>
      <c r="T105" s="4">
        <v>20940</v>
      </c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</row>
    <row r="106" spans="1:56">
      <c r="A106" s="4" t="s">
        <v>179</v>
      </c>
      <c r="B106" s="4" t="s">
        <v>42</v>
      </c>
      <c r="C106" s="4">
        <v>5349</v>
      </c>
      <c r="D106" s="4">
        <v>6781</v>
      </c>
      <c r="E106" s="4">
        <v>11106</v>
      </c>
      <c r="F106" s="4">
        <v>9754</v>
      </c>
      <c r="G106" s="4">
        <v>3842</v>
      </c>
      <c r="H106" s="4">
        <v>4959</v>
      </c>
      <c r="I106" s="4">
        <v>7661</v>
      </c>
      <c r="J106" s="4">
        <v>9573</v>
      </c>
      <c r="K106" s="4">
        <v>18633</v>
      </c>
      <c r="L106" s="4">
        <v>20765</v>
      </c>
      <c r="M106" s="4">
        <v>5810</v>
      </c>
      <c r="N106" s="4">
        <v>7606</v>
      </c>
      <c r="O106" s="4">
        <v>9955</v>
      </c>
      <c r="P106" s="4">
        <v>13126</v>
      </c>
      <c r="Q106" s="4">
        <v>50845</v>
      </c>
      <c r="R106" s="4">
        <v>53300</v>
      </c>
      <c r="S106" s="4">
        <v>8006</v>
      </c>
      <c r="T106" s="4">
        <v>10726</v>
      </c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</row>
    <row r="134" spans="1:5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</row>
    <row r="135" spans="1:5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</row>
    <row r="136" spans="1:5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</row>
    <row r="137" spans="1:5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</row>
    <row r="138" spans="1:5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</row>
    <row r="139" spans="1:5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</row>
    <row r="140" spans="1:5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</row>
    <row r="141" spans="1:5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</row>
    <row r="142" spans="1:5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</row>
    <row r="143" spans="1:5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</row>
    <row r="144" spans="1:5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</row>
    <row r="145" spans="1:5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</row>
    <row r="146" spans="1:5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</row>
    <row r="147" spans="1:5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</row>
    <row r="148" spans="1:5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</row>
    <row r="149" spans="1:5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</row>
    <row r="150" spans="1:5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</row>
    <row r="151" spans="1:5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</row>
    <row r="152" spans="1:5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</row>
    <row r="153" spans="1:5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</row>
    <row r="154" spans="1:5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</row>
    <row r="155" spans="1:5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</row>
    <row r="156" spans="1: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</row>
    <row r="157" spans="1:5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</row>
    <row r="158" spans="1:5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</row>
    <row r="159" spans="1:5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</row>
    <row r="160" spans="1:5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</row>
    <row r="161" spans="1:5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</row>
    <row r="162" spans="1:5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</row>
    <row r="163" spans="1:5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</row>
    <row r="164" spans="1:5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</row>
    <row r="165" spans="1:5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</row>
    <row r="166" spans="1:5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</row>
    <row r="167" spans="1:5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</row>
    <row r="168" spans="1:5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</row>
    <row r="169" spans="1:5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</row>
    <row r="170" spans="1:5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</row>
    <row r="171" spans="1:5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</row>
    <row r="172" spans="1:5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</row>
    <row r="173" spans="1:5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</row>
    <row r="174" spans="1:5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</row>
    <row r="175" spans="1:5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</row>
    <row r="176" spans="1:5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</row>
    <row r="177" spans="1:5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</row>
    <row r="178" spans="1:5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</row>
    <row r="179" spans="1:5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</row>
    <row r="180" spans="1:5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</row>
    <row r="181" spans="1:5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</row>
    <row r="182" spans="1:5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</row>
    <row r="183" spans="1:5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</row>
    <row r="184" spans="1:5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</row>
    <row r="185" spans="1:5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</row>
    <row r="186" spans="1:5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</row>
    <row r="187" spans="1:5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</row>
    <row r="188" spans="1:5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</row>
    <row r="189" spans="1:5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</row>
    <row r="190" spans="1:5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</row>
    <row r="191" spans="1:5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</row>
    <row r="192" spans="1:5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</row>
    <row r="193" spans="1:5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</row>
    <row r="194" spans="1:5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</row>
    <row r="195" spans="1:5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</row>
    <row r="196" spans="1:5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</row>
    <row r="197" spans="1:5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</row>
    <row r="198" spans="1:5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</row>
    <row r="199" spans="1:5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</row>
    <row r="200" spans="1:5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</row>
    <row r="201" spans="1:5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</row>
    <row r="202" spans="1:5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</row>
    <row r="203" spans="1:5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</row>
    <row r="204" spans="1:5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</row>
    <row r="205" spans="1:5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</row>
    <row r="206" spans="1:5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</row>
    <row r="207" spans="1:5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</row>
    <row r="208" spans="1:5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</row>
    <row r="209" spans="1:5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</row>
    <row r="210" spans="1:5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</row>
    <row r="211" spans="1:5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</row>
    <row r="212" spans="1:5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</row>
    <row r="213" spans="1:5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</row>
    <row r="214" spans="1:5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</row>
    <row r="215" spans="1:5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</row>
    <row r="216" spans="1:5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</row>
    <row r="217" spans="1:5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</row>
    <row r="218" spans="1:5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</row>
    <row r="219" spans="1:5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</row>
    <row r="220" spans="1:5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42" activePane="bottomLeft" state="frozen"/>
      <selection pane="bottomLeft" activeCell="AJ76" sqref="A76:XFD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7" t="s">
        <v>202</v>
      </c>
      <c r="C1" s="7"/>
      <c r="D1" s="7"/>
      <c r="E1" s="7"/>
      <c r="F1" s="7" t="s">
        <v>203</v>
      </c>
      <c r="G1" s="7"/>
      <c r="H1" s="7"/>
      <c r="I1" s="7"/>
      <c r="J1" s="7" t="s">
        <v>211</v>
      </c>
      <c r="K1" s="7"/>
      <c r="L1" s="7"/>
      <c r="M1" s="7"/>
      <c r="N1" s="7" t="s">
        <v>204</v>
      </c>
      <c r="O1" s="7"/>
      <c r="P1" s="7"/>
      <c r="Q1" s="7"/>
      <c r="R1" s="7" t="s">
        <v>210</v>
      </c>
      <c r="S1" s="7"/>
      <c r="T1" s="7"/>
      <c r="U1" s="7"/>
      <c r="W1" s="7" t="s">
        <v>202</v>
      </c>
      <c r="X1" s="7"/>
      <c r="Y1" s="7"/>
      <c r="Z1" s="7"/>
      <c r="AA1" s="7" t="s">
        <v>212</v>
      </c>
      <c r="AB1" s="7"/>
      <c r="AC1" s="7"/>
      <c r="AD1" s="7"/>
      <c r="AE1" s="7" t="s">
        <v>205</v>
      </c>
      <c r="AF1" s="7"/>
      <c r="AG1" s="7"/>
      <c r="AH1" s="7"/>
      <c r="AI1" s="7" t="s">
        <v>213</v>
      </c>
      <c r="AJ1" s="7"/>
      <c r="AK1" s="7"/>
      <c r="AL1" s="7"/>
      <c r="AM1" s="7" t="s">
        <v>206</v>
      </c>
      <c r="AN1" s="7"/>
      <c r="AO1" s="7"/>
      <c r="AP1" s="7"/>
      <c r="AR1" s="7" t="s">
        <v>203</v>
      </c>
      <c r="AS1" s="7"/>
      <c r="AT1" s="7"/>
      <c r="AU1" s="7"/>
      <c r="AV1" s="7" t="s">
        <v>212</v>
      </c>
      <c r="AW1" s="7"/>
      <c r="AX1" s="7"/>
      <c r="AY1" s="7"/>
      <c r="AZ1" s="7" t="s">
        <v>207</v>
      </c>
      <c r="BA1" s="7"/>
      <c r="BB1" s="7"/>
      <c r="BC1" s="7"/>
      <c r="BD1" s="7" t="s">
        <v>208</v>
      </c>
      <c r="BE1" s="7"/>
      <c r="BF1" s="7"/>
      <c r="BG1" s="7"/>
      <c r="BH1" s="7" t="s">
        <v>209</v>
      </c>
      <c r="BI1" s="7"/>
      <c r="BJ1" s="7"/>
      <c r="BK1" s="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165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165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166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293</v>
      </c>
      <c r="C73">
        <v>21</v>
      </c>
      <c r="D73">
        <v>0</v>
      </c>
      <c r="E73">
        <v>0</v>
      </c>
      <c r="F73">
        <v>293</v>
      </c>
      <c r="G73">
        <v>21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293</v>
      </c>
      <c r="X73">
        <v>21</v>
      </c>
      <c r="Y73">
        <v>0</v>
      </c>
      <c r="Z73">
        <v>0</v>
      </c>
      <c r="AA73">
        <v>293</v>
      </c>
      <c r="AB73">
        <v>21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293</v>
      </c>
      <c r="AS73">
        <v>21</v>
      </c>
      <c r="AT73">
        <v>0</v>
      </c>
      <c r="AU73">
        <v>0</v>
      </c>
      <c r="AV73">
        <v>293</v>
      </c>
      <c r="AW73">
        <v>21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69</v>
      </c>
      <c r="S76">
        <v>1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81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80</v>
      </c>
      <c r="S81">
        <v>14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81</v>
      </c>
      <c r="AF81">
        <v>13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80</v>
      </c>
      <c r="AN81">
        <v>14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152</v>
      </c>
      <c r="C105">
        <v>16</v>
      </c>
      <c r="D105">
        <v>0</v>
      </c>
      <c r="E105">
        <v>0</v>
      </c>
      <c r="F105">
        <v>152</v>
      </c>
      <c r="G105">
        <v>16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152</v>
      </c>
      <c r="X105">
        <v>16</v>
      </c>
      <c r="Y105">
        <v>0</v>
      </c>
      <c r="Z105">
        <v>0</v>
      </c>
      <c r="AA105">
        <v>152</v>
      </c>
      <c r="AB105">
        <v>16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152</v>
      </c>
      <c r="AS105">
        <v>16</v>
      </c>
      <c r="AT105">
        <v>0</v>
      </c>
      <c r="AU105">
        <v>0</v>
      </c>
      <c r="AV105">
        <v>152</v>
      </c>
      <c r="AW105">
        <v>16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651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651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10794</v>
      </c>
      <c r="C108" s="1">
        <f t="shared" ref="C108:BK108" si="0">SUM(C3:C107)</f>
        <v>443</v>
      </c>
      <c r="D108" s="1">
        <f t="shared" si="0"/>
        <v>0</v>
      </c>
      <c r="E108" s="1">
        <f t="shared" si="0"/>
        <v>0</v>
      </c>
      <c r="F108" s="1">
        <f t="shared" si="0"/>
        <v>10793</v>
      </c>
      <c r="G108" s="1">
        <f t="shared" si="0"/>
        <v>444</v>
      </c>
      <c r="H108" s="1">
        <f t="shared" si="0"/>
        <v>0</v>
      </c>
      <c r="I108" s="1">
        <f t="shared" si="0"/>
        <v>0</v>
      </c>
      <c r="J108" s="1">
        <f t="shared" si="0"/>
        <v>11362</v>
      </c>
      <c r="K108" s="1">
        <f t="shared" si="0"/>
        <v>37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30</v>
      </c>
      <c r="Q108" s="1">
        <f t="shared" si="0"/>
        <v>0</v>
      </c>
      <c r="R108" s="1">
        <f t="shared" si="0"/>
        <v>11202</v>
      </c>
      <c r="S108" s="1">
        <f t="shared" si="0"/>
        <v>35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10794</v>
      </c>
      <c r="X108" s="1">
        <f t="shared" si="0"/>
        <v>443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11362</v>
      </c>
      <c r="AF108" s="1">
        <f t="shared" si="0"/>
        <v>37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30</v>
      </c>
      <c r="AL108" s="1">
        <f t="shared" si="0"/>
        <v>0</v>
      </c>
      <c r="AM108" s="1">
        <f t="shared" si="0"/>
        <v>11203</v>
      </c>
      <c r="AN108" s="1">
        <f t="shared" si="0"/>
        <v>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10793</v>
      </c>
      <c r="AS108" s="1">
        <f t="shared" si="0"/>
        <v>444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11399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0</v>
      </c>
      <c r="BJ108" s="1">
        <f t="shared" si="0"/>
        <v>1</v>
      </c>
      <c r="BK108" s="1">
        <f t="shared" si="0"/>
        <v>0</v>
      </c>
    </row>
  </sheetData>
  <sortState ref="V3:AP107">
    <sortCondition ref="V3:V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workbookViewId="0">
      <pane ySplit="2" topLeftCell="A3" activePane="bottomLeft" state="frozen"/>
      <selection pane="bottomLeft" activeCell="V1" sqref="V1:V1048576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7" t="s">
        <v>215</v>
      </c>
      <c r="C1" s="7"/>
      <c r="D1" s="7"/>
      <c r="E1" s="7"/>
      <c r="F1" s="7" t="s">
        <v>214</v>
      </c>
      <c r="G1" s="7"/>
      <c r="H1" s="7"/>
      <c r="I1" s="7"/>
      <c r="J1" s="7" t="s">
        <v>216</v>
      </c>
      <c r="K1" s="7"/>
      <c r="L1" s="7"/>
      <c r="M1" s="7"/>
      <c r="N1" s="7" t="s">
        <v>217</v>
      </c>
      <c r="O1" s="7"/>
      <c r="P1" s="7"/>
      <c r="Q1" s="7"/>
      <c r="R1" s="7" t="s">
        <v>218</v>
      </c>
      <c r="S1" s="7"/>
      <c r="T1" s="7"/>
      <c r="U1" s="7"/>
      <c r="W1" s="7" t="s">
        <v>215</v>
      </c>
      <c r="X1" s="7"/>
      <c r="Y1" s="7"/>
      <c r="Z1" s="7"/>
      <c r="AA1" s="7" t="s">
        <v>219</v>
      </c>
      <c r="AB1" s="7"/>
      <c r="AC1" s="7"/>
      <c r="AD1" s="7"/>
      <c r="AE1" s="7" t="s">
        <v>220</v>
      </c>
      <c r="AF1" s="7"/>
      <c r="AG1" s="7"/>
      <c r="AH1" s="7"/>
      <c r="AI1" s="7" t="s">
        <v>221</v>
      </c>
      <c r="AJ1" s="7"/>
      <c r="AK1" s="7"/>
      <c r="AL1" s="7"/>
      <c r="AM1" s="7" t="s">
        <v>222</v>
      </c>
      <c r="AN1" s="7"/>
      <c r="AO1" s="7"/>
      <c r="AP1" s="7"/>
      <c r="AR1" s="7" t="s">
        <v>214</v>
      </c>
      <c r="AS1" s="7"/>
      <c r="AT1" s="7"/>
      <c r="AU1" s="7"/>
      <c r="AV1" s="7" t="s">
        <v>219</v>
      </c>
      <c r="AW1" s="7"/>
      <c r="AX1" s="7"/>
      <c r="AY1" s="7"/>
      <c r="AZ1" s="7" t="s">
        <v>223</v>
      </c>
      <c r="BA1" s="7"/>
      <c r="BB1" s="7"/>
      <c r="BC1" s="7"/>
      <c r="BD1" s="7" t="s">
        <v>224</v>
      </c>
      <c r="BE1" s="7"/>
      <c r="BF1" s="7"/>
      <c r="BG1" s="7"/>
      <c r="BH1" s="7" t="s">
        <v>225</v>
      </c>
      <c r="BI1" s="7"/>
      <c r="BJ1" s="7"/>
      <c r="BK1" s="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137</v>
      </c>
      <c r="S16">
        <v>4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137</v>
      </c>
      <c r="AN16">
        <v>4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146</v>
      </c>
      <c r="K41">
        <v>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146</v>
      </c>
      <c r="AF41">
        <v>2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955</v>
      </c>
      <c r="K60">
        <v>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955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606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606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309</v>
      </c>
      <c r="C74">
        <v>3</v>
      </c>
      <c r="D74">
        <v>0</v>
      </c>
      <c r="E74">
        <v>0</v>
      </c>
      <c r="F74">
        <v>309</v>
      </c>
      <c r="G74">
        <v>3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309</v>
      </c>
      <c r="X74">
        <v>3</v>
      </c>
      <c r="Y74">
        <v>0</v>
      </c>
      <c r="Z74">
        <v>0</v>
      </c>
      <c r="AA74">
        <v>309</v>
      </c>
      <c r="AB74">
        <v>3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309</v>
      </c>
      <c r="AS74">
        <v>3</v>
      </c>
      <c r="AT74">
        <v>0</v>
      </c>
      <c r="AU74">
        <v>0</v>
      </c>
      <c r="AV74">
        <v>309</v>
      </c>
      <c r="AW74">
        <v>3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0</v>
      </c>
      <c r="X79">
        <v>0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0</v>
      </c>
      <c r="AS79">
        <v>0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8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8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68</v>
      </c>
      <c r="C81">
        <v>26</v>
      </c>
      <c r="D81">
        <v>0</v>
      </c>
      <c r="E81">
        <v>0</v>
      </c>
      <c r="F81">
        <v>68</v>
      </c>
      <c r="G81">
        <v>26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68</v>
      </c>
      <c r="X81">
        <v>26</v>
      </c>
      <c r="Y81">
        <v>0</v>
      </c>
      <c r="Z81">
        <v>0</v>
      </c>
      <c r="AA81">
        <v>68</v>
      </c>
      <c r="AB81">
        <v>26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68</v>
      </c>
      <c r="AS81">
        <v>26</v>
      </c>
      <c r="AT81">
        <v>0</v>
      </c>
      <c r="AU81">
        <v>0</v>
      </c>
      <c r="AV81">
        <v>68</v>
      </c>
      <c r="AW81">
        <v>26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644</v>
      </c>
      <c r="K106">
        <v>10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644</v>
      </c>
      <c r="AF106">
        <v>10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dom71dom61'!B3:B107)</f>
        <v>10759</v>
      </c>
      <c r="C108" s="1">
        <f>SUM('accuracy dom71dom61'!C3:C107)</f>
        <v>403</v>
      </c>
      <c r="D108" s="1">
        <f>SUM('accuracy dom71dom61'!D3:D107)</f>
        <v>0</v>
      </c>
      <c r="E108" s="1">
        <f>SUM('accuracy dom71dom61'!E3:E107)</f>
        <v>0</v>
      </c>
      <c r="F108" s="1">
        <f>SUM('accuracy dom71dom61'!F3:F107)</f>
        <v>10808</v>
      </c>
      <c r="G108" s="1">
        <f>SUM('accuracy dom71dom61'!G3:G107)</f>
        <v>410</v>
      </c>
      <c r="H108" s="1">
        <f>SUM('accuracy dom71dom61'!H3:H107)</f>
        <v>0</v>
      </c>
      <c r="I108" s="1">
        <f>SUM('accuracy dom71dom61'!I3:I107)</f>
        <v>0</v>
      </c>
      <c r="J108" s="1">
        <f>SUM('accuracy dom71dom61'!J3:J107)</f>
        <v>11341</v>
      </c>
      <c r="K108" s="1">
        <f>SUM('accuracy dom71dom61'!K3:K107)</f>
        <v>58</v>
      </c>
      <c r="L108" s="1">
        <f>SUM('accuracy dom71dom61'!L3:L107)</f>
        <v>0</v>
      </c>
      <c r="M108" s="1">
        <f>SUM('accuracy dom71dom61'!M3:M107)</f>
        <v>0</v>
      </c>
      <c r="N108" s="1">
        <f>SUM('accuracy dom71dom61'!N3:N107)</f>
        <v>2373</v>
      </c>
      <c r="O108" s="1">
        <f>SUM('accuracy dom71dom61'!O3:O107)</f>
        <v>13</v>
      </c>
      <c r="P108" s="1">
        <f>SUM('accuracy dom71dom61'!P3:P107)</f>
        <v>28</v>
      </c>
      <c r="Q108" s="1">
        <f>SUM('accuracy dom71dom61'!Q3:Q107)</f>
        <v>1</v>
      </c>
      <c r="R108" s="1">
        <f>SUM('accuracy dom71dom61'!R3:R107)</f>
        <v>3653</v>
      </c>
      <c r="S108" s="1">
        <f>SUM('accuracy dom71dom61'!S3:S107)</f>
        <v>18</v>
      </c>
      <c r="T108" s="1">
        <f>SUM('accuracy dom71dom61'!T3:T107)</f>
        <v>0</v>
      </c>
      <c r="U108" s="1">
        <f>SUM('accuracy dom71dom61'!U3:U107)</f>
        <v>0</v>
      </c>
      <c r="V108" s="1">
        <f>SUM('accuracy dom71dom61'!V3:V107)</f>
        <v>0</v>
      </c>
      <c r="W108" s="1">
        <f>SUM('accuracy dom71dom61'!W3:W107)</f>
        <v>10759</v>
      </c>
      <c r="X108" s="1">
        <f>SUM('accuracy dom71dom61'!X3:X107)</f>
        <v>403</v>
      </c>
      <c r="Y108" s="1">
        <f>SUM('accuracy dom71dom61'!Y3:Y107)</f>
        <v>0</v>
      </c>
      <c r="Z108" s="1">
        <f>SUM('accuracy dom71dom61'!Z3:Z107)</f>
        <v>0</v>
      </c>
      <c r="AA108" s="1">
        <f>SUM('accuracy dom71dom61'!AA3:AA107)</f>
        <v>10822</v>
      </c>
      <c r="AB108" s="1">
        <f>SUM('accuracy dom71dom61'!AB3:AB107)</f>
        <v>415</v>
      </c>
      <c r="AC108" s="1">
        <f>SUM('accuracy dom71dom61'!AC3:AC107)</f>
        <v>0</v>
      </c>
      <c r="AD108" s="1">
        <f>SUM('accuracy dom71dom61'!AD3:AD107)</f>
        <v>0</v>
      </c>
      <c r="AE108" s="1">
        <f>SUM('accuracy dom71dom61'!AE3:AE107)</f>
        <v>11341</v>
      </c>
      <c r="AF108" s="1">
        <f>SUM('accuracy dom71dom61'!AF3:AF107)</f>
        <v>58</v>
      </c>
      <c r="AG108" s="1">
        <f>SUM('accuracy dom71dom61'!AG3:AG107)</f>
        <v>0</v>
      </c>
      <c r="AH108" s="1">
        <f>SUM('accuracy dom71dom61'!AH3:AH107)</f>
        <v>0</v>
      </c>
      <c r="AI108" s="1">
        <f>SUM('accuracy dom71dom61'!AI3:AI107)</f>
        <v>2373</v>
      </c>
      <c r="AJ108" s="1">
        <f>SUM('accuracy dom71dom61'!AJ3:AJ107)</f>
        <v>13</v>
      </c>
      <c r="AK108" s="1">
        <f>SUM('accuracy dom71dom61'!AK3:AK107)</f>
        <v>28</v>
      </c>
      <c r="AL108" s="1">
        <f>SUM('accuracy dom71dom61'!AL3:AL107)</f>
        <v>1</v>
      </c>
      <c r="AM108" s="1">
        <f>SUM('accuracy dom71dom61'!AM3:AM107)</f>
        <v>3653</v>
      </c>
      <c r="AN108" s="1">
        <f>SUM('accuracy dom71dom61'!AN3:AN107)</f>
        <v>18</v>
      </c>
      <c r="AO108" s="1">
        <f>SUM('accuracy dom71dom61'!AO3:AO107)</f>
        <v>0</v>
      </c>
      <c r="AP108" s="1">
        <f>SUM('accuracy dom71dom61'!AP3:AP107)</f>
        <v>0</v>
      </c>
      <c r="AQ108" s="1">
        <f>SUM('accuracy dom71dom61'!AQ3:AQ107)</f>
        <v>0</v>
      </c>
      <c r="AR108" s="1">
        <f>SUM('accuracy dom71dom61'!AR3:AR107)</f>
        <v>10808</v>
      </c>
      <c r="AS108" s="1">
        <f>SUM('accuracy dom71dom61'!AS3:AS107)</f>
        <v>410</v>
      </c>
      <c r="AT108" s="1">
        <f>SUM('accuracy dom71dom61'!AT3:AT107)</f>
        <v>0</v>
      </c>
      <c r="AU108" s="1">
        <f>SUM('accuracy dom71dom61'!AU3:AU107)</f>
        <v>0</v>
      </c>
      <c r="AV108" s="1">
        <f>SUM('accuracy dom71dom61'!AV3:AV107)</f>
        <v>10822</v>
      </c>
      <c r="AW108" s="1">
        <f>SUM('accuracy dom71dom61'!AW3:AW107)</f>
        <v>415</v>
      </c>
      <c r="AX108" s="1">
        <f>SUM('accuracy dom71dom61'!AX3:AX107)</f>
        <v>0</v>
      </c>
      <c r="AY108" s="1">
        <f>SUM('accuracy dom71dom61'!AY3:AY107)</f>
        <v>0</v>
      </c>
      <c r="AZ108" s="1">
        <f>SUM('accuracy dom71dom61'!AZ3:AZ107)</f>
        <v>11399</v>
      </c>
      <c r="BA108" s="1">
        <f>SUM('accuracy dom71dom61'!BA3:BA107)</f>
        <v>0</v>
      </c>
      <c r="BB108" s="1">
        <f>SUM('accuracy dom71dom61'!BB3:BB107)</f>
        <v>0</v>
      </c>
      <c r="BC108" s="1">
        <f>SUM('accuracy dom71dom61'!BC3:BC107)</f>
        <v>0</v>
      </c>
      <c r="BD108" s="1">
        <f>SUM('accuracy dom71dom61'!BD3:BD107)</f>
        <v>2386</v>
      </c>
      <c r="BE108" s="1">
        <f>SUM('accuracy dom71dom61'!BE3:BE107)</f>
        <v>0</v>
      </c>
      <c r="BF108" s="1">
        <f>SUM('accuracy dom71dom61'!BF3:BF107)</f>
        <v>29</v>
      </c>
      <c r="BG108" s="1">
        <f>SUM('accuracy dom71dom61'!BG3:BG107)</f>
        <v>0</v>
      </c>
      <c r="BH108" s="1">
        <f>SUM('accuracy dom71dom61'!BH3:BH107)</f>
        <v>9037</v>
      </c>
      <c r="BI108" s="1">
        <f>SUM('accuracy dom71dom61'!BI3:BI107)</f>
        <v>0</v>
      </c>
      <c r="BJ108" s="1">
        <f>SUM('accuracy dom71dom61'!BJ3:BJ107)</f>
        <v>1</v>
      </c>
      <c r="BK108" s="1">
        <f>SUM('accuracy dom71dom61'!BK3:BK107)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B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22" max="22" width="10.83203125" hidden="1" customWidth="1"/>
    <col min="43" max="43" width="10.83203125" hidden="1" customWidth="1"/>
  </cols>
  <sheetData>
    <row r="1" spans="1:63">
      <c r="B1" s="7" t="s">
        <v>227</v>
      </c>
      <c r="C1" s="7"/>
      <c r="D1" s="7"/>
      <c r="E1" s="7"/>
      <c r="F1" s="7" t="s">
        <v>226</v>
      </c>
      <c r="G1" s="7"/>
      <c r="H1" s="7"/>
      <c r="I1" s="7"/>
      <c r="J1" s="7" t="s">
        <v>228</v>
      </c>
      <c r="K1" s="7"/>
      <c r="L1" s="7"/>
      <c r="M1" s="7"/>
      <c r="N1" s="7" t="s">
        <v>229</v>
      </c>
      <c r="O1" s="7"/>
      <c r="P1" s="7"/>
      <c r="Q1" s="7"/>
      <c r="R1" s="7" t="s">
        <v>230</v>
      </c>
      <c r="S1" s="7"/>
      <c r="T1" s="7"/>
      <c r="U1" s="7"/>
      <c r="W1" s="7" t="s">
        <v>227</v>
      </c>
      <c r="X1" s="7"/>
      <c r="Y1" s="7"/>
      <c r="Z1" s="7"/>
      <c r="AA1" s="7" t="s">
        <v>231</v>
      </c>
      <c r="AB1" s="7"/>
      <c r="AC1" s="7"/>
      <c r="AD1" s="7"/>
      <c r="AE1" s="7" t="s">
        <v>232</v>
      </c>
      <c r="AF1" s="7"/>
      <c r="AG1" s="7"/>
      <c r="AH1" s="7"/>
      <c r="AI1" s="7" t="s">
        <v>233</v>
      </c>
      <c r="AJ1" s="7"/>
      <c r="AK1" s="7"/>
      <c r="AL1" s="7"/>
      <c r="AM1" s="7" t="s">
        <v>234</v>
      </c>
      <c r="AN1" s="7"/>
      <c r="AO1" s="7"/>
      <c r="AP1" s="7"/>
      <c r="AR1" s="7" t="s">
        <v>226</v>
      </c>
      <c r="AS1" s="7"/>
      <c r="AT1" s="7"/>
      <c r="AU1" s="7"/>
      <c r="AV1" s="7" t="s">
        <v>231</v>
      </c>
      <c r="AW1" s="7"/>
      <c r="AX1" s="7"/>
      <c r="AY1" s="7"/>
      <c r="AZ1" s="7" t="s">
        <v>235</v>
      </c>
      <c r="BA1" s="7"/>
      <c r="BB1" s="7"/>
      <c r="BC1" s="7"/>
      <c r="BD1" s="7" t="s">
        <v>236</v>
      </c>
      <c r="BE1" s="7"/>
      <c r="BF1" s="7"/>
      <c r="BG1" s="7"/>
      <c r="BH1" s="7" t="s">
        <v>237</v>
      </c>
      <c r="BI1" s="7"/>
      <c r="BJ1" s="7"/>
      <c r="BK1" s="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134</v>
      </c>
      <c r="S16">
        <v>7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134</v>
      </c>
      <c r="AN16">
        <v>7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108</v>
      </c>
      <c r="C42">
        <v>21</v>
      </c>
      <c r="D42">
        <v>0</v>
      </c>
      <c r="E42">
        <v>0</v>
      </c>
      <c r="F42">
        <v>108</v>
      </c>
      <c r="G42">
        <v>21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108</v>
      </c>
      <c r="X42">
        <v>21</v>
      </c>
      <c r="Y42">
        <v>0</v>
      </c>
      <c r="Z42">
        <v>0</v>
      </c>
      <c r="AA42">
        <v>108</v>
      </c>
      <c r="AB42">
        <v>21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108</v>
      </c>
      <c r="AS42">
        <v>21</v>
      </c>
      <c r="AT42">
        <v>0</v>
      </c>
      <c r="AU42">
        <v>0</v>
      </c>
      <c r="AV42">
        <v>108</v>
      </c>
      <c r="AW42">
        <v>21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950</v>
      </c>
      <c r="K60">
        <v>8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950</v>
      </c>
      <c r="AF60">
        <v>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735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735</v>
      </c>
      <c r="AF63">
        <v>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311</v>
      </c>
      <c r="K73">
        <v>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311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88</v>
      </c>
      <c r="C86">
        <v>0</v>
      </c>
      <c r="D86">
        <v>0</v>
      </c>
      <c r="E86">
        <v>0</v>
      </c>
      <c r="F86">
        <v>88</v>
      </c>
      <c r="G86">
        <v>0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88</v>
      </c>
      <c r="X86">
        <v>0</v>
      </c>
      <c r="Y86">
        <v>0</v>
      </c>
      <c r="Z86">
        <v>0</v>
      </c>
      <c r="AA86">
        <v>88</v>
      </c>
      <c r="AB86">
        <v>0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88</v>
      </c>
      <c r="AS86">
        <v>0</v>
      </c>
      <c r="AT86">
        <v>0</v>
      </c>
      <c r="AU86">
        <v>0</v>
      </c>
      <c r="AV86">
        <v>88</v>
      </c>
      <c r="AW86">
        <v>0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153</v>
      </c>
      <c r="C105">
        <v>15</v>
      </c>
      <c r="D105">
        <v>0</v>
      </c>
      <c r="E105">
        <v>0</v>
      </c>
      <c r="F105">
        <v>153</v>
      </c>
      <c r="G105">
        <v>15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153</v>
      </c>
      <c r="X105">
        <v>15</v>
      </c>
      <c r="Y105">
        <v>0</v>
      </c>
      <c r="Z105">
        <v>0</v>
      </c>
      <c r="AA105">
        <v>153</v>
      </c>
      <c r="AB105">
        <v>15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153</v>
      </c>
      <c r="AS105">
        <v>15</v>
      </c>
      <c r="AT105">
        <v>0</v>
      </c>
      <c r="AU105">
        <v>0</v>
      </c>
      <c r="AV105">
        <v>153</v>
      </c>
      <c r="AW105">
        <v>15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10745</v>
      </c>
      <c r="C108" s="1">
        <f t="shared" ref="C108:BK108" si="0">SUM(C3:C107)</f>
        <v>436</v>
      </c>
      <c r="D108" s="1">
        <f t="shared" si="0"/>
        <v>0</v>
      </c>
      <c r="E108" s="1">
        <f t="shared" si="0"/>
        <v>0</v>
      </c>
      <c r="F108" s="1">
        <f t="shared" si="0"/>
        <v>10795</v>
      </c>
      <c r="G108" s="1">
        <f t="shared" si="0"/>
        <v>442</v>
      </c>
      <c r="H108" s="1">
        <f t="shared" si="0"/>
        <v>0</v>
      </c>
      <c r="I108" s="1">
        <f t="shared" si="0"/>
        <v>0</v>
      </c>
      <c r="J108" s="1">
        <f t="shared" si="0"/>
        <v>11338</v>
      </c>
      <c r="K108" s="1">
        <f t="shared" si="0"/>
        <v>60</v>
      </c>
      <c r="L108" s="1">
        <f t="shared" si="0"/>
        <v>0</v>
      </c>
      <c r="M108" s="1">
        <f t="shared" si="0"/>
        <v>0</v>
      </c>
      <c r="N108" s="1">
        <f t="shared" si="0"/>
        <v>2371</v>
      </c>
      <c r="O108" s="1">
        <f t="shared" si="0"/>
        <v>14</v>
      </c>
      <c r="P108" s="1">
        <f t="shared" si="0"/>
        <v>30</v>
      </c>
      <c r="Q108" s="1">
        <f t="shared" si="0"/>
        <v>0</v>
      </c>
      <c r="R108" s="1">
        <f t="shared" si="0"/>
        <v>3648</v>
      </c>
      <c r="S108" s="1">
        <f t="shared" si="0"/>
        <v>23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10745</v>
      </c>
      <c r="X108" s="1">
        <f t="shared" si="0"/>
        <v>436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11338</v>
      </c>
      <c r="AF108" s="1">
        <f t="shared" si="0"/>
        <v>60</v>
      </c>
      <c r="AG108" s="1">
        <f t="shared" si="0"/>
        <v>0</v>
      </c>
      <c r="AH108" s="1">
        <f t="shared" si="0"/>
        <v>0</v>
      </c>
      <c r="AI108" s="1">
        <f t="shared" si="0"/>
        <v>2371</v>
      </c>
      <c r="AJ108" s="1">
        <f t="shared" si="0"/>
        <v>14</v>
      </c>
      <c r="AK108" s="1">
        <f t="shared" si="0"/>
        <v>30</v>
      </c>
      <c r="AL108" s="1">
        <f t="shared" si="0"/>
        <v>0</v>
      </c>
      <c r="AM108" s="1">
        <f t="shared" si="0"/>
        <v>3648</v>
      </c>
      <c r="AN108" s="1">
        <f t="shared" si="0"/>
        <v>23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10795</v>
      </c>
      <c r="AS108" s="1">
        <f t="shared" si="0"/>
        <v>442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1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B2" sqref="B2:B10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5"/>
      <c r="B1" s="5"/>
      <c r="C1" s="5" t="s">
        <v>240</v>
      </c>
      <c r="D1" s="5" t="s">
        <v>241</v>
      </c>
      <c r="E1" s="5" t="s">
        <v>238</v>
      </c>
      <c r="F1" s="5" t="s">
        <v>239</v>
      </c>
      <c r="G1" s="5" t="s">
        <v>242</v>
      </c>
      <c r="H1" s="5" t="s">
        <v>243</v>
      </c>
      <c r="I1" s="5" t="s">
        <v>246</v>
      </c>
      <c r="J1" s="5" t="s">
        <v>247</v>
      </c>
      <c r="K1" s="5" t="s">
        <v>244</v>
      </c>
      <c r="L1" s="5" t="s">
        <v>245</v>
      </c>
      <c r="M1" s="5" t="s">
        <v>248</v>
      </c>
      <c r="N1" s="5" t="s">
        <v>249</v>
      </c>
      <c r="O1" s="5" t="s">
        <v>252</v>
      </c>
      <c r="P1" s="5" t="s">
        <v>253</v>
      </c>
      <c r="Q1" s="5" t="s">
        <v>250</v>
      </c>
      <c r="R1" s="5" t="s">
        <v>251</v>
      </c>
      <c r="S1" s="5" t="s">
        <v>254</v>
      </c>
      <c r="T1" s="5" t="s">
        <v>255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spans="1:56">
      <c r="A2" s="5" t="s">
        <v>147</v>
      </c>
      <c r="B2" s="5" t="s">
        <v>32</v>
      </c>
      <c r="C2" s="5">
        <v>108</v>
      </c>
      <c r="D2" s="5">
        <v>121</v>
      </c>
      <c r="E2" s="5">
        <v>412</v>
      </c>
      <c r="F2" s="5">
        <v>442</v>
      </c>
      <c r="G2" s="5">
        <v>90</v>
      </c>
      <c r="H2" s="5">
        <v>130</v>
      </c>
      <c r="I2" s="5">
        <v>138</v>
      </c>
      <c r="J2" s="5">
        <v>158</v>
      </c>
      <c r="K2" s="5">
        <v>1465</v>
      </c>
      <c r="L2" s="5">
        <v>1530</v>
      </c>
      <c r="M2" s="5">
        <v>118</v>
      </c>
      <c r="N2" s="5">
        <v>117</v>
      </c>
      <c r="O2" s="5">
        <v>190</v>
      </c>
      <c r="P2" s="5">
        <v>218</v>
      </c>
      <c r="Q2" s="5">
        <v>3477</v>
      </c>
      <c r="R2" s="5">
        <v>3247</v>
      </c>
      <c r="S2" s="5">
        <v>120</v>
      </c>
      <c r="T2" s="5">
        <v>139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spans="1:56">
      <c r="A3" s="5" t="s">
        <v>147</v>
      </c>
      <c r="B3" s="5" t="s">
        <v>58</v>
      </c>
      <c r="C3" s="5">
        <v>120</v>
      </c>
      <c r="D3" s="5">
        <v>119</v>
      </c>
      <c r="E3" s="5">
        <v>435</v>
      </c>
      <c r="F3" s="5">
        <v>448</v>
      </c>
      <c r="G3" s="5">
        <v>126</v>
      </c>
      <c r="H3" s="5">
        <v>83</v>
      </c>
      <c r="I3" s="5">
        <v>147</v>
      </c>
      <c r="J3" s="5">
        <v>143</v>
      </c>
      <c r="K3" s="5">
        <v>1491</v>
      </c>
      <c r="L3" s="5">
        <v>1616</v>
      </c>
      <c r="M3" s="5">
        <v>113</v>
      </c>
      <c r="N3" s="5">
        <v>113</v>
      </c>
      <c r="O3" s="5">
        <v>182</v>
      </c>
      <c r="P3" s="5">
        <v>181</v>
      </c>
      <c r="Q3" s="5">
        <v>3421</v>
      </c>
      <c r="R3" s="5">
        <v>3464</v>
      </c>
      <c r="S3" s="5">
        <v>129</v>
      </c>
      <c r="T3" s="5">
        <v>136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>
      <c r="A4" s="5" t="s">
        <v>147</v>
      </c>
      <c r="B4" s="5" t="s">
        <v>14</v>
      </c>
      <c r="C4" s="5">
        <v>165</v>
      </c>
      <c r="D4" s="5">
        <v>165</v>
      </c>
      <c r="E4" s="5">
        <v>494</v>
      </c>
      <c r="F4" s="5">
        <v>467</v>
      </c>
      <c r="G4" s="5">
        <v>128</v>
      </c>
      <c r="H4" s="5">
        <v>131</v>
      </c>
      <c r="I4" s="5">
        <v>253</v>
      </c>
      <c r="J4" s="5">
        <v>207</v>
      </c>
      <c r="K4" s="5">
        <v>2231</v>
      </c>
      <c r="L4" s="5">
        <v>1735</v>
      </c>
      <c r="M4" s="5">
        <v>183</v>
      </c>
      <c r="N4" s="5">
        <v>165</v>
      </c>
      <c r="O4" s="5">
        <v>250</v>
      </c>
      <c r="P4" s="5">
        <v>247</v>
      </c>
      <c r="Q4" s="5">
        <v>3558</v>
      </c>
      <c r="R4" s="5">
        <v>4486</v>
      </c>
      <c r="S4" s="5">
        <v>204</v>
      </c>
      <c r="T4" s="5">
        <v>182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</row>
    <row r="5" spans="1:56">
      <c r="A5" s="5" t="s">
        <v>147</v>
      </c>
      <c r="B5" s="5" t="s">
        <v>39</v>
      </c>
      <c r="C5" s="5">
        <v>420</v>
      </c>
      <c r="D5" s="5">
        <v>323</v>
      </c>
      <c r="E5" s="5">
        <v>894</v>
      </c>
      <c r="F5" s="5">
        <v>923</v>
      </c>
      <c r="G5" s="5">
        <v>242</v>
      </c>
      <c r="H5" s="5">
        <v>263</v>
      </c>
      <c r="I5" s="5">
        <v>343</v>
      </c>
      <c r="J5" s="5">
        <v>366</v>
      </c>
      <c r="K5" s="5">
        <v>5059</v>
      </c>
      <c r="L5" s="5">
        <v>4399</v>
      </c>
      <c r="M5" s="5">
        <v>294</v>
      </c>
      <c r="N5" s="5">
        <v>296</v>
      </c>
      <c r="O5" s="5">
        <v>392</v>
      </c>
      <c r="P5" s="5">
        <v>401</v>
      </c>
      <c r="Q5" s="5">
        <v>10834</v>
      </c>
      <c r="R5" s="5">
        <v>11033</v>
      </c>
      <c r="S5" s="5">
        <v>351</v>
      </c>
      <c r="T5" s="5">
        <v>347</v>
      </c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</row>
    <row r="6" spans="1:56">
      <c r="A6" s="5" t="s">
        <v>147</v>
      </c>
      <c r="B6" s="5" t="s">
        <v>51</v>
      </c>
      <c r="C6" s="5">
        <v>75</v>
      </c>
      <c r="D6" s="5">
        <v>76</v>
      </c>
      <c r="E6" s="5">
        <v>261</v>
      </c>
      <c r="F6" s="5">
        <v>240</v>
      </c>
      <c r="G6" s="5">
        <v>57</v>
      </c>
      <c r="H6" s="5">
        <v>57</v>
      </c>
      <c r="I6" s="5">
        <v>92</v>
      </c>
      <c r="J6" s="5">
        <v>90</v>
      </c>
      <c r="K6" s="5">
        <v>827</v>
      </c>
      <c r="L6" s="5">
        <v>1254</v>
      </c>
      <c r="M6" s="5">
        <v>75</v>
      </c>
      <c r="N6" s="5">
        <v>73</v>
      </c>
      <c r="O6" s="5">
        <v>107</v>
      </c>
      <c r="P6" s="5">
        <v>111</v>
      </c>
      <c r="Q6" s="5">
        <v>1637</v>
      </c>
      <c r="R6" s="5">
        <v>1584</v>
      </c>
      <c r="S6" s="5">
        <v>86</v>
      </c>
      <c r="T6" s="5">
        <v>101</v>
      </c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</row>
    <row r="7" spans="1:56">
      <c r="A7" s="5" t="s">
        <v>147</v>
      </c>
      <c r="B7" s="5" t="s">
        <v>55</v>
      </c>
      <c r="C7" s="5">
        <v>391</v>
      </c>
      <c r="D7" s="5">
        <v>303</v>
      </c>
      <c r="E7" s="5">
        <v>723</v>
      </c>
      <c r="F7" s="5">
        <v>963</v>
      </c>
      <c r="G7" s="5">
        <v>204</v>
      </c>
      <c r="H7" s="5">
        <v>248</v>
      </c>
      <c r="I7" s="5">
        <v>308</v>
      </c>
      <c r="J7" s="5">
        <v>343</v>
      </c>
      <c r="K7" s="5">
        <v>2883</v>
      </c>
      <c r="L7" s="5">
        <v>2299</v>
      </c>
      <c r="M7" s="5">
        <v>253</v>
      </c>
      <c r="N7" s="5">
        <v>282</v>
      </c>
      <c r="O7" s="5">
        <v>351</v>
      </c>
      <c r="P7" s="5">
        <v>432</v>
      </c>
      <c r="Q7" s="5">
        <v>5330</v>
      </c>
      <c r="R7" s="5">
        <v>5808</v>
      </c>
      <c r="S7" s="5">
        <v>296</v>
      </c>
      <c r="T7" s="5">
        <v>314</v>
      </c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>
      <c r="A8" s="5" t="s">
        <v>147</v>
      </c>
      <c r="B8" s="5" t="s">
        <v>85</v>
      </c>
      <c r="C8" s="5">
        <v>1048</v>
      </c>
      <c r="D8" s="5">
        <v>2198</v>
      </c>
      <c r="E8" s="5">
        <v>5709</v>
      </c>
      <c r="F8" s="5">
        <v>8867</v>
      </c>
      <c r="G8" s="5">
        <v>798</v>
      </c>
      <c r="H8" s="5">
        <v>1676</v>
      </c>
      <c r="I8" s="5">
        <v>1330</v>
      </c>
      <c r="J8" s="5">
        <v>2640</v>
      </c>
      <c r="K8" s="5">
        <v>25754</v>
      </c>
      <c r="L8" s="5">
        <v>40880</v>
      </c>
      <c r="M8" s="5">
        <v>997</v>
      </c>
      <c r="N8" s="5">
        <v>2124</v>
      </c>
      <c r="O8" s="5">
        <v>1391</v>
      </c>
      <c r="P8" s="5">
        <v>3062</v>
      </c>
      <c r="Q8" s="5">
        <v>69038</v>
      </c>
      <c r="R8" s="5">
        <v>101655</v>
      </c>
      <c r="S8" s="5">
        <v>1201</v>
      </c>
      <c r="T8" s="5">
        <v>2639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</row>
    <row r="9" spans="1:56">
      <c r="A9" s="5" t="s">
        <v>147</v>
      </c>
      <c r="B9" s="5" t="s">
        <v>30</v>
      </c>
      <c r="C9" s="5">
        <v>478</v>
      </c>
      <c r="D9" s="5">
        <v>502</v>
      </c>
      <c r="E9" s="5">
        <v>1286</v>
      </c>
      <c r="F9" s="5">
        <v>1489</v>
      </c>
      <c r="G9" s="5">
        <v>421</v>
      </c>
      <c r="H9" s="5">
        <v>397</v>
      </c>
      <c r="I9" s="5">
        <v>559</v>
      </c>
      <c r="J9" s="5">
        <v>589</v>
      </c>
      <c r="K9" s="5">
        <v>8779</v>
      </c>
      <c r="L9" s="5">
        <v>8154</v>
      </c>
      <c r="M9" s="5">
        <v>468</v>
      </c>
      <c r="N9" s="5">
        <v>506</v>
      </c>
      <c r="O9" s="5">
        <v>660</v>
      </c>
      <c r="P9" s="5">
        <v>657</v>
      </c>
      <c r="Q9" s="5">
        <v>14135</v>
      </c>
      <c r="R9" s="5">
        <v>13411</v>
      </c>
      <c r="S9" s="5">
        <v>521</v>
      </c>
      <c r="T9" s="5">
        <v>587</v>
      </c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</row>
    <row r="10" spans="1:56">
      <c r="A10" s="5" t="s">
        <v>147</v>
      </c>
      <c r="B10" s="5" t="s">
        <v>89</v>
      </c>
      <c r="C10" s="5">
        <v>1284</v>
      </c>
      <c r="D10" s="5">
        <v>1663</v>
      </c>
      <c r="E10" s="5">
        <v>4353</v>
      </c>
      <c r="F10" s="5">
        <v>5067</v>
      </c>
      <c r="G10" s="5">
        <v>940</v>
      </c>
      <c r="H10" s="5">
        <v>1185</v>
      </c>
      <c r="I10" s="5">
        <v>2038</v>
      </c>
      <c r="J10" s="5">
        <v>2550</v>
      </c>
      <c r="K10" s="5">
        <v>15556</v>
      </c>
      <c r="L10" s="5">
        <v>19340</v>
      </c>
      <c r="M10" s="5">
        <v>1565</v>
      </c>
      <c r="N10" s="5">
        <v>1955</v>
      </c>
      <c r="O10" s="5">
        <v>2474</v>
      </c>
      <c r="P10" s="5">
        <v>3367</v>
      </c>
      <c r="Q10" s="5">
        <v>59932</v>
      </c>
      <c r="R10" s="5">
        <v>59707</v>
      </c>
      <c r="S10" s="5">
        <v>2085</v>
      </c>
      <c r="T10" s="5">
        <v>2638</v>
      </c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</row>
    <row r="11" spans="1:56">
      <c r="A11" s="5" t="s">
        <v>166</v>
      </c>
      <c r="B11" s="5" t="s">
        <v>2</v>
      </c>
      <c r="C11" s="5">
        <v>20</v>
      </c>
      <c r="D11" s="5">
        <v>20</v>
      </c>
      <c r="E11" s="5">
        <v>104</v>
      </c>
      <c r="F11" s="5">
        <v>110</v>
      </c>
      <c r="G11" s="5">
        <v>21</v>
      </c>
      <c r="H11" s="5">
        <v>18</v>
      </c>
      <c r="I11" s="5">
        <v>26</v>
      </c>
      <c r="J11" s="5">
        <v>24</v>
      </c>
      <c r="K11" s="5">
        <v>330</v>
      </c>
      <c r="L11" s="5">
        <v>335</v>
      </c>
      <c r="M11" s="5">
        <v>21</v>
      </c>
      <c r="N11" s="5">
        <v>21</v>
      </c>
      <c r="O11" s="5">
        <v>31</v>
      </c>
      <c r="P11" s="5">
        <v>30</v>
      </c>
      <c r="Q11" s="5">
        <v>580</v>
      </c>
      <c r="R11" s="5">
        <v>591</v>
      </c>
      <c r="S11" s="5">
        <v>24</v>
      </c>
      <c r="T11" s="5">
        <v>23</v>
      </c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</row>
    <row r="12" spans="1:56">
      <c r="A12" s="5" t="s">
        <v>166</v>
      </c>
      <c r="B12" s="5" t="s">
        <v>37</v>
      </c>
      <c r="C12" s="5">
        <v>20</v>
      </c>
      <c r="D12" s="5">
        <v>21</v>
      </c>
      <c r="E12" s="5">
        <v>87</v>
      </c>
      <c r="F12" s="5">
        <v>86</v>
      </c>
      <c r="G12" s="5">
        <v>16</v>
      </c>
      <c r="H12" s="5">
        <v>16</v>
      </c>
      <c r="I12" s="5">
        <v>26</v>
      </c>
      <c r="J12" s="5">
        <v>26</v>
      </c>
      <c r="K12" s="5">
        <v>285</v>
      </c>
      <c r="L12" s="5">
        <v>285</v>
      </c>
      <c r="M12" s="5">
        <v>20</v>
      </c>
      <c r="N12" s="5">
        <v>21</v>
      </c>
      <c r="O12" s="5">
        <v>31</v>
      </c>
      <c r="P12" s="5">
        <v>32</v>
      </c>
      <c r="Q12" s="5">
        <v>570</v>
      </c>
      <c r="R12" s="5">
        <v>579</v>
      </c>
      <c r="S12" s="5">
        <v>23</v>
      </c>
      <c r="T12" s="5">
        <v>24</v>
      </c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</row>
    <row r="13" spans="1:56">
      <c r="A13" s="5" t="s">
        <v>166</v>
      </c>
      <c r="B13" s="5" t="s">
        <v>72</v>
      </c>
      <c r="C13" s="5">
        <v>77</v>
      </c>
      <c r="D13" s="5">
        <v>97</v>
      </c>
      <c r="E13" s="5">
        <v>286</v>
      </c>
      <c r="F13" s="5">
        <v>263</v>
      </c>
      <c r="G13" s="5">
        <v>65</v>
      </c>
      <c r="H13" s="5">
        <v>68</v>
      </c>
      <c r="I13" s="5">
        <v>115</v>
      </c>
      <c r="J13" s="5">
        <v>103</v>
      </c>
      <c r="K13" s="5">
        <v>750</v>
      </c>
      <c r="L13" s="5">
        <v>650</v>
      </c>
      <c r="M13" s="5">
        <v>91</v>
      </c>
      <c r="N13" s="5">
        <v>85</v>
      </c>
      <c r="O13" s="5">
        <v>122</v>
      </c>
      <c r="P13" s="5">
        <v>164</v>
      </c>
      <c r="Q13" s="5">
        <v>1655</v>
      </c>
      <c r="R13" s="5">
        <v>2145</v>
      </c>
      <c r="S13" s="5">
        <v>91</v>
      </c>
      <c r="T13" s="5">
        <v>93</v>
      </c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</row>
    <row r="14" spans="1:56">
      <c r="A14" s="5" t="s">
        <v>166</v>
      </c>
      <c r="B14" s="5" t="s">
        <v>8</v>
      </c>
      <c r="C14" s="5">
        <v>36</v>
      </c>
      <c r="D14" s="5">
        <v>21</v>
      </c>
      <c r="E14" s="5">
        <v>104</v>
      </c>
      <c r="F14" s="5">
        <v>104</v>
      </c>
      <c r="G14" s="5">
        <v>17</v>
      </c>
      <c r="H14" s="5">
        <v>27</v>
      </c>
      <c r="I14" s="5">
        <v>26</v>
      </c>
      <c r="J14" s="5">
        <v>25</v>
      </c>
      <c r="K14" s="5">
        <v>314</v>
      </c>
      <c r="L14" s="5">
        <v>334</v>
      </c>
      <c r="M14" s="5">
        <v>20</v>
      </c>
      <c r="N14" s="5">
        <v>26</v>
      </c>
      <c r="O14" s="5">
        <v>31</v>
      </c>
      <c r="P14" s="5">
        <v>51</v>
      </c>
      <c r="Q14" s="5">
        <v>642</v>
      </c>
      <c r="R14" s="5">
        <v>641</v>
      </c>
      <c r="S14" s="5">
        <v>24</v>
      </c>
      <c r="T14" s="5">
        <v>24</v>
      </c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</row>
    <row r="15" spans="1:56">
      <c r="A15" s="5" t="s">
        <v>166</v>
      </c>
      <c r="B15" s="5" t="s">
        <v>101</v>
      </c>
      <c r="C15" s="5">
        <v>1828</v>
      </c>
      <c r="D15" s="5">
        <v>2265</v>
      </c>
      <c r="E15" s="5">
        <v>5665</v>
      </c>
      <c r="F15" s="5">
        <v>6043</v>
      </c>
      <c r="G15" s="5">
        <v>1457</v>
      </c>
      <c r="H15" s="5">
        <v>1835</v>
      </c>
      <c r="I15" s="5">
        <v>3075</v>
      </c>
      <c r="J15" s="5">
        <v>3585</v>
      </c>
      <c r="K15" s="5">
        <v>24838</v>
      </c>
      <c r="L15" s="5">
        <v>26270</v>
      </c>
      <c r="M15" s="5">
        <v>2294</v>
      </c>
      <c r="N15" s="5">
        <v>2975</v>
      </c>
      <c r="O15" s="5">
        <v>3658</v>
      </c>
      <c r="P15" s="5">
        <v>4708</v>
      </c>
      <c r="Q15" s="5">
        <v>58715</v>
      </c>
      <c r="R15" s="5">
        <v>64791</v>
      </c>
      <c r="S15" s="5">
        <v>3016</v>
      </c>
      <c r="T15" s="5">
        <v>3952</v>
      </c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</row>
    <row r="16" spans="1:56">
      <c r="A16" s="5" t="s">
        <v>166</v>
      </c>
      <c r="B16" s="5" t="s">
        <v>3</v>
      </c>
      <c r="C16" s="5">
        <v>272</v>
      </c>
      <c r="D16" s="5">
        <v>299</v>
      </c>
      <c r="E16" s="5">
        <v>888</v>
      </c>
      <c r="F16" s="5">
        <v>1001</v>
      </c>
      <c r="G16" s="5">
        <v>216</v>
      </c>
      <c r="H16" s="5">
        <v>260</v>
      </c>
      <c r="I16" s="5">
        <v>310</v>
      </c>
      <c r="J16" s="5">
        <v>366</v>
      </c>
      <c r="K16" s="5">
        <v>2848</v>
      </c>
      <c r="L16" s="5">
        <v>3483</v>
      </c>
      <c r="M16" s="5">
        <v>260</v>
      </c>
      <c r="N16" s="5">
        <v>295</v>
      </c>
      <c r="O16" s="5">
        <v>380</v>
      </c>
      <c r="P16" s="5">
        <v>491</v>
      </c>
      <c r="Q16" s="5">
        <v>5974</v>
      </c>
      <c r="R16" s="5">
        <v>8854</v>
      </c>
      <c r="S16" s="5">
        <v>296</v>
      </c>
      <c r="T16" s="5">
        <v>330</v>
      </c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</row>
    <row r="17" spans="1:56">
      <c r="A17" s="5" t="s">
        <v>166</v>
      </c>
      <c r="B17" s="5" t="s">
        <v>76</v>
      </c>
      <c r="C17" s="5">
        <v>259</v>
      </c>
      <c r="D17" s="5">
        <v>294</v>
      </c>
      <c r="E17" s="5">
        <v>946</v>
      </c>
      <c r="F17" s="5">
        <v>964</v>
      </c>
      <c r="G17" s="5">
        <v>206</v>
      </c>
      <c r="H17" s="5">
        <v>237</v>
      </c>
      <c r="I17" s="5">
        <v>306</v>
      </c>
      <c r="J17" s="5">
        <v>357</v>
      </c>
      <c r="K17" s="5">
        <v>2853</v>
      </c>
      <c r="L17" s="5">
        <v>3194</v>
      </c>
      <c r="M17" s="5">
        <v>256</v>
      </c>
      <c r="N17" s="5">
        <v>287</v>
      </c>
      <c r="O17" s="5">
        <v>365</v>
      </c>
      <c r="P17" s="5">
        <v>411</v>
      </c>
      <c r="Q17" s="5">
        <v>6209</v>
      </c>
      <c r="R17" s="5">
        <v>9093</v>
      </c>
      <c r="S17" s="5">
        <v>302</v>
      </c>
      <c r="T17" s="5">
        <v>328</v>
      </c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</row>
    <row r="18" spans="1:56">
      <c r="A18" s="5" t="s">
        <v>166</v>
      </c>
      <c r="B18" s="5" t="s">
        <v>29</v>
      </c>
      <c r="C18" s="5">
        <v>409</v>
      </c>
      <c r="D18" s="5">
        <v>413</v>
      </c>
      <c r="E18" s="5">
        <v>931</v>
      </c>
      <c r="F18" s="5">
        <v>923</v>
      </c>
      <c r="G18" s="5">
        <v>310</v>
      </c>
      <c r="H18" s="5">
        <v>318</v>
      </c>
      <c r="I18" s="5">
        <v>649</v>
      </c>
      <c r="J18" s="5">
        <v>663</v>
      </c>
      <c r="K18" s="5">
        <v>2551</v>
      </c>
      <c r="L18" s="5">
        <v>2543</v>
      </c>
      <c r="M18" s="5">
        <v>544</v>
      </c>
      <c r="N18" s="5">
        <v>541</v>
      </c>
      <c r="O18" s="5">
        <v>891</v>
      </c>
      <c r="P18" s="5">
        <v>858</v>
      </c>
      <c r="Q18" s="5">
        <v>5935</v>
      </c>
      <c r="R18" s="5">
        <v>5844</v>
      </c>
      <c r="S18" s="5">
        <v>714</v>
      </c>
      <c r="T18" s="5">
        <v>704</v>
      </c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</row>
    <row r="19" spans="1:56">
      <c r="A19" s="5" t="s">
        <v>166</v>
      </c>
      <c r="B19" s="5" t="s">
        <v>98</v>
      </c>
      <c r="C19" s="5">
        <v>3322</v>
      </c>
      <c r="D19" s="5">
        <v>4497</v>
      </c>
      <c r="E19" s="5">
        <v>10838</v>
      </c>
      <c r="F19" s="5">
        <v>12555</v>
      </c>
      <c r="G19" s="5">
        <v>2568</v>
      </c>
      <c r="H19" s="5">
        <v>3427</v>
      </c>
      <c r="I19" s="5">
        <v>5561</v>
      </c>
      <c r="J19" s="5">
        <v>7428</v>
      </c>
      <c r="K19" s="5">
        <v>49967</v>
      </c>
      <c r="L19" s="5">
        <v>54089</v>
      </c>
      <c r="M19" s="5">
        <v>4370</v>
      </c>
      <c r="N19" s="5">
        <v>5935</v>
      </c>
      <c r="O19" s="5">
        <v>7247</v>
      </c>
      <c r="P19" s="5">
        <v>9497</v>
      </c>
      <c r="Q19" s="5">
        <v>121349</v>
      </c>
      <c r="R19" s="5">
        <v>149499</v>
      </c>
      <c r="S19" s="5">
        <v>5828</v>
      </c>
      <c r="T19" s="5">
        <v>7929</v>
      </c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</row>
    <row r="20" spans="1:56">
      <c r="A20" s="5" t="s">
        <v>166</v>
      </c>
      <c r="B20" s="5" t="s">
        <v>43</v>
      </c>
      <c r="C20" s="5">
        <v>1601</v>
      </c>
      <c r="D20" s="5">
        <v>1914</v>
      </c>
      <c r="E20" s="5">
        <v>5083</v>
      </c>
      <c r="F20" s="5">
        <v>4956</v>
      </c>
      <c r="G20" s="5">
        <v>1244</v>
      </c>
      <c r="H20" s="5">
        <v>1522</v>
      </c>
      <c r="I20" s="5">
        <v>2530</v>
      </c>
      <c r="J20" s="5">
        <v>3013</v>
      </c>
      <c r="K20" s="5">
        <v>21586</v>
      </c>
      <c r="L20" s="5">
        <v>23262</v>
      </c>
      <c r="M20" s="5">
        <v>2026</v>
      </c>
      <c r="N20" s="5">
        <v>2367</v>
      </c>
      <c r="O20" s="5">
        <v>3453</v>
      </c>
      <c r="P20" s="5">
        <v>3922</v>
      </c>
      <c r="Q20" s="5">
        <v>50781</v>
      </c>
      <c r="R20" s="5">
        <v>52021</v>
      </c>
      <c r="S20" s="5">
        <v>2674</v>
      </c>
      <c r="T20" s="5">
        <v>3258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</row>
    <row r="21" spans="1:56">
      <c r="A21" s="5" t="s">
        <v>166</v>
      </c>
      <c r="B21" s="5" t="s">
        <v>28</v>
      </c>
      <c r="C21" s="5">
        <v>1076</v>
      </c>
      <c r="D21" s="5">
        <v>1236</v>
      </c>
      <c r="E21" s="5">
        <v>4380</v>
      </c>
      <c r="F21" s="5">
        <v>4347</v>
      </c>
      <c r="G21" s="5">
        <v>851</v>
      </c>
      <c r="H21" s="5">
        <v>905</v>
      </c>
      <c r="I21" s="5">
        <v>1623</v>
      </c>
      <c r="J21" s="5">
        <v>1853</v>
      </c>
      <c r="K21" s="5">
        <v>16637</v>
      </c>
      <c r="L21" s="5">
        <v>16952</v>
      </c>
      <c r="M21" s="5">
        <v>1324</v>
      </c>
      <c r="N21" s="5">
        <v>1424</v>
      </c>
      <c r="O21" s="5">
        <v>2136</v>
      </c>
      <c r="P21" s="5">
        <v>2280</v>
      </c>
      <c r="Q21" s="5">
        <v>36033</v>
      </c>
      <c r="R21" s="5">
        <v>33794</v>
      </c>
      <c r="S21" s="5">
        <v>1734</v>
      </c>
      <c r="T21" s="5">
        <v>1839</v>
      </c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</row>
    <row r="22" spans="1:56">
      <c r="A22" s="5" t="s">
        <v>166</v>
      </c>
      <c r="B22" s="5" t="s">
        <v>40</v>
      </c>
      <c r="C22" s="5">
        <v>21</v>
      </c>
      <c r="D22" s="5">
        <v>21</v>
      </c>
      <c r="E22" s="5">
        <v>169</v>
      </c>
      <c r="F22" s="5">
        <v>177</v>
      </c>
      <c r="G22" s="5">
        <v>17</v>
      </c>
      <c r="H22" s="5">
        <v>17</v>
      </c>
      <c r="I22" s="5">
        <v>26</v>
      </c>
      <c r="J22" s="5">
        <v>25</v>
      </c>
      <c r="K22" s="5">
        <v>323</v>
      </c>
      <c r="L22" s="5">
        <v>266</v>
      </c>
      <c r="M22" s="5">
        <v>21</v>
      </c>
      <c r="N22" s="5">
        <v>33</v>
      </c>
      <c r="O22" s="5">
        <v>31</v>
      </c>
      <c r="P22" s="5">
        <v>31</v>
      </c>
      <c r="Q22" s="5">
        <v>281</v>
      </c>
      <c r="R22" s="5">
        <v>286</v>
      </c>
      <c r="S22" s="5">
        <v>25</v>
      </c>
      <c r="T22" s="5">
        <v>24</v>
      </c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</row>
    <row r="23" spans="1:56">
      <c r="A23" s="5" t="s">
        <v>167</v>
      </c>
      <c r="B23" s="5" t="s">
        <v>56</v>
      </c>
      <c r="C23" s="5">
        <v>3404</v>
      </c>
      <c r="D23" s="5">
        <v>3821</v>
      </c>
      <c r="E23" s="5">
        <v>14714</v>
      </c>
      <c r="F23" s="5">
        <v>15138</v>
      </c>
      <c r="G23" s="5">
        <v>2763</v>
      </c>
      <c r="H23" s="5">
        <v>2910</v>
      </c>
      <c r="I23" s="5">
        <v>4097</v>
      </c>
      <c r="J23" s="5">
        <v>4608</v>
      </c>
      <c r="K23" s="5">
        <v>52805</v>
      </c>
      <c r="L23" s="5">
        <v>53645</v>
      </c>
      <c r="M23" s="5">
        <v>3399</v>
      </c>
      <c r="N23" s="5">
        <v>3699</v>
      </c>
      <c r="O23" s="5">
        <v>5030</v>
      </c>
      <c r="P23" s="5">
        <v>5569</v>
      </c>
      <c r="Q23" s="5">
        <v>176106</v>
      </c>
      <c r="R23" s="5">
        <v>181046</v>
      </c>
      <c r="S23" s="5">
        <v>4178</v>
      </c>
      <c r="T23" s="5">
        <v>4473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</row>
    <row r="24" spans="1:56">
      <c r="A24" s="5" t="s">
        <v>167</v>
      </c>
      <c r="B24" s="5" t="s">
        <v>18</v>
      </c>
      <c r="C24" s="5">
        <v>1527</v>
      </c>
      <c r="D24" s="5">
        <v>1652</v>
      </c>
      <c r="E24" s="5">
        <v>6021</v>
      </c>
      <c r="F24" s="5">
        <v>6123</v>
      </c>
      <c r="G24" s="5">
        <v>1211</v>
      </c>
      <c r="H24" s="5">
        <v>1326</v>
      </c>
      <c r="I24" s="5">
        <v>1873</v>
      </c>
      <c r="J24" s="5">
        <v>2039</v>
      </c>
      <c r="K24" s="5">
        <v>21928</v>
      </c>
      <c r="L24" s="5">
        <v>22202</v>
      </c>
      <c r="M24" s="5">
        <v>1543</v>
      </c>
      <c r="N24" s="5">
        <v>1667</v>
      </c>
      <c r="O24" s="5">
        <v>2259</v>
      </c>
      <c r="P24" s="5">
        <v>2410</v>
      </c>
      <c r="Q24" s="5">
        <v>72430</v>
      </c>
      <c r="R24" s="5">
        <v>79235</v>
      </c>
      <c r="S24" s="5">
        <v>1837</v>
      </c>
      <c r="T24" s="5">
        <v>1979</v>
      </c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</row>
    <row r="25" spans="1:56">
      <c r="A25" s="5" t="s">
        <v>167</v>
      </c>
      <c r="B25" s="5" t="s">
        <v>27</v>
      </c>
      <c r="C25" s="5">
        <v>977</v>
      </c>
      <c r="D25" s="5">
        <v>1055</v>
      </c>
      <c r="E25" s="5">
        <v>3770</v>
      </c>
      <c r="F25" s="5">
        <v>3737</v>
      </c>
      <c r="G25" s="5">
        <v>770</v>
      </c>
      <c r="H25" s="5">
        <v>831</v>
      </c>
      <c r="I25" s="5">
        <v>1177</v>
      </c>
      <c r="J25" s="5">
        <v>1255</v>
      </c>
      <c r="K25" s="5">
        <v>14774</v>
      </c>
      <c r="L25" s="5">
        <v>15774</v>
      </c>
      <c r="M25" s="5">
        <v>956</v>
      </c>
      <c r="N25" s="5">
        <v>1093</v>
      </c>
      <c r="O25" s="5">
        <v>1478</v>
      </c>
      <c r="P25" s="5">
        <v>1482</v>
      </c>
      <c r="Q25" s="5">
        <v>47053</v>
      </c>
      <c r="R25" s="5">
        <v>44336</v>
      </c>
      <c r="S25" s="5">
        <v>1165</v>
      </c>
      <c r="T25" s="5">
        <v>1257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</row>
    <row r="26" spans="1:56">
      <c r="A26" s="5" t="s">
        <v>167</v>
      </c>
      <c r="B26" s="5" t="s">
        <v>69</v>
      </c>
      <c r="C26" s="5">
        <v>1019</v>
      </c>
      <c r="D26" s="5">
        <v>1032</v>
      </c>
      <c r="E26" s="5">
        <v>2351</v>
      </c>
      <c r="F26" s="5">
        <v>2751</v>
      </c>
      <c r="G26" s="5">
        <v>915</v>
      </c>
      <c r="H26" s="5">
        <v>785</v>
      </c>
      <c r="I26" s="5">
        <v>1762</v>
      </c>
      <c r="J26" s="5">
        <v>1880</v>
      </c>
      <c r="K26" s="5">
        <v>9961</v>
      </c>
      <c r="L26" s="5">
        <v>11859</v>
      </c>
      <c r="M26" s="5">
        <v>1360</v>
      </c>
      <c r="N26" s="5">
        <v>1417</v>
      </c>
      <c r="O26" s="5">
        <v>2376</v>
      </c>
      <c r="P26" s="5">
        <v>2474</v>
      </c>
      <c r="Q26" s="5">
        <v>28939</v>
      </c>
      <c r="R26" s="5">
        <v>31095</v>
      </c>
      <c r="S26" s="5">
        <v>1935</v>
      </c>
      <c r="T26" s="5">
        <v>1974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</row>
    <row r="27" spans="1:56">
      <c r="A27" s="5" t="s">
        <v>167</v>
      </c>
      <c r="B27" s="5" t="s">
        <v>71</v>
      </c>
      <c r="C27" s="5">
        <v>1013</v>
      </c>
      <c r="D27" s="5">
        <v>1047</v>
      </c>
      <c r="E27" s="5">
        <v>3429</v>
      </c>
      <c r="F27" s="5">
        <v>3446</v>
      </c>
      <c r="G27" s="5">
        <v>963</v>
      </c>
      <c r="H27" s="5">
        <v>845</v>
      </c>
      <c r="I27" s="5">
        <v>1183</v>
      </c>
      <c r="J27" s="5">
        <v>1275</v>
      </c>
      <c r="K27" s="5">
        <v>12125</v>
      </c>
      <c r="L27" s="5">
        <v>12490</v>
      </c>
      <c r="M27" s="5">
        <v>963</v>
      </c>
      <c r="N27" s="5">
        <v>1007</v>
      </c>
      <c r="O27" s="5">
        <v>1436</v>
      </c>
      <c r="P27" s="5">
        <v>1486</v>
      </c>
      <c r="Q27" s="5">
        <v>32043</v>
      </c>
      <c r="R27" s="5">
        <v>33935</v>
      </c>
      <c r="S27" s="5">
        <v>1183</v>
      </c>
      <c r="T27" s="5">
        <v>1231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</row>
    <row r="28" spans="1:56">
      <c r="A28" s="5" t="s">
        <v>167</v>
      </c>
      <c r="B28" s="5" t="s">
        <v>22</v>
      </c>
      <c r="C28" s="5">
        <v>408</v>
      </c>
      <c r="D28" s="5">
        <v>861</v>
      </c>
      <c r="E28" s="5">
        <v>2019</v>
      </c>
      <c r="F28" s="5">
        <v>2565</v>
      </c>
      <c r="G28" s="5">
        <v>329</v>
      </c>
      <c r="H28" s="5">
        <v>667</v>
      </c>
      <c r="I28" s="5">
        <v>511</v>
      </c>
      <c r="J28" s="5">
        <v>1092</v>
      </c>
      <c r="K28" s="5">
        <v>6534</v>
      </c>
      <c r="L28" s="5">
        <v>8994</v>
      </c>
      <c r="M28" s="5">
        <v>412</v>
      </c>
      <c r="N28" s="5">
        <v>870</v>
      </c>
      <c r="O28" s="5">
        <v>583</v>
      </c>
      <c r="P28" s="5">
        <v>1314</v>
      </c>
      <c r="Q28" s="5">
        <v>21834</v>
      </c>
      <c r="R28" s="5">
        <v>25079</v>
      </c>
      <c r="S28" s="5">
        <v>487</v>
      </c>
      <c r="T28" s="5">
        <v>1046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</row>
    <row r="29" spans="1:56">
      <c r="A29" s="5" t="s">
        <v>167</v>
      </c>
      <c r="B29" s="5" t="s">
        <v>94</v>
      </c>
      <c r="C29" s="5">
        <v>44</v>
      </c>
      <c r="D29" s="5">
        <v>28</v>
      </c>
      <c r="E29" s="5">
        <v>181</v>
      </c>
      <c r="F29" s="5">
        <v>225</v>
      </c>
      <c r="G29" s="5">
        <v>21</v>
      </c>
      <c r="H29" s="5">
        <v>22</v>
      </c>
      <c r="I29" s="5">
        <v>33</v>
      </c>
      <c r="J29" s="5">
        <v>36</v>
      </c>
      <c r="K29" s="5">
        <v>584</v>
      </c>
      <c r="L29" s="5">
        <v>594</v>
      </c>
      <c r="M29" s="5">
        <v>29</v>
      </c>
      <c r="N29" s="5">
        <v>28</v>
      </c>
      <c r="O29" s="5">
        <v>43</v>
      </c>
      <c r="P29" s="5">
        <v>55</v>
      </c>
      <c r="Q29" s="5">
        <v>1104</v>
      </c>
      <c r="R29" s="5">
        <v>1137</v>
      </c>
      <c r="S29" s="5">
        <v>37</v>
      </c>
      <c r="T29" s="5">
        <v>31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</row>
    <row r="30" spans="1:56">
      <c r="A30" s="5" t="s">
        <v>167</v>
      </c>
      <c r="B30" s="5" t="s">
        <v>20</v>
      </c>
      <c r="C30" s="5">
        <v>971</v>
      </c>
      <c r="D30" s="5">
        <v>1050</v>
      </c>
      <c r="E30" s="5">
        <v>3467</v>
      </c>
      <c r="F30" s="5">
        <v>3549</v>
      </c>
      <c r="G30" s="5">
        <v>782</v>
      </c>
      <c r="H30" s="5">
        <v>813</v>
      </c>
      <c r="I30" s="5">
        <v>1250</v>
      </c>
      <c r="J30" s="5">
        <v>1270</v>
      </c>
      <c r="K30" s="5">
        <v>12251</v>
      </c>
      <c r="L30" s="5">
        <v>12586</v>
      </c>
      <c r="M30" s="5">
        <v>1010</v>
      </c>
      <c r="N30" s="5">
        <v>1025</v>
      </c>
      <c r="O30" s="5">
        <v>1499</v>
      </c>
      <c r="P30" s="5">
        <v>1482</v>
      </c>
      <c r="Q30" s="5">
        <v>30308</v>
      </c>
      <c r="R30" s="5">
        <v>33236</v>
      </c>
      <c r="S30" s="5">
        <v>1165</v>
      </c>
      <c r="T30" s="5">
        <v>1324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6">
      <c r="A31" s="5" t="s">
        <v>167</v>
      </c>
      <c r="B31" s="5" t="s">
        <v>24</v>
      </c>
      <c r="C31" s="5">
        <v>386</v>
      </c>
      <c r="D31" s="5">
        <v>783</v>
      </c>
      <c r="E31" s="5">
        <v>1961</v>
      </c>
      <c r="F31" s="5">
        <v>2488</v>
      </c>
      <c r="G31" s="5">
        <v>320</v>
      </c>
      <c r="H31" s="5">
        <v>597</v>
      </c>
      <c r="I31" s="5">
        <v>471</v>
      </c>
      <c r="J31" s="5">
        <v>996</v>
      </c>
      <c r="K31" s="5">
        <v>6307</v>
      </c>
      <c r="L31" s="5">
        <v>9567</v>
      </c>
      <c r="M31" s="5">
        <v>411</v>
      </c>
      <c r="N31" s="5">
        <v>796</v>
      </c>
      <c r="O31" s="5">
        <v>572</v>
      </c>
      <c r="P31" s="5">
        <v>1112</v>
      </c>
      <c r="Q31" s="5">
        <v>20844</v>
      </c>
      <c r="R31" s="5">
        <v>25574</v>
      </c>
      <c r="S31" s="5">
        <v>490</v>
      </c>
      <c r="T31" s="5">
        <v>953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6">
      <c r="A32" s="5" t="s">
        <v>167</v>
      </c>
      <c r="B32" s="5" t="s">
        <v>26</v>
      </c>
      <c r="C32" s="5">
        <v>25</v>
      </c>
      <c r="D32" s="5">
        <v>32</v>
      </c>
      <c r="E32" s="5">
        <v>188</v>
      </c>
      <c r="F32" s="5">
        <v>158</v>
      </c>
      <c r="G32" s="5">
        <v>26</v>
      </c>
      <c r="H32" s="5">
        <v>25</v>
      </c>
      <c r="I32" s="5">
        <v>36</v>
      </c>
      <c r="J32" s="5">
        <v>43</v>
      </c>
      <c r="K32" s="5">
        <v>517</v>
      </c>
      <c r="L32" s="5">
        <v>610</v>
      </c>
      <c r="M32" s="5">
        <v>26</v>
      </c>
      <c r="N32" s="5">
        <v>30</v>
      </c>
      <c r="O32" s="5">
        <v>60</v>
      </c>
      <c r="P32" s="5">
        <v>46</v>
      </c>
      <c r="Q32" s="5">
        <v>1044</v>
      </c>
      <c r="R32" s="5">
        <v>1384</v>
      </c>
      <c r="S32" s="5">
        <v>65</v>
      </c>
      <c r="T32" s="5">
        <v>39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>
      <c r="A33" s="5" t="s">
        <v>167</v>
      </c>
      <c r="B33" s="5" t="s">
        <v>104</v>
      </c>
      <c r="C33" s="5">
        <v>41</v>
      </c>
      <c r="D33" s="5">
        <v>40</v>
      </c>
      <c r="E33" s="5">
        <v>233</v>
      </c>
      <c r="F33" s="5">
        <v>239</v>
      </c>
      <c r="G33" s="5">
        <v>34</v>
      </c>
      <c r="H33" s="5">
        <v>33</v>
      </c>
      <c r="I33" s="5">
        <v>51</v>
      </c>
      <c r="J33" s="5">
        <v>52</v>
      </c>
      <c r="K33" s="5">
        <v>739</v>
      </c>
      <c r="L33" s="5">
        <v>708</v>
      </c>
      <c r="M33" s="5">
        <v>52</v>
      </c>
      <c r="N33" s="5">
        <v>50</v>
      </c>
      <c r="O33" s="5">
        <v>60</v>
      </c>
      <c r="P33" s="5">
        <v>69</v>
      </c>
      <c r="Q33" s="5">
        <v>1473</v>
      </c>
      <c r="R33" s="5">
        <v>1658</v>
      </c>
      <c r="S33" s="5">
        <v>48</v>
      </c>
      <c r="T33" s="5">
        <v>47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>
      <c r="A34" s="5" t="s">
        <v>168</v>
      </c>
      <c r="B34" s="5" t="s">
        <v>16</v>
      </c>
      <c r="C34" s="5">
        <v>683</v>
      </c>
      <c r="D34" s="5">
        <v>1111</v>
      </c>
      <c r="E34" s="5">
        <v>5421</v>
      </c>
      <c r="F34" s="5">
        <v>8719</v>
      </c>
      <c r="G34" s="5">
        <v>556</v>
      </c>
      <c r="H34" s="5">
        <v>906</v>
      </c>
      <c r="I34" s="5">
        <v>1043</v>
      </c>
      <c r="J34" s="5">
        <v>1380</v>
      </c>
      <c r="K34" s="5">
        <v>22355</v>
      </c>
      <c r="L34" s="5">
        <v>33446</v>
      </c>
      <c r="M34" s="5">
        <v>673</v>
      </c>
      <c r="N34" s="5">
        <v>1203</v>
      </c>
      <c r="O34" s="5">
        <v>969</v>
      </c>
      <c r="P34" s="5">
        <v>1590</v>
      </c>
      <c r="Q34" s="5">
        <v>60108</v>
      </c>
      <c r="R34" s="5">
        <v>85212</v>
      </c>
      <c r="S34" s="5">
        <v>821</v>
      </c>
      <c r="T34" s="5">
        <v>1408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>
      <c r="A35" s="5" t="s">
        <v>168</v>
      </c>
      <c r="B35" s="5" t="s">
        <v>91</v>
      </c>
      <c r="C35" s="5">
        <v>1491</v>
      </c>
      <c r="D35" s="5">
        <v>1665</v>
      </c>
      <c r="E35" s="5">
        <v>4413</v>
      </c>
      <c r="F35" s="5">
        <v>5456</v>
      </c>
      <c r="G35" s="5">
        <v>1120</v>
      </c>
      <c r="H35" s="5">
        <v>1295</v>
      </c>
      <c r="I35" s="5">
        <v>2206</v>
      </c>
      <c r="J35" s="5">
        <v>2312</v>
      </c>
      <c r="K35" s="5">
        <v>17625</v>
      </c>
      <c r="L35" s="5">
        <v>23441</v>
      </c>
      <c r="M35" s="5">
        <v>1588</v>
      </c>
      <c r="N35" s="5">
        <v>1946</v>
      </c>
      <c r="O35" s="5">
        <v>2841</v>
      </c>
      <c r="P35" s="5">
        <v>3157</v>
      </c>
      <c r="Q35" s="5">
        <v>52932</v>
      </c>
      <c r="R35" s="5">
        <v>57900</v>
      </c>
      <c r="S35" s="5">
        <v>2334</v>
      </c>
      <c r="T35" s="5">
        <v>2523</v>
      </c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>
      <c r="A36" s="5" t="s">
        <v>169</v>
      </c>
      <c r="B36" s="5" t="s">
        <v>64</v>
      </c>
      <c r="C36" s="5">
        <v>5144</v>
      </c>
      <c r="D36" s="5">
        <v>6688</v>
      </c>
      <c r="E36" s="5">
        <v>53186</v>
      </c>
      <c r="F36" s="5">
        <v>68839</v>
      </c>
      <c r="G36" s="5">
        <v>3994</v>
      </c>
      <c r="H36" s="5">
        <v>5145</v>
      </c>
      <c r="I36" s="5">
        <v>6899</v>
      </c>
      <c r="J36" s="5">
        <v>8641</v>
      </c>
      <c r="K36" s="5">
        <v>179883</v>
      </c>
      <c r="L36" s="5">
        <v>281145</v>
      </c>
      <c r="M36" s="5">
        <v>5720</v>
      </c>
      <c r="N36" s="5">
        <v>7182</v>
      </c>
      <c r="O36" s="5">
        <v>8421</v>
      </c>
      <c r="P36" s="5">
        <v>10680</v>
      </c>
      <c r="Q36" s="5">
        <v>455491</v>
      </c>
      <c r="R36" s="5">
        <v>674091</v>
      </c>
      <c r="S36" s="5">
        <v>7137</v>
      </c>
      <c r="T36" s="5">
        <v>8981</v>
      </c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>
      <c r="A37" s="5" t="s">
        <v>169</v>
      </c>
      <c r="B37" s="5" t="s">
        <v>25</v>
      </c>
      <c r="C37" s="5">
        <v>2812</v>
      </c>
      <c r="D37" s="5">
        <v>3091</v>
      </c>
      <c r="E37" s="5">
        <v>9477</v>
      </c>
      <c r="F37" s="5">
        <v>10135</v>
      </c>
      <c r="G37" s="5">
        <v>2182</v>
      </c>
      <c r="H37" s="5">
        <v>2443</v>
      </c>
      <c r="I37" s="5">
        <v>3925</v>
      </c>
      <c r="J37" s="5">
        <v>4448</v>
      </c>
      <c r="K37" s="5">
        <v>43335</v>
      </c>
      <c r="L37" s="5">
        <v>46344</v>
      </c>
      <c r="M37" s="5">
        <v>3253</v>
      </c>
      <c r="N37" s="5">
        <v>3584</v>
      </c>
      <c r="O37" s="5">
        <v>5402</v>
      </c>
      <c r="P37" s="5">
        <v>5585</v>
      </c>
      <c r="Q37" s="5">
        <v>144804</v>
      </c>
      <c r="R37" s="5">
        <v>150430</v>
      </c>
      <c r="S37" s="5">
        <v>4247</v>
      </c>
      <c r="T37" s="5">
        <v>4830</v>
      </c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>
      <c r="A38" s="5" t="s">
        <v>169</v>
      </c>
      <c r="B38" s="5" t="s">
        <v>36</v>
      </c>
      <c r="C38" s="5">
        <v>1596</v>
      </c>
      <c r="D38" s="5">
        <v>2836</v>
      </c>
      <c r="E38" s="5">
        <v>10615</v>
      </c>
      <c r="F38" s="5">
        <v>12666</v>
      </c>
      <c r="G38" s="5">
        <v>1248</v>
      </c>
      <c r="H38" s="5">
        <v>2271</v>
      </c>
      <c r="I38" s="5">
        <v>1920</v>
      </c>
      <c r="J38" s="5">
        <v>3536</v>
      </c>
      <c r="K38" s="5">
        <v>39310</v>
      </c>
      <c r="L38" s="5">
        <v>48052</v>
      </c>
      <c r="M38" s="5">
        <v>1652</v>
      </c>
      <c r="N38" s="5">
        <v>2966</v>
      </c>
      <c r="O38" s="5">
        <v>2229</v>
      </c>
      <c r="P38" s="5">
        <v>4195</v>
      </c>
      <c r="Q38" s="5">
        <v>141961</v>
      </c>
      <c r="R38" s="5">
        <v>151575</v>
      </c>
      <c r="S38" s="5">
        <v>1863</v>
      </c>
      <c r="T38" s="5">
        <v>3474</v>
      </c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>
      <c r="A39" s="5" t="s">
        <v>169</v>
      </c>
      <c r="B39" s="5" t="s">
        <v>100</v>
      </c>
      <c r="C39" s="5">
        <v>1835</v>
      </c>
      <c r="D39" s="5">
        <v>2218</v>
      </c>
      <c r="E39" s="5">
        <v>6141</v>
      </c>
      <c r="F39" s="5">
        <v>6020</v>
      </c>
      <c r="G39" s="5">
        <v>1321</v>
      </c>
      <c r="H39" s="5">
        <v>1605</v>
      </c>
      <c r="I39" s="5">
        <v>2213</v>
      </c>
      <c r="J39" s="5">
        <v>2668</v>
      </c>
      <c r="K39" s="5">
        <v>20742</v>
      </c>
      <c r="L39" s="5">
        <v>21214</v>
      </c>
      <c r="M39" s="5">
        <v>1675</v>
      </c>
      <c r="N39" s="5">
        <v>2157</v>
      </c>
      <c r="O39" s="5">
        <v>2568</v>
      </c>
      <c r="P39" s="5">
        <v>3229</v>
      </c>
      <c r="Q39" s="5">
        <v>49336</v>
      </c>
      <c r="R39" s="5">
        <v>50372</v>
      </c>
      <c r="S39" s="5">
        <v>2132</v>
      </c>
      <c r="T39" s="5">
        <v>2763</v>
      </c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</row>
    <row r="40" spans="1:56">
      <c r="A40" s="5" t="s">
        <v>169</v>
      </c>
      <c r="B40" s="5" t="s">
        <v>66</v>
      </c>
      <c r="C40" s="5">
        <v>1654</v>
      </c>
      <c r="D40" s="5">
        <v>1822</v>
      </c>
      <c r="E40" s="5">
        <v>4411</v>
      </c>
      <c r="F40" s="5">
        <v>4630</v>
      </c>
      <c r="G40" s="5">
        <v>1171</v>
      </c>
      <c r="H40" s="5">
        <v>1450</v>
      </c>
      <c r="I40" s="5">
        <v>2077</v>
      </c>
      <c r="J40" s="5">
        <v>2677</v>
      </c>
      <c r="K40" s="5">
        <v>20041</v>
      </c>
      <c r="L40" s="5">
        <v>20626</v>
      </c>
      <c r="M40" s="5">
        <v>1654</v>
      </c>
      <c r="N40" s="5">
        <v>1944</v>
      </c>
      <c r="O40" s="5">
        <v>2506</v>
      </c>
      <c r="P40" s="5">
        <v>2924</v>
      </c>
      <c r="Q40" s="5">
        <v>48181</v>
      </c>
      <c r="R40" s="5">
        <v>43500</v>
      </c>
      <c r="S40" s="5">
        <v>2067</v>
      </c>
      <c r="T40" s="5">
        <v>2442</v>
      </c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</row>
    <row r="41" spans="1:56">
      <c r="A41" s="5" t="s">
        <v>169</v>
      </c>
      <c r="B41" s="5" t="s">
        <v>60</v>
      </c>
      <c r="C41" s="5">
        <v>1178</v>
      </c>
      <c r="D41" s="5">
        <v>1588</v>
      </c>
      <c r="E41" s="5">
        <v>3670</v>
      </c>
      <c r="F41" s="5">
        <v>4271</v>
      </c>
      <c r="G41" s="5">
        <v>940</v>
      </c>
      <c r="H41" s="5">
        <v>1197</v>
      </c>
      <c r="I41" s="5">
        <v>1454</v>
      </c>
      <c r="J41" s="5">
        <v>2026</v>
      </c>
      <c r="K41" s="5">
        <v>13385</v>
      </c>
      <c r="L41" s="5">
        <v>14291</v>
      </c>
      <c r="M41" s="5">
        <v>1297</v>
      </c>
      <c r="N41" s="5">
        <v>1544</v>
      </c>
      <c r="O41" s="5">
        <v>1767</v>
      </c>
      <c r="P41" s="5">
        <v>2239</v>
      </c>
      <c r="Q41" s="5">
        <v>29484</v>
      </c>
      <c r="R41" s="5">
        <v>30897</v>
      </c>
      <c r="S41" s="5">
        <v>1436</v>
      </c>
      <c r="T41" s="5">
        <v>1805</v>
      </c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</row>
    <row r="42" spans="1:56">
      <c r="A42" s="5" t="s">
        <v>169</v>
      </c>
      <c r="B42" s="5" t="s">
        <v>12</v>
      </c>
      <c r="C42" s="5">
        <v>325</v>
      </c>
      <c r="D42" s="5">
        <v>372</v>
      </c>
      <c r="E42" s="5">
        <v>767</v>
      </c>
      <c r="F42" s="5">
        <v>832</v>
      </c>
      <c r="G42" s="5">
        <v>244</v>
      </c>
      <c r="H42" s="5">
        <v>277</v>
      </c>
      <c r="I42" s="5">
        <v>383</v>
      </c>
      <c r="J42" s="5">
        <v>408</v>
      </c>
      <c r="K42" s="5">
        <v>2419</v>
      </c>
      <c r="L42" s="5">
        <v>2486</v>
      </c>
      <c r="M42" s="5">
        <v>317</v>
      </c>
      <c r="N42" s="5">
        <v>364</v>
      </c>
      <c r="O42" s="5">
        <v>455</v>
      </c>
      <c r="P42" s="5">
        <v>470</v>
      </c>
      <c r="Q42" s="5">
        <v>5426</v>
      </c>
      <c r="R42" s="5">
        <v>5511</v>
      </c>
      <c r="S42" s="5">
        <v>349</v>
      </c>
      <c r="T42" s="5">
        <v>379</v>
      </c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</row>
    <row r="43" spans="1:56">
      <c r="A43" s="5" t="s">
        <v>183</v>
      </c>
      <c r="B43" s="5" t="s">
        <v>21</v>
      </c>
      <c r="C43" s="5">
        <v>6252</v>
      </c>
      <c r="D43" s="5">
        <v>8804</v>
      </c>
      <c r="E43" s="5">
        <v>19842</v>
      </c>
      <c r="F43" s="5">
        <v>23455</v>
      </c>
      <c r="G43" s="5">
        <v>4828</v>
      </c>
      <c r="H43" s="5">
        <v>6359</v>
      </c>
      <c r="I43" s="5">
        <v>11540</v>
      </c>
      <c r="J43" s="5">
        <v>16183</v>
      </c>
      <c r="K43" s="5">
        <v>108020</v>
      </c>
      <c r="L43" s="5">
        <v>125187</v>
      </c>
      <c r="M43" s="5">
        <v>8859</v>
      </c>
      <c r="N43" s="5">
        <v>12246</v>
      </c>
      <c r="O43" s="5">
        <v>15466</v>
      </c>
      <c r="P43" s="5">
        <v>20886</v>
      </c>
      <c r="Q43" s="5">
        <v>351920</v>
      </c>
      <c r="R43" s="5">
        <v>377102</v>
      </c>
      <c r="S43" s="5">
        <v>13208</v>
      </c>
      <c r="T43" s="5">
        <v>17975</v>
      </c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</row>
    <row r="44" spans="1:56">
      <c r="A44" s="5" t="s">
        <v>171</v>
      </c>
      <c r="B44" s="5" t="s">
        <v>44</v>
      </c>
      <c r="C44" s="5">
        <v>645</v>
      </c>
      <c r="D44" s="5">
        <v>663</v>
      </c>
      <c r="E44" s="5">
        <v>2364</v>
      </c>
      <c r="F44" s="5">
        <v>1905</v>
      </c>
      <c r="G44" s="5">
        <v>482</v>
      </c>
      <c r="H44" s="5">
        <v>544</v>
      </c>
      <c r="I44" s="5">
        <v>1017</v>
      </c>
      <c r="J44" s="5">
        <v>804</v>
      </c>
      <c r="K44" s="5">
        <v>8808</v>
      </c>
      <c r="L44" s="5">
        <v>7329</v>
      </c>
      <c r="M44" s="5">
        <v>713</v>
      </c>
      <c r="N44" s="5">
        <v>688</v>
      </c>
      <c r="O44" s="5">
        <v>1090</v>
      </c>
      <c r="P44" s="5">
        <v>950</v>
      </c>
      <c r="Q44" s="5">
        <v>22239</v>
      </c>
      <c r="R44" s="5">
        <v>18922</v>
      </c>
      <c r="S44" s="5">
        <v>989</v>
      </c>
      <c r="T44" s="5">
        <v>792</v>
      </c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</row>
    <row r="45" spans="1:56">
      <c r="A45" s="5" t="s">
        <v>170</v>
      </c>
      <c r="B45" s="5" t="s">
        <v>5</v>
      </c>
      <c r="C45" s="5">
        <v>263</v>
      </c>
      <c r="D45" s="5">
        <v>279</v>
      </c>
      <c r="E45" s="5">
        <v>833</v>
      </c>
      <c r="F45" s="5">
        <v>854</v>
      </c>
      <c r="G45" s="5">
        <v>208</v>
      </c>
      <c r="H45" s="5">
        <v>227</v>
      </c>
      <c r="I45" s="5">
        <v>318</v>
      </c>
      <c r="J45" s="5">
        <v>331</v>
      </c>
      <c r="K45" s="5">
        <v>3445</v>
      </c>
      <c r="L45" s="5">
        <v>3991</v>
      </c>
      <c r="M45" s="5">
        <v>277</v>
      </c>
      <c r="N45" s="5">
        <v>262</v>
      </c>
      <c r="O45" s="5">
        <v>365</v>
      </c>
      <c r="P45" s="5">
        <v>380</v>
      </c>
      <c r="Q45" s="5">
        <v>9322</v>
      </c>
      <c r="R45" s="5">
        <v>9080</v>
      </c>
      <c r="S45" s="5">
        <v>319</v>
      </c>
      <c r="T45" s="5">
        <v>320</v>
      </c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</row>
    <row r="46" spans="1:56">
      <c r="A46" s="5" t="s">
        <v>170</v>
      </c>
      <c r="B46" s="5" t="s">
        <v>62</v>
      </c>
      <c r="C46" s="5">
        <v>890</v>
      </c>
      <c r="D46" s="5">
        <v>10258</v>
      </c>
      <c r="E46" s="5">
        <v>2718</v>
      </c>
      <c r="F46" s="5">
        <v>10880</v>
      </c>
      <c r="G46" s="5">
        <v>711</v>
      </c>
      <c r="H46" s="5">
        <v>6535</v>
      </c>
      <c r="I46" s="5">
        <v>1125</v>
      </c>
      <c r="J46" s="5">
        <v>12627</v>
      </c>
      <c r="K46" s="5">
        <v>10388</v>
      </c>
      <c r="L46" s="5">
        <v>20644</v>
      </c>
      <c r="M46" s="5">
        <v>925</v>
      </c>
      <c r="N46" s="5">
        <v>9767</v>
      </c>
      <c r="O46" s="5">
        <v>1365</v>
      </c>
      <c r="P46" s="5">
        <v>13962</v>
      </c>
      <c r="Q46" s="5">
        <v>29487</v>
      </c>
      <c r="R46" s="5">
        <v>36324</v>
      </c>
      <c r="S46" s="5">
        <v>1132</v>
      </c>
      <c r="T46" s="5">
        <v>9196</v>
      </c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</row>
    <row r="47" spans="1:56">
      <c r="A47" s="5" t="s">
        <v>170</v>
      </c>
      <c r="B47" s="5" t="s">
        <v>6</v>
      </c>
      <c r="C47" s="5">
        <v>937</v>
      </c>
      <c r="D47" s="5">
        <v>0</v>
      </c>
      <c r="E47" s="5">
        <v>3027</v>
      </c>
      <c r="F47" s="5">
        <v>6484</v>
      </c>
      <c r="G47" s="5">
        <v>723</v>
      </c>
      <c r="H47" s="5">
        <v>2265</v>
      </c>
      <c r="I47" s="5">
        <v>1839</v>
      </c>
      <c r="J47" s="5">
        <v>17480</v>
      </c>
      <c r="K47" s="5">
        <v>18286</v>
      </c>
      <c r="L47" s="5">
        <v>20191</v>
      </c>
      <c r="M47" s="5">
        <v>1397</v>
      </c>
      <c r="N47" s="5">
        <v>78039</v>
      </c>
      <c r="O47" s="5">
        <v>2445</v>
      </c>
      <c r="P47" s="5">
        <v>63856</v>
      </c>
      <c r="Q47" s="5">
        <v>58089</v>
      </c>
      <c r="R47" s="5">
        <v>49577</v>
      </c>
      <c r="S47" s="5">
        <v>2072</v>
      </c>
      <c r="T47" s="5">
        <v>92366</v>
      </c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</row>
    <row r="48" spans="1:56">
      <c r="A48" s="5" t="s">
        <v>170</v>
      </c>
      <c r="B48" s="5" t="s">
        <v>82</v>
      </c>
      <c r="C48" s="5">
        <v>24</v>
      </c>
      <c r="D48" s="5">
        <v>28</v>
      </c>
      <c r="E48" s="5">
        <v>129</v>
      </c>
      <c r="F48" s="5">
        <v>136</v>
      </c>
      <c r="G48" s="5">
        <v>29</v>
      </c>
      <c r="H48" s="5">
        <v>21</v>
      </c>
      <c r="I48" s="5">
        <v>30</v>
      </c>
      <c r="J48" s="5">
        <v>30</v>
      </c>
      <c r="K48" s="5">
        <v>323</v>
      </c>
      <c r="L48" s="5">
        <v>319</v>
      </c>
      <c r="M48" s="5">
        <v>45</v>
      </c>
      <c r="N48" s="5">
        <v>28</v>
      </c>
      <c r="O48" s="5">
        <v>37</v>
      </c>
      <c r="P48" s="5">
        <v>38</v>
      </c>
      <c r="Q48" s="5">
        <v>337</v>
      </c>
      <c r="R48" s="5">
        <v>317</v>
      </c>
      <c r="S48" s="5">
        <v>33</v>
      </c>
      <c r="T48" s="5">
        <v>32</v>
      </c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</row>
    <row r="49" spans="1:56">
      <c r="A49" s="5" t="s">
        <v>170</v>
      </c>
      <c r="B49" s="5" t="s">
        <v>92</v>
      </c>
      <c r="C49" s="5">
        <v>14</v>
      </c>
      <c r="D49" s="5">
        <v>13</v>
      </c>
      <c r="E49" s="5">
        <v>23</v>
      </c>
      <c r="F49" s="5">
        <v>16</v>
      </c>
      <c r="G49" s="5">
        <v>10</v>
      </c>
      <c r="H49" s="5">
        <v>11</v>
      </c>
      <c r="I49" s="5">
        <v>15</v>
      </c>
      <c r="J49" s="5">
        <v>16</v>
      </c>
      <c r="K49" s="5">
        <v>21</v>
      </c>
      <c r="L49" s="5">
        <v>21</v>
      </c>
      <c r="M49" s="5">
        <v>19</v>
      </c>
      <c r="N49" s="5">
        <v>14</v>
      </c>
      <c r="O49" s="5">
        <v>18</v>
      </c>
      <c r="P49" s="5">
        <v>18</v>
      </c>
      <c r="Q49" s="5">
        <v>38</v>
      </c>
      <c r="R49" s="5">
        <v>39</v>
      </c>
      <c r="S49" s="5">
        <v>16</v>
      </c>
      <c r="T49" s="5">
        <v>15</v>
      </c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</row>
    <row r="50" spans="1:56">
      <c r="A50" s="5" t="s">
        <v>170</v>
      </c>
      <c r="B50" s="5" t="s">
        <v>53</v>
      </c>
      <c r="C50" s="5">
        <v>1086</v>
      </c>
      <c r="D50" s="5">
        <v>38950</v>
      </c>
      <c r="E50" s="5">
        <v>2849</v>
      </c>
      <c r="F50" s="5">
        <v>34324</v>
      </c>
      <c r="G50" s="5">
        <v>829</v>
      </c>
      <c r="H50" s="5">
        <v>30220</v>
      </c>
      <c r="I50" s="5">
        <v>1694</v>
      </c>
      <c r="J50" s="5">
        <v>50007</v>
      </c>
      <c r="K50" s="5">
        <v>11972</v>
      </c>
      <c r="L50" s="5">
        <v>45213</v>
      </c>
      <c r="M50" s="5">
        <v>1359</v>
      </c>
      <c r="N50" s="5">
        <v>36683</v>
      </c>
      <c r="O50" s="5">
        <v>2191</v>
      </c>
      <c r="P50" s="5">
        <v>64373</v>
      </c>
      <c r="Q50" s="5">
        <v>28737</v>
      </c>
      <c r="R50" s="5">
        <v>82160</v>
      </c>
      <c r="S50" s="5">
        <v>1782</v>
      </c>
      <c r="T50" s="5">
        <v>49064</v>
      </c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>
      <c r="A51" s="5" t="s">
        <v>170</v>
      </c>
      <c r="B51" s="5" t="s">
        <v>11</v>
      </c>
      <c r="C51" s="5">
        <v>75</v>
      </c>
      <c r="D51" s="5">
        <v>79</v>
      </c>
      <c r="E51" s="5">
        <v>281</v>
      </c>
      <c r="F51" s="5">
        <v>302</v>
      </c>
      <c r="G51" s="5">
        <v>55</v>
      </c>
      <c r="H51" s="5">
        <v>65</v>
      </c>
      <c r="I51" s="5">
        <v>82</v>
      </c>
      <c r="J51" s="5">
        <v>95</v>
      </c>
      <c r="K51" s="5">
        <v>1022</v>
      </c>
      <c r="L51" s="5">
        <v>1121</v>
      </c>
      <c r="M51" s="5">
        <v>68</v>
      </c>
      <c r="N51" s="5">
        <v>88</v>
      </c>
      <c r="O51" s="5">
        <v>100</v>
      </c>
      <c r="P51" s="5">
        <v>110</v>
      </c>
      <c r="Q51" s="5">
        <v>2517</v>
      </c>
      <c r="R51" s="5">
        <v>2604</v>
      </c>
      <c r="S51" s="5">
        <v>78</v>
      </c>
      <c r="T51" s="5">
        <v>103</v>
      </c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</row>
    <row r="52" spans="1:56">
      <c r="A52" s="5" t="s">
        <v>170</v>
      </c>
      <c r="B52" s="5" t="s">
        <v>84</v>
      </c>
      <c r="C52" s="5">
        <v>554</v>
      </c>
      <c r="D52" s="5">
        <v>3723</v>
      </c>
      <c r="E52" s="5">
        <v>1681</v>
      </c>
      <c r="F52" s="5">
        <v>5133</v>
      </c>
      <c r="G52" s="5">
        <v>435</v>
      </c>
      <c r="H52" s="5">
        <v>2038</v>
      </c>
      <c r="I52" s="5">
        <v>748</v>
      </c>
      <c r="J52" s="5">
        <v>3468</v>
      </c>
      <c r="K52" s="5">
        <v>6527</v>
      </c>
      <c r="L52" s="5">
        <v>9203</v>
      </c>
      <c r="M52" s="5">
        <v>588</v>
      </c>
      <c r="N52" s="5">
        <v>2533</v>
      </c>
      <c r="O52" s="5">
        <v>849</v>
      </c>
      <c r="P52" s="5">
        <v>3699</v>
      </c>
      <c r="Q52" s="5">
        <v>17788</v>
      </c>
      <c r="R52" s="5">
        <v>19258</v>
      </c>
      <c r="S52" s="5">
        <v>717</v>
      </c>
      <c r="T52" s="5">
        <v>3073</v>
      </c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>
      <c r="A53" s="5" t="s">
        <v>182</v>
      </c>
      <c r="B53" s="5" t="s">
        <v>50</v>
      </c>
      <c r="C53" s="5">
        <v>573</v>
      </c>
      <c r="D53" s="5">
        <v>706</v>
      </c>
      <c r="E53" s="5">
        <v>1684</v>
      </c>
      <c r="F53" s="5">
        <v>1908</v>
      </c>
      <c r="G53" s="5">
        <v>445</v>
      </c>
      <c r="H53" s="5">
        <v>473</v>
      </c>
      <c r="I53" s="5">
        <v>928</v>
      </c>
      <c r="J53" s="5">
        <v>1051</v>
      </c>
      <c r="K53" s="5">
        <v>7467</v>
      </c>
      <c r="L53" s="5">
        <v>7718</v>
      </c>
      <c r="M53" s="5">
        <v>686</v>
      </c>
      <c r="N53" s="5">
        <v>820</v>
      </c>
      <c r="O53" s="5">
        <v>1150</v>
      </c>
      <c r="P53" s="5">
        <v>1335</v>
      </c>
      <c r="Q53" s="5">
        <v>16102</v>
      </c>
      <c r="R53" s="5">
        <v>19926</v>
      </c>
      <c r="S53" s="5">
        <v>939</v>
      </c>
      <c r="T53" s="5">
        <v>1057</v>
      </c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</row>
    <row r="54" spans="1:56">
      <c r="A54" s="5" t="s">
        <v>182</v>
      </c>
      <c r="B54" s="5" t="s">
        <v>47</v>
      </c>
      <c r="C54" s="5">
        <v>1335</v>
      </c>
      <c r="D54" s="5">
        <v>614677</v>
      </c>
      <c r="E54" s="5">
        <v>2901</v>
      </c>
      <c r="F54" s="5">
        <v>808370</v>
      </c>
      <c r="G54" s="5">
        <v>1027</v>
      </c>
      <c r="H54" s="5">
        <v>470942</v>
      </c>
      <c r="I54" s="5">
        <v>2762</v>
      </c>
      <c r="J54" s="5">
        <v>972891</v>
      </c>
      <c r="K54" s="5">
        <v>11242</v>
      </c>
      <c r="L54" s="5">
        <v>1065121</v>
      </c>
      <c r="M54" s="5">
        <v>2006</v>
      </c>
      <c r="N54" s="5">
        <v>833855</v>
      </c>
      <c r="O54" s="5">
        <v>3104</v>
      </c>
      <c r="P54" s="5">
        <v>1163749</v>
      </c>
      <c r="Q54" s="5">
        <v>28656</v>
      </c>
      <c r="R54" s="5">
        <v>1131623</v>
      </c>
      <c r="S54" s="5">
        <v>2582</v>
      </c>
      <c r="T54" s="5">
        <v>842760</v>
      </c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</row>
    <row r="55" spans="1:56">
      <c r="A55" s="5" t="s">
        <v>182</v>
      </c>
      <c r="B55" s="5" t="s">
        <v>57</v>
      </c>
      <c r="C55" s="5">
        <v>164</v>
      </c>
      <c r="D55" s="5">
        <v>130</v>
      </c>
      <c r="E55" s="5">
        <v>561</v>
      </c>
      <c r="F55" s="5">
        <v>469</v>
      </c>
      <c r="G55" s="5">
        <v>114</v>
      </c>
      <c r="H55" s="5">
        <v>97</v>
      </c>
      <c r="I55" s="5">
        <v>244</v>
      </c>
      <c r="J55" s="5">
        <v>208</v>
      </c>
      <c r="K55" s="5">
        <v>844</v>
      </c>
      <c r="L55" s="5">
        <v>942</v>
      </c>
      <c r="M55" s="5">
        <v>185</v>
      </c>
      <c r="N55" s="5">
        <v>163</v>
      </c>
      <c r="O55" s="5">
        <v>350</v>
      </c>
      <c r="P55" s="5">
        <v>415</v>
      </c>
      <c r="Q55" s="5">
        <v>2198</v>
      </c>
      <c r="R55" s="5">
        <v>2162</v>
      </c>
      <c r="S55" s="5">
        <v>314</v>
      </c>
      <c r="T55" s="5">
        <v>217</v>
      </c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</row>
    <row r="56" spans="1:56">
      <c r="A56" s="5" t="s">
        <v>182</v>
      </c>
      <c r="B56" s="5" t="s">
        <v>95</v>
      </c>
      <c r="C56" s="5">
        <v>98</v>
      </c>
      <c r="D56" s="5">
        <v>156</v>
      </c>
      <c r="E56" s="5">
        <v>427</v>
      </c>
      <c r="F56" s="5">
        <v>525</v>
      </c>
      <c r="G56" s="5">
        <v>93</v>
      </c>
      <c r="H56" s="5">
        <v>110</v>
      </c>
      <c r="I56" s="5">
        <v>118</v>
      </c>
      <c r="J56" s="5">
        <v>208</v>
      </c>
      <c r="K56" s="5">
        <v>1073</v>
      </c>
      <c r="L56" s="5">
        <v>889</v>
      </c>
      <c r="M56" s="5">
        <v>91</v>
      </c>
      <c r="N56" s="5">
        <v>149</v>
      </c>
      <c r="O56" s="5">
        <v>141</v>
      </c>
      <c r="P56" s="5">
        <v>233</v>
      </c>
      <c r="Q56" s="5">
        <v>2116</v>
      </c>
      <c r="R56" s="5">
        <v>2268</v>
      </c>
      <c r="S56" s="5">
        <v>103</v>
      </c>
      <c r="T56" s="5">
        <v>168</v>
      </c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</row>
    <row r="57" spans="1:56">
      <c r="A57" s="5" t="s">
        <v>182</v>
      </c>
      <c r="B57" s="5" t="s">
        <v>41</v>
      </c>
      <c r="C57" s="5">
        <v>131</v>
      </c>
      <c r="D57" s="5">
        <v>162</v>
      </c>
      <c r="E57" s="5">
        <v>480</v>
      </c>
      <c r="F57" s="5">
        <v>496</v>
      </c>
      <c r="G57" s="5">
        <v>112</v>
      </c>
      <c r="H57" s="5">
        <v>118</v>
      </c>
      <c r="I57" s="5">
        <v>193</v>
      </c>
      <c r="J57" s="5">
        <v>231</v>
      </c>
      <c r="K57" s="5">
        <v>857</v>
      </c>
      <c r="L57" s="5">
        <v>940</v>
      </c>
      <c r="M57" s="5">
        <v>152</v>
      </c>
      <c r="N57" s="5">
        <v>193</v>
      </c>
      <c r="O57" s="5">
        <v>299</v>
      </c>
      <c r="P57" s="5">
        <v>340</v>
      </c>
      <c r="Q57" s="5">
        <v>1602</v>
      </c>
      <c r="R57" s="5">
        <v>2557</v>
      </c>
      <c r="S57" s="5">
        <v>217</v>
      </c>
      <c r="T57" s="5">
        <v>245</v>
      </c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</row>
    <row r="58" spans="1:56">
      <c r="A58" s="5" t="s">
        <v>182</v>
      </c>
      <c r="B58" s="5" t="s">
        <v>81</v>
      </c>
      <c r="C58" s="5">
        <v>845</v>
      </c>
      <c r="D58" s="5">
        <v>957</v>
      </c>
      <c r="E58" s="5">
        <v>2687</v>
      </c>
      <c r="F58" s="5">
        <v>2568</v>
      </c>
      <c r="G58" s="5">
        <v>726</v>
      </c>
      <c r="H58" s="5">
        <v>817</v>
      </c>
      <c r="I58" s="5">
        <v>1150</v>
      </c>
      <c r="J58" s="5">
        <v>1400</v>
      </c>
      <c r="K58" s="5">
        <v>10297</v>
      </c>
      <c r="L58" s="5">
        <v>8917</v>
      </c>
      <c r="M58" s="5">
        <v>949</v>
      </c>
      <c r="N58" s="5">
        <v>1105</v>
      </c>
      <c r="O58" s="5">
        <v>1325</v>
      </c>
      <c r="P58" s="5">
        <v>1599</v>
      </c>
      <c r="Q58" s="5">
        <v>21089</v>
      </c>
      <c r="R58" s="5">
        <v>21351</v>
      </c>
      <c r="S58" s="5">
        <v>1069</v>
      </c>
      <c r="T58" s="5">
        <v>1287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</row>
    <row r="59" spans="1:56">
      <c r="A59" s="5" t="s">
        <v>182</v>
      </c>
      <c r="B59" s="5" t="s">
        <v>45</v>
      </c>
      <c r="C59" s="5">
        <v>13303</v>
      </c>
      <c r="D59" s="5">
        <v>1314628</v>
      </c>
      <c r="E59" s="5">
        <v>76684</v>
      </c>
      <c r="F59" s="5">
        <v>1551927</v>
      </c>
      <c r="G59" s="5">
        <v>10278</v>
      </c>
      <c r="H59" s="5">
        <v>1017044</v>
      </c>
      <c r="I59" s="5">
        <v>19935</v>
      </c>
      <c r="J59" s="5">
        <v>2041539</v>
      </c>
      <c r="K59" s="5">
        <v>276233</v>
      </c>
      <c r="L59" s="5">
        <v>2329552</v>
      </c>
      <c r="M59" s="5">
        <v>16122</v>
      </c>
      <c r="N59" s="5">
        <v>1646162</v>
      </c>
      <c r="O59" s="5">
        <v>24001</v>
      </c>
      <c r="P59" s="5">
        <v>2375725</v>
      </c>
      <c r="Q59" s="5">
        <v>675676</v>
      </c>
      <c r="R59" s="5">
        <v>3232617</v>
      </c>
      <c r="S59" s="5">
        <v>20099</v>
      </c>
      <c r="T59" s="5">
        <v>1851021</v>
      </c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</row>
    <row r="60" spans="1:56">
      <c r="A60" s="5" t="s">
        <v>182</v>
      </c>
      <c r="B60" s="5" t="s">
        <v>54</v>
      </c>
      <c r="C60" s="5">
        <v>4009</v>
      </c>
      <c r="D60" s="5">
        <v>22361</v>
      </c>
      <c r="E60" s="5">
        <v>21667</v>
      </c>
      <c r="F60" s="5">
        <v>53421</v>
      </c>
      <c r="G60" s="5">
        <v>3201</v>
      </c>
      <c r="H60" s="5">
        <v>21946</v>
      </c>
      <c r="I60" s="5">
        <v>5559</v>
      </c>
      <c r="J60" s="5">
        <v>30805</v>
      </c>
      <c r="K60" s="5">
        <v>87047</v>
      </c>
      <c r="L60" s="5">
        <v>179892</v>
      </c>
      <c r="M60" s="5">
        <v>4399</v>
      </c>
      <c r="N60" s="5">
        <v>28323</v>
      </c>
      <c r="O60" s="5">
        <v>6347</v>
      </c>
      <c r="P60" s="5">
        <v>29583</v>
      </c>
      <c r="Q60" s="5">
        <v>189024</v>
      </c>
      <c r="R60" s="5">
        <v>291006</v>
      </c>
      <c r="S60" s="5">
        <v>5292</v>
      </c>
      <c r="T60" s="5">
        <v>35355</v>
      </c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</row>
    <row r="61" spans="1:56">
      <c r="A61" s="5" t="s">
        <v>182</v>
      </c>
      <c r="B61" s="5" t="s">
        <v>79</v>
      </c>
      <c r="C61" s="5">
        <v>7372</v>
      </c>
      <c r="D61" s="5">
        <v>717958</v>
      </c>
      <c r="E61" s="5">
        <v>38137</v>
      </c>
      <c r="F61" s="5">
        <v>838972</v>
      </c>
      <c r="G61" s="5">
        <v>5712</v>
      </c>
      <c r="H61" s="5">
        <v>520475</v>
      </c>
      <c r="I61" s="5">
        <v>10071</v>
      </c>
      <c r="J61" s="5">
        <v>956310</v>
      </c>
      <c r="K61" s="5">
        <v>138795</v>
      </c>
      <c r="L61" s="5">
        <v>1345918</v>
      </c>
      <c r="M61" s="5">
        <v>8356</v>
      </c>
      <c r="N61" s="5">
        <v>941783</v>
      </c>
      <c r="O61" s="5">
        <v>12316</v>
      </c>
      <c r="P61" s="5">
        <v>1192608</v>
      </c>
      <c r="Q61" s="5">
        <v>345050</v>
      </c>
      <c r="R61" s="5">
        <v>1863923</v>
      </c>
      <c r="S61" s="5">
        <v>10121</v>
      </c>
      <c r="T61" s="5">
        <v>848265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</row>
    <row r="62" spans="1:56">
      <c r="A62" s="5" t="s">
        <v>182</v>
      </c>
      <c r="B62" s="5" t="s">
        <v>9</v>
      </c>
      <c r="C62" s="5">
        <v>5715</v>
      </c>
      <c r="D62" s="5">
        <v>27143</v>
      </c>
      <c r="E62" s="5">
        <v>33801</v>
      </c>
      <c r="F62" s="5">
        <v>61904</v>
      </c>
      <c r="G62" s="5">
        <v>4522</v>
      </c>
      <c r="H62" s="5">
        <v>25359</v>
      </c>
      <c r="I62" s="5">
        <v>7372</v>
      </c>
      <c r="J62" s="5">
        <v>35530</v>
      </c>
      <c r="K62" s="5">
        <v>133080</v>
      </c>
      <c r="L62" s="5">
        <v>184018</v>
      </c>
      <c r="M62" s="5">
        <v>6190</v>
      </c>
      <c r="N62" s="5">
        <v>28550</v>
      </c>
      <c r="O62" s="5">
        <v>8457</v>
      </c>
      <c r="P62" s="5">
        <v>38894</v>
      </c>
      <c r="Q62" s="5">
        <v>277947</v>
      </c>
      <c r="R62" s="5">
        <v>446081</v>
      </c>
      <c r="S62" s="5">
        <v>7138</v>
      </c>
      <c r="T62" s="5">
        <v>31459</v>
      </c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</row>
    <row r="63" spans="1:56">
      <c r="A63" s="5" t="s">
        <v>182</v>
      </c>
      <c r="B63" s="5" t="s">
        <v>7</v>
      </c>
      <c r="C63" s="5">
        <v>2532</v>
      </c>
      <c r="D63" s="5">
        <v>3128</v>
      </c>
      <c r="E63" s="5">
        <v>6829</v>
      </c>
      <c r="F63" s="5">
        <v>7953</v>
      </c>
      <c r="G63" s="5">
        <v>1986</v>
      </c>
      <c r="H63" s="5">
        <v>2426</v>
      </c>
      <c r="I63" s="5">
        <v>5067</v>
      </c>
      <c r="J63" s="5">
        <v>5547</v>
      </c>
      <c r="K63" s="5">
        <v>39717</v>
      </c>
      <c r="L63" s="5">
        <v>39777</v>
      </c>
      <c r="M63" s="5">
        <v>3595</v>
      </c>
      <c r="N63" s="5">
        <v>4279</v>
      </c>
      <c r="O63" s="5">
        <v>5699</v>
      </c>
      <c r="P63" s="5">
        <v>84181</v>
      </c>
      <c r="Q63" s="5">
        <v>102006</v>
      </c>
      <c r="R63" s="5">
        <v>116340</v>
      </c>
      <c r="S63" s="5">
        <v>4652</v>
      </c>
      <c r="T63" s="5">
        <v>5894</v>
      </c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</row>
    <row r="64" spans="1:56">
      <c r="A64" s="5" t="s">
        <v>182</v>
      </c>
      <c r="B64" s="5" t="s">
        <v>46</v>
      </c>
      <c r="C64" s="5">
        <v>698</v>
      </c>
      <c r="D64" s="5">
        <v>814</v>
      </c>
      <c r="E64" s="5">
        <v>1803</v>
      </c>
      <c r="F64" s="5">
        <v>1970</v>
      </c>
      <c r="G64" s="5">
        <v>530</v>
      </c>
      <c r="H64" s="5">
        <v>633</v>
      </c>
      <c r="I64" s="5">
        <v>1096</v>
      </c>
      <c r="J64" s="5">
        <v>1654</v>
      </c>
      <c r="K64" s="5">
        <v>9580</v>
      </c>
      <c r="L64" s="5">
        <v>11361</v>
      </c>
      <c r="M64" s="5">
        <v>900</v>
      </c>
      <c r="N64" s="5">
        <v>1057</v>
      </c>
      <c r="O64" s="5">
        <v>1483</v>
      </c>
      <c r="P64" s="5">
        <v>1345217</v>
      </c>
      <c r="Q64" s="5">
        <v>21158</v>
      </c>
      <c r="R64" s="5">
        <v>22201</v>
      </c>
      <c r="S64" s="5">
        <v>1154</v>
      </c>
      <c r="T64" s="5">
        <v>1386</v>
      </c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</row>
    <row r="65" spans="1:56">
      <c r="A65" s="5" t="s">
        <v>182</v>
      </c>
      <c r="B65" s="5" t="s">
        <v>99</v>
      </c>
      <c r="C65" s="5">
        <v>2254</v>
      </c>
      <c r="D65" s="5">
        <v>3628</v>
      </c>
      <c r="E65" s="5">
        <v>7661</v>
      </c>
      <c r="F65" s="5">
        <v>9935</v>
      </c>
      <c r="G65" s="5">
        <v>1672</v>
      </c>
      <c r="H65" s="5">
        <v>2713</v>
      </c>
      <c r="I65" s="5">
        <v>3223</v>
      </c>
      <c r="J65" s="5">
        <v>5064</v>
      </c>
      <c r="K65" s="5">
        <v>29180</v>
      </c>
      <c r="L65" s="5">
        <v>41657</v>
      </c>
      <c r="M65" s="5">
        <v>2508</v>
      </c>
      <c r="N65" s="5">
        <v>3889</v>
      </c>
      <c r="O65" s="5">
        <v>4403</v>
      </c>
      <c r="P65" s="5">
        <v>6269</v>
      </c>
      <c r="Q65" s="5">
        <v>68885</v>
      </c>
      <c r="R65" s="5">
        <v>127495</v>
      </c>
      <c r="S65" s="5">
        <v>3558</v>
      </c>
      <c r="T65" s="5">
        <v>5130</v>
      </c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</row>
    <row r="66" spans="1:56">
      <c r="A66" s="5" t="s">
        <v>182</v>
      </c>
      <c r="B66" s="5" t="s">
        <v>96</v>
      </c>
      <c r="C66" s="5">
        <v>5239</v>
      </c>
      <c r="D66" s="5">
        <v>7094</v>
      </c>
      <c r="E66" s="5">
        <v>17898</v>
      </c>
      <c r="F66" s="5">
        <v>22393</v>
      </c>
      <c r="G66" s="5">
        <v>3874</v>
      </c>
      <c r="H66" s="5">
        <v>5497</v>
      </c>
      <c r="I66" s="5">
        <v>8285</v>
      </c>
      <c r="J66" s="5">
        <v>11892</v>
      </c>
      <c r="K66" s="5">
        <v>88270</v>
      </c>
      <c r="L66" s="5">
        <v>113695</v>
      </c>
      <c r="M66" s="5">
        <v>6669</v>
      </c>
      <c r="N66" s="5">
        <v>8977</v>
      </c>
      <c r="O66" s="5">
        <v>10896</v>
      </c>
      <c r="P66" s="5">
        <v>15934</v>
      </c>
      <c r="Q66" s="5">
        <v>187734</v>
      </c>
      <c r="R66" s="5">
        <v>300704</v>
      </c>
      <c r="S66" s="5">
        <v>9186</v>
      </c>
      <c r="T66" s="5">
        <v>12677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</row>
    <row r="67" spans="1:56">
      <c r="A67" s="5" t="s">
        <v>182</v>
      </c>
      <c r="B67" s="5" t="s">
        <v>13</v>
      </c>
      <c r="C67" s="5">
        <v>236</v>
      </c>
      <c r="D67" s="5">
        <v>250</v>
      </c>
      <c r="E67" s="5">
        <v>715</v>
      </c>
      <c r="F67" s="5">
        <v>800</v>
      </c>
      <c r="G67" s="5">
        <v>180</v>
      </c>
      <c r="H67" s="5">
        <v>177</v>
      </c>
      <c r="I67" s="5">
        <v>333</v>
      </c>
      <c r="J67" s="5">
        <v>345</v>
      </c>
      <c r="K67" s="5">
        <v>3171</v>
      </c>
      <c r="L67" s="5">
        <v>2956</v>
      </c>
      <c r="M67" s="5">
        <v>251</v>
      </c>
      <c r="N67" s="5">
        <v>281</v>
      </c>
      <c r="O67" s="5">
        <v>421</v>
      </c>
      <c r="P67" s="5">
        <v>408</v>
      </c>
      <c r="Q67" s="5">
        <v>3631</v>
      </c>
      <c r="R67" s="5">
        <v>5474</v>
      </c>
      <c r="S67" s="5">
        <v>511</v>
      </c>
      <c r="T67" s="5">
        <v>337</v>
      </c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</row>
    <row r="68" spans="1:56">
      <c r="A68" s="5" t="s">
        <v>182</v>
      </c>
      <c r="B68" s="5" t="s">
        <v>93</v>
      </c>
      <c r="C68" s="5">
        <v>264</v>
      </c>
      <c r="D68" s="5">
        <v>243</v>
      </c>
      <c r="E68" s="5">
        <v>791</v>
      </c>
      <c r="F68" s="5">
        <v>834</v>
      </c>
      <c r="G68" s="5">
        <v>204</v>
      </c>
      <c r="H68" s="5">
        <v>187</v>
      </c>
      <c r="I68" s="5">
        <v>406</v>
      </c>
      <c r="J68" s="5">
        <v>328</v>
      </c>
      <c r="K68" s="5">
        <v>3227</v>
      </c>
      <c r="L68" s="5">
        <v>2989</v>
      </c>
      <c r="M68" s="5">
        <v>266</v>
      </c>
      <c r="N68" s="5">
        <v>268</v>
      </c>
      <c r="O68" s="5">
        <v>430</v>
      </c>
      <c r="P68" s="5">
        <v>442</v>
      </c>
      <c r="Q68" s="5">
        <v>6921</v>
      </c>
      <c r="R68" s="5">
        <v>5968</v>
      </c>
      <c r="S68" s="5">
        <v>330</v>
      </c>
      <c r="T68" s="5">
        <v>291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</row>
    <row r="69" spans="1:56">
      <c r="A69" s="5" t="s">
        <v>182</v>
      </c>
      <c r="B69" s="5" t="s">
        <v>48</v>
      </c>
      <c r="C69" s="5">
        <v>812</v>
      </c>
      <c r="D69" s="5">
        <v>909</v>
      </c>
      <c r="E69" s="5">
        <v>2570</v>
      </c>
      <c r="F69" s="5">
        <v>2703</v>
      </c>
      <c r="G69" s="5">
        <v>641</v>
      </c>
      <c r="H69" s="5">
        <v>692</v>
      </c>
      <c r="I69" s="5">
        <v>1105</v>
      </c>
      <c r="J69" s="5">
        <v>1160</v>
      </c>
      <c r="K69" s="5">
        <v>9802</v>
      </c>
      <c r="L69" s="5">
        <v>10168</v>
      </c>
      <c r="M69" s="5">
        <v>846</v>
      </c>
      <c r="N69" s="5">
        <v>953</v>
      </c>
      <c r="O69" s="5">
        <v>1313</v>
      </c>
      <c r="P69" s="5">
        <v>1380</v>
      </c>
      <c r="Q69" s="5">
        <v>22890</v>
      </c>
      <c r="R69" s="5">
        <v>21482</v>
      </c>
      <c r="S69" s="5">
        <v>1135</v>
      </c>
      <c r="T69" s="5">
        <v>1129</v>
      </c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</row>
    <row r="70" spans="1:56">
      <c r="A70" s="5" t="s">
        <v>182</v>
      </c>
      <c r="B70" s="5" t="s">
        <v>103</v>
      </c>
      <c r="C70" s="5">
        <v>2077</v>
      </c>
      <c r="D70" s="5">
        <v>3656</v>
      </c>
      <c r="E70" s="5">
        <v>7045</v>
      </c>
      <c r="F70" s="5">
        <v>10494</v>
      </c>
      <c r="G70" s="5">
        <v>1784</v>
      </c>
      <c r="H70" s="5">
        <v>2703</v>
      </c>
      <c r="I70" s="5">
        <v>3252</v>
      </c>
      <c r="J70" s="5">
        <v>5019</v>
      </c>
      <c r="K70" s="5">
        <v>29873</v>
      </c>
      <c r="L70" s="5">
        <v>41647</v>
      </c>
      <c r="M70" s="5">
        <v>2451</v>
      </c>
      <c r="N70" s="5">
        <v>3823</v>
      </c>
      <c r="O70" s="5">
        <v>3615</v>
      </c>
      <c r="P70" s="5">
        <v>6205</v>
      </c>
      <c r="Q70" s="5">
        <v>64396</v>
      </c>
      <c r="R70" s="5">
        <v>121381</v>
      </c>
      <c r="S70" s="5">
        <v>3004</v>
      </c>
      <c r="T70" s="5">
        <v>5103</v>
      </c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</row>
    <row r="71" spans="1:56">
      <c r="A71" s="5" t="s">
        <v>182</v>
      </c>
      <c r="B71" s="5" t="s">
        <v>31</v>
      </c>
      <c r="C71" s="5">
        <v>4908</v>
      </c>
      <c r="D71" s="5">
        <v>7530</v>
      </c>
      <c r="E71" s="5">
        <v>17422</v>
      </c>
      <c r="F71" s="5">
        <v>24463</v>
      </c>
      <c r="G71" s="5">
        <v>4002</v>
      </c>
      <c r="H71" s="5">
        <v>5455</v>
      </c>
      <c r="I71" s="5">
        <v>8434</v>
      </c>
      <c r="J71" s="5">
        <v>11434</v>
      </c>
      <c r="K71" s="5">
        <v>92875</v>
      </c>
      <c r="L71" s="5">
        <v>117440</v>
      </c>
      <c r="M71" s="5">
        <v>6599</v>
      </c>
      <c r="N71" s="5">
        <v>8851</v>
      </c>
      <c r="O71" s="5">
        <v>10782</v>
      </c>
      <c r="P71" s="5">
        <v>15267</v>
      </c>
      <c r="Q71" s="5">
        <v>214132</v>
      </c>
      <c r="R71" s="5">
        <v>334840</v>
      </c>
      <c r="S71" s="5">
        <v>9078</v>
      </c>
      <c r="T71" s="5">
        <v>12363</v>
      </c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</row>
    <row r="72" spans="1:56">
      <c r="A72" s="5" t="s">
        <v>177</v>
      </c>
      <c r="B72" s="5" t="s">
        <v>33</v>
      </c>
      <c r="C72" s="5">
        <v>2732</v>
      </c>
      <c r="D72" s="5">
        <v>5138</v>
      </c>
      <c r="E72" s="5">
        <v>57628</v>
      </c>
      <c r="F72" s="5">
        <v>75377</v>
      </c>
      <c r="G72" s="5">
        <v>2202</v>
      </c>
      <c r="H72" s="5">
        <v>3917</v>
      </c>
      <c r="I72" s="5">
        <v>3310</v>
      </c>
      <c r="J72" s="5">
        <v>6400</v>
      </c>
      <c r="K72" s="5">
        <v>207312</v>
      </c>
      <c r="L72" s="5">
        <v>271043</v>
      </c>
      <c r="M72" s="5">
        <v>2759</v>
      </c>
      <c r="N72" s="5">
        <v>5073</v>
      </c>
      <c r="O72" s="5">
        <v>4098</v>
      </c>
      <c r="P72" s="5">
        <v>8024</v>
      </c>
      <c r="Q72" s="5">
        <v>559221</v>
      </c>
      <c r="R72" s="5">
        <v>639783</v>
      </c>
      <c r="S72" s="5">
        <v>3273</v>
      </c>
      <c r="T72" s="5">
        <v>6266</v>
      </c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</row>
    <row r="73" spans="1:56">
      <c r="A73" s="5" t="s">
        <v>178</v>
      </c>
      <c r="B73" s="5" t="s">
        <v>75</v>
      </c>
      <c r="C73" s="5">
        <v>2974</v>
      </c>
      <c r="D73" s="5">
        <v>5619</v>
      </c>
      <c r="E73" s="5">
        <v>74763</v>
      </c>
      <c r="F73" s="5">
        <v>73162</v>
      </c>
      <c r="G73" s="5">
        <v>2392</v>
      </c>
      <c r="H73" s="5">
        <v>4367</v>
      </c>
      <c r="I73" s="5">
        <v>3704</v>
      </c>
      <c r="J73" s="5">
        <v>6890</v>
      </c>
      <c r="K73" s="5">
        <v>294005</v>
      </c>
      <c r="L73" s="5">
        <v>302713</v>
      </c>
      <c r="M73" s="5">
        <v>3066</v>
      </c>
      <c r="N73" s="5">
        <v>5661</v>
      </c>
      <c r="O73" s="5">
        <v>4380</v>
      </c>
      <c r="P73" s="5">
        <v>8152</v>
      </c>
      <c r="Q73" s="5">
        <v>685983</v>
      </c>
      <c r="R73" s="5">
        <v>689034</v>
      </c>
      <c r="S73" s="5">
        <v>3565</v>
      </c>
      <c r="T73" s="5">
        <v>6729</v>
      </c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</row>
    <row r="74" spans="1:56">
      <c r="A74" s="5" t="s">
        <v>176</v>
      </c>
      <c r="B74" s="5" t="s">
        <v>23</v>
      </c>
      <c r="C74" s="5">
        <v>10467</v>
      </c>
      <c r="D74" s="5">
        <v>1674</v>
      </c>
      <c r="E74" s="5">
        <v>50190</v>
      </c>
      <c r="F74" s="5">
        <v>4002</v>
      </c>
      <c r="G74" s="5">
        <v>8135</v>
      </c>
      <c r="H74" s="5">
        <v>1310</v>
      </c>
      <c r="I74" s="5">
        <v>17799</v>
      </c>
      <c r="J74" s="5">
        <v>2503</v>
      </c>
      <c r="K74" s="5">
        <v>240499</v>
      </c>
      <c r="L74" s="5">
        <v>17865</v>
      </c>
      <c r="M74" s="5">
        <v>13790</v>
      </c>
      <c r="N74" s="5">
        <v>2012</v>
      </c>
      <c r="O74" s="5">
        <v>24279</v>
      </c>
      <c r="P74" s="5">
        <v>3423</v>
      </c>
      <c r="Q74" s="5">
        <v>667345</v>
      </c>
      <c r="R74" s="5">
        <v>47356</v>
      </c>
      <c r="S74" s="5">
        <v>20131</v>
      </c>
      <c r="T74" s="5">
        <v>2810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</row>
    <row r="75" spans="1:56">
      <c r="A75" s="5" t="s">
        <v>175</v>
      </c>
      <c r="B75" s="5" t="s">
        <v>102</v>
      </c>
      <c r="C75" s="5">
        <v>2697</v>
      </c>
      <c r="D75" s="5">
        <v>3091</v>
      </c>
      <c r="E75" s="5">
        <v>7273</v>
      </c>
      <c r="F75" s="5">
        <v>8159</v>
      </c>
      <c r="G75" s="5">
        <v>2028</v>
      </c>
      <c r="H75" s="5">
        <v>2330</v>
      </c>
      <c r="I75" s="5">
        <v>4561</v>
      </c>
      <c r="J75" s="5">
        <v>5245</v>
      </c>
      <c r="K75" s="5">
        <v>35327</v>
      </c>
      <c r="L75" s="5">
        <v>36646</v>
      </c>
      <c r="M75" s="5">
        <v>3813</v>
      </c>
      <c r="N75" s="5">
        <v>4288</v>
      </c>
      <c r="O75" s="5">
        <v>6059</v>
      </c>
      <c r="P75" s="5">
        <v>7115</v>
      </c>
      <c r="Q75" s="5">
        <v>92542</v>
      </c>
      <c r="R75" s="5">
        <v>98506</v>
      </c>
      <c r="S75" s="5">
        <v>5422</v>
      </c>
      <c r="T75" s="5">
        <v>6053</v>
      </c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</row>
    <row r="76" spans="1:56">
      <c r="A76" s="5" t="s">
        <v>175</v>
      </c>
      <c r="B76" s="5" t="s">
        <v>67</v>
      </c>
      <c r="C76" s="5">
        <v>6321</v>
      </c>
      <c r="D76" s="5">
        <v>6718</v>
      </c>
      <c r="E76" s="5">
        <v>44259</v>
      </c>
      <c r="F76" s="5">
        <v>50003</v>
      </c>
      <c r="G76" s="5">
        <v>4779</v>
      </c>
      <c r="H76" s="5">
        <v>5196</v>
      </c>
      <c r="I76" s="5">
        <v>10047</v>
      </c>
      <c r="J76" s="5">
        <v>11118</v>
      </c>
      <c r="K76" s="5">
        <v>225751</v>
      </c>
      <c r="L76" s="5">
        <v>273441</v>
      </c>
      <c r="M76" s="5">
        <v>8670</v>
      </c>
      <c r="N76" s="5">
        <v>9229</v>
      </c>
      <c r="O76" s="5">
        <v>13632</v>
      </c>
      <c r="P76" s="5">
        <v>15116</v>
      </c>
      <c r="Q76" s="5">
        <v>726046</v>
      </c>
      <c r="R76" s="5">
        <v>750804</v>
      </c>
      <c r="S76" s="5">
        <v>12276</v>
      </c>
      <c r="T76" s="5">
        <v>12588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</row>
    <row r="77" spans="1:56">
      <c r="A77" s="5" t="s">
        <v>172</v>
      </c>
      <c r="B77" s="5" t="s">
        <v>52</v>
      </c>
      <c r="C77" s="5">
        <v>1794</v>
      </c>
      <c r="D77" s="5">
        <v>1792</v>
      </c>
      <c r="E77" s="5">
        <v>5302</v>
      </c>
      <c r="F77" s="5">
        <v>4415</v>
      </c>
      <c r="G77" s="5">
        <v>1416</v>
      </c>
      <c r="H77" s="5">
        <v>1317</v>
      </c>
      <c r="I77" s="5">
        <v>2729</v>
      </c>
      <c r="J77" s="5">
        <v>2524</v>
      </c>
      <c r="K77" s="5">
        <v>25601</v>
      </c>
      <c r="L77" s="5">
        <v>20956</v>
      </c>
      <c r="M77" s="5">
        <v>2242</v>
      </c>
      <c r="N77" s="5">
        <v>2042</v>
      </c>
      <c r="O77" s="5">
        <v>3789</v>
      </c>
      <c r="P77" s="5">
        <v>3476</v>
      </c>
      <c r="Q77" s="5">
        <v>61773</v>
      </c>
      <c r="R77" s="5">
        <v>54557</v>
      </c>
      <c r="S77" s="5">
        <v>2883</v>
      </c>
      <c r="T77" s="5">
        <v>2674</v>
      </c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</row>
    <row r="78" spans="1:56">
      <c r="A78" s="5" t="s">
        <v>172</v>
      </c>
      <c r="B78" s="5" t="s">
        <v>74</v>
      </c>
      <c r="C78" s="5">
        <v>156</v>
      </c>
      <c r="D78" s="5">
        <v>296</v>
      </c>
      <c r="E78" s="5">
        <v>779</v>
      </c>
      <c r="F78" s="5">
        <v>625</v>
      </c>
      <c r="G78" s="5">
        <v>120</v>
      </c>
      <c r="H78" s="5">
        <v>215</v>
      </c>
      <c r="I78" s="5">
        <v>191</v>
      </c>
      <c r="J78" s="5">
        <v>344</v>
      </c>
      <c r="K78" s="5">
        <v>2951</v>
      </c>
      <c r="L78" s="5">
        <v>1545</v>
      </c>
      <c r="M78" s="5">
        <v>144</v>
      </c>
      <c r="N78" s="5">
        <v>267</v>
      </c>
      <c r="O78" s="5">
        <v>212</v>
      </c>
      <c r="P78" s="5">
        <v>394</v>
      </c>
      <c r="Q78" s="5">
        <v>8019</v>
      </c>
      <c r="R78" s="5">
        <v>3609</v>
      </c>
      <c r="S78" s="5">
        <v>175</v>
      </c>
      <c r="T78" s="5">
        <v>325</v>
      </c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</row>
    <row r="79" spans="1:56">
      <c r="A79" s="5" t="s">
        <v>172</v>
      </c>
      <c r="B79" s="5" t="s">
        <v>1</v>
      </c>
      <c r="C79" s="5">
        <v>49</v>
      </c>
      <c r="D79" s="5">
        <v>47</v>
      </c>
      <c r="E79" s="5">
        <v>102</v>
      </c>
      <c r="F79" s="5">
        <v>118</v>
      </c>
      <c r="G79" s="5">
        <v>37</v>
      </c>
      <c r="H79" s="5">
        <v>38</v>
      </c>
      <c r="I79" s="5">
        <v>65</v>
      </c>
      <c r="J79" s="5">
        <v>60</v>
      </c>
      <c r="K79" s="5">
        <v>166</v>
      </c>
      <c r="L79" s="5">
        <v>162</v>
      </c>
      <c r="M79" s="5">
        <v>52</v>
      </c>
      <c r="N79" s="5">
        <v>52</v>
      </c>
      <c r="O79" s="5">
        <v>62</v>
      </c>
      <c r="P79" s="5">
        <v>59</v>
      </c>
      <c r="Q79" s="5">
        <v>149</v>
      </c>
      <c r="R79" s="5">
        <v>149</v>
      </c>
      <c r="S79" s="5">
        <v>51</v>
      </c>
      <c r="T79" s="5">
        <v>51</v>
      </c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</row>
    <row r="80" spans="1:56">
      <c r="A80" s="5" t="s">
        <v>174</v>
      </c>
      <c r="B80" s="5" t="s">
        <v>0</v>
      </c>
      <c r="C80" s="5">
        <v>890</v>
      </c>
      <c r="D80" s="5">
        <v>1052</v>
      </c>
      <c r="E80" s="5">
        <v>3124</v>
      </c>
      <c r="F80" s="5">
        <v>2725</v>
      </c>
      <c r="G80" s="5">
        <v>735</v>
      </c>
      <c r="H80" s="5">
        <v>808</v>
      </c>
      <c r="I80" s="5">
        <v>1121</v>
      </c>
      <c r="J80" s="5">
        <v>1376</v>
      </c>
      <c r="K80" s="5">
        <v>8231</v>
      </c>
      <c r="L80" s="5">
        <v>6126</v>
      </c>
      <c r="M80" s="5">
        <v>948</v>
      </c>
      <c r="N80" s="5">
        <v>1125</v>
      </c>
      <c r="O80" s="5">
        <v>1346</v>
      </c>
      <c r="P80" s="5">
        <v>1646</v>
      </c>
      <c r="Q80" s="5">
        <v>23165</v>
      </c>
      <c r="R80" s="5">
        <v>10707</v>
      </c>
      <c r="S80" s="5">
        <v>1110</v>
      </c>
      <c r="T80" s="5">
        <v>1457</v>
      </c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</row>
    <row r="81" spans="1:56">
      <c r="A81" s="5" t="s">
        <v>180</v>
      </c>
      <c r="B81" s="5" t="s">
        <v>90</v>
      </c>
      <c r="C81" s="5">
        <v>31</v>
      </c>
      <c r="D81" s="5">
        <v>30</v>
      </c>
      <c r="E81" s="5">
        <v>203</v>
      </c>
      <c r="F81" s="5">
        <v>219</v>
      </c>
      <c r="G81" s="5">
        <v>23</v>
      </c>
      <c r="H81" s="5">
        <v>24</v>
      </c>
      <c r="I81" s="5">
        <v>38</v>
      </c>
      <c r="J81" s="5">
        <v>38</v>
      </c>
      <c r="K81" s="5">
        <v>630</v>
      </c>
      <c r="L81" s="5">
        <v>736</v>
      </c>
      <c r="M81" s="5">
        <v>31</v>
      </c>
      <c r="N81" s="5">
        <v>30</v>
      </c>
      <c r="O81" s="5">
        <v>47</v>
      </c>
      <c r="P81" s="5">
        <v>48</v>
      </c>
      <c r="Q81" s="5">
        <v>946</v>
      </c>
      <c r="R81" s="5">
        <v>969</v>
      </c>
      <c r="S81" s="5">
        <v>36</v>
      </c>
      <c r="T81" s="5">
        <v>37</v>
      </c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</row>
    <row r="82" spans="1:56">
      <c r="A82" s="5" t="s">
        <v>180</v>
      </c>
      <c r="B82" s="5" t="s">
        <v>65</v>
      </c>
      <c r="C82" s="5">
        <v>342</v>
      </c>
      <c r="D82" s="5">
        <v>392</v>
      </c>
      <c r="E82" s="5">
        <v>2620</v>
      </c>
      <c r="F82" s="5">
        <v>3020</v>
      </c>
      <c r="G82" s="5">
        <v>267</v>
      </c>
      <c r="H82" s="5">
        <v>286</v>
      </c>
      <c r="I82" s="5">
        <v>431</v>
      </c>
      <c r="J82" s="5">
        <v>477</v>
      </c>
      <c r="K82" s="5">
        <v>10313</v>
      </c>
      <c r="L82" s="5">
        <v>12063</v>
      </c>
      <c r="M82" s="5">
        <v>339</v>
      </c>
      <c r="N82" s="5">
        <v>364</v>
      </c>
      <c r="O82" s="5">
        <v>508</v>
      </c>
      <c r="P82" s="5">
        <v>564</v>
      </c>
      <c r="Q82" s="5">
        <v>26948</v>
      </c>
      <c r="R82" s="5">
        <v>28202</v>
      </c>
      <c r="S82" s="5">
        <v>349</v>
      </c>
      <c r="T82" s="5">
        <v>395</v>
      </c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</row>
    <row r="83" spans="1:56">
      <c r="A83" s="5" t="s">
        <v>180</v>
      </c>
      <c r="B83" s="5" t="s">
        <v>86</v>
      </c>
      <c r="C83" s="5">
        <v>248</v>
      </c>
      <c r="D83" s="5">
        <v>415</v>
      </c>
      <c r="E83" s="5">
        <v>1346</v>
      </c>
      <c r="F83" s="5">
        <v>1601</v>
      </c>
      <c r="G83" s="5">
        <v>191</v>
      </c>
      <c r="H83" s="5">
        <v>293</v>
      </c>
      <c r="I83" s="5">
        <v>305</v>
      </c>
      <c r="J83" s="5">
        <v>489</v>
      </c>
      <c r="K83" s="5">
        <v>3925</v>
      </c>
      <c r="L83" s="5">
        <v>5476</v>
      </c>
      <c r="M83" s="5">
        <v>247</v>
      </c>
      <c r="N83" s="5">
        <v>400</v>
      </c>
      <c r="O83" s="5">
        <v>382</v>
      </c>
      <c r="P83" s="5">
        <v>690</v>
      </c>
      <c r="Q83" s="5">
        <v>8931</v>
      </c>
      <c r="R83" s="5">
        <v>10278</v>
      </c>
      <c r="S83" s="5">
        <v>267</v>
      </c>
      <c r="T83" s="5">
        <v>428</v>
      </c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</row>
    <row r="84" spans="1:56">
      <c r="A84" s="5" t="s">
        <v>180</v>
      </c>
      <c r="B84" s="5" t="s">
        <v>88</v>
      </c>
      <c r="C84" s="5">
        <v>398</v>
      </c>
      <c r="D84" s="5">
        <v>376</v>
      </c>
      <c r="E84" s="5">
        <v>1269</v>
      </c>
      <c r="F84" s="5">
        <v>1248</v>
      </c>
      <c r="G84" s="5">
        <v>270</v>
      </c>
      <c r="H84" s="5">
        <v>287</v>
      </c>
      <c r="I84" s="5">
        <v>422</v>
      </c>
      <c r="J84" s="5">
        <v>473</v>
      </c>
      <c r="K84" s="5">
        <v>4012</v>
      </c>
      <c r="L84" s="5">
        <v>4489</v>
      </c>
      <c r="M84" s="5">
        <v>351</v>
      </c>
      <c r="N84" s="5">
        <v>379</v>
      </c>
      <c r="O84" s="5">
        <v>539</v>
      </c>
      <c r="P84" s="5">
        <v>563</v>
      </c>
      <c r="Q84" s="5">
        <v>9496</v>
      </c>
      <c r="R84" s="5">
        <v>11149</v>
      </c>
      <c r="S84" s="5">
        <v>483</v>
      </c>
      <c r="T84" s="5">
        <v>435</v>
      </c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</row>
    <row r="85" spans="1:56">
      <c r="A85" s="5" t="s">
        <v>180</v>
      </c>
      <c r="B85" s="5" t="s">
        <v>77</v>
      </c>
      <c r="C85" s="5">
        <v>689</v>
      </c>
      <c r="D85" s="5">
        <v>624</v>
      </c>
      <c r="E85" s="5">
        <v>2008</v>
      </c>
      <c r="F85" s="5">
        <v>2032</v>
      </c>
      <c r="G85" s="5">
        <v>468</v>
      </c>
      <c r="H85" s="5">
        <v>492</v>
      </c>
      <c r="I85" s="5">
        <v>703</v>
      </c>
      <c r="J85" s="5">
        <v>746</v>
      </c>
      <c r="K85" s="5">
        <v>6570</v>
      </c>
      <c r="L85" s="5">
        <v>6511</v>
      </c>
      <c r="M85" s="5">
        <v>578</v>
      </c>
      <c r="N85" s="5">
        <v>629</v>
      </c>
      <c r="O85" s="5">
        <v>788</v>
      </c>
      <c r="P85" s="5">
        <v>868</v>
      </c>
      <c r="Q85" s="5">
        <v>15022</v>
      </c>
      <c r="R85" s="5">
        <v>14731</v>
      </c>
      <c r="S85" s="5">
        <v>723</v>
      </c>
      <c r="T85" s="5">
        <v>677</v>
      </c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</row>
    <row r="86" spans="1:56">
      <c r="A86" s="5" t="s">
        <v>180</v>
      </c>
      <c r="B86" s="5" t="s">
        <v>17</v>
      </c>
      <c r="C86" s="5">
        <v>278</v>
      </c>
      <c r="D86" s="5">
        <v>297</v>
      </c>
      <c r="E86" s="5">
        <v>994</v>
      </c>
      <c r="F86" s="5">
        <v>938</v>
      </c>
      <c r="G86" s="5">
        <v>209</v>
      </c>
      <c r="H86" s="5">
        <v>232</v>
      </c>
      <c r="I86" s="5">
        <v>334</v>
      </c>
      <c r="J86" s="5">
        <v>350</v>
      </c>
      <c r="K86" s="5">
        <v>2675</v>
      </c>
      <c r="L86" s="5">
        <v>2745</v>
      </c>
      <c r="M86" s="5">
        <v>258</v>
      </c>
      <c r="N86" s="5">
        <v>276</v>
      </c>
      <c r="O86" s="5">
        <v>412</v>
      </c>
      <c r="P86" s="5">
        <v>427</v>
      </c>
      <c r="Q86" s="5">
        <v>4871</v>
      </c>
      <c r="R86" s="5">
        <v>5174</v>
      </c>
      <c r="S86" s="5">
        <v>286</v>
      </c>
      <c r="T86" s="5">
        <v>324</v>
      </c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</row>
    <row r="87" spans="1:56">
      <c r="A87" s="5" t="s">
        <v>180</v>
      </c>
      <c r="B87" s="5" t="s">
        <v>35</v>
      </c>
      <c r="C87" s="5">
        <v>421</v>
      </c>
      <c r="D87" s="5">
        <v>369</v>
      </c>
      <c r="E87" s="5">
        <v>958</v>
      </c>
      <c r="F87" s="5">
        <v>1055</v>
      </c>
      <c r="G87" s="5">
        <v>235</v>
      </c>
      <c r="H87" s="5">
        <v>260</v>
      </c>
      <c r="I87" s="5">
        <v>559</v>
      </c>
      <c r="J87" s="5">
        <v>641</v>
      </c>
      <c r="K87" s="5">
        <v>3321</v>
      </c>
      <c r="L87" s="5">
        <v>3248</v>
      </c>
      <c r="M87" s="5">
        <v>436</v>
      </c>
      <c r="N87" s="5">
        <v>477</v>
      </c>
      <c r="O87" s="5">
        <v>723</v>
      </c>
      <c r="P87" s="5">
        <v>821</v>
      </c>
      <c r="Q87" s="5">
        <v>8162</v>
      </c>
      <c r="R87" s="5">
        <v>6680</v>
      </c>
      <c r="S87" s="5">
        <v>543</v>
      </c>
      <c r="T87" s="5">
        <v>763</v>
      </c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</row>
    <row r="88" spans="1:56">
      <c r="A88" s="5" t="s">
        <v>180</v>
      </c>
      <c r="B88" s="5" t="s">
        <v>83</v>
      </c>
      <c r="C88" s="5">
        <v>2703</v>
      </c>
      <c r="D88" s="5">
        <v>3356</v>
      </c>
      <c r="E88" s="5">
        <v>10022</v>
      </c>
      <c r="F88" s="5">
        <v>12285</v>
      </c>
      <c r="G88" s="5">
        <v>2123</v>
      </c>
      <c r="H88" s="5">
        <v>2492</v>
      </c>
      <c r="I88" s="5">
        <v>4736</v>
      </c>
      <c r="J88" s="5">
        <v>6168</v>
      </c>
      <c r="K88" s="5">
        <v>52312</v>
      </c>
      <c r="L88" s="5">
        <v>66235</v>
      </c>
      <c r="M88" s="5">
        <v>3810</v>
      </c>
      <c r="N88" s="5">
        <v>4696</v>
      </c>
      <c r="O88" s="5">
        <v>6496</v>
      </c>
      <c r="P88" s="5">
        <v>8799</v>
      </c>
      <c r="Q88" s="5">
        <v>160203</v>
      </c>
      <c r="R88" s="5">
        <v>178067</v>
      </c>
      <c r="S88" s="5">
        <v>5473</v>
      </c>
      <c r="T88" s="5">
        <v>6796</v>
      </c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</row>
    <row r="89" spans="1:56">
      <c r="A89" s="5" t="s">
        <v>180</v>
      </c>
      <c r="B89" s="5" t="s">
        <v>80</v>
      </c>
      <c r="C89" s="5">
        <v>5249</v>
      </c>
      <c r="D89" s="5">
        <v>7312</v>
      </c>
      <c r="E89" s="5">
        <v>18224</v>
      </c>
      <c r="F89" s="5">
        <v>22028</v>
      </c>
      <c r="G89" s="5">
        <v>3999</v>
      </c>
      <c r="H89" s="5">
        <v>5306</v>
      </c>
      <c r="I89" s="5">
        <v>8642</v>
      </c>
      <c r="J89" s="5">
        <v>11792</v>
      </c>
      <c r="K89" s="5">
        <v>75909</v>
      </c>
      <c r="L89" s="5">
        <v>94886</v>
      </c>
      <c r="M89" s="5">
        <v>6791</v>
      </c>
      <c r="N89" s="5">
        <v>9501</v>
      </c>
      <c r="O89" s="5">
        <v>11306</v>
      </c>
      <c r="P89" s="5">
        <v>15708</v>
      </c>
      <c r="Q89" s="5">
        <v>194141</v>
      </c>
      <c r="R89" s="5">
        <v>242556</v>
      </c>
      <c r="S89" s="5">
        <v>9035</v>
      </c>
      <c r="T89" s="5">
        <v>12528</v>
      </c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</row>
    <row r="90" spans="1:56">
      <c r="A90" s="5" t="s">
        <v>180</v>
      </c>
      <c r="B90" s="5" t="s">
        <v>10</v>
      </c>
      <c r="C90" s="5">
        <v>442</v>
      </c>
      <c r="D90" s="5">
        <v>405</v>
      </c>
      <c r="E90" s="5">
        <v>1408</v>
      </c>
      <c r="F90" s="5">
        <v>1509</v>
      </c>
      <c r="G90" s="5">
        <v>249</v>
      </c>
      <c r="H90" s="5">
        <v>321</v>
      </c>
      <c r="I90" s="5">
        <v>415</v>
      </c>
      <c r="J90" s="5">
        <v>542</v>
      </c>
      <c r="K90" s="5">
        <v>5996</v>
      </c>
      <c r="L90" s="5">
        <v>5907</v>
      </c>
      <c r="M90" s="5">
        <v>345</v>
      </c>
      <c r="N90" s="5">
        <v>420</v>
      </c>
      <c r="O90" s="5">
        <v>506</v>
      </c>
      <c r="P90" s="5">
        <v>628</v>
      </c>
      <c r="Q90" s="5">
        <v>13368</v>
      </c>
      <c r="R90" s="5">
        <v>14905</v>
      </c>
      <c r="S90" s="5">
        <v>377</v>
      </c>
      <c r="T90" s="5">
        <v>451</v>
      </c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</row>
    <row r="91" spans="1:56">
      <c r="A91" s="5" t="s">
        <v>180</v>
      </c>
      <c r="B91" s="5" t="s">
        <v>97</v>
      </c>
      <c r="C91" s="5">
        <v>445</v>
      </c>
      <c r="D91" s="5">
        <v>711</v>
      </c>
      <c r="E91" s="5">
        <v>1906</v>
      </c>
      <c r="F91" s="5">
        <v>2374</v>
      </c>
      <c r="G91" s="5">
        <v>376</v>
      </c>
      <c r="H91" s="5">
        <v>558</v>
      </c>
      <c r="I91" s="5">
        <v>581</v>
      </c>
      <c r="J91" s="5">
        <v>833</v>
      </c>
      <c r="K91" s="5">
        <v>5984</v>
      </c>
      <c r="L91" s="5">
        <v>7651</v>
      </c>
      <c r="M91" s="5">
        <v>460</v>
      </c>
      <c r="N91" s="5">
        <v>706</v>
      </c>
      <c r="O91" s="5">
        <v>637</v>
      </c>
      <c r="P91" s="5">
        <v>1055</v>
      </c>
      <c r="Q91" s="5">
        <v>19623</v>
      </c>
      <c r="R91" s="5">
        <v>22251</v>
      </c>
      <c r="S91" s="5">
        <v>521</v>
      </c>
      <c r="T91" s="5">
        <v>878</v>
      </c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</row>
    <row r="92" spans="1:56">
      <c r="A92" s="5" t="s">
        <v>180</v>
      </c>
      <c r="B92" s="5" t="s">
        <v>15</v>
      </c>
      <c r="C92" s="5">
        <v>96</v>
      </c>
      <c r="D92" s="5">
        <v>60</v>
      </c>
      <c r="E92" s="5">
        <v>323</v>
      </c>
      <c r="F92" s="5">
        <v>365</v>
      </c>
      <c r="G92" s="5">
        <v>42</v>
      </c>
      <c r="H92" s="5">
        <v>43</v>
      </c>
      <c r="I92" s="5">
        <v>66</v>
      </c>
      <c r="J92" s="5">
        <v>70</v>
      </c>
      <c r="K92" s="5">
        <v>937</v>
      </c>
      <c r="L92" s="5">
        <v>1014</v>
      </c>
      <c r="M92" s="5">
        <v>55</v>
      </c>
      <c r="N92" s="5">
        <v>55</v>
      </c>
      <c r="O92" s="5">
        <v>81</v>
      </c>
      <c r="P92" s="5">
        <v>84</v>
      </c>
      <c r="Q92" s="5">
        <v>1847</v>
      </c>
      <c r="R92" s="5">
        <v>1912</v>
      </c>
      <c r="S92" s="5">
        <v>62</v>
      </c>
      <c r="T92" s="5">
        <v>63</v>
      </c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>
      <c r="A93" s="5" t="s">
        <v>181</v>
      </c>
      <c r="B93" s="5" t="s">
        <v>61</v>
      </c>
      <c r="C93" s="5">
        <v>363</v>
      </c>
      <c r="D93" s="5">
        <v>541</v>
      </c>
      <c r="E93" s="5">
        <v>1335</v>
      </c>
      <c r="F93" s="5">
        <v>1443</v>
      </c>
      <c r="G93" s="5">
        <v>280</v>
      </c>
      <c r="H93" s="5">
        <v>441</v>
      </c>
      <c r="I93" s="5">
        <v>429</v>
      </c>
      <c r="J93" s="5">
        <v>634</v>
      </c>
      <c r="K93" s="5">
        <v>4086</v>
      </c>
      <c r="L93" s="5">
        <v>5524</v>
      </c>
      <c r="M93" s="5">
        <v>353</v>
      </c>
      <c r="N93" s="5">
        <v>552</v>
      </c>
      <c r="O93" s="5">
        <v>509</v>
      </c>
      <c r="P93" s="5">
        <v>751</v>
      </c>
      <c r="Q93" s="5">
        <v>10068</v>
      </c>
      <c r="R93" s="5">
        <v>11518</v>
      </c>
      <c r="S93" s="5">
        <v>409</v>
      </c>
      <c r="T93" s="5">
        <v>698</v>
      </c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4" spans="1:56">
      <c r="A94" s="5" t="s">
        <v>181</v>
      </c>
      <c r="B94" s="5" t="s">
        <v>49</v>
      </c>
      <c r="C94" s="5">
        <v>132</v>
      </c>
      <c r="D94" s="5">
        <v>182</v>
      </c>
      <c r="E94" s="5">
        <v>518</v>
      </c>
      <c r="F94" s="5">
        <v>487</v>
      </c>
      <c r="G94" s="5">
        <v>105</v>
      </c>
      <c r="H94" s="5">
        <v>143</v>
      </c>
      <c r="I94" s="5">
        <v>165</v>
      </c>
      <c r="J94" s="5">
        <v>277</v>
      </c>
      <c r="K94" s="5">
        <v>1510</v>
      </c>
      <c r="L94" s="5">
        <v>1841</v>
      </c>
      <c r="M94" s="5">
        <v>127</v>
      </c>
      <c r="N94" s="5">
        <v>177</v>
      </c>
      <c r="O94" s="5">
        <v>193</v>
      </c>
      <c r="P94" s="5">
        <v>252</v>
      </c>
      <c r="Q94" s="5">
        <v>3833</v>
      </c>
      <c r="R94" s="5">
        <v>3918</v>
      </c>
      <c r="S94" s="5">
        <v>148</v>
      </c>
      <c r="T94" s="5">
        <v>199</v>
      </c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>
      <c r="A95" s="5" t="s">
        <v>181</v>
      </c>
      <c r="B95" s="5" t="s">
        <v>78</v>
      </c>
      <c r="C95" s="5">
        <v>120</v>
      </c>
      <c r="D95" s="5">
        <v>173</v>
      </c>
      <c r="E95" s="5">
        <v>514</v>
      </c>
      <c r="F95" s="5">
        <v>452</v>
      </c>
      <c r="G95" s="5">
        <v>98</v>
      </c>
      <c r="H95" s="5">
        <v>134</v>
      </c>
      <c r="I95" s="5">
        <v>147</v>
      </c>
      <c r="J95" s="5">
        <v>192</v>
      </c>
      <c r="K95" s="5">
        <v>1377</v>
      </c>
      <c r="L95" s="5">
        <v>1588</v>
      </c>
      <c r="M95" s="5">
        <v>183</v>
      </c>
      <c r="N95" s="5">
        <v>167</v>
      </c>
      <c r="O95" s="5">
        <v>197</v>
      </c>
      <c r="P95" s="5">
        <v>235</v>
      </c>
      <c r="Q95" s="5">
        <v>3550</v>
      </c>
      <c r="R95" s="5">
        <v>3612</v>
      </c>
      <c r="S95" s="5">
        <v>140</v>
      </c>
      <c r="T95" s="5">
        <v>179</v>
      </c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6" spans="1:56">
      <c r="A96" s="5" t="s">
        <v>181</v>
      </c>
      <c r="B96" s="5" t="s">
        <v>73</v>
      </c>
      <c r="C96" s="5">
        <v>258</v>
      </c>
      <c r="D96" s="5">
        <v>271</v>
      </c>
      <c r="E96" s="5">
        <v>786</v>
      </c>
      <c r="F96" s="5">
        <v>774</v>
      </c>
      <c r="G96" s="5">
        <v>199</v>
      </c>
      <c r="H96" s="5">
        <v>223</v>
      </c>
      <c r="I96" s="5">
        <v>308</v>
      </c>
      <c r="J96" s="5">
        <v>337</v>
      </c>
      <c r="K96" s="5">
        <v>2586</v>
      </c>
      <c r="L96" s="5">
        <v>2983</v>
      </c>
      <c r="M96" s="5">
        <v>248</v>
      </c>
      <c r="N96" s="5">
        <v>269</v>
      </c>
      <c r="O96" s="5">
        <v>380</v>
      </c>
      <c r="P96" s="5">
        <v>374</v>
      </c>
      <c r="Q96" s="5">
        <v>5819</v>
      </c>
      <c r="R96" s="5">
        <v>5444</v>
      </c>
      <c r="S96" s="5">
        <v>280</v>
      </c>
      <c r="T96" s="5">
        <v>304</v>
      </c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</row>
    <row r="97" spans="1:56">
      <c r="A97" s="5" t="s">
        <v>181</v>
      </c>
      <c r="B97" s="5" t="s">
        <v>63</v>
      </c>
      <c r="C97" s="5">
        <v>295</v>
      </c>
      <c r="D97" s="5">
        <v>306</v>
      </c>
      <c r="E97" s="5">
        <v>1032</v>
      </c>
      <c r="F97" s="5">
        <v>1042</v>
      </c>
      <c r="G97" s="5">
        <v>237</v>
      </c>
      <c r="H97" s="5">
        <v>259</v>
      </c>
      <c r="I97" s="5">
        <v>352</v>
      </c>
      <c r="J97" s="5">
        <v>356</v>
      </c>
      <c r="K97" s="5">
        <v>3990</v>
      </c>
      <c r="L97" s="5">
        <v>4174</v>
      </c>
      <c r="M97" s="5">
        <v>288</v>
      </c>
      <c r="N97" s="5">
        <v>305</v>
      </c>
      <c r="O97" s="5">
        <v>392</v>
      </c>
      <c r="P97" s="5">
        <v>423</v>
      </c>
      <c r="Q97" s="5">
        <v>11623</v>
      </c>
      <c r="R97" s="5">
        <v>11360</v>
      </c>
      <c r="S97" s="5">
        <v>418</v>
      </c>
      <c r="T97" s="5">
        <v>334</v>
      </c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</row>
    <row r="98" spans="1:56">
      <c r="A98" s="5" t="s">
        <v>181</v>
      </c>
      <c r="B98" s="5" t="s">
        <v>59</v>
      </c>
      <c r="C98" s="5">
        <v>316</v>
      </c>
      <c r="D98" s="5">
        <v>314</v>
      </c>
      <c r="E98" s="5">
        <v>770</v>
      </c>
      <c r="F98" s="5">
        <v>754</v>
      </c>
      <c r="G98" s="5">
        <v>246</v>
      </c>
      <c r="H98" s="5">
        <v>260</v>
      </c>
      <c r="I98" s="5">
        <v>466</v>
      </c>
      <c r="J98" s="5">
        <v>478</v>
      </c>
      <c r="K98" s="5">
        <v>2385</v>
      </c>
      <c r="L98" s="5">
        <v>2283</v>
      </c>
      <c r="M98" s="5">
        <v>363</v>
      </c>
      <c r="N98" s="5">
        <v>385</v>
      </c>
      <c r="O98" s="5">
        <v>573</v>
      </c>
      <c r="P98" s="5">
        <v>615</v>
      </c>
      <c r="Q98" s="5">
        <v>4508</v>
      </c>
      <c r="R98" s="5">
        <v>4291</v>
      </c>
      <c r="S98" s="5">
        <v>499</v>
      </c>
      <c r="T98" s="5">
        <v>476</v>
      </c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</row>
    <row r="99" spans="1:56">
      <c r="A99" s="5" t="s">
        <v>181</v>
      </c>
      <c r="B99" s="5" t="s">
        <v>68</v>
      </c>
      <c r="C99" s="5">
        <v>3194</v>
      </c>
      <c r="D99" s="5">
        <v>3581</v>
      </c>
      <c r="E99" s="5">
        <v>10822</v>
      </c>
      <c r="F99" s="5">
        <v>12019</v>
      </c>
      <c r="G99" s="5">
        <v>2438</v>
      </c>
      <c r="H99" s="5">
        <v>2787</v>
      </c>
      <c r="I99" s="5">
        <v>5281</v>
      </c>
      <c r="J99" s="5">
        <v>6103</v>
      </c>
      <c r="K99" s="5">
        <v>65909</v>
      </c>
      <c r="L99" s="5">
        <v>72216</v>
      </c>
      <c r="M99" s="5">
        <v>4132</v>
      </c>
      <c r="N99" s="5">
        <v>4933</v>
      </c>
      <c r="O99" s="5">
        <v>7234</v>
      </c>
      <c r="P99" s="5">
        <v>8105</v>
      </c>
      <c r="Q99" s="5">
        <v>206847</v>
      </c>
      <c r="R99" s="5">
        <v>193680</v>
      </c>
      <c r="S99" s="5">
        <v>6054</v>
      </c>
      <c r="T99" s="5">
        <v>7107</v>
      </c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</row>
    <row r="100" spans="1:56">
      <c r="A100" s="5" t="s">
        <v>181</v>
      </c>
      <c r="B100" s="5" t="s">
        <v>34</v>
      </c>
      <c r="C100" s="5">
        <v>2135</v>
      </c>
      <c r="D100" s="5">
        <v>2221</v>
      </c>
      <c r="E100" s="5">
        <v>7549</v>
      </c>
      <c r="F100" s="5">
        <v>7821</v>
      </c>
      <c r="G100" s="5">
        <v>1633</v>
      </c>
      <c r="H100" s="5">
        <v>1862</v>
      </c>
      <c r="I100" s="5">
        <v>2630</v>
      </c>
      <c r="J100" s="5">
        <v>2798</v>
      </c>
      <c r="K100" s="5">
        <v>33716</v>
      </c>
      <c r="L100" s="5">
        <v>36689</v>
      </c>
      <c r="M100" s="5">
        <v>2190</v>
      </c>
      <c r="N100" s="5">
        <v>2346</v>
      </c>
      <c r="O100" s="5">
        <v>3359</v>
      </c>
      <c r="P100" s="5">
        <v>3370</v>
      </c>
      <c r="Q100" s="5">
        <v>92699</v>
      </c>
      <c r="R100" s="5">
        <v>89206</v>
      </c>
      <c r="S100" s="5">
        <v>2652</v>
      </c>
      <c r="T100" s="5">
        <v>2736</v>
      </c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</row>
    <row r="101" spans="1:56">
      <c r="A101" s="5" t="s">
        <v>181</v>
      </c>
      <c r="B101" s="5" t="s">
        <v>4</v>
      </c>
      <c r="C101" s="5">
        <v>628</v>
      </c>
      <c r="D101" s="5">
        <v>699</v>
      </c>
      <c r="E101" s="5">
        <v>2257</v>
      </c>
      <c r="F101" s="5">
        <v>2438</v>
      </c>
      <c r="G101" s="5">
        <v>489</v>
      </c>
      <c r="H101" s="5">
        <v>555</v>
      </c>
      <c r="I101" s="5">
        <v>724</v>
      </c>
      <c r="J101" s="5">
        <v>827</v>
      </c>
      <c r="K101" s="5">
        <v>9210</v>
      </c>
      <c r="L101" s="5">
        <v>10480</v>
      </c>
      <c r="M101" s="5">
        <v>591</v>
      </c>
      <c r="N101" s="5">
        <v>650</v>
      </c>
      <c r="O101" s="5">
        <v>837</v>
      </c>
      <c r="P101" s="5">
        <v>1002</v>
      </c>
      <c r="Q101" s="5">
        <v>27809</v>
      </c>
      <c r="R101" s="5">
        <v>26794</v>
      </c>
      <c r="S101" s="5">
        <v>690</v>
      </c>
      <c r="T101" s="5">
        <v>803</v>
      </c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</row>
    <row r="102" spans="1:56">
      <c r="A102" s="5" t="s">
        <v>173</v>
      </c>
      <c r="B102" s="5" t="s">
        <v>70</v>
      </c>
      <c r="C102" s="5">
        <v>141</v>
      </c>
      <c r="D102" s="5">
        <v>166</v>
      </c>
      <c r="E102" s="5">
        <v>625</v>
      </c>
      <c r="F102" s="5">
        <v>594</v>
      </c>
      <c r="G102" s="5">
        <v>116</v>
      </c>
      <c r="H102" s="5">
        <v>131</v>
      </c>
      <c r="I102" s="5">
        <v>161</v>
      </c>
      <c r="J102" s="5">
        <v>192</v>
      </c>
      <c r="K102" s="5">
        <v>1874</v>
      </c>
      <c r="L102" s="5">
        <v>1834</v>
      </c>
      <c r="M102" s="5">
        <v>136</v>
      </c>
      <c r="N102" s="5">
        <v>157</v>
      </c>
      <c r="O102" s="5">
        <v>196</v>
      </c>
      <c r="P102" s="5">
        <v>236</v>
      </c>
      <c r="Q102" s="5">
        <v>3775</v>
      </c>
      <c r="R102" s="5">
        <v>3672</v>
      </c>
      <c r="S102" s="5">
        <v>150</v>
      </c>
      <c r="T102" s="5">
        <v>180</v>
      </c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</row>
    <row r="103" spans="1:56">
      <c r="A103" s="5" t="s">
        <v>173</v>
      </c>
      <c r="B103" s="5" t="s">
        <v>87</v>
      </c>
      <c r="C103" s="5">
        <v>51</v>
      </c>
      <c r="D103" s="5">
        <v>57</v>
      </c>
      <c r="E103" s="5">
        <v>375</v>
      </c>
      <c r="F103" s="5">
        <v>409</v>
      </c>
      <c r="G103" s="5">
        <v>42</v>
      </c>
      <c r="H103" s="5">
        <v>42</v>
      </c>
      <c r="I103" s="5">
        <v>65</v>
      </c>
      <c r="J103" s="5">
        <v>69</v>
      </c>
      <c r="K103" s="5">
        <v>911</v>
      </c>
      <c r="L103" s="5">
        <v>943</v>
      </c>
      <c r="M103" s="5">
        <v>55</v>
      </c>
      <c r="N103" s="5">
        <v>55</v>
      </c>
      <c r="O103" s="5">
        <v>83</v>
      </c>
      <c r="P103" s="5">
        <v>86</v>
      </c>
      <c r="Q103" s="5">
        <v>2322</v>
      </c>
      <c r="R103" s="5">
        <v>2005</v>
      </c>
      <c r="S103" s="5">
        <v>60</v>
      </c>
      <c r="T103" s="5">
        <v>64</v>
      </c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</row>
    <row r="104" spans="1:56">
      <c r="A104" s="5" t="s">
        <v>173</v>
      </c>
      <c r="B104" s="5" t="s">
        <v>19</v>
      </c>
      <c r="C104" s="5">
        <v>1109</v>
      </c>
      <c r="D104" s="5">
        <v>1355</v>
      </c>
      <c r="E104" s="5">
        <v>3214</v>
      </c>
      <c r="F104" s="5">
        <v>3564</v>
      </c>
      <c r="G104" s="5">
        <v>920</v>
      </c>
      <c r="H104" s="5">
        <v>1030</v>
      </c>
      <c r="I104" s="5">
        <v>1358</v>
      </c>
      <c r="J104" s="5">
        <v>1537</v>
      </c>
      <c r="K104" s="5">
        <v>12714</v>
      </c>
      <c r="L104" s="5">
        <v>11833</v>
      </c>
      <c r="M104" s="5">
        <v>1081</v>
      </c>
      <c r="N104" s="5">
        <v>1238</v>
      </c>
      <c r="O104" s="5">
        <v>1491</v>
      </c>
      <c r="P104" s="5">
        <v>1794</v>
      </c>
      <c r="Q104" s="5">
        <v>32592</v>
      </c>
      <c r="R104" s="5">
        <v>29690</v>
      </c>
      <c r="S104" s="5">
        <v>1462</v>
      </c>
      <c r="T104" s="5">
        <v>1546</v>
      </c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</row>
    <row r="105" spans="1:56">
      <c r="A105" s="5" t="s">
        <v>173</v>
      </c>
      <c r="B105" s="5" t="s">
        <v>38</v>
      </c>
      <c r="C105" s="5">
        <v>10993</v>
      </c>
      <c r="D105" s="5">
        <v>13321</v>
      </c>
      <c r="E105" s="5">
        <v>35957</v>
      </c>
      <c r="F105" s="5">
        <v>42300</v>
      </c>
      <c r="G105" s="5">
        <v>8579</v>
      </c>
      <c r="H105" s="5">
        <v>10346</v>
      </c>
      <c r="I105" s="5">
        <v>16695</v>
      </c>
      <c r="J105" s="5">
        <v>21248</v>
      </c>
      <c r="K105" s="5">
        <v>130042</v>
      </c>
      <c r="L105" s="5">
        <v>139702</v>
      </c>
      <c r="M105" s="5">
        <v>13481</v>
      </c>
      <c r="N105" s="5">
        <v>16913</v>
      </c>
      <c r="O105" s="5">
        <v>21259</v>
      </c>
      <c r="P105" s="5">
        <v>27849</v>
      </c>
      <c r="Q105" s="5">
        <v>293201</v>
      </c>
      <c r="R105" s="5">
        <v>319845</v>
      </c>
      <c r="S105" s="5">
        <v>17933</v>
      </c>
      <c r="T105" s="5">
        <v>22561</v>
      </c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</row>
    <row r="106" spans="1:56">
      <c r="A106" s="5" t="s">
        <v>179</v>
      </c>
      <c r="B106" s="5" t="s">
        <v>42</v>
      </c>
      <c r="C106" s="5">
        <v>5333</v>
      </c>
      <c r="D106" s="5">
        <v>6787</v>
      </c>
      <c r="E106" s="5">
        <v>10312</v>
      </c>
      <c r="F106" s="5">
        <v>10868</v>
      </c>
      <c r="G106" s="5">
        <v>3878</v>
      </c>
      <c r="H106" s="5">
        <v>4963</v>
      </c>
      <c r="I106" s="5">
        <v>8624</v>
      </c>
      <c r="J106" s="5">
        <v>11573</v>
      </c>
      <c r="K106" s="5">
        <v>36914</v>
      </c>
      <c r="L106" s="5">
        <v>32891</v>
      </c>
      <c r="M106" s="5">
        <v>6787</v>
      </c>
      <c r="N106" s="5">
        <v>8988</v>
      </c>
      <c r="O106" s="5">
        <v>11534</v>
      </c>
      <c r="P106" s="5">
        <v>15024</v>
      </c>
      <c r="Q106" s="5">
        <v>76682</v>
      </c>
      <c r="R106" s="5">
        <v>65032</v>
      </c>
      <c r="S106" s="5">
        <v>9365</v>
      </c>
      <c r="T106" s="5">
        <v>11822</v>
      </c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</row>
    <row r="136" spans="1:5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</row>
    <row r="137" spans="1:5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</row>
    <row r="138" spans="1:5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</row>
    <row r="139" spans="1:5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</row>
    <row r="140" spans="1:5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</row>
    <row r="141" spans="1:5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</row>
    <row r="142" spans="1:5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</row>
    <row r="143" spans="1:5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</row>
    <row r="144" spans="1:5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</row>
    <row r="145" spans="1:5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</row>
    <row r="146" spans="1:5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</row>
    <row r="147" spans="1:5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</row>
    <row r="148" spans="1:5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</row>
    <row r="149" spans="1:5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</row>
    <row r="150" spans="1:5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</row>
    <row r="151" spans="1:5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</row>
    <row r="152" spans="1:5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</row>
    <row r="153" spans="1:5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</row>
    <row r="154" spans="1:5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</row>
    <row r="155" spans="1:5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</row>
    <row r="156" spans="1: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</row>
    <row r="157" spans="1:5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</row>
    <row r="158" spans="1:5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</row>
    <row r="159" spans="1:5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</row>
    <row r="160" spans="1:5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</row>
    <row r="161" spans="1:5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</row>
    <row r="162" spans="1:5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</row>
    <row r="163" spans="1:5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</row>
    <row r="164" spans="1:5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</row>
    <row r="165" spans="1:5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</row>
    <row r="166" spans="1:5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</row>
    <row r="167" spans="1:5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</row>
    <row r="168" spans="1:5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</row>
    <row r="169" spans="1:5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</row>
    <row r="170" spans="1:5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</row>
    <row r="171" spans="1:5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</row>
    <row r="172" spans="1:5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</row>
    <row r="173" spans="1:5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</row>
    <row r="174" spans="1:5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</row>
    <row r="175" spans="1:5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</row>
    <row r="176" spans="1:5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</row>
    <row r="177" spans="1:5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</row>
    <row r="178" spans="1:5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</row>
    <row r="179" spans="1:5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</row>
    <row r="180" spans="1:5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</row>
    <row r="181" spans="1:5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</row>
    <row r="182" spans="1:5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</row>
    <row r="183" spans="1:5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</row>
    <row r="184" spans="1:5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</row>
    <row r="185" spans="1:5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</row>
    <row r="186" spans="1:5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</row>
    <row r="187" spans="1:5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</row>
    <row r="188" spans="1:5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</row>
    <row r="189" spans="1:5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</row>
    <row r="190" spans="1:5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</row>
    <row r="191" spans="1:5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</row>
    <row r="192" spans="1:5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</row>
    <row r="193" spans="1:5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</row>
    <row r="194" spans="1:5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</row>
    <row r="195" spans="1:5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</row>
    <row r="196" spans="1:5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</row>
    <row r="197" spans="1:5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</row>
    <row r="198" spans="1:5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</row>
    <row r="199" spans="1:5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</row>
    <row r="200" spans="1:5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</row>
    <row r="201" spans="1:5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</row>
    <row r="202" spans="1:5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</row>
    <row r="203" spans="1:5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</row>
    <row r="204" spans="1:5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</row>
    <row r="205" spans="1:5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</row>
    <row r="206" spans="1:5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</row>
    <row r="207" spans="1:5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</row>
    <row r="208" spans="1:5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</row>
    <row r="209" spans="1:5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</row>
    <row r="210" spans="1:5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</row>
    <row r="211" spans="1:5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</row>
    <row r="212" spans="1:5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</row>
    <row r="213" spans="1:5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</row>
    <row r="214" spans="1:5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</row>
    <row r="215" spans="1:5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</row>
    <row r="216" spans="1:5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</row>
    <row r="217" spans="1:5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</row>
    <row r="218" spans="1:5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</row>
    <row r="219" spans="1:5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</row>
    <row r="220" spans="1:5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7" t="s">
        <v>257</v>
      </c>
      <c r="C1" s="7"/>
      <c r="D1" s="7"/>
      <c r="E1" s="7"/>
      <c r="F1" s="7" t="s">
        <v>256</v>
      </c>
      <c r="G1" s="7"/>
      <c r="H1" s="7"/>
      <c r="I1" s="7"/>
      <c r="J1" s="7" t="s">
        <v>258</v>
      </c>
      <c r="K1" s="7"/>
      <c r="L1" s="7"/>
      <c r="M1" s="7"/>
      <c r="N1" s="7" t="s">
        <v>259</v>
      </c>
      <c r="O1" s="7"/>
      <c r="P1" s="7"/>
      <c r="Q1" s="7"/>
      <c r="R1" s="7" t="s">
        <v>260</v>
      </c>
      <c r="S1" s="7"/>
      <c r="T1" s="7"/>
      <c r="U1" s="7"/>
      <c r="W1" s="7" t="s">
        <v>257</v>
      </c>
      <c r="X1" s="7"/>
      <c r="Y1" s="7"/>
      <c r="Z1" s="7"/>
      <c r="AA1" s="7" t="s">
        <v>261</v>
      </c>
      <c r="AB1" s="7"/>
      <c r="AC1" s="7"/>
      <c r="AD1" s="7"/>
      <c r="AE1" s="7" t="s">
        <v>262</v>
      </c>
      <c r="AF1" s="7"/>
      <c r="AG1" s="7"/>
      <c r="AH1" s="7"/>
      <c r="AI1" s="7" t="s">
        <v>263</v>
      </c>
      <c r="AJ1" s="7"/>
      <c r="AK1" s="7"/>
      <c r="AL1" s="7"/>
      <c r="AM1" s="7" t="s">
        <v>264</v>
      </c>
      <c r="AN1" s="7"/>
      <c r="AO1" s="7"/>
      <c r="AP1" s="7"/>
      <c r="AR1" s="7" t="s">
        <v>256</v>
      </c>
      <c r="AS1" s="7"/>
      <c r="AT1" s="7"/>
      <c r="AU1" s="7"/>
      <c r="AV1" s="7" t="s">
        <v>261</v>
      </c>
      <c r="AW1" s="7"/>
      <c r="AX1" s="7"/>
      <c r="AY1" s="7"/>
      <c r="AZ1" s="7" t="s">
        <v>265</v>
      </c>
      <c r="BA1" s="7"/>
      <c r="BB1" s="7"/>
      <c r="BC1" s="7"/>
      <c r="BD1" s="7" t="s">
        <v>266</v>
      </c>
      <c r="BE1" s="7"/>
      <c r="BF1" s="7"/>
      <c r="BG1" s="7"/>
      <c r="BH1" s="7" t="s">
        <v>267</v>
      </c>
      <c r="BI1" s="7"/>
      <c r="BJ1" s="7"/>
      <c r="BK1" s="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166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166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167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150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150</v>
      </c>
      <c r="AF40">
        <v>24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638</v>
      </c>
      <c r="C106">
        <v>16</v>
      </c>
      <c r="D106">
        <v>0</v>
      </c>
      <c r="E106">
        <v>0</v>
      </c>
      <c r="F106">
        <v>638</v>
      </c>
      <c r="G106">
        <v>16</v>
      </c>
      <c r="H106">
        <v>0</v>
      </c>
      <c r="I106">
        <v>0</v>
      </c>
      <c r="J106">
        <v>642</v>
      </c>
      <c r="K106">
        <v>12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638</v>
      </c>
      <c r="X106">
        <v>16</v>
      </c>
      <c r="Y106">
        <v>0</v>
      </c>
      <c r="Z106">
        <v>0</v>
      </c>
      <c r="AA106">
        <v>638</v>
      </c>
      <c r="AB106">
        <v>16</v>
      </c>
      <c r="AC106">
        <v>0</v>
      </c>
      <c r="AD106">
        <v>0</v>
      </c>
      <c r="AE106">
        <v>642</v>
      </c>
      <c r="AF106">
        <v>12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638</v>
      </c>
      <c r="AS106">
        <v>16</v>
      </c>
      <c r="AT106">
        <v>0</v>
      </c>
      <c r="AU106">
        <v>0</v>
      </c>
      <c r="AV106">
        <v>638</v>
      </c>
      <c r="AW106">
        <v>16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B108" s="1">
        <f t="shared" ref="B108:U108" si="0">SUM(B3:B107)</f>
        <v>10761</v>
      </c>
      <c r="C108" s="1">
        <f t="shared" si="0"/>
        <v>420</v>
      </c>
      <c r="D108" s="1">
        <f t="shared" si="0"/>
        <v>0</v>
      </c>
      <c r="E108" s="1">
        <f t="shared" si="0"/>
        <v>0</v>
      </c>
      <c r="F108" s="1">
        <f t="shared" si="0"/>
        <v>10799</v>
      </c>
      <c r="G108" s="1">
        <f t="shared" si="0"/>
        <v>438</v>
      </c>
      <c r="H108" s="1">
        <f t="shared" si="0"/>
        <v>0</v>
      </c>
      <c r="I108" s="1">
        <f t="shared" si="0"/>
        <v>0</v>
      </c>
      <c r="J108" s="1">
        <f t="shared" si="0"/>
        <v>11343</v>
      </c>
      <c r="K108" s="1">
        <f t="shared" si="0"/>
        <v>57</v>
      </c>
      <c r="L108" s="1">
        <f t="shared" si="0"/>
        <v>0</v>
      </c>
      <c r="M108" s="1">
        <f t="shared" si="0"/>
        <v>0</v>
      </c>
      <c r="N108" s="1">
        <f t="shared" si="0"/>
        <v>2374</v>
      </c>
      <c r="O108" s="1">
        <f t="shared" si="0"/>
        <v>13</v>
      </c>
      <c r="P108" s="1">
        <f t="shared" si="0"/>
        <v>28</v>
      </c>
      <c r="Q108" s="1">
        <f t="shared" si="0"/>
        <v>0</v>
      </c>
      <c r="R108" s="1">
        <f t="shared" si="0"/>
        <v>3656</v>
      </c>
      <c r="S108" s="1">
        <f t="shared" si="0"/>
        <v>15</v>
      </c>
      <c r="T108" s="1">
        <f t="shared" si="0"/>
        <v>0</v>
      </c>
      <c r="U108" s="1">
        <f t="shared" si="0"/>
        <v>0</v>
      </c>
      <c r="V108" s="1">
        <f t="shared" ref="V108:BK108" si="1">SUM(V3:V107)</f>
        <v>0</v>
      </c>
      <c r="W108" s="1">
        <f t="shared" si="1"/>
        <v>10761</v>
      </c>
      <c r="X108" s="1">
        <f t="shared" si="1"/>
        <v>420</v>
      </c>
      <c r="Y108" s="1">
        <f t="shared" si="1"/>
        <v>0</v>
      </c>
      <c r="Z108" s="1">
        <f t="shared" si="1"/>
        <v>0</v>
      </c>
      <c r="AA108" s="1">
        <f t="shared" si="1"/>
        <v>10799</v>
      </c>
      <c r="AB108" s="1">
        <f t="shared" si="1"/>
        <v>438</v>
      </c>
      <c r="AC108" s="1">
        <f t="shared" si="1"/>
        <v>0</v>
      </c>
      <c r="AD108" s="1">
        <f t="shared" si="1"/>
        <v>0</v>
      </c>
      <c r="AE108" s="1">
        <f t="shared" si="1"/>
        <v>11343</v>
      </c>
      <c r="AF108" s="1">
        <f t="shared" si="1"/>
        <v>57</v>
      </c>
      <c r="AG108" s="1">
        <f t="shared" si="1"/>
        <v>0</v>
      </c>
      <c r="AH108" s="1">
        <f t="shared" si="1"/>
        <v>0</v>
      </c>
      <c r="AI108" s="1">
        <f t="shared" si="1"/>
        <v>2374</v>
      </c>
      <c r="AJ108" s="1">
        <f t="shared" si="1"/>
        <v>13</v>
      </c>
      <c r="AK108" s="1">
        <f t="shared" si="1"/>
        <v>28</v>
      </c>
      <c r="AL108" s="1">
        <f t="shared" si="1"/>
        <v>0</v>
      </c>
      <c r="AM108" s="1">
        <f t="shared" si="1"/>
        <v>3656</v>
      </c>
      <c r="AN108" s="1">
        <f t="shared" si="1"/>
        <v>15</v>
      </c>
      <c r="AO108" s="1">
        <f t="shared" si="1"/>
        <v>0</v>
      </c>
      <c r="AP108" s="1">
        <f t="shared" si="1"/>
        <v>0</v>
      </c>
      <c r="AQ108" s="1">
        <f t="shared" si="1"/>
        <v>0</v>
      </c>
      <c r="AR108" s="1">
        <f t="shared" si="1"/>
        <v>10799</v>
      </c>
      <c r="AS108" s="1">
        <f t="shared" si="1"/>
        <v>438</v>
      </c>
      <c r="AT108" s="1">
        <f t="shared" si="1"/>
        <v>0</v>
      </c>
      <c r="AU108" s="1">
        <f t="shared" si="1"/>
        <v>0</v>
      </c>
      <c r="AV108" s="1">
        <f t="shared" si="1"/>
        <v>10799</v>
      </c>
      <c r="AW108" s="1">
        <f t="shared" si="1"/>
        <v>438</v>
      </c>
      <c r="AX108" s="1">
        <f t="shared" si="1"/>
        <v>0</v>
      </c>
      <c r="AY108" s="1">
        <f t="shared" si="1"/>
        <v>0</v>
      </c>
      <c r="AZ108" s="1">
        <f t="shared" si="1"/>
        <v>11400</v>
      </c>
      <c r="BA108" s="1">
        <f t="shared" si="1"/>
        <v>0</v>
      </c>
      <c r="BB108" s="1">
        <f t="shared" si="1"/>
        <v>0</v>
      </c>
      <c r="BC108" s="1">
        <f t="shared" si="1"/>
        <v>0</v>
      </c>
      <c r="BD108" s="1">
        <f t="shared" si="1"/>
        <v>2387</v>
      </c>
      <c r="BE108" s="1">
        <f t="shared" si="1"/>
        <v>0</v>
      </c>
      <c r="BF108" s="1">
        <f t="shared" si="1"/>
        <v>28</v>
      </c>
      <c r="BG108" s="1">
        <f t="shared" si="1"/>
        <v>0</v>
      </c>
      <c r="BH108" s="1">
        <f t="shared" si="1"/>
        <v>11237</v>
      </c>
      <c r="BI108" s="1">
        <f t="shared" si="1"/>
        <v>0</v>
      </c>
      <c r="BJ108" s="1">
        <f t="shared" si="1"/>
        <v>0</v>
      </c>
      <c r="BK108" s="1">
        <f t="shared" si="1"/>
        <v>0</v>
      </c>
    </row>
  </sheetData>
  <sortState ref="A3:U107">
    <sortCondition ref="A3:A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B1:E1"/>
    <mergeCell ref="F1:I1"/>
    <mergeCell ref="J1:M1"/>
    <mergeCell ref="N1:Q1"/>
    <mergeCell ref="R1:U1"/>
    <mergeCell ref="W1:Z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A1" workbookViewId="0">
      <pane ySplit="2" topLeftCell="A3" activePane="bottomLeft" state="frozen"/>
      <selection pane="bottomLeft" activeCell="AJ42" sqref="AJ42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7" t="s">
        <v>269</v>
      </c>
      <c r="C1" s="7"/>
      <c r="D1" s="7"/>
      <c r="E1" s="7"/>
      <c r="F1" s="7" t="s">
        <v>268</v>
      </c>
      <c r="G1" s="7"/>
      <c r="H1" s="7"/>
      <c r="I1" s="7"/>
      <c r="J1" s="7" t="s">
        <v>270</v>
      </c>
      <c r="K1" s="7"/>
      <c r="L1" s="7"/>
      <c r="M1" s="7"/>
      <c r="N1" s="7" t="s">
        <v>271</v>
      </c>
      <c r="O1" s="7"/>
      <c r="P1" s="7"/>
      <c r="Q1" s="7"/>
      <c r="R1" s="7" t="s">
        <v>272</v>
      </c>
      <c r="S1" s="7"/>
      <c r="T1" s="7"/>
      <c r="U1" s="7"/>
      <c r="W1" s="7" t="s">
        <v>269</v>
      </c>
      <c r="X1" s="7"/>
      <c r="Y1" s="7"/>
      <c r="Z1" s="7"/>
      <c r="AA1" s="7" t="s">
        <v>273</v>
      </c>
      <c r="AB1" s="7"/>
      <c r="AC1" s="7"/>
      <c r="AD1" s="7"/>
      <c r="AE1" s="7" t="s">
        <v>274</v>
      </c>
      <c r="AF1" s="7"/>
      <c r="AG1" s="7"/>
      <c r="AH1" s="7"/>
      <c r="AI1" s="7" t="s">
        <v>275</v>
      </c>
      <c r="AJ1" s="7"/>
      <c r="AK1" s="7"/>
      <c r="AL1" s="7"/>
      <c r="AM1" s="7" t="s">
        <v>276</v>
      </c>
      <c r="AN1" s="7"/>
      <c r="AO1" s="7"/>
      <c r="AP1" s="7"/>
      <c r="AR1" s="7" t="s">
        <v>268</v>
      </c>
      <c r="AS1" s="7"/>
      <c r="AT1" s="7"/>
      <c r="AU1" s="7"/>
      <c r="AV1" s="7" t="s">
        <v>273</v>
      </c>
      <c r="AW1" s="7"/>
      <c r="AX1" s="7"/>
      <c r="AY1" s="7"/>
      <c r="AZ1" s="7" t="s">
        <v>277</v>
      </c>
      <c r="BA1" s="7"/>
      <c r="BB1" s="7"/>
      <c r="BC1" s="7"/>
      <c r="BD1" s="7" t="s">
        <v>278</v>
      </c>
      <c r="BE1" s="7"/>
      <c r="BF1" s="7"/>
      <c r="BG1" s="7"/>
      <c r="BH1" s="7" t="s">
        <v>279</v>
      </c>
      <c r="BI1" s="7"/>
      <c r="BJ1" s="7"/>
      <c r="BK1" s="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132</v>
      </c>
      <c r="O16">
        <v>0</v>
      </c>
      <c r="P16">
        <v>9</v>
      </c>
      <c r="Q16">
        <v>0</v>
      </c>
      <c r="R16">
        <v>141</v>
      </c>
      <c r="S16">
        <v>0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132</v>
      </c>
      <c r="AJ16">
        <v>0</v>
      </c>
      <c r="AK16">
        <v>9</v>
      </c>
      <c r="AL16">
        <v>0</v>
      </c>
      <c r="AM16">
        <v>141</v>
      </c>
      <c r="AN16">
        <v>0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176</v>
      </c>
      <c r="O20">
        <v>0</v>
      </c>
      <c r="P20">
        <v>7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176</v>
      </c>
      <c r="AJ20">
        <v>0</v>
      </c>
      <c r="AK20">
        <v>7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152</v>
      </c>
      <c r="K38">
        <v>13</v>
      </c>
      <c r="L38">
        <v>0</v>
      </c>
      <c r="M38">
        <v>0</v>
      </c>
      <c r="N38">
        <v>139</v>
      </c>
      <c r="O38">
        <v>2</v>
      </c>
      <c r="P38">
        <v>2</v>
      </c>
      <c r="Q38">
        <v>0</v>
      </c>
      <c r="R38">
        <v>141</v>
      </c>
      <c r="S38">
        <v>13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152</v>
      </c>
      <c r="AF38">
        <v>13</v>
      </c>
      <c r="AG38">
        <v>0</v>
      </c>
      <c r="AH38">
        <v>0</v>
      </c>
      <c r="AI38">
        <v>139</v>
      </c>
      <c r="AJ38">
        <v>2</v>
      </c>
      <c r="AK38">
        <v>2</v>
      </c>
      <c r="AL38">
        <v>0</v>
      </c>
      <c r="AM38">
        <v>141</v>
      </c>
      <c r="AN38">
        <v>13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146</v>
      </c>
      <c r="K40">
        <v>28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170</v>
      </c>
      <c r="S40">
        <v>4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146</v>
      </c>
      <c r="AF40">
        <v>28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170</v>
      </c>
      <c r="AN40">
        <v>4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136</v>
      </c>
      <c r="S44">
        <v>3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136</v>
      </c>
      <c r="AN44">
        <v>3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54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54</v>
      </c>
      <c r="S48">
        <v>2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54</v>
      </c>
      <c r="AF48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54</v>
      </c>
      <c r="AN48">
        <v>2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957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957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465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464</v>
      </c>
      <c r="S61">
        <v>12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465</v>
      </c>
      <c r="AF61">
        <v>11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464</v>
      </c>
      <c r="AN61">
        <v>12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595</v>
      </c>
      <c r="K62">
        <v>12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593</v>
      </c>
      <c r="S62">
        <v>14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595</v>
      </c>
      <c r="AF62">
        <v>12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593</v>
      </c>
      <c r="AN62">
        <v>14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715</v>
      </c>
      <c r="K63">
        <v>22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713</v>
      </c>
      <c r="S63">
        <v>24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715</v>
      </c>
      <c r="AF63">
        <v>22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713</v>
      </c>
      <c r="AN63">
        <v>24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70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639</v>
      </c>
      <c r="K106">
        <v>15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632</v>
      </c>
      <c r="S106">
        <v>22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639</v>
      </c>
      <c r="AF106">
        <v>15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632</v>
      </c>
      <c r="AN106">
        <v>22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dom72dom62'!B3:B107)</f>
        <v>10797</v>
      </c>
      <c r="C108" s="1">
        <f>SUM('accuracy dom72dom62'!C3:C107)</f>
        <v>440</v>
      </c>
      <c r="D108" s="1">
        <f>SUM('accuracy dom72dom62'!D3:D107)</f>
        <v>0</v>
      </c>
      <c r="E108" s="1">
        <f>SUM('accuracy dom72dom62'!E3:E107)</f>
        <v>0</v>
      </c>
      <c r="F108" s="1">
        <f>SUM('accuracy dom72dom62'!F3:F107)</f>
        <v>10797</v>
      </c>
      <c r="G108" s="1">
        <f>SUM('accuracy dom72dom62'!G3:G107)</f>
        <v>440</v>
      </c>
      <c r="H108" s="1">
        <f>SUM('accuracy dom72dom62'!H3:H107)</f>
        <v>0</v>
      </c>
      <c r="I108" s="1">
        <f>SUM('accuracy dom72dom62'!I3:I107)</f>
        <v>0</v>
      </c>
      <c r="J108" s="1">
        <f>SUM('accuracy dom72dom62'!J3:J107)</f>
        <v>11250</v>
      </c>
      <c r="K108" s="1">
        <f>SUM('accuracy dom72dom62'!K3:K107)</f>
        <v>148</v>
      </c>
      <c r="L108" s="1">
        <f>SUM('accuracy dom72dom62'!L3:L107)</f>
        <v>0</v>
      </c>
      <c r="M108" s="1">
        <f>SUM('accuracy dom72dom62'!M3:M107)</f>
        <v>0</v>
      </c>
      <c r="N108" s="1">
        <f>SUM('accuracy dom72dom62'!N3:N107)</f>
        <v>2384</v>
      </c>
      <c r="O108" s="1">
        <f>SUM('accuracy dom72dom62'!O3:O107)</f>
        <v>2</v>
      </c>
      <c r="P108" s="1">
        <f>SUM('accuracy dom72dom62'!P3:P107)</f>
        <v>29</v>
      </c>
      <c r="Q108" s="1">
        <f>SUM('accuracy dom72dom62'!Q3:Q107)</f>
        <v>0</v>
      </c>
      <c r="R108" s="1">
        <f>SUM('accuracy dom72dom62'!R3:R107)</f>
        <v>11098</v>
      </c>
      <c r="S108" s="1">
        <f>SUM('accuracy dom72dom62'!S3:S107)</f>
        <v>139</v>
      </c>
      <c r="T108" s="1">
        <f>SUM('accuracy dom72dom62'!T3:T107)</f>
        <v>0</v>
      </c>
      <c r="U108" s="1">
        <f>SUM('accuracy dom72dom62'!U3:U107)</f>
        <v>0</v>
      </c>
      <c r="V108" s="1">
        <f>SUM('accuracy dom72dom62'!V3:V107)</f>
        <v>0</v>
      </c>
      <c r="W108" s="1">
        <f>SUM('accuracy dom72dom62'!W3:W107)</f>
        <v>10797</v>
      </c>
      <c r="X108" s="1">
        <f>SUM('accuracy dom72dom62'!X3:X107)</f>
        <v>440</v>
      </c>
      <c r="Y108" s="1">
        <f>SUM('accuracy dom72dom62'!Y3:Y107)</f>
        <v>0</v>
      </c>
      <c r="Z108" s="1">
        <f>SUM('accuracy dom72dom62'!Z3:Z107)</f>
        <v>0</v>
      </c>
      <c r="AA108" s="1">
        <f>SUM('accuracy dom72dom62'!AA3:AA107)</f>
        <v>10797</v>
      </c>
      <c r="AB108" s="1">
        <f>SUM('accuracy dom72dom62'!AB3:AB107)</f>
        <v>440</v>
      </c>
      <c r="AC108" s="1">
        <f>SUM('accuracy dom72dom62'!AC3:AC107)</f>
        <v>0</v>
      </c>
      <c r="AD108" s="1">
        <f>SUM('accuracy dom72dom62'!AD3:AD107)</f>
        <v>0</v>
      </c>
      <c r="AE108" s="1">
        <f>SUM('accuracy dom72dom62'!AE3:AE107)</f>
        <v>11250</v>
      </c>
      <c r="AF108" s="1">
        <f>SUM('accuracy dom72dom62'!AF3:AF107)</f>
        <v>148</v>
      </c>
      <c r="AG108" s="1">
        <f>SUM('accuracy dom72dom62'!AG3:AG107)</f>
        <v>0</v>
      </c>
      <c r="AH108" s="1">
        <f>SUM('accuracy dom72dom62'!AH3:AH107)</f>
        <v>0</v>
      </c>
      <c r="AI108" s="1">
        <f>SUM('accuracy dom72dom62'!AI3:AI107)</f>
        <v>2384</v>
      </c>
      <c r="AJ108" s="1">
        <f>SUM('accuracy dom72dom62'!AJ3:AJ107)</f>
        <v>2</v>
      </c>
      <c r="AK108" s="1">
        <f>SUM('accuracy dom72dom62'!AK3:AK107)</f>
        <v>29</v>
      </c>
      <c r="AL108" s="1">
        <f>SUM('accuracy dom72dom62'!AL3:AL107)</f>
        <v>0</v>
      </c>
      <c r="AM108" s="1">
        <f>SUM('accuracy dom72dom62'!AM3:AM107)</f>
        <v>11098</v>
      </c>
      <c r="AN108" s="1">
        <f>SUM('accuracy dom72dom62'!AN3:AN107)</f>
        <v>139</v>
      </c>
      <c r="AO108" s="1">
        <f>SUM('accuracy dom72dom62'!AO3:AO107)</f>
        <v>0</v>
      </c>
      <c r="AP108" s="1">
        <f>SUM('accuracy dom72dom62'!AP3:AP107)</f>
        <v>0</v>
      </c>
      <c r="AQ108" s="1">
        <f>SUM('accuracy dom72dom62'!AQ3:AQ107)</f>
        <v>0</v>
      </c>
      <c r="AR108" s="1">
        <f>SUM('accuracy dom72dom62'!AR3:AR107)</f>
        <v>10797</v>
      </c>
      <c r="AS108" s="1">
        <f>SUM('accuracy dom72dom62'!AS3:AS107)</f>
        <v>440</v>
      </c>
      <c r="AT108" s="1">
        <f>SUM('accuracy dom72dom62'!AT3:AT107)</f>
        <v>0</v>
      </c>
      <c r="AU108" s="1">
        <f>SUM('accuracy dom72dom62'!AU3:AU107)</f>
        <v>0</v>
      </c>
      <c r="AV108" s="1">
        <f>SUM('accuracy dom72dom62'!AV3:AV107)</f>
        <v>10797</v>
      </c>
      <c r="AW108" s="1">
        <f>SUM('accuracy dom72dom62'!AW3:AW107)</f>
        <v>440</v>
      </c>
      <c r="AX108" s="1">
        <f>SUM('accuracy dom72dom62'!AX3:AX107)</f>
        <v>0</v>
      </c>
      <c r="AY108" s="1">
        <f>SUM('accuracy dom72dom62'!AY3:AY107)</f>
        <v>0</v>
      </c>
      <c r="AZ108" s="1">
        <f>SUM('accuracy dom72dom62'!AZ3:AZ107)</f>
        <v>11398</v>
      </c>
      <c r="BA108" s="1">
        <f>SUM('accuracy dom72dom62'!BA3:BA107)</f>
        <v>0</v>
      </c>
      <c r="BB108" s="1">
        <f>SUM('accuracy dom72dom62'!BB3:BB107)</f>
        <v>0</v>
      </c>
      <c r="BC108" s="1">
        <f>SUM('accuracy dom72dom62'!BC3:BC107)</f>
        <v>0</v>
      </c>
      <c r="BD108" s="1">
        <f>SUM('accuracy dom72dom62'!BD3:BD107)</f>
        <v>2386</v>
      </c>
      <c r="BE108" s="1">
        <f>SUM('accuracy dom72dom62'!BE3:BE107)</f>
        <v>0</v>
      </c>
      <c r="BF108" s="1">
        <f>SUM('accuracy dom72dom62'!BF3:BF107)</f>
        <v>29</v>
      </c>
      <c r="BG108" s="1">
        <f>SUM('accuracy dom72dom62'!BG3:BG107)</f>
        <v>0</v>
      </c>
      <c r="BH108" s="1">
        <f>SUM('accuracy dom72dom62'!BH3:BH107)</f>
        <v>11237</v>
      </c>
      <c r="BI108" s="1">
        <f>SUM('accuracy dom72dom62'!BI3:BI107)</f>
        <v>0</v>
      </c>
      <c r="BJ108" s="1">
        <f>SUM('accuracy dom72dom62'!BJ3:BJ107)</f>
        <v>0</v>
      </c>
      <c r="BK108" s="1">
        <f>SUM('accuracy dom72dom62'!BK3:BK107)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B1:E1"/>
    <mergeCell ref="F1:I1"/>
    <mergeCell ref="J1:M1"/>
    <mergeCell ref="N1:Q1"/>
    <mergeCell ref="R1:U1"/>
    <mergeCell ref="W1:Z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AK1" workbookViewId="0">
      <pane ySplit="2" topLeftCell="A62" activePane="bottomLeft" state="frozen"/>
      <selection pane="bottomLeft" activeCell="BE115" sqref="BE115"/>
    </sheetView>
  </sheetViews>
  <sheetFormatPr baseColWidth="10" defaultRowHeight="15" x14ac:dyDescent="0"/>
  <cols>
    <col min="22" max="22" width="10.83203125" customWidth="1"/>
    <col min="43" max="43" width="10.83203125" customWidth="1"/>
  </cols>
  <sheetData>
    <row r="1" spans="1:63">
      <c r="B1" s="7" t="s">
        <v>280</v>
      </c>
      <c r="C1" s="7"/>
      <c r="D1" s="7"/>
      <c r="E1" s="7"/>
      <c r="F1" s="7" t="s">
        <v>281</v>
      </c>
      <c r="G1" s="7"/>
      <c r="H1" s="7"/>
      <c r="I1" s="7"/>
      <c r="J1" s="7" t="s">
        <v>282</v>
      </c>
      <c r="K1" s="7"/>
      <c r="L1" s="7"/>
      <c r="M1" s="7"/>
      <c r="N1" s="7" t="s">
        <v>283</v>
      </c>
      <c r="O1" s="7"/>
      <c r="P1" s="7"/>
      <c r="Q1" s="7"/>
      <c r="R1" s="7" t="s">
        <v>284</v>
      </c>
      <c r="S1" s="7"/>
      <c r="T1" s="7"/>
      <c r="U1" s="7"/>
      <c r="W1" s="7" t="s">
        <v>280</v>
      </c>
      <c r="X1" s="7"/>
      <c r="Y1" s="7"/>
      <c r="Z1" s="7"/>
      <c r="AA1" s="7" t="s">
        <v>285</v>
      </c>
      <c r="AB1" s="7"/>
      <c r="AC1" s="7"/>
      <c r="AD1" s="7"/>
      <c r="AE1" s="7" t="s">
        <v>286</v>
      </c>
      <c r="AF1" s="7"/>
      <c r="AG1" s="7"/>
      <c r="AH1" s="7"/>
      <c r="AI1" s="7" t="s">
        <v>287</v>
      </c>
      <c r="AJ1" s="7"/>
      <c r="AK1" s="7"/>
      <c r="AL1" s="7"/>
      <c r="AM1" s="7" t="s">
        <v>288</v>
      </c>
      <c r="AN1" s="7"/>
      <c r="AO1" s="7"/>
      <c r="AP1" s="7"/>
      <c r="AR1" s="7" t="s">
        <v>281</v>
      </c>
      <c r="AS1" s="7"/>
      <c r="AT1" s="7"/>
      <c r="AU1" s="7"/>
      <c r="AV1" s="7" t="s">
        <v>285</v>
      </c>
      <c r="AW1" s="7"/>
      <c r="AX1" s="7"/>
      <c r="AY1" s="7"/>
      <c r="AZ1" s="7" t="s">
        <v>289</v>
      </c>
      <c r="BA1" s="7"/>
      <c r="BB1" s="7"/>
      <c r="BC1" s="7"/>
      <c r="BD1" s="7" t="s">
        <v>290</v>
      </c>
      <c r="BE1" s="7"/>
      <c r="BF1" s="7"/>
      <c r="BG1" s="7"/>
      <c r="BH1" s="7" t="s">
        <v>291</v>
      </c>
      <c r="BI1" s="7"/>
      <c r="BJ1" s="7"/>
      <c r="BK1" s="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135</v>
      </c>
      <c r="K16">
        <v>6</v>
      </c>
      <c r="L16">
        <v>0</v>
      </c>
      <c r="M16">
        <v>0</v>
      </c>
      <c r="N16">
        <v>127</v>
      </c>
      <c r="O16">
        <v>5</v>
      </c>
      <c r="P16">
        <v>8</v>
      </c>
      <c r="Q16">
        <v>1</v>
      </c>
      <c r="R16">
        <v>128</v>
      </c>
      <c r="S16">
        <v>13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135</v>
      </c>
      <c r="AF16">
        <v>6</v>
      </c>
      <c r="AG16">
        <v>0</v>
      </c>
      <c r="AH16">
        <v>0</v>
      </c>
      <c r="AI16">
        <v>127</v>
      </c>
      <c r="AJ16">
        <v>5</v>
      </c>
      <c r="AK16">
        <v>8</v>
      </c>
      <c r="AL16">
        <v>1</v>
      </c>
      <c r="AM16">
        <v>128</v>
      </c>
      <c r="AN16">
        <v>13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122</v>
      </c>
      <c r="K21">
        <v>5</v>
      </c>
      <c r="L21">
        <v>0</v>
      </c>
      <c r="M21">
        <v>0</v>
      </c>
      <c r="N21">
        <v>122</v>
      </c>
      <c r="O21">
        <v>5</v>
      </c>
      <c r="P21">
        <v>0</v>
      </c>
      <c r="Q21">
        <v>0</v>
      </c>
      <c r="R21">
        <v>122</v>
      </c>
      <c r="S21">
        <v>5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122</v>
      </c>
      <c r="AF21">
        <v>5</v>
      </c>
      <c r="AG21">
        <v>0</v>
      </c>
      <c r="AH21">
        <v>0</v>
      </c>
      <c r="AI21">
        <v>122</v>
      </c>
      <c r="AJ21">
        <v>5</v>
      </c>
      <c r="AK21">
        <v>0</v>
      </c>
      <c r="AL21">
        <v>0</v>
      </c>
      <c r="AM21">
        <v>122</v>
      </c>
      <c r="AN21">
        <v>5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101</v>
      </c>
      <c r="K22">
        <v>5</v>
      </c>
      <c r="L22">
        <v>0</v>
      </c>
      <c r="M22">
        <v>0</v>
      </c>
      <c r="N22">
        <v>101</v>
      </c>
      <c r="O22">
        <v>5</v>
      </c>
      <c r="P22">
        <v>0</v>
      </c>
      <c r="Q22">
        <v>0</v>
      </c>
      <c r="R22">
        <v>101</v>
      </c>
      <c r="S22">
        <v>5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101</v>
      </c>
      <c r="AF22">
        <v>5</v>
      </c>
      <c r="AG22">
        <v>0</v>
      </c>
      <c r="AH22">
        <v>0</v>
      </c>
      <c r="AI22">
        <v>101</v>
      </c>
      <c r="AJ22">
        <v>5</v>
      </c>
      <c r="AK22">
        <v>0</v>
      </c>
      <c r="AL22">
        <v>0</v>
      </c>
      <c r="AM22">
        <v>101</v>
      </c>
      <c r="AN22">
        <v>5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404</v>
      </c>
      <c r="C24">
        <v>2</v>
      </c>
      <c r="D24">
        <v>0</v>
      </c>
      <c r="E24">
        <v>0</v>
      </c>
      <c r="F24">
        <v>404</v>
      </c>
      <c r="G24">
        <v>2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404</v>
      </c>
      <c r="O24">
        <v>0</v>
      </c>
      <c r="P24">
        <v>2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404</v>
      </c>
      <c r="X24">
        <v>2</v>
      </c>
      <c r="Y24">
        <v>0</v>
      </c>
      <c r="Z24">
        <v>0</v>
      </c>
      <c r="AA24">
        <v>404</v>
      </c>
      <c r="AB24">
        <v>2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404</v>
      </c>
      <c r="AJ24">
        <v>0</v>
      </c>
      <c r="AK24">
        <v>2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404</v>
      </c>
      <c r="AS24">
        <v>2</v>
      </c>
      <c r="AT24">
        <v>0</v>
      </c>
      <c r="AU24">
        <v>0</v>
      </c>
      <c r="AV24">
        <v>404</v>
      </c>
      <c r="AW24">
        <v>2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404</v>
      </c>
      <c r="BE24">
        <v>0</v>
      </c>
      <c r="BF24">
        <v>2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191</v>
      </c>
      <c r="C25">
        <v>1</v>
      </c>
      <c r="D25">
        <v>0</v>
      </c>
      <c r="E25">
        <v>0</v>
      </c>
      <c r="F25">
        <v>191</v>
      </c>
      <c r="G25">
        <v>1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191</v>
      </c>
      <c r="O25">
        <v>0</v>
      </c>
      <c r="P25">
        <v>1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191</v>
      </c>
      <c r="X25">
        <v>1</v>
      </c>
      <c r="Y25">
        <v>0</v>
      </c>
      <c r="Z25">
        <v>0</v>
      </c>
      <c r="AA25">
        <v>191</v>
      </c>
      <c r="AB25">
        <v>1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191</v>
      </c>
      <c r="AJ25">
        <v>0</v>
      </c>
      <c r="AK25">
        <v>1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191</v>
      </c>
      <c r="AS25">
        <v>1</v>
      </c>
      <c r="AT25">
        <v>0</v>
      </c>
      <c r="AU25">
        <v>0</v>
      </c>
      <c r="AV25">
        <v>191</v>
      </c>
      <c r="AW25">
        <v>1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191</v>
      </c>
      <c r="BE25">
        <v>0</v>
      </c>
      <c r="BF25">
        <v>1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151</v>
      </c>
      <c r="K38">
        <v>14</v>
      </c>
      <c r="L38">
        <v>0</v>
      </c>
      <c r="M38">
        <v>0</v>
      </c>
      <c r="N38">
        <v>139</v>
      </c>
      <c r="O38">
        <v>2</v>
      </c>
      <c r="P38">
        <v>1</v>
      </c>
      <c r="Q38">
        <v>1</v>
      </c>
      <c r="R38">
        <v>140</v>
      </c>
      <c r="S38">
        <v>14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151</v>
      </c>
      <c r="AF38">
        <v>14</v>
      </c>
      <c r="AG38">
        <v>0</v>
      </c>
      <c r="AH38">
        <v>0</v>
      </c>
      <c r="AI38">
        <v>139</v>
      </c>
      <c r="AJ38">
        <v>2</v>
      </c>
      <c r="AK38">
        <v>1</v>
      </c>
      <c r="AL38">
        <v>1</v>
      </c>
      <c r="AM38">
        <v>140</v>
      </c>
      <c r="AN38">
        <v>14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141</v>
      </c>
      <c r="G40">
        <v>33</v>
      </c>
      <c r="H40">
        <v>0</v>
      </c>
      <c r="I40">
        <v>0</v>
      </c>
      <c r="J40">
        <v>144</v>
      </c>
      <c r="K40">
        <v>30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143</v>
      </c>
      <c r="S40">
        <v>31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141</v>
      </c>
      <c r="AB40">
        <v>33</v>
      </c>
      <c r="AC40">
        <v>0</v>
      </c>
      <c r="AD40">
        <v>0</v>
      </c>
      <c r="AE40">
        <v>144</v>
      </c>
      <c r="AF40">
        <v>30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143</v>
      </c>
      <c r="AN40">
        <v>31</v>
      </c>
      <c r="AO40">
        <v>0</v>
      </c>
      <c r="AP40">
        <v>0</v>
      </c>
      <c r="AQ40" t="s">
        <v>100</v>
      </c>
      <c r="AR40">
        <v>141</v>
      </c>
      <c r="AS40">
        <v>33</v>
      </c>
      <c r="AT40">
        <v>0</v>
      </c>
      <c r="AU40">
        <v>0</v>
      </c>
      <c r="AV40">
        <v>141</v>
      </c>
      <c r="AW40">
        <v>33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140</v>
      </c>
      <c r="S41">
        <v>3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140</v>
      </c>
      <c r="AN41">
        <v>3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122</v>
      </c>
      <c r="C42">
        <v>7</v>
      </c>
      <c r="D42">
        <v>0</v>
      </c>
      <c r="E42">
        <v>0</v>
      </c>
      <c r="F42">
        <v>122</v>
      </c>
      <c r="G42">
        <v>7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122</v>
      </c>
      <c r="X42">
        <v>7</v>
      </c>
      <c r="Y42">
        <v>0</v>
      </c>
      <c r="Z42">
        <v>0</v>
      </c>
      <c r="AA42">
        <v>122</v>
      </c>
      <c r="AB42">
        <v>7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122</v>
      </c>
      <c r="AS42">
        <v>7</v>
      </c>
      <c r="AT42">
        <v>0</v>
      </c>
      <c r="AU42">
        <v>0</v>
      </c>
      <c r="AV42">
        <v>122</v>
      </c>
      <c r="AW42">
        <v>7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135</v>
      </c>
      <c r="S44">
        <v>4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135</v>
      </c>
      <c r="AN44">
        <v>4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53</v>
      </c>
      <c r="K48">
        <v>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47</v>
      </c>
      <c r="S48">
        <v>9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53</v>
      </c>
      <c r="AF48">
        <v>3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47</v>
      </c>
      <c r="AN48">
        <v>9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57</v>
      </c>
      <c r="G51">
        <v>5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57</v>
      </c>
      <c r="S51">
        <v>5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57</v>
      </c>
      <c r="AB51">
        <v>5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57</v>
      </c>
      <c r="AN51">
        <v>5</v>
      </c>
      <c r="AO51">
        <v>0</v>
      </c>
      <c r="AP51">
        <v>0</v>
      </c>
      <c r="AQ51" t="s">
        <v>53</v>
      </c>
      <c r="AR51">
        <v>57</v>
      </c>
      <c r="AS51">
        <v>5</v>
      </c>
      <c r="AT51">
        <v>0</v>
      </c>
      <c r="AU51">
        <v>0</v>
      </c>
      <c r="AV51">
        <v>57</v>
      </c>
      <c r="AW51">
        <v>5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52</v>
      </c>
      <c r="G55">
        <v>1</v>
      </c>
      <c r="H55">
        <v>0</v>
      </c>
      <c r="I55">
        <v>0</v>
      </c>
      <c r="J55">
        <v>47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46</v>
      </c>
      <c r="S55">
        <v>7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52</v>
      </c>
      <c r="AB55">
        <v>1</v>
      </c>
      <c r="AC55">
        <v>0</v>
      </c>
      <c r="AD55">
        <v>0</v>
      </c>
      <c r="AE55">
        <v>47</v>
      </c>
      <c r="AF55">
        <v>6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46</v>
      </c>
      <c r="AN55">
        <v>7</v>
      </c>
      <c r="AO55">
        <v>0</v>
      </c>
      <c r="AP55">
        <v>0</v>
      </c>
      <c r="AQ55" t="s">
        <v>47</v>
      </c>
      <c r="AR55">
        <v>52</v>
      </c>
      <c r="AS55">
        <v>1</v>
      </c>
      <c r="AT55">
        <v>0</v>
      </c>
      <c r="AU55">
        <v>0</v>
      </c>
      <c r="AV55">
        <v>52</v>
      </c>
      <c r="AW55">
        <v>1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109</v>
      </c>
      <c r="C59">
        <v>3</v>
      </c>
      <c r="D59">
        <v>0</v>
      </c>
      <c r="E59">
        <v>0</v>
      </c>
      <c r="F59">
        <v>109</v>
      </c>
      <c r="G59">
        <v>3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109</v>
      </c>
      <c r="X59">
        <v>3</v>
      </c>
      <c r="Y59">
        <v>0</v>
      </c>
      <c r="Z59">
        <v>0</v>
      </c>
      <c r="AA59">
        <v>109</v>
      </c>
      <c r="AB59">
        <v>3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109</v>
      </c>
      <c r="AS59">
        <v>3</v>
      </c>
      <c r="AT59">
        <v>0</v>
      </c>
      <c r="AU59">
        <v>0</v>
      </c>
      <c r="AV59">
        <v>109</v>
      </c>
      <c r="AW59">
        <v>3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924</v>
      </c>
      <c r="G60">
        <v>34</v>
      </c>
      <c r="H60">
        <v>0</v>
      </c>
      <c r="I60">
        <v>0</v>
      </c>
      <c r="J60">
        <v>945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936</v>
      </c>
      <c r="S60">
        <v>22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924</v>
      </c>
      <c r="AB60">
        <v>34</v>
      </c>
      <c r="AC60">
        <v>0</v>
      </c>
      <c r="AD60">
        <v>0</v>
      </c>
      <c r="AE60">
        <v>945</v>
      </c>
      <c r="AF60">
        <v>13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936</v>
      </c>
      <c r="AN60">
        <v>22</v>
      </c>
      <c r="AO60">
        <v>0</v>
      </c>
      <c r="AP60">
        <v>0</v>
      </c>
      <c r="AQ60" t="s">
        <v>45</v>
      </c>
      <c r="AR60">
        <v>924</v>
      </c>
      <c r="AS60">
        <v>34</v>
      </c>
      <c r="AT60">
        <v>0</v>
      </c>
      <c r="AU60">
        <v>0</v>
      </c>
      <c r="AV60">
        <v>924</v>
      </c>
      <c r="AW60">
        <v>34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463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462</v>
      </c>
      <c r="S61">
        <v>14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463</v>
      </c>
      <c r="AF61">
        <v>13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462</v>
      </c>
      <c r="AN61">
        <v>14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579</v>
      </c>
      <c r="G62">
        <v>28</v>
      </c>
      <c r="H62">
        <v>0</v>
      </c>
      <c r="I62">
        <v>0</v>
      </c>
      <c r="J62">
        <v>589</v>
      </c>
      <c r="K62">
        <v>18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580</v>
      </c>
      <c r="S62">
        <v>27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579</v>
      </c>
      <c r="AB62">
        <v>28</v>
      </c>
      <c r="AC62">
        <v>0</v>
      </c>
      <c r="AD62">
        <v>0</v>
      </c>
      <c r="AE62">
        <v>589</v>
      </c>
      <c r="AF62">
        <v>18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580</v>
      </c>
      <c r="AN62">
        <v>27</v>
      </c>
      <c r="AO62">
        <v>0</v>
      </c>
      <c r="AP62">
        <v>0</v>
      </c>
      <c r="AQ62" t="s">
        <v>79</v>
      </c>
      <c r="AR62">
        <v>579</v>
      </c>
      <c r="AS62">
        <v>28</v>
      </c>
      <c r="AT62">
        <v>0</v>
      </c>
      <c r="AU62">
        <v>0</v>
      </c>
      <c r="AV62">
        <v>579</v>
      </c>
      <c r="AW62">
        <v>28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714</v>
      </c>
      <c r="K63">
        <v>23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712</v>
      </c>
      <c r="S63">
        <v>25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714</v>
      </c>
      <c r="AF63">
        <v>23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712</v>
      </c>
      <c r="AN63">
        <v>25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175</v>
      </c>
      <c r="C66">
        <v>0</v>
      </c>
      <c r="D66">
        <v>0</v>
      </c>
      <c r="E66">
        <v>0</v>
      </c>
      <c r="F66">
        <v>175</v>
      </c>
      <c r="G66">
        <v>0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175</v>
      </c>
      <c r="X66">
        <v>0</v>
      </c>
      <c r="Y66">
        <v>0</v>
      </c>
      <c r="Z66">
        <v>0</v>
      </c>
      <c r="AA66">
        <v>175</v>
      </c>
      <c r="AB66">
        <v>0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175</v>
      </c>
      <c r="AS66">
        <v>0</v>
      </c>
      <c r="AT66">
        <v>0</v>
      </c>
      <c r="AU66">
        <v>0</v>
      </c>
      <c r="AV66">
        <v>175</v>
      </c>
      <c r="AW66">
        <v>0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272</v>
      </c>
      <c r="C67">
        <v>0</v>
      </c>
      <c r="D67">
        <v>0</v>
      </c>
      <c r="E67">
        <v>0</v>
      </c>
      <c r="F67">
        <v>272</v>
      </c>
      <c r="G67">
        <v>0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272</v>
      </c>
      <c r="X67">
        <v>0</v>
      </c>
      <c r="Y67">
        <v>0</v>
      </c>
      <c r="Z67">
        <v>0</v>
      </c>
      <c r="AA67">
        <v>272</v>
      </c>
      <c r="AB67">
        <v>0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272</v>
      </c>
      <c r="AS67">
        <v>0</v>
      </c>
      <c r="AT67">
        <v>0</v>
      </c>
      <c r="AU67">
        <v>0</v>
      </c>
      <c r="AV67">
        <v>272</v>
      </c>
      <c r="AW67">
        <v>0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120</v>
      </c>
      <c r="C70">
        <v>0</v>
      </c>
      <c r="D70">
        <v>0</v>
      </c>
      <c r="E70">
        <v>0</v>
      </c>
      <c r="F70">
        <v>120</v>
      </c>
      <c r="G70">
        <v>0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120</v>
      </c>
      <c r="X70">
        <v>0</v>
      </c>
      <c r="Y70">
        <v>0</v>
      </c>
      <c r="Z70">
        <v>0</v>
      </c>
      <c r="AA70">
        <v>120</v>
      </c>
      <c r="AB70">
        <v>0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120</v>
      </c>
      <c r="AS70">
        <v>0</v>
      </c>
      <c r="AT70">
        <v>0</v>
      </c>
      <c r="AU70">
        <v>0</v>
      </c>
      <c r="AV70">
        <v>120</v>
      </c>
      <c r="AW70">
        <v>0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162</v>
      </c>
      <c r="C71">
        <v>0</v>
      </c>
      <c r="D71">
        <v>0</v>
      </c>
      <c r="E71">
        <v>0</v>
      </c>
      <c r="F71">
        <v>162</v>
      </c>
      <c r="G71">
        <v>0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162</v>
      </c>
      <c r="X71">
        <v>0</v>
      </c>
      <c r="Y71">
        <v>0</v>
      </c>
      <c r="Z71">
        <v>0</v>
      </c>
      <c r="AA71">
        <v>162</v>
      </c>
      <c r="AB71">
        <v>0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162</v>
      </c>
      <c r="AS71">
        <v>0</v>
      </c>
      <c r="AT71">
        <v>0</v>
      </c>
      <c r="AU71">
        <v>0</v>
      </c>
      <c r="AV71">
        <v>162</v>
      </c>
      <c r="AW71">
        <v>0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258</v>
      </c>
      <c r="C72">
        <v>0</v>
      </c>
      <c r="D72">
        <v>0</v>
      </c>
      <c r="E72">
        <v>0</v>
      </c>
      <c r="F72">
        <v>258</v>
      </c>
      <c r="G72">
        <v>0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258</v>
      </c>
      <c r="X72">
        <v>0</v>
      </c>
      <c r="Y72">
        <v>0</v>
      </c>
      <c r="Z72">
        <v>0</v>
      </c>
      <c r="AA72">
        <v>258</v>
      </c>
      <c r="AB72">
        <v>0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258</v>
      </c>
      <c r="AS72">
        <v>0</v>
      </c>
      <c r="AT72">
        <v>0</v>
      </c>
      <c r="AU72">
        <v>0</v>
      </c>
      <c r="AV72">
        <v>258</v>
      </c>
      <c r="AW72">
        <v>0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303</v>
      </c>
      <c r="S74">
        <v>9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303</v>
      </c>
      <c r="AN74">
        <v>9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63</v>
      </c>
      <c r="S76">
        <v>7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63</v>
      </c>
      <c r="AN76">
        <v>7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9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9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53</v>
      </c>
      <c r="S81">
        <v>41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53</v>
      </c>
      <c r="AN81">
        <v>41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640</v>
      </c>
      <c r="K106">
        <v>14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638</v>
      </c>
      <c r="S106">
        <v>16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640</v>
      </c>
      <c r="AF106">
        <v>14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638</v>
      </c>
      <c r="AN106">
        <v>16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146</v>
      </c>
      <c r="C107">
        <v>23</v>
      </c>
      <c r="D107">
        <v>0</v>
      </c>
      <c r="E107">
        <v>0</v>
      </c>
      <c r="F107">
        <v>146</v>
      </c>
      <c r="G107">
        <v>23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146</v>
      </c>
      <c r="X107">
        <v>23</v>
      </c>
      <c r="Y107">
        <v>0</v>
      </c>
      <c r="Z107">
        <v>0</v>
      </c>
      <c r="AA107">
        <v>146</v>
      </c>
      <c r="AB107">
        <v>23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146</v>
      </c>
      <c r="AS107">
        <v>23</v>
      </c>
      <c r="AT107">
        <v>0</v>
      </c>
      <c r="AU107">
        <v>0</v>
      </c>
      <c r="AV107">
        <v>146</v>
      </c>
      <c r="AW107">
        <v>23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10817</v>
      </c>
      <c r="C108" s="1">
        <f t="shared" ref="C108:BK108" si="0">SUM(C3:C107)</f>
        <v>420</v>
      </c>
      <c r="D108" s="1">
        <f t="shared" si="0"/>
        <v>0</v>
      </c>
      <c r="E108" s="1">
        <f t="shared" si="0"/>
        <v>0</v>
      </c>
      <c r="F108" s="1">
        <f t="shared" si="0"/>
        <v>10809</v>
      </c>
      <c r="G108" s="1">
        <f t="shared" si="0"/>
        <v>428</v>
      </c>
      <c r="H108" s="1">
        <f t="shared" si="0"/>
        <v>0</v>
      </c>
      <c r="I108" s="1">
        <f t="shared" si="0"/>
        <v>0</v>
      </c>
      <c r="J108" s="1">
        <f t="shared" si="0"/>
        <v>11176</v>
      </c>
      <c r="K108" s="1">
        <f t="shared" si="0"/>
        <v>221</v>
      </c>
      <c r="L108" s="1">
        <f t="shared" si="0"/>
        <v>0</v>
      </c>
      <c r="M108" s="1">
        <f t="shared" si="0"/>
        <v>0</v>
      </c>
      <c r="N108" s="1">
        <f t="shared" si="0"/>
        <v>2353</v>
      </c>
      <c r="O108" s="1">
        <f t="shared" si="0"/>
        <v>29</v>
      </c>
      <c r="P108" s="1">
        <f t="shared" si="0"/>
        <v>31</v>
      </c>
      <c r="Q108" s="1">
        <f t="shared" si="0"/>
        <v>2</v>
      </c>
      <c r="R108" s="1">
        <f t="shared" si="0"/>
        <v>10903</v>
      </c>
      <c r="S108" s="1">
        <f t="shared" si="0"/>
        <v>334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10817</v>
      </c>
      <c r="X108" s="1">
        <f t="shared" si="0"/>
        <v>420</v>
      </c>
      <c r="Y108" s="1">
        <f t="shared" si="0"/>
        <v>0</v>
      </c>
      <c r="Z108" s="1">
        <f t="shared" si="0"/>
        <v>0</v>
      </c>
      <c r="AA108" s="1">
        <f t="shared" si="0"/>
        <v>10809</v>
      </c>
      <c r="AB108" s="1">
        <f t="shared" si="0"/>
        <v>428</v>
      </c>
      <c r="AC108" s="1">
        <f t="shared" si="0"/>
        <v>0</v>
      </c>
      <c r="AD108" s="1">
        <f t="shared" si="0"/>
        <v>0</v>
      </c>
      <c r="AE108" s="1">
        <f t="shared" si="0"/>
        <v>11176</v>
      </c>
      <c r="AF108" s="1">
        <f t="shared" si="0"/>
        <v>221</v>
      </c>
      <c r="AG108" s="1">
        <f t="shared" si="0"/>
        <v>0</v>
      </c>
      <c r="AH108" s="1">
        <f t="shared" si="0"/>
        <v>0</v>
      </c>
      <c r="AI108" s="1">
        <f t="shared" si="0"/>
        <v>2353</v>
      </c>
      <c r="AJ108" s="1">
        <f t="shared" si="0"/>
        <v>29</v>
      </c>
      <c r="AK108" s="1">
        <f t="shared" si="0"/>
        <v>31</v>
      </c>
      <c r="AL108" s="1">
        <f t="shared" si="0"/>
        <v>2</v>
      </c>
      <c r="AM108" s="1">
        <f t="shared" si="0"/>
        <v>10903</v>
      </c>
      <c r="AN108" s="1">
        <f t="shared" si="0"/>
        <v>334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10809</v>
      </c>
      <c r="AS108" s="1">
        <f t="shared" si="0"/>
        <v>428</v>
      </c>
      <c r="AT108" s="1">
        <f t="shared" si="0"/>
        <v>0</v>
      </c>
      <c r="AU108" s="1">
        <f t="shared" si="0"/>
        <v>0</v>
      </c>
      <c r="AV108" s="1">
        <f t="shared" si="0"/>
        <v>10809</v>
      </c>
      <c r="AW108" s="1">
        <f t="shared" si="0"/>
        <v>428</v>
      </c>
      <c r="AX108" s="1">
        <f t="shared" si="0"/>
        <v>0</v>
      </c>
      <c r="AY108" s="1">
        <f t="shared" si="0"/>
        <v>0</v>
      </c>
      <c r="AZ108" s="1">
        <f t="shared" si="0"/>
        <v>11397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2382</v>
      </c>
      <c r="BE108" s="1">
        <f t="shared" si="0"/>
        <v>0</v>
      </c>
      <c r="BF108" s="1">
        <f t="shared" si="0"/>
        <v>33</v>
      </c>
      <c r="BG108" s="1">
        <f t="shared" si="0"/>
        <v>0</v>
      </c>
      <c r="BH108" s="1">
        <f t="shared" si="0"/>
        <v>11237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B1:E1"/>
    <mergeCell ref="F1:I1"/>
    <mergeCell ref="J1:M1"/>
    <mergeCell ref="N1:Q1"/>
    <mergeCell ref="R1:U1"/>
    <mergeCell ref="W1:Z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"/>
  <sheetViews>
    <sheetView tabSelected="1" topLeftCell="A63" workbookViewId="0">
      <selection activeCell="E107" sqref="E107"/>
    </sheetView>
  </sheetViews>
  <sheetFormatPr baseColWidth="10" defaultColWidth="72.83203125" defaultRowHeight="15" x14ac:dyDescent="0"/>
  <cols>
    <col min="1" max="1" width="36.1640625" customWidth="1"/>
    <col min="2" max="2" width="83" customWidth="1"/>
    <col min="3" max="3" width="8.33203125" bestFit="1" customWidth="1"/>
    <col min="4" max="4" width="12.1640625" bestFit="1" customWidth="1"/>
  </cols>
  <sheetData>
    <row r="1" spans="1:5">
      <c r="A1" s="5" t="s">
        <v>32</v>
      </c>
      <c r="B1" s="5" t="s">
        <v>32</v>
      </c>
      <c r="C1">
        <v>16</v>
      </c>
      <c r="D1">
        <v>2</v>
      </c>
      <c r="E1" t="str">
        <f>IF(A1&lt;&gt;B1,"NOT","")</f>
        <v/>
      </c>
    </row>
    <row r="2" spans="1:5">
      <c r="A2" s="5" t="s">
        <v>58</v>
      </c>
      <c r="B2" s="5" t="s">
        <v>58</v>
      </c>
      <c r="C2">
        <v>16</v>
      </c>
      <c r="D2">
        <v>2</v>
      </c>
      <c r="E2" t="str">
        <f t="shared" ref="E2:E65" si="0">IF(A2&lt;&gt;B2,"NOT","")</f>
        <v/>
      </c>
    </row>
    <row r="3" spans="1:5">
      <c r="A3" s="5" t="s">
        <v>14</v>
      </c>
      <c r="B3" s="5" t="s">
        <v>14</v>
      </c>
      <c r="C3">
        <v>15</v>
      </c>
      <c r="D3">
        <v>4</v>
      </c>
      <c r="E3" t="str">
        <f t="shared" si="0"/>
        <v/>
      </c>
    </row>
    <row r="4" spans="1:5">
      <c r="A4" s="5" t="s">
        <v>39</v>
      </c>
      <c r="B4" s="5" t="s">
        <v>39</v>
      </c>
      <c r="C4">
        <v>102</v>
      </c>
      <c r="D4">
        <v>0</v>
      </c>
      <c r="E4" t="str">
        <f t="shared" si="0"/>
        <v/>
      </c>
    </row>
    <row r="5" spans="1:5">
      <c r="A5" s="5" t="s">
        <v>51</v>
      </c>
      <c r="B5" s="5" t="s">
        <v>51</v>
      </c>
      <c r="C5">
        <v>17</v>
      </c>
      <c r="D5">
        <v>0</v>
      </c>
      <c r="E5" t="str">
        <f t="shared" si="0"/>
        <v/>
      </c>
    </row>
    <row r="6" spans="1:5">
      <c r="A6" s="5" t="s">
        <v>55</v>
      </c>
      <c r="B6" s="5" t="s">
        <v>55</v>
      </c>
      <c r="C6">
        <v>61</v>
      </c>
      <c r="D6">
        <v>6</v>
      </c>
      <c r="E6" t="str">
        <f t="shared" si="0"/>
        <v/>
      </c>
    </row>
    <row r="7" spans="1:5">
      <c r="A7" s="5" t="s">
        <v>85</v>
      </c>
      <c r="B7" s="5" t="s">
        <v>85</v>
      </c>
      <c r="C7">
        <v>247</v>
      </c>
      <c r="D7">
        <v>28</v>
      </c>
      <c r="E7" t="str">
        <f t="shared" si="0"/>
        <v/>
      </c>
    </row>
    <row r="8" spans="1:5">
      <c r="A8" s="5" t="s">
        <v>30</v>
      </c>
      <c r="B8" s="5" t="s">
        <v>30</v>
      </c>
      <c r="C8">
        <v>186</v>
      </c>
      <c r="D8">
        <v>1</v>
      </c>
      <c r="E8" t="str">
        <f t="shared" si="0"/>
        <v/>
      </c>
    </row>
    <row r="9" spans="1:5">
      <c r="A9" s="5" t="s">
        <v>89</v>
      </c>
      <c r="B9" s="5" t="s">
        <v>89</v>
      </c>
      <c r="C9">
        <v>74</v>
      </c>
      <c r="D9">
        <v>8</v>
      </c>
      <c r="E9" t="str">
        <f t="shared" si="0"/>
        <v/>
      </c>
    </row>
    <row r="10" spans="1:5">
      <c r="A10" s="5" t="s">
        <v>2</v>
      </c>
      <c r="B10" s="5" t="s">
        <v>2</v>
      </c>
      <c r="C10">
        <v>6</v>
      </c>
      <c r="D10">
        <v>1</v>
      </c>
      <c r="E10" t="str">
        <f t="shared" si="0"/>
        <v/>
      </c>
    </row>
    <row r="11" spans="1:5">
      <c r="A11" s="5" t="s">
        <v>37</v>
      </c>
      <c r="B11" s="5" t="s">
        <v>37</v>
      </c>
      <c r="C11">
        <v>4</v>
      </c>
      <c r="D11">
        <v>1</v>
      </c>
      <c r="E11" t="str">
        <f t="shared" si="0"/>
        <v/>
      </c>
    </row>
    <row r="12" spans="1:5">
      <c r="A12" s="5" t="s">
        <v>72</v>
      </c>
      <c r="B12" s="5" t="s">
        <v>72</v>
      </c>
      <c r="C12">
        <v>7</v>
      </c>
      <c r="D12">
        <v>4</v>
      </c>
      <c r="E12" t="str">
        <f t="shared" si="0"/>
        <v/>
      </c>
    </row>
    <row r="13" spans="1:5">
      <c r="A13" s="5" t="s">
        <v>8</v>
      </c>
      <c r="B13" s="5" t="s">
        <v>8</v>
      </c>
      <c r="C13">
        <v>16</v>
      </c>
      <c r="D13">
        <v>2</v>
      </c>
      <c r="E13" t="str">
        <f t="shared" si="0"/>
        <v/>
      </c>
    </row>
    <row r="14" spans="1:5">
      <c r="A14" s="5" t="s">
        <v>101</v>
      </c>
      <c r="B14" s="5" t="s">
        <v>101</v>
      </c>
      <c r="C14">
        <v>168</v>
      </c>
      <c r="D14">
        <v>17</v>
      </c>
      <c r="E14" t="str">
        <f t="shared" si="0"/>
        <v/>
      </c>
    </row>
    <row r="15" spans="1:5">
      <c r="A15" s="5" t="s">
        <v>3</v>
      </c>
      <c r="B15" s="5" t="s">
        <v>3</v>
      </c>
      <c r="C15">
        <v>33</v>
      </c>
      <c r="D15">
        <v>4</v>
      </c>
      <c r="E15" t="str">
        <f t="shared" si="0"/>
        <v/>
      </c>
    </row>
    <row r="16" spans="1:5">
      <c r="A16" s="5" t="s">
        <v>76</v>
      </c>
      <c r="B16" s="5" t="s">
        <v>76</v>
      </c>
      <c r="C16">
        <v>33</v>
      </c>
      <c r="D16">
        <v>4</v>
      </c>
      <c r="E16" t="str">
        <f t="shared" si="0"/>
        <v/>
      </c>
    </row>
    <row r="17" spans="1:5">
      <c r="A17" s="5" t="s">
        <v>29</v>
      </c>
      <c r="B17" s="5" t="s">
        <v>29</v>
      </c>
      <c r="C17">
        <v>16</v>
      </c>
      <c r="D17">
        <v>3</v>
      </c>
      <c r="E17" t="str">
        <f t="shared" si="0"/>
        <v/>
      </c>
    </row>
    <row r="18" spans="1:5">
      <c r="A18" s="5" t="s">
        <v>98</v>
      </c>
      <c r="B18" s="5" t="s">
        <v>98</v>
      </c>
      <c r="C18">
        <v>228</v>
      </c>
      <c r="D18">
        <v>18</v>
      </c>
      <c r="E18" t="str">
        <f t="shared" si="0"/>
        <v/>
      </c>
    </row>
    <row r="19" spans="1:5">
      <c r="A19" s="5" t="s">
        <v>43</v>
      </c>
      <c r="B19" s="5" t="s">
        <v>43</v>
      </c>
      <c r="C19">
        <v>151</v>
      </c>
      <c r="D19">
        <v>17</v>
      </c>
      <c r="E19" t="str">
        <f t="shared" si="0"/>
        <v/>
      </c>
    </row>
    <row r="20" spans="1:5">
      <c r="A20" s="5" t="s">
        <v>28</v>
      </c>
      <c r="B20" s="5" t="s">
        <v>28</v>
      </c>
      <c r="C20">
        <v>135</v>
      </c>
      <c r="D20">
        <v>14</v>
      </c>
      <c r="E20" t="str">
        <f t="shared" si="0"/>
        <v/>
      </c>
    </row>
    <row r="21" spans="1:5">
      <c r="A21" s="5" t="s">
        <v>40</v>
      </c>
      <c r="B21" s="5" t="s">
        <v>40</v>
      </c>
      <c r="C21">
        <v>14</v>
      </c>
      <c r="D21">
        <v>1</v>
      </c>
      <c r="E21" t="str">
        <f t="shared" si="0"/>
        <v/>
      </c>
    </row>
    <row r="22" spans="1:5">
      <c r="A22" s="5" t="s">
        <v>56</v>
      </c>
      <c r="B22" t="s">
        <v>56</v>
      </c>
      <c r="C22">
        <v>259</v>
      </c>
      <c r="D22">
        <v>97</v>
      </c>
      <c r="E22" t="str">
        <f t="shared" si="0"/>
        <v/>
      </c>
    </row>
    <row r="23" spans="1:5">
      <c r="A23" s="5" t="s">
        <v>18</v>
      </c>
      <c r="B23" t="s">
        <v>18</v>
      </c>
      <c r="C23">
        <v>142</v>
      </c>
      <c r="D23">
        <v>47</v>
      </c>
      <c r="E23" t="str">
        <f t="shared" si="0"/>
        <v/>
      </c>
    </row>
    <row r="24" spans="1:5">
      <c r="A24" s="5" t="s">
        <v>27</v>
      </c>
      <c r="B24" t="s">
        <v>27</v>
      </c>
      <c r="C24">
        <v>87</v>
      </c>
      <c r="D24">
        <v>25</v>
      </c>
      <c r="E24" t="str">
        <f t="shared" si="0"/>
        <v/>
      </c>
    </row>
    <row r="25" spans="1:5">
      <c r="A25" s="5" t="s">
        <v>69</v>
      </c>
      <c r="B25" t="s">
        <v>69</v>
      </c>
      <c r="C25">
        <v>27</v>
      </c>
      <c r="D25">
        <v>6</v>
      </c>
      <c r="E25" t="str">
        <f t="shared" si="0"/>
        <v/>
      </c>
    </row>
    <row r="26" spans="1:5">
      <c r="A26" s="5" t="s">
        <v>71</v>
      </c>
      <c r="B26" t="s">
        <v>71</v>
      </c>
      <c r="C26">
        <v>144</v>
      </c>
      <c r="D26">
        <v>34</v>
      </c>
      <c r="E26" t="str">
        <f t="shared" si="0"/>
        <v/>
      </c>
    </row>
    <row r="27" spans="1:5">
      <c r="A27" s="5" t="s">
        <v>22</v>
      </c>
      <c r="B27" t="s">
        <v>22</v>
      </c>
      <c r="C27">
        <v>39</v>
      </c>
      <c r="D27">
        <v>9</v>
      </c>
      <c r="E27" t="str">
        <f t="shared" si="0"/>
        <v/>
      </c>
    </row>
    <row r="28" spans="1:5">
      <c r="A28" s="5" t="s">
        <v>94</v>
      </c>
      <c r="B28" t="s">
        <v>94</v>
      </c>
      <c r="C28">
        <v>14</v>
      </c>
      <c r="D28">
        <v>0</v>
      </c>
      <c r="E28" t="str">
        <f t="shared" si="0"/>
        <v/>
      </c>
    </row>
    <row r="29" spans="1:5">
      <c r="A29" s="5" t="s">
        <v>20</v>
      </c>
      <c r="B29" t="s">
        <v>20</v>
      </c>
      <c r="C29">
        <v>143</v>
      </c>
      <c r="D29">
        <v>34</v>
      </c>
      <c r="E29" t="str">
        <f t="shared" si="0"/>
        <v/>
      </c>
    </row>
    <row r="30" spans="1:5">
      <c r="A30" s="5" t="s">
        <v>24</v>
      </c>
      <c r="B30" t="s">
        <v>24</v>
      </c>
      <c r="C30">
        <v>38</v>
      </c>
      <c r="D30">
        <v>9</v>
      </c>
      <c r="E30" t="str">
        <f t="shared" si="0"/>
        <v/>
      </c>
    </row>
    <row r="31" spans="1:5">
      <c r="A31" s="5" t="s">
        <v>26</v>
      </c>
      <c r="B31" t="s">
        <v>26</v>
      </c>
      <c r="C31">
        <v>13</v>
      </c>
      <c r="D31">
        <v>0</v>
      </c>
      <c r="E31" t="str">
        <f t="shared" si="0"/>
        <v/>
      </c>
    </row>
    <row r="32" spans="1:5">
      <c r="A32" s="5" t="s">
        <v>104</v>
      </c>
      <c r="B32" t="s">
        <v>104</v>
      </c>
      <c r="C32">
        <v>15</v>
      </c>
      <c r="D32">
        <v>0</v>
      </c>
      <c r="E32" t="str">
        <f t="shared" si="0"/>
        <v/>
      </c>
    </row>
    <row r="33" spans="1:5">
      <c r="A33" s="5" t="s">
        <v>16</v>
      </c>
      <c r="B33" t="s">
        <v>16</v>
      </c>
      <c r="C33">
        <v>88</v>
      </c>
      <c r="D33">
        <v>14</v>
      </c>
      <c r="E33" t="str">
        <f t="shared" si="0"/>
        <v/>
      </c>
    </row>
    <row r="34" spans="1:5">
      <c r="A34" s="5" t="s">
        <v>91</v>
      </c>
      <c r="B34" t="s">
        <v>91</v>
      </c>
      <c r="C34">
        <v>73</v>
      </c>
      <c r="D34">
        <v>9</v>
      </c>
      <c r="E34" t="str">
        <f t="shared" si="0"/>
        <v/>
      </c>
    </row>
    <row r="35" spans="1:5">
      <c r="A35" s="5" t="s">
        <v>64</v>
      </c>
      <c r="B35" s="5" t="s">
        <v>64</v>
      </c>
      <c r="C35">
        <v>374</v>
      </c>
      <c r="D35">
        <v>70</v>
      </c>
      <c r="E35" t="str">
        <f t="shared" si="0"/>
        <v/>
      </c>
    </row>
    <row r="36" spans="1:5">
      <c r="A36" s="5" t="s">
        <v>25</v>
      </c>
      <c r="B36" s="5" t="s">
        <v>25</v>
      </c>
      <c r="C36">
        <v>125</v>
      </c>
      <c r="D36">
        <v>48</v>
      </c>
      <c r="E36" t="str">
        <f t="shared" si="0"/>
        <v/>
      </c>
    </row>
    <row r="37" spans="1:5">
      <c r="A37" s="5" t="s">
        <v>36</v>
      </c>
      <c r="B37" s="5" t="s">
        <v>36</v>
      </c>
      <c r="C37">
        <v>103</v>
      </c>
      <c r="D37">
        <v>24</v>
      </c>
      <c r="E37" t="str">
        <f t="shared" si="0"/>
        <v/>
      </c>
    </row>
    <row r="38" spans="1:5">
      <c r="A38" s="5" t="s">
        <v>100</v>
      </c>
      <c r="B38" s="5" t="s">
        <v>100</v>
      </c>
      <c r="C38">
        <v>142</v>
      </c>
      <c r="D38">
        <v>28</v>
      </c>
      <c r="E38" t="str">
        <f t="shared" si="0"/>
        <v/>
      </c>
    </row>
    <row r="39" spans="1:5">
      <c r="A39" s="5" t="s">
        <v>66</v>
      </c>
      <c r="B39" s="5" t="s">
        <v>66</v>
      </c>
      <c r="C39">
        <v>112</v>
      </c>
      <c r="D39">
        <v>50</v>
      </c>
      <c r="E39" t="str">
        <f t="shared" si="0"/>
        <v/>
      </c>
    </row>
    <row r="40" spans="1:5">
      <c r="A40" s="5" t="s">
        <v>60</v>
      </c>
      <c r="B40" s="5" t="s">
        <v>60</v>
      </c>
      <c r="C40">
        <v>124</v>
      </c>
      <c r="D40">
        <v>26</v>
      </c>
      <c r="E40" t="str">
        <f t="shared" si="0"/>
        <v/>
      </c>
    </row>
    <row r="41" spans="1:5">
      <c r="A41" s="5" t="s">
        <v>12</v>
      </c>
      <c r="B41" s="5" t="s">
        <v>12</v>
      </c>
      <c r="C41">
        <v>48</v>
      </c>
      <c r="D41">
        <v>14</v>
      </c>
      <c r="E41" t="str">
        <f t="shared" si="0"/>
        <v/>
      </c>
    </row>
    <row r="42" spans="1:5">
      <c r="A42" s="5" t="s">
        <v>21</v>
      </c>
      <c r="B42" t="s">
        <v>21</v>
      </c>
      <c r="C42">
        <v>132</v>
      </c>
      <c r="D42">
        <v>10</v>
      </c>
      <c r="E42" t="str">
        <f t="shared" si="0"/>
        <v/>
      </c>
    </row>
    <row r="43" spans="1:5">
      <c r="A43" s="5" t="s">
        <v>44</v>
      </c>
      <c r="B43" s="5" t="s">
        <v>44</v>
      </c>
      <c r="C43">
        <v>123</v>
      </c>
      <c r="D43">
        <v>0</v>
      </c>
      <c r="E43" t="str">
        <f t="shared" si="0"/>
        <v/>
      </c>
    </row>
    <row r="44" spans="1:5">
      <c r="A44" s="5" t="s">
        <v>5</v>
      </c>
      <c r="B44" s="5" t="s">
        <v>5</v>
      </c>
      <c r="C44">
        <v>24</v>
      </c>
      <c r="D44">
        <v>9</v>
      </c>
      <c r="E44" t="str">
        <f t="shared" si="0"/>
        <v/>
      </c>
    </row>
    <row r="45" spans="1:5">
      <c r="A45" s="5" t="s">
        <v>62</v>
      </c>
      <c r="B45" s="5" t="s">
        <v>62</v>
      </c>
      <c r="C45">
        <v>107</v>
      </c>
      <c r="D45">
        <v>16</v>
      </c>
      <c r="E45" t="str">
        <f t="shared" si="0"/>
        <v/>
      </c>
    </row>
    <row r="46" spans="1:5">
      <c r="A46" s="5" t="s">
        <v>6</v>
      </c>
      <c r="B46" s="5" t="s">
        <v>6</v>
      </c>
      <c r="C46">
        <v>90</v>
      </c>
      <c r="D46">
        <v>11</v>
      </c>
      <c r="E46" t="str">
        <f t="shared" si="0"/>
        <v/>
      </c>
    </row>
    <row r="47" spans="1:5">
      <c r="A47" s="5" t="s">
        <v>82</v>
      </c>
      <c r="B47" s="5" t="s">
        <v>82</v>
      </c>
      <c r="C47">
        <v>4</v>
      </c>
      <c r="D47">
        <v>0</v>
      </c>
      <c r="E47" t="str">
        <f t="shared" si="0"/>
        <v/>
      </c>
    </row>
    <row r="48" spans="1:5">
      <c r="A48" s="5" t="s">
        <v>92</v>
      </c>
      <c r="B48" s="5" t="s">
        <v>92</v>
      </c>
      <c r="C48">
        <v>3</v>
      </c>
      <c r="D48">
        <v>0</v>
      </c>
      <c r="E48" t="str">
        <f t="shared" si="0"/>
        <v/>
      </c>
    </row>
    <row r="49" spans="1:5">
      <c r="A49" s="5" t="s">
        <v>53</v>
      </c>
      <c r="B49" s="5" t="s">
        <v>53</v>
      </c>
      <c r="C49">
        <v>67</v>
      </c>
      <c r="D49">
        <v>11</v>
      </c>
      <c r="E49" t="str">
        <f t="shared" si="0"/>
        <v/>
      </c>
    </row>
    <row r="50" spans="1:5">
      <c r="A50" s="5" t="s">
        <v>11</v>
      </c>
      <c r="B50" s="5" t="s">
        <v>11</v>
      </c>
      <c r="C50">
        <v>10</v>
      </c>
      <c r="D50">
        <v>0</v>
      </c>
      <c r="E50" t="str">
        <f t="shared" si="0"/>
        <v/>
      </c>
    </row>
    <row r="51" spans="1:5">
      <c r="A51" s="5" t="s">
        <v>84</v>
      </c>
      <c r="B51" s="5" t="s">
        <v>84</v>
      </c>
      <c r="C51">
        <v>65</v>
      </c>
      <c r="D51">
        <v>7</v>
      </c>
      <c r="E51" t="str">
        <f t="shared" si="0"/>
        <v/>
      </c>
    </row>
    <row r="52" spans="1:5">
      <c r="A52" s="5" t="s">
        <v>50</v>
      </c>
      <c r="B52" t="s">
        <v>50</v>
      </c>
      <c r="C52">
        <v>31</v>
      </c>
      <c r="D52">
        <v>2</v>
      </c>
      <c r="E52" t="str">
        <f t="shared" si="0"/>
        <v/>
      </c>
    </row>
    <row r="53" spans="1:5">
      <c r="A53" s="5" t="s">
        <v>47</v>
      </c>
      <c r="B53" t="s">
        <v>47</v>
      </c>
      <c r="C53">
        <v>59</v>
      </c>
      <c r="D53">
        <v>4</v>
      </c>
      <c r="E53" t="str">
        <f t="shared" si="0"/>
        <v/>
      </c>
    </row>
    <row r="54" spans="1:5">
      <c r="A54" s="5" t="s">
        <v>57</v>
      </c>
      <c r="B54" t="s">
        <v>57</v>
      </c>
      <c r="C54">
        <v>11</v>
      </c>
      <c r="D54">
        <v>3</v>
      </c>
      <c r="E54" t="str">
        <f t="shared" si="0"/>
        <v/>
      </c>
    </row>
    <row r="55" spans="1:5">
      <c r="A55" s="5" t="s">
        <v>95</v>
      </c>
      <c r="B55" t="s">
        <v>95</v>
      </c>
      <c r="C55">
        <v>14</v>
      </c>
      <c r="D55">
        <v>3</v>
      </c>
      <c r="E55" t="str">
        <f t="shared" si="0"/>
        <v/>
      </c>
    </row>
    <row r="56" spans="1:5">
      <c r="A56" s="5" t="s">
        <v>41</v>
      </c>
      <c r="B56" t="s">
        <v>41</v>
      </c>
      <c r="C56">
        <v>11</v>
      </c>
      <c r="D56">
        <v>2</v>
      </c>
      <c r="E56" t="str">
        <f t="shared" si="0"/>
        <v/>
      </c>
    </row>
    <row r="57" spans="1:5">
      <c r="A57" s="5" t="s">
        <v>81</v>
      </c>
      <c r="B57" t="s">
        <v>81</v>
      </c>
      <c r="C57">
        <v>129</v>
      </c>
      <c r="D57">
        <v>13</v>
      </c>
      <c r="E57" t="str">
        <f t="shared" si="0"/>
        <v/>
      </c>
    </row>
    <row r="58" spans="1:5">
      <c r="A58" s="5" t="s">
        <v>45</v>
      </c>
      <c r="B58" t="s">
        <v>45</v>
      </c>
      <c r="C58">
        <v>1027</v>
      </c>
      <c r="D58">
        <v>95</v>
      </c>
      <c r="E58" t="str">
        <f t="shared" si="0"/>
        <v/>
      </c>
    </row>
    <row r="59" spans="1:5">
      <c r="A59" s="5" t="s">
        <v>54</v>
      </c>
      <c r="B59" t="s">
        <v>54</v>
      </c>
      <c r="C59">
        <v>560</v>
      </c>
      <c r="D59">
        <v>30</v>
      </c>
      <c r="E59" t="str">
        <f t="shared" si="0"/>
        <v/>
      </c>
    </row>
    <row r="60" spans="1:5">
      <c r="A60" s="5" t="s">
        <v>79</v>
      </c>
      <c r="B60" t="s">
        <v>79</v>
      </c>
      <c r="C60">
        <v>687</v>
      </c>
      <c r="D60">
        <v>45</v>
      </c>
      <c r="E60" t="str">
        <f t="shared" si="0"/>
        <v/>
      </c>
    </row>
    <row r="61" spans="1:5">
      <c r="A61" s="5" t="s">
        <v>9</v>
      </c>
      <c r="B61" t="s">
        <v>9</v>
      </c>
      <c r="C61">
        <v>842</v>
      </c>
      <c r="D61">
        <v>39</v>
      </c>
      <c r="E61" t="str">
        <f t="shared" si="0"/>
        <v/>
      </c>
    </row>
    <row r="62" spans="1:5">
      <c r="A62" s="5" t="s">
        <v>7</v>
      </c>
      <c r="B62" t="s">
        <v>7</v>
      </c>
      <c r="C62">
        <v>69</v>
      </c>
      <c r="D62">
        <v>7</v>
      </c>
      <c r="E62" t="str">
        <f t="shared" si="0"/>
        <v/>
      </c>
    </row>
    <row r="63" spans="1:5">
      <c r="A63" s="5" t="s">
        <v>46</v>
      </c>
      <c r="B63" t="s">
        <v>46</v>
      </c>
      <c r="C63">
        <v>35</v>
      </c>
      <c r="D63">
        <v>3</v>
      </c>
      <c r="E63" t="str">
        <f t="shared" si="0"/>
        <v/>
      </c>
    </row>
    <row r="64" spans="1:5">
      <c r="A64" s="5" t="s">
        <v>99</v>
      </c>
      <c r="B64" t="s">
        <v>99</v>
      </c>
      <c r="C64">
        <v>181</v>
      </c>
      <c r="D64">
        <v>29</v>
      </c>
      <c r="E64" t="str">
        <f t="shared" si="0"/>
        <v/>
      </c>
    </row>
    <row r="65" spans="1:5">
      <c r="A65" s="5" t="s">
        <v>96</v>
      </c>
      <c r="B65" t="s">
        <v>96</v>
      </c>
      <c r="C65">
        <v>278</v>
      </c>
      <c r="D65">
        <v>38</v>
      </c>
      <c r="E65" t="str">
        <f t="shared" si="0"/>
        <v/>
      </c>
    </row>
    <row r="66" spans="1:5">
      <c r="A66" s="5" t="s">
        <v>13</v>
      </c>
      <c r="B66" t="s">
        <v>13</v>
      </c>
      <c r="C66">
        <v>27</v>
      </c>
      <c r="D66">
        <v>7</v>
      </c>
      <c r="E66" t="str">
        <f t="shared" ref="E66:E105" si="1">IF(A66&lt;&gt;B66,"NOT","")</f>
        <v/>
      </c>
    </row>
    <row r="67" spans="1:5">
      <c r="A67" s="5" t="s">
        <v>93</v>
      </c>
      <c r="B67" t="s">
        <v>93</v>
      </c>
      <c r="C67">
        <v>32</v>
      </c>
      <c r="D67">
        <v>8</v>
      </c>
      <c r="E67" t="str">
        <f t="shared" si="1"/>
        <v/>
      </c>
    </row>
    <row r="68" spans="1:5">
      <c r="A68" s="5" t="s">
        <v>48</v>
      </c>
      <c r="B68" t="s">
        <v>48</v>
      </c>
      <c r="C68">
        <v>160</v>
      </c>
      <c r="D68">
        <v>13</v>
      </c>
      <c r="E68" t="str">
        <f t="shared" si="1"/>
        <v/>
      </c>
    </row>
    <row r="69" spans="1:5">
      <c r="A69" s="5" t="s">
        <v>103</v>
      </c>
      <c r="B69" t="s">
        <v>103</v>
      </c>
      <c r="C69">
        <v>182</v>
      </c>
      <c r="D69">
        <v>26</v>
      </c>
      <c r="E69" t="str">
        <f t="shared" si="1"/>
        <v/>
      </c>
    </row>
    <row r="70" spans="1:5">
      <c r="A70" s="5" t="s">
        <v>31</v>
      </c>
      <c r="B70" t="s">
        <v>31</v>
      </c>
      <c r="C70">
        <v>284</v>
      </c>
      <c r="D70">
        <v>35</v>
      </c>
      <c r="E70" t="str">
        <f t="shared" si="1"/>
        <v/>
      </c>
    </row>
    <row r="71" spans="1:5">
      <c r="A71" s="5" t="s">
        <v>33</v>
      </c>
      <c r="B71" s="5" t="s">
        <v>33</v>
      </c>
      <c r="C71">
        <v>339</v>
      </c>
      <c r="D71">
        <v>55</v>
      </c>
      <c r="E71" t="str">
        <f t="shared" si="1"/>
        <v/>
      </c>
    </row>
    <row r="72" spans="1:5">
      <c r="A72" s="5" t="s">
        <v>75</v>
      </c>
      <c r="B72" s="5" t="s">
        <v>75</v>
      </c>
      <c r="C72">
        <v>366</v>
      </c>
      <c r="D72">
        <v>46</v>
      </c>
      <c r="E72" t="str">
        <f t="shared" si="1"/>
        <v/>
      </c>
    </row>
    <row r="73" spans="1:5">
      <c r="A73" s="5" t="s">
        <v>23</v>
      </c>
      <c r="B73" s="5" t="s">
        <v>23</v>
      </c>
      <c r="C73">
        <v>271</v>
      </c>
      <c r="D73">
        <v>32</v>
      </c>
      <c r="E73" t="str">
        <f t="shared" si="1"/>
        <v/>
      </c>
    </row>
    <row r="74" spans="1:5">
      <c r="A74" s="5" t="s">
        <v>102</v>
      </c>
      <c r="B74" s="5" t="s">
        <v>102</v>
      </c>
      <c r="C74">
        <v>131</v>
      </c>
      <c r="D74">
        <v>6</v>
      </c>
      <c r="E74" t="str">
        <f t="shared" si="1"/>
        <v/>
      </c>
    </row>
    <row r="75" spans="1:5">
      <c r="A75" s="5" t="s">
        <v>67</v>
      </c>
      <c r="B75" s="5" t="s">
        <v>67</v>
      </c>
      <c r="C75">
        <v>405</v>
      </c>
      <c r="D75">
        <v>28</v>
      </c>
      <c r="E75" t="str">
        <f t="shared" si="1"/>
        <v/>
      </c>
    </row>
    <row r="76" spans="1:5">
      <c r="A76" s="5" t="s">
        <v>52</v>
      </c>
      <c r="B76" s="5" t="s">
        <v>52</v>
      </c>
      <c r="C76">
        <v>110</v>
      </c>
      <c r="D76">
        <v>9</v>
      </c>
      <c r="E76" t="str">
        <f t="shared" si="1"/>
        <v/>
      </c>
    </row>
    <row r="77" spans="1:5">
      <c r="A77" s="5" t="s">
        <v>74</v>
      </c>
      <c r="B77" s="5" t="s">
        <v>74</v>
      </c>
      <c r="C77">
        <v>33</v>
      </c>
      <c r="D77">
        <v>2</v>
      </c>
      <c r="E77" t="str">
        <f t="shared" si="1"/>
        <v/>
      </c>
    </row>
    <row r="78" spans="1:5">
      <c r="A78" s="5" t="s">
        <v>1</v>
      </c>
      <c r="B78" s="5" t="s">
        <v>1</v>
      </c>
      <c r="C78">
        <v>45</v>
      </c>
      <c r="D78">
        <v>5</v>
      </c>
      <c r="E78" t="str">
        <f t="shared" si="1"/>
        <v/>
      </c>
    </row>
    <row r="79" spans="1:5">
      <c r="A79" s="5" t="s">
        <v>0</v>
      </c>
      <c r="B79" s="5" t="s">
        <v>0</v>
      </c>
      <c r="C79">
        <v>124</v>
      </c>
      <c r="D79">
        <v>7</v>
      </c>
      <c r="E79" t="str">
        <f t="shared" si="1"/>
        <v/>
      </c>
    </row>
    <row r="80" spans="1:5">
      <c r="A80" s="5" t="s">
        <v>90</v>
      </c>
      <c r="B80" t="s">
        <v>90</v>
      </c>
      <c r="C80">
        <v>8</v>
      </c>
      <c r="D80">
        <v>1</v>
      </c>
      <c r="E80" t="str">
        <f t="shared" si="1"/>
        <v/>
      </c>
    </row>
    <row r="81" spans="1:5">
      <c r="A81" s="5" t="s">
        <v>65</v>
      </c>
      <c r="B81" t="s">
        <v>65</v>
      </c>
      <c r="C81">
        <v>62</v>
      </c>
      <c r="D81">
        <v>6</v>
      </c>
      <c r="E81" t="str">
        <f t="shared" si="1"/>
        <v/>
      </c>
    </row>
    <row r="82" spans="1:5">
      <c r="A82" s="5" t="s">
        <v>86</v>
      </c>
      <c r="B82" t="s">
        <v>86</v>
      </c>
      <c r="C82">
        <v>42</v>
      </c>
      <c r="D82">
        <v>5</v>
      </c>
      <c r="E82" t="str">
        <f t="shared" si="1"/>
        <v/>
      </c>
    </row>
    <row r="83" spans="1:5">
      <c r="A83" s="5" t="s">
        <v>88</v>
      </c>
      <c r="B83" t="s">
        <v>88</v>
      </c>
      <c r="C83">
        <v>72</v>
      </c>
      <c r="D83">
        <v>6</v>
      </c>
      <c r="E83" t="str">
        <f t="shared" si="1"/>
        <v/>
      </c>
    </row>
    <row r="84" spans="1:5">
      <c r="A84" s="5" t="s">
        <v>77</v>
      </c>
      <c r="B84" t="s">
        <v>77</v>
      </c>
      <c r="C84">
        <v>107</v>
      </c>
      <c r="D84">
        <v>9</v>
      </c>
      <c r="E84" t="str">
        <f t="shared" si="1"/>
        <v/>
      </c>
    </row>
    <row r="85" spans="1:5">
      <c r="A85" s="5" t="s">
        <v>17</v>
      </c>
      <c r="B85" t="s">
        <v>17</v>
      </c>
      <c r="C85">
        <v>42</v>
      </c>
      <c r="D85">
        <v>12</v>
      </c>
      <c r="E85" t="str">
        <f t="shared" si="1"/>
        <v/>
      </c>
    </row>
    <row r="86" spans="1:5">
      <c r="A86" s="5" t="s">
        <v>35</v>
      </c>
      <c r="B86" t="s">
        <v>35</v>
      </c>
      <c r="C86">
        <v>20</v>
      </c>
      <c r="D86">
        <v>1</v>
      </c>
      <c r="E86" t="str">
        <f t="shared" si="1"/>
        <v/>
      </c>
    </row>
    <row r="87" spans="1:5">
      <c r="A87" s="5" t="s">
        <v>83</v>
      </c>
      <c r="B87" t="s">
        <v>83</v>
      </c>
      <c r="C87">
        <v>130</v>
      </c>
      <c r="D87">
        <v>11</v>
      </c>
      <c r="E87" t="str">
        <f t="shared" si="1"/>
        <v/>
      </c>
    </row>
    <row r="88" spans="1:5">
      <c r="A88" s="5" t="s">
        <v>80</v>
      </c>
      <c r="B88" t="s">
        <v>80</v>
      </c>
      <c r="C88">
        <v>172</v>
      </c>
      <c r="D88">
        <v>22</v>
      </c>
      <c r="E88" t="str">
        <f t="shared" si="1"/>
        <v/>
      </c>
    </row>
    <row r="89" spans="1:5">
      <c r="A89" s="5" t="s">
        <v>10</v>
      </c>
      <c r="B89" t="s">
        <v>10</v>
      </c>
      <c r="C89">
        <v>32</v>
      </c>
      <c r="D89">
        <v>5</v>
      </c>
      <c r="E89" t="str">
        <f t="shared" si="1"/>
        <v/>
      </c>
    </row>
    <row r="90" spans="1:5">
      <c r="A90" s="5" t="s">
        <v>97</v>
      </c>
      <c r="B90" t="s">
        <v>97</v>
      </c>
      <c r="C90">
        <v>42</v>
      </c>
      <c r="D90">
        <v>5</v>
      </c>
      <c r="E90" t="str">
        <f t="shared" si="1"/>
        <v/>
      </c>
    </row>
    <row r="91" spans="1:5">
      <c r="A91" s="5" t="s">
        <v>15</v>
      </c>
      <c r="B91" t="s">
        <v>15</v>
      </c>
      <c r="C91">
        <v>13</v>
      </c>
      <c r="D91">
        <v>1</v>
      </c>
      <c r="E91" t="str">
        <f t="shared" si="1"/>
        <v/>
      </c>
    </row>
    <row r="92" spans="1:5">
      <c r="A92" s="5" t="s">
        <v>61</v>
      </c>
      <c r="B92" t="s">
        <v>61</v>
      </c>
      <c r="C92">
        <v>69</v>
      </c>
      <c r="D92">
        <v>5</v>
      </c>
      <c r="E92" t="str">
        <f t="shared" si="1"/>
        <v/>
      </c>
    </row>
    <row r="93" spans="1:5">
      <c r="A93" s="5" t="s">
        <v>49</v>
      </c>
      <c r="B93" t="s">
        <v>49</v>
      </c>
      <c r="C93">
        <v>29</v>
      </c>
      <c r="D93">
        <v>1</v>
      </c>
      <c r="E93" t="str">
        <f t="shared" si="1"/>
        <v/>
      </c>
    </row>
    <row r="94" spans="1:5">
      <c r="A94" s="5" t="s">
        <v>78</v>
      </c>
      <c r="B94" t="s">
        <v>78</v>
      </c>
      <c r="C94">
        <v>22</v>
      </c>
      <c r="D94">
        <v>1</v>
      </c>
      <c r="E94" t="str">
        <f t="shared" si="1"/>
        <v/>
      </c>
    </row>
    <row r="95" spans="1:5">
      <c r="A95" s="5" t="s">
        <v>73</v>
      </c>
      <c r="B95" t="s">
        <v>73</v>
      </c>
      <c r="C95">
        <v>40</v>
      </c>
      <c r="D95">
        <v>5</v>
      </c>
      <c r="E95" t="str">
        <f t="shared" si="1"/>
        <v/>
      </c>
    </row>
    <row r="96" spans="1:5">
      <c r="A96" s="5" t="s">
        <v>63</v>
      </c>
      <c r="B96" t="s">
        <v>63</v>
      </c>
      <c r="C96">
        <v>35</v>
      </c>
      <c r="D96">
        <v>2</v>
      </c>
      <c r="E96" t="str">
        <f t="shared" si="1"/>
        <v/>
      </c>
    </row>
    <row r="97" spans="1:5">
      <c r="A97" s="5" t="s">
        <v>59</v>
      </c>
      <c r="B97" t="s">
        <v>59</v>
      </c>
      <c r="C97">
        <v>33</v>
      </c>
      <c r="D97">
        <v>3</v>
      </c>
      <c r="E97" t="str">
        <f t="shared" si="1"/>
        <v/>
      </c>
    </row>
    <row r="98" spans="1:5">
      <c r="A98" s="5" t="s">
        <v>68</v>
      </c>
      <c r="B98" t="s">
        <v>68</v>
      </c>
      <c r="C98">
        <v>141</v>
      </c>
      <c r="D98">
        <v>14</v>
      </c>
      <c r="E98" t="str">
        <f t="shared" si="1"/>
        <v/>
      </c>
    </row>
    <row r="99" spans="1:5">
      <c r="A99" s="5" t="s">
        <v>34</v>
      </c>
      <c r="B99" t="s">
        <v>34</v>
      </c>
      <c r="C99">
        <v>121</v>
      </c>
      <c r="D99">
        <v>12</v>
      </c>
      <c r="E99" t="str">
        <f t="shared" si="1"/>
        <v/>
      </c>
    </row>
    <row r="100" spans="1:5">
      <c r="A100" s="5" t="s">
        <v>4</v>
      </c>
      <c r="B100" t="s">
        <v>4</v>
      </c>
      <c r="C100">
        <v>71</v>
      </c>
      <c r="D100">
        <v>10</v>
      </c>
      <c r="E100" t="str">
        <f t="shared" si="1"/>
        <v/>
      </c>
    </row>
    <row r="101" spans="1:5">
      <c r="A101" s="5" t="s">
        <v>70</v>
      </c>
      <c r="B101" s="5" t="s">
        <v>70</v>
      </c>
      <c r="C101">
        <v>130</v>
      </c>
      <c r="D101">
        <v>0</v>
      </c>
      <c r="E101" t="str">
        <f t="shared" si="1"/>
        <v/>
      </c>
    </row>
    <row r="102" spans="1:5">
      <c r="A102" s="5" t="s">
        <v>87</v>
      </c>
      <c r="B102" t="s">
        <v>87</v>
      </c>
      <c r="C102">
        <v>17</v>
      </c>
      <c r="D102">
        <v>0</v>
      </c>
      <c r="E102" t="str">
        <f t="shared" si="1"/>
        <v/>
      </c>
    </row>
    <row r="103" spans="1:5">
      <c r="A103" s="5" t="s">
        <v>19</v>
      </c>
      <c r="B103" t="s">
        <v>19</v>
      </c>
      <c r="C103">
        <v>272</v>
      </c>
      <c r="D103">
        <v>4</v>
      </c>
      <c r="E103" t="str">
        <f t="shared" si="1"/>
        <v/>
      </c>
    </row>
    <row r="104" spans="1:5">
      <c r="A104" s="5" t="s">
        <v>38</v>
      </c>
      <c r="B104" t="s">
        <v>38</v>
      </c>
      <c r="C104">
        <v>1601</v>
      </c>
      <c r="D104">
        <v>11</v>
      </c>
      <c r="E104" t="str">
        <f t="shared" si="1"/>
        <v/>
      </c>
    </row>
    <row r="105" spans="1:5">
      <c r="A105" s="5" t="s">
        <v>42</v>
      </c>
      <c r="B105" t="s">
        <v>42</v>
      </c>
      <c r="C105">
        <v>110</v>
      </c>
      <c r="D105">
        <v>31</v>
      </c>
      <c r="E105" t="str">
        <f t="shared" si="1"/>
        <v/>
      </c>
    </row>
    <row r="106" spans="1:5">
      <c r="C106">
        <f>AVERAGE(C1:C105)</f>
        <v>134.81904761904761</v>
      </c>
      <c r="D106">
        <f>AVERAGE(D1:D105)</f>
        <v>14.476190476190476</v>
      </c>
    </row>
    <row r="107" spans="1:5">
      <c r="C107">
        <f>MIN(C1:C105)</f>
        <v>3</v>
      </c>
      <c r="D107">
        <f>MIN(D1:D105)</f>
        <v>0</v>
      </c>
    </row>
    <row r="108" spans="1:5">
      <c r="C108">
        <f>MAX(C1:C105)</f>
        <v>1601</v>
      </c>
      <c r="D108">
        <f>MAX(D1:D105)</f>
        <v>97</v>
      </c>
    </row>
    <row r="109" spans="1:5">
      <c r="C109">
        <f>MEDIAN(C1:C105)</f>
        <v>71</v>
      </c>
      <c r="D109">
        <f>MEDIAN(D1:D105)</f>
        <v>7</v>
      </c>
    </row>
  </sheetData>
  <sortState ref="B1:D208">
    <sortCondition ref="B1:B208"/>
  </sortState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time 1</vt:lpstr>
      <vt:lpstr>accuracy dom5dom4</vt:lpstr>
      <vt:lpstr>accuracy dom7dom6</vt:lpstr>
      <vt:lpstr>accuracy dom9dom8</vt:lpstr>
      <vt:lpstr>time 2</vt:lpstr>
      <vt:lpstr>accuracy dom51dom41</vt:lpstr>
      <vt:lpstr>accuracy dom71dom61</vt:lpstr>
      <vt:lpstr>accuracy dom91dom81</vt:lpstr>
      <vt:lpstr>time 3</vt:lpstr>
      <vt:lpstr>accuracy dom52dom42</vt:lpstr>
      <vt:lpstr>accuracy dom72dom62</vt:lpstr>
      <vt:lpstr>accuracy dom92dom82</vt:lpstr>
      <vt:lpstr>Method data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2015-04-25T20:09:08Z</dcterms:created>
  <dcterms:modified xsi:type="dcterms:W3CDTF">2015-05-07T23:42:13Z</dcterms:modified>
</cp:coreProperties>
</file>