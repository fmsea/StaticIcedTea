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0" yWindow="0" windowWidth="26080" windowHeight="14980" tabRatio="888"/>
  </bookViews>
  <sheets>
    <sheet name="RQ Reg vs Block" sheetId="15" r:id="rId1"/>
    <sheet name="time 1" sheetId="4" r:id="rId2"/>
    <sheet name="accuracy dom5dom4" sheetId="1" r:id="rId3"/>
    <sheet name="accuracy dom7dom6" sheetId="2" r:id="rId4"/>
    <sheet name="accuracy dom9dom8" sheetId="3" r:id="rId5"/>
    <sheet name="time 2" sheetId="5" r:id="rId6"/>
    <sheet name="accuracy dom51dom41" sheetId="6" r:id="rId7"/>
    <sheet name="accuracy dom71dom61" sheetId="7" r:id="rId8"/>
    <sheet name="accuracy dom91dom81" sheetId="8" r:id="rId9"/>
    <sheet name="time 3" sheetId="9" r:id="rId10"/>
    <sheet name="accuracy dom52dom42" sheetId="10" r:id="rId11"/>
    <sheet name="accuracy dom72dom62" sheetId="11" r:id="rId12"/>
    <sheet name="accuracy dom92dom82" sheetId="12" r:id="rId13"/>
    <sheet name="Method data" sheetId="13" r:id="rId14"/>
    <sheet name="Domains" sheetId="14" r:id="rId15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T3" i="15" l="1"/>
  <c r="U3" i="15"/>
  <c r="T4" i="15"/>
  <c r="U4" i="15"/>
  <c r="T5" i="15"/>
  <c r="U5" i="15"/>
  <c r="T6" i="15"/>
  <c r="U6" i="15"/>
  <c r="T7" i="15"/>
  <c r="U7" i="15"/>
  <c r="T8" i="15"/>
  <c r="U8" i="15"/>
  <c r="T9" i="15"/>
  <c r="U9" i="15"/>
  <c r="T10" i="15"/>
  <c r="U10" i="15"/>
  <c r="T11" i="15"/>
  <c r="U11" i="15"/>
  <c r="T12" i="15"/>
  <c r="U12" i="15"/>
  <c r="T13" i="15"/>
  <c r="U13" i="15"/>
  <c r="T14" i="15"/>
  <c r="U14" i="15"/>
  <c r="T15" i="15"/>
  <c r="U15" i="15"/>
  <c r="T16" i="15"/>
  <c r="U16" i="15"/>
  <c r="T17" i="15"/>
  <c r="U17" i="15"/>
  <c r="T18" i="15"/>
  <c r="U18" i="15"/>
  <c r="T19" i="15"/>
  <c r="U19" i="15"/>
  <c r="T20" i="15"/>
  <c r="U20" i="15"/>
  <c r="T21" i="15"/>
  <c r="U21" i="15"/>
  <c r="T22" i="15"/>
  <c r="U22" i="15"/>
  <c r="T23" i="15"/>
  <c r="U23" i="15"/>
  <c r="T24" i="15"/>
  <c r="U24" i="15"/>
  <c r="T25" i="15"/>
  <c r="U25" i="15"/>
  <c r="T26" i="15"/>
  <c r="U26" i="15"/>
  <c r="T27" i="15"/>
  <c r="U27" i="15"/>
  <c r="T28" i="15"/>
  <c r="U28" i="15"/>
  <c r="T29" i="15"/>
  <c r="U29" i="15"/>
  <c r="T30" i="15"/>
  <c r="U30" i="15"/>
  <c r="T31" i="15"/>
  <c r="U31" i="15"/>
  <c r="T32" i="15"/>
  <c r="U32" i="15"/>
  <c r="T33" i="15"/>
  <c r="U33" i="15"/>
  <c r="T34" i="15"/>
  <c r="U34" i="15"/>
  <c r="T35" i="15"/>
  <c r="U35" i="15"/>
  <c r="T36" i="15"/>
  <c r="U36" i="15"/>
  <c r="T37" i="15"/>
  <c r="U37" i="15"/>
  <c r="T38" i="15"/>
  <c r="U38" i="15"/>
  <c r="T39" i="15"/>
  <c r="U39" i="15"/>
  <c r="T40" i="15"/>
  <c r="U40" i="15"/>
  <c r="T41" i="15"/>
  <c r="U41" i="15"/>
  <c r="T42" i="15"/>
  <c r="U42" i="15"/>
  <c r="T43" i="15"/>
  <c r="U43" i="15"/>
  <c r="T44" i="15"/>
  <c r="U44" i="15"/>
  <c r="T45" i="15"/>
  <c r="U45" i="15"/>
  <c r="T46" i="15"/>
  <c r="U46" i="15"/>
  <c r="T47" i="15"/>
  <c r="U47" i="15"/>
  <c r="T48" i="15"/>
  <c r="U48" i="15"/>
  <c r="T49" i="15"/>
  <c r="U49" i="15"/>
  <c r="T50" i="15"/>
  <c r="U50" i="15"/>
  <c r="T51" i="15"/>
  <c r="U51" i="15"/>
  <c r="T52" i="15"/>
  <c r="U52" i="15"/>
  <c r="T53" i="15"/>
  <c r="U53" i="15"/>
  <c r="T54" i="15"/>
  <c r="U54" i="15"/>
  <c r="T55" i="15"/>
  <c r="U55" i="15"/>
  <c r="T56" i="15"/>
  <c r="U56" i="15"/>
  <c r="T57" i="15"/>
  <c r="U57" i="15"/>
  <c r="T58" i="15"/>
  <c r="U58" i="15"/>
  <c r="T59" i="15"/>
  <c r="U59" i="15"/>
  <c r="T60" i="15"/>
  <c r="U60" i="15"/>
  <c r="T61" i="15"/>
  <c r="U61" i="15"/>
  <c r="T62" i="15"/>
  <c r="U62" i="15"/>
  <c r="T63" i="15"/>
  <c r="U63" i="15"/>
  <c r="T64" i="15"/>
  <c r="U64" i="15"/>
  <c r="T65" i="15"/>
  <c r="U65" i="15"/>
  <c r="T66" i="15"/>
  <c r="U66" i="15"/>
  <c r="T67" i="15"/>
  <c r="U67" i="15"/>
  <c r="T68" i="15"/>
  <c r="U68" i="15"/>
  <c r="T69" i="15"/>
  <c r="U69" i="15"/>
  <c r="T70" i="15"/>
  <c r="U70" i="15"/>
  <c r="T71" i="15"/>
  <c r="U71" i="15"/>
  <c r="T72" i="15"/>
  <c r="U72" i="15"/>
  <c r="T73" i="15"/>
  <c r="U73" i="15"/>
  <c r="T74" i="15"/>
  <c r="U74" i="15"/>
  <c r="T75" i="15"/>
  <c r="U75" i="15"/>
  <c r="T76" i="15"/>
  <c r="U76" i="15"/>
  <c r="T77" i="15"/>
  <c r="U77" i="15"/>
  <c r="T78" i="15"/>
  <c r="U78" i="15"/>
  <c r="T79" i="15"/>
  <c r="U79" i="15"/>
  <c r="T80" i="15"/>
  <c r="U80" i="15"/>
  <c r="T81" i="15"/>
  <c r="U81" i="15"/>
  <c r="T82" i="15"/>
  <c r="U82" i="15"/>
  <c r="T83" i="15"/>
  <c r="U83" i="15"/>
  <c r="T84" i="15"/>
  <c r="U84" i="15"/>
  <c r="T85" i="15"/>
  <c r="U85" i="15"/>
  <c r="T86" i="15"/>
  <c r="U86" i="15"/>
  <c r="T87" i="15"/>
  <c r="U87" i="15"/>
  <c r="T88" i="15"/>
  <c r="U88" i="15"/>
  <c r="T89" i="15"/>
  <c r="U89" i="15"/>
  <c r="T90" i="15"/>
  <c r="U90" i="15"/>
  <c r="T91" i="15"/>
  <c r="U91" i="15"/>
  <c r="T92" i="15"/>
  <c r="U92" i="15"/>
  <c r="T93" i="15"/>
  <c r="U93" i="15"/>
  <c r="T94" i="15"/>
  <c r="U94" i="15"/>
  <c r="T95" i="15"/>
  <c r="U95" i="15"/>
  <c r="T96" i="15"/>
  <c r="U96" i="15"/>
  <c r="T97" i="15"/>
  <c r="U97" i="15"/>
  <c r="T98" i="15"/>
  <c r="U98" i="15"/>
  <c r="T99" i="15"/>
  <c r="U99" i="15"/>
  <c r="T100" i="15"/>
  <c r="U100" i="15"/>
  <c r="T101" i="15"/>
  <c r="U101" i="15"/>
  <c r="T102" i="15"/>
  <c r="U102" i="15"/>
  <c r="T103" i="15"/>
  <c r="U103" i="15"/>
  <c r="T104" i="15"/>
  <c r="U104" i="15"/>
  <c r="T105" i="15"/>
  <c r="U105" i="15"/>
  <c r="T106" i="15"/>
  <c r="U106" i="15"/>
  <c r="T107" i="15"/>
  <c r="U107" i="15"/>
  <c r="U108" i="15"/>
  <c r="T108" i="15"/>
  <c r="T110" i="15"/>
  <c r="U109" i="15"/>
  <c r="V109" i="15"/>
  <c r="T109" i="15"/>
  <c r="Q3" i="15"/>
  <c r="R3" i="15"/>
  <c r="Q4" i="15"/>
  <c r="R4" i="15"/>
  <c r="Q5" i="15"/>
  <c r="R5" i="15"/>
  <c r="Q6" i="15"/>
  <c r="R6" i="15"/>
  <c r="Q7" i="15"/>
  <c r="R7" i="15"/>
  <c r="Q8" i="15"/>
  <c r="R8" i="15"/>
  <c r="Q9" i="15"/>
  <c r="R9" i="15"/>
  <c r="Q10" i="15"/>
  <c r="R10" i="15"/>
  <c r="Q11" i="15"/>
  <c r="R11" i="15"/>
  <c r="Q12" i="15"/>
  <c r="R12" i="15"/>
  <c r="Q13" i="15"/>
  <c r="R13" i="15"/>
  <c r="Q14" i="15"/>
  <c r="R14" i="15"/>
  <c r="Q15" i="15"/>
  <c r="R15" i="15"/>
  <c r="Q16" i="15"/>
  <c r="R16" i="15"/>
  <c r="Q17" i="15"/>
  <c r="R17" i="15"/>
  <c r="Q18" i="15"/>
  <c r="R18" i="15"/>
  <c r="Q19" i="15"/>
  <c r="R19" i="15"/>
  <c r="Q20" i="15"/>
  <c r="R20" i="15"/>
  <c r="Q21" i="15"/>
  <c r="R21" i="15"/>
  <c r="Q22" i="15"/>
  <c r="R22" i="15"/>
  <c r="Q23" i="15"/>
  <c r="R23" i="15"/>
  <c r="Q24" i="15"/>
  <c r="R24" i="15"/>
  <c r="Q25" i="15"/>
  <c r="R25" i="15"/>
  <c r="Q26" i="15"/>
  <c r="R26" i="15"/>
  <c r="Q27" i="15"/>
  <c r="R27" i="15"/>
  <c r="Q28" i="15"/>
  <c r="R28" i="15"/>
  <c r="Q29" i="15"/>
  <c r="R29" i="15"/>
  <c r="Q30" i="15"/>
  <c r="R30" i="15"/>
  <c r="Q31" i="15"/>
  <c r="R31" i="15"/>
  <c r="Q32" i="15"/>
  <c r="R32" i="15"/>
  <c r="Q33" i="15"/>
  <c r="R33" i="15"/>
  <c r="Q34" i="15"/>
  <c r="R34" i="15"/>
  <c r="Q35" i="15"/>
  <c r="R35" i="15"/>
  <c r="Q36" i="15"/>
  <c r="R36" i="15"/>
  <c r="Q37" i="15"/>
  <c r="R37" i="15"/>
  <c r="Q38" i="15"/>
  <c r="R38" i="15"/>
  <c r="Q39" i="15"/>
  <c r="R39" i="15"/>
  <c r="Q40" i="15"/>
  <c r="R40" i="15"/>
  <c r="Q41" i="15"/>
  <c r="R41" i="15"/>
  <c r="Q42" i="15"/>
  <c r="R42" i="15"/>
  <c r="Q43" i="15"/>
  <c r="R43" i="15"/>
  <c r="Q44" i="15"/>
  <c r="R44" i="15"/>
  <c r="Q45" i="15"/>
  <c r="R45" i="15"/>
  <c r="Q46" i="15"/>
  <c r="R46" i="15"/>
  <c r="Q47" i="15"/>
  <c r="R47" i="15"/>
  <c r="Q48" i="15"/>
  <c r="R48" i="15"/>
  <c r="Q49" i="15"/>
  <c r="R49" i="15"/>
  <c r="Q50" i="15"/>
  <c r="R50" i="15"/>
  <c r="Q51" i="15"/>
  <c r="R51" i="15"/>
  <c r="Q52" i="15"/>
  <c r="R52" i="15"/>
  <c r="Q53" i="15"/>
  <c r="R53" i="15"/>
  <c r="Q54" i="15"/>
  <c r="R54" i="15"/>
  <c r="Q55" i="15"/>
  <c r="R55" i="15"/>
  <c r="Q56" i="15"/>
  <c r="R56" i="15"/>
  <c r="Q57" i="15"/>
  <c r="R57" i="15"/>
  <c r="Q58" i="15"/>
  <c r="R58" i="15"/>
  <c r="Q59" i="15"/>
  <c r="R59" i="15"/>
  <c r="Q60" i="15"/>
  <c r="R60" i="15"/>
  <c r="Q61" i="15"/>
  <c r="R61" i="15"/>
  <c r="Q62" i="15"/>
  <c r="R62" i="15"/>
  <c r="Q63" i="15"/>
  <c r="R63" i="15"/>
  <c r="Q64" i="15"/>
  <c r="R64" i="15"/>
  <c r="Q65" i="15"/>
  <c r="R65" i="15"/>
  <c r="Q66" i="15"/>
  <c r="R66" i="15"/>
  <c r="Q67" i="15"/>
  <c r="R67" i="15"/>
  <c r="Q68" i="15"/>
  <c r="R68" i="15"/>
  <c r="Q69" i="15"/>
  <c r="R69" i="15"/>
  <c r="Q70" i="15"/>
  <c r="R70" i="15"/>
  <c r="Q71" i="15"/>
  <c r="R71" i="15"/>
  <c r="Q72" i="15"/>
  <c r="R72" i="15"/>
  <c r="Q73" i="15"/>
  <c r="R73" i="15"/>
  <c r="Q74" i="15"/>
  <c r="R74" i="15"/>
  <c r="Q75" i="15"/>
  <c r="R75" i="15"/>
  <c r="Q76" i="15"/>
  <c r="R76" i="15"/>
  <c r="Q77" i="15"/>
  <c r="R77" i="15"/>
  <c r="Q78" i="15"/>
  <c r="R78" i="15"/>
  <c r="Q79" i="15"/>
  <c r="R79" i="15"/>
  <c r="Q80" i="15"/>
  <c r="R80" i="15"/>
  <c r="Q81" i="15"/>
  <c r="R81" i="15"/>
  <c r="Q82" i="15"/>
  <c r="R82" i="15"/>
  <c r="Q83" i="15"/>
  <c r="R83" i="15"/>
  <c r="Q84" i="15"/>
  <c r="R84" i="15"/>
  <c r="Q85" i="15"/>
  <c r="R85" i="15"/>
  <c r="Q86" i="15"/>
  <c r="R86" i="15"/>
  <c r="Q87" i="15"/>
  <c r="R87" i="15"/>
  <c r="Q88" i="15"/>
  <c r="R88" i="15"/>
  <c r="Q89" i="15"/>
  <c r="R89" i="15"/>
  <c r="Q90" i="15"/>
  <c r="R90" i="15"/>
  <c r="Q91" i="15"/>
  <c r="R91" i="15"/>
  <c r="Q92" i="15"/>
  <c r="R92" i="15"/>
  <c r="Q93" i="15"/>
  <c r="R93" i="15"/>
  <c r="Q94" i="15"/>
  <c r="R94" i="15"/>
  <c r="Q95" i="15"/>
  <c r="R95" i="15"/>
  <c r="Q96" i="15"/>
  <c r="R96" i="15"/>
  <c r="Q97" i="15"/>
  <c r="R97" i="15"/>
  <c r="Q98" i="15"/>
  <c r="R98" i="15"/>
  <c r="Q99" i="15"/>
  <c r="R99" i="15"/>
  <c r="Q100" i="15"/>
  <c r="R100" i="15"/>
  <c r="Q101" i="15"/>
  <c r="R101" i="15"/>
  <c r="Q102" i="15"/>
  <c r="R102" i="15"/>
  <c r="Q103" i="15"/>
  <c r="R103" i="15"/>
  <c r="Q104" i="15"/>
  <c r="R104" i="15"/>
  <c r="Q105" i="15"/>
  <c r="R105" i="15"/>
  <c r="Q106" i="15"/>
  <c r="R106" i="15"/>
  <c r="Q107" i="15"/>
  <c r="R107" i="15"/>
  <c r="R108" i="15"/>
  <c r="Q108" i="15"/>
  <c r="Q110" i="15"/>
  <c r="R109" i="15"/>
  <c r="S109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N77" i="15"/>
  <c r="N78" i="15"/>
  <c r="N79" i="15"/>
  <c r="N80" i="15"/>
  <c r="N81" i="15"/>
  <c r="N82" i="15"/>
  <c r="N83" i="15"/>
  <c r="N84" i="15"/>
  <c r="N85" i="15"/>
  <c r="N86" i="15"/>
  <c r="N87" i="15"/>
  <c r="N88" i="15"/>
  <c r="N89" i="15"/>
  <c r="N90" i="15"/>
  <c r="N91" i="15"/>
  <c r="N92" i="15"/>
  <c r="N93" i="15"/>
  <c r="N94" i="15"/>
  <c r="N95" i="15"/>
  <c r="N96" i="15"/>
  <c r="N97" i="15"/>
  <c r="N98" i="15"/>
  <c r="N99" i="15"/>
  <c r="N100" i="15"/>
  <c r="N101" i="15"/>
  <c r="N102" i="15"/>
  <c r="N103" i="15"/>
  <c r="N104" i="15"/>
  <c r="N105" i="15"/>
  <c r="N106" i="15"/>
  <c r="N107" i="15"/>
  <c r="N108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N110" i="15"/>
  <c r="P109" i="15"/>
  <c r="O109" i="15"/>
  <c r="Q109" i="15"/>
  <c r="N109" i="15"/>
  <c r="K3" i="15"/>
  <c r="L3" i="15"/>
  <c r="K4" i="15"/>
  <c r="L4" i="15"/>
  <c r="K5" i="15"/>
  <c r="L5" i="15"/>
  <c r="K6" i="15"/>
  <c r="L6" i="15"/>
  <c r="K7" i="15"/>
  <c r="L7" i="15"/>
  <c r="K8" i="15"/>
  <c r="L8" i="15"/>
  <c r="K9" i="15"/>
  <c r="L9" i="15"/>
  <c r="K10" i="15"/>
  <c r="L10" i="15"/>
  <c r="K11" i="15"/>
  <c r="L11" i="15"/>
  <c r="K12" i="15"/>
  <c r="L12" i="15"/>
  <c r="K13" i="15"/>
  <c r="L13" i="15"/>
  <c r="K14" i="15"/>
  <c r="L14" i="15"/>
  <c r="K15" i="15"/>
  <c r="L15" i="15"/>
  <c r="K16" i="15"/>
  <c r="L16" i="15"/>
  <c r="K17" i="15"/>
  <c r="L17" i="15"/>
  <c r="K18" i="15"/>
  <c r="L18" i="15"/>
  <c r="K19" i="15"/>
  <c r="L19" i="15"/>
  <c r="K20" i="15"/>
  <c r="L20" i="15"/>
  <c r="K21" i="15"/>
  <c r="L21" i="15"/>
  <c r="K22" i="15"/>
  <c r="L22" i="15"/>
  <c r="K23" i="15"/>
  <c r="L23" i="15"/>
  <c r="K24" i="15"/>
  <c r="L24" i="15"/>
  <c r="K25" i="15"/>
  <c r="L25" i="15"/>
  <c r="K26" i="15"/>
  <c r="L26" i="15"/>
  <c r="K27" i="15"/>
  <c r="L27" i="15"/>
  <c r="K28" i="15"/>
  <c r="L28" i="15"/>
  <c r="K29" i="15"/>
  <c r="L29" i="15"/>
  <c r="K30" i="15"/>
  <c r="L30" i="15"/>
  <c r="K31" i="15"/>
  <c r="L31" i="15"/>
  <c r="K32" i="15"/>
  <c r="L32" i="15"/>
  <c r="K33" i="15"/>
  <c r="L33" i="15"/>
  <c r="K34" i="15"/>
  <c r="L34" i="15"/>
  <c r="K35" i="15"/>
  <c r="L35" i="15"/>
  <c r="K36" i="15"/>
  <c r="L36" i="15"/>
  <c r="K37" i="15"/>
  <c r="L37" i="15"/>
  <c r="K38" i="15"/>
  <c r="L38" i="15"/>
  <c r="K39" i="15"/>
  <c r="L39" i="15"/>
  <c r="K40" i="15"/>
  <c r="L40" i="15"/>
  <c r="K41" i="15"/>
  <c r="L41" i="15"/>
  <c r="K42" i="15"/>
  <c r="L42" i="15"/>
  <c r="K43" i="15"/>
  <c r="L43" i="15"/>
  <c r="K44" i="15"/>
  <c r="L44" i="15"/>
  <c r="K45" i="15"/>
  <c r="L45" i="15"/>
  <c r="K46" i="15"/>
  <c r="L46" i="15"/>
  <c r="K47" i="15"/>
  <c r="L47" i="15"/>
  <c r="K48" i="15"/>
  <c r="L48" i="15"/>
  <c r="K49" i="15"/>
  <c r="L49" i="15"/>
  <c r="K50" i="15"/>
  <c r="L50" i="15"/>
  <c r="K51" i="15"/>
  <c r="L51" i="15"/>
  <c r="K52" i="15"/>
  <c r="L52" i="15"/>
  <c r="K53" i="15"/>
  <c r="L53" i="15"/>
  <c r="K54" i="15"/>
  <c r="L54" i="15"/>
  <c r="K55" i="15"/>
  <c r="L55" i="15"/>
  <c r="K56" i="15"/>
  <c r="L56" i="15"/>
  <c r="K57" i="15"/>
  <c r="L57" i="15"/>
  <c r="K58" i="15"/>
  <c r="L58" i="15"/>
  <c r="K59" i="15"/>
  <c r="L59" i="15"/>
  <c r="K60" i="15"/>
  <c r="L60" i="15"/>
  <c r="K61" i="15"/>
  <c r="L61" i="15"/>
  <c r="K62" i="15"/>
  <c r="L62" i="15"/>
  <c r="K63" i="15"/>
  <c r="L63" i="15"/>
  <c r="K64" i="15"/>
  <c r="L64" i="15"/>
  <c r="K65" i="15"/>
  <c r="L65" i="15"/>
  <c r="K66" i="15"/>
  <c r="L66" i="15"/>
  <c r="K67" i="15"/>
  <c r="L67" i="15"/>
  <c r="K68" i="15"/>
  <c r="L68" i="15"/>
  <c r="K69" i="15"/>
  <c r="L69" i="15"/>
  <c r="K70" i="15"/>
  <c r="L70" i="15"/>
  <c r="K71" i="15"/>
  <c r="L71" i="15"/>
  <c r="K72" i="15"/>
  <c r="L72" i="15"/>
  <c r="K73" i="15"/>
  <c r="L73" i="15"/>
  <c r="K74" i="15"/>
  <c r="L74" i="15"/>
  <c r="K75" i="15"/>
  <c r="L75" i="15"/>
  <c r="K76" i="15"/>
  <c r="L76" i="15"/>
  <c r="K77" i="15"/>
  <c r="L77" i="15"/>
  <c r="K78" i="15"/>
  <c r="L78" i="15"/>
  <c r="K79" i="15"/>
  <c r="L79" i="15"/>
  <c r="K80" i="15"/>
  <c r="L80" i="15"/>
  <c r="K81" i="15"/>
  <c r="L81" i="15"/>
  <c r="K82" i="15"/>
  <c r="L82" i="15"/>
  <c r="K83" i="15"/>
  <c r="L83" i="15"/>
  <c r="K84" i="15"/>
  <c r="L84" i="15"/>
  <c r="K85" i="15"/>
  <c r="L85" i="15"/>
  <c r="K86" i="15"/>
  <c r="L86" i="15"/>
  <c r="K87" i="15"/>
  <c r="L87" i="15"/>
  <c r="K88" i="15"/>
  <c r="L88" i="15"/>
  <c r="K89" i="15"/>
  <c r="L89" i="15"/>
  <c r="K90" i="15"/>
  <c r="L90" i="15"/>
  <c r="K91" i="15"/>
  <c r="L91" i="15"/>
  <c r="K92" i="15"/>
  <c r="L92" i="15"/>
  <c r="K93" i="15"/>
  <c r="L93" i="15"/>
  <c r="K94" i="15"/>
  <c r="L94" i="15"/>
  <c r="K95" i="15"/>
  <c r="L95" i="15"/>
  <c r="K96" i="15"/>
  <c r="L96" i="15"/>
  <c r="K97" i="15"/>
  <c r="L97" i="15"/>
  <c r="K98" i="15"/>
  <c r="L98" i="15"/>
  <c r="K99" i="15"/>
  <c r="L99" i="15"/>
  <c r="K100" i="15"/>
  <c r="L100" i="15"/>
  <c r="K101" i="15"/>
  <c r="L101" i="15"/>
  <c r="K102" i="15"/>
  <c r="L102" i="15"/>
  <c r="K103" i="15"/>
  <c r="L103" i="15"/>
  <c r="K104" i="15"/>
  <c r="L104" i="15"/>
  <c r="K105" i="15"/>
  <c r="L105" i="15"/>
  <c r="K106" i="15"/>
  <c r="L106" i="15"/>
  <c r="K107" i="15"/>
  <c r="L107" i="15"/>
  <c r="L108" i="15"/>
  <c r="K108" i="15"/>
  <c r="K110" i="15"/>
  <c r="L109" i="15"/>
  <c r="M109" i="15"/>
  <c r="K109" i="15"/>
  <c r="P108" i="15"/>
  <c r="S108" i="15"/>
  <c r="V108" i="15"/>
  <c r="P4" i="15"/>
  <c r="S4" i="15"/>
  <c r="V4" i="15"/>
  <c r="P5" i="15"/>
  <c r="S5" i="15"/>
  <c r="V5" i="15"/>
  <c r="P6" i="15"/>
  <c r="S6" i="15"/>
  <c r="V6" i="15"/>
  <c r="P7" i="15"/>
  <c r="S7" i="15"/>
  <c r="V7" i="15"/>
  <c r="P8" i="15"/>
  <c r="S8" i="15"/>
  <c r="V8" i="15"/>
  <c r="P9" i="15"/>
  <c r="S9" i="15"/>
  <c r="V9" i="15"/>
  <c r="P10" i="15"/>
  <c r="S10" i="15"/>
  <c r="V10" i="15"/>
  <c r="P11" i="15"/>
  <c r="S11" i="15"/>
  <c r="V11" i="15"/>
  <c r="P12" i="15"/>
  <c r="S12" i="15"/>
  <c r="V12" i="15"/>
  <c r="P13" i="15"/>
  <c r="S13" i="15"/>
  <c r="V13" i="15"/>
  <c r="P14" i="15"/>
  <c r="S14" i="15"/>
  <c r="V14" i="15"/>
  <c r="P15" i="15"/>
  <c r="S15" i="15"/>
  <c r="V15" i="15"/>
  <c r="P16" i="15"/>
  <c r="S16" i="15"/>
  <c r="V16" i="15"/>
  <c r="P17" i="15"/>
  <c r="S17" i="15"/>
  <c r="V17" i="15"/>
  <c r="P18" i="15"/>
  <c r="S18" i="15"/>
  <c r="V18" i="15"/>
  <c r="P19" i="15"/>
  <c r="S19" i="15"/>
  <c r="V19" i="15"/>
  <c r="P20" i="15"/>
  <c r="S20" i="15"/>
  <c r="V20" i="15"/>
  <c r="P21" i="15"/>
  <c r="S21" i="15"/>
  <c r="V21" i="15"/>
  <c r="P22" i="15"/>
  <c r="S22" i="15"/>
  <c r="V22" i="15"/>
  <c r="P23" i="15"/>
  <c r="S23" i="15"/>
  <c r="V23" i="15"/>
  <c r="P24" i="15"/>
  <c r="S24" i="15"/>
  <c r="V24" i="15"/>
  <c r="P25" i="15"/>
  <c r="S25" i="15"/>
  <c r="V25" i="15"/>
  <c r="P26" i="15"/>
  <c r="S26" i="15"/>
  <c r="V26" i="15"/>
  <c r="P27" i="15"/>
  <c r="S27" i="15"/>
  <c r="V27" i="15"/>
  <c r="P28" i="15"/>
  <c r="S28" i="15"/>
  <c r="V28" i="15"/>
  <c r="P29" i="15"/>
  <c r="S29" i="15"/>
  <c r="V29" i="15"/>
  <c r="P30" i="15"/>
  <c r="S30" i="15"/>
  <c r="V30" i="15"/>
  <c r="P31" i="15"/>
  <c r="S31" i="15"/>
  <c r="V31" i="15"/>
  <c r="P32" i="15"/>
  <c r="S32" i="15"/>
  <c r="V32" i="15"/>
  <c r="P33" i="15"/>
  <c r="S33" i="15"/>
  <c r="V33" i="15"/>
  <c r="P34" i="15"/>
  <c r="S34" i="15"/>
  <c r="V34" i="15"/>
  <c r="P35" i="15"/>
  <c r="S35" i="15"/>
  <c r="V35" i="15"/>
  <c r="P36" i="15"/>
  <c r="S36" i="15"/>
  <c r="V36" i="15"/>
  <c r="P37" i="15"/>
  <c r="S37" i="15"/>
  <c r="V37" i="15"/>
  <c r="P38" i="15"/>
  <c r="S38" i="15"/>
  <c r="V38" i="15"/>
  <c r="P39" i="15"/>
  <c r="S39" i="15"/>
  <c r="V39" i="15"/>
  <c r="P40" i="15"/>
  <c r="S40" i="15"/>
  <c r="V40" i="15"/>
  <c r="P41" i="15"/>
  <c r="S41" i="15"/>
  <c r="V41" i="15"/>
  <c r="P42" i="15"/>
  <c r="S42" i="15"/>
  <c r="V42" i="15"/>
  <c r="P43" i="15"/>
  <c r="S43" i="15"/>
  <c r="V43" i="15"/>
  <c r="P44" i="15"/>
  <c r="S44" i="15"/>
  <c r="V44" i="15"/>
  <c r="P45" i="15"/>
  <c r="S45" i="15"/>
  <c r="V45" i="15"/>
  <c r="P46" i="15"/>
  <c r="S46" i="15"/>
  <c r="V46" i="15"/>
  <c r="P47" i="15"/>
  <c r="S47" i="15"/>
  <c r="V47" i="15"/>
  <c r="P48" i="15"/>
  <c r="S48" i="15"/>
  <c r="V48" i="15"/>
  <c r="P49" i="15"/>
  <c r="S49" i="15"/>
  <c r="V49" i="15"/>
  <c r="P50" i="15"/>
  <c r="S50" i="15"/>
  <c r="V50" i="15"/>
  <c r="P51" i="15"/>
  <c r="S51" i="15"/>
  <c r="V51" i="15"/>
  <c r="P52" i="15"/>
  <c r="S52" i="15"/>
  <c r="V52" i="15"/>
  <c r="P53" i="15"/>
  <c r="S53" i="15"/>
  <c r="V53" i="15"/>
  <c r="P54" i="15"/>
  <c r="S54" i="15"/>
  <c r="V54" i="15"/>
  <c r="P55" i="15"/>
  <c r="S55" i="15"/>
  <c r="V55" i="15"/>
  <c r="P56" i="15"/>
  <c r="S56" i="15"/>
  <c r="V56" i="15"/>
  <c r="P57" i="15"/>
  <c r="S57" i="15"/>
  <c r="V57" i="15"/>
  <c r="P58" i="15"/>
  <c r="S58" i="15"/>
  <c r="V58" i="15"/>
  <c r="P59" i="15"/>
  <c r="S59" i="15"/>
  <c r="V59" i="15"/>
  <c r="P60" i="15"/>
  <c r="S60" i="15"/>
  <c r="V60" i="15"/>
  <c r="P61" i="15"/>
  <c r="S61" i="15"/>
  <c r="V61" i="15"/>
  <c r="P62" i="15"/>
  <c r="S62" i="15"/>
  <c r="V62" i="15"/>
  <c r="P63" i="15"/>
  <c r="S63" i="15"/>
  <c r="V63" i="15"/>
  <c r="P64" i="15"/>
  <c r="S64" i="15"/>
  <c r="V64" i="15"/>
  <c r="P65" i="15"/>
  <c r="S65" i="15"/>
  <c r="V65" i="15"/>
  <c r="P66" i="15"/>
  <c r="S66" i="15"/>
  <c r="V66" i="15"/>
  <c r="P67" i="15"/>
  <c r="S67" i="15"/>
  <c r="V67" i="15"/>
  <c r="P68" i="15"/>
  <c r="S68" i="15"/>
  <c r="V68" i="15"/>
  <c r="P69" i="15"/>
  <c r="S69" i="15"/>
  <c r="V69" i="15"/>
  <c r="P70" i="15"/>
  <c r="S70" i="15"/>
  <c r="V70" i="15"/>
  <c r="P71" i="15"/>
  <c r="S71" i="15"/>
  <c r="V71" i="15"/>
  <c r="P72" i="15"/>
  <c r="S72" i="15"/>
  <c r="V72" i="15"/>
  <c r="P73" i="15"/>
  <c r="S73" i="15"/>
  <c r="V73" i="15"/>
  <c r="P74" i="15"/>
  <c r="S74" i="15"/>
  <c r="V74" i="15"/>
  <c r="P75" i="15"/>
  <c r="S75" i="15"/>
  <c r="V75" i="15"/>
  <c r="P76" i="15"/>
  <c r="S76" i="15"/>
  <c r="V76" i="15"/>
  <c r="P77" i="15"/>
  <c r="S77" i="15"/>
  <c r="V77" i="15"/>
  <c r="P78" i="15"/>
  <c r="S78" i="15"/>
  <c r="V78" i="15"/>
  <c r="P79" i="15"/>
  <c r="S79" i="15"/>
  <c r="V79" i="15"/>
  <c r="P80" i="15"/>
  <c r="S80" i="15"/>
  <c r="V80" i="15"/>
  <c r="P81" i="15"/>
  <c r="S81" i="15"/>
  <c r="V81" i="15"/>
  <c r="P82" i="15"/>
  <c r="S82" i="15"/>
  <c r="V82" i="15"/>
  <c r="P83" i="15"/>
  <c r="S83" i="15"/>
  <c r="V83" i="15"/>
  <c r="P84" i="15"/>
  <c r="S84" i="15"/>
  <c r="V84" i="15"/>
  <c r="P85" i="15"/>
  <c r="S85" i="15"/>
  <c r="V85" i="15"/>
  <c r="P86" i="15"/>
  <c r="S86" i="15"/>
  <c r="V86" i="15"/>
  <c r="P87" i="15"/>
  <c r="S87" i="15"/>
  <c r="V87" i="15"/>
  <c r="P88" i="15"/>
  <c r="S88" i="15"/>
  <c r="V88" i="15"/>
  <c r="P89" i="15"/>
  <c r="S89" i="15"/>
  <c r="V89" i="15"/>
  <c r="P90" i="15"/>
  <c r="S90" i="15"/>
  <c r="V90" i="15"/>
  <c r="P91" i="15"/>
  <c r="S91" i="15"/>
  <c r="V91" i="15"/>
  <c r="P92" i="15"/>
  <c r="S92" i="15"/>
  <c r="V92" i="15"/>
  <c r="P93" i="15"/>
  <c r="S93" i="15"/>
  <c r="V93" i="15"/>
  <c r="P94" i="15"/>
  <c r="S94" i="15"/>
  <c r="V94" i="15"/>
  <c r="P95" i="15"/>
  <c r="S95" i="15"/>
  <c r="V95" i="15"/>
  <c r="P96" i="15"/>
  <c r="S96" i="15"/>
  <c r="V96" i="15"/>
  <c r="P97" i="15"/>
  <c r="S97" i="15"/>
  <c r="V97" i="15"/>
  <c r="P98" i="15"/>
  <c r="S98" i="15"/>
  <c r="V98" i="15"/>
  <c r="P99" i="15"/>
  <c r="S99" i="15"/>
  <c r="V99" i="15"/>
  <c r="P100" i="15"/>
  <c r="S100" i="15"/>
  <c r="V100" i="15"/>
  <c r="P101" i="15"/>
  <c r="S101" i="15"/>
  <c r="V101" i="15"/>
  <c r="P102" i="15"/>
  <c r="S102" i="15"/>
  <c r="V102" i="15"/>
  <c r="P103" i="15"/>
  <c r="S103" i="15"/>
  <c r="V103" i="15"/>
  <c r="P104" i="15"/>
  <c r="S104" i="15"/>
  <c r="V104" i="15"/>
  <c r="P105" i="15"/>
  <c r="S105" i="15"/>
  <c r="V105" i="15"/>
  <c r="P106" i="15"/>
  <c r="S106" i="15"/>
  <c r="V106" i="15"/>
  <c r="P107" i="15"/>
  <c r="S107" i="15"/>
  <c r="V107" i="15"/>
  <c r="V3" i="15"/>
  <c r="S3" i="15"/>
  <c r="P3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I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3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3" i="15"/>
  <c r="V15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107" i="9"/>
  <c r="X107" i="9"/>
  <c r="V107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2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<sst xmlns="http://schemas.openxmlformats.org/spreadsheetml/2006/main" count="53394" uniqueCount="333">
  <si>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</si>
  <si>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</si>
  <si>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</si>
  <si>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</si>
  <si>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</si>
  <si>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</si>
  <si>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</si>
  <si>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</si>
  <si>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</si>
  <si>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</si>
  <si>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</si>
  <si>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</si>
  <si>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</si>
  <si>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</si>
  <si>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</si>
  <si>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</si>
  <si>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</si>
  <si>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</si>
  <si>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</si>
  <si>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</si>
  <si>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</si>
  <si>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</si>
  <si>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</si>
  <si>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</si>
  <si>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</si>
  <si>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</si>
  <si>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</si>
  <si>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</si>
  <si>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</si>
  <si>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</si>
  <si>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</si>
  <si>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</si>
  <si>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</si>
  <si>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</si>
  <si>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</si>
  <si>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</si>
  <si>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</si>
  <si>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</si>
  <si>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</si>
  <si>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</si>
  <si>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</si>
  <si>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</si>
  <si>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</si>
  <si>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</si>
  <si>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</si>
  <si>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</si>
  <si>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</si>
  <si>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</si>
  <si>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</si>
  <si>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</si>
  <si>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</si>
  <si>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</si>
  <si>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</si>
  <si>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</si>
  <si>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</si>
  <si>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</si>
  <si>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</si>
  <si>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</si>
  <si>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</si>
  <si>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</si>
  <si>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</si>
  <si>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</si>
  <si>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</si>
  <si>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</si>
  <si>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</si>
  <si>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</si>
  <si>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</si>
  <si>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</si>
  <si>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</si>
  <si>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</si>
  <si>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</si>
  <si>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</si>
  <si>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</si>
  <si>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</si>
  <si>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</si>
  <si>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</si>
  <si>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</si>
  <si>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</si>
  <si>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</si>
  <si>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</si>
  <si>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</si>
  <si>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</si>
  <si>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</si>
  <si>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</si>
  <si>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</si>
  <si>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</si>
  <si>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</si>
  <si>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</si>
  <si>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</si>
  <si>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</si>
  <si>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</si>
  <si>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</si>
  <si>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</si>
  <si>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</si>
  <si>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</si>
  <si>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</si>
  <si>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</si>
  <si>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</si>
  <si>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</si>
  <si>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</si>
  <si>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</si>
  <si>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</si>
  <si>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</si>
  <si>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</si>
  <si>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</si>
  <si>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</si>
  <si>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</si>
  <si>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</si>
  <si>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</si>
  <si>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</si>
  <si>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</si>
  <si>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</si>
  <si>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</si>
  <si>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</si>
  <si>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</si>
  <si>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</si>
  <si>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</si>
  <si>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</si>
  <si>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</si>
  <si>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</si>
  <si>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</si>
  <si>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</si>
  <si>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</si>
  <si>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</si>
  <si>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</si>
  <si>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</si>
  <si>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</si>
  <si>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</si>
  <si>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</si>
  <si>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</si>
  <si>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</si>
  <si>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</si>
  <si>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</si>
  <si>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</si>
  <si>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</si>
  <si>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</si>
  <si>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</si>
  <si>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</si>
  <si>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</si>
  <si>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</si>
  <si>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</si>
  <si>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</si>
  <si>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</si>
  <si>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</si>
  <si>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</si>
  <si>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</si>
  <si>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</si>
  <si>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</si>
  <si>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</si>
  <si>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</si>
  <si>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</si>
  <si>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</si>
  <si>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</si>
  <si>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</si>
  <si>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</si>
  <si>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</si>
  <si>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</si>
  <si>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</si>
  <si>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</si>
  <si>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</si>
  <si>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</si>
  <si>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</si>
  <si>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</si>
  <si>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</si>
  <si>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</si>
  <si>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</si>
  <si>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</si>
  <si>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</si>
  <si>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</si>
  <si>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</si>
  <si>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</si>
  <si>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</si>
  <si>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</si>
  <si>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</si>
  <si>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</si>
  <si>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</si>
  <si>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</si>
  <si>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</si>
  <si>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</si>
  <si>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</si>
  <si>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</si>
  <si>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</si>
  <si>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</si>
  <si>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</si>
  <si>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</si>
  <si>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</si>
  <si>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</si>
  <si>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</si>
  <si>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</si>
  <si>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</si>
  <si>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</si>
  <si>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</si>
  <si>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</si>
  <si>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</si>
  <si>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</si>
  <si>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</si>
  <si>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</si>
  <si>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</si>
  <si>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</si>
  <si>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</si>
  <si>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</si>
  <si>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</si>
  <si>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</si>
  <si>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</si>
  <si>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</si>
  <si>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</si>
  <si>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</si>
  <si>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</si>
  <si>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</si>
  <si>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</si>
  <si>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</si>
  <si>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</si>
  <si>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</si>
  <si>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</si>
  <si>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</si>
  <si>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</si>
  <si>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</si>
  <si>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</si>
  <si>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</si>
  <si>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</si>
  <si>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</si>
  <si>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</si>
  <si>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</si>
  <si>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</si>
  <si>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</si>
  <si>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</si>
  <si>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</si>
  <si>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</si>
  <si>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</si>
  <si>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</si>
  <si>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</si>
  <si>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</si>
  <si>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</si>
  <si>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</si>
  <si>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</si>
  <si>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</si>
  <si>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</si>
  <si>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</si>
  <si>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</si>
  <si>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</si>
  <si>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</si>
  <si>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</si>
  <si>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</si>
  <si>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</si>
  <si>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</si>
  <si>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</si>
  <si>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</si>
  <si>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</si>
  <si>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</si>
  <si>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</si>
  <si>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</si>
  <si>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</si>
  <si>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</si>
  <si>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</si>
  <si>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</si>
  <si>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</si>
  <si>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</si>
  <si>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</si>
  <si>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</si>
  <si>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</si>
  <si>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</si>
  <si>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</si>
  <si>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</si>
  <si>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</si>
  <si>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</si>
  <si>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</si>
  <si>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</si>
  <si>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</si>
  <si>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</si>
  <si>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</si>
  <si>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</si>
  <si>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</si>
  <si>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</si>
  <si>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</si>
  <si>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</si>
  <si>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</si>
  <si>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</si>
  <si>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</si>
  <si>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</si>
  <si>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</si>
  <si>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</si>
  <si>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</si>
  <si>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</si>
  <si>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</si>
  <si>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</si>
  <si>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</si>
  <si>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</si>
  <si>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</si>
  <si>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</si>
  <si>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</si>
  <si>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</si>
  <si>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</si>
  <si>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</si>
  <si>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</si>
  <si>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</si>
  <si>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</si>
  <si>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</si>
  <si>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</si>
  <si>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</si>
  <si>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</si>
  <si>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</si>
  <si>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</si>
  <si>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</si>
  <si>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</si>
  <si>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</si>
  <si>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</si>
  <si>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</si>
  <si>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</si>
  <si>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</si>
  <si>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</si>
  <si>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</si>
  <si>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</si>
  <si>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</si>
  <si>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</si>
  <si>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</si>
  <si>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</si>
  <si>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</si>
  <si>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</si>
  <si>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</si>
  <si>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</si>
  <si>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</si>
  <si>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</si>
  <si>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</si>
  <si>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</si>
  <si>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</si>
  <si>
    <t>2 disjoint</t>
  </si>
  <si>
    <t>1 unstrucured</t>
  </si>
  <si>
    <t>1 disjoint</t>
  </si>
  <si>
    <t>medium</t>
  </si>
  <si>
    <t>&lt;2</t>
  </si>
  <si>
    <t>&gt;10</t>
  </si>
  <si>
    <t>&lt;=10</t>
  </si>
  <si>
    <t>1 unstructured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</si>
</sst>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0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  <xf numFmtId="2" fontId="0" fillId="0" borderId="0" xfId="0" applyNumberFormat="1"/>
    <xf numFmtId="2" fontId="5" fillId="0" borderId="2" xfId="0" applyNumberFormat="1" applyFont="1" applyBorder="1"/>
    <xf numFmtId="0" fontId="0" fillId="0" borderId="2" xfId="0" applyBorder="1" applyAlignment="1">
      <alignment horizontal="center"/>
    </xf>
    <xf numFmtId="0" fontId="0" fillId="0" borderId="2" xfId="0" applyBorder="1"/>
  </cellXfs>
  <cellStyles count="100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'RQ Reg vs Block'!$B$2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Block'!$B$3:$B$107</c:f>
              <c:numCache>
                <c:formatCode>General</c:formatCode>
                <c:ptCount val="105"/>
                <c:pt idx="0">
                  <c:v>1.03709315375982</c:v>
                </c:pt>
                <c:pt idx="1">
                  <c:v>0.988675213675214</c:v>
                </c:pt>
                <c:pt idx="2">
                  <c:v>1.068436427578774</c:v>
                </c:pt>
                <c:pt idx="3">
                  <c:v>0.957389430357628</c:v>
                </c:pt>
                <c:pt idx="4">
                  <c:v>0.847213130866382</c:v>
                </c:pt>
                <c:pt idx="5">
                  <c:v>0.993753672485923</c:v>
                </c:pt>
                <c:pt idx="6">
                  <c:v>2.107302925670227</c:v>
                </c:pt>
                <c:pt idx="7">
                  <c:v>1.06117549771047</c:v>
                </c:pt>
                <c:pt idx="8">
                  <c:v>1.286310974825526</c:v>
                </c:pt>
                <c:pt idx="9">
                  <c:v>0.96969696969697</c:v>
                </c:pt>
                <c:pt idx="10">
                  <c:v>1.209649122807018</c:v>
                </c:pt>
                <c:pt idx="11">
                  <c:v>1.135622368499081</c:v>
                </c:pt>
                <c:pt idx="12">
                  <c:v>0.844444444444444</c:v>
                </c:pt>
                <c:pt idx="13">
                  <c:v>1.245113674941797</c:v>
                </c:pt>
                <c:pt idx="14">
                  <c:v>1.1520126665414</c:v>
                </c:pt>
                <c:pt idx="15">
                  <c:v>1.1763618983536</c:v>
                </c:pt>
                <c:pt idx="16">
                  <c:v>0.996886011954014</c:v>
                </c:pt>
                <c:pt idx="17">
                  <c:v>1.314497558078254</c:v>
                </c:pt>
                <c:pt idx="18">
                  <c:v>1.213943199744911</c:v>
                </c:pt>
                <c:pt idx="19">
                  <c:v>1.102427843831754</c:v>
                </c:pt>
                <c:pt idx="20">
                  <c:v>1.051515151515152</c:v>
                </c:pt>
                <c:pt idx="21">
                  <c:v>1.083955163802756</c:v>
                </c:pt>
                <c:pt idx="22">
                  <c:v>1.028471891758641</c:v>
                </c:pt>
                <c:pt idx="23">
                  <c:v>1.055591235033233</c:v>
                </c:pt>
                <c:pt idx="24">
                  <c:v>1.026551017587219</c:v>
                </c:pt>
                <c:pt idx="25">
                  <c:v>1.04031916650831</c:v>
                </c:pt>
                <c:pt idx="26">
                  <c:v>2.12401624832555</c:v>
                </c:pt>
                <c:pt idx="27">
                  <c:v>0.90549728049728</c:v>
                </c:pt>
                <c:pt idx="28">
                  <c:v>1.185586804066663</c:v>
                </c:pt>
                <c:pt idx="29">
                  <c:v>1.978344147202911</c:v>
                </c:pt>
                <c:pt idx="30">
                  <c:v>1.09535762483131</c:v>
                </c:pt>
                <c:pt idx="31">
                  <c:v>0.979342685583719</c:v>
                </c:pt>
                <c:pt idx="32">
                  <c:v>1.585023706472846</c:v>
                </c:pt>
                <c:pt idx="33">
                  <c:v>1.159234172707606</c:v>
                </c:pt>
                <c:pt idx="34">
                  <c:v>1.291292653668253</c:v>
                </c:pt>
                <c:pt idx="35">
                  <c:v>1.104215761280061</c:v>
                </c:pt>
                <c:pt idx="36">
                  <c:v>1.824543025886027</c:v>
                </c:pt>
                <c:pt idx="37">
                  <c:v>1.197808842485146</c:v>
                </c:pt>
                <c:pt idx="38">
                  <c:v>1.16815849979768</c:v>
                </c:pt>
                <c:pt idx="39">
                  <c:v>1.308229405474344</c:v>
                </c:pt>
                <c:pt idx="40">
                  <c:v>1.201646479818478</c:v>
                </c:pt>
                <c:pt idx="41">
                  <c:v>1.349022251148759</c:v>
                </c:pt>
                <c:pt idx="42">
                  <c:v>1.027305558206038</c:v>
                </c:pt>
                <c:pt idx="43">
                  <c:v>1.222852723182158</c:v>
                </c:pt>
                <c:pt idx="44">
                  <c:v>12.12620617789326</c:v>
                </c:pt>
                <c:pt idx="45">
                  <c:v>41.65016598854274</c:v>
                </c:pt>
                <c:pt idx="46">
                  <c:v>1.142512077294686</c:v>
                </c:pt>
                <c:pt idx="47">
                  <c:v>0.950549450549451</c:v>
                </c:pt>
                <c:pt idx="48">
                  <c:v>36.80691136936137</c:v>
                </c:pt>
                <c:pt idx="49">
                  <c:v>1.079513888888889</c:v>
                </c:pt>
                <c:pt idx="50">
                  <c:v>4.846188558003831</c:v>
                </c:pt>
                <c:pt idx="51">
                  <c:v>1.227321797220567</c:v>
                </c:pt>
                <c:pt idx="52">
                  <c:v>472.267037162409</c:v>
                </c:pt>
                <c:pt idx="53">
                  <c:v>0.894147258102709</c:v>
                </c:pt>
                <c:pt idx="54">
                  <c:v>1.628265799073253</c:v>
                </c:pt>
                <c:pt idx="55">
                  <c:v>1.18876064664564</c:v>
                </c:pt>
                <c:pt idx="56">
                  <c:v>1.168384343852479</c:v>
                </c:pt>
                <c:pt idx="57">
                  <c:v>96.94695492716927</c:v>
                </c:pt>
                <c:pt idx="58">
                  <c:v>6.1122752987605</c:v>
                </c:pt>
                <c:pt idx="59">
                  <c:v>93.23514250851541</c:v>
                </c:pt>
                <c:pt idx="60">
                  <c:v>5.024968433337958</c:v>
                </c:pt>
                <c:pt idx="61">
                  <c:v>1.275290651444101</c:v>
                </c:pt>
                <c:pt idx="62">
                  <c:v>1.160953990632991</c:v>
                </c:pt>
                <c:pt idx="63">
                  <c:v>1.639791805174634</c:v>
                </c:pt>
                <c:pt idx="64">
                  <c:v>1.369003062423847</c:v>
                </c:pt>
                <c:pt idx="65">
                  <c:v>1.153152913099389</c:v>
                </c:pt>
                <c:pt idx="66">
                  <c:v>1.037161299715597</c:v>
                </c:pt>
                <c:pt idx="67">
                  <c:v>1.067660339587685</c:v>
                </c:pt>
                <c:pt idx="68">
                  <c:v>1.675865951864558</c:v>
                </c:pt>
                <c:pt idx="69">
                  <c:v>1.44492715467875</c:v>
                </c:pt>
                <c:pt idx="70">
                  <c:v>1.845814515132221</c:v>
                </c:pt>
                <c:pt idx="71">
                  <c:v>1.884678613800063</c:v>
                </c:pt>
                <c:pt idx="72">
                  <c:v>0.162905805154551</c:v>
                </c:pt>
                <c:pt idx="73">
                  <c:v>1.178973717777483</c:v>
                </c:pt>
                <c:pt idx="74">
                  <c:v>1.093997727111885</c:v>
                </c:pt>
                <c:pt idx="75">
                  <c:v>1.013267276438632</c:v>
                </c:pt>
                <c:pt idx="76">
                  <c:v>1.82271835850603</c:v>
                </c:pt>
                <c:pt idx="77">
                  <c:v>0.815117962078448</c:v>
                </c:pt>
                <c:pt idx="78">
                  <c:v>1.19132557517389</c:v>
                </c:pt>
                <c:pt idx="79">
                  <c:v>1.061827956989247</c:v>
                </c:pt>
                <c:pt idx="80">
                  <c:v>1.115952413145902</c:v>
                </c:pt>
                <c:pt idx="81">
                  <c:v>1.657237752168793</c:v>
                </c:pt>
                <c:pt idx="82">
                  <c:v>1.032466147755092</c:v>
                </c:pt>
                <c:pt idx="83">
                  <c:v>1.009077506377999</c:v>
                </c:pt>
                <c:pt idx="84">
                  <c:v>1.050501480348822</c:v>
                </c:pt>
                <c:pt idx="85">
                  <c:v>1.049660542280485</c:v>
                </c:pt>
                <c:pt idx="86">
                  <c:v>1.219150207132115</c:v>
                </c:pt>
                <c:pt idx="87">
                  <c:v>1.386647994500715</c:v>
                </c:pt>
                <c:pt idx="88">
                  <c:v>1.134031887474825</c:v>
                </c:pt>
                <c:pt idx="89">
                  <c:v>1.569495859167811</c:v>
                </c:pt>
                <c:pt idx="90">
                  <c:v>0.857731554160126</c:v>
                </c:pt>
                <c:pt idx="91">
                  <c:v>1.548346019125819</c:v>
                </c:pt>
                <c:pt idx="92">
                  <c:v>1.351876321353066</c:v>
                </c:pt>
                <c:pt idx="93">
                  <c:v>1.206635461202024</c:v>
                </c:pt>
                <c:pt idx="94">
                  <c:v>1.094744028073976</c:v>
                </c:pt>
                <c:pt idx="95">
                  <c:v>1.00663908119148</c:v>
                </c:pt>
                <c:pt idx="96">
                  <c:v>1.007609675656808</c:v>
                </c:pt>
                <c:pt idx="97">
                  <c:v>1.161193272032574</c:v>
                </c:pt>
                <c:pt idx="98">
                  <c:v>1.095936321076643</c:v>
                </c:pt>
                <c:pt idx="99">
                  <c:v>1.117378791798227</c:v>
                </c:pt>
                <c:pt idx="100">
                  <c:v>1.06815895155345</c:v>
                </c:pt>
                <c:pt idx="101">
                  <c:v>1.02367715924173</c:v>
                </c:pt>
                <c:pt idx="102">
                  <c:v>1.16355127848581</c:v>
                </c:pt>
                <c:pt idx="103">
                  <c:v>1.223536952633721</c:v>
                </c:pt>
                <c:pt idx="104">
                  <c:v>1.265216094668639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'RQ Reg vs Block'!$C$2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Block'!$C$3:$C$107</c:f>
              <c:numCache>
                <c:formatCode>General</c:formatCode>
                <c:ptCount val="105"/>
                <c:pt idx="0">
                  <c:v>1.037197286321039</c:v>
                </c:pt>
                <c:pt idx="1">
                  <c:v>1.082952681587975</c:v>
                </c:pt>
                <c:pt idx="2">
                  <c:v>0.940094747356347</c:v>
                </c:pt>
                <c:pt idx="3">
                  <c:v>1.049091946447333</c:v>
                </c:pt>
                <c:pt idx="4">
                  <c:v>0.929535009785894</c:v>
                </c:pt>
                <c:pt idx="5">
                  <c:v>1.162240940387344</c:v>
                </c:pt>
                <c:pt idx="6">
                  <c:v>1.65813659938941</c:v>
                </c:pt>
                <c:pt idx="7">
                  <c:v>1.101229475260931</c:v>
                </c:pt>
                <c:pt idx="8">
                  <c:v>1.149602445874825</c:v>
                </c:pt>
                <c:pt idx="9">
                  <c:v>1.013967045952222</c:v>
                </c:pt>
                <c:pt idx="10">
                  <c:v>1.218390804597701</c:v>
                </c:pt>
                <c:pt idx="11">
                  <c:v>0.952377932137438</c:v>
                </c:pt>
                <c:pt idx="12">
                  <c:v>1.096751223854028</c:v>
                </c:pt>
                <c:pt idx="13">
                  <c:v>1.162146450090399</c:v>
                </c:pt>
                <c:pt idx="14">
                  <c:v>1.108797225715686</c:v>
                </c:pt>
                <c:pt idx="15">
                  <c:v>1.035223419625451</c:v>
                </c:pt>
                <c:pt idx="16">
                  <c:v>0.995812945061065</c:v>
                </c:pt>
                <c:pt idx="17">
                  <c:v>1.23999199353442</c:v>
                </c:pt>
                <c:pt idx="18">
                  <c:v>1.130737054786172</c:v>
                </c:pt>
                <c:pt idx="19">
                  <c:v>1.055432824520168</c:v>
                </c:pt>
                <c:pt idx="20">
                  <c:v>0.993579874850778</c:v>
                </c:pt>
                <c:pt idx="21">
                  <c:v>1.015599551545662</c:v>
                </c:pt>
                <c:pt idx="22">
                  <c:v>1.01871313545268</c:v>
                </c:pt>
                <c:pt idx="23">
                  <c:v>1.010116544448341</c:v>
                </c:pt>
                <c:pt idx="24">
                  <c:v>0.981113305476684</c:v>
                </c:pt>
                <c:pt idx="25">
                  <c:v>1.075493382257062</c:v>
                </c:pt>
                <c:pt idx="26">
                  <c:v>1.282298940537345</c:v>
                </c:pt>
                <c:pt idx="27">
                  <c:v>0.989328493625608</c:v>
                </c:pt>
                <c:pt idx="28">
                  <c:v>1.117829565969223</c:v>
                </c:pt>
                <c:pt idx="29">
                  <c:v>1.272010340355984</c:v>
                </c:pt>
                <c:pt idx="30">
                  <c:v>0.915772602299059</c:v>
                </c:pt>
                <c:pt idx="31">
                  <c:v>0.884736338414685</c:v>
                </c:pt>
                <c:pt idx="32">
                  <c:v>1.523188390150446</c:v>
                </c:pt>
                <c:pt idx="33">
                  <c:v>1.219811998323509</c:v>
                </c:pt>
                <c:pt idx="34">
                  <c:v>1.353001955465034</c:v>
                </c:pt>
                <c:pt idx="35">
                  <c:v>1.028082655457643</c:v>
                </c:pt>
                <c:pt idx="36">
                  <c:v>1.267065211033069</c:v>
                </c:pt>
                <c:pt idx="37">
                  <c:v>0.945179228003245</c:v>
                </c:pt>
                <c:pt idx="38">
                  <c:v>0.999703721512521</c:v>
                </c:pt>
                <c:pt idx="39">
                  <c:v>1.110666186895193</c:v>
                </c:pt>
                <c:pt idx="40">
                  <c:v>1.039940558283286</c:v>
                </c:pt>
                <c:pt idx="41">
                  <c:v>1.089045240944115</c:v>
                </c:pt>
                <c:pt idx="42">
                  <c:v>0.864525437032107</c:v>
                </c:pt>
                <c:pt idx="43">
                  <c:v>0.927354310339454</c:v>
                </c:pt>
                <c:pt idx="44">
                  <c:v>4.250698769802068</c:v>
                </c:pt>
                <c:pt idx="45">
                  <c:v>8.26219659433593</c:v>
                </c:pt>
                <c:pt idx="46">
                  <c:v>1.01468649475294</c:v>
                </c:pt>
                <c:pt idx="47">
                  <c:v>1.155903665814152</c:v>
                </c:pt>
                <c:pt idx="48">
                  <c:v>13.75127671515436</c:v>
                </c:pt>
                <c:pt idx="49">
                  <c:v>1.001710082960013</c:v>
                </c:pt>
                <c:pt idx="50">
                  <c:v>2.869215340792847</c:v>
                </c:pt>
                <c:pt idx="51">
                  <c:v>1.122785303117845</c:v>
                </c:pt>
                <c:pt idx="52">
                  <c:v>295.7790795887482</c:v>
                </c:pt>
                <c:pt idx="53">
                  <c:v>0.921347751825012</c:v>
                </c:pt>
                <c:pt idx="54">
                  <c:v>1.410773190996022</c:v>
                </c:pt>
                <c:pt idx="55">
                  <c:v>1.084126984126984</c:v>
                </c:pt>
                <c:pt idx="56">
                  <c:v>0.931855067546584</c:v>
                </c:pt>
                <c:pt idx="57">
                  <c:v>21.46411222281104</c:v>
                </c:pt>
                <c:pt idx="58">
                  <c:v>2.511832289918916</c:v>
                </c:pt>
                <c:pt idx="59">
                  <c:v>21.12272007414466</c:v>
                </c:pt>
                <c:pt idx="60">
                  <c:v>1.989396284945639</c:v>
                </c:pt>
                <c:pt idx="61">
                  <c:v>1.219117483815603</c:v>
                </c:pt>
                <c:pt idx="62">
                  <c:v>1.203488490221427</c:v>
                </c:pt>
                <c:pt idx="63">
                  <c:v>1.409043706876888</c:v>
                </c:pt>
                <c:pt idx="64">
                  <c:v>1.276848809293354</c:v>
                </c:pt>
                <c:pt idx="65">
                  <c:v>1.026407567441002</c:v>
                </c:pt>
                <c:pt idx="66">
                  <c:v>1.006486722446675</c:v>
                </c:pt>
                <c:pt idx="67">
                  <c:v>1.143054858383635</c:v>
                </c:pt>
                <c:pt idx="68">
                  <c:v>1.498866082343732</c:v>
                </c:pt>
                <c:pt idx="69">
                  <c:v>1.347035348305551</c:v>
                </c:pt>
                <c:pt idx="70">
                  <c:v>1.105758068246185</c:v>
                </c:pt>
                <c:pt idx="71">
                  <c:v>0.933915617378218</c:v>
                </c:pt>
                <c:pt idx="72">
                  <c:v>0.0890151167740343</c:v>
                </c:pt>
                <c:pt idx="73">
                  <c:v>1.037442460085342</c:v>
                </c:pt>
                <c:pt idx="74">
                  <c:v>1.128021443630763</c:v>
                </c:pt>
                <c:pt idx="75">
                  <c:v>0.9066592028137</c:v>
                </c:pt>
                <c:pt idx="76">
                  <c:v>0.784346912057728</c:v>
                </c:pt>
                <c:pt idx="77">
                  <c:v>1.01062091503268</c:v>
                </c:pt>
                <c:pt idx="78">
                  <c:v>0.803078761631953</c:v>
                </c:pt>
                <c:pt idx="79">
                  <c:v>1.36095990087599</c:v>
                </c:pt>
                <c:pt idx="80">
                  <c:v>1.056547260003041</c:v>
                </c:pt>
                <c:pt idx="81">
                  <c:v>1.224408612797325</c:v>
                </c:pt>
                <c:pt idx="82">
                  <c:v>1.107014411794034</c:v>
                </c:pt>
                <c:pt idx="83">
                  <c:v>1.018427478384661</c:v>
                </c:pt>
                <c:pt idx="84">
                  <c:v>0.965804418839174</c:v>
                </c:pt>
                <c:pt idx="85">
                  <c:v>0.996598225237568</c:v>
                </c:pt>
                <c:pt idx="86">
                  <c:v>1.079766952541147</c:v>
                </c:pt>
                <c:pt idx="87">
                  <c:v>1.201320659742436</c:v>
                </c:pt>
                <c:pt idx="88">
                  <c:v>1.07363885596978</c:v>
                </c:pt>
                <c:pt idx="89">
                  <c:v>1.176630300819435</c:v>
                </c:pt>
                <c:pt idx="90">
                  <c:v>0.988908249796584</c:v>
                </c:pt>
                <c:pt idx="91">
                  <c:v>1.161970344143305</c:v>
                </c:pt>
                <c:pt idx="92">
                  <c:v>1.05061391157445</c:v>
                </c:pt>
                <c:pt idx="93">
                  <c:v>1.012063889873436</c:v>
                </c:pt>
                <c:pt idx="94">
                  <c:v>0.95209459889036</c:v>
                </c:pt>
                <c:pt idx="95">
                  <c:v>0.996846473443982</c:v>
                </c:pt>
                <c:pt idx="96">
                  <c:v>0.945958070745387</c:v>
                </c:pt>
                <c:pt idx="97">
                  <c:v>1.060711130840891</c:v>
                </c:pt>
                <c:pt idx="98">
                  <c:v>1.101388231296615</c:v>
                </c:pt>
                <c:pt idx="99">
                  <c:v>1.142664445054013</c:v>
                </c:pt>
                <c:pt idx="100">
                  <c:v>1.076621593032129</c:v>
                </c:pt>
                <c:pt idx="101">
                  <c:v>0.944353427895981</c:v>
                </c:pt>
                <c:pt idx="102">
                  <c:v>1.060539998167956</c:v>
                </c:pt>
                <c:pt idx="103">
                  <c:v>1.180486883635271</c:v>
                </c:pt>
                <c:pt idx="104">
                  <c:v>1.028185364373416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'RQ Reg vs Block'!$D$2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Block'!$D$3:$D$107</c:f>
              <c:numCache>
                <c:formatCode>General</c:formatCode>
                <c:ptCount val="105"/>
                <c:pt idx="0">
                  <c:v>0.994530646216039</c:v>
                </c:pt>
                <c:pt idx="1">
                  <c:v>0.895066915655151</c:v>
                </c:pt>
                <c:pt idx="2">
                  <c:v>1.055515303539068</c:v>
                </c:pt>
                <c:pt idx="3">
                  <c:v>1.06336215968418</c:v>
                </c:pt>
                <c:pt idx="4">
                  <c:v>0.833238851095994</c:v>
                </c:pt>
                <c:pt idx="5">
                  <c:v>1.223985075204093</c:v>
                </c:pt>
                <c:pt idx="6">
                  <c:v>2.22375791466153</c:v>
                </c:pt>
                <c:pt idx="7">
                  <c:v>1.232494070643978</c:v>
                </c:pt>
                <c:pt idx="8">
                  <c:v>1.282418119959089</c:v>
                </c:pt>
                <c:pt idx="9">
                  <c:v>0.821946169772257</c:v>
                </c:pt>
                <c:pt idx="10">
                  <c:v>0.906666666666667</c:v>
                </c:pt>
                <c:pt idx="11">
                  <c:v>0.95982905982906</c:v>
                </c:pt>
                <c:pt idx="12">
                  <c:v>1.108359133126935</c:v>
                </c:pt>
                <c:pt idx="13">
                  <c:v>1.244092069861564</c:v>
                </c:pt>
                <c:pt idx="14">
                  <c:v>1.127816648101736</c:v>
                </c:pt>
                <c:pt idx="15">
                  <c:v>1.168489953523072</c:v>
                </c:pt>
                <c:pt idx="16">
                  <c:v>1.00503409203327</c:v>
                </c:pt>
                <c:pt idx="17">
                  <c:v>1.312082564206713</c:v>
                </c:pt>
                <c:pt idx="18">
                  <c:v>1.207919934053467</c:v>
                </c:pt>
                <c:pt idx="19">
                  <c:v>1.054990933994493</c:v>
                </c:pt>
                <c:pt idx="20">
                  <c:v>1.020833333333333</c:v>
                </c:pt>
                <c:pt idx="21">
                  <c:v>1.061674563776515</c:v>
                </c:pt>
                <c:pt idx="22">
                  <c:v>1.079019452398927</c:v>
                </c:pt>
                <c:pt idx="23">
                  <c:v>1.060096297479874</c:v>
                </c:pt>
                <c:pt idx="24">
                  <c:v>0.952819384219353</c:v>
                </c:pt>
                <c:pt idx="25">
                  <c:v>1.003970701399228</c:v>
                </c:pt>
                <c:pt idx="26">
                  <c:v>2.055847512996051</c:v>
                </c:pt>
                <c:pt idx="27">
                  <c:v>0.874458874458874</c:v>
                </c:pt>
                <c:pt idx="28">
                  <c:v>1.308654893443501</c:v>
                </c:pt>
                <c:pt idx="29">
                  <c:v>1.903323668063454</c:v>
                </c:pt>
                <c:pt idx="30">
                  <c:v>0.792822120408327</c:v>
                </c:pt>
                <c:pt idx="31">
                  <c:v>1.133053221288516</c:v>
                </c:pt>
                <c:pt idx="32">
                  <c:v>1.581011396685217</c:v>
                </c:pt>
                <c:pt idx="33">
                  <c:v>1.219006423085583</c:v>
                </c:pt>
                <c:pt idx="34">
                  <c:v>1.277261901246223</c:v>
                </c:pt>
                <c:pt idx="35">
                  <c:v>1.053782972089929</c:v>
                </c:pt>
                <c:pt idx="36">
                  <c:v>1.820817088708126</c:v>
                </c:pt>
                <c:pt idx="37">
                  <c:v>1.223670686129806</c:v>
                </c:pt>
                <c:pt idx="38">
                  <c:v>1.213635910556164</c:v>
                </c:pt>
                <c:pt idx="39">
                  <c:v>1.303869779037344</c:v>
                </c:pt>
                <c:pt idx="40">
                  <c:v>1.216023945131837</c:v>
                </c:pt>
                <c:pt idx="41">
                  <c:v>1.326659734801316</c:v>
                </c:pt>
                <c:pt idx="42">
                  <c:v>1.097470679513603</c:v>
                </c:pt>
                <c:pt idx="43">
                  <c:v>0.948105059894901</c:v>
                </c:pt>
                <c:pt idx="44">
                  <c:v>7.147392611604344</c:v>
                </c:pt>
                <c:pt idx="45">
                  <c:v>3.12121636142819</c:v>
                </c:pt>
                <c:pt idx="46">
                  <c:v>0.885987153482083</c:v>
                </c:pt>
                <c:pt idx="47">
                  <c:v>0.926495726495726</c:v>
                </c:pt>
                <c:pt idx="48">
                  <c:v>43.3200409585908</c:v>
                </c:pt>
                <c:pt idx="49">
                  <c:v>1.179953273295758</c:v>
                </c:pt>
                <c:pt idx="50">
                  <c:v>3.830852589474509</c:v>
                </c:pt>
                <c:pt idx="51">
                  <c:v>1.166209200776819</c:v>
                </c:pt>
                <c:pt idx="52">
                  <c:v>492.5730930120429</c:v>
                </c:pt>
                <c:pt idx="53">
                  <c:v>0.900790127678729</c:v>
                </c:pt>
                <c:pt idx="54">
                  <c:v>1.478043766243488</c:v>
                </c:pt>
                <c:pt idx="55">
                  <c:v>1.091059757236228</c:v>
                </c:pt>
                <c:pt idx="56">
                  <c:v>1.151017442627761</c:v>
                </c:pt>
                <c:pt idx="57">
                  <c:v>95.83329723572962</c:v>
                </c:pt>
                <c:pt idx="58">
                  <c:v>7.567737420704676</c:v>
                </c:pt>
                <c:pt idx="59">
                  <c:v>88.09197000871428</c:v>
                </c:pt>
                <c:pt idx="60">
                  <c:v>5.408527502924086</c:v>
                </c:pt>
                <c:pt idx="61">
                  <c:v>1.233339380841944</c:v>
                </c:pt>
                <c:pt idx="62">
                  <c:v>1.347965421966313</c:v>
                </c:pt>
                <c:pt idx="63">
                  <c:v>1.619523480623619</c:v>
                </c:pt>
                <c:pt idx="64">
                  <c:v>1.4265348777891</c:v>
                </c:pt>
                <c:pt idx="65">
                  <c:v>1.029235123452145</c:v>
                </c:pt>
                <c:pt idx="66">
                  <c:v>0.97149598028995</c:v>
                </c:pt>
                <c:pt idx="67">
                  <c:v>1.073303610979454</c:v>
                </c:pt>
                <c:pt idx="68">
                  <c:v>1.654053534636105</c:v>
                </c:pt>
                <c:pt idx="69">
                  <c:v>1.384894624005088</c:v>
                </c:pt>
                <c:pt idx="70">
                  <c:v>1.810460980879178</c:v>
                </c:pt>
                <c:pt idx="71">
                  <c:v>1.851834692582737</c:v>
                </c:pt>
                <c:pt idx="72">
                  <c:v>0.167190402002843</c:v>
                </c:pt>
                <c:pt idx="73">
                  <c:v>1.136021350643795</c:v>
                </c:pt>
                <c:pt idx="74">
                  <c:v>1.086306597422143</c:v>
                </c:pt>
                <c:pt idx="75">
                  <c:v>1.003880752117494</c:v>
                </c:pt>
                <c:pt idx="76">
                  <c:v>1.830273069679849</c:v>
                </c:pt>
                <c:pt idx="77">
                  <c:v>0.976180726180726</c:v>
                </c:pt>
                <c:pt idx="78">
                  <c:v>1.095838747783946</c:v>
                </c:pt>
                <c:pt idx="79">
                  <c:v>0.997826086956522</c:v>
                </c:pt>
                <c:pt idx="80">
                  <c:v>1.116007050521775</c:v>
                </c:pt>
                <c:pt idx="81">
                  <c:v>1.569402321082048</c:v>
                </c:pt>
                <c:pt idx="82">
                  <c:v>1.030450794891897</c:v>
                </c:pt>
                <c:pt idx="83">
                  <c:v>1.016632309651293</c:v>
                </c:pt>
                <c:pt idx="84">
                  <c:v>1.104266170791179</c:v>
                </c:pt>
                <c:pt idx="85">
                  <c:v>1.120626668056966</c:v>
                </c:pt>
                <c:pt idx="86">
                  <c:v>1.181093100333731</c:v>
                </c:pt>
                <c:pt idx="87">
                  <c:v>1.284332661654584</c:v>
                </c:pt>
                <c:pt idx="88">
                  <c:v>1.13317390011155</c:v>
                </c:pt>
                <c:pt idx="89">
                  <c:v>1.537121125729628</c:v>
                </c:pt>
                <c:pt idx="90">
                  <c:v>0.963441786971199</c:v>
                </c:pt>
                <c:pt idx="91">
                  <c:v>1.56679393503823</c:v>
                </c:pt>
                <c:pt idx="92">
                  <c:v>1.217106106215017</c:v>
                </c:pt>
                <c:pt idx="93">
                  <c:v>1.579367061509919</c:v>
                </c:pt>
                <c:pt idx="94">
                  <c:v>1.031185533857756</c:v>
                </c:pt>
                <c:pt idx="95">
                  <c:v>1.107137416254033</c:v>
                </c:pt>
                <c:pt idx="96">
                  <c:v>1.072475321826815</c:v>
                </c:pt>
                <c:pt idx="97">
                  <c:v>1.151018904644535</c:v>
                </c:pt>
                <c:pt idx="98">
                  <c:v>1.094426631716621</c:v>
                </c:pt>
                <c:pt idx="99">
                  <c:v>1.397910624752856</c:v>
                </c:pt>
                <c:pt idx="100">
                  <c:v>1.16673363276747</c:v>
                </c:pt>
                <c:pt idx="101">
                  <c:v>1.01010101010101</c:v>
                </c:pt>
                <c:pt idx="102">
                  <c:v>1.108477818338523</c:v>
                </c:pt>
                <c:pt idx="103">
                  <c:v>1.212629393717219</c:v>
                </c:pt>
                <c:pt idx="104">
                  <c:v>1.24224497101947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'RQ Reg vs Block'!$E$2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Block'!$E$3:$E$107</c:f>
              <c:numCache>
                <c:formatCode>General</c:formatCode>
                <c:ptCount val="105"/>
                <c:pt idx="0">
                  <c:v>1.151426684739165</c:v>
                </c:pt>
                <c:pt idx="1">
                  <c:v>1.01853055447232</c:v>
                </c:pt>
                <c:pt idx="2">
                  <c:v>0.994949494949495</c:v>
                </c:pt>
                <c:pt idx="3">
                  <c:v>1.071516006318246</c:v>
                </c:pt>
                <c:pt idx="4">
                  <c:v>1.038852913968548</c:v>
                </c:pt>
                <c:pt idx="5">
                  <c:v>1.128400619614677</c:v>
                </c:pt>
                <c:pt idx="6">
                  <c:v>2.140104762725143</c:v>
                </c:pt>
                <c:pt idx="7">
                  <c:v>1.065166167249587</c:v>
                </c:pt>
                <c:pt idx="8">
                  <c:v>1.363575279702723</c:v>
                </c:pt>
                <c:pt idx="9">
                  <c:v>0.974358974358974</c:v>
                </c:pt>
                <c:pt idx="10">
                  <c:v>1.2</c:v>
                </c:pt>
                <c:pt idx="11">
                  <c:v>1.065911835748792</c:v>
                </c:pt>
                <c:pt idx="12">
                  <c:v>1.027179487179487</c:v>
                </c:pt>
                <c:pt idx="13">
                  <c:v>1.310891076800676</c:v>
                </c:pt>
                <c:pt idx="14">
                  <c:v>1.218279569892473</c:v>
                </c:pt>
                <c:pt idx="15">
                  <c:v>1.172672672672673</c:v>
                </c:pt>
                <c:pt idx="16">
                  <c:v>1.092123650203338</c:v>
                </c:pt>
                <c:pt idx="17">
                  <c:v>1.430442743972071</c:v>
                </c:pt>
                <c:pt idx="18">
                  <c:v>1.328826334410091</c:v>
                </c:pt>
                <c:pt idx="19">
                  <c:v>1.132769727818719</c:v>
                </c:pt>
                <c:pt idx="20">
                  <c:v>1.0</c:v>
                </c:pt>
                <c:pt idx="21">
                  <c:v>1.105535217929746</c:v>
                </c:pt>
                <c:pt idx="22">
                  <c:v>1.119835271351064</c:v>
                </c:pt>
                <c:pt idx="23">
                  <c:v>1.129294176111316</c:v>
                </c:pt>
                <c:pt idx="24">
                  <c:v>1.137453948158507</c:v>
                </c:pt>
                <c:pt idx="25">
                  <c:v>1.079514265411701</c:v>
                </c:pt>
                <c:pt idx="26">
                  <c:v>2.260492315286836</c:v>
                </c:pt>
                <c:pt idx="27">
                  <c:v>1.049350649350649</c:v>
                </c:pt>
                <c:pt idx="28">
                  <c:v>1.064288348700754</c:v>
                </c:pt>
                <c:pt idx="29">
                  <c:v>1.99143293477856</c:v>
                </c:pt>
                <c:pt idx="30">
                  <c:v>1.294699872286079</c:v>
                </c:pt>
                <c:pt idx="31">
                  <c:v>0.772408963585434</c:v>
                </c:pt>
                <c:pt idx="32">
                  <c:v>1.55622285131836</c:v>
                </c:pt>
                <c:pt idx="33">
                  <c:v>1.190050551553643</c:v>
                </c:pt>
                <c:pt idx="34">
                  <c:v>1.318182262920365</c:v>
                </c:pt>
                <c:pt idx="35">
                  <c:v>1.153887560619499</c:v>
                </c:pt>
                <c:pt idx="36">
                  <c:v>1.921169772256729</c:v>
                </c:pt>
                <c:pt idx="37">
                  <c:v>1.253446870787701</c:v>
                </c:pt>
                <c:pt idx="38">
                  <c:v>1.297342598665297</c:v>
                </c:pt>
                <c:pt idx="39">
                  <c:v>1.406574731777575</c:v>
                </c:pt>
                <c:pt idx="40">
                  <c:v>1.133737217145344</c:v>
                </c:pt>
                <c:pt idx="41">
                  <c:v>1.516305414885273</c:v>
                </c:pt>
                <c:pt idx="42">
                  <c:v>1.025231869037179</c:v>
                </c:pt>
                <c:pt idx="43">
                  <c:v>1.047275625128134</c:v>
                </c:pt>
                <c:pt idx="44">
                  <c:v>10.68401665065642</c:v>
                </c:pt>
                <c:pt idx="45">
                  <c:v>4.291801030134033</c:v>
                </c:pt>
                <c:pt idx="46">
                  <c:v>0.98989898989899</c:v>
                </c:pt>
                <c:pt idx="47">
                  <c:v>1.002614379084967</c:v>
                </c:pt>
                <c:pt idx="48">
                  <c:v>33.42871369448271</c:v>
                </c:pt>
                <c:pt idx="49">
                  <c:v>1.134240877292494</c:v>
                </c:pt>
                <c:pt idx="50">
                  <c:v>4.886749662227368</c:v>
                </c:pt>
                <c:pt idx="51">
                  <c:v>1.289841915657658</c:v>
                </c:pt>
                <c:pt idx="52">
                  <c:v>460.1067523244642</c:v>
                </c:pt>
                <c:pt idx="53">
                  <c:v>1.048597449908925</c:v>
                </c:pt>
                <c:pt idx="54">
                  <c:v>1.732869766768072</c:v>
                </c:pt>
                <c:pt idx="55">
                  <c:v>1.221658766030941</c:v>
                </c:pt>
                <c:pt idx="56">
                  <c:v>1.264130434782609</c:v>
                </c:pt>
                <c:pt idx="57">
                  <c:v>104.7722635244414</c:v>
                </c:pt>
                <c:pt idx="58">
                  <c:v>5.151867758215231</c:v>
                </c:pt>
                <c:pt idx="59">
                  <c:v>99.64723800270106</c:v>
                </c:pt>
                <c:pt idx="60">
                  <c:v>5.147675119537201</c:v>
                </c:pt>
                <c:pt idx="61">
                  <c:v>1.322850672863824</c:v>
                </c:pt>
                <c:pt idx="62">
                  <c:v>4.020613247514439</c:v>
                </c:pt>
                <c:pt idx="63">
                  <c:v>1.714540247716663</c:v>
                </c:pt>
                <c:pt idx="64">
                  <c:v>1.549360401079263</c:v>
                </c:pt>
                <c:pt idx="65">
                  <c:v>1.08695608360038</c:v>
                </c:pt>
                <c:pt idx="66">
                  <c:v>1.129787751626832</c:v>
                </c:pt>
                <c:pt idx="67">
                  <c:v>1.119640673546779</c:v>
                </c:pt>
                <c:pt idx="68">
                  <c:v>1.842238640581672</c:v>
                </c:pt>
                <c:pt idx="69">
                  <c:v>1.454191041903283</c:v>
                </c:pt>
                <c:pt idx="70">
                  <c:v>1.987902823574838</c:v>
                </c:pt>
                <c:pt idx="71">
                  <c:v>1.932789597717913</c:v>
                </c:pt>
                <c:pt idx="72">
                  <c:v>0.155205038196244</c:v>
                </c:pt>
                <c:pt idx="73">
                  <c:v>1.226505773893452</c:v>
                </c:pt>
                <c:pt idx="74">
                  <c:v>1.212003583159152</c:v>
                </c:pt>
                <c:pt idx="75">
                  <c:v>1.014821414030373</c:v>
                </c:pt>
                <c:pt idx="76">
                  <c:v>1.289237929028505</c:v>
                </c:pt>
                <c:pt idx="77">
                  <c:v>1.125152625152625</c:v>
                </c:pt>
                <c:pt idx="78">
                  <c:v>1.028691686815351</c:v>
                </c:pt>
                <c:pt idx="79">
                  <c:v>0.777777777777778</c:v>
                </c:pt>
                <c:pt idx="80">
                  <c:v>1.112440715196333</c:v>
                </c:pt>
                <c:pt idx="81">
                  <c:v>1.650459984782458</c:v>
                </c:pt>
                <c:pt idx="82">
                  <c:v>1.171313877828162</c:v>
                </c:pt>
                <c:pt idx="83">
                  <c:v>1.07649442042355</c:v>
                </c:pt>
                <c:pt idx="84">
                  <c:v>1.112975287814464</c:v>
                </c:pt>
                <c:pt idx="85">
                  <c:v>1.199434474003116</c:v>
                </c:pt>
                <c:pt idx="86">
                  <c:v>1.368592442590959</c:v>
                </c:pt>
                <c:pt idx="87">
                  <c:v>1.454216924585307</c:v>
                </c:pt>
                <c:pt idx="88">
                  <c:v>1.278432700356461</c:v>
                </c:pt>
                <c:pt idx="89">
                  <c:v>1.468684426286461</c:v>
                </c:pt>
                <c:pt idx="90">
                  <c:v>1.086868686868687</c:v>
                </c:pt>
                <c:pt idx="91">
                  <c:v>1.553366156169894</c:v>
                </c:pt>
                <c:pt idx="92">
                  <c:v>1.471661399268761</c:v>
                </c:pt>
                <c:pt idx="93">
                  <c:v>1.355374149659864</c:v>
                </c:pt>
                <c:pt idx="94">
                  <c:v>1.123301117487164</c:v>
                </c:pt>
                <c:pt idx="95">
                  <c:v>1.090133260313983</c:v>
                </c:pt>
                <c:pt idx="96">
                  <c:v>1.029622481256684</c:v>
                </c:pt>
                <c:pt idx="97">
                  <c:v>1.243999120481025</c:v>
                </c:pt>
                <c:pt idx="98">
                  <c:v>1.111988631803007</c:v>
                </c:pt>
                <c:pt idx="99">
                  <c:v>1.176974520427215</c:v>
                </c:pt>
                <c:pt idx="100">
                  <c:v>1.190414936234334</c:v>
                </c:pt>
                <c:pt idx="101">
                  <c:v>1.113650075414781</c:v>
                </c:pt>
                <c:pt idx="102">
                  <c:v>1.189146743332187</c:v>
                </c:pt>
                <c:pt idx="103">
                  <c:v>1.377221202279331</c:v>
                </c:pt>
                <c:pt idx="104">
                  <c:v>1.400848434032511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'RQ Reg vs Block'!$F$2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Block'!$F$3:$F$107</c:f>
              <c:numCache>
                <c:formatCode>General</c:formatCode>
                <c:ptCount val="105"/>
                <c:pt idx="0">
                  <c:v>0.863311790752344</c:v>
                </c:pt>
                <c:pt idx="1">
                  <c:v>1.015057641936544</c:v>
                </c:pt>
                <c:pt idx="2">
                  <c:v>1.014178150135719</c:v>
                </c:pt>
                <c:pt idx="3">
                  <c:v>0.939149718930725</c:v>
                </c:pt>
                <c:pt idx="4">
                  <c:v>1.219617384430371</c:v>
                </c:pt>
                <c:pt idx="5">
                  <c:v>1.06078751170119</c:v>
                </c:pt>
                <c:pt idx="6">
                  <c:v>1.679289290364348</c:v>
                </c:pt>
                <c:pt idx="7">
                  <c:v>0.985861546196494</c:v>
                </c:pt>
                <c:pt idx="8">
                  <c:v>1.477679506168743</c:v>
                </c:pt>
                <c:pt idx="9">
                  <c:v>0.996789378198316</c:v>
                </c:pt>
                <c:pt idx="10">
                  <c:v>0.996239544768957</c:v>
                </c:pt>
                <c:pt idx="11">
                  <c:v>0.899071284583958</c:v>
                </c:pt>
                <c:pt idx="12">
                  <c:v>1.018392292055968</c:v>
                </c:pt>
                <c:pt idx="13">
                  <c:v>1.045486069276464</c:v>
                </c:pt>
                <c:pt idx="14">
                  <c:v>1.117878473897063</c:v>
                </c:pt>
                <c:pt idx="15">
                  <c:v>1.095154761576821</c:v>
                </c:pt>
                <c:pt idx="16">
                  <c:v>1.042483175117114</c:v>
                </c:pt>
                <c:pt idx="17">
                  <c:v>1.138499611486547</c:v>
                </c:pt>
                <c:pt idx="18">
                  <c:v>0.998753901637037</c:v>
                </c:pt>
                <c:pt idx="19">
                  <c:v>1.104491273584918</c:v>
                </c:pt>
                <c:pt idx="20">
                  <c:v>0.995088734639696</c:v>
                </c:pt>
                <c:pt idx="21">
                  <c:v>1.025199265060323</c:v>
                </c:pt>
                <c:pt idx="22">
                  <c:v>0.941163069016214</c:v>
                </c:pt>
                <c:pt idx="23">
                  <c:v>1.018406627368691</c:v>
                </c:pt>
                <c:pt idx="24">
                  <c:v>1.081610317694512</c:v>
                </c:pt>
                <c:pt idx="25">
                  <c:v>1.026745742709733</c:v>
                </c:pt>
                <c:pt idx="26">
                  <c:v>1.769527674546261</c:v>
                </c:pt>
                <c:pt idx="27">
                  <c:v>1.08071258229874</c:v>
                </c:pt>
                <c:pt idx="28">
                  <c:v>1.047820080274675</c:v>
                </c:pt>
                <c:pt idx="29">
                  <c:v>1.51502164438452</c:v>
                </c:pt>
                <c:pt idx="30">
                  <c:v>1.154282317853359</c:v>
                </c:pt>
                <c:pt idx="31">
                  <c:v>0.979974877157639</c:v>
                </c:pt>
                <c:pt idx="32">
                  <c:v>1.653184869955116</c:v>
                </c:pt>
                <c:pt idx="33">
                  <c:v>1.201073127760113</c:v>
                </c:pt>
                <c:pt idx="34">
                  <c:v>1.714957125940327</c:v>
                </c:pt>
                <c:pt idx="35">
                  <c:v>1.113466848178593</c:v>
                </c:pt>
                <c:pt idx="36">
                  <c:v>1.274796181301917</c:v>
                </c:pt>
                <c:pt idx="37">
                  <c:v>1.024753427772401</c:v>
                </c:pt>
                <c:pt idx="38">
                  <c:v>1.000173293675602</c:v>
                </c:pt>
                <c:pt idx="39">
                  <c:v>1.122490841584534</c:v>
                </c:pt>
                <c:pt idx="40">
                  <c:v>1.124949675550369</c:v>
                </c:pt>
                <c:pt idx="41">
                  <c:v>1.353508365722039</c:v>
                </c:pt>
                <c:pt idx="42">
                  <c:v>0.877246028295953</c:v>
                </c:pt>
                <c:pt idx="43">
                  <c:v>1.004645846352081</c:v>
                </c:pt>
                <c:pt idx="44">
                  <c:v>2.107476852355798</c:v>
                </c:pt>
                <c:pt idx="45">
                  <c:v>2.031023926297141</c:v>
                </c:pt>
                <c:pt idx="46">
                  <c:v>1.056478093629796</c:v>
                </c:pt>
                <c:pt idx="47">
                  <c:v>1.202898550724638</c:v>
                </c:pt>
                <c:pt idx="48">
                  <c:v>6.16074449022732</c:v>
                </c:pt>
                <c:pt idx="49">
                  <c:v>1.152267389047424</c:v>
                </c:pt>
                <c:pt idx="50">
                  <c:v>1.700695885497901</c:v>
                </c:pt>
                <c:pt idx="51">
                  <c:v>1.111641605805105</c:v>
                </c:pt>
                <c:pt idx="52">
                  <c:v>123.8615781194165</c:v>
                </c:pt>
                <c:pt idx="53">
                  <c:v>1.004608253270865</c:v>
                </c:pt>
                <c:pt idx="54">
                  <c:v>1.197546492369733</c:v>
                </c:pt>
                <c:pt idx="55">
                  <c:v>1.136657824477792</c:v>
                </c:pt>
                <c:pt idx="56">
                  <c:v>1.018252641957708</c:v>
                </c:pt>
                <c:pt idx="57">
                  <c:v>10.19779347601805</c:v>
                </c:pt>
                <c:pt idx="58">
                  <c:v>2.094006713655473</c:v>
                </c:pt>
                <c:pt idx="59">
                  <c:v>12.02138310383889</c:v>
                </c:pt>
                <c:pt idx="60">
                  <c:v>1.953026940748125</c:v>
                </c:pt>
                <c:pt idx="61">
                  <c:v>1.248978400552444</c:v>
                </c:pt>
                <c:pt idx="62">
                  <c:v>1.174821895481544</c:v>
                </c:pt>
                <c:pt idx="63">
                  <c:v>1.781663766844293</c:v>
                </c:pt>
                <c:pt idx="64">
                  <c:v>1.678414133209236</c:v>
                </c:pt>
                <c:pt idx="65">
                  <c:v>0.980579220599075</c:v>
                </c:pt>
                <c:pt idx="66">
                  <c:v>1.047150495068538</c:v>
                </c:pt>
                <c:pt idx="67">
                  <c:v>1.056185718303589</c:v>
                </c:pt>
                <c:pt idx="68">
                  <c:v>1.794534540363482</c:v>
                </c:pt>
                <c:pt idx="69">
                  <c:v>1.8290870001841</c:v>
                </c:pt>
                <c:pt idx="70">
                  <c:v>1.443050582256655</c:v>
                </c:pt>
                <c:pt idx="71">
                  <c:v>1.094547691050202</c:v>
                </c:pt>
                <c:pt idx="72">
                  <c:v>0.0833652745369175</c:v>
                </c:pt>
                <c:pt idx="73">
                  <c:v>1.075316960174858</c:v>
                </c:pt>
                <c:pt idx="74">
                  <c:v>1.125171674945977</c:v>
                </c:pt>
                <c:pt idx="75">
                  <c:v>0.8696220015417</c:v>
                </c:pt>
                <c:pt idx="76">
                  <c:v>0.322036794873219</c:v>
                </c:pt>
                <c:pt idx="77">
                  <c:v>0.985629707234736</c:v>
                </c:pt>
                <c:pt idx="78">
                  <c:v>0.788981655452574</c:v>
                </c:pt>
                <c:pt idx="79">
                  <c:v>1.024929234846454</c:v>
                </c:pt>
                <c:pt idx="80">
                  <c:v>1.142471430608577</c:v>
                </c:pt>
                <c:pt idx="81">
                  <c:v>1.392955501819198</c:v>
                </c:pt>
                <c:pt idx="82">
                  <c:v>1.075279624339004</c:v>
                </c:pt>
                <c:pt idx="83">
                  <c:v>0.998841696535526</c:v>
                </c:pt>
                <c:pt idx="84">
                  <c:v>1.080147744894507</c:v>
                </c:pt>
                <c:pt idx="85">
                  <c:v>1.03307604140894</c:v>
                </c:pt>
                <c:pt idx="86">
                  <c:v>1.490661105919782</c:v>
                </c:pt>
                <c:pt idx="87">
                  <c:v>1.485641973952354</c:v>
                </c:pt>
                <c:pt idx="88">
                  <c:v>0.991388807743909</c:v>
                </c:pt>
                <c:pt idx="89">
                  <c:v>1.344695457545689</c:v>
                </c:pt>
                <c:pt idx="90">
                  <c:v>1.042579385844428</c:v>
                </c:pt>
                <c:pt idx="91">
                  <c:v>1.503660564092925</c:v>
                </c:pt>
                <c:pt idx="92">
                  <c:v>1.215759266393239</c:v>
                </c:pt>
                <c:pt idx="93">
                  <c:v>1.404927123545975</c:v>
                </c:pt>
                <c:pt idx="94">
                  <c:v>1.151081994966158</c:v>
                </c:pt>
                <c:pt idx="95">
                  <c:v>1.146023190535784</c:v>
                </c:pt>
                <c:pt idx="96">
                  <c:v>1.073029424741567</c:v>
                </c:pt>
                <c:pt idx="97">
                  <c:v>1.222885304290372</c:v>
                </c:pt>
                <c:pt idx="98">
                  <c:v>1.156615503557606</c:v>
                </c:pt>
                <c:pt idx="99">
                  <c:v>1.115098639496572</c:v>
                </c:pt>
                <c:pt idx="100">
                  <c:v>1.130699534622863</c:v>
                </c:pt>
                <c:pt idx="101">
                  <c:v>1.110331325998461</c:v>
                </c:pt>
                <c:pt idx="102">
                  <c:v>1.250084459788607</c:v>
                </c:pt>
                <c:pt idx="103">
                  <c:v>1.160456794909776</c:v>
                </c:pt>
                <c:pt idx="104">
                  <c:v>1.093658834654471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'RQ Reg vs Block'!$G$2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Block'!$G$3:$G$107</c:f>
              <c:numCache>
                <c:formatCode>General</c:formatCode>
                <c:ptCount val="105"/>
                <c:pt idx="0">
                  <c:v>0.959596585388122</c:v>
                </c:pt>
                <c:pt idx="1">
                  <c:v>1.034988540870894</c:v>
                </c:pt>
                <c:pt idx="2">
                  <c:v>0.971687227109348</c:v>
                </c:pt>
                <c:pt idx="3">
                  <c:v>1.039555709289366</c:v>
                </c:pt>
                <c:pt idx="4">
                  <c:v>0.938266178266178</c:v>
                </c:pt>
                <c:pt idx="5">
                  <c:v>1.119583054253514</c:v>
                </c:pt>
                <c:pt idx="6">
                  <c:v>1.959736040547932</c:v>
                </c:pt>
                <c:pt idx="7">
                  <c:v>1.050402081193828</c:v>
                </c:pt>
                <c:pt idx="8">
                  <c:v>1.202619392643362</c:v>
                </c:pt>
                <c:pt idx="9">
                  <c:v>1.01969696969697</c:v>
                </c:pt>
                <c:pt idx="10">
                  <c:v>0.985507246376811</c:v>
                </c:pt>
                <c:pt idx="11">
                  <c:v>0.978915499987726</c:v>
                </c:pt>
                <c:pt idx="12">
                  <c:v>1.100793650793651</c:v>
                </c:pt>
                <c:pt idx="13">
                  <c:v>1.261391821256638</c:v>
                </c:pt>
                <c:pt idx="14">
                  <c:v>0.970849561284543</c:v>
                </c:pt>
                <c:pt idx="15">
                  <c:v>1.051452262269939</c:v>
                </c:pt>
                <c:pt idx="16">
                  <c:v>1.008656628045436</c:v>
                </c:pt>
                <c:pt idx="17">
                  <c:v>1.453499609956054</c:v>
                </c:pt>
                <c:pt idx="18">
                  <c:v>1.202529249849414</c:v>
                </c:pt>
                <c:pt idx="19">
                  <c:v>1.079945011913423</c:v>
                </c:pt>
                <c:pt idx="20">
                  <c:v>1.412698412698413</c:v>
                </c:pt>
                <c:pt idx="21">
                  <c:v>1.073780542581497</c:v>
                </c:pt>
                <c:pt idx="22">
                  <c:v>1.08383016213126</c:v>
                </c:pt>
                <c:pt idx="23">
                  <c:v>1.052336842462192</c:v>
                </c:pt>
                <c:pt idx="24">
                  <c:v>1.038184924471862</c:v>
                </c:pt>
                <c:pt idx="25">
                  <c:v>1.051959329751125</c:v>
                </c:pt>
                <c:pt idx="26">
                  <c:v>2.047040798312724</c:v>
                </c:pt>
                <c:pt idx="27">
                  <c:v>1.013197105151128</c:v>
                </c:pt>
                <c:pt idx="28">
                  <c:v>1.031002339395842</c:v>
                </c:pt>
                <c:pt idx="29">
                  <c:v>1.926434288090395</c:v>
                </c:pt>
                <c:pt idx="30">
                  <c:v>1.241758241758242</c:v>
                </c:pt>
                <c:pt idx="31">
                  <c:v>1.019119092289824</c:v>
                </c:pt>
                <c:pt idx="32">
                  <c:v>1.627097809551445</c:v>
                </c:pt>
                <c:pt idx="33">
                  <c:v>1.167265403908137</c:v>
                </c:pt>
                <c:pt idx="34">
                  <c:v>1.24896211423298</c:v>
                </c:pt>
                <c:pt idx="35">
                  <c:v>1.090168982893917</c:v>
                </c:pt>
                <c:pt idx="36">
                  <c:v>1.765232984763737</c:v>
                </c:pt>
                <c:pt idx="37">
                  <c:v>1.154050954974368</c:v>
                </c:pt>
                <c:pt idx="38">
                  <c:v>1.132603173013066</c:v>
                </c:pt>
                <c:pt idx="39">
                  <c:v>1.283646929582048</c:v>
                </c:pt>
                <c:pt idx="40">
                  <c:v>1.086250814591352</c:v>
                </c:pt>
                <c:pt idx="41">
                  <c:v>1.359416383423512</c:v>
                </c:pt>
                <c:pt idx="42">
                  <c:v>1.06582408401759</c:v>
                </c:pt>
                <c:pt idx="43">
                  <c:v>0.983509359140232</c:v>
                </c:pt>
                <c:pt idx="44">
                  <c:v>9.192497190927495</c:v>
                </c:pt>
                <c:pt idx="45">
                  <c:v>40.55497658109935</c:v>
                </c:pt>
                <c:pt idx="46">
                  <c:v>0.752655634357762</c:v>
                </c:pt>
                <c:pt idx="47">
                  <c:v>0.95672514619883</c:v>
                </c:pt>
                <c:pt idx="48">
                  <c:v>31.99134465812</c:v>
                </c:pt>
                <c:pt idx="49">
                  <c:v>1.164370536947173</c:v>
                </c:pt>
                <c:pt idx="50">
                  <c:v>3.995788623847253</c:v>
                </c:pt>
                <c:pt idx="51">
                  <c:v>1.138446757354442</c:v>
                </c:pt>
                <c:pt idx="52">
                  <c:v>442.9823603625276</c:v>
                </c:pt>
                <c:pt idx="53">
                  <c:v>0.928981208362809</c:v>
                </c:pt>
                <c:pt idx="54">
                  <c:v>2.090628543270959</c:v>
                </c:pt>
                <c:pt idx="55">
                  <c:v>1.263043028402674</c:v>
                </c:pt>
                <c:pt idx="56">
                  <c:v>1.169087515490552</c:v>
                </c:pt>
                <c:pt idx="57">
                  <c:v>97.27787973666545</c:v>
                </c:pt>
                <c:pt idx="58">
                  <c:v>6.668269363677365</c:v>
                </c:pt>
                <c:pt idx="59">
                  <c:v>105.7289183337632</c:v>
                </c:pt>
                <c:pt idx="60">
                  <c:v>5.273357007453324</c:v>
                </c:pt>
                <c:pt idx="61">
                  <c:v>1.242207124346545</c:v>
                </c:pt>
                <c:pt idx="62">
                  <c:v>1.174901135568658</c:v>
                </c:pt>
                <c:pt idx="63">
                  <c:v>1.648128916418503</c:v>
                </c:pt>
                <c:pt idx="64">
                  <c:v>1.414497541080748</c:v>
                </c:pt>
                <c:pt idx="65">
                  <c:v>1.151094810077762</c:v>
                </c:pt>
                <c:pt idx="66">
                  <c:v>1.027345624166145</c:v>
                </c:pt>
                <c:pt idx="67">
                  <c:v>1.100173776762242</c:v>
                </c:pt>
                <c:pt idx="68">
                  <c:v>1.511818437048965</c:v>
                </c:pt>
                <c:pt idx="69">
                  <c:v>1.508420279974646</c:v>
                </c:pt>
                <c:pt idx="70">
                  <c:v>1.872197225122448</c:v>
                </c:pt>
                <c:pt idx="71">
                  <c:v>1.85812161264272</c:v>
                </c:pt>
                <c:pt idx="72">
                  <c:v>0.148247977908339</c:v>
                </c:pt>
                <c:pt idx="73">
                  <c:v>1.128252519272594</c:v>
                </c:pt>
                <c:pt idx="74">
                  <c:v>1.081778526303053</c:v>
                </c:pt>
                <c:pt idx="75">
                  <c:v>0.882523952321906</c:v>
                </c:pt>
                <c:pt idx="76">
                  <c:v>1.730830830830831</c:v>
                </c:pt>
                <c:pt idx="77">
                  <c:v>1.01010101010101</c:v>
                </c:pt>
                <c:pt idx="78">
                  <c:v>1.039940594971284</c:v>
                </c:pt>
                <c:pt idx="79">
                  <c:v>1.201368523949169</c:v>
                </c:pt>
                <c:pt idx="80">
                  <c:v>1.096517261269662</c:v>
                </c:pt>
                <c:pt idx="81">
                  <c:v>1.600140693527529</c:v>
                </c:pt>
                <c:pt idx="82">
                  <c:v>1.048453464598163</c:v>
                </c:pt>
                <c:pt idx="83">
                  <c:v>1.002927890449731</c:v>
                </c:pt>
                <c:pt idx="84">
                  <c:v>1.195324835079113</c:v>
                </c:pt>
                <c:pt idx="85">
                  <c:v>1.097342607405908</c:v>
                </c:pt>
                <c:pt idx="86">
                  <c:v>1.149659080293345</c:v>
                </c:pt>
                <c:pt idx="87">
                  <c:v>1.377049553352952</c:v>
                </c:pt>
                <c:pt idx="88">
                  <c:v>1.222996735721233</c:v>
                </c:pt>
                <c:pt idx="89">
                  <c:v>1.455069696035615</c:v>
                </c:pt>
                <c:pt idx="90">
                  <c:v>1.006060606060606</c:v>
                </c:pt>
                <c:pt idx="91">
                  <c:v>1.641188926883364</c:v>
                </c:pt>
                <c:pt idx="92">
                  <c:v>1.409011373578303</c:v>
                </c:pt>
                <c:pt idx="93">
                  <c:v>1.220551265260654</c:v>
                </c:pt>
                <c:pt idx="94">
                  <c:v>1.099391829617636</c:v>
                </c:pt>
                <c:pt idx="95">
                  <c:v>0.927746101364522</c:v>
                </c:pt>
                <c:pt idx="96">
                  <c:v>1.003995898418779</c:v>
                </c:pt>
                <c:pt idx="97">
                  <c:v>1.182231047193062</c:v>
                </c:pt>
                <c:pt idx="98">
                  <c:v>1.061054705005373</c:v>
                </c:pt>
                <c:pt idx="99">
                  <c:v>1.143693246327916</c:v>
                </c:pt>
                <c:pt idx="100">
                  <c:v>1.191176470588235</c:v>
                </c:pt>
                <c:pt idx="101">
                  <c:v>0.931986531986532</c:v>
                </c:pt>
                <c:pt idx="102">
                  <c:v>1.148939455434526</c:v>
                </c:pt>
                <c:pt idx="103">
                  <c:v>1.250020746120966</c:v>
                </c:pt>
                <c:pt idx="104">
                  <c:v>1.319675778363391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'RQ Reg vs Block'!$H$2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Block'!$H$3:$H$107</c:f>
              <c:numCache>
                <c:formatCode>General</c:formatCode>
                <c:ptCount val="105"/>
                <c:pt idx="0">
                  <c:v>1.018508339404324</c:v>
                </c:pt>
                <c:pt idx="1">
                  <c:v>1.105292879984046</c:v>
                </c:pt>
                <c:pt idx="2">
                  <c:v>1.009460703430308</c:v>
                </c:pt>
                <c:pt idx="3">
                  <c:v>1.075079088980447</c:v>
                </c:pt>
                <c:pt idx="4">
                  <c:v>1.006455053184025</c:v>
                </c:pt>
                <c:pt idx="5">
                  <c:v>1.202341230047695</c:v>
                </c:pt>
                <c:pt idx="6">
                  <c:v>2.213800483992721</c:v>
                </c:pt>
                <c:pt idx="7">
                  <c:v>1.038136441385478</c:v>
                </c:pt>
                <c:pt idx="8">
                  <c:v>1.312984875416982</c:v>
                </c:pt>
                <c:pt idx="9">
                  <c:v>1.000358422939068</c:v>
                </c:pt>
                <c:pt idx="10">
                  <c:v>0.999641577060932</c:v>
                </c:pt>
                <c:pt idx="11">
                  <c:v>1.109549830861306</c:v>
                </c:pt>
                <c:pt idx="12">
                  <c:v>1.226164874551971</c:v>
                </c:pt>
                <c:pt idx="13">
                  <c:v>1.269138318908313</c:v>
                </c:pt>
                <c:pt idx="14">
                  <c:v>1.178380202064413</c:v>
                </c:pt>
                <c:pt idx="15">
                  <c:v>1.139400291099521</c:v>
                </c:pt>
                <c:pt idx="16">
                  <c:v>0.983639360442302</c:v>
                </c:pt>
                <c:pt idx="17">
                  <c:v>1.352745749824817</c:v>
                </c:pt>
                <c:pt idx="18">
                  <c:v>1.188533550239266</c:v>
                </c:pt>
                <c:pt idx="19">
                  <c:v>1.065324280435924</c:v>
                </c:pt>
                <c:pt idx="20">
                  <c:v>1.270833333333333</c:v>
                </c:pt>
                <c:pt idx="21">
                  <c:v>1.099834689994944</c:v>
                </c:pt>
                <c:pt idx="22">
                  <c:v>1.062832809529057</c:v>
                </c:pt>
                <c:pt idx="23">
                  <c:v>1.048962387328429</c:v>
                </c:pt>
                <c:pt idx="24">
                  <c:v>0.997540630477098</c:v>
                </c:pt>
                <c:pt idx="25">
                  <c:v>1.016732233666528</c:v>
                </c:pt>
                <c:pt idx="26">
                  <c:v>2.232143298312061</c:v>
                </c:pt>
                <c:pt idx="27">
                  <c:v>1.085960378983635</c:v>
                </c:pt>
                <c:pt idx="28">
                  <c:v>1.031511297235444</c:v>
                </c:pt>
                <c:pt idx="29">
                  <c:v>1.796692943432074</c:v>
                </c:pt>
                <c:pt idx="30">
                  <c:v>1.345645645645646</c:v>
                </c:pt>
                <c:pt idx="31">
                  <c:v>1.019172297297297</c:v>
                </c:pt>
                <c:pt idx="32">
                  <c:v>1.543741590923173</c:v>
                </c:pt>
                <c:pt idx="33">
                  <c:v>1.11188304961958</c:v>
                </c:pt>
                <c:pt idx="34">
                  <c:v>1.25563496144241</c:v>
                </c:pt>
                <c:pt idx="35">
                  <c:v>1.082231318805425</c:v>
                </c:pt>
                <c:pt idx="36">
                  <c:v>1.804084332397727</c:v>
                </c:pt>
                <c:pt idx="37">
                  <c:v>1.200893696757142</c:v>
                </c:pt>
                <c:pt idx="38">
                  <c:v>1.166557619083444</c:v>
                </c:pt>
                <c:pt idx="39">
                  <c:v>1.366620437821478</c:v>
                </c:pt>
                <c:pt idx="40">
                  <c:v>1.047021848046527</c:v>
                </c:pt>
                <c:pt idx="41">
                  <c:v>1.345417740841509</c:v>
                </c:pt>
                <c:pt idx="42">
                  <c:v>0.916895553674768</c:v>
                </c:pt>
                <c:pt idx="43">
                  <c:v>1.03311327681116</c:v>
                </c:pt>
                <c:pt idx="44">
                  <c:v>9.634033754781841</c:v>
                </c:pt>
                <c:pt idx="45">
                  <c:v>9.83646861585512</c:v>
                </c:pt>
                <c:pt idx="46">
                  <c:v>1.027541827541828</c:v>
                </c:pt>
                <c:pt idx="47">
                  <c:v>0.981481481481481</c:v>
                </c:pt>
                <c:pt idx="48">
                  <c:v>28.73523994112542</c:v>
                </c:pt>
                <c:pt idx="49">
                  <c:v>1.086138613861386</c:v>
                </c:pt>
                <c:pt idx="50">
                  <c:v>4.017446644617219</c:v>
                </c:pt>
                <c:pt idx="51">
                  <c:v>1.180418456967818</c:v>
                </c:pt>
                <c:pt idx="52">
                  <c:v>370.9835221194175</c:v>
                </c:pt>
                <c:pt idx="53">
                  <c:v>0.872835377183203</c:v>
                </c:pt>
                <c:pt idx="54">
                  <c:v>1.418151185303515</c:v>
                </c:pt>
                <c:pt idx="55">
                  <c:v>1.199361568926786</c:v>
                </c:pt>
                <c:pt idx="56">
                  <c:v>1.21486302824697</c:v>
                </c:pt>
                <c:pt idx="57">
                  <c:v>97.9981934705352</c:v>
                </c:pt>
                <c:pt idx="58">
                  <c:v>5.09417401754543</c:v>
                </c:pt>
                <c:pt idx="59">
                  <c:v>96.05011359268121</c:v>
                </c:pt>
                <c:pt idx="60">
                  <c:v>4.891539861791804</c:v>
                </c:pt>
                <c:pt idx="61">
                  <c:v>5.78176193644314</c:v>
                </c:pt>
                <c:pt idx="62">
                  <c:v>303.1987963901528</c:v>
                </c:pt>
                <c:pt idx="63">
                  <c:v>1.556118564726655</c:v>
                </c:pt>
                <c:pt idx="64">
                  <c:v>1.425872950022317</c:v>
                </c:pt>
                <c:pt idx="65">
                  <c:v>1.007892815069747</c:v>
                </c:pt>
                <c:pt idx="66">
                  <c:v>1.048361930214771</c:v>
                </c:pt>
                <c:pt idx="67">
                  <c:v>1.078968428326039</c:v>
                </c:pt>
                <c:pt idx="68">
                  <c:v>1.646930934961409</c:v>
                </c:pt>
                <c:pt idx="69">
                  <c:v>1.417032187500201</c:v>
                </c:pt>
                <c:pt idx="70">
                  <c:v>1.955417058042044</c:v>
                </c:pt>
                <c:pt idx="71">
                  <c:v>1.820816070405747</c:v>
                </c:pt>
                <c:pt idx="72">
                  <c:v>0.123542698420827</c:v>
                </c:pt>
                <c:pt idx="73">
                  <c:v>1.149332210085657</c:v>
                </c:pt>
                <c:pt idx="74">
                  <c:v>1.108094754175314</c:v>
                </c:pt>
                <c:pt idx="75">
                  <c:v>0.922268098005113</c:v>
                </c:pt>
                <c:pt idx="76">
                  <c:v>1.901793506063615</c:v>
                </c:pt>
                <c:pt idx="77">
                  <c:v>0.963037634408602</c:v>
                </c:pt>
                <c:pt idx="78">
                  <c:v>1.194212841284612</c:v>
                </c:pt>
                <c:pt idx="79">
                  <c:v>1.020981087470449</c:v>
                </c:pt>
                <c:pt idx="80">
                  <c:v>1.116383687839364</c:v>
                </c:pt>
                <c:pt idx="81">
                  <c:v>1.630278865428016</c:v>
                </c:pt>
                <c:pt idx="82">
                  <c:v>1.064350968285593</c:v>
                </c:pt>
                <c:pt idx="83">
                  <c:v>1.054599430580463</c:v>
                </c:pt>
                <c:pt idx="84">
                  <c:v>1.056340746000462</c:v>
                </c:pt>
                <c:pt idx="85">
                  <c:v>1.184353475093604</c:v>
                </c:pt>
                <c:pt idx="86">
                  <c:v>1.315014178709664</c:v>
                </c:pt>
                <c:pt idx="87">
                  <c:v>1.300067036528917</c:v>
                </c:pt>
                <c:pt idx="88">
                  <c:v>1.1742811081255</c:v>
                </c:pt>
                <c:pt idx="89">
                  <c:v>1.505305238531448</c:v>
                </c:pt>
                <c:pt idx="90">
                  <c:v>1.061985596707819</c:v>
                </c:pt>
                <c:pt idx="91">
                  <c:v>1.514146953345903</c:v>
                </c:pt>
                <c:pt idx="92">
                  <c:v>1.341887311643872</c:v>
                </c:pt>
                <c:pt idx="93">
                  <c:v>1.305003265393585</c:v>
                </c:pt>
                <c:pt idx="94">
                  <c:v>1.010028851213314</c:v>
                </c:pt>
                <c:pt idx="95">
                  <c:v>1.048002458409106</c:v>
                </c:pt>
                <c:pt idx="96">
                  <c:v>1.046475778624603</c:v>
                </c:pt>
                <c:pt idx="97">
                  <c:v>1.110798428019933</c:v>
                </c:pt>
                <c:pt idx="98">
                  <c:v>1.134817435962936</c:v>
                </c:pt>
                <c:pt idx="99">
                  <c:v>1.164174492196544</c:v>
                </c:pt>
                <c:pt idx="100">
                  <c:v>1.227904905743392</c:v>
                </c:pt>
                <c:pt idx="101">
                  <c:v>1.048350367962148</c:v>
                </c:pt>
                <c:pt idx="102">
                  <c:v>1.197674412488</c:v>
                </c:pt>
                <c:pt idx="103">
                  <c:v>1.272976908679791</c:v>
                </c:pt>
                <c:pt idx="104">
                  <c:v>1.304827917593059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'RQ Reg vs Block'!$I$2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Block'!$I$3:$I$107</c:f>
              <c:numCache>
                <c:formatCode>General</c:formatCode>
                <c:ptCount val="105"/>
                <c:pt idx="0">
                  <c:v>0.952804556534498</c:v>
                </c:pt>
                <c:pt idx="1">
                  <c:v>1.037829962751645</c:v>
                </c:pt>
                <c:pt idx="2">
                  <c:v>0.985571565347085</c:v>
                </c:pt>
                <c:pt idx="3">
                  <c:v>0.880257489217397</c:v>
                </c:pt>
                <c:pt idx="4">
                  <c:v>1.15301098204678</c:v>
                </c:pt>
                <c:pt idx="5">
                  <c:v>1.112493571991392</c:v>
                </c:pt>
                <c:pt idx="6">
                  <c:v>1.4790547872563</c:v>
                </c:pt>
                <c:pt idx="7">
                  <c:v>0.993666574544632</c:v>
                </c:pt>
                <c:pt idx="8">
                  <c:v>1.040177498425823</c:v>
                </c:pt>
                <c:pt idx="9">
                  <c:v>1.009551179399583</c:v>
                </c:pt>
                <c:pt idx="10">
                  <c:v>1.004356725146199</c:v>
                </c:pt>
                <c:pt idx="11">
                  <c:v>1.02053569288426</c:v>
                </c:pt>
                <c:pt idx="12">
                  <c:v>1.043519648891449</c:v>
                </c:pt>
                <c:pt idx="13">
                  <c:v>1.130430406080677</c:v>
                </c:pt>
                <c:pt idx="14">
                  <c:v>1.139082778145182</c:v>
                </c:pt>
                <c:pt idx="15">
                  <c:v>1.200013199801644</c:v>
                </c:pt>
                <c:pt idx="16">
                  <c:v>0.989519188703642</c:v>
                </c:pt>
                <c:pt idx="17">
                  <c:v>1.314046179340399</c:v>
                </c:pt>
                <c:pt idx="18">
                  <c:v>1.039758461399491</c:v>
                </c:pt>
                <c:pt idx="19">
                  <c:v>0.987401160570814</c:v>
                </c:pt>
                <c:pt idx="20">
                  <c:v>1.008648589406364</c:v>
                </c:pt>
                <c:pt idx="21">
                  <c:v>1.014718137342188</c:v>
                </c:pt>
                <c:pt idx="22">
                  <c:v>1.017475987024098</c:v>
                </c:pt>
                <c:pt idx="23">
                  <c:v>0.956942179038638</c:v>
                </c:pt>
                <c:pt idx="24">
                  <c:v>1.033447185022604</c:v>
                </c:pt>
                <c:pt idx="25">
                  <c:v>1.099003635668468</c:v>
                </c:pt>
                <c:pt idx="26">
                  <c:v>1.191834649178168</c:v>
                </c:pt>
                <c:pt idx="27">
                  <c:v>1.020683905779085</c:v>
                </c:pt>
                <c:pt idx="28">
                  <c:v>1.120020638309463</c:v>
                </c:pt>
                <c:pt idx="29">
                  <c:v>1.1955720684915</c:v>
                </c:pt>
                <c:pt idx="30">
                  <c:v>1.109052482451375</c:v>
                </c:pt>
                <c:pt idx="31">
                  <c:v>0.903448749810582</c:v>
                </c:pt>
                <c:pt idx="32">
                  <c:v>1.581410035447634</c:v>
                </c:pt>
                <c:pt idx="33">
                  <c:v>1.136484029200808</c:v>
                </c:pt>
                <c:pt idx="34">
                  <c:v>1.55246735457524</c:v>
                </c:pt>
                <c:pt idx="35">
                  <c:v>0.962823717512326</c:v>
                </c:pt>
                <c:pt idx="36">
                  <c:v>1.04755678797646</c:v>
                </c:pt>
                <c:pt idx="37">
                  <c:v>0.947227939714595</c:v>
                </c:pt>
                <c:pt idx="38">
                  <c:v>0.932020953541697</c:v>
                </c:pt>
                <c:pt idx="39">
                  <c:v>1.086302765577055</c:v>
                </c:pt>
                <c:pt idx="40">
                  <c:v>1.172549426035315</c:v>
                </c:pt>
                <c:pt idx="41">
                  <c:v>1.197079257275914</c:v>
                </c:pt>
                <c:pt idx="42">
                  <c:v>0.830605320363731</c:v>
                </c:pt>
                <c:pt idx="43">
                  <c:v>0.868400886147674</c:v>
                </c:pt>
                <c:pt idx="44">
                  <c:v>1.386344438803158</c:v>
                </c:pt>
                <c:pt idx="45">
                  <c:v>0.866352892474537</c:v>
                </c:pt>
                <c:pt idx="46">
                  <c:v>0.938296168494531</c:v>
                </c:pt>
                <c:pt idx="47">
                  <c:v>1.008771929824561</c:v>
                </c:pt>
                <c:pt idx="48">
                  <c:v>3.672047265795971</c:v>
                </c:pt>
                <c:pt idx="49">
                  <c:v>0.976138111360316</c:v>
                </c:pt>
                <c:pt idx="50">
                  <c:v>1.176127490678043</c:v>
                </c:pt>
                <c:pt idx="51">
                  <c:v>1.10237232204688</c:v>
                </c:pt>
                <c:pt idx="52">
                  <c:v>54.38234723821986</c:v>
                </c:pt>
                <c:pt idx="53">
                  <c:v>0.968029887114081</c:v>
                </c:pt>
                <c:pt idx="54">
                  <c:v>1.304786893750851</c:v>
                </c:pt>
                <c:pt idx="55">
                  <c:v>1.171737819680369</c:v>
                </c:pt>
                <c:pt idx="56">
                  <c:v>0.982517316606047</c:v>
                </c:pt>
                <c:pt idx="57">
                  <c:v>5.429616841346683</c:v>
                </c:pt>
                <c:pt idx="58">
                  <c:v>1.503541755670811</c:v>
                </c:pt>
                <c:pt idx="59">
                  <c:v>5.78010141106812</c:v>
                </c:pt>
                <c:pt idx="60">
                  <c:v>1.604352176568104</c:v>
                </c:pt>
                <c:pt idx="61">
                  <c:v>1.217989100675581</c:v>
                </c:pt>
                <c:pt idx="62">
                  <c:v>0.713515768307936</c:v>
                </c:pt>
                <c:pt idx="63">
                  <c:v>1.55535887520422</c:v>
                </c:pt>
                <c:pt idx="64">
                  <c:v>1.456202633847804</c:v>
                </c:pt>
                <c:pt idx="65">
                  <c:v>1.187356670304369</c:v>
                </c:pt>
                <c:pt idx="66">
                  <c:v>0.928053885257957</c:v>
                </c:pt>
                <c:pt idx="67">
                  <c:v>1.001509291693864</c:v>
                </c:pt>
                <c:pt idx="68">
                  <c:v>1.542820708143416</c:v>
                </c:pt>
                <c:pt idx="69">
                  <c:v>1.419540897193202</c:v>
                </c:pt>
                <c:pt idx="70">
                  <c:v>1.186979300616069</c:v>
                </c:pt>
                <c:pt idx="71">
                  <c:v>1.019814827455281</c:v>
                </c:pt>
                <c:pt idx="72">
                  <c:v>0.0675179924347496</c:v>
                </c:pt>
                <c:pt idx="73">
                  <c:v>1.168624421426805</c:v>
                </c:pt>
                <c:pt idx="74">
                  <c:v>1.038574521776179</c:v>
                </c:pt>
                <c:pt idx="75">
                  <c:v>0.756649892696025</c:v>
                </c:pt>
                <c:pt idx="76">
                  <c:v>0.533745223704449</c:v>
                </c:pt>
                <c:pt idx="77">
                  <c:v>0.967888622418787</c:v>
                </c:pt>
                <c:pt idx="78">
                  <c:v>0.538900602264532</c:v>
                </c:pt>
                <c:pt idx="79">
                  <c:v>0.922996831513563</c:v>
                </c:pt>
                <c:pt idx="80">
                  <c:v>1.055390965154033</c:v>
                </c:pt>
                <c:pt idx="81">
                  <c:v>1.13589041030223</c:v>
                </c:pt>
                <c:pt idx="82">
                  <c:v>1.014650942580383</c:v>
                </c:pt>
                <c:pt idx="83">
                  <c:v>0.96275378578163</c:v>
                </c:pt>
                <c:pt idx="84">
                  <c:v>0.990097666797691</c:v>
                </c:pt>
                <c:pt idx="85">
                  <c:v>0.999307200246346</c:v>
                </c:pt>
                <c:pt idx="86">
                  <c:v>1.186687057158487</c:v>
                </c:pt>
                <c:pt idx="87">
                  <c:v>1.39775644984399</c:v>
                </c:pt>
                <c:pt idx="88">
                  <c:v>1.071448642464097</c:v>
                </c:pt>
                <c:pt idx="89">
                  <c:v>1.276022029161681</c:v>
                </c:pt>
                <c:pt idx="90">
                  <c:v>1.028968040093028</c:v>
                </c:pt>
                <c:pt idx="91">
                  <c:v>1.128599078236753</c:v>
                </c:pt>
                <c:pt idx="92">
                  <c:v>1.010642137891723</c:v>
                </c:pt>
                <c:pt idx="93">
                  <c:v>1.103343408672995</c:v>
                </c:pt>
                <c:pt idx="94">
                  <c:v>1.054987546633278</c:v>
                </c:pt>
                <c:pt idx="95">
                  <c:v>0.947977701145556</c:v>
                </c:pt>
                <c:pt idx="96">
                  <c:v>1.018158297060393</c:v>
                </c:pt>
                <c:pt idx="97">
                  <c:v>0.921574929390557</c:v>
                </c:pt>
                <c:pt idx="98">
                  <c:v>0.942565585406645</c:v>
                </c:pt>
                <c:pt idx="99">
                  <c:v>0.993730176696418</c:v>
                </c:pt>
                <c:pt idx="100">
                  <c:v>1.041503655639049</c:v>
                </c:pt>
                <c:pt idx="101">
                  <c:v>0.989503446061809</c:v>
                </c:pt>
                <c:pt idx="102">
                  <c:v>0.902879485429053</c:v>
                </c:pt>
                <c:pt idx="103">
                  <c:v>1.228719728853737</c:v>
                </c:pt>
                <c:pt idx="104">
                  <c:v>0.933602872632013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'RQ Reg vs Block'!$J$2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Block'!$J$3:$J$107</c:f>
              <c:numCache>
                <c:formatCode>General</c:formatCode>
                <c:ptCount val="105"/>
                <c:pt idx="0">
                  <c:v>1.060529715762274</c:v>
                </c:pt>
                <c:pt idx="1">
                  <c:v>1.049337855297158</c:v>
                </c:pt>
                <c:pt idx="2">
                  <c:v>0.906963035370496</c:v>
                </c:pt>
                <c:pt idx="3">
                  <c:v>1.136406821855895</c:v>
                </c:pt>
                <c:pt idx="4">
                  <c:v>1.081949058693245</c:v>
                </c:pt>
                <c:pt idx="5">
                  <c:v>1.133120765437911</c:v>
                </c:pt>
                <c:pt idx="6">
                  <c:v>2.145913904395517</c:v>
                </c:pt>
                <c:pt idx="7">
                  <c:v>1.089689506788539</c:v>
                </c:pt>
                <c:pt idx="8">
                  <c:v>1.287490042434659</c:v>
                </c:pt>
                <c:pt idx="9">
                  <c:v>0.972222222222222</c:v>
                </c:pt>
                <c:pt idx="10">
                  <c:v>1.233043478260869</c:v>
                </c:pt>
                <c:pt idx="11">
                  <c:v>0.872668796924116</c:v>
                </c:pt>
                <c:pt idx="12">
                  <c:v>1.000555555555556</c:v>
                </c:pt>
                <c:pt idx="13">
                  <c:v>1.262788071858768</c:v>
                </c:pt>
                <c:pt idx="14">
                  <c:v>1.154105963245748</c:v>
                </c:pt>
                <c:pt idx="15">
                  <c:v>1.098337134678511</c:v>
                </c:pt>
                <c:pt idx="16">
                  <c:v>0.997418130877321</c:v>
                </c:pt>
                <c:pt idx="17">
                  <c:v>1.324484789120344</c:v>
                </c:pt>
                <c:pt idx="18">
                  <c:v>1.23590029359616</c:v>
                </c:pt>
                <c:pt idx="19">
                  <c:v>1.074846432872752</c:v>
                </c:pt>
                <c:pt idx="20">
                  <c:v>0.891428571428571</c:v>
                </c:pt>
                <c:pt idx="21">
                  <c:v>1.117866258281241</c:v>
                </c:pt>
                <c:pt idx="22">
                  <c:v>1.071609026083671</c:v>
                </c:pt>
                <c:pt idx="23">
                  <c:v>1.050718334249038</c:v>
                </c:pt>
                <c:pt idx="24">
                  <c:v>0.992967815825872</c:v>
                </c:pt>
                <c:pt idx="25">
                  <c:v>1.059692149059255</c:v>
                </c:pt>
                <c:pt idx="26">
                  <c:v>2.222170304853979</c:v>
                </c:pt>
                <c:pt idx="27">
                  <c:v>0.945945945945946</c:v>
                </c:pt>
                <c:pt idx="28">
                  <c:v>1.063239527436682</c:v>
                </c:pt>
                <c:pt idx="29">
                  <c:v>1.878493489052495</c:v>
                </c:pt>
                <c:pt idx="30">
                  <c:v>1.052688172043011</c:v>
                </c:pt>
                <c:pt idx="31">
                  <c:v>0.979983660130719</c:v>
                </c:pt>
                <c:pt idx="32">
                  <c:v>1.71346986748623</c:v>
                </c:pt>
                <c:pt idx="33">
                  <c:v>1.112063166605638</c:v>
                </c:pt>
                <c:pt idx="34">
                  <c:v>1.260144587327372</c:v>
                </c:pt>
                <c:pt idx="35">
                  <c:v>1.122483051165926</c:v>
                </c:pt>
                <c:pt idx="36">
                  <c:v>1.870781503551784</c:v>
                </c:pt>
                <c:pt idx="37">
                  <c:v>1.244688892210412</c:v>
                </c:pt>
                <c:pt idx="38">
                  <c:v>1.183808402042406</c:v>
                </c:pt>
                <c:pt idx="39">
                  <c:v>1.344514086052384</c:v>
                </c:pt>
                <c:pt idx="40">
                  <c:v>1.074875517351162</c:v>
                </c:pt>
                <c:pt idx="41">
                  <c:v>1.381399583087036</c:v>
                </c:pt>
                <c:pt idx="42">
                  <c:v>0.869245187698955</c:v>
                </c:pt>
                <c:pt idx="43">
                  <c:v>1.003105704108238</c:v>
                </c:pt>
                <c:pt idx="44">
                  <c:v>8.560363586799513</c:v>
                </c:pt>
                <c:pt idx="45">
                  <c:v>29.95945911281311</c:v>
                </c:pt>
                <c:pt idx="46">
                  <c:v>1.012121212121212</c:v>
                </c:pt>
                <c:pt idx="47">
                  <c:v>1.090277777777778</c:v>
                </c:pt>
                <c:pt idx="48">
                  <c:v>26.37021332329965</c:v>
                </c:pt>
                <c:pt idx="49">
                  <c:v>1.176344783390854</c:v>
                </c:pt>
                <c:pt idx="50">
                  <c:v>3.679272795049124</c:v>
                </c:pt>
                <c:pt idx="51">
                  <c:v>1.175814178921885</c:v>
                </c:pt>
                <c:pt idx="52">
                  <c:v>337.38528445331</c:v>
                </c:pt>
                <c:pt idx="53">
                  <c:v>0.81669190889599</c:v>
                </c:pt>
                <c:pt idx="54">
                  <c:v>1.568443046076655</c:v>
                </c:pt>
                <c:pt idx="55">
                  <c:v>1.101442563227635</c:v>
                </c:pt>
                <c:pt idx="56">
                  <c:v>1.289026443750795</c:v>
                </c:pt>
                <c:pt idx="57">
                  <c:v>91.25955461563712</c:v>
                </c:pt>
                <c:pt idx="58">
                  <c:v>5.802745301282776</c:v>
                </c:pt>
                <c:pt idx="59">
                  <c:v>98.71233101971465</c:v>
                </c:pt>
                <c:pt idx="60">
                  <c:v>4.873586305329565</c:v>
                </c:pt>
                <c:pt idx="61">
                  <c:v>1.426241202783718</c:v>
                </c:pt>
                <c:pt idx="62">
                  <c:v>1.217927873657236</c:v>
                </c:pt>
                <c:pt idx="63">
                  <c:v>1.522381138549252</c:v>
                </c:pt>
                <c:pt idx="64">
                  <c:v>1.430770525164851</c:v>
                </c:pt>
                <c:pt idx="65">
                  <c:v>0.841592055943678</c:v>
                </c:pt>
                <c:pt idx="66">
                  <c:v>1.009505584123316</c:v>
                </c:pt>
                <c:pt idx="67">
                  <c:v>1.035983044183485</c:v>
                </c:pt>
                <c:pt idx="68">
                  <c:v>1.504517168007158</c:v>
                </c:pt>
                <c:pt idx="69">
                  <c:v>1.400762043798454</c:v>
                </c:pt>
                <c:pt idx="70">
                  <c:v>1.895037805031831</c:v>
                </c:pt>
                <c:pt idx="71">
                  <c:v>2.029184175875015</c:v>
                </c:pt>
                <c:pt idx="72">
                  <c:v>0.12764095892673</c:v>
                </c:pt>
                <c:pt idx="73">
                  <c:v>1.108030877348575</c:v>
                </c:pt>
                <c:pt idx="74">
                  <c:v>1.056261356031438</c:v>
                </c:pt>
                <c:pt idx="75">
                  <c:v>0.928837368691438</c:v>
                </c:pt>
                <c:pt idx="76">
                  <c:v>1.881319499866986</c:v>
                </c:pt>
                <c:pt idx="77">
                  <c:v>0.994871794871795</c:v>
                </c:pt>
                <c:pt idx="78">
                  <c:v>1.21499665395093</c:v>
                </c:pt>
                <c:pt idx="79">
                  <c:v>1.028306878306878</c:v>
                </c:pt>
                <c:pt idx="80">
                  <c:v>1.119063314307804</c:v>
                </c:pt>
                <c:pt idx="81">
                  <c:v>1.499251855769465</c:v>
                </c:pt>
                <c:pt idx="82">
                  <c:v>1.023868907185388</c:v>
                </c:pt>
                <c:pt idx="83">
                  <c:v>1.014038071437539</c:v>
                </c:pt>
                <c:pt idx="84">
                  <c:v>1.085355292446176</c:v>
                </c:pt>
                <c:pt idx="85">
                  <c:v>1.172604516566116</c:v>
                </c:pt>
                <c:pt idx="86">
                  <c:v>1.267414618648732</c:v>
                </c:pt>
                <c:pt idx="87">
                  <c:v>1.389231831102285</c:v>
                </c:pt>
                <c:pt idx="88">
                  <c:v>1.299727804241255</c:v>
                </c:pt>
                <c:pt idx="89">
                  <c:v>1.479478777784967</c:v>
                </c:pt>
                <c:pt idx="90">
                  <c:v>1.031922043010753</c:v>
                </c:pt>
                <c:pt idx="91">
                  <c:v>1.451588741272055</c:v>
                </c:pt>
                <c:pt idx="92">
                  <c:v>1.339829302987198</c:v>
                </c:pt>
                <c:pt idx="93">
                  <c:v>1.356759072956256</c:v>
                </c:pt>
                <c:pt idx="94">
                  <c:v>1.092812847380924</c:v>
                </c:pt>
                <c:pt idx="95">
                  <c:v>0.976043167138587</c:v>
                </c:pt>
                <c:pt idx="96">
                  <c:v>0.937004683283833</c:v>
                </c:pt>
                <c:pt idx="97">
                  <c:v>1.184768228752452</c:v>
                </c:pt>
                <c:pt idx="98">
                  <c:v>1.067381291615661</c:v>
                </c:pt>
                <c:pt idx="99">
                  <c:v>1.083343665842884</c:v>
                </c:pt>
                <c:pt idx="100">
                  <c:v>1.12262967319357</c:v>
                </c:pt>
                <c:pt idx="101">
                  <c:v>1.059856630824373</c:v>
                </c:pt>
                <c:pt idx="102">
                  <c:v>1.162629654432121</c:v>
                </c:pt>
                <c:pt idx="103">
                  <c:v>1.290023061121817</c:v>
                </c:pt>
                <c:pt idx="104">
                  <c:v>1.30264849402531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845608"/>
        <c:axId val="2092810408"/>
      </c:lineChart>
      <c:catAx>
        <c:axId val="2092845608"/>
        <c:scaling>
          <c:orientation val="minMax"/>
        </c:scaling>
        <c:delete val="0"/>
        <c:axPos val="b"/>
        <c:majorTickMark val="out"/>
        <c:minorTickMark val="none"/>
        <c:tickLblPos val="nextTo"/>
        <c:crossAx val="2092810408"/>
        <c:crosses val="autoZero"/>
        <c:auto val="1"/>
        <c:lblAlgn val="ctr"/>
        <c:lblOffset val="100"/>
        <c:noMultiLvlLbl val="0"/>
      </c:catAx>
      <c:valAx>
        <c:axId val="2092810408"/>
        <c:scaling>
          <c:logBase val="10.0"/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928456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1270000</xdr:colOff>
      <xdr:row>112</xdr:row>
      <xdr:rowOff>12700</xdr:rowOff>
    </xdr:from>
    <xdr:to>
      <xdr:col>14</xdr:col>
      <xdr:colOff>787400</xdr:colOff>
      <xdr:row>136</xdr:row>
      <xdr:rowOff>88900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"/>
  <sheetViews>
    <sheetView tabSelected="1" workbookViewId="0">
      <pane ySplit="2" topLeftCell="A38" activePane="bottomLeft" state="frozen"/>
      <selection activeCell="E1" sqref="E1"/>
      <selection pane="bottomLeft" activeCell="A62" sqref="A62:XFD62"/>
    </sheetView>
  </sheetViews>
  <sheetFormatPr baseColWidth="10" defaultRowHeight="15" x14ac:dyDescent="0"/>
  <cols>
    <col min="1" max="1" width="29.1640625" customWidth="1"/>
    <col min="14" max="19" width="10.83203125" customWidth="1"/>
  </cols>
  <sheetData>
    <row r="1" spans="1:22">
      <c r="B1" s="9" t="s">
        <v>316</v>
      </c>
      <c r="C1" s="9"/>
      <c r="D1" s="9"/>
      <c r="E1" s="9" t="s">
        <v>328</v>
      </c>
      <c r="F1" s="9"/>
      <c r="G1" s="9"/>
      <c r="H1" s="9" t="s">
        <v>322</v>
      </c>
      <c r="I1" s="9"/>
      <c r="J1" s="9"/>
      <c r="K1">
        <v>2</v>
      </c>
      <c r="L1">
        <v>11</v>
      </c>
      <c r="M1">
        <v>11</v>
      </c>
      <c r="N1" s="12" t="s">
        <v>325</v>
      </c>
      <c r="O1" s="12"/>
      <c r="P1" s="12"/>
      <c r="Q1" s="12" t="s">
        <v>332</v>
      </c>
      <c r="R1" s="12"/>
      <c r="S1" s="12"/>
      <c r="T1" s="12" t="s">
        <v>327</v>
      </c>
      <c r="U1" s="12"/>
      <c r="V1" s="12"/>
    </row>
    <row r="2" spans="1:22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K2" t="s">
        <v>329</v>
      </c>
      <c r="L2" t="s">
        <v>331</v>
      </c>
      <c r="M2" t="s">
        <v>330</v>
      </c>
      <c r="N2" s="13" t="s">
        <v>329</v>
      </c>
      <c r="O2" s="13" t="s">
        <v>331</v>
      </c>
      <c r="P2" s="13" t="s">
        <v>330</v>
      </c>
      <c r="Q2" s="13" t="s">
        <v>329</v>
      </c>
      <c r="R2" s="13" t="s">
        <v>331</v>
      </c>
      <c r="S2" s="13" t="s">
        <v>330</v>
      </c>
      <c r="T2" s="13" t="s">
        <v>329</v>
      </c>
      <c r="U2" s="13" t="s">
        <v>331</v>
      </c>
      <c r="V2" s="13" t="s">
        <v>330</v>
      </c>
    </row>
    <row r="3" spans="1:22">
      <c r="A3" t="str">
        <f>'time 1'!B2</f>
        <v>&lt;test.BallonFactory: boolean correctHorizontally(java.awt.Rectangle,int,int)&gt;</v>
      </c>
      <c r="B3">
        <f>AVERAGE('time 1'!D2/'time 1'!C2,'time 2'!D2/'time 2'!C2,'time 3'!D2/'time 3'!C2)</f>
        <v>1.0370931537598205</v>
      </c>
      <c r="C3">
        <f>AVERAGE('time 1'!F2/'time 1'!E2,'time 2'!F2/'time 2'!E2,'time 3'!F2/'time 3'!E2)</f>
        <v>1.0371972863210386</v>
      </c>
      <c r="D3">
        <f>AVERAGE('time 1'!H2/'time 1'!G2,'time 2'!H2/'time 2'!G2,'time 3'!H2/'time 3'!G2)</f>
        <v>0.99453064621603937</v>
      </c>
      <c r="E3">
        <f>AVERAGE('time 1'!J2/'time 2'!I2,'time 2'!J2/'time 2'!I2,'time 3'!J2/'time 3'!I2)</f>
        <v>1.151426684739165</v>
      </c>
      <c r="F3">
        <f>AVERAGE('time 1'!L2/'time 1'!K2,'time 2'!L2/'time 2'!K2,'time 3'!L2/'time 3'!K2)</f>
        <v>0.86331179075234443</v>
      </c>
      <c r="G3">
        <f>AVERAGE('time 1'!N2/'time 1'!M2,'time 2'!N2/'time 2'!M2,'time 3'!N2/'time 3'!M2)</f>
        <v>0.95959658538812187</v>
      </c>
      <c r="H3">
        <f>AVERAGE('time 1'!P2/'time 1'!O2,'time 2'!P2/'time 2'!O2,'time 3'!P2/'time 3'!O2)</f>
        <v>1.0185083394043237</v>
      </c>
      <c r="I3">
        <f>AVERAGE('time 1'!R2/'time 1'!Q2,'time 2'!R2/'time 2'!Q2,'time 3'!R2/'time 3'!Q2)</f>
        <v>0.95280455653449814</v>
      </c>
      <c r="J3">
        <f>AVERAGE('time 1'!T2/'time 1'!S2,'time 2'!T2/'time 2'!S2,'time 3'!T2/'time 3'!S2)</f>
        <v>1.060529715762274</v>
      </c>
      <c r="K3">
        <f>IF($B3&lt;K$1,1,0)+IF($C3&lt;K$1,1,0)+ IF($D3&lt;K$1,1,0)+IF($E3&lt;K$1,1,0)+IF($F3&lt;K$1,1,0)+ IF($G3&lt;K$1,1,0)+IF($H3&lt;K$1,1,0)+IF($I3&lt;K$1,1,0)+ IF($J3&lt;K$1,1,0)</f>
        <v>9</v>
      </c>
      <c r="L3">
        <f>IF($B3&lt;L$1,1,0)+IF($C3&lt;L$1,1,0)+ IF($D3&lt;L$1,1,0)+IF($E3&lt;L$1,1,0)+IF($F3&lt;L$1,1,0)+ IF($G3&lt;L$1,1,0)+IF($H3&lt;L$1,1,0)+IF($I3&lt;L$1,1,0)+ IF($J3&lt;L$1,1,0)-K3</f>
        <v>0</v>
      </c>
      <c r="M3">
        <f>IF($B3&gt;=M$1,1,0)+IF($C3&gt;=M$1,1,0)+ IF($D3&gt;=M$1,1,0)+IF($E3&gt;=M$1,1,0)+IF($F3&gt;=M$1,1,0)+ IF($G3&gt;=M$1,1,0)+IF($H3&gt;=M$1,1,0)+IF($I3&gt;=M$1,1,0)+ IF($J3&gt;=M$1,1,0)</f>
        <v>0</v>
      </c>
      <c r="N3">
        <f>IF($B3&lt;K$1,1,0)+IF($E3&lt;K$1,1,0)+IF($H3&lt;K$1,1,0)</f>
        <v>3</v>
      </c>
      <c r="O3">
        <f>IF($B3&lt;L$1,1,0)+IF($E3&lt;L$1,1,0)+IF($H3&lt;L$1,1,0) -N3</f>
        <v>0</v>
      </c>
      <c r="P3">
        <f>IF($B3&gt;=M$1,1,0)+IF($E3&gt;=M$1,1,0)+IF($H3&gt;=M$1,1,0)</f>
        <v>0</v>
      </c>
      <c r="Q3">
        <f>IF($C3&lt;K$1,1,0)+IF($F3&lt;K$1,1,0)+IF($I3&lt;K$1,1,0)</f>
        <v>3</v>
      </c>
      <c r="R3">
        <f>IF($C3&lt;L$1,1,0)+ IF($F3&lt;L$1,1,0)+IF($I3&lt;L$1,1,0)-Q3</f>
        <v>0</v>
      </c>
      <c r="S3">
        <f>IF($C3&gt;=M$1,1,0)+ IF($F3&gt;=M$1,1,0)+IF($I3&gt;=M$1,1,0)</f>
        <v>0</v>
      </c>
      <c r="T3">
        <f xml:space="preserve"> IF($D3&lt;K$1,1,0)+IF($G3&lt;K$1,1,0)+ IF($J3&lt;K$1,1,0)</f>
        <v>3</v>
      </c>
      <c r="U3">
        <f>IF($D3&lt;L$1,1,0)+IF($G3&lt;L$1,1,0)+ IF($J3&lt;L$1,1,0)-T3</f>
        <v>0</v>
      </c>
      <c r="V3">
        <f xml:space="preserve"> IF($D3&gt;=M$1,1,0)+ IF($G3&gt;=M$1,1,0)+ IF($J3&gt;=M$1,1,0)</f>
        <v>0</v>
      </c>
    </row>
    <row r="4" spans="1:22">
      <c r="A4" t="str">
        <f>'time 1'!B3</f>
        <v>&lt;test.BallonFactory: boolean correctVertically(java.awt.Rectangle,int,int)&gt;</v>
      </c>
      <c r="B4">
        <f>AVERAGE('time 1'!D3/'time 1'!C3,'time 2'!D3/'time 2'!C3,'time 3'!D3/'time 3'!C3)</f>
        <v>0.98867521367521372</v>
      </c>
      <c r="C4">
        <f>AVERAGE('time 1'!F3/'time 1'!E3,'time 2'!F3/'time 2'!E3,'time 3'!F3/'time 3'!E3)</f>
        <v>1.0829526815879753</v>
      </c>
      <c r="D4">
        <f>AVERAGE('time 1'!H3/'time 1'!G3,'time 2'!H3/'time 2'!G3,'time 3'!H3/'time 3'!G3)</f>
        <v>0.89506691565515084</v>
      </c>
      <c r="E4">
        <f>AVERAGE('time 1'!J3/'time 2'!I3,'time 2'!J3/'time 2'!I3,'time 3'!J3/'time 3'!I3)</f>
        <v>1.0185305544723198</v>
      </c>
      <c r="F4">
        <f>AVERAGE('time 1'!L3/'time 1'!K3,'time 2'!L3/'time 2'!K3,'time 3'!L3/'time 3'!K3)</f>
        <v>1.0150576419365438</v>
      </c>
      <c r="G4">
        <f>AVERAGE('time 1'!N3/'time 1'!M3,'time 2'!N3/'time 2'!M3,'time 3'!N3/'time 3'!M3)</f>
        <v>1.0349885408708939</v>
      </c>
      <c r="H4">
        <f>AVERAGE('time 1'!P3/'time 1'!O3,'time 2'!P3/'time 2'!O3,'time 3'!P3/'time 3'!O3)</f>
        <v>1.1052928799840462</v>
      </c>
      <c r="I4">
        <f>AVERAGE('time 1'!R3/'time 1'!Q3,'time 2'!R3/'time 2'!Q3,'time 3'!R3/'time 3'!Q3)</f>
        <v>1.0378299627516447</v>
      </c>
      <c r="J4">
        <f>AVERAGE('time 1'!T3/'time 1'!S3,'time 2'!T3/'time 2'!S3,'time 3'!T3/'time 3'!S3)</f>
        <v>1.0493378552971577</v>
      </c>
      <c r="K4">
        <f t="shared" ref="K4:K67" si="0">IF($B4&lt;K$1,1,0)+IF($C4&lt;K$1,1,0)+ IF($D4&lt;K$1,1,0)+IF($E4&lt;K$1,1,0)+IF($F4&lt;K$1,1,0)+ IF($G4&lt;K$1,1,0)+IF($H4&lt;K$1,1,0)+IF($I4&lt;K$1,1,0)+ IF($J4&lt;K$1,1,0)</f>
        <v>9</v>
      </c>
      <c r="L4">
        <f t="shared" ref="L4:L67" si="1">IF($B4&lt;L$1,1,0)+IF($C4&lt;L$1,1,0)+ IF($D4&lt;L$1,1,0)+IF($E4&lt;L$1,1,0)+IF($F4&lt;L$1,1,0)+ IF($G4&lt;L$1,1,0)+IF($H4&lt;L$1,1,0)+IF($I4&lt;L$1,1,0)+ IF($J4&lt;L$1,1,0)-K4</f>
        <v>0</v>
      </c>
      <c r="M4">
        <f t="shared" ref="M4:M67" si="2">IF($B4&gt;=M$1,1,0)+IF($C4&gt;=M$1,1,0)+ IF($D4&gt;=M$1,1,0)+IF($E4&gt;=M$1,1,0)+IF($F4&gt;=M$1,1,0)+ IF($G4&gt;=M$1,1,0)+IF($H4&gt;=M$1,1,0)+IF($I4&gt;=M$1,1,0)+ IF($J4&gt;=M$1,1,0)</f>
        <v>0</v>
      </c>
      <c r="N4">
        <f t="shared" ref="N4:N67" si="3">IF($B4&lt;K$1,1,0)+IF($E4&lt;K$1,1,0)+IF($H4&lt;K$1,1,0)</f>
        <v>3</v>
      </c>
      <c r="O4">
        <f t="shared" ref="O4:O67" si="4">IF($B4&lt;L$1,1,0)+IF($E4&lt;L$1,1,0)+IF($H4&lt;L$1,1,0) -N4</f>
        <v>0</v>
      </c>
      <c r="P4">
        <f t="shared" ref="P4:P67" si="5">IF($B4&gt;=M$1,1,0)+IF($E4&gt;=M$1,1,0)+IF($H4&gt;=M$1,1,0)</f>
        <v>0</v>
      </c>
      <c r="Q4">
        <f t="shared" ref="Q4:Q67" si="6">IF($C4&lt;K$1,1,0)+IF($F4&lt;K$1,1,0)+IF($I4&lt;K$1,1,0)</f>
        <v>3</v>
      </c>
      <c r="R4">
        <f t="shared" ref="R4:R67" si="7">IF($C4&lt;L$1,1,0)+ IF($F4&lt;L$1,1,0)+IF($I4&lt;L$1,1,0)-Q4</f>
        <v>0</v>
      </c>
      <c r="S4">
        <f t="shared" ref="S4:S67" si="8">IF($C4&gt;=M$1,1,0)+ IF($F4&gt;=M$1,1,0)+IF($I4&gt;=M$1,1,0)</f>
        <v>0</v>
      </c>
      <c r="T4">
        <f t="shared" ref="T4:T67" si="9" xml:space="preserve"> IF($D4&lt;K$1,1,0)+IF($G4&lt;K$1,1,0)+ IF($J4&lt;K$1,1,0)</f>
        <v>3</v>
      </c>
      <c r="U4">
        <f t="shared" ref="U4:U67" si="10">IF($D4&lt;L$1,1,0)+IF($G4&lt;L$1,1,0)+ IF($J4&lt;L$1,1,0)-T4</f>
        <v>0</v>
      </c>
      <c r="V4">
        <f t="shared" ref="V4:V67" si="11" xml:space="preserve"> IF($D4&gt;=M$1,1,0)+ IF($G4&gt;=M$1,1,0)+ IF($J4&gt;=M$1,1,0)</f>
        <v>0</v>
      </c>
    </row>
    <row r="5" spans="1:22">
      <c r="A5" t="str">
        <f>'time 1'!B4</f>
        <v>&lt;test.BallonFactory: boolean isInsideBounds(java.awt.Rectangle,int,int)&gt;</v>
      </c>
      <c r="B5">
        <f>AVERAGE('time 1'!D4/'time 1'!C4,'time 2'!D4/'time 2'!C4,'time 3'!D4/'time 3'!C4)</f>
        <v>1.0684364275787743</v>
      </c>
      <c r="C5">
        <f>AVERAGE('time 1'!F4/'time 1'!E4,'time 2'!F4/'time 2'!E4,'time 3'!F4/'time 3'!E4)</f>
        <v>0.94009474735634713</v>
      </c>
      <c r="D5">
        <f>AVERAGE('time 1'!H4/'time 1'!G4,'time 2'!H4/'time 2'!G4,'time 3'!H4/'time 3'!G4)</f>
        <v>1.0555153035390683</v>
      </c>
      <c r="E5">
        <f>AVERAGE('time 1'!J4/'time 2'!I4,'time 2'!J4/'time 2'!I4,'time 3'!J4/'time 3'!I4)</f>
        <v>0.99494949494949514</v>
      </c>
      <c r="F5">
        <f>AVERAGE('time 1'!L4/'time 1'!K4,'time 2'!L4/'time 2'!K4,'time 3'!L4/'time 3'!K4)</f>
        <v>1.0141781501357188</v>
      </c>
      <c r="G5">
        <f>AVERAGE('time 1'!N4/'time 1'!M4,'time 2'!N4/'time 2'!M4,'time 3'!N4/'time 3'!M4)</f>
        <v>0.97168722710934763</v>
      </c>
      <c r="H5">
        <f>AVERAGE('time 1'!P4/'time 1'!O4,'time 2'!P4/'time 2'!O4,'time 3'!P4/'time 3'!O4)</f>
        <v>1.0094607034303082</v>
      </c>
      <c r="I5">
        <f>AVERAGE('time 1'!R4/'time 1'!Q4,'time 2'!R4/'time 2'!Q4,'time 3'!R4/'time 3'!Q4)</f>
        <v>0.98557156534708457</v>
      </c>
      <c r="J5">
        <f>AVERAGE('time 1'!T4/'time 1'!S4,'time 2'!T4/'time 2'!S4,'time 3'!T4/'time 3'!S4)</f>
        <v>0.90696303537049594</v>
      </c>
      <c r="K5">
        <f t="shared" si="0"/>
        <v>9</v>
      </c>
      <c r="L5">
        <f t="shared" si="1"/>
        <v>0</v>
      </c>
      <c r="M5">
        <f t="shared" si="2"/>
        <v>0</v>
      </c>
      <c r="N5">
        <f t="shared" si="3"/>
        <v>3</v>
      </c>
      <c r="O5">
        <f t="shared" si="4"/>
        <v>0</v>
      </c>
      <c r="P5">
        <f t="shared" si="5"/>
        <v>0</v>
      </c>
      <c r="Q5">
        <f t="shared" si="6"/>
        <v>3</v>
      </c>
      <c r="R5">
        <f t="shared" si="7"/>
        <v>0</v>
      </c>
      <c r="S5">
        <f t="shared" si="8"/>
        <v>0</v>
      </c>
      <c r="T5">
        <f t="shared" si="9"/>
        <v>3</v>
      </c>
      <c r="U5">
        <f t="shared" si="10"/>
        <v>0</v>
      </c>
      <c r="V5">
        <f t="shared" si="11"/>
        <v>0</v>
      </c>
    </row>
    <row r="6" spans="1:22">
      <c r="A6" t="str">
        <f>'time 1'!B5</f>
        <v>&lt;test.BallonFactory: java.awt.geom.GeneralPath getNormalPath(java.awt.Rectangle)&gt;</v>
      </c>
      <c r="B6">
        <f>AVERAGE('time 1'!D5/'time 1'!C5,'time 2'!D5/'time 2'!C5,'time 3'!D5/'time 3'!C5)</f>
        <v>0.95738943035762814</v>
      </c>
      <c r="C6">
        <f>AVERAGE('time 1'!F5/'time 1'!E5,'time 2'!F5/'time 2'!E5,'time 3'!F5/'time 3'!E5)</f>
        <v>1.0490919464473329</v>
      </c>
      <c r="D6">
        <f>AVERAGE('time 1'!H5/'time 1'!G5,'time 2'!H5/'time 2'!G5,'time 3'!H5/'time 3'!G5)</f>
        <v>1.0633621596841798</v>
      </c>
      <c r="E6">
        <f>AVERAGE('time 1'!J5/'time 2'!I5,'time 2'!J5/'time 2'!I5,'time 3'!J5/'time 3'!I5)</f>
        <v>1.0715160063182458</v>
      </c>
      <c r="F6">
        <f>AVERAGE('time 1'!L5/'time 1'!K5,'time 2'!L5/'time 2'!K5,'time 3'!L5/'time 3'!K5)</f>
        <v>0.93914971893072463</v>
      </c>
      <c r="G6">
        <f>AVERAGE('time 1'!N5/'time 1'!M5,'time 2'!N5/'time 2'!M5,'time 3'!N5/'time 3'!M5)</f>
        <v>1.0395557092893657</v>
      </c>
      <c r="H6">
        <f>AVERAGE('time 1'!P5/'time 1'!O5,'time 2'!P5/'time 2'!O5,'time 3'!P5/'time 3'!O5)</f>
        <v>1.0750790889804469</v>
      </c>
      <c r="I6">
        <f>AVERAGE('time 1'!R5/'time 1'!Q5,'time 2'!R5/'time 2'!Q5,'time 3'!R5/'time 3'!Q5)</f>
        <v>0.88025748921739699</v>
      </c>
      <c r="J6">
        <f>AVERAGE('time 1'!T5/'time 1'!S5,'time 2'!T5/'time 2'!S5,'time 3'!T5/'time 3'!S5)</f>
        <v>1.1364068218558954</v>
      </c>
      <c r="K6">
        <f t="shared" si="0"/>
        <v>9</v>
      </c>
      <c r="L6">
        <f t="shared" si="1"/>
        <v>0</v>
      </c>
      <c r="M6">
        <f t="shared" si="2"/>
        <v>0</v>
      </c>
      <c r="N6">
        <f t="shared" si="3"/>
        <v>3</v>
      </c>
      <c r="O6">
        <f t="shared" si="4"/>
        <v>0</v>
      </c>
      <c r="P6">
        <f t="shared" si="5"/>
        <v>0</v>
      </c>
      <c r="Q6">
        <f t="shared" si="6"/>
        <v>3</v>
      </c>
      <c r="R6">
        <f t="shared" si="7"/>
        <v>0</v>
      </c>
      <c r="S6">
        <f t="shared" si="8"/>
        <v>0</v>
      </c>
      <c r="T6">
        <f t="shared" si="9"/>
        <v>3</v>
      </c>
      <c r="U6">
        <f t="shared" si="10"/>
        <v>0</v>
      </c>
      <c r="V6">
        <f t="shared" si="11"/>
        <v>0</v>
      </c>
    </row>
    <row r="7" spans="1:22">
      <c r="A7" t="str">
        <f>'time 1'!B6</f>
        <v>&lt;test.BallonFactory: java.awt.Rectangle addPadding(java.awt.Rectangle)&gt;</v>
      </c>
      <c r="B7">
        <f>AVERAGE('time 1'!D6/'time 1'!C6,'time 2'!D6/'time 2'!C6,'time 3'!D6/'time 3'!C6)</f>
        <v>0.84721313086638173</v>
      </c>
      <c r="C7">
        <f>AVERAGE('time 1'!F6/'time 1'!E6,'time 2'!F6/'time 2'!E6,'time 3'!F6/'time 3'!E6)</f>
        <v>0.92953500978589398</v>
      </c>
      <c r="D7">
        <f>AVERAGE('time 1'!H6/'time 1'!G6,'time 2'!H6/'time 2'!G6,'time 3'!H6/'time 3'!G6)</f>
        <v>0.83323885109599394</v>
      </c>
      <c r="E7">
        <f>AVERAGE('time 1'!J6/'time 2'!I6,'time 2'!J6/'time 2'!I6,'time 3'!J6/'time 3'!I6)</f>
        <v>1.0388529139685476</v>
      </c>
      <c r="F7">
        <f>AVERAGE('time 1'!L6/'time 1'!K6,'time 2'!L6/'time 2'!K6,'time 3'!L6/'time 3'!K6)</f>
        <v>1.2196173844303706</v>
      </c>
      <c r="G7">
        <f>AVERAGE('time 1'!N6/'time 1'!M6,'time 2'!N6/'time 2'!M6,'time 3'!N6/'time 3'!M6)</f>
        <v>0.93826617826617831</v>
      </c>
      <c r="H7">
        <f>AVERAGE('time 1'!P6/'time 1'!O6,'time 2'!P6/'time 2'!O6,'time 3'!P6/'time 3'!O6)</f>
        <v>1.0064550531840251</v>
      </c>
      <c r="I7">
        <f>AVERAGE('time 1'!R6/'time 1'!Q6,'time 2'!R6/'time 2'!Q6,'time 3'!R6/'time 3'!Q6)</f>
        <v>1.1530109820467798</v>
      </c>
      <c r="J7">
        <f>AVERAGE('time 1'!T6/'time 1'!S6,'time 2'!T6/'time 2'!S6,'time 3'!T6/'time 3'!S6)</f>
        <v>1.0819490586932448</v>
      </c>
      <c r="K7">
        <f t="shared" si="0"/>
        <v>9</v>
      </c>
      <c r="L7">
        <f t="shared" si="1"/>
        <v>0</v>
      </c>
      <c r="M7">
        <f t="shared" si="2"/>
        <v>0</v>
      </c>
      <c r="N7">
        <f t="shared" si="3"/>
        <v>3</v>
      </c>
      <c r="O7">
        <f t="shared" si="4"/>
        <v>0</v>
      </c>
      <c r="P7">
        <f t="shared" si="5"/>
        <v>0</v>
      </c>
      <c r="Q7">
        <f t="shared" si="6"/>
        <v>3</v>
      </c>
      <c r="R7">
        <f t="shared" si="7"/>
        <v>0</v>
      </c>
      <c r="S7">
        <f t="shared" si="8"/>
        <v>0</v>
      </c>
      <c r="T7">
        <f t="shared" si="9"/>
        <v>3</v>
      </c>
      <c r="U7">
        <f t="shared" si="10"/>
        <v>0</v>
      </c>
      <c r="V7">
        <f t="shared" si="11"/>
        <v>0</v>
      </c>
    </row>
    <row r="8" spans="1:22">
      <c r="A8" t="str">
        <f>'time 1'!B7</f>
        <v>&lt;test.BallonFactory: java.awt.Rectangle getTextBounds(int,int,int,int)&gt;</v>
      </c>
      <c r="B8">
        <f>AVERAGE('time 1'!D7/'time 1'!C7,'time 2'!D7/'time 2'!C7,'time 3'!D7/'time 3'!C7)</f>
        <v>0.99375367248592272</v>
      </c>
      <c r="C8">
        <f>AVERAGE('time 1'!F7/'time 1'!E7,'time 2'!F7/'time 2'!E7,'time 3'!F7/'time 3'!E7)</f>
        <v>1.1622409403873444</v>
      </c>
      <c r="D8">
        <f>AVERAGE('time 1'!H7/'time 1'!G7,'time 2'!H7/'time 2'!G7,'time 3'!H7/'time 3'!G7)</f>
        <v>1.2239850752040933</v>
      </c>
      <c r="E8">
        <f>AVERAGE('time 1'!J7/'time 2'!I7,'time 2'!J7/'time 2'!I7,'time 3'!J7/'time 3'!I7)</f>
        <v>1.128400619614677</v>
      </c>
      <c r="F8">
        <f>AVERAGE('time 1'!L7/'time 1'!K7,'time 2'!L7/'time 2'!K7,'time 3'!L7/'time 3'!K7)</f>
        <v>1.0607875117011893</v>
      </c>
      <c r="G8">
        <f>AVERAGE('time 1'!N7/'time 1'!M7,'time 2'!N7/'time 2'!M7,'time 3'!N7/'time 3'!M7)</f>
        <v>1.1195830542535143</v>
      </c>
      <c r="H8">
        <f>AVERAGE('time 1'!P7/'time 1'!O7,'time 2'!P7/'time 2'!O7,'time 3'!P7/'time 3'!O7)</f>
        <v>1.202341230047695</v>
      </c>
      <c r="I8">
        <f>AVERAGE('time 1'!R7/'time 1'!Q7,'time 2'!R7/'time 2'!Q7,'time 3'!R7/'time 3'!Q7)</f>
        <v>1.1124935719913915</v>
      </c>
      <c r="J8">
        <f>AVERAGE('time 1'!T7/'time 1'!S7,'time 2'!T7/'time 2'!S7,'time 3'!T7/'time 3'!S7)</f>
        <v>1.1331207654379114</v>
      </c>
      <c r="K8">
        <f t="shared" si="0"/>
        <v>9</v>
      </c>
      <c r="L8">
        <f t="shared" si="1"/>
        <v>0</v>
      </c>
      <c r="M8">
        <f t="shared" si="2"/>
        <v>0</v>
      </c>
      <c r="N8">
        <f t="shared" si="3"/>
        <v>3</v>
      </c>
      <c r="O8">
        <f t="shared" si="4"/>
        <v>0</v>
      </c>
      <c r="P8">
        <f t="shared" si="5"/>
        <v>0</v>
      </c>
      <c r="Q8">
        <f t="shared" si="6"/>
        <v>3</v>
      </c>
      <c r="R8">
        <f t="shared" si="7"/>
        <v>0</v>
      </c>
      <c r="S8">
        <f t="shared" si="8"/>
        <v>0</v>
      </c>
      <c r="T8">
        <f t="shared" si="9"/>
        <v>3</v>
      </c>
      <c r="U8">
        <f t="shared" si="10"/>
        <v>0</v>
      </c>
      <c r="V8">
        <f t="shared" si="11"/>
        <v>0</v>
      </c>
    </row>
    <row r="9" spans="1:22">
      <c r="A9" t="str">
        <f>'time 1'!B8</f>
        <v>&lt;test.BallonFactory: java.awt.Shape getCirclePath(java.awt.Rectangle)&gt;</v>
      </c>
      <c r="B9">
        <f>AVERAGE('time 1'!D8/'time 1'!C8,'time 2'!D8/'time 2'!C8,'time 3'!D8/'time 3'!C8)</f>
        <v>2.1073029256702274</v>
      </c>
      <c r="C9">
        <f>AVERAGE('time 1'!F8/'time 1'!E8,'time 2'!F8/'time 2'!E8,'time 3'!F8/'time 3'!E8)</f>
        <v>1.6581365993894102</v>
      </c>
      <c r="D9">
        <f>AVERAGE('time 1'!H8/'time 1'!G8,'time 2'!H8/'time 2'!G8,'time 3'!H8/'time 3'!G8)</f>
        <v>2.2237579146615296</v>
      </c>
      <c r="E9">
        <f>AVERAGE('time 1'!J8/'time 2'!I8,'time 2'!J8/'time 2'!I8,'time 3'!J8/'time 3'!I8)</f>
        <v>2.1401047627251431</v>
      </c>
      <c r="F9">
        <f>AVERAGE('time 1'!L8/'time 1'!K8,'time 2'!L8/'time 2'!K8,'time 3'!L8/'time 3'!K8)</f>
        <v>1.6792892903643477</v>
      </c>
      <c r="G9">
        <f>AVERAGE('time 1'!N8/'time 1'!M8,'time 2'!N8/'time 2'!M8,'time 3'!N8/'time 3'!M8)</f>
        <v>1.9597360405479318</v>
      </c>
      <c r="H9">
        <f>AVERAGE('time 1'!P8/'time 1'!O8,'time 2'!P8/'time 2'!O8,'time 3'!P8/'time 3'!O8)</f>
        <v>2.2138004839927206</v>
      </c>
      <c r="I9">
        <f>AVERAGE('time 1'!R8/'time 1'!Q8,'time 2'!R8/'time 2'!Q8,'time 3'!R8/'time 3'!Q8)</f>
        <v>1.4790547872562998</v>
      </c>
      <c r="J9">
        <f>AVERAGE('time 1'!T8/'time 1'!S8,'time 2'!T8/'time 2'!S8,'time 3'!T8/'time 3'!S8)</f>
        <v>2.1459139043955169</v>
      </c>
      <c r="K9">
        <f t="shared" si="0"/>
        <v>4</v>
      </c>
      <c r="L9">
        <f t="shared" si="1"/>
        <v>5</v>
      </c>
      <c r="M9">
        <f t="shared" si="2"/>
        <v>0</v>
      </c>
      <c r="N9">
        <f t="shared" si="3"/>
        <v>0</v>
      </c>
      <c r="O9">
        <f t="shared" si="4"/>
        <v>3</v>
      </c>
      <c r="P9">
        <f t="shared" si="5"/>
        <v>0</v>
      </c>
      <c r="Q9">
        <f t="shared" si="6"/>
        <v>3</v>
      </c>
      <c r="R9">
        <f t="shared" si="7"/>
        <v>0</v>
      </c>
      <c r="S9">
        <f t="shared" si="8"/>
        <v>0</v>
      </c>
      <c r="T9">
        <f t="shared" si="9"/>
        <v>1</v>
      </c>
      <c r="U9">
        <f t="shared" si="10"/>
        <v>2</v>
      </c>
      <c r="V9">
        <f t="shared" si="11"/>
        <v>0</v>
      </c>
    </row>
    <row r="10" spans="1:22">
      <c r="A10" t="str">
        <f>'time 1'!B9</f>
        <v>&lt;test.BallonFactory: java.awt.Shape[] getArrow(int,int)&gt;</v>
      </c>
      <c r="B10">
        <f>AVERAGE('time 1'!D9/'time 1'!C9,'time 2'!D9/'time 2'!C9,'time 3'!D9/'time 3'!C9)</f>
        <v>1.0611754977104702</v>
      </c>
      <c r="C10">
        <f>AVERAGE('time 1'!F9/'time 1'!E9,'time 2'!F9/'time 2'!E9,'time 3'!F9/'time 3'!E9)</f>
        <v>1.1012294752609313</v>
      </c>
      <c r="D10">
        <f>AVERAGE('time 1'!H9/'time 1'!G9,'time 2'!H9/'time 2'!G9,'time 3'!H9/'time 3'!G9)</f>
        <v>1.2324940706439784</v>
      </c>
      <c r="E10">
        <f>AVERAGE('time 1'!J9/'time 2'!I9,'time 2'!J9/'time 2'!I9,'time 3'!J9/'time 3'!I9)</f>
        <v>1.0651661672495873</v>
      </c>
      <c r="F10">
        <f>AVERAGE('time 1'!L9/'time 1'!K9,'time 2'!L9/'time 2'!K9,'time 3'!L9/'time 3'!K9)</f>
        <v>0.98586154619649358</v>
      </c>
      <c r="G10">
        <f>AVERAGE('time 1'!N9/'time 1'!M9,'time 2'!N9/'time 2'!M9,'time 3'!N9/'time 3'!M9)</f>
        <v>1.0504020811938284</v>
      </c>
      <c r="H10">
        <f>AVERAGE('time 1'!P9/'time 1'!O9,'time 2'!P9/'time 2'!O9,'time 3'!P9/'time 3'!O9)</f>
        <v>1.0381364413854779</v>
      </c>
      <c r="I10">
        <f>AVERAGE('time 1'!R9/'time 1'!Q9,'time 2'!R9/'time 2'!Q9,'time 3'!R9/'time 3'!Q9)</f>
        <v>0.99366657454463236</v>
      </c>
      <c r="J10">
        <f>AVERAGE('time 1'!T9/'time 1'!S9,'time 2'!T9/'time 2'!S9,'time 3'!T9/'time 3'!S9)</f>
        <v>1.0896895067885395</v>
      </c>
      <c r="K10">
        <f t="shared" si="0"/>
        <v>9</v>
      </c>
      <c r="L10">
        <f t="shared" si="1"/>
        <v>0</v>
      </c>
      <c r="M10">
        <f t="shared" si="2"/>
        <v>0</v>
      </c>
      <c r="N10">
        <f t="shared" si="3"/>
        <v>3</v>
      </c>
      <c r="O10">
        <f t="shared" si="4"/>
        <v>0</v>
      </c>
      <c r="P10">
        <f t="shared" si="5"/>
        <v>0</v>
      </c>
      <c r="Q10">
        <f t="shared" si="6"/>
        <v>3</v>
      </c>
      <c r="R10">
        <f t="shared" si="7"/>
        <v>0</v>
      </c>
      <c r="S10">
        <f t="shared" si="8"/>
        <v>0</v>
      </c>
      <c r="T10">
        <f t="shared" si="9"/>
        <v>3</v>
      </c>
      <c r="U10">
        <f t="shared" si="10"/>
        <v>0</v>
      </c>
      <c r="V10">
        <f t="shared" si="11"/>
        <v>0</v>
      </c>
    </row>
    <row r="11" spans="1:22">
      <c r="A11" t="str">
        <f>'time 1'!B10</f>
        <v>&lt;test.BallonFactory: java.util.ArrayList getLines(java.awt.FontMetrics,java.lang.String,double,int)&gt;</v>
      </c>
      <c r="B11">
        <f>AVERAGE('time 1'!D10/'time 1'!C10,'time 2'!D10/'time 2'!C10,'time 3'!D10/'time 3'!C10)</f>
        <v>1.2863109748255264</v>
      </c>
      <c r="C11">
        <f>AVERAGE('time 1'!F10/'time 1'!E10,'time 2'!F10/'time 2'!E10,'time 3'!F10/'time 3'!E10)</f>
        <v>1.1496024458748246</v>
      </c>
      <c r="D11">
        <f>AVERAGE('time 1'!H10/'time 1'!G10,'time 2'!H10/'time 2'!G10,'time 3'!H10/'time 3'!G10)</f>
        <v>1.2824181199590887</v>
      </c>
      <c r="E11">
        <f>AVERAGE('time 1'!J10/'time 2'!I10,'time 2'!J10/'time 2'!I10,'time 3'!J10/'time 3'!I10)</f>
        <v>1.363575279702723</v>
      </c>
      <c r="F11">
        <f>AVERAGE('time 1'!L10/'time 1'!K10,'time 2'!L10/'time 2'!K10,'time 3'!L10/'time 3'!K10)</f>
        <v>1.4776795061687429</v>
      </c>
      <c r="G11">
        <f>AVERAGE('time 1'!N10/'time 1'!M10,'time 2'!N10/'time 2'!M10,'time 3'!N10/'time 3'!M10)</f>
        <v>1.2026193926433619</v>
      </c>
      <c r="H11">
        <f>AVERAGE('time 1'!P10/'time 1'!O10,'time 2'!P10/'time 2'!O10,'time 3'!P10/'time 3'!O10)</f>
        <v>1.3129848754169819</v>
      </c>
      <c r="I11">
        <f>AVERAGE('time 1'!R10/'time 1'!Q10,'time 2'!R10/'time 2'!Q10,'time 3'!R10/'time 3'!Q10)</f>
        <v>1.040177498425823</v>
      </c>
      <c r="J11">
        <f>AVERAGE('time 1'!T10/'time 1'!S10,'time 2'!T10/'time 2'!S10,'time 3'!T10/'time 3'!S10)</f>
        <v>1.2874900424346587</v>
      </c>
      <c r="K11">
        <f t="shared" si="0"/>
        <v>9</v>
      </c>
      <c r="L11">
        <f t="shared" si="1"/>
        <v>0</v>
      </c>
      <c r="M11">
        <f t="shared" si="2"/>
        <v>0</v>
      </c>
      <c r="N11">
        <f t="shared" si="3"/>
        <v>3</v>
      </c>
      <c r="O11">
        <f t="shared" si="4"/>
        <v>0</v>
      </c>
      <c r="P11">
        <f t="shared" si="5"/>
        <v>0</v>
      </c>
      <c r="Q11">
        <f t="shared" si="6"/>
        <v>3</v>
      </c>
      <c r="R11">
        <f t="shared" si="7"/>
        <v>0</v>
      </c>
      <c r="S11">
        <f t="shared" si="8"/>
        <v>0</v>
      </c>
      <c r="T11">
        <f t="shared" si="9"/>
        <v>3</v>
      </c>
      <c r="U11">
        <f t="shared" si="10"/>
        <v>0</v>
      </c>
      <c r="V11">
        <f t="shared" si="11"/>
        <v>0</v>
      </c>
    </row>
    <row r="12" spans="1:22">
      <c r="A12" t="str">
        <f>'time 1'!B11</f>
        <v>&lt;test.Base64: boolean isData(byte)&gt;</v>
      </c>
      <c r="B12">
        <f>AVERAGE('time 1'!D11/'time 1'!C11,'time 2'!D11/'time 2'!C11,'time 3'!D11/'time 3'!C11)</f>
        <v>0.96969696969696972</v>
      </c>
      <c r="C12">
        <f>AVERAGE('time 1'!F11/'time 1'!E11,'time 2'!F11/'time 2'!E11,'time 3'!F11/'time 3'!E11)</f>
        <v>1.0139670459522216</v>
      </c>
      <c r="D12">
        <f>AVERAGE('time 1'!H11/'time 1'!G11,'time 2'!H11/'time 2'!G11,'time 3'!H11/'time 3'!G11)</f>
        <v>0.82194616977225676</v>
      </c>
      <c r="E12">
        <f>AVERAGE('time 1'!J11/'time 2'!I11,'time 2'!J11/'time 2'!I11,'time 3'!J11/'time 3'!I11)</f>
        <v>0.97435897435897445</v>
      </c>
      <c r="F12">
        <f>AVERAGE('time 1'!L11/'time 1'!K11,'time 2'!L11/'time 2'!K11,'time 3'!L11/'time 3'!K11)</f>
        <v>0.99678937819831581</v>
      </c>
      <c r="G12">
        <f>AVERAGE('time 1'!N11/'time 1'!M11,'time 2'!N11/'time 2'!M11,'time 3'!N11/'time 3'!M11)</f>
        <v>1.0196969696969698</v>
      </c>
      <c r="H12">
        <f>AVERAGE('time 1'!P11/'time 1'!O11,'time 2'!P11/'time 2'!O11,'time 3'!P11/'time 3'!O11)</f>
        <v>1.0003584229390681</v>
      </c>
      <c r="I12">
        <f>AVERAGE('time 1'!R11/'time 1'!Q11,'time 2'!R11/'time 2'!Q11,'time 3'!R11/'time 3'!Q11)</f>
        <v>1.0095511793995833</v>
      </c>
      <c r="J12">
        <f>AVERAGE('time 1'!T11/'time 1'!S11,'time 2'!T11/'time 2'!S11,'time 3'!T11/'time 3'!S11)</f>
        <v>0.97222222222222232</v>
      </c>
      <c r="K12">
        <f t="shared" si="0"/>
        <v>9</v>
      </c>
      <c r="L12">
        <f t="shared" si="1"/>
        <v>0</v>
      </c>
      <c r="M12">
        <f t="shared" si="2"/>
        <v>0</v>
      </c>
      <c r="N12">
        <f t="shared" si="3"/>
        <v>3</v>
      </c>
      <c r="O12">
        <f t="shared" si="4"/>
        <v>0</v>
      </c>
      <c r="P12">
        <f t="shared" si="5"/>
        <v>0</v>
      </c>
      <c r="Q12">
        <f t="shared" si="6"/>
        <v>3</v>
      </c>
      <c r="R12">
        <f t="shared" si="7"/>
        <v>0</v>
      </c>
      <c r="S12">
        <f t="shared" si="8"/>
        <v>0</v>
      </c>
      <c r="T12">
        <f t="shared" si="9"/>
        <v>3</v>
      </c>
      <c r="U12">
        <f t="shared" si="10"/>
        <v>0</v>
      </c>
      <c r="V12">
        <f t="shared" si="11"/>
        <v>0</v>
      </c>
    </row>
    <row r="13" spans="1:22">
      <c r="A13" t="str">
        <f>'time 1'!B12</f>
        <v>&lt;test.Base64: boolean isPad(byte)&gt;</v>
      </c>
      <c r="B13">
        <f>AVERAGE('time 1'!D12/'time 1'!C12,'time 2'!D12/'time 2'!C12,'time 3'!D12/'time 3'!C12)</f>
        <v>1.2096491228070176</v>
      </c>
      <c r="C13">
        <f>AVERAGE('time 1'!F12/'time 1'!E12,'time 2'!F12/'time 2'!E12,'time 3'!F12/'time 3'!E12)</f>
        <v>1.2183908045977012</v>
      </c>
      <c r="D13">
        <f>AVERAGE('time 1'!H12/'time 1'!G12,'time 2'!H12/'time 2'!G12,'time 3'!H12/'time 3'!G12)</f>
        <v>0.90666666666666662</v>
      </c>
      <c r="E13">
        <f>AVERAGE('time 1'!J12/'time 2'!I12,'time 2'!J12/'time 2'!I12,'time 3'!J12/'time 3'!I12)</f>
        <v>1.2</v>
      </c>
      <c r="F13">
        <f>AVERAGE('time 1'!L12/'time 1'!K12,'time 2'!L12/'time 2'!K12,'time 3'!L12/'time 3'!K12)</f>
        <v>0.9962395447689566</v>
      </c>
      <c r="G13">
        <f>AVERAGE('time 1'!N12/'time 1'!M12,'time 2'!N12/'time 2'!M12,'time 3'!N12/'time 3'!M12)</f>
        <v>0.98550724637681153</v>
      </c>
      <c r="H13">
        <f>AVERAGE('time 1'!P12/'time 1'!O12,'time 2'!P12/'time 2'!O12,'time 3'!P12/'time 3'!O12)</f>
        <v>0.99964157706093193</v>
      </c>
      <c r="I13">
        <f>AVERAGE('time 1'!R12/'time 1'!Q12,'time 2'!R12/'time 2'!Q12,'time 3'!R12/'time 3'!Q12)</f>
        <v>1.0043567251461989</v>
      </c>
      <c r="J13">
        <f>AVERAGE('time 1'!T12/'time 1'!S12,'time 2'!T12/'time 2'!S12,'time 3'!T12/'time 3'!S12)</f>
        <v>1.2330434782608695</v>
      </c>
      <c r="K13">
        <f t="shared" si="0"/>
        <v>9</v>
      </c>
      <c r="L13">
        <f t="shared" si="1"/>
        <v>0</v>
      </c>
      <c r="M13">
        <f t="shared" si="2"/>
        <v>0</v>
      </c>
      <c r="N13">
        <f t="shared" si="3"/>
        <v>3</v>
      </c>
      <c r="O13">
        <f t="shared" si="4"/>
        <v>0</v>
      </c>
      <c r="P13">
        <f t="shared" si="5"/>
        <v>0</v>
      </c>
      <c r="Q13">
        <f t="shared" si="6"/>
        <v>3</v>
      </c>
      <c r="R13">
        <f t="shared" si="7"/>
        <v>0</v>
      </c>
      <c r="S13">
        <f t="shared" si="8"/>
        <v>0</v>
      </c>
      <c r="T13">
        <f t="shared" si="9"/>
        <v>3</v>
      </c>
      <c r="U13">
        <f t="shared" si="10"/>
        <v>0</v>
      </c>
      <c r="V13">
        <f t="shared" si="11"/>
        <v>0</v>
      </c>
    </row>
    <row r="14" spans="1:22">
      <c r="A14" t="str">
        <f>'time 1'!B13</f>
        <v>&lt;test.Base64: boolean isWhiteSpace(byte)&gt;</v>
      </c>
      <c r="B14">
        <f>AVERAGE('time 1'!D13/'time 1'!C13,'time 2'!D13/'time 2'!C13,'time 3'!D13/'time 3'!C13)</f>
        <v>1.1356223684990809</v>
      </c>
      <c r="C14">
        <f>AVERAGE('time 1'!F13/'time 1'!E13,'time 2'!F13/'time 2'!E13,'time 3'!F13/'time 3'!E13)</f>
        <v>0.9523779321374376</v>
      </c>
      <c r="D14">
        <f>AVERAGE('time 1'!H13/'time 1'!G13,'time 2'!H13/'time 2'!G13,'time 3'!H13/'time 3'!G13)</f>
        <v>0.95982905982905997</v>
      </c>
      <c r="E14">
        <f>AVERAGE('time 1'!J13/'time 2'!I13,'time 2'!J13/'time 2'!I13,'time 3'!J13/'time 3'!I13)</f>
        <v>1.0659118357487922</v>
      </c>
      <c r="F14">
        <f>AVERAGE('time 1'!L13/'time 1'!K13,'time 2'!L13/'time 2'!K13,'time 3'!L13/'time 3'!K13)</f>
        <v>0.8990712845839578</v>
      </c>
      <c r="G14">
        <f>AVERAGE('time 1'!N13/'time 1'!M13,'time 2'!N13/'time 2'!M13,'time 3'!N13/'time 3'!M13)</f>
        <v>0.9789154999877262</v>
      </c>
      <c r="H14">
        <f>AVERAGE('time 1'!P13/'time 1'!O13,'time 2'!P13/'time 2'!O13,'time 3'!P13/'time 3'!O13)</f>
        <v>1.1095498308613063</v>
      </c>
      <c r="I14">
        <f>AVERAGE('time 1'!R13/'time 1'!Q13,'time 2'!R13/'time 2'!Q13,'time 3'!R13/'time 3'!Q13)</f>
        <v>1.0205356928842604</v>
      </c>
      <c r="J14">
        <f>AVERAGE('time 1'!T13/'time 1'!S13,'time 2'!T13/'time 2'!S13,'time 3'!T13/'time 3'!S13)</f>
        <v>0.87266879692411603</v>
      </c>
      <c r="K14">
        <f t="shared" si="0"/>
        <v>9</v>
      </c>
      <c r="L14">
        <f t="shared" si="1"/>
        <v>0</v>
      </c>
      <c r="M14">
        <f t="shared" si="2"/>
        <v>0</v>
      </c>
      <c r="N14">
        <f t="shared" si="3"/>
        <v>3</v>
      </c>
      <c r="O14">
        <f t="shared" si="4"/>
        <v>0</v>
      </c>
      <c r="P14">
        <f t="shared" si="5"/>
        <v>0</v>
      </c>
      <c r="Q14">
        <f t="shared" si="6"/>
        <v>3</v>
      </c>
      <c r="R14">
        <f t="shared" si="7"/>
        <v>0</v>
      </c>
      <c r="S14">
        <f t="shared" si="8"/>
        <v>0</v>
      </c>
      <c r="T14">
        <f t="shared" si="9"/>
        <v>3</v>
      </c>
      <c r="U14">
        <f t="shared" si="10"/>
        <v>0</v>
      </c>
      <c r="V14">
        <f t="shared" si="11"/>
        <v>0</v>
      </c>
    </row>
    <row r="15" spans="1:22">
      <c r="A15" t="str">
        <f>'time 1'!B14</f>
        <v>&lt;test.Base64: byte[] decode(org.w3c.dom.Element)&gt;</v>
      </c>
      <c r="B15">
        <f>AVERAGE('time 1'!D14/'time 1'!C14,'time 2'!D14/'time 2'!C14,'time 3'!D14/'time 3'!C14)</f>
        <v>0.84444444444444444</v>
      </c>
      <c r="C15">
        <f>AVERAGE('time 1'!F14/'time 1'!E14,'time 2'!F14/'time 2'!E14,'time 3'!F14/'time 3'!E14)</f>
        <v>1.0967512238540276</v>
      </c>
      <c r="D15">
        <f>AVERAGE('time 1'!H14/'time 1'!G14,'time 2'!H14/'time 2'!G14,'time 3'!H14/'time 3'!G14)</f>
        <v>1.1083591331269351</v>
      </c>
      <c r="E15">
        <f>AVERAGE('time 1'!J14/'time 2'!I14,'time 2'!J14/'time 2'!I14,'time 3'!J14/'time 3'!I14)</f>
        <v>1.0271794871794873</v>
      </c>
      <c r="F15">
        <f>AVERAGE('time 1'!L14/'time 1'!K14,'time 2'!L14/'time 2'!K14,'time 3'!L14/'time 3'!K14)</f>
        <v>1.0183922920559685</v>
      </c>
      <c r="G15">
        <f>AVERAGE('time 1'!N14/'time 1'!M14,'time 2'!N14/'time 2'!M14,'time 3'!N14/'time 3'!M14)</f>
        <v>1.1007936507936507</v>
      </c>
      <c r="H15">
        <f>AVERAGE('time 1'!P14/'time 1'!O14,'time 2'!P14/'time 2'!O14,'time 3'!P14/'time 3'!O14)</f>
        <v>1.2261648745519713</v>
      </c>
      <c r="I15">
        <f>AVERAGE('time 1'!R14/'time 1'!Q14,'time 2'!R14/'time 2'!Q14,'time 3'!R14/'time 3'!Q14)</f>
        <v>1.0435196488914489</v>
      </c>
      <c r="J15">
        <f>AVERAGE('time 1'!T14/'time 1'!S14,'time 2'!T14/'time 2'!S14,'time 3'!T14/'time 3'!S14)</f>
        <v>1.0005555555555556</v>
      </c>
      <c r="K15">
        <f t="shared" si="0"/>
        <v>9</v>
      </c>
      <c r="L15">
        <f t="shared" si="1"/>
        <v>0</v>
      </c>
      <c r="M15">
        <f t="shared" si="2"/>
        <v>0</v>
      </c>
      <c r="N15">
        <f t="shared" si="3"/>
        <v>3</v>
      </c>
      <c r="O15">
        <f t="shared" si="4"/>
        <v>0</v>
      </c>
      <c r="P15">
        <f t="shared" si="5"/>
        <v>0</v>
      </c>
      <c r="Q15">
        <f t="shared" si="6"/>
        <v>3</v>
      </c>
      <c r="R15">
        <f t="shared" si="7"/>
        <v>0</v>
      </c>
      <c r="S15">
        <f t="shared" si="8"/>
        <v>0</v>
      </c>
      <c r="T15">
        <f t="shared" si="9"/>
        <v>3</v>
      </c>
      <c r="U15">
        <f t="shared" si="10"/>
        <v>0</v>
      </c>
      <c r="V15">
        <f t="shared" si="11"/>
        <v>0</v>
      </c>
    </row>
    <row r="16" spans="1:22">
      <c r="A16" t="str">
        <f>'time 1'!B15</f>
        <v>&lt;test.Base64: byte[] decodeInternal(byte[])&gt;</v>
      </c>
      <c r="B16">
        <f>AVERAGE('time 1'!D15/'time 1'!C15,'time 2'!D15/'time 2'!C15,'time 3'!D15/'time 3'!C15)</f>
        <v>1.2451136749417966</v>
      </c>
      <c r="C16">
        <f>AVERAGE('time 1'!F15/'time 1'!E15,'time 2'!F15/'time 2'!E15,'time 3'!F15/'time 3'!E15)</f>
        <v>1.1621464500903989</v>
      </c>
      <c r="D16">
        <f>AVERAGE('time 1'!H15/'time 1'!G15,'time 2'!H15/'time 2'!G15,'time 3'!H15/'time 3'!G15)</f>
        <v>1.2440920698615641</v>
      </c>
      <c r="E16">
        <f>AVERAGE('time 1'!J15/'time 2'!I15,'time 2'!J15/'time 2'!I15,'time 3'!J15/'time 3'!I15)</f>
        <v>1.3108910768006765</v>
      </c>
      <c r="F16">
        <f>AVERAGE('time 1'!L15/'time 1'!K15,'time 2'!L15/'time 2'!K15,'time 3'!L15/'time 3'!K15)</f>
        <v>1.0454860692764638</v>
      </c>
      <c r="G16">
        <f>AVERAGE('time 1'!N15/'time 1'!M15,'time 2'!N15/'time 2'!M15,'time 3'!N15/'time 3'!M15)</f>
        <v>1.2613918212566377</v>
      </c>
      <c r="H16">
        <f>AVERAGE('time 1'!P15/'time 1'!O15,'time 2'!P15/'time 2'!O15,'time 3'!P15/'time 3'!O15)</f>
        <v>1.2691383189083132</v>
      </c>
      <c r="I16">
        <f>AVERAGE('time 1'!R15/'time 1'!Q15,'time 2'!R15/'time 2'!Q15,'time 3'!R15/'time 3'!Q15)</f>
        <v>1.1304304060806771</v>
      </c>
      <c r="J16">
        <f>AVERAGE('time 1'!T15/'time 1'!S15,'time 2'!T15/'time 2'!S15,'time 3'!T15/'time 3'!S15)</f>
        <v>1.2627880718587681</v>
      </c>
      <c r="K16">
        <f t="shared" si="0"/>
        <v>9</v>
      </c>
      <c r="L16">
        <f t="shared" si="1"/>
        <v>0</v>
      </c>
      <c r="M16">
        <f t="shared" si="2"/>
        <v>0</v>
      </c>
      <c r="N16">
        <f t="shared" si="3"/>
        <v>3</v>
      </c>
      <c r="O16">
        <f t="shared" si="4"/>
        <v>0</v>
      </c>
      <c r="P16">
        <f t="shared" si="5"/>
        <v>0</v>
      </c>
      <c r="Q16">
        <f t="shared" si="6"/>
        <v>3</v>
      </c>
      <c r="R16">
        <f t="shared" si="7"/>
        <v>0</v>
      </c>
      <c r="S16">
        <f t="shared" si="8"/>
        <v>0</v>
      </c>
      <c r="T16">
        <f t="shared" si="9"/>
        <v>3</v>
      </c>
      <c r="U16">
        <f t="shared" si="10"/>
        <v>0</v>
      </c>
      <c r="V16">
        <f t="shared" si="11"/>
        <v>0</v>
      </c>
    </row>
    <row r="17" spans="1:22">
      <c r="A17" t="str">
        <f>'time 1'!B16</f>
        <v>&lt;test.Base64: byte[] encode(java.math.BigInteger,int)&gt;</v>
      </c>
      <c r="B17">
        <f>AVERAGE('time 1'!D16/'time 1'!C16,'time 2'!D16/'time 2'!C16,'time 3'!D16/'time 3'!C16)</f>
        <v>1.1520126665413997</v>
      </c>
      <c r="C17">
        <f>AVERAGE('time 1'!F16/'time 1'!E16,'time 2'!F16/'time 2'!E16,'time 3'!F16/'time 3'!E16)</f>
        <v>1.1087972257156855</v>
      </c>
      <c r="D17">
        <f>AVERAGE('time 1'!H16/'time 1'!G16,'time 2'!H16/'time 2'!G16,'time 3'!H16/'time 3'!G16)</f>
        <v>1.1278166481017358</v>
      </c>
      <c r="E17">
        <f>AVERAGE('time 1'!J16/'time 2'!I16,'time 2'!J16/'time 2'!I16,'time 3'!J16/'time 3'!I16)</f>
        <v>1.2182795698924733</v>
      </c>
      <c r="F17">
        <f>AVERAGE('time 1'!L16/'time 1'!K16,'time 2'!L16/'time 2'!K16,'time 3'!L16/'time 3'!K16)</f>
        <v>1.1178784738970629</v>
      </c>
      <c r="G17">
        <f>AVERAGE('time 1'!N16/'time 1'!M16,'time 2'!N16/'time 2'!M16,'time 3'!N16/'time 3'!M16)</f>
        <v>0.97084956128454281</v>
      </c>
      <c r="H17">
        <f>AVERAGE('time 1'!P16/'time 1'!O16,'time 2'!P16/'time 2'!O16,'time 3'!P16/'time 3'!O16)</f>
        <v>1.1783802020644127</v>
      </c>
      <c r="I17">
        <f>AVERAGE('time 1'!R16/'time 1'!Q16,'time 2'!R16/'time 2'!Q16,'time 3'!R16/'time 3'!Q16)</f>
        <v>1.1390827781451824</v>
      </c>
      <c r="J17">
        <f>AVERAGE('time 1'!T16/'time 1'!S16,'time 2'!T16/'time 2'!S16,'time 3'!T16/'time 3'!S16)</f>
        <v>1.1541059632457482</v>
      </c>
      <c r="K17">
        <f t="shared" si="0"/>
        <v>9</v>
      </c>
      <c r="L17">
        <f t="shared" si="1"/>
        <v>0</v>
      </c>
      <c r="M17">
        <f t="shared" si="2"/>
        <v>0</v>
      </c>
      <c r="N17">
        <f t="shared" si="3"/>
        <v>3</v>
      </c>
      <c r="O17">
        <f t="shared" si="4"/>
        <v>0</v>
      </c>
      <c r="P17">
        <f t="shared" si="5"/>
        <v>0</v>
      </c>
      <c r="Q17">
        <f t="shared" si="6"/>
        <v>3</v>
      </c>
      <c r="R17">
        <f t="shared" si="7"/>
        <v>0</v>
      </c>
      <c r="S17">
        <f t="shared" si="8"/>
        <v>0</v>
      </c>
      <c r="T17">
        <f t="shared" si="9"/>
        <v>3</v>
      </c>
      <c r="U17">
        <f t="shared" si="10"/>
        <v>0</v>
      </c>
      <c r="V17">
        <f t="shared" si="11"/>
        <v>0</v>
      </c>
    </row>
    <row r="18" spans="1:22">
      <c r="A18" t="str">
        <f>'time 1'!B17</f>
        <v>&lt;test.Base64: byte[] getBytes(java.math.BigInteger,int)&gt;</v>
      </c>
      <c r="B18">
        <f>AVERAGE('time 1'!D17/'time 1'!C17,'time 2'!D17/'time 2'!C17,'time 3'!D17/'time 3'!C17)</f>
        <v>1.1763618983535997</v>
      </c>
      <c r="C18">
        <f>AVERAGE('time 1'!F17/'time 1'!E17,'time 2'!F17/'time 2'!E17,'time 3'!F17/'time 3'!E17)</f>
        <v>1.0352234196254508</v>
      </c>
      <c r="D18">
        <f>AVERAGE('time 1'!H17/'time 1'!G17,'time 2'!H17/'time 2'!G17,'time 3'!H17/'time 3'!G17)</f>
        <v>1.1684899535230722</v>
      </c>
      <c r="E18">
        <f>AVERAGE('time 1'!J17/'time 2'!I17,'time 2'!J17/'time 2'!I17,'time 3'!J17/'time 3'!I17)</f>
        <v>1.1726726726726726</v>
      </c>
      <c r="F18">
        <f>AVERAGE('time 1'!L17/'time 1'!K17,'time 2'!L17/'time 2'!K17,'time 3'!L17/'time 3'!K17)</f>
        <v>1.0951547615768213</v>
      </c>
      <c r="G18">
        <f>AVERAGE('time 1'!N17/'time 1'!M17,'time 2'!N17/'time 2'!M17,'time 3'!N17/'time 3'!M17)</f>
        <v>1.0514522622699387</v>
      </c>
      <c r="H18">
        <f>AVERAGE('time 1'!P17/'time 1'!O17,'time 2'!P17/'time 2'!O17,'time 3'!P17/'time 3'!O17)</f>
        <v>1.1394002910995207</v>
      </c>
      <c r="I18">
        <f>AVERAGE('time 1'!R17/'time 1'!Q17,'time 2'!R17/'time 2'!Q17,'time 3'!R17/'time 3'!Q17)</f>
        <v>1.2000131998016437</v>
      </c>
      <c r="J18">
        <f>AVERAGE('time 1'!T17/'time 1'!S17,'time 2'!T17/'time 2'!S17,'time 3'!T17/'time 3'!S17)</f>
        <v>1.0983371346785116</v>
      </c>
      <c r="K18">
        <f t="shared" si="0"/>
        <v>9</v>
      </c>
      <c r="L18">
        <f t="shared" si="1"/>
        <v>0</v>
      </c>
      <c r="M18">
        <f t="shared" si="2"/>
        <v>0</v>
      </c>
      <c r="N18">
        <f t="shared" si="3"/>
        <v>3</v>
      </c>
      <c r="O18">
        <f t="shared" si="4"/>
        <v>0</v>
      </c>
      <c r="P18">
        <f t="shared" si="5"/>
        <v>0</v>
      </c>
      <c r="Q18">
        <f t="shared" si="6"/>
        <v>3</v>
      </c>
      <c r="R18">
        <f t="shared" si="7"/>
        <v>0</v>
      </c>
      <c r="S18">
        <f t="shared" si="8"/>
        <v>0</v>
      </c>
      <c r="T18">
        <f t="shared" si="9"/>
        <v>3</v>
      </c>
      <c r="U18">
        <f t="shared" si="10"/>
        <v>0</v>
      </c>
      <c r="V18">
        <f t="shared" si="11"/>
        <v>0</v>
      </c>
    </row>
    <row r="19" spans="1:22">
      <c r="A19" t="str">
        <f>'time 1'!B18</f>
        <v>&lt;test.Base64: int removeWhiteSpace(byte[])&gt;</v>
      </c>
      <c r="B19">
        <f>AVERAGE('time 1'!D18/'time 1'!C18,'time 2'!D18/'time 2'!C18,'time 3'!D18/'time 3'!C18)</f>
        <v>0.99688601195401405</v>
      </c>
      <c r="C19">
        <f>AVERAGE('time 1'!F18/'time 1'!E18,'time 2'!F18/'time 2'!E18,'time 3'!F18/'time 3'!E18)</f>
        <v>0.99581294506106532</v>
      </c>
      <c r="D19">
        <f>AVERAGE('time 1'!H18/'time 1'!G18,'time 2'!H18/'time 2'!G18,'time 3'!H18/'time 3'!G18)</f>
        <v>1.0050340920332703</v>
      </c>
      <c r="E19">
        <f>AVERAGE('time 1'!J18/'time 2'!I18,'time 2'!J18/'time 2'!I18,'time 3'!J18/'time 3'!I18)</f>
        <v>1.0921236502033378</v>
      </c>
      <c r="F19">
        <f>AVERAGE('time 1'!L18/'time 1'!K18,'time 2'!L18/'time 2'!K18,'time 3'!L18/'time 3'!K18)</f>
        <v>1.0424831751171144</v>
      </c>
      <c r="G19">
        <f>AVERAGE('time 1'!N18/'time 1'!M18,'time 2'!N18/'time 2'!M18,'time 3'!N18/'time 3'!M18)</f>
        <v>1.0086566280454359</v>
      </c>
      <c r="H19">
        <f>AVERAGE('time 1'!P18/'time 1'!O18,'time 2'!P18/'time 2'!O18,'time 3'!P18/'time 3'!O18)</f>
        <v>0.98363936044230194</v>
      </c>
      <c r="I19">
        <f>AVERAGE('time 1'!R18/'time 1'!Q18,'time 2'!R18/'time 2'!Q18,'time 3'!R18/'time 3'!Q18)</f>
        <v>0.98951918870364253</v>
      </c>
      <c r="J19">
        <f>AVERAGE('time 1'!T18/'time 1'!S18,'time 2'!T18/'time 2'!S18,'time 3'!T18/'time 3'!S18)</f>
        <v>0.99741813087732079</v>
      </c>
      <c r="K19">
        <f t="shared" si="0"/>
        <v>9</v>
      </c>
      <c r="L19">
        <f t="shared" si="1"/>
        <v>0</v>
      </c>
      <c r="M19">
        <f t="shared" si="2"/>
        <v>0</v>
      </c>
      <c r="N19">
        <f t="shared" si="3"/>
        <v>3</v>
      </c>
      <c r="O19">
        <f t="shared" si="4"/>
        <v>0</v>
      </c>
      <c r="P19">
        <f t="shared" si="5"/>
        <v>0</v>
      </c>
      <c r="Q19">
        <f t="shared" si="6"/>
        <v>3</v>
      </c>
      <c r="R19">
        <f t="shared" si="7"/>
        <v>0</v>
      </c>
      <c r="S19">
        <f t="shared" si="8"/>
        <v>0</v>
      </c>
      <c r="T19">
        <f t="shared" si="9"/>
        <v>3</v>
      </c>
      <c r="U19">
        <f t="shared" si="10"/>
        <v>0</v>
      </c>
      <c r="V19">
        <f t="shared" si="11"/>
        <v>0</v>
      </c>
    </row>
    <row r="20" spans="1:22">
      <c r="A20" t="str">
        <f>'time 1'!B19</f>
        <v>&lt;test.Base64: java.lang.String encode(byte[],int)&gt;</v>
      </c>
      <c r="B20">
        <f>AVERAGE('time 1'!D19/'time 1'!C19,'time 2'!D19/'time 2'!C19,'time 3'!D19/'time 3'!C19)</f>
        <v>1.3144975580782541</v>
      </c>
      <c r="C20">
        <f>AVERAGE('time 1'!F19/'time 1'!E19,'time 2'!F19/'time 2'!E19,'time 3'!F19/'time 3'!E19)</f>
        <v>1.2399919935344197</v>
      </c>
      <c r="D20">
        <f>AVERAGE('time 1'!H19/'time 1'!G19,'time 2'!H19/'time 2'!G19,'time 3'!H19/'time 3'!G19)</f>
        <v>1.3120825642067138</v>
      </c>
      <c r="E20">
        <f>AVERAGE('time 1'!J19/'time 2'!I19,'time 2'!J19/'time 2'!I19,'time 3'!J19/'time 3'!I19)</f>
        <v>1.4304427439720706</v>
      </c>
      <c r="F20">
        <f>AVERAGE('time 1'!L19/'time 1'!K19,'time 2'!L19/'time 2'!K19,'time 3'!L19/'time 3'!K19)</f>
        <v>1.1384996114865469</v>
      </c>
      <c r="G20">
        <f>AVERAGE('time 1'!N19/'time 1'!M19,'time 2'!N19/'time 2'!M19,'time 3'!N19/'time 3'!M19)</f>
        <v>1.4534996099560538</v>
      </c>
      <c r="H20">
        <f>AVERAGE('time 1'!P19/'time 1'!O19,'time 2'!P19/'time 2'!O19,'time 3'!P19/'time 3'!O19)</f>
        <v>1.352745749824817</v>
      </c>
      <c r="I20">
        <f>AVERAGE('time 1'!R19/'time 1'!Q19,'time 2'!R19/'time 2'!Q19,'time 3'!R19/'time 3'!Q19)</f>
        <v>1.3140461793403995</v>
      </c>
      <c r="J20">
        <f>AVERAGE('time 1'!T19/'time 1'!S19,'time 2'!T19/'time 2'!S19,'time 3'!T19/'time 3'!S19)</f>
        <v>1.324484789120344</v>
      </c>
      <c r="K20">
        <f t="shared" si="0"/>
        <v>9</v>
      </c>
      <c r="L20">
        <f t="shared" si="1"/>
        <v>0</v>
      </c>
      <c r="M20">
        <f t="shared" si="2"/>
        <v>0</v>
      </c>
      <c r="N20">
        <f t="shared" si="3"/>
        <v>3</v>
      </c>
      <c r="O20">
        <f t="shared" si="4"/>
        <v>0</v>
      </c>
      <c r="P20">
        <f t="shared" si="5"/>
        <v>0</v>
      </c>
      <c r="Q20">
        <f t="shared" si="6"/>
        <v>3</v>
      </c>
      <c r="R20">
        <f t="shared" si="7"/>
        <v>0</v>
      </c>
      <c r="S20">
        <f t="shared" si="8"/>
        <v>0</v>
      </c>
      <c r="T20">
        <f t="shared" si="9"/>
        <v>3</v>
      </c>
      <c r="U20">
        <f t="shared" si="10"/>
        <v>0</v>
      </c>
      <c r="V20">
        <f t="shared" si="11"/>
        <v>0</v>
      </c>
    </row>
    <row r="21" spans="1:22">
      <c r="A21" t="str">
        <f>'time 1'!B20</f>
        <v>&lt;test.Base64: void decode(byte[],java.io.OutputStream)&gt;</v>
      </c>
      <c r="B21">
        <f>AVERAGE('time 1'!D20/'time 1'!C20,'time 2'!D20/'time 2'!C20,'time 3'!D20/'time 3'!C20)</f>
        <v>1.2139431997449106</v>
      </c>
      <c r="C21">
        <f>AVERAGE('time 1'!F20/'time 1'!E20,'time 2'!F20/'time 2'!E20,'time 3'!F20/'time 3'!E20)</f>
        <v>1.1307370547861717</v>
      </c>
      <c r="D21">
        <f>AVERAGE('time 1'!H20/'time 1'!G20,'time 2'!H20/'time 2'!G20,'time 3'!H20/'time 3'!G20)</f>
        <v>1.2079199340534665</v>
      </c>
      <c r="E21">
        <f>AVERAGE('time 1'!J20/'time 2'!I20,'time 2'!J20/'time 2'!I20,'time 3'!J20/'time 3'!I20)</f>
        <v>1.3288263344100908</v>
      </c>
      <c r="F21">
        <f>AVERAGE('time 1'!L20/'time 1'!K20,'time 2'!L20/'time 2'!K20,'time 3'!L20/'time 3'!K20)</f>
        <v>0.99875390163703681</v>
      </c>
      <c r="G21">
        <f>AVERAGE('time 1'!N20/'time 1'!M20,'time 2'!N20/'time 2'!M20,'time 3'!N20/'time 3'!M20)</f>
        <v>1.2025292498494136</v>
      </c>
      <c r="H21">
        <f>AVERAGE('time 1'!P20/'time 1'!O20,'time 2'!P20/'time 2'!O20,'time 3'!P20/'time 3'!O20)</f>
        <v>1.1885335502392658</v>
      </c>
      <c r="I21">
        <f>AVERAGE('time 1'!R20/'time 1'!Q20,'time 2'!R20/'time 2'!Q20,'time 3'!R20/'time 3'!Q20)</f>
        <v>1.039758461399491</v>
      </c>
      <c r="J21">
        <f>AVERAGE('time 1'!T20/'time 1'!S20,'time 2'!T20/'time 2'!S20,'time 3'!T20/'time 3'!S20)</f>
        <v>1.2359002935961605</v>
      </c>
      <c r="K21">
        <f t="shared" si="0"/>
        <v>9</v>
      </c>
      <c r="L21">
        <f t="shared" si="1"/>
        <v>0</v>
      </c>
      <c r="M21">
        <f t="shared" si="2"/>
        <v>0</v>
      </c>
      <c r="N21">
        <f t="shared" si="3"/>
        <v>3</v>
      </c>
      <c r="O21">
        <f t="shared" si="4"/>
        <v>0</v>
      </c>
      <c r="P21">
        <f t="shared" si="5"/>
        <v>0</v>
      </c>
      <c r="Q21">
        <f t="shared" si="6"/>
        <v>3</v>
      </c>
      <c r="R21">
        <f t="shared" si="7"/>
        <v>0</v>
      </c>
      <c r="S21">
        <f t="shared" si="8"/>
        <v>0</v>
      </c>
      <c r="T21">
        <f t="shared" si="9"/>
        <v>3</v>
      </c>
      <c r="U21">
        <f t="shared" si="10"/>
        <v>0</v>
      </c>
      <c r="V21">
        <f t="shared" si="11"/>
        <v>0</v>
      </c>
    </row>
    <row r="22" spans="1:22">
      <c r="A22" t="str">
        <f>'time 1'!B21</f>
        <v>&lt;test.Base64: void decode(java.io.InputStream,java.io.OutputStream)&gt;</v>
      </c>
      <c r="B22">
        <f>AVERAGE('time 1'!D21/'time 1'!C21,'time 2'!D21/'time 2'!C21,'time 3'!D21/'time 3'!C21)</f>
        <v>1.1024278438317541</v>
      </c>
      <c r="C22">
        <f>AVERAGE('time 1'!F21/'time 1'!E21,'time 2'!F21/'time 2'!E21,'time 3'!F21/'time 3'!E21)</f>
        <v>1.0554328245201681</v>
      </c>
      <c r="D22">
        <f>AVERAGE('time 1'!H21/'time 1'!G21,'time 2'!H21/'time 2'!G21,'time 3'!H21/'time 3'!G21)</f>
        <v>1.0549909339944927</v>
      </c>
      <c r="E22">
        <f>AVERAGE('time 1'!J21/'time 2'!I21,'time 2'!J21/'time 2'!I21,'time 3'!J21/'time 3'!I21)</f>
        <v>1.1327697278187185</v>
      </c>
      <c r="F22">
        <f>AVERAGE('time 1'!L21/'time 1'!K21,'time 2'!L21/'time 2'!K21,'time 3'!L21/'time 3'!K21)</f>
        <v>1.1044912735849184</v>
      </c>
      <c r="G22">
        <f>AVERAGE('time 1'!N21/'time 1'!M21,'time 2'!N21/'time 2'!M21,'time 3'!N21/'time 3'!M21)</f>
        <v>1.0799450119134233</v>
      </c>
      <c r="H22">
        <f>AVERAGE('time 1'!P21/'time 1'!O21,'time 2'!P21/'time 2'!O21,'time 3'!P21/'time 3'!O21)</f>
        <v>1.0653242804359244</v>
      </c>
      <c r="I22">
        <f>AVERAGE('time 1'!R21/'time 1'!Q21,'time 2'!R21/'time 2'!Q21,'time 3'!R21/'time 3'!Q21)</f>
        <v>0.98740116057081373</v>
      </c>
      <c r="J22">
        <f>AVERAGE('time 1'!T21/'time 1'!S21,'time 2'!T21/'time 2'!S21,'time 3'!T21/'time 3'!S21)</f>
        <v>1.0748464328727525</v>
      </c>
      <c r="K22">
        <f t="shared" si="0"/>
        <v>9</v>
      </c>
      <c r="L22">
        <f t="shared" si="1"/>
        <v>0</v>
      </c>
      <c r="M22">
        <f t="shared" si="2"/>
        <v>0</v>
      </c>
      <c r="N22">
        <f t="shared" si="3"/>
        <v>3</v>
      </c>
      <c r="O22">
        <f t="shared" si="4"/>
        <v>0</v>
      </c>
      <c r="P22">
        <f t="shared" si="5"/>
        <v>0</v>
      </c>
      <c r="Q22">
        <f t="shared" si="6"/>
        <v>3</v>
      </c>
      <c r="R22">
        <f t="shared" si="7"/>
        <v>0</v>
      </c>
      <c r="S22">
        <f t="shared" si="8"/>
        <v>0</v>
      </c>
      <c r="T22">
        <f t="shared" si="9"/>
        <v>3</v>
      </c>
      <c r="U22">
        <f t="shared" si="10"/>
        <v>0</v>
      </c>
      <c r="V22">
        <f t="shared" si="11"/>
        <v>0</v>
      </c>
    </row>
    <row r="23" spans="1:22">
      <c r="A23" t="str">
        <f>'time 1'!B22</f>
        <v>&lt;test.Base64: void fillElementWithBigInteger(org.w3c.dom.Element,java.math.BigInteger)&gt;</v>
      </c>
      <c r="B23">
        <f>AVERAGE('time 1'!D22/'time 1'!C22,'time 2'!D22/'time 2'!C22,'time 3'!D22/'time 3'!C22)</f>
        <v>1.0515151515151515</v>
      </c>
      <c r="C23">
        <f>AVERAGE('time 1'!F22/'time 1'!E22,'time 2'!F22/'time 2'!E22,'time 3'!F22/'time 3'!E22)</f>
        <v>0.99357987485077792</v>
      </c>
      <c r="D23">
        <f>AVERAGE('time 1'!H22/'time 1'!G22,'time 2'!H22/'time 2'!G22,'time 3'!H22/'time 3'!G22)</f>
        <v>1.0208333333333333</v>
      </c>
      <c r="E23">
        <f>AVERAGE('time 1'!J22/'time 2'!I22,'time 2'!J22/'time 2'!I22,'time 3'!J22/'time 3'!I22)</f>
        <v>1</v>
      </c>
      <c r="F23">
        <f>AVERAGE('time 1'!L22/'time 1'!K22,'time 2'!L22/'time 2'!K22,'time 3'!L22/'time 3'!K22)</f>
        <v>0.99508873463969572</v>
      </c>
      <c r="G23">
        <f>AVERAGE('time 1'!N22/'time 1'!M22,'time 2'!N22/'time 2'!M22,'time 3'!N22/'time 3'!M22)</f>
        <v>1.4126984126984128</v>
      </c>
      <c r="H23">
        <f>AVERAGE('time 1'!P22/'time 1'!O22,'time 2'!P22/'time 2'!O22,'time 3'!P22/'time 3'!O22)</f>
        <v>1.2708333333333333</v>
      </c>
      <c r="I23">
        <f>AVERAGE('time 1'!R22/'time 1'!Q22,'time 2'!R22/'time 2'!Q22,'time 3'!R22/'time 3'!Q22)</f>
        <v>1.0086485894063644</v>
      </c>
      <c r="J23">
        <f>AVERAGE('time 1'!T22/'time 1'!S22,'time 2'!T22/'time 2'!S22,'time 3'!T22/'time 3'!S22)</f>
        <v>0.89142857142857146</v>
      </c>
      <c r="K23">
        <f t="shared" si="0"/>
        <v>9</v>
      </c>
      <c r="L23">
        <f t="shared" si="1"/>
        <v>0</v>
      </c>
      <c r="M23">
        <f t="shared" si="2"/>
        <v>0</v>
      </c>
      <c r="N23">
        <f t="shared" si="3"/>
        <v>3</v>
      </c>
      <c r="O23">
        <f t="shared" si="4"/>
        <v>0</v>
      </c>
      <c r="P23">
        <f t="shared" si="5"/>
        <v>0</v>
      </c>
      <c r="Q23">
        <f t="shared" si="6"/>
        <v>3</v>
      </c>
      <c r="R23">
        <f t="shared" si="7"/>
        <v>0</v>
      </c>
      <c r="S23">
        <f t="shared" si="8"/>
        <v>0</v>
      </c>
      <c r="T23">
        <f t="shared" si="9"/>
        <v>3</v>
      </c>
      <c r="U23">
        <f t="shared" si="10"/>
        <v>0</v>
      </c>
      <c r="V23">
        <f t="shared" si="11"/>
        <v>0</v>
      </c>
    </row>
    <row r="24" spans="1:22">
      <c r="A24" t="str">
        <f>'time 1'!B23</f>
        <v>&lt;test.Class11: boolean method219(int,int,int,int,int,int,int)&gt;</v>
      </c>
      <c r="B24">
        <f>AVERAGE('time 1'!D23/'time 1'!C23,'time 2'!D23/'time 2'!C23,'time 3'!D23/'time 3'!C23)</f>
        <v>1.0839551638027558</v>
      </c>
      <c r="C24">
        <f>AVERAGE('time 1'!F23/'time 1'!E23,'time 2'!F23/'time 2'!E23,'time 3'!F23/'time 3'!E23)</f>
        <v>1.0155995515456617</v>
      </c>
      <c r="D24">
        <f>AVERAGE('time 1'!H23/'time 1'!G23,'time 2'!H23/'time 2'!G23,'time 3'!H23/'time 3'!G23)</f>
        <v>1.0616745637765148</v>
      </c>
      <c r="E24">
        <f>AVERAGE('time 1'!J23/'time 2'!I23,'time 2'!J23/'time 2'!I23,'time 3'!J23/'time 3'!I23)</f>
        <v>1.1055352179297457</v>
      </c>
      <c r="F24">
        <f>AVERAGE('time 1'!L23/'time 1'!K23,'time 2'!L23/'time 2'!K23,'time 3'!L23/'time 3'!K23)</f>
        <v>1.0251992650603226</v>
      </c>
      <c r="G24">
        <f>AVERAGE('time 1'!N23/'time 1'!M23,'time 2'!N23/'time 2'!M23,'time 3'!N23/'time 3'!M23)</f>
        <v>1.0737805425814966</v>
      </c>
      <c r="H24">
        <f>AVERAGE('time 1'!P23/'time 1'!O23,'time 2'!P23/'time 2'!O23,'time 3'!P23/'time 3'!O23)</f>
        <v>1.0998346899949436</v>
      </c>
      <c r="I24">
        <f>AVERAGE('time 1'!R23/'time 1'!Q23,'time 2'!R23/'time 2'!Q23,'time 3'!R23/'time 3'!Q23)</f>
        <v>1.0147181373421879</v>
      </c>
      <c r="J24">
        <f>AVERAGE('time 1'!T23/'time 1'!S23,'time 2'!T23/'time 2'!S23,'time 3'!T23/'time 3'!S23)</f>
        <v>1.1178662582812406</v>
      </c>
      <c r="K24">
        <f t="shared" si="0"/>
        <v>9</v>
      </c>
      <c r="L24">
        <f t="shared" si="1"/>
        <v>0</v>
      </c>
      <c r="M24">
        <f t="shared" si="2"/>
        <v>0</v>
      </c>
      <c r="N24">
        <f t="shared" si="3"/>
        <v>3</v>
      </c>
      <c r="O24">
        <f t="shared" si="4"/>
        <v>0</v>
      </c>
      <c r="P24">
        <f t="shared" si="5"/>
        <v>0</v>
      </c>
      <c r="Q24">
        <f t="shared" si="6"/>
        <v>3</v>
      </c>
      <c r="R24">
        <f t="shared" si="7"/>
        <v>0</v>
      </c>
      <c r="S24">
        <f t="shared" si="8"/>
        <v>0</v>
      </c>
      <c r="T24">
        <f t="shared" si="9"/>
        <v>3</v>
      </c>
      <c r="U24">
        <f t="shared" si="10"/>
        <v>0</v>
      </c>
      <c r="V24">
        <f t="shared" si="11"/>
        <v>0</v>
      </c>
    </row>
    <row r="25" spans="1:22">
      <c r="A25" t="str">
        <f>'time 1'!B24</f>
        <v>&lt;test.Class11: boolean method220(int,int,int,int,int,int,int)&gt;</v>
      </c>
      <c r="B25">
        <f>AVERAGE('time 1'!D24/'time 1'!C24,'time 2'!D24/'time 2'!C24,'time 3'!D24/'time 3'!C24)</f>
        <v>1.0284718917586408</v>
      </c>
      <c r="C25">
        <f>AVERAGE('time 1'!F24/'time 1'!E24,'time 2'!F24/'time 2'!E24,'time 3'!F24/'time 3'!E24)</f>
        <v>1.0187131354526799</v>
      </c>
      <c r="D25">
        <f>AVERAGE('time 1'!H24/'time 1'!G24,'time 2'!H24/'time 2'!G24,'time 3'!H24/'time 3'!G24)</f>
        <v>1.0790194523989272</v>
      </c>
      <c r="E25">
        <f>AVERAGE('time 1'!J24/'time 2'!I24,'time 2'!J24/'time 2'!I24,'time 3'!J24/'time 3'!I24)</f>
        <v>1.1198352713510638</v>
      </c>
      <c r="F25">
        <f>AVERAGE('time 1'!L24/'time 1'!K24,'time 2'!L24/'time 2'!K24,'time 3'!L24/'time 3'!K24)</f>
        <v>0.9411630690162136</v>
      </c>
      <c r="G25">
        <f>AVERAGE('time 1'!N24/'time 1'!M24,'time 2'!N24/'time 2'!M24,'time 3'!N24/'time 3'!M24)</f>
        <v>1.0838301621312592</v>
      </c>
      <c r="H25">
        <f>AVERAGE('time 1'!P24/'time 1'!O24,'time 2'!P24/'time 2'!O24,'time 3'!P24/'time 3'!O24)</f>
        <v>1.0628328095290571</v>
      </c>
      <c r="I25">
        <f>AVERAGE('time 1'!R24/'time 1'!Q24,'time 2'!R24/'time 2'!Q24,'time 3'!R24/'time 3'!Q24)</f>
        <v>1.0174759870240979</v>
      </c>
      <c r="J25">
        <f>AVERAGE('time 1'!T24/'time 1'!S24,'time 2'!T24/'time 2'!S24,'time 3'!T24/'time 3'!S24)</f>
        <v>1.071609026083671</v>
      </c>
      <c r="K25">
        <f t="shared" si="0"/>
        <v>9</v>
      </c>
      <c r="L25">
        <f t="shared" si="1"/>
        <v>0</v>
      </c>
      <c r="M25">
        <f t="shared" si="2"/>
        <v>0</v>
      </c>
      <c r="N25">
        <f t="shared" si="3"/>
        <v>3</v>
      </c>
      <c r="O25">
        <f t="shared" si="4"/>
        <v>0</v>
      </c>
      <c r="P25">
        <f t="shared" si="5"/>
        <v>0</v>
      </c>
      <c r="Q25">
        <f t="shared" si="6"/>
        <v>3</v>
      </c>
      <c r="R25">
        <f t="shared" si="7"/>
        <v>0</v>
      </c>
      <c r="S25">
        <f t="shared" si="8"/>
        <v>0</v>
      </c>
      <c r="T25">
        <f t="shared" si="9"/>
        <v>3</v>
      </c>
      <c r="U25">
        <f t="shared" si="10"/>
        <v>0</v>
      </c>
      <c r="V25">
        <f t="shared" si="11"/>
        <v>0</v>
      </c>
    </row>
    <row r="26" spans="1:22">
      <c r="A26" t="str">
        <f>'time 1'!B25</f>
        <v>&lt;test.Class11: boolean method221(byte,int,int,int,int,int,int,int)&gt;</v>
      </c>
      <c r="B26">
        <f>AVERAGE('time 1'!D25/'time 1'!C25,'time 2'!D25/'time 2'!C25,'time 3'!D25/'time 3'!C25)</f>
        <v>1.055591235033233</v>
      </c>
      <c r="C26">
        <f>AVERAGE('time 1'!F25/'time 1'!E25,'time 2'!F25/'time 2'!E25,'time 3'!F25/'time 3'!E25)</f>
        <v>1.0101165444483409</v>
      </c>
      <c r="D26">
        <f>AVERAGE('time 1'!H25/'time 1'!G25,'time 2'!H25/'time 2'!G25,'time 3'!H25/'time 3'!G25)</f>
        <v>1.060096297479874</v>
      </c>
      <c r="E26">
        <f>AVERAGE('time 1'!J25/'time 2'!I25,'time 2'!J25/'time 2'!I25,'time 3'!J25/'time 3'!I25)</f>
        <v>1.1292941761113158</v>
      </c>
      <c r="F26">
        <f>AVERAGE('time 1'!L25/'time 1'!K25,'time 2'!L25/'time 2'!K25,'time 3'!L25/'time 3'!K25)</f>
        <v>1.0184066273686911</v>
      </c>
      <c r="G26">
        <f>AVERAGE('time 1'!N25/'time 1'!M25,'time 2'!N25/'time 2'!M25,'time 3'!N25/'time 3'!M25)</f>
        <v>1.0523368424621922</v>
      </c>
      <c r="H26">
        <f>AVERAGE('time 1'!P25/'time 1'!O25,'time 2'!P25/'time 2'!O25,'time 3'!P25/'time 3'!O25)</f>
        <v>1.0489623873284295</v>
      </c>
      <c r="I26">
        <f>AVERAGE('time 1'!R25/'time 1'!Q25,'time 2'!R25/'time 2'!Q25,'time 3'!R25/'time 3'!Q25)</f>
        <v>0.95694217903863799</v>
      </c>
      <c r="J26">
        <f>AVERAGE('time 1'!T25/'time 1'!S25,'time 2'!T25/'time 2'!S25,'time 3'!T25/'time 3'!S25)</f>
        <v>1.0507183342490378</v>
      </c>
      <c r="K26">
        <f t="shared" si="0"/>
        <v>9</v>
      </c>
      <c r="L26">
        <f t="shared" si="1"/>
        <v>0</v>
      </c>
      <c r="M26">
        <f t="shared" si="2"/>
        <v>0</v>
      </c>
      <c r="N26">
        <f t="shared" si="3"/>
        <v>3</v>
      </c>
      <c r="O26">
        <f t="shared" si="4"/>
        <v>0</v>
      </c>
      <c r="P26">
        <f t="shared" si="5"/>
        <v>0</v>
      </c>
      <c r="Q26">
        <f t="shared" si="6"/>
        <v>3</v>
      </c>
      <c r="R26">
        <f t="shared" si="7"/>
        <v>0</v>
      </c>
      <c r="S26">
        <f t="shared" si="8"/>
        <v>0</v>
      </c>
      <c r="T26">
        <f t="shared" si="9"/>
        <v>3</v>
      </c>
      <c r="U26">
        <f t="shared" si="10"/>
        <v>0</v>
      </c>
      <c r="V26">
        <f t="shared" si="11"/>
        <v>0</v>
      </c>
    </row>
    <row r="27" spans="1:22">
      <c r="A27" t="str">
        <f>'time 1'!B26</f>
        <v>&lt;test.Class11: void method210()&gt;</v>
      </c>
      <c r="B27">
        <f>AVERAGE('time 1'!D26/'time 1'!C26,'time 2'!D26/'time 2'!C26,'time 3'!D26/'time 3'!C26)</f>
        <v>1.0265510175872186</v>
      </c>
      <c r="C27">
        <f>AVERAGE('time 1'!F26/'time 1'!E26,'time 2'!F26/'time 2'!E26,'time 3'!F26/'time 3'!E26)</f>
        <v>0.98111330547668418</v>
      </c>
      <c r="D27">
        <f>AVERAGE('time 1'!H26/'time 1'!G26,'time 2'!H26/'time 2'!G26,'time 3'!H26/'time 3'!G26)</f>
        <v>0.95281938421935264</v>
      </c>
      <c r="E27">
        <f>AVERAGE('time 1'!J26/'time 2'!I26,'time 2'!J26/'time 2'!I26,'time 3'!J26/'time 3'!I26)</f>
        <v>1.1374539481585073</v>
      </c>
      <c r="F27">
        <f>AVERAGE('time 1'!L26/'time 1'!K26,'time 2'!L26/'time 2'!K26,'time 3'!L26/'time 3'!K26)</f>
        <v>1.0816103176945122</v>
      </c>
      <c r="G27">
        <f>AVERAGE('time 1'!N26/'time 1'!M26,'time 2'!N26/'time 2'!M26,'time 3'!N26/'time 3'!M26)</f>
        <v>1.0381849244718619</v>
      </c>
      <c r="H27">
        <f>AVERAGE('time 1'!P26/'time 1'!O26,'time 2'!P26/'time 2'!O26,'time 3'!P26/'time 3'!O26)</f>
        <v>0.9975406304770984</v>
      </c>
      <c r="I27">
        <f>AVERAGE('time 1'!R26/'time 1'!Q26,'time 2'!R26/'time 2'!Q26,'time 3'!R26/'time 3'!Q26)</f>
        <v>1.0334471850226044</v>
      </c>
      <c r="J27">
        <f>AVERAGE('time 1'!T26/'time 1'!S26,'time 2'!T26/'time 2'!S26,'time 3'!T26/'time 3'!S26)</f>
        <v>0.99296781582587157</v>
      </c>
      <c r="K27">
        <f t="shared" si="0"/>
        <v>9</v>
      </c>
      <c r="L27">
        <f t="shared" si="1"/>
        <v>0</v>
      </c>
      <c r="M27">
        <f t="shared" si="2"/>
        <v>0</v>
      </c>
      <c r="N27">
        <f t="shared" si="3"/>
        <v>3</v>
      </c>
      <c r="O27">
        <f t="shared" si="4"/>
        <v>0</v>
      </c>
      <c r="P27">
        <f t="shared" si="5"/>
        <v>0</v>
      </c>
      <c r="Q27">
        <f t="shared" si="6"/>
        <v>3</v>
      </c>
      <c r="R27">
        <f t="shared" si="7"/>
        <v>0</v>
      </c>
      <c r="S27">
        <f t="shared" si="8"/>
        <v>0</v>
      </c>
      <c r="T27">
        <f t="shared" si="9"/>
        <v>3</v>
      </c>
      <c r="U27">
        <f t="shared" si="10"/>
        <v>0</v>
      </c>
      <c r="V27">
        <f t="shared" si="11"/>
        <v>0</v>
      </c>
    </row>
    <row r="28" spans="1:22">
      <c r="A28" t="str">
        <f>'time 1'!B27</f>
        <v>&lt;test.Class11: void method211(int,int,int,int,byte,boolean)&gt;</v>
      </c>
      <c r="B28">
        <f>AVERAGE('time 1'!D27/'time 1'!C27,'time 2'!D27/'time 2'!C27,'time 3'!D27/'time 3'!C27)</f>
        <v>1.0403191665083098</v>
      </c>
      <c r="C28">
        <f>AVERAGE('time 1'!F27/'time 1'!E27,'time 2'!F27/'time 2'!E27,'time 3'!F27/'time 3'!E27)</f>
        <v>1.075493382257062</v>
      </c>
      <c r="D28">
        <f>AVERAGE('time 1'!H27/'time 1'!G27,'time 2'!H27/'time 2'!G27,'time 3'!H27/'time 3'!G27)</f>
        <v>1.0039707013992281</v>
      </c>
      <c r="E28">
        <f>AVERAGE('time 1'!J27/'time 2'!I27,'time 2'!J27/'time 2'!I27,'time 3'!J27/'time 3'!I27)</f>
        <v>1.0795142654117014</v>
      </c>
      <c r="F28">
        <f>AVERAGE('time 1'!L27/'time 1'!K27,'time 2'!L27/'time 2'!K27,'time 3'!L27/'time 3'!K27)</f>
        <v>1.0267457427097331</v>
      </c>
      <c r="G28">
        <f>AVERAGE('time 1'!N27/'time 1'!M27,'time 2'!N27/'time 2'!M27,'time 3'!N27/'time 3'!M27)</f>
        <v>1.0519593297511254</v>
      </c>
      <c r="H28">
        <f>AVERAGE('time 1'!P27/'time 1'!O27,'time 2'!P27/'time 2'!O27,'time 3'!P27/'time 3'!O27)</f>
        <v>1.0167322336665283</v>
      </c>
      <c r="I28">
        <f>AVERAGE('time 1'!R27/'time 1'!Q27,'time 2'!R27/'time 2'!Q27,'time 3'!R27/'time 3'!Q27)</f>
        <v>1.0990036356684678</v>
      </c>
      <c r="J28">
        <f>AVERAGE('time 1'!T27/'time 1'!S27,'time 2'!T27/'time 2'!S27,'time 3'!T27/'time 3'!S27)</f>
        <v>1.0596921490592546</v>
      </c>
      <c r="K28">
        <f t="shared" si="0"/>
        <v>9</v>
      </c>
      <c r="L28">
        <f t="shared" si="1"/>
        <v>0</v>
      </c>
      <c r="M28">
        <f t="shared" si="2"/>
        <v>0</v>
      </c>
      <c r="N28">
        <f t="shared" si="3"/>
        <v>3</v>
      </c>
      <c r="O28">
        <f t="shared" si="4"/>
        <v>0</v>
      </c>
      <c r="P28">
        <f t="shared" si="5"/>
        <v>0</v>
      </c>
      <c r="Q28">
        <f t="shared" si="6"/>
        <v>3</v>
      </c>
      <c r="R28">
        <f t="shared" si="7"/>
        <v>0</v>
      </c>
      <c r="S28">
        <f t="shared" si="8"/>
        <v>0</v>
      </c>
      <c r="T28">
        <f t="shared" si="9"/>
        <v>3</v>
      </c>
      <c r="U28">
        <f t="shared" si="10"/>
        <v>0</v>
      </c>
      <c r="V28">
        <f t="shared" si="11"/>
        <v>0</v>
      </c>
    </row>
    <row r="29" spans="1:22">
      <c r="A29" t="str">
        <f>'time 1'!B28</f>
        <v>&lt;test.Class11: void method212(boolean,int,int,int,int,int,int)&gt;</v>
      </c>
      <c r="B29">
        <f>AVERAGE('time 1'!D28/'time 1'!C28,'time 2'!D28/'time 2'!C28,'time 3'!D28/'time 3'!C28)</f>
        <v>2.1240162483255491</v>
      </c>
      <c r="C29">
        <f>AVERAGE('time 1'!F28/'time 1'!E28,'time 2'!F28/'time 2'!E28,'time 3'!F28/'time 3'!E28)</f>
        <v>1.2822989405373455</v>
      </c>
      <c r="D29">
        <f>AVERAGE('time 1'!H28/'time 1'!G28,'time 2'!H28/'time 2'!G28,'time 3'!H28/'time 3'!G28)</f>
        <v>2.0558475129960514</v>
      </c>
      <c r="E29">
        <f>AVERAGE('time 1'!J28/'time 2'!I28,'time 2'!J28/'time 2'!I28,'time 3'!J28/'time 3'!I28)</f>
        <v>2.2604923152868359</v>
      </c>
      <c r="F29">
        <f>AVERAGE('time 1'!L28/'time 1'!K28,'time 2'!L28/'time 2'!K28,'time 3'!L28/'time 3'!K28)</f>
        <v>1.7695276745462609</v>
      </c>
      <c r="G29">
        <f>AVERAGE('time 1'!N28/'time 1'!M28,'time 2'!N28/'time 2'!M28,'time 3'!N28/'time 3'!M28)</f>
        <v>2.0470407983127239</v>
      </c>
      <c r="H29">
        <f>AVERAGE('time 1'!P28/'time 1'!O28,'time 2'!P28/'time 2'!O28,'time 3'!P28/'time 3'!O28)</f>
        <v>2.2321432983120615</v>
      </c>
      <c r="I29">
        <f>AVERAGE('time 1'!R28/'time 1'!Q28,'time 2'!R28/'time 2'!Q28,'time 3'!R28/'time 3'!Q28)</f>
        <v>1.1918346491781684</v>
      </c>
      <c r="J29">
        <f>AVERAGE('time 1'!T28/'time 1'!S28,'time 2'!T28/'time 2'!S28,'time 3'!T28/'time 3'!S28)</f>
        <v>2.2221703048539787</v>
      </c>
      <c r="K29">
        <f t="shared" si="0"/>
        <v>3</v>
      </c>
      <c r="L29">
        <f t="shared" si="1"/>
        <v>6</v>
      </c>
      <c r="M29">
        <f t="shared" si="2"/>
        <v>0</v>
      </c>
      <c r="N29">
        <f t="shared" si="3"/>
        <v>0</v>
      </c>
      <c r="O29">
        <f t="shared" si="4"/>
        <v>3</v>
      </c>
      <c r="P29">
        <f t="shared" si="5"/>
        <v>0</v>
      </c>
      <c r="Q29">
        <f t="shared" si="6"/>
        <v>3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3</v>
      </c>
      <c r="V29">
        <f t="shared" si="11"/>
        <v>0</v>
      </c>
    </row>
    <row r="30" spans="1:22">
      <c r="A30" t="str">
        <f>'time 1'!B29</f>
        <v>&lt;test.Class11: void method213(int,int,int)&gt;</v>
      </c>
      <c r="B30">
        <f>AVERAGE('time 1'!D29/'time 1'!C29,'time 2'!D29/'time 2'!C29,'time 3'!D29/'time 3'!C29)</f>
        <v>0.90549728049728051</v>
      </c>
      <c r="C30">
        <f>AVERAGE('time 1'!F29/'time 1'!E29,'time 2'!F29/'time 2'!E29,'time 3'!F29/'time 3'!E29)</f>
        <v>0.98932849362560837</v>
      </c>
      <c r="D30">
        <f>AVERAGE('time 1'!H29/'time 1'!G29,'time 2'!H29/'time 2'!G29,'time 3'!H29/'time 3'!G29)</f>
        <v>0.87445887445887449</v>
      </c>
      <c r="E30">
        <f>AVERAGE('time 1'!J29/'time 2'!I29,'time 2'!J29/'time 2'!I29,'time 3'!J29/'time 3'!I29)</f>
        <v>1.0493506493506493</v>
      </c>
      <c r="F30">
        <f>AVERAGE('time 1'!L29/'time 1'!K29,'time 2'!L29/'time 2'!K29,'time 3'!L29/'time 3'!K29)</f>
        <v>1.0807125822987396</v>
      </c>
      <c r="G30">
        <f>AVERAGE('time 1'!N29/'time 1'!M29,'time 2'!N29/'time 2'!M29,'time 3'!N29/'time 3'!M29)</f>
        <v>1.0131971051511284</v>
      </c>
      <c r="H30">
        <f>AVERAGE('time 1'!P29/'time 1'!O29,'time 2'!P29/'time 2'!O29,'time 3'!P29/'time 3'!O29)</f>
        <v>1.085960378983635</v>
      </c>
      <c r="I30">
        <f>AVERAGE('time 1'!R29/'time 1'!Q29,'time 2'!R29/'time 2'!Q29,'time 3'!R29/'time 3'!Q29)</f>
        <v>1.0206839057790849</v>
      </c>
      <c r="J30">
        <f>AVERAGE('time 1'!T29/'time 1'!S29,'time 2'!T29/'time 2'!S29,'time 3'!T29/'time 3'!S29)</f>
        <v>0.94594594594594594</v>
      </c>
      <c r="K30">
        <f t="shared" si="0"/>
        <v>9</v>
      </c>
      <c r="L30">
        <f t="shared" si="1"/>
        <v>0</v>
      </c>
      <c r="M30">
        <f t="shared" si="2"/>
        <v>0</v>
      </c>
      <c r="N30">
        <f t="shared" si="3"/>
        <v>3</v>
      </c>
      <c r="O30">
        <f t="shared" si="4"/>
        <v>0</v>
      </c>
      <c r="P30">
        <f t="shared" si="5"/>
        <v>0</v>
      </c>
      <c r="Q30">
        <f t="shared" si="6"/>
        <v>3</v>
      </c>
      <c r="R30">
        <f t="shared" si="7"/>
        <v>0</v>
      </c>
      <c r="S30">
        <f t="shared" si="8"/>
        <v>0</v>
      </c>
      <c r="T30">
        <f t="shared" si="9"/>
        <v>3</v>
      </c>
      <c r="U30">
        <f t="shared" si="10"/>
        <v>0</v>
      </c>
      <c r="V30">
        <f t="shared" si="11"/>
        <v>0</v>
      </c>
    </row>
    <row r="31" spans="1:22">
      <c r="A31" t="str">
        <f>'time 1'!B30</f>
        <v>&lt;test.Class11: void method215(int,int,boolean,boolean,int,int)&gt;</v>
      </c>
      <c r="B31">
        <f>AVERAGE('time 1'!D30/'time 1'!C30,'time 2'!D30/'time 2'!C30,'time 3'!D30/'time 3'!C30)</f>
        <v>1.1855868040666631</v>
      </c>
      <c r="C31">
        <f>AVERAGE('time 1'!F30/'time 1'!E30,'time 2'!F30/'time 2'!E30,'time 3'!F30/'time 3'!E30)</f>
        <v>1.117829565969223</v>
      </c>
      <c r="D31">
        <f>AVERAGE('time 1'!H30/'time 1'!G30,'time 2'!H30/'time 2'!G30,'time 3'!H30/'time 3'!G30)</f>
        <v>1.3086548934435009</v>
      </c>
      <c r="E31">
        <f>AVERAGE('time 1'!J30/'time 2'!I30,'time 2'!J30/'time 2'!I30,'time 3'!J30/'time 3'!I30)</f>
        <v>1.0642883487007544</v>
      </c>
      <c r="F31">
        <f>AVERAGE('time 1'!L30/'time 1'!K30,'time 2'!L30/'time 2'!K30,'time 3'!L30/'time 3'!K30)</f>
        <v>1.0478200802746753</v>
      </c>
      <c r="G31">
        <f>AVERAGE('time 1'!N30/'time 1'!M30,'time 2'!N30/'time 2'!M30,'time 3'!N30/'time 3'!M30)</f>
        <v>1.0310023393958416</v>
      </c>
      <c r="H31">
        <f>AVERAGE('time 1'!P30/'time 1'!O30,'time 2'!P30/'time 2'!O30,'time 3'!P30/'time 3'!O30)</f>
        <v>1.0315112972354439</v>
      </c>
      <c r="I31">
        <f>AVERAGE('time 1'!R30/'time 1'!Q30,'time 2'!R30/'time 2'!Q30,'time 3'!R30/'time 3'!Q30)</f>
        <v>1.1200206383094626</v>
      </c>
      <c r="J31">
        <f>AVERAGE('time 1'!T30/'time 1'!S30,'time 2'!T30/'time 2'!S30,'time 3'!T30/'time 3'!S30)</f>
        <v>1.0632395274366819</v>
      </c>
      <c r="K31">
        <f t="shared" si="0"/>
        <v>9</v>
      </c>
      <c r="L31">
        <f t="shared" si="1"/>
        <v>0</v>
      </c>
      <c r="M31">
        <f t="shared" si="2"/>
        <v>0</v>
      </c>
      <c r="N31">
        <f t="shared" si="3"/>
        <v>3</v>
      </c>
      <c r="O31">
        <f t="shared" si="4"/>
        <v>0</v>
      </c>
      <c r="P31">
        <f t="shared" si="5"/>
        <v>0</v>
      </c>
      <c r="Q31">
        <f t="shared" si="6"/>
        <v>3</v>
      </c>
      <c r="R31">
        <f t="shared" si="7"/>
        <v>0</v>
      </c>
      <c r="S31">
        <f t="shared" si="8"/>
        <v>0</v>
      </c>
      <c r="T31">
        <f t="shared" si="9"/>
        <v>3</v>
      </c>
      <c r="U31">
        <f t="shared" si="10"/>
        <v>0</v>
      </c>
      <c r="V31">
        <f t="shared" si="11"/>
        <v>0</v>
      </c>
    </row>
    <row r="32" spans="1:22">
      <c r="A32" t="str">
        <f>'time 1'!B31</f>
        <v>&lt;test.Class11: void method216(int,int,int,int,byte,int,boolean)&gt;</v>
      </c>
      <c r="B32">
        <f>AVERAGE('time 1'!D31/'time 1'!C31,'time 2'!D31/'time 2'!C31,'time 3'!D31/'time 3'!C31)</f>
        <v>1.9783441472029111</v>
      </c>
      <c r="C32">
        <f>AVERAGE('time 1'!F31/'time 1'!E31,'time 2'!F31/'time 2'!E31,'time 3'!F31/'time 3'!E31)</f>
        <v>1.2720103403559839</v>
      </c>
      <c r="D32">
        <f>AVERAGE('time 1'!H31/'time 1'!G31,'time 2'!H31/'time 2'!G31,'time 3'!H31/'time 3'!G31)</f>
        <v>1.9033236680634544</v>
      </c>
      <c r="E32">
        <f>AVERAGE('time 1'!J31/'time 2'!I31,'time 2'!J31/'time 2'!I31,'time 3'!J31/'time 3'!I31)</f>
        <v>1.99143293477856</v>
      </c>
      <c r="F32">
        <f>AVERAGE('time 1'!L31/'time 1'!K31,'time 2'!L31/'time 2'!K31,'time 3'!L31/'time 3'!K31)</f>
        <v>1.5150216443845199</v>
      </c>
      <c r="G32">
        <f>AVERAGE('time 1'!N31/'time 1'!M31,'time 2'!N31/'time 2'!M31,'time 3'!N31/'time 3'!M31)</f>
        <v>1.9264342880903955</v>
      </c>
      <c r="H32">
        <f>AVERAGE('time 1'!P31/'time 1'!O31,'time 2'!P31/'time 2'!O31,'time 3'!P31/'time 3'!O31)</f>
        <v>1.796692943432074</v>
      </c>
      <c r="I32">
        <f>AVERAGE('time 1'!R31/'time 1'!Q31,'time 2'!R31/'time 2'!Q31,'time 3'!R31/'time 3'!Q31)</f>
        <v>1.1955720684914992</v>
      </c>
      <c r="J32">
        <f>AVERAGE('time 1'!T31/'time 1'!S31,'time 2'!T31/'time 2'!S31,'time 3'!T31/'time 3'!S31)</f>
        <v>1.8784934890524951</v>
      </c>
      <c r="K32">
        <f t="shared" si="0"/>
        <v>9</v>
      </c>
      <c r="L32">
        <f t="shared" si="1"/>
        <v>0</v>
      </c>
      <c r="M32">
        <f t="shared" si="2"/>
        <v>0</v>
      </c>
      <c r="N32">
        <f t="shared" si="3"/>
        <v>3</v>
      </c>
      <c r="O32">
        <f t="shared" si="4"/>
        <v>0</v>
      </c>
      <c r="P32">
        <f t="shared" si="5"/>
        <v>0</v>
      </c>
      <c r="Q32">
        <f t="shared" si="6"/>
        <v>3</v>
      </c>
      <c r="R32">
        <f t="shared" si="7"/>
        <v>0</v>
      </c>
      <c r="S32">
        <f t="shared" si="8"/>
        <v>0</v>
      </c>
      <c r="T32">
        <f t="shared" si="9"/>
        <v>3</v>
      </c>
      <c r="U32">
        <f t="shared" si="10"/>
        <v>0</v>
      </c>
      <c r="V32">
        <f t="shared" si="11"/>
        <v>0</v>
      </c>
    </row>
    <row r="33" spans="1:22">
      <c r="A33" t="str">
        <f>'time 1'!B32</f>
        <v>&lt;test.Class11: void method217(int,int,int,int)&gt;</v>
      </c>
      <c r="B33">
        <f>AVERAGE('time 1'!D32/'time 1'!C32,'time 2'!D32/'time 2'!C32,'time 3'!D32/'time 3'!C32)</f>
        <v>1.0953576248313091</v>
      </c>
      <c r="C33">
        <f>AVERAGE('time 1'!F32/'time 1'!E32,'time 2'!F32/'time 2'!E32,'time 3'!F32/'time 3'!E32)</f>
        <v>0.91577260229905855</v>
      </c>
      <c r="D33">
        <f>AVERAGE('time 1'!H32/'time 1'!G32,'time 2'!H32/'time 2'!G32,'time 3'!H32/'time 3'!G32)</f>
        <v>0.79282212040832734</v>
      </c>
      <c r="E33">
        <f>AVERAGE('time 1'!J32/'time 2'!I32,'time 2'!J32/'time 2'!I32,'time 3'!J32/'time 3'!I32)</f>
        <v>1.2946998722860792</v>
      </c>
      <c r="F33">
        <f>AVERAGE('time 1'!L32/'time 1'!K32,'time 2'!L32/'time 2'!K32,'time 3'!L32/'time 3'!K32)</f>
        <v>1.1542823178533588</v>
      </c>
      <c r="G33">
        <f>AVERAGE('time 1'!N32/'time 1'!M32,'time 2'!N32/'time 2'!M32,'time 3'!N32/'time 3'!M32)</f>
        <v>1.2417582417582416</v>
      </c>
      <c r="H33">
        <f>AVERAGE('time 1'!P32/'time 1'!O32,'time 2'!P32/'time 2'!O32,'time 3'!P32/'time 3'!O32)</f>
        <v>1.3456456456456456</v>
      </c>
      <c r="I33">
        <f>AVERAGE('time 1'!R32/'time 1'!Q32,'time 2'!R32/'time 2'!Q32,'time 3'!R32/'time 3'!Q32)</f>
        <v>1.1090524824513748</v>
      </c>
      <c r="J33">
        <f>AVERAGE('time 1'!T32/'time 1'!S32,'time 2'!T32/'time 2'!S32,'time 3'!T32/'time 3'!S32)</f>
        <v>1.0526881720430108</v>
      </c>
      <c r="K33">
        <f t="shared" si="0"/>
        <v>9</v>
      </c>
      <c r="L33">
        <f t="shared" si="1"/>
        <v>0</v>
      </c>
      <c r="M33">
        <f t="shared" si="2"/>
        <v>0</v>
      </c>
      <c r="N33">
        <f t="shared" si="3"/>
        <v>3</v>
      </c>
      <c r="O33">
        <f t="shared" si="4"/>
        <v>0</v>
      </c>
      <c r="P33">
        <f t="shared" si="5"/>
        <v>0</v>
      </c>
      <c r="Q33">
        <f t="shared" si="6"/>
        <v>3</v>
      </c>
      <c r="R33">
        <f t="shared" si="7"/>
        <v>0</v>
      </c>
      <c r="S33">
        <f t="shared" si="8"/>
        <v>0</v>
      </c>
      <c r="T33">
        <f t="shared" si="9"/>
        <v>3</v>
      </c>
      <c r="U33">
        <f t="shared" si="10"/>
        <v>0</v>
      </c>
      <c r="V33">
        <f t="shared" si="11"/>
        <v>0</v>
      </c>
    </row>
    <row r="34" spans="1:22">
      <c r="A34" t="str">
        <f>'time 1'!B33</f>
        <v>&lt;test.Class11: void method218(int,int,int)&gt;</v>
      </c>
      <c r="B34">
        <f>AVERAGE('time 1'!D33/'time 1'!C33,'time 2'!D33/'time 2'!C33,'time 3'!D33/'time 3'!C33)</f>
        <v>0.97934268558371862</v>
      </c>
      <c r="C34">
        <f>AVERAGE('time 1'!F33/'time 1'!E33,'time 2'!F33/'time 2'!E33,'time 3'!F33/'time 3'!E33)</f>
        <v>0.88473633841468491</v>
      </c>
      <c r="D34">
        <f>AVERAGE('time 1'!H33/'time 1'!G33,'time 2'!H33/'time 2'!G33,'time 3'!H33/'time 3'!G33)</f>
        <v>1.1330532212885156</v>
      </c>
      <c r="E34">
        <f>AVERAGE('time 1'!J33/'time 2'!I33,'time 2'!J33/'time 2'!I33,'time 3'!J33/'time 3'!I33)</f>
        <v>0.77240896358543409</v>
      </c>
      <c r="F34">
        <f>AVERAGE('time 1'!L33/'time 1'!K33,'time 2'!L33/'time 2'!K33,'time 3'!L33/'time 3'!K33)</f>
        <v>0.97997487715763942</v>
      </c>
      <c r="G34">
        <f>AVERAGE('time 1'!N33/'time 1'!M33,'time 2'!N33/'time 2'!M33,'time 3'!N33/'time 3'!M33)</f>
        <v>1.0191190922898239</v>
      </c>
      <c r="H34">
        <f>AVERAGE('time 1'!P33/'time 1'!O33,'time 2'!P33/'time 2'!O33,'time 3'!P33/'time 3'!O33)</f>
        <v>1.0191722972972972</v>
      </c>
      <c r="I34">
        <f>AVERAGE('time 1'!R33/'time 1'!Q33,'time 2'!R33/'time 2'!Q33,'time 3'!R33/'time 3'!Q33)</f>
        <v>0.90344874981058165</v>
      </c>
      <c r="J34">
        <f>AVERAGE('time 1'!T33/'time 1'!S33,'time 2'!T33/'time 2'!S33,'time 3'!T33/'time 3'!S33)</f>
        <v>0.97998366013071891</v>
      </c>
      <c r="K34">
        <f t="shared" si="0"/>
        <v>9</v>
      </c>
      <c r="L34">
        <f t="shared" si="1"/>
        <v>0</v>
      </c>
      <c r="M34">
        <f t="shared" si="2"/>
        <v>0</v>
      </c>
      <c r="N34">
        <f t="shared" si="3"/>
        <v>3</v>
      </c>
      <c r="O34">
        <f t="shared" si="4"/>
        <v>0</v>
      </c>
      <c r="P34">
        <f t="shared" si="5"/>
        <v>0</v>
      </c>
      <c r="Q34">
        <f t="shared" si="6"/>
        <v>3</v>
      </c>
      <c r="R34">
        <f t="shared" si="7"/>
        <v>0</v>
      </c>
      <c r="S34">
        <f t="shared" si="8"/>
        <v>0</v>
      </c>
      <c r="T34">
        <f t="shared" si="9"/>
        <v>3</v>
      </c>
      <c r="U34">
        <f t="shared" si="10"/>
        <v>0</v>
      </c>
      <c r="V34">
        <f t="shared" si="11"/>
        <v>0</v>
      </c>
    </row>
    <row r="35" spans="1:22">
      <c r="A35" t="str">
        <f>'time 1'!B34</f>
        <v>&lt;test.Class13: void method226(byte,int,int,int,int[],int,byte[],int,int)&gt;</v>
      </c>
      <c r="B35">
        <f>AVERAGE('time 1'!D34/'time 1'!C34,'time 2'!D34/'time 2'!C34,'time 3'!D34/'time 3'!C34)</f>
        <v>1.5850237064728461</v>
      </c>
      <c r="C35">
        <f>AVERAGE('time 1'!F34/'time 1'!E34,'time 2'!F34/'time 2'!E34,'time 3'!F34/'time 3'!E34)</f>
        <v>1.5231883901504464</v>
      </c>
      <c r="D35">
        <f>AVERAGE('time 1'!H34/'time 1'!G34,'time 2'!H34/'time 2'!G34,'time 3'!H34/'time 3'!G34)</f>
        <v>1.5810113966852175</v>
      </c>
      <c r="E35">
        <f>AVERAGE('time 1'!J34/'time 2'!I34,'time 2'!J34/'time 2'!I34,'time 3'!J34/'time 3'!I34)</f>
        <v>1.5562228513183598</v>
      </c>
      <c r="F35">
        <f>AVERAGE('time 1'!L34/'time 1'!K34,'time 2'!L34/'time 2'!K34,'time 3'!L34/'time 3'!K34)</f>
        <v>1.6531848699551162</v>
      </c>
      <c r="G35">
        <f>AVERAGE('time 1'!N34/'time 1'!M34,'time 2'!N34/'time 2'!M34,'time 3'!N34/'time 3'!M34)</f>
        <v>1.6270978095514455</v>
      </c>
      <c r="H35">
        <f>AVERAGE('time 1'!P34/'time 1'!O34,'time 2'!P34/'time 2'!O34,'time 3'!P34/'time 3'!O34)</f>
        <v>1.5437415909231733</v>
      </c>
      <c r="I35">
        <f>AVERAGE('time 1'!R34/'time 1'!Q34,'time 2'!R34/'time 2'!Q34,'time 3'!R34/'time 3'!Q34)</f>
        <v>1.5814100354476344</v>
      </c>
      <c r="J35">
        <f>AVERAGE('time 1'!T34/'time 1'!S34,'time 2'!T34/'time 2'!S34,'time 3'!T34/'time 3'!S34)</f>
        <v>1.7134698674862292</v>
      </c>
      <c r="K35">
        <f t="shared" si="0"/>
        <v>9</v>
      </c>
      <c r="L35">
        <f t="shared" si="1"/>
        <v>0</v>
      </c>
      <c r="M35">
        <f t="shared" si="2"/>
        <v>0</v>
      </c>
      <c r="N35">
        <f t="shared" si="3"/>
        <v>3</v>
      </c>
      <c r="O35">
        <f t="shared" si="4"/>
        <v>0</v>
      </c>
      <c r="P35">
        <f t="shared" si="5"/>
        <v>0</v>
      </c>
      <c r="Q35">
        <f t="shared" si="6"/>
        <v>3</v>
      </c>
      <c r="R35">
        <f t="shared" si="7"/>
        <v>0</v>
      </c>
      <c r="S35">
        <f t="shared" si="8"/>
        <v>0</v>
      </c>
      <c r="T35">
        <f t="shared" si="9"/>
        <v>3</v>
      </c>
      <c r="U35">
        <f t="shared" si="10"/>
        <v>0</v>
      </c>
      <c r="V35">
        <f t="shared" si="11"/>
        <v>0</v>
      </c>
    </row>
    <row r="36" spans="1:22">
      <c r="A36" t="str">
        <f>'time 1'!B35</f>
        <v>&lt;test.Class13: void method232(int[],int[],int[],byte[],int,int,int)&gt;</v>
      </c>
      <c r="B36">
        <f>AVERAGE('time 1'!D35/'time 1'!C35,'time 2'!D35/'time 2'!C35,'time 3'!D35/'time 3'!C35)</f>
        <v>1.1592341727076061</v>
      </c>
      <c r="C36">
        <f>AVERAGE('time 1'!F35/'time 1'!E35,'time 2'!F35/'time 2'!E35,'time 3'!F35/'time 3'!E35)</f>
        <v>1.2198119983235094</v>
      </c>
      <c r="D36">
        <f>AVERAGE('time 1'!H35/'time 1'!G35,'time 2'!H35/'time 2'!G35,'time 3'!H35/'time 3'!G35)</f>
        <v>1.2190064230855828</v>
      </c>
      <c r="E36">
        <f>AVERAGE('time 1'!J35/'time 2'!I35,'time 2'!J35/'time 2'!I35,'time 3'!J35/'time 3'!I35)</f>
        <v>1.1900505515536428</v>
      </c>
      <c r="F36">
        <f>AVERAGE('time 1'!L35/'time 1'!K35,'time 2'!L35/'time 2'!K35,'time 3'!L35/'time 3'!K35)</f>
        <v>1.2010731277601125</v>
      </c>
      <c r="G36">
        <f>AVERAGE('time 1'!N35/'time 1'!M35,'time 2'!N35/'time 2'!M35,'time 3'!N35/'time 3'!M35)</f>
        <v>1.1672654039081369</v>
      </c>
      <c r="H36">
        <f>AVERAGE('time 1'!P35/'time 1'!O35,'time 2'!P35/'time 2'!O35,'time 3'!P35/'time 3'!O35)</f>
        <v>1.1118830496195791</v>
      </c>
      <c r="I36">
        <f>AVERAGE('time 1'!R35/'time 1'!Q35,'time 2'!R35/'time 2'!Q35,'time 3'!R35/'time 3'!Q35)</f>
        <v>1.1364840292008076</v>
      </c>
      <c r="J36">
        <f>AVERAGE('time 1'!T35/'time 1'!S35,'time 2'!T35/'time 2'!S35,'time 3'!T35/'time 3'!S35)</f>
        <v>1.1120631666056378</v>
      </c>
      <c r="K36">
        <f t="shared" si="0"/>
        <v>9</v>
      </c>
      <c r="L36">
        <f t="shared" si="1"/>
        <v>0</v>
      </c>
      <c r="M36">
        <f t="shared" si="2"/>
        <v>0</v>
      </c>
      <c r="N36">
        <f t="shared" si="3"/>
        <v>3</v>
      </c>
      <c r="O36">
        <f t="shared" si="4"/>
        <v>0</v>
      </c>
      <c r="P36">
        <f t="shared" si="5"/>
        <v>0</v>
      </c>
      <c r="Q36">
        <f t="shared" si="6"/>
        <v>3</v>
      </c>
      <c r="R36">
        <f t="shared" si="7"/>
        <v>0</v>
      </c>
      <c r="S36">
        <f t="shared" si="8"/>
        <v>0</v>
      </c>
      <c r="T36">
        <f t="shared" si="9"/>
        <v>3</v>
      </c>
      <c r="U36">
        <f t="shared" si="10"/>
        <v>0</v>
      </c>
      <c r="V36">
        <f t="shared" si="11"/>
        <v>0</v>
      </c>
    </row>
    <row r="37" spans="1:22">
      <c r="A37" t="str">
        <f>'time 1'!B36</f>
        <v>&lt;test.client: boolean method85(int,int,int,int,int,int,int,int,int,int,boolean,int,int[][],int[][],int[],int[],int[][],int,int)&gt;</v>
      </c>
      <c r="B37">
        <f>AVERAGE('time 1'!D36/'time 1'!C36,'time 2'!D36/'time 2'!C36,'time 3'!D36/'time 3'!C36)</f>
        <v>1.2912926536682532</v>
      </c>
      <c r="C37">
        <f>AVERAGE('time 1'!F36/'time 1'!E36,'time 2'!F36/'time 2'!E36,'time 3'!F36/'time 3'!E36)</f>
        <v>1.3530019554650339</v>
      </c>
      <c r="D37">
        <f>AVERAGE('time 1'!H36/'time 1'!G36,'time 2'!H36/'time 2'!G36,'time 3'!H36/'time 3'!G36)</f>
        <v>1.2772619012462234</v>
      </c>
      <c r="E37">
        <f>AVERAGE('time 1'!J36/'time 2'!I36,'time 2'!J36/'time 2'!I36,'time 3'!J36/'time 3'!I36)</f>
        <v>1.318182262920365</v>
      </c>
      <c r="F37">
        <f>AVERAGE('time 1'!L36/'time 1'!K36,'time 2'!L36/'time 2'!K36,'time 3'!L36/'time 3'!K36)</f>
        <v>1.7149571259403276</v>
      </c>
      <c r="G37">
        <f>AVERAGE('time 1'!N36/'time 1'!M36,'time 2'!N36/'time 2'!M36,'time 3'!N36/'time 3'!M36)</f>
        <v>1.2489621142329799</v>
      </c>
      <c r="H37">
        <f>AVERAGE('time 1'!P36/'time 1'!O36,'time 2'!P36/'time 2'!O36,'time 3'!P36/'time 3'!O36)</f>
        <v>1.2556349614424098</v>
      </c>
      <c r="I37">
        <f>AVERAGE('time 1'!R36/'time 1'!Q36,'time 2'!R36/'time 2'!Q36,'time 3'!R36/'time 3'!Q36)</f>
        <v>1.5524673545752403</v>
      </c>
      <c r="J37">
        <f>AVERAGE('time 1'!T36/'time 1'!S36,'time 2'!T36/'time 2'!S36,'time 3'!T36/'time 3'!S36)</f>
        <v>1.2601445873273724</v>
      </c>
      <c r="K37">
        <f t="shared" si="0"/>
        <v>9</v>
      </c>
      <c r="L37">
        <f t="shared" si="1"/>
        <v>0</v>
      </c>
      <c r="M37">
        <f t="shared" si="2"/>
        <v>0</v>
      </c>
      <c r="N37">
        <f t="shared" si="3"/>
        <v>3</v>
      </c>
      <c r="O37">
        <f t="shared" si="4"/>
        <v>0</v>
      </c>
      <c r="P37">
        <f t="shared" si="5"/>
        <v>0</v>
      </c>
      <c r="Q37">
        <f t="shared" si="6"/>
        <v>3</v>
      </c>
      <c r="R37">
        <f t="shared" si="7"/>
        <v>0</v>
      </c>
      <c r="S37">
        <f t="shared" si="8"/>
        <v>0</v>
      </c>
      <c r="T37">
        <f t="shared" si="9"/>
        <v>3</v>
      </c>
      <c r="U37">
        <f t="shared" si="10"/>
        <v>0</v>
      </c>
      <c r="V37">
        <f t="shared" si="11"/>
        <v>0</v>
      </c>
    </row>
    <row r="38" spans="1:22">
      <c r="A38" t="str">
        <f>'time 1'!B37</f>
        <v>&lt;test.client: boolean processMenuClick(int,int,int,int,boolean,int,int,int,int,int,int,int,int)&gt;</v>
      </c>
      <c r="B38">
        <f>AVERAGE('time 1'!D37/'time 1'!C37,'time 2'!D37/'time 2'!C37,'time 3'!D37/'time 3'!C37)</f>
        <v>1.1042157612800607</v>
      </c>
      <c r="C38">
        <f>AVERAGE('time 1'!F37/'time 1'!E37,'time 2'!F37/'time 2'!E37,'time 3'!F37/'time 3'!E37)</f>
        <v>1.028082655457643</v>
      </c>
      <c r="D38">
        <f>AVERAGE('time 1'!H37/'time 1'!G37,'time 2'!H37/'time 2'!G37,'time 3'!H37/'time 3'!G37)</f>
        <v>1.053782972089929</v>
      </c>
      <c r="E38">
        <f>AVERAGE('time 1'!J37/'time 2'!I37,'time 2'!J37/'time 2'!I37,'time 3'!J37/'time 3'!I37)</f>
        <v>1.1538875606194994</v>
      </c>
      <c r="F38">
        <f>AVERAGE('time 1'!L37/'time 1'!K37,'time 2'!L37/'time 2'!K37,'time 3'!L37/'time 3'!K37)</f>
        <v>1.113466848178593</v>
      </c>
      <c r="G38">
        <f>AVERAGE('time 1'!N37/'time 1'!M37,'time 2'!N37/'time 2'!M37,'time 3'!N37/'time 3'!M37)</f>
        <v>1.0901689828939167</v>
      </c>
      <c r="H38">
        <f>AVERAGE('time 1'!P37/'time 1'!O37,'time 2'!P37/'time 2'!O37,'time 3'!P37/'time 3'!O37)</f>
        <v>1.0822313188054247</v>
      </c>
      <c r="I38">
        <f>AVERAGE('time 1'!R37/'time 1'!Q37,'time 2'!R37/'time 2'!Q37,'time 3'!R37/'time 3'!Q37)</f>
        <v>0.96282371751232609</v>
      </c>
      <c r="J38">
        <f>AVERAGE('time 1'!T37/'time 1'!S37,'time 2'!T37/'time 2'!S37,'time 3'!T37/'time 3'!S37)</f>
        <v>1.1224830511659263</v>
      </c>
      <c r="K38">
        <f t="shared" si="0"/>
        <v>9</v>
      </c>
      <c r="L38">
        <f t="shared" si="1"/>
        <v>0</v>
      </c>
      <c r="M38">
        <f t="shared" si="2"/>
        <v>0</v>
      </c>
      <c r="N38">
        <f t="shared" si="3"/>
        <v>3</v>
      </c>
      <c r="O38">
        <f t="shared" si="4"/>
        <v>0</v>
      </c>
      <c r="P38">
        <f t="shared" si="5"/>
        <v>0</v>
      </c>
      <c r="Q38">
        <f t="shared" si="6"/>
        <v>3</v>
      </c>
      <c r="R38">
        <f t="shared" si="7"/>
        <v>0</v>
      </c>
      <c r="S38">
        <f t="shared" si="8"/>
        <v>0</v>
      </c>
      <c r="T38">
        <f t="shared" si="9"/>
        <v>3</v>
      </c>
      <c r="U38">
        <f t="shared" si="10"/>
        <v>0</v>
      </c>
      <c r="V38">
        <f t="shared" si="11"/>
        <v>0</v>
      </c>
    </row>
    <row r="39" spans="1:22">
      <c r="A39" t="str">
        <f>'time 1'!B38</f>
        <v>&lt;test.client: int method120(int,boolean,int,int,int,int,int,int,int,byte[][][])&gt;</v>
      </c>
      <c r="B39">
        <f>AVERAGE('time 1'!D38/'time 1'!C38,'time 2'!D38/'time 2'!C38,'time 3'!D38/'time 3'!C38)</f>
        <v>1.8245430258860271</v>
      </c>
      <c r="C39">
        <f>AVERAGE('time 1'!F38/'time 1'!E38,'time 2'!F38/'time 2'!E38,'time 3'!F38/'time 3'!E38)</f>
        <v>1.2670652110330687</v>
      </c>
      <c r="D39">
        <f>AVERAGE('time 1'!H38/'time 1'!G38,'time 2'!H38/'time 2'!G38,'time 3'!H38/'time 3'!G38)</f>
        <v>1.8208170887081259</v>
      </c>
      <c r="E39">
        <f>AVERAGE('time 1'!J38/'time 2'!I38,'time 2'!J38/'time 2'!I38,'time 3'!J38/'time 3'!I38)</f>
        <v>1.9211697722567287</v>
      </c>
      <c r="F39">
        <f>AVERAGE('time 1'!L38/'time 1'!K38,'time 2'!L38/'time 2'!K38,'time 3'!L38/'time 3'!K38)</f>
        <v>1.2747961813019169</v>
      </c>
      <c r="G39">
        <f>AVERAGE('time 1'!N38/'time 1'!M38,'time 2'!N38/'time 2'!M38,'time 3'!N38/'time 3'!M38)</f>
        <v>1.7652329847637374</v>
      </c>
      <c r="H39">
        <f>AVERAGE('time 1'!P38/'time 1'!O38,'time 2'!P38/'time 2'!O38,'time 3'!P38/'time 3'!O38)</f>
        <v>1.8040843323977267</v>
      </c>
      <c r="I39">
        <f>AVERAGE('time 1'!R38/'time 1'!Q38,'time 2'!R38/'time 2'!Q38,'time 3'!R38/'time 3'!Q38)</f>
        <v>1.0475567879764596</v>
      </c>
      <c r="J39">
        <f>AVERAGE('time 1'!T38/'time 1'!S38,'time 2'!T38/'time 2'!S38,'time 3'!T38/'time 3'!S38)</f>
        <v>1.8707815035517841</v>
      </c>
      <c r="K39">
        <f t="shared" si="0"/>
        <v>9</v>
      </c>
      <c r="L39">
        <f t="shared" si="1"/>
        <v>0</v>
      </c>
      <c r="M39">
        <f t="shared" si="2"/>
        <v>0</v>
      </c>
      <c r="N39">
        <f t="shared" si="3"/>
        <v>3</v>
      </c>
      <c r="O39">
        <f t="shared" si="4"/>
        <v>0</v>
      </c>
      <c r="P39">
        <f t="shared" si="5"/>
        <v>0</v>
      </c>
      <c r="Q39">
        <f t="shared" si="6"/>
        <v>3</v>
      </c>
      <c r="R39">
        <f t="shared" si="7"/>
        <v>0</v>
      </c>
      <c r="S39">
        <f t="shared" si="8"/>
        <v>0</v>
      </c>
      <c r="T39">
        <f t="shared" si="9"/>
        <v>3</v>
      </c>
      <c r="U39">
        <f t="shared" si="10"/>
        <v>0</v>
      </c>
      <c r="V39">
        <f t="shared" si="11"/>
        <v>0</v>
      </c>
    </row>
    <row r="40" spans="1:22">
      <c r="A40" t="str">
        <f>'time 1'!B39</f>
        <v>&lt;test.client: void calcCameraPos(int,int,int,int,int,int,int,int,int,int,int,int,int,int,int,int)&gt;</v>
      </c>
      <c r="B40">
        <f>AVERAGE('time 1'!D39/'time 1'!C39,'time 2'!D39/'time 2'!C39,'time 3'!D39/'time 3'!C39)</f>
        <v>1.1978088424851465</v>
      </c>
      <c r="C40">
        <f>AVERAGE('time 1'!F39/'time 1'!E39,'time 2'!F39/'time 2'!E39,'time 3'!F39/'time 3'!E39)</f>
        <v>0.94517922800324472</v>
      </c>
      <c r="D40">
        <f>AVERAGE('time 1'!H39/'time 1'!G39,'time 2'!H39/'time 2'!G39,'time 3'!H39/'time 3'!G39)</f>
        <v>1.2236706861298059</v>
      </c>
      <c r="E40">
        <f>AVERAGE('time 1'!J39/'time 2'!I39,'time 2'!J39/'time 2'!I39,'time 3'!J39/'time 3'!I39)</f>
        <v>1.2534468707877011</v>
      </c>
      <c r="F40">
        <f>AVERAGE('time 1'!L39/'time 1'!K39,'time 2'!L39/'time 2'!K39,'time 3'!L39/'time 3'!K39)</f>
        <v>1.0247534277724013</v>
      </c>
      <c r="G40">
        <f>AVERAGE('time 1'!N39/'time 1'!M39,'time 2'!N39/'time 2'!M39,'time 3'!N39/'time 3'!M39)</f>
        <v>1.1540509549743685</v>
      </c>
      <c r="H40">
        <f>AVERAGE('time 1'!P39/'time 1'!O39,'time 2'!P39/'time 2'!O39,'time 3'!P39/'time 3'!O39)</f>
        <v>1.2008936967571424</v>
      </c>
      <c r="I40">
        <f>AVERAGE('time 1'!R39/'time 1'!Q39,'time 2'!R39/'time 2'!Q39,'time 3'!R39/'time 3'!Q39)</f>
        <v>0.94722793971459518</v>
      </c>
      <c r="J40">
        <f>AVERAGE('time 1'!T39/'time 1'!S39,'time 2'!T39/'time 2'!S39,'time 3'!T39/'time 3'!S39)</f>
        <v>1.2446888922104122</v>
      </c>
      <c r="K40">
        <f t="shared" si="0"/>
        <v>9</v>
      </c>
      <c r="L40">
        <f t="shared" si="1"/>
        <v>0</v>
      </c>
      <c r="M40">
        <f t="shared" si="2"/>
        <v>0</v>
      </c>
      <c r="N40">
        <f t="shared" si="3"/>
        <v>3</v>
      </c>
      <c r="O40">
        <f t="shared" si="4"/>
        <v>0</v>
      </c>
      <c r="P40">
        <f t="shared" si="5"/>
        <v>0</v>
      </c>
      <c r="Q40">
        <f t="shared" si="6"/>
        <v>3</v>
      </c>
      <c r="R40">
        <f t="shared" si="7"/>
        <v>0</v>
      </c>
      <c r="S40">
        <f t="shared" si="8"/>
        <v>0</v>
      </c>
      <c r="T40">
        <f t="shared" si="9"/>
        <v>3</v>
      </c>
      <c r="U40">
        <f t="shared" si="10"/>
        <v>0</v>
      </c>
      <c r="V40">
        <f t="shared" si="11"/>
        <v>0</v>
      </c>
    </row>
    <row r="41" spans="1:22">
      <c r="A41" t="str">
        <f>'time 1'!B40</f>
        <v>&lt;test.client: void determineMenuSize(int,int,int,int,int)&gt;</v>
      </c>
      <c r="B41">
        <f>AVERAGE('time 1'!D40/'time 1'!C40,'time 2'!D40/'time 2'!C40,'time 3'!D40/'time 3'!C40)</f>
        <v>1.1681584997976804</v>
      </c>
      <c r="C41">
        <f>AVERAGE('time 1'!F40/'time 1'!E40,'time 2'!F40/'time 2'!E40,'time 3'!F40/'time 3'!E40)</f>
        <v>0.99970372151252118</v>
      </c>
      <c r="D41">
        <f>AVERAGE('time 1'!H40/'time 1'!G40,'time 2'!H40/'time 2'!G40,'time 3'!H40/'time 3'!G40)</f>
        <v>1.213635910556164</v>
      </c>
      <c r="E41">
        <f>AVERAGE('time 1'!J40/'time 2'!I40,'time 2'!J40/'time 2'!I40,'time 3'!J40/'time 3'!I40)</f>
        <v>1.2973425986652969</v>
      </c>
      <c r="F41">
        <f>AVERAGE('time 1'!L40/'time 1'!K40,'time 2'!L40/'time 2'!K40,'time 3'!L40/'time 3'!K40)</f>
        <v>1.0001732936756016</v>
      </c>
      <c r="G41">
        <f>AVERAGE('time 1'!N40/'time 1'!M40,'time 2'!N40/'time 2'!M40,'time 3'!N40/'time 3'!M40)</f>
        <v>1.1326031730130659</v>
      </c>
      <c r="H41">
        <f>AVERAGE('time 1'!P40/'time 1'!O40,'time 2'!P40/'time 2'!O40,'time 3'!P40/'time 3'!O40)</f>
        <v>1.1665576190834439</v>
      </c>
      <c r="I41">
        <f>AVERAGE('time 1'!R40/'time 1'!Q40,'time 2'!R40/'time 2'!Q40,'time 3'!R40/'time 3'!Q40)</f>
        <v>0.93202095354169667</v>
      </c>
      <c r="J41">
        <f>AVERAGE('time 1'!T40/'time 1'!S40,'time 2'!T40/'time 2'!S40,'time 3'!T40/'time 3'!S40)</f>
        <v>1.1838084020424062</v>
      </c>
      <c r="K41">
        <f t="shared" si="0"/>
        <v>9</v>
      </c>
      <c r="L41">
        <f t="shared" si="1"/>
        <v>0</v>
      </c>
      <c r="M41">
        <f t="shared" si="2"/>
        <v>0</v>
      </c>
      <c r="N41">
        <f t="shared" si="3"/>
        <v>3</v>
      </c>
      <c r="O41">
        <f t="shared" si="4"/>
        <v>0</v>
      </c>
      <c r="P41">
        <f t="shared" si="5"/>
        <v>0</v>
      </c>
      <c r="Q41">
        <f t="shared" si="6"/>
        <v>3</v>
      </c>
      <c r="R41">
        <f t="shared" si="7"/>
        <v>0</v>
      </c>
      <c r="S41">
        <f t="shared" si="8"/>
        <v>0</v>
      </c>
      <c r="T41">
        <f t="shared" si="9"/>
        <v>3</v>
      </c>
      <c r="U41">
        <f t="shared" si="10"/>
        <v>0</v>
      </c>
      <c r="V41">
        <f t="shared" si="11"/>
        <v>0</v>
      </c>
    </row>
    <row r="42" spans="1:22">
      <c r="A42" t="str">
        <f>'time 1'!B41</f>
        <v>&lt;test.client: void method108(int,int,int,int,int,int,int[],int,int,int,int,byte[][][],int[][][],int,int)&gt;</v>
      </c>
      <c r="B42">
        <f>AVERAGE('time 1'!D41/'time 1'!C41,'time 2'!D41/'time 2'!C41,'time 3'!D41/'time 3'!C41)</f>
        <v>1.3082294054743444</v>
      </c>
      <c r="C42">
        <f>AVERAGE('time 1'!F41/'time 1'!E41,'time 2'!F41/'time 2'!E41,'time 3'!F41/'time 3'!E41)</f>
        <v>1.110666186895193</v>
      </c>
      <c r="D42">
        <f>AVERAGE('time 1'!H41/'time 1'!G41,'time 2'!H41/'time 2'!G41,'time 3'!H41/'time 3'!G41)</f>
        <v>1.3038697790373437</v>
      </c>
      <c r="E42">
        <f>AVERAGE('time 1'!J41/'time 2'!I41,'time 2'!J41/'time 2'!I41,'time 3'!J41/'time 3'!I41)</f>
        <v>1.4065747317775754</v>
      </c>
      <c r="F42">
        <f>AVERAGE('time 1'!L41/'time 1'!K41,'time 2'!L41/'time 2'!K41,'time 3'!L41/'time 3'!K41)</f>
        <v>1.1224908415845336</v>
      </c>
      <c r="G42">
        <f>AVERAGE('time 1'!N41/'time 1'!M41,'time 2'!N41/'time 2'!M41,'time 3'!N41/'time 3'!M41)</f>
        <v>1.2836469295820476</v>
      </c>
      <c r="H42">
        <f>AVERAGE('time 1'!P41/'time 1'!O41,'time 2'!P41/'time 2'!O41,'time 3'!P41/'time 3'!O41)</f>
        <v>1.3666204378214777</v>
      </c>
      <c r="I42">
        <f>AVERAGE('time 1'!R41/'time 1'!Q41,'time 2'!R41/'time 2'!Q41,'time 3'!R41/'time 3'!Q41)</f>
        <v>1.0863027655770547</v>
      </c>
      <c r="J42">
        <f>AVERAGE('time 1'!T41/'time 1'!S41,'time 2'!T41/'time 2'!S41,'time 3'!T41/'time 3'!S41)</f>
        <v>1.3445140860523843</v>
      </c>
      <c r="K42">
        <f t="shared" si="0"/>
        <v>9</v>
      </c>
      <c r="L42">
        <f t="shared" si="1"/>
        <v>0</v>
      </c>
      <c r="M42">
        <f t="shared" si="2"/>
        <v>0</v>
      </c>
      <c r="N42">
        <f t="shared" si="3"/>
        <v>3</v>
      </c>
      <c r="O42">
        <f t="shared" si="4"/>
        <v>0</v>
      </c>
      <c r="P42">
        <f t="shared" si="5"/>
        <v>0</v>
      </c>
      <c r="Q42">
        <f t="shared" si="6"/>
        <v>3</v>
      </c>
      <c r="R42">
        <f t="shared" si="7"/>
        <v>0</v>
      </c>
      <c r="S42">
        <f t="shared" si="8"/>
        <v>0</v>
      </c>
      <c r="T42">
        <f t="shared" si="9"/>
        <v>3</v>
      </c>
      <c r="U42">
        <f t="shared" si="10"/>
        <v>0</v>
      </c>
      <c r="V42">
        <f t="shared" si="11"/>
        <v>0</v>
      </c>
    </row>
    <row r="43" spans="1:22">
      <c r="A43" t="str">
        <f>'time 1'!B42</f>
        <v>&lt;test.client: void method142(int,int,int,int,int,int,int,int,boolean,int,byte[][][])&gt;</v>
      </c>
      <c r="B43">
        <f>AVERAGE('time 1'!D42/'time 1'!C42,'time 2'!D42/'time 2'!C42,'time 3'!D42/'time 3'!C42)</f>
        <v>1.2016464798184783</v>
      </c>
      <c r="C43">
        <f>AVERAGE('time 1'!F42/'time 1'!E42,'time 2'!F42/'time 2'!E42,'time 3'!F42/'time 3'!E42)</f>
        <v>1.0399405582832859</v>
      </c>
      <c r="D43">
        <f>AVERAGE('time 1'!H42/'time 1'!G42,'time 2'!H42/'time 2'!G42,'time 3'!H42/'time 3'!G42)</f>
        <v>1.2160239451318369</v>
      </c>
      <c r="E43">
        <f>AVERAGE('time 1'!J42/'time 2'!I42,'time 2'!J42/'time 2'!I42,'time 3'!J42/'time 3'!I42)</f>
        <v>1.1337372171453437</v>
      </c>
      <c r="F43">
        <f>AVERAGE('time 1'!L42/'time 1'!K42,'time 2'!L42/'time 2'!K42,'time 3'!L42/'time 3'!K42)</f>
        <v>1.1249496755503692</v>
      </c>
      <c r="G43">
        <f>AVERAGE('time 1'!N42/'time 1'!M42,'time 2'!N42/'time 2'!M42,'time 3'!N42/'time 3'!M42)</f>
        <v>1.0862508145913516</v>
      </c>
      <c r="H43">
        <f>AVERAGE('time 1'!P42/'time 1'!O42,'time 2'!P42/'time 2'!O42,'time 3'!P42/'time 3'!O42)</f>
        <v>1.0470218480465265</v>
      </c>
      <c r="I43">
        <f>AVERAGE('time 1'!R42/'time 1'!Q42,'time 2'!R42/'time 2'!Q42,'time 3'!R42/'time 3'!Q42)</f>
        <v>1.1725494260353153</v>
      </c>
      <c r="J43">
        <f>AVERAGE('time 1'!T42/'time 1'!S42,'time 2'!T42/'time 2'!S42,'time 3'!T42/'time 3'!S42)</f>
        <v>1.0748755173511622</v>
      </c>
      <c r="K43">
        <f t="shared" si="0"/>
        <v>9</v>
      </c>
      <c r="L43">
        <f t="shared" si="1"/>
        <v>0</v>
      </c>
      <c r="M43">
        <f t="shared" si="2"/>
        <v>0</v>
      </c>
      <c r="N43">
        <f t="shared" si="3"/>
        <v>3</v>
      </c>
      <c r="O43">
        <f t="shared" si="4"/>
        <v>0</v>
      </c>
      <c r="P43">
        <f t="shared" si="5"/>
        <v>0</v>
      </c>
      <c r="Q43">
        <f t="shared" si="6"/>
        <v>3</v>
      </c>
      <c r="R43">
        <f t="shared" si="7"/>
        <v>0</v>
      </c>
      <c r="S43">
        <f t="shared" si="8"/>
        <v>0</v>
      </c>
      <c r="T43">
        <f t="shared" si="9"/>
        <v>3</v>
      </c>
      <c r="U43">
        <f t="shared" si="10"/>
        <v>0</v>
      </c>
      <c r="V43">
        <f t="shared" si="11"/>
        <v>0</v>
      </c>
    </row>
    <row r="44" spans="1:22">
      <c r="A44" t="str">
        <f>'time 1'!B43</f>
        <v>&lt;test.FastBlurFilter: void blur(int[],int[],int,int,int)&gt;</v>
      </c>
      <c r="B44">
        <f>AVERAGE('time 1'!D43/'time 1'!C43,'time 2'!D43/'time 2'!C43,'time 3'!D43/'time 3'!C43)</f>
        <v>1.3490222511487593</v>
      </c>
      <c r="C44">
        <f>AVERAGE('time 1'!F43/'time 1'!E43,'time 2'!F43/'time 2'!E43,'time 3'!F43/'time 3'!E43)</f>
        <v>1.0890452409441147</v>
      </c>
      <c r="D44">
        <f>AVERAGE('time 1'!H43/'time 1'!G43,'time 2'!H43/'time 2'!G43,'time 3'!H43/'time 3'!G43)</f>
        <v>1.326659734801316</v>
      </c>
      <c r="E44">
        <f>AVERAGE('time 1'!J43/'time 2'!I43,'time 2'!J43/'time 2'!I43,'time 3'!J43/'time 3'!I43)</f>
        <v>1.516305414885273</v>
      </c>
      <c r="F44">
        <f>AVERAGE('time 1'!L43/'time 1'!K43,'time 2'!L43/'time 2'!K43,'time 3'!L43/'time 3'!K43)</f>
        <v>1.353508365722039</v>
      </c>
      <c r="G44">
        <f>AVERAGE('time 1'!N43/'time 1'!M43,'time 2'!N43/'time 2'!M43,'time 3'!N43/'time 3'!M43)</f>
        <v>1.359416383423512</v>
      </c>
      <c r="H44">
        <f>AVERAGE('time 1'!P43/'time 1'!O43,'time 2'!P43/'time 2'!O43,'time 3'!P43/'time 3'!O43)</f>
        <v>1.3454177408415087</v>
      </c>
      <c r="I44">
        <f>AVERAGE('time 1'!R43/'time 1'!Q43,'time 2'!R43/'time 2'!Q43,'time 3'!R43/'time 3'!Q43)</f>
        <v>1.1970792572759139</v>
      </c>
      <c r="J44">
        <f>AVERAGE('time 1'!T43/'time 1'!S43,'time 2'!T43/'time 2'!S43,'time 3'!T43/'time 3'!S43)</f>
        <v>1.3813995830870363</v>
      </c>
      <c r="K44">
        <f t="shared" si="0"/>
        <v>9</v>
      </c>
      <c r="L44">
        <f t="shared" si="1"/>
        <v>0</v>
      </c>
      <c r="M44">
        <f t="shared" si="2"/>
        <v>0</v>
      </c>
      <c r="N44">
        <f t="shared" si="3"/>
        <v>3</v>
      </c>
      <c r="O44">
        <f t="shared" si="4"/>
        <v>0</v>
      </c>
      <c r="P44">
        <f t="shared" si="5"/>
        <v>0</v>
      </c>
      <c r="Q44">
        <f t="shared" si="6"/>
        <v>3</v>
      </c>
      <c r="R44">
        <f t="shared" si="7"/>
        <v>0</v>
      </c>
      <c r="S44">
        <f t="shared" si="8"/>
        <v>0</v>
      </c>
      <c r="T44">
        <f t="shared" si="9"/>
        <v>3</v>
      </c>
      <c r="U44">
        <f t="shared" si="10"/>
        <v>0</v>
      </c>
      <c r="V44">
        <f t="shared" si="11"/>
        <v>0</v>
      </c>
    </row>
    <row r="45" spans="1:22">
      <c r="A45" t="str">
        <f>'time 1'!B44</f>
        <v>&lt;test.GeoData: float getZ(int,int,int,int)&gt;</v>
      </c>
      <c r="B45">
        <f>AVERAGE('time 1'!D44/'time 1'!C44,'time 2'!D44/'time 2'!C44,'time 3'!D44/'time 3'!C44)</f>
        <v>1.027305558206038</v>
      </c>
      <c r="C45">
        <f>AVERAGE('time 1'!F44/'time 1'!E44,'time 2'!F44/'time 2'!E44,'time 3'!F44/'time 3'!E44)</f>
        <v>0.86452543703210727</v>
      </c>
      <c r="D45">
        <f>AVERAGE('time 1'!H44/'time 1'!G44,'time 2'!H44/'time 2'!G44,'time 3'!H44/'time 3'!G44)</f>
        <v>1.0974706795136029</v>
      </c>
      <c r="E45">
        <f>AVERAGE('time 1'!J44/'time 2'!I44,'time 2'!J44/'time 2'!I44,'time 3'!J44/'time 3'!I44)</f>
        <v>1.0252318690371789</v>
      </c>
      <c r="F45">
        <f>AVERAGE('time 1'!L44/'time 1'!K44,'time 2'!L44/'time 2'!K44,'time 3'!L44/'time 3'!K44)</f>
        <v>0.877246028295953</v>
      </c>
      <c r="G45">
        <f>AVERAGE('time 1'!N44/'time 1'!M44,'time 2'!N44/'time 2'!M44,'time 3'!N44/'time 3'!M44)</f>
        <v>1.0658240840175901</v>
      </c>
      <c r="H45">
        <f>AVERAGE('time 1'!P44/'time 1'!O44,'time 2'!P44/'time 2'!O44,'time 3'!P44/'time 3'!O44)</f>
        <v>0.91689555367476772</v>
      </c>
      <c r="I45">
        <f>AVERAGE('time 1'!R44/'time 1'!Q44,'time 2'!R44/'time 2'!Q44,'time 3'!R44/'time 3'!Q44)</f>
        <v>0.83060532036373103</v>
      </c>
      <c r="J45">
        <f>AVERAGE('time 1'!T44/'time 1'!S44,'time 2'!T44/'time 2'!S44,'time 3'!T44/'time 3'!S44)</f>
        <v>0.86924518769895487</v>
      </c>
      <c r="K45">
        <f t="shared" si="0"/>
        <v>9</v>
      </c>
      <c r="L45">
        <f t="shared" si="1"/>
        <v>0</v>
      </c>
      <c r="M45">
        <f t="shared" si="2"/>
        <v>0</v>
      </c>
      <c r="N45">
        <f t="shared" si="3"/>
        <v>3</v>
      </c>
      <c r="O45">
        <f t="shared" si="4"/>
        <v>0</v>
      </c>
      <c r="P45">
        <f t="shared" si="5"/>
        <v>0</v>
      </c>
      <c r="Q45">
        <f t="shared" si="6"/>
        <v>3</v>
      </c>
      <c r="R45">
        <f t="shared" si="7"/>
        <v>0</v>
      </c>
      <c r="S45">
        <f t="shared" si="8"/>
        <v>0</v>
      </c>
      <c r="T45">
        <f t="shared" si="9"/>
        <v>3</v>
      </c>
      <c r="U45">
        <f t="shared" si="10"/>
        <v>0</v>
      </c>
      <c r="V45">
        <f t="shared" si="11"/>
        <v>0</v>
      </c>
    </row>
    <row r="46" spans="1:22">
      <c r="A46" t="str">
        <f>'time 1'!B45</f>
        <v>&lt;test.GeoEngine: boolean checkNSWE(short,int,int,int,int)&gt;</v>
      </c>
      <c r="B46">
        <f>AVERAGE('time 1'!D45/'time 1'!C45,'time 2'!D45/'time 2'!C45,'time 3'!D45/'time 3'!C45)</f>
        <v>1.2228527231821575</v>
      </c>
      <c r="C46">
        <f>AVERAGE('time 1'!F45/'time 1'!E45,'time 2'!F45/'time 2'!E45,'time 3'!F45/'time 3'!E45)</f>
        <v>0.92735431033945359</v>
      </c>
      <c r="D46">
        <f>AVERAGE('time 1'!H45/'time 1'!G45,'time 2'!H45/'time 2'!G45,'time 3'!H45/'time 3'!G45)</f>
        <v>0.94810505989490101</v>
      </c>
      <c r="E46">
        <f>AVERAGE('time 1'!J45/'time 2'!I45,'time 2'!J45/'time 2'!I45,'time 3'!J45/'time 3'!I45)</f>
        <v>1.0472756251281339</v>
      </c>
      <c r="F46">
        <f>AVERAGE('time 1'!L45/'time 1'!K45,'time 2'!L45/'time 2'!K45,'time 3'!L45/'time 3'!K45)</f>
        <v>1.0046458463520807</v>
      </c>
      <c r="G46">
        <f>AVERAGE('time 1'!N45/'time 1'!M45,'time 2'!N45/'time 2'!M45,'time 3'!N45/'time 3'!M45)</f>
        <v>0.98350935914023241</v>
      </c>
      <c r="H46">
        <f>AVERAGE('time 1'!P45/'time 1'!O45,'time 2'!P45/'time 2'!O45,'time 3'!P45/'time 3'!O45)</f>
        <v>1.0331132768111599</v>
      </c>
      <c r="I46">
        <f>AVERAGE('time 1'!R45/'time 1'!Q45,'time 2'!R45/'time 2'!Q45,'time 3'!R45/'time 3'!Q45)</f>
        <v>0.86840088614767408</v>
      </c>
      <c r="J46">
        <f>AVERAGE('time 1'!T45/'time 1'!S45,'time 2'!T45/'time 2'!S45,'time 3'!T45/'time 3'!S45)</f>
        <v>1.0031057041082379</v>
      </c>
      <c r="K46">
        <f t="shared" si="0"/>
        <v>9</v>
      </c>
      <c r="L46">
        <f t="shared" si="1"/>
        <v>0</v>
      </c>
      <c r="M46">
        <f t="shared" si="2"/>
        <v>0</v>
      </c>
      <c r="N46">
        <f t="shared" si="3"/>
        <v>3</v>
      </c>
      <c r="O46">
        <f t="shared" si="4"/>
        <v>0</v>
      </c>
      <c r="P46">
        <f t="shared" si="5"/>
        <v>0</v>
      </c>
      <c r="Q46">
        <f t="shared" si="6"/>
        <v>3</v>
      </c>
      <c r="R46">
        <f t="shared" si="7"/>
        <v>0</v>
      </c>
      <c r="S46">
        <f t="shared" si="8"/>
        <v>0</v>
      </c>
      <c r="T46">
        <f t="shared" si="9"/>
        <v>3</v>
      </c>
      <c r="U46">
        <f t="shared" si="10"/>
        <v>0</v>
      </c>
      <c r="V46">
        <f t="shared" si="11"/>
        <v>0</v>
      </c>
    </row>
    <row r="47" spans="1:22">
      <c r="A47" t="str">
        <f>'time 1'!B46</f>
        <v>&lt;test.GeoEngine: boolean nLOS(int,int,int,int,int,int,boolean,short,byte,int)&gt;</v>
      </c>
      <c r="B47">
        <f>AVERAGE('time 1'!D46/'time 1'!C46,'time 2'!D46/'time 2'!C46,'time 3'!D46/'time 3'!C46)</f>
        <v>12.126206177893261</v>
      </c>
      <c r="C47">
        <f>AVERAGE('time 1'!F46/'time 1'!E46,'time 2'!F46/'time 2'!E46,'time 3'!F46/'time 3'!E46)</f>
        <v>4.2506987698020682</v>
      </c>
      <c r="D47">
        <f>AVERAGE('time 1'!H46/'time 1'!G46,'time 2'!H46/'time 2'!G46,'time 3'!H46/'time 3'!G46)</f>
        <v>7.1473926116043449</v>
      </c>
      <c r="E47">
        <f>AVERAGE('time 1'!J46/'time 2'!I46,'time 2'!J46/'time 2'!I46,'time 3'!J46/'time 3'!I46)</f>
        <v>10.684016650656419</v>
      </c>
      <c r="F47">
        <f>AVERAGE('time 1'!L46/'time 1'!K46,'time 2'!L46/'time 2'!K46,'time 3'!L46/'time 3'!K46)</f>
        <v>2.1074768523557981</v>
      </c>
      <c r="G47">
        <f>AVERAGE('time 1'!N46/'time 1'!M46,'time 2'!N46/'time 2'!M46,'time 3'!N46/'time 3'!M46)</f>
        <v>9.1924971909274955</v>
      </c>
      <c r="H47">
        <f>AVERAGE('time 1'!P46/'time 1'!O46,'time 2'!P46/'time 2'!O46,'time 3'!P46/'time 3'!O46)</f>
        <v>9.6340337547818411</v>
      </c>
      <c r="I47">
        <f>AVERAGE('time 1'!R46/'time 1'!Q46,'time 2'!R46/'time 2'!Q46,'time 3'!R46/'time 3'!Q46)</f>
        <v>1.3863444388031578</v>
      </c>
      <c r="J47">
        <f>AVERAGE('time 1'!T46/'time 1'!S46,'time 2'!T46/'time 2'!S46,'time 3'!T46/'time 3'!S46)</f>
        <v>8.5603635867995127</v>
      </c>
      <c r="K47">
        <f t="shared" si="0"/>
        <v>1</v>
      </c>
      <c r="L47">
        <f t="shared" si="1"/>
        <v>7</v>
      </c>
      <c r="M47">
        <f t="shared" si="2"/>
        <v>1</v>
      </c>
      <c r="N47">
        <f t="shared" si="3"/>
        <v>0</v>
      </c>
      <c r="O47">
        <f t="shared" si="4"/>
        <v>2</v>
      </c>
      <c r="P47">
        <f t="shared" si="5"/>
        <v>1</v>
      </c>
      <c r="Q47">
        <f t="shared" si="6"/>
        <v>1</v>
      </c>
      <c r="R47">
        <f t="shared" si="7"/>
        <v>2</v>
      </c>
      <c r="S47">
        <f t="shared" si="8"/>
        <v>0</v>
      </c>
      <c r="T47">
        <f t="shared" si="9"/>
        <v>0</v>
      </c>
      <c r="U47">
        <f t="shared" si="10"/>
        <v>3</v>
      </c>
      <c r="V47">
        <f t="shared" si="11"/>
        <v>0</v>
      </c>
    </row>
    <row r="48" spans="1:22">
      <c r="A48" t="str">
        <f>'time 1'!B47</f>
        <v>&lt;test.GeoEngine: double nCanMoveNext(int,int,int,int,int,int,byte,short,java.lang.Object)&gt;</v>
      </c>
      <c r="B48">
        <f>AVERAGE('time 1'!D47/'time 1'!C47,'time 2'!D47/'time 2'!C47,'time 3'!D47/'time 3'!C47)</f>
        <v>41.650165988542746</v>
      </c>
      <c r="C48">
        <f>AVERAGE('time 1'!F47/'time 1'!E47,'time 2'!F47/'time 2'!E47,'time 3'!F47/'time 3'!E47)</f>
        <v>8.2621965943359328</v>
      </c>
      <c r="D48">
        <f>AVERAGE('time 1'!H47/'time 1'!G47,'time 2'!H47/'time 2'!G47,'time 3'!H47/'time 3'!G47)</f>
        <v>3.1212163614281896</v>
      </c>
      <c r="E48">
        <f>AVERAGE('time 1'!J47/'time 2'!I47,'time 2'!J47/'time 2'!I47,'time 3'!J47/'time 3'!I47)</f>
        <v>4.2918010301340335</v>
      </c>
      <c r="F48">
        <f>AVERAGE('time 1'!L47/'time 1'!K47,'time 2'!L47/'time 2'!K47,'time 3'!L47/'time 3'!K47)</f>
        <v>2.031023926297141</v>
      </c>
      <c r="G48">
        <f>AVERAGE('time 1'!N47/'time 1'!M47,'time 2'!N47/'time 2'!M47,'time 3'!N47/'time 3'!M47)</f>
        <v>40.554976581099346</v>
      </c>
      <c r="H48">
        <f>AVERAGE('time 1'!P47/'time 1'!O47,'time 2'!P47/'time 2'!O47,'time 3'!P47/'time 3'!O47)</f>
        <v>9.8364686158551198</v>
      </c>
      <c r="I48">
        <f>AVERAGE('time 1'!R47/'time 1'!Q47,'time 2'!R47/'time 2'!Q47,'time 3'!R47/'time 3'!Q47)</f>
        <v>0.86635289247453706</v>
      </c>
      <c r="J48">
        <f>AVERAGE('time 1'!T47/'time 1'!S47,'time 2'!T47/'time 2'!S47,'time 3'!T47/'time 3'!S47)</f>
        <v>29.959459112813111</v>
      </c>
      <c r="K48">
        <f t="shared" si="0"/>
        <v>1</v>
      </c>
      <c r="L48">
        <f t="shared" si="1"/>
        <v>5</v>
      </c>
      <c r="M48">
        <f t="shared" si="2"/>
        <v>3</v>
      </c>
      <c r="N48">
        <f t="shared" si="3"/>
        <v>0</v>
      </c>
      <c r="O48">
        <f t="shared" si="4"/>
        <v>2</v>
      </c>
      <c r="P48">
        <f t="shared" si="5"/>
        <v>1</v>
      </c>
      <c r="Q48">
        <f t="shared" si="6"/>
        <v>1</v>
      </c>
      <c r="R48">
        <f t="shared" si="7"/>
        <v>2</v>
      </c>
      <c r="S48">
        <f t="shared" si="8"/>
        <v>0</v>
      </c>
      <c r="T48">
        <f t="shared" si="9"/>
        <v>0</v>
      </c>
      <c r="U48">
        <f t="shared" si="10"/>
        <v>1</v>
      </c>
      <c r="V48">
        <f t="shared" si="11"/>
        <v>2</v>
      </c>
    </row>
    <row r="49" spans="1:22">
      <c r="A49" t="str">
        <f>'time 1'!B48</f>
        <v>&lt;test.GeoEngine: int getBlock(int)&gt;</v>
      </c>
      <c r="B49">
        <f>AVERAGE('time 1'!D48/'time 1'!C48,'time 2'!D48/'time 2'!C48,'time 3'!D48/'time 3'!C48)</f>
        <v>1.1425120772946862</v>
      </c>
      <c r="C49">
        <f>AVERAGE('time 1'!F48/'time 1'!E48,'time 2'!F48/'time 2'!E48,'time 3'!F48/'time 3'!E48)</f>
        <v>1.0146864947529399</v>
      </c>
      <c r="D49">
        <f>AVERAGE('time 1'!H48/'time 1'!G48,'time 2'!H48/'time 2'!G48,'time 3'!H48/'time 3'!G48)</f>
        <v>0.88598715348208257</v>
      </c>
      <c r="E49">
        <f>AVERAGE('time 1'!J48/'time 2'!I48,'time 2'!J48/'time 2'!I48,'time 3'!J48/'time 3'!I48)</f>
        <v>0.98989898989898994</v>
      </c>
      <c r="F49">
        <f>AVERAGE('time 1'!L48/'time 1'!K48,'time 2'!L48/'time 2'!K48,'time 3'!L48/'time 3'!K48)</f>
        <v>1.0564780936297964</v>
      </c>
      <c r="G49">
        <f>AVERAGE('time 1'!N48/'time 1'!M48,'time 2'!N48/'time 2'!M48,'time 3'!N48/'time 3'!M48)</f>
        <v>0.75265563435776206</v>
      </c>
      <c r="H49">
        <f>AVERAGE('time 1'!P48/'time 1'!O48,'time 2'!P48/'time 2'!O48,'time 3'!P48/'time 3'!O48)</f>
        <v>1.0275418275418275</v>
      </c>
      <c r="I49">
        <f>AVERAGE('time 1'!R48/'time 1'!Q48,'time 2'!R48/'time 2'!Q48,'time 3'!R48/'time 3'!Q48)</f>
        <v>0.93829616849453112</v>
      </c>
      <c r="J49">
        <f>AVERAGE('time 1'!T48/'time 1'!S48,'time 2'!T48/'time 2'!S48,'time 3'!T48/'time 3'!S48)</f>
        <v>1.0121212121212122</v>
      </c>
      <c r="K49">
        <f t="shared" si="0"/>
        <v>9</v>
      </c>
      <c r="L49">
        <f t="shared" si="1"/>
        <v>0</v>
      </c>
      <c r="M49">
        <f t="shared" si="2"/>
        <v>0</v>
      </c>
      <c r="N49">
        <f t="shared" si="3"/>
        <v>3</v>
      </c>
      <c r="O49">
        <f t="shared" si="4"/>
        <v>0</v>
      </c>
      <c r="P49">
        <f t="shared" si="5"/>
        <v>0</v>
      </c>
      <c r="Q49">
        <f t="shared" si="6"/>
        <v>3</v>
      </c>
      <c r="R49">
        <f t="shared" si="7"/>
        <v>0</v>
      </c>
      <c r="S49">
        <f t="shared" si="8"/>
        <v>0</v>
      </c>
      <c r="T49">
        <f t="shared" si="9"/>
        <v>3</v>
      </c>
      <c r="U49">
        <f t="shared" si="10"/>
        <v>0</v>
      </c>
      <c r="V49">
        <f t="shared" si="11"/>
        <v>0</v>
      </c>
    </row>
    <row r="50" spans="1:22">
      <c r="A50" t="str">
        <f>'time 1'!B49</f>
        <v>&lt;test.GeoEngine: int getCell(int)&gt;</v>
      </c>
      <c r="B50">
        <f>AVERAGE('time 1'!D49/'time 1'!C49,'time 2'!D49/'time 2'!C49,'time 3'!D49/'time 3'!C49)</f>
        <v>0.95054945054945061</v>
      </c>
      <c r="C50">
        <f>AVERAGE('time 1'!F49/'time 1'!E49,'time 2'!F49/'time 2'!E49,'time 3'!F49/'time 3'!E49)</f>
        <v>1.1559036658141517</v>
      </c>
      <c r="D50">
        <f>AVERAGE('time 1'!H49/'time 1'!G49,'time 2'!H49/'time 2'!G49,'time 3'!H49/'time 3'!G49)</f>
        <v>0.92649572649572642</v>
      </c>
      <c r="E50">
        <f>AVERAGE('time 1'!J49/'time 2'!I49,'time 2'!J49/'time 2'!I49,'time 3'!J49/'time 3'!I49)</f>
        <v>1.0026143790849673</v>
      </c>
      <c r="F50">
        <f>AVERAGE('time 1'!L49/'time 1'!K49,'time 2'!L49/'time 2'!K49,'time 3'!L49/'time 3'!K49)</f>
        <v>1.2028985507246377</v>
      </c>
      <c r="G50">
        <f>AVERAGE('time 1'!N49/'time 1'!M49,'time 2'!N49/'time 2'!M49,'time 3'!N49/'time 3'!M49)</f>
        <v>0.95672514619883042</v>
      </c>
      <c r="H50">
        <f>AVERAGE('time 1'!P49/'time 1'!O49,'time 2'!P49/'time 2'!O49,'time 3'!P49/'time 3'!O49)</f>
        <v>0.98148148148148151</v>
      </c>
      <c r="I50">
        <f>AVERAGE('time 1'!R49/'time 1'!Q49,'time 2'!R49/'time 2'!Q49,'time 3'!R49/'time 3'!Q49)</f>
        <v>1.0087719298245614</v>
      </c>
      <c r="J50">
        <f>AVERAGE('time 1'!T49/'time 1'!S49,'time 2'!T49/'time 2'!S49,'time 3'!T49/'time 3'!S49)</f>
        <v>1.0902777777777777</v>
      </c>
      <c r="K50">
        <f t="shared" si="0"/>
        <v>9</v>
      </c>
      <c r="L50">
        <f t="shared" si="1"/>
        <v>0</v>
      </c>
      <c r="M50">
        <f t="shared" si="2"/>
        <v>0</v>
      </c>
      <c r="N50">
        <f t="shared" si="3"/>
        <v>3</v>
      </c>
      <c r="O50">
        <f t="shared" si="4"/>
        <v>0</v>
      </c>
      <c r="P50">
        <f t="shared" si="5"/>
        <v>0</v>
      </c>
      <c r="Q50">
        <f t="shared" si="6"/>
        <v>3</v>
      </c>
      <c r="R50">
        <f t="shared" si="7"/>
        <v>0</v>
      </c>
      <c r="S50">
        <f t="shared" si="8"/>
        <v>0</v>
      </c>
      <c r="T50">
        <f t="shared" si="9"/>
        <v>3</v>
      </c>
      <c r="U50">
        <f t="shared" si="10"/>
        <v>0</v>
      </c>
      <c r="V50">
        <f t="shared" si="11"/>
        <v>0</v>
      </c>
    </row>
    <row r="51" spans="1:22">
      <c r="A51" t="str">
        <f>'time 1'!B50</f>
        <v>&lt;test.GeoEngine: java.lang.Object moveCheck(java.lang.Object,java.lang.Object,int,int,int,int,int,int)&gt;</v>
      </c>
      <c r="B51">
        <f>AVERAGE('time 1'!D50/'time 1'!C50,'time 2'!D50/'time 2'!C50,'time 3'!D50/'time 3'!C50)</f>
        <v>36.806911369361366</v>
      </c>
      <c r="C51">
        <f>AVERAGE('time 1'!F50/'time 1'!E50,'time 2'!F50/'time 2'!E50,'time 3'!F50/'time 3'!E50)</f>
        <v>13.751276715154361</v>
      </c>
      <c r="D51">
        <f>AVERAGE('time 1'!H50/'time 1'!G50,'time 2'!H50/'time 2'!G50,'time 3'!H50/'time 3'!G50)</f>
        <v>43.320040958590802</v>
      </c>
      <c r="E51">
        <f>AVERAGE('time 1'!J50/'time 2'!I50,'time 2'!J50/'time 2'!I50,'time 3'!J50/'time 3'!I50)</f>
        <v>33.428713694482717</v>
      </c>
      <c r="F51">
        <f>AVERAGE('time 1'!L50/'time 1'!K50,'time 2'!L50/'time 2'!K50,'time 3'!L50/'time 3'!K50)</f>
        <v>6.1607444902273203</v>
      </c>
      <c r="G51">
        <f>AVERAGE('time 1'!N50/'time 1'!M50,'time 2'!N50/'time 2'!M50,'time 3'!N50/'time 3'!M50)</f>
        <v>31.991344658120003</v>
      </c>
      <c r="H51">
        <f>AVERAGE('time 1'!P50/'time 1'!O50,'time 2'!P50/'time 2'!O50,'time 3'!P50/'time 3'!O50)</f>
        <v>28.735239941125418</v>
      </c>
      <c r="I51">
        <f>AVERAGE('time 1'!R50/'time 1'!Q50,'time 2'!R50/'time 2'!Q50,'time 3'!R50/'time 3'!Q50)</f>
        <v>3.6720472657959706</v>
      </c>
      <c r="J51">
        <f>AVERAGE('time 1'!T50/'time 1'!S50,'time 2'!T50/'time 2'!S50,'time 3'!T50/'time 3'!S50)</f>
        <v>26.370213323299652</v>
      </c>
      <c r="K51">
        <f t="shared" si="0"/>
        <v>0</v>
      </c>
      <c r="L51">
        <f t="shared" si="1"/>
        <v>2</v>
      </c>
      <c r="M51">
        <f t="shared" si="2"/>
        <v>7</v>
      </c>
      <c r="N51">
        <f t="shared" si="3"/>
        <v>0</v>
      </c>
      <c r="O51">
        <f t="shared" si="4"/>
        <v>0</v>
      </c>
      <c r="P51">
        <f t="shared" si="5"/>
        <v>3</v>
      </c>
      <c r="Q51">
        <f t="shared" si="6"/>
        <v>0</v>
      </c>
      <c r="R51">
        <f t="shared" si="7"/>
        <v>2</v>
      </c>
      <c r="S51">
        <f t="shared" si="8"/>
        <v>1</v>
      </c>
      <c r="T51">
        <f t="shared" si="9"/>
        <v>0</v>
      </c>
      <c r="U51">
        <f t="shared" si="10"/>
        <v>0</v>
      </c>
      <c r="V51">
        <f t="shared" si="11"/>
        <v>3</v>
      </c>
    </row>
    <row r="52" spans="1:22">
      <c r="A52" t="str">
        <f>'time 1'!B51</f>
        <v>&lt;test.GeoEngine: short getRegionOffset(int,int)&gt;</v>
      </c>
      <c r="B52">
        <f>AVERAGE('time 1'!D51/'time 1'!C51,'time 2'!D51/'time 2'!C51,'time 3'!D51/'time 3'!C51)</f>
        <v>1.0795138888888889</v>
      </c>
      <c r="C52">
        <f>AVERAGE('time 1'!F51/'time 1'!E51,'time 2'!F51/'time 2'!E51,'time 3'!F51/'time 3'!E51)</f>
        <v>1.001710082960013</v>
      </c>
      <c r="D52">
        <f>AVERAGE('time 1'!H51/'time 1'!G51,'time 2'!H51/'time 2'!G51,'time 3'!H51/'time 3'!G51)</f>
        <v>1.1799532732957578</v>
      </c>
      <c r="E52">
        <f>AVERAGE('time 1'!J51/'time 2'!I51,'time 2'!J51/'time 2'!I51,'time 3'!J51/'time 3'!I51)</f>
        <v>1.1342408772924939</v>
      </c>
      <c r="F52">
        <f>AVERAGE('time 1'!L51/'time 1'!K51,'time 2'!L51/'time 2'!K51,'time 3'!L51/'time 3'!K51)</f>
        <v>1.1522673890474244</v>
      </c>
      <c r="G52">
        <f>AVERAGE('time 1'!N51/'time 1'!M51,'time 2'!N51/'time 2'!M51,'time 3'!N51/'time 3'!M51)</f>
        <v>1.1643705369471731</v>
      </c>
      <c r="H52">
        <f>AVERAGE('time 1'!P51/'time 1'!O51,'time 2'!P51/'time 2'!O51,'time 3'!P51/'time 3'!O51)</f>
        <v>1.0861386138613862</v>
      </c>
      <c r="I52">
        <f>AVERAGE('time 1'!R51/'time 1'!Q51,'time 2'!R51/'time 2'!Q51,'time 3'!R51/'time 3'!Q51)</f>
        <v>0.9761381113603157</v>
      </c>
      <c r="J52">
        <f>AVERAGE('time 1'!T51/'time 1'!S51,'time 2'!T51/'time 2'!S51,'time 3'!T51/'time 3'!S51)</f>
        <v>1.1763447833908538</v>
      </c>
      <c r="K52">
        <f t="shared" si="0"/>
        <v>9</v>
      </c>
      <c r="L52">
        <f t="shared" si="1"/>
        <v>0</v>
      </c>
      <c r="M52">
        <f t="shared" si="2"/>
        <v>0</v>
      </c>
      <c r="N52">
        <f t="shared" si="3"/>
        <v>3</v>
      </c>
      <c r="O52">
        <f t="shared" si="4"/>
        <v>0</v>
      </c>
      <c r="P52">
        <f t="shared" si="5"/>
        <v>0</v>
      </c>
      <c r="Q52">
        <f t="shared" si="6"/>
        <v>3</v>
      </c>
      <c r="R52">
        <f t="shared" si="7"/>
        <v>0</v>
      </c>
      <c r="S52">
        <f t="shared" si="8"/>
        <v>0</v>
      </c>
      <c r="T52">
        <f t="shared" si="9"/>
        <v>3</v>
      </c>
      <c r="U52">
        <f t="shared" si="10"/>
        <v>0</v>
      </c>
      <c r="V52">
        <f t="shared" si="11"/>
        <v>0</v>
      </c>
    </row>
    <row r="53" spans="1:22">
      <c r="A53" t="str">
        <f>'time 1'!B52</f>
        <v>&lt;test.GeoEngine: short nGetNSWE(int,int,int,byte,short)&gt;</v>
      </c>
      <c r="B53">
        <f>AVERAGE('time 1'!D52/'time 1'!C52,'time 2'!D52/'time 2'!C52,'time 3'!D52/'time 3'!C52)</f>
        <v>4.8461885580038313</v>
      </c>
      <c r="C53">
        <f>AVERAGE('time 1'!F52/'time 1'!E52,'time 2'!F52/'time 2'!E52,'time 3'!F52/'time 3'!E52)</f>
        <v>2.8692153407928473</v>
      </c>
      <c r="D53">
        <f>AVERAGE('time 1'!H52/'time 1'!G52,'time 2'!H52/'time 2'!G52,'time 3'!H52/'time 3'!G52)</f>
        <v>3.8308525894745089</v>
      </c>
      <c r="E53">
        <f>AVERAGE('time 1'!J52/'time 2'!I52,'time 2'!J52/'time 2'!I52,'time 3'!J52/'time 3'!I52)</f>
        <v>4.886749662227369</v>
      </c>
      <c r="F53">
        <f>AVERAGE('time 1'!L52/'time 1'!K52,'time 2'!L52/'time 2'!K52,'time 3'!L52/'time 3'!K52)</f>
        <v>1.7006958854979013</v>
      </c>
      <c r="G53">
        <f>AVERAGE('time 1'!N52/'time 1'!M52,'time 2'!N52/'time 2'!M52,'time 3'!N52/'time 3'!M52)</f>
        <v>3.9957886238472526</v>
      </c>
      <c r="H53">
        <f>AVERAGE('time 1'!P52/'time 1'!O52,'time 2'!P52/'time 2'!O52,'time 3'!P52/'time 3'!O52)</f>
        <v>4.0174466446172188</v>
      </c>
      <c r="I53">
        <f>AVERAGE('time 1'!R52/'time 1'!Q52,'time 2'!R52/'time 2'!Q52,'time 3'!R52/'time 3'!Q52)</f>
        <v>1.1761274906780428</v>
      </c>
      <c r="J53">
        <f>AVERAGE('time 1'!T52/'time 1'!S52,'time 2'!T52/'time 2'!S52,'time 3'!T52/'time 3'!S52)</f>
        <v>3.679272795049124</v>
      </c>
      <c r="K53">
        <f t="shared" si="0"/>
        <v>2</v>
      </c>
      <c r="L53">
        <f t="shared" si="1"/>
        <v>7</v>
      </c>
      <c r="M53">
        <f t="shared" si="2"/>
        <v>0</v>
      </c>
      <c r="N53">
        <f t="shared" si="3"/>
        <v>0</v>
      </c>
      <c r="O53">
        <f t="shared" si="4"/>
        <v>3</v>
      </c>
      <c r="P53">
        <f t="shared" si="5"/>
        <v>0</v>
      </c>
      <c r="Q53">
        <f t="shared" si="6"/>
        <v>2</v>
      </c>
      <c r="R53">
        <f t="shared" si="7"/>
        <v>1</v>
      </c>
      <c r="S53">
        <f t="shared" si="8"/>
        <v>0</v>
      </c>
      <c r="T53">
        <f t="shared" si="9"/>
        <v>0</v>
      </c>
      <c r="U53">
        <f t="shared" si="10"/>
        <v>3</v>
      </c>
      <c r="V53">
        <f t="shared" si="11"/>
        <v>0</v>
      </c>
    </row>
    <row r="54" spans="1:22">
      <c r="A54" t="str">
        <f>'time 1'!B53</f>
        <v>&lt;test.ImageData: byte[] convertPad(byte[],int,int,int,int,int)&gt;</v>
      </c>
      <c r="B54">
        <f>AVERAGE('time 1'!D53/'time 1'!C53,'time 2'!D53/'time 2'!C53,'time 3'!D53/'time 3'!C53)</f>
        <v>1.2273217972205674</v>
      </c>
      <c r="C54">
        <f>AVERAGE('time 1'!F53/'time 1'!E53,'time 2'!F53/'time 2'!E53,'time 3'!F53/'time 3'!E53)</f>
        <v>1.1227853031178447</v>
      </c>
      <c r="D54">
        <f>AVERAGE('time 1'!H53/'time 1'!G53,'time 2'!H53/'time 2'!G53,'time 3'!H53/'time 3'!G53)</f>
        <v>1.1662092007768186</v>
      </c>
      <c r="E54">
        <f>AVERAGE('time 1'!J53/'time 2'!I53,'time 2'!J53/'time 2'!I53,'time 3'!J53/'time 3'!I53)</f>
        <v>1.2898419156576584</v>
      </c>
      <c r="F54">
        <f>AVERAGE('time 1'!L53/'time 1'!K53,'time 2'!L53/'time 2'!K53,'time 3'!L53/'time 3'!K53)</f>
        <v>1.1116416058051053</v>
      </c>
      <c r="G54">
        <f>AVERAGE('time 1'!N53/'time 1'!M53,'time 2'!N53/'time 2'!M53,'time 3'!N53/'time 3'!M53)</f>
        <v>1.1384467573544419</v>
      </c>
      <c r="H54">
        <f>AVERAGE('time 1'!P53/'time 1'!O53,'time 2'!P53/'time 2'!O53,'time 3'!P53/'time 3'!O53)</f>
        <v>1.1804184569678184</v>
      </c>
      <c r="I54">
        <f>AVERAGE('time 1'!R53/'time 1'!Q53,'time 2'!R53/'time 2'!Q53,'time 3'!R53/'time 3'!Q53)</f>
        <v>1.1023723220468797</v>
      </c>
      <c r="J54">
        <f>AVERAGE('time 1'!T53/'time 1'!S53,'time 2'!T53/'time 2'!S53,'time 3'!T53/'time 3'!S53)</f>
        <v>1.1758141789218852</v>
      </c>
      <c r="K54">
        <f t="shared" si="0"/>
        <v>9</v>
      </c>
      <c r="L54">
        <f t="shared" si="1"/>
        <v>0</v>
      </c>
      <c r="M54">
        <f t="shared" si="2"/>
        <v>0</v>
      </c>
      <c r="N54">
        <f t="shared" si="3"/>
        <v>3</v>
      </c>
      <c r="O54">
        <f t="shared" si="4"/>
        <v>0</v>
      </c>
      <c r="P54">
        <f t="shared" si="5"/>
        <v>0</v>
      </c>
      <c r="Q54">
        <f t="shared" si="6"/>
        <v>3</v>
      </c>
      <c r="R54">
        <f t="shared" si="7"/>
        <v>0</v>
      </c>
      <c r="S54">
        <f t="shared" si="8"/>
        <v>0</v>
      </c>
      <c r="T54">
        <f t="shared" si="9"/>
        <v>3</v>
      </c>
      <c r="U54">
        <f t="shared" si="10"/>
        <v>0</v>
      </c>
      <c r="V54">
        <f t="shared" si="11"/>
        <v>0</v>
      </c>
    </row>
    <row r="55" spans="1:22">
      <c r="A55" t="str">
        <f>'time 1'!B54</f>
        <v>&lt;test.ImageData: int closestMatch(int,byte,byte,byte,int,int,int,byte[],byte[],byte[])&gt;</v>
      </c>
      <c r="B55">
        <f>AVERAGE('time 1'!D54/'time 1'!C54,'time 2'!D54/'time 2'!C54,'time 3'!D54/'time 3'!C54)</f>
        <v>472.267037162409</v>
      </c>
      <c r="C55">
        <f>AVERAGE('time 1'!F54/'time 1'!E54,'time 2'!F54/'time 2'!E54,'time 3'!F54/'time 3'!E54)</f>
        <v>295.77907958874823</v>
      </c>
      <c r="D55">
        <f>AVERAGE('time 1'!H54/'time 1'!G54,'time 2'!H54/'time 2'!G54,'time 3'!H54/'time 3'!G54)</f>
        <v>492.57309301204288</v>
      </c>
      <c r="E55">
        <f>AVERAGE('time 1'!J54/'time 2'!I54,'time 2'!J54/'time 2'!I54,'time 3'!J54/'time 3'!I54)</f>
        <v>460.10675232446425</v>
      </c>
      <c r="F55">
        <f>AVERAGE('time 1'!L54/'time 1'!K54,'time 2'!L54/'time 2'!K54,'time 3'!L54/'time 3'!K54)</f>
        <v>123.86157811941654</v>
      </c>
      <c r="G55">
        <f>AVERAGE('time 1'!N54/'time 1'!M54,'time 2'!N54/'time 2'!M54,'time 3'!N54/'time 3'!M54)</f>
        <v>442.98236036252757</v>
      </c>
      <c r="H55">
        <f>AVERAGE('time 1'!P54/'time 1'!O54,'time 2'!P54/'time 2'!O54,'time 3'!P54/'time 3'!O54)</f>
        <v>370.9835221194175</v>
      </c>
      <c r="I55">
        <f>AVERAGE('time 1'!R54/'time 1'!Q54,'time 2'!R54/'time 2'!Q54,'time 3'!R54/'time 3'!Q54)</f>
        <v>54.382347238219857</v>
      </c>
      <c r="J55">
        <f>AVERAGE('time 1'!T54/'time 1'!S54,'time 2'!T54/'time 2'!S54,'time 3'!T54/'time 3'!S54)</f>
        <v>337.38528445330991</v>
      </c>
      <c r="K55">
        <f t="shared" si="0"/>
        <v>0</v>
      </c>
      <c r="L55">
        <f t="shared" si="1"/>
        <v>0</v>
      </c>
      <c r="M55">
        <f t="shared" si="2"/>
        <v>9</v>
      </c>
      <c r="N55">
        <f t="shared" si="3"/>
        <v>0</v>
      </c>
      <c r="O55">
        <f t="shared" si="4"/>
        <v>0</v>
      </c>
      <c r="P55">
        <f t="shared" si="5"/>
        <v>3</v>
      </c>
      <c r="Q55">
        <f t="shared" si="6"/>
        <v>0</v>
      </c>
      <c r="R55">
        <f t="shared" si="7"/>
        <v>0</v>
      </c>
      <c r="S55">
        <f t="shared" si="8"/>
        <v>3</v>
      </c>
      <c r="T55">
        <f t="shared" si="9"/>
        <v>0</v>
      </c>
      <c r="U55">
        <f t="shared" si="10"/>
        <v>0</v>
      </c>
      <c r="V55">
        <f t="shared" si="11"/>
        <v>3</v>
      </c>
    </row>
    <row r="56" spans="1:22">
      <c r="A56" t="str">
        <f>'time 1'!B55</f>
        <v>&lt;test.ImageData: int getChannelShift(int)&gt;</v>
      </c>
      <c r="B56">
        <f>AVERAGE('time 1'!D55/'time 1'!C55,'time 2'!D55/'time 2'!C55,'time 3'!D55/'time 3'!C55)</f>
        <v>0.89414725810270956</v>
      </c>
      <c r="C56">
        <f>AVERAGE('time 1'!F55/'time 1'!E55,'time 2'!F55/'time 2'!E55,'time 3'!F55/'time 3'!E55)</f>
        <v>0.92134775182501194</v>
      </c>
      <c r="D56">
        <f>AVERAGE('time 1'!H55/'time 1'!G55,'time 2'!H55/'time 2'!G55,'time 3'!H55/'time 3'!G55)</f>
        <v>0.90079012767872868</v>
      </c>
      <c r="E56">
        <f>AVERAGE('time 1'!J55/'time 2'!I55,'time 2'!J55/'time 2'!I55,'time 3'!J55/'time 3'!I55)</f>
        <v>1.0485974499089254</v>
      </c>
      <c r="F56">
        <f>AVERAGE('time 1'!L55/'time 1'!K55,'time 2'!L55/'time 2'!K55,'time 3'!L55/'time 3'!K55)</f>
        <v>1.0046082532708653</v>
      </c>
      <c r="G56">
        <f>AVERAGE('time 1'!N55/'time 1'!M55,'time 2'!N55/'time 2'!M55,'time 3'!N55/'time 3'!M55)</f>
        <v>0.92898120836280951</v>
      </c>
      <c r="H56">
        <f>AVERAGE('time 1'!P55/'time 1'!O55,'time 2'!P55/'time 2'!O55,'time 3'!P55/'time 3'!O55)</f>
        <v>0.87283537718320325</v>
      </c>
      <c r="I56">
        <f>AVERAGE('time 1'!R55/'time 1'!Q55,'time 2'!R55/'time 2'!Q55,'time 3'!R55/'time 3'!Q55)</f>
        <v>0.96802988711408133</v>
      </c>
      <c r="J56">
        <f>AVERAGE('time 1'!T55/'time 1'!S55,'time 2'!T55/'time 2'!S55,'time 3'!T55/'time 3'!S55)</f>
        <v>0.81669190889599041</v>
      </c>
      <c r="K56">
        <f t="shared" si="0"/>
        <v>9</v>
      </c>
      <c r="L56">
        <f t="shared" si="1"/>
        <v>0</v>
      </c>
      <c r="M56">
        <f t="shared" si="2"/>
        <v>0</v>
      </c>
      <c r="N56">
        <f t="shared" si="3"/>
        <v>3</v>
      </c>
      <c r="O56">
        <f t="shared" si="4"/>
        <v>0</v>
      </c>
      <c r="P56">
        <f t="shared" si="5"/>
        <v>0</v>
      </c>
      <c r="Q56">
        <f t="shared" si="6"/>
        <v>3</v>
      </c>
      <c r="R56">
        <f t="shared" si="7"/>
        <v>0</v>
      </c>
      <c r="S56">
        <f t="shared" si="8"/>
        <v>0</v>
      </c>
      <c r="T56">
        <f t="shared" si="9"/>
        <v>3</v>
      </c>
      <c r="U56">
        <f t="shared" si="10"/>
        <v>0</v>
      </c>
      <c r="V56">
        <f t="shared" si="11"/>
        <v>0</v>
      </c>
    </row>
    <row r="57" spans="1:22">
      <c r="A57" t="str">
        <f>'time 1'!B56</f>
        <v>&lt;test.ImageData: int getChannelWidth(int,int)&gt;</v>
      </c>
      <c r="B57">
        <f>AVERAGE('time 1'!D56/'time 1'!C56,'time 2'!D56/'time 2'!C56,'time 3'!D56/'time 3'!C56)</f>
        <v>1.6282657990732528</v>
      </c>
      <c r="C57">
        <f>AVERAGE('time 1'!F56/'time 1'!E56,'time 2'!F56/'time 2'!E56,'time 3'!F56/'time 3'!E56)</f>
        <v>1.4107731909960217</v>
      </c>
      <c r="D57">
        <f>AVERAGE('time 1'!H56/'time 1'!G56,'time 2'!H56/'time 2'!G56,'time 3'!H56/'time 3'!G56)</f>
        <v>1.4780437662434875</v>
      </c>
      <c r="E57">
        <f>AVERAGE('time 1'!J56/'time 2'!I56,'time 2'!J56/'time 2'!I56,'time 3'!J56/'time 3'!I56)</f>
        <v>1.7328697667680719</v>
      </c>
      <c r="F57">
        <f>AVERAGE('time 1'!L56/'time 1'!K56,'time 2'!L56/'time 2'!K56,'time 3'!L56/'time 3'!K56)</f>
        <v>1.1975464923697332</v>
      </c>
      <c r="G57">
        <f>AVERAGE('time 1'!N56/'time 1'!M56,'time 2'!N56/'time 2'!M56,'time 3'!N56/'time 3'!M56)</f>
        <v>2.0906285432709595</v>
      </c>
      <c r="H57">
        <f>AVERAGE('time 1'!P56/'time 1'!O56,'time 2'!P56/'time 2'!O56,'time 3'!P56/'time 3'!O56)</f>
        <v>1.4181511853035147</v>
      </c>
      <c r="I57">
        <f>AVERAGE('time 1'!R56/'time 1'!Q56,'time 2'!R56/'time 2'!Q56,'time 3'!R56/'time 3'!Q56)</f>
        <v>1.3047868937508513</v>
      </c>
      <c r="J57">
        <f>AVERAGE('time 1'!T56/'time 1'!S56,'time 2'!T56/'time 2'!S56,'time 3'!T56/'time 3'!S56)</f>
        <v>1.5684430460766547</v>
      </c>
      <c r="K57">
        <f t="shared" si="0"/>
        <v>8</v>
      </c>
      <c r="L57">
        <f t="shared" si="1"/>
        <v>1</v>
      </c>
      <c r="M57">
        <f t="shared" si="2"/>
        <v>0</v>
      </c>
      <c r="N57">
        <f t="shared" si="3"/>
        <v>3</v>
      </c>
      <c r="O57">
        <f t="shared" si="4"/>
        <v>0</v>
      </c>
      <c r="P57">
        <f t="shared" si="5"/>
        <v>0</v>
      </c>
      <c r="Q57">
        <f t="shared" si="6"/>
        <v>3</v>
      </c>
      <c r="R57">
        <f t="shared" si="7"/>
        <v>0</v>
      </c>
      <c r="S57">
        <f t="shared" si="8"/>
        <v>0</v>
      </c>
      <c r="T57">
        <f t="shared" si="9"/>
        <v>2</v>
      </c>
      <c r="U57">
        <f t="shared" si="10"/>
        <v>1</v>
      </c>
      <c r="V57">
        <f t="shared" si="11"/>
        <v>0</v>
      </c>
    </row>
    <row r="58" spans="1:22">
      <c r="A58" t="str">
        <f>'time 1'!B57</f>
        <v>&lt;test.ImageData: int getMSBOffset(int)&gt;</v>
      </c>
      <c r="B58">
        <f>AVERAGE('time 1'!D57/'time 1'!C57,'time 2'!D57/'time 2'!C57,'time 3'!D57/'time 3'!C57)</f>
        <v>1.1887606466456402</v>
      </c>
      <c r="C58">
        <f>AVERAGE('time 1'!F57/'time 1'!E57,'time 2'!F57/'time 2'!E57,'time 3'!F57/'time 3'!E57)</f>
        <v>1.0841269841269841</v>
      </c>
      <c r="D58">
        <f>AVERAGE('time 1'!H57/'time 1'!G57,'time 2'!H57/'time 2'!G57,'time 3'!H57/'time 3'!G57)</f>
        <v>1.0910597572362279</v>
      </c>
      <c r="E58">
        <f>AVERAGE('time 1'!J57/'time 2'!I57,'time 2'!J57/'time 2'!I57,'time 3'!J57/'time 3'!I57)</f>
        <v>1.2216587660309413</v>
      </c>
      <c r="F58">
        <f>AVERAGE('time 1'!L57/'time 1'!K57,'time 2'!L57/'time 2'!K57,'time 3'!L57/'time 3'!K57)</f>
        <v>1.1366578244777925</v>
      </c>
      <c r="G58">
        <f>AVERAGE('time 1'!N57/'time 1'!M57,'time 2'!N57/'time 2'!M57,'time 3'!N57/'time 3'!M57)</f>
        <v>1.2630430284026739</v>
      </c>
      <c r="H58">
        <f>AVERAGE('time 1'!P57/'time 1'!O57,'time 2'!P57/'time 2'!O57,'time 3'!P57/'time 3'!O57)</f>
        <v>1.1993615689267862</v>
      </c>
      <c r="I58">
        <f>AVERAGE('time 1'!R57/'time 1'!Q57,'time 2'!R57/'time 2'!Q57,'time 3'!R57/'time 3'!Q57)</f>
        <v>1.1717378196803687</v>
      </c>
      <c r="J58">
        <f>AVERAGE('time 1'!T57/'time 1'!S57,'time 2'!T57/'time 2'!S57,'time 3'!T57/'time 3'!S57)</f>
        <v>1.101442563227635</v>
      </c>
      <c r="K58">
        <f t="shared" si="0"/>
        <v>9</v>
      </c>
      <c r="L58">
        <f t="shared" si="1"/>
        <v>0</v>
      </c>
      <c r="M58">
        <f t="shared" si="2"/>
        <v>0</v>
      </c>
      <c r="N58">
        <f t="shared" si="3"/>
        <v>3</v>
      </c>
      <c r="O58">
        <f t="shared" si="4"/>
        <v>0</v>
      </c>
      <c r="P58">
        <f t="shared" si="5"/>
        <v>0</v>
      </c>
      <c r="Q58">
        <f t="shared" si="6"/>
        <v>3</v>
      </c>
      <c r="R58">
        <f t="shared" si="7"/>
        <v>0</v>
      </c>
      <c r="S58">
        <f t="shared" si="8"/>
        <v>0</v>
      </c>
      <c r="T58">
        <f t="shared" si="9"/>
        <v>3</v>
      </c>
      <c r="U58">
        <f t="shared" si="10"/>
        <v>0</v>
      </c>
      <c r="V58">
        <f t="shared" si="11"/>
        <v>0</v>
      </c>
    </row>
    <row r="59" spans="1:22">
      <c r="A59" t="str">
        <f>'time 1'!B58</f>
        <v>&lt;test.ImageData: int getPixel(int,int)&gt;</v>
      </c>
      <c r="B59">
        <f>AVERAGE('time 1'!D58/'time 1'!C58,'time 2'!D58/'time 2'!C58,'time 3'!D58/'time 3'!C58)</f>
        <v>1.1683843438524788</v>
      </c>
      <c r="C59">
        <f>AVERAGE('time 1'!F58/'time 1'!E58,'time 2'!F58/'time 2'!E58,'time 3'!F58/'time 3'!E58)</f>
        <v>0.93185506754658354</v>
      </c>
      <c r="D59">
        <f>AVERAGE('time 1'!H58/'time 1'!G58,'time 2'!H58/'time 2'!G58,'time 3'!H58/'time 3'!G58)</f>
        <v>1.1510174426277615</v>
      </c>
      <c r="E59">
        <f>AVERAGE('time 1'!J58/'time 2'!I58,'time 2'!J58/'time 2'!I58,'time 3'!J58/'time 3'!I58)</f>
        <v>1.2641304347826088</v>
      </c>
      <c r="F59">
        <f>AVERAGE('time 1'!L58/'time 1'!K58,'time 2'!L58/'time 2'!K58,'time 3'!L58/'time 3'!K58)</f>
        <v>1.0182526419577085</v>
      </c>
      <c r="G59">
        <f>AVERAGE('time 1'!N58/'time 1'!M58,'time 2'!N58/'time 2'!M58,'time 3'!N58/'time 3'!M58)</f>
        <v>1.1690875154905525</v>
      </c>
      <c r="H59">
        <f>AVERAGE('time 1'!P58/'time 1'!O58,'time 2'!P58/'time 2'!O58,'time 3'!P58/'time 3'!O58)</f>
        <v>1.2148630282469701</v>
      </c>
      <c r="I59">
        <f>AVERAGE('time 1'!R58/'time 1'!Q58,'time 2'!R58/'time 2'!Q58,'time 3'!R58/'time 3'!Q58)</f>
        <v>0.98251731660604713</v>
      </c>
      <c r="J59">
        <f>AVERAGE('time 1'!T58/'time 1'!S58,'time 2'!T58/'time 2'!S58,'time 3'!T58/'time 3'!S58)</f>
        <v>1.2890264437507948</v>
      </c>
      <c r="K59">
        <f t="shared" si="0"/>
        <v>9</v>
      </c>
      <c r="L59">
        <f t="shared" si="1"/>
        <v>0</v>
      </c>
      <c r="M59">
        <f t="shared" si="2"/>
        <v>0</v>
      </c>
      <c r="N59">
        <f t="shared" si="3"/>
        <v>3</v>
      </c>
      <c r="O59">
        <f t="shared" si="4"/>
        <v>0</v>
      </c>
      <c r="P59">
        <f t="shared" si="5"/>
        <v>0</v>
      </c>
      <c r="Q59">
        <f t="shared" si="6"/>
        <v>3</v>
      </c>
      <c r="R59">
        <f t="shared" si="7"/>
        <v>0</v>
      </c>
      <c r="S59">
        <f t="shared" si="8"/>
        <v>0</v>
      </c>
      <c r="T59">
        <f t="shared" si="9"/>
        <v>3</v>
      </c>
      <c r="U59">
        <f t="shared" si="10"/>
        <v>0</v>
      </c>
      <c r="V59">
        <f t="shared" si="11"/>
        <v>0</v>
      </c>
    </row>
    <row r="60" spans="1:22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1'!C59,'time 2'!D59/'time 2'!C59,'time 3'!D59/'time 3'!C59)</f>
        <v>96.946954927169273</v>
      </c>
      <c r="C60">
        <f>AVERAGE('time 1'!F59/'time 1'!E59,'time 2'!F59/'time 2'!E59,'time 3'!F59/'time 3'!E59)</f>
        <v>21.464112222811043</v>
      </c>
      <c r="D60">
        <f>AVERAGE('time 1'!H59/'time 1'!G59,'time 2'!H59/'time 2'!G59,'time 3'!H59/'time 3'!G59)</f>
        <v>95.833297235729617</v>
      </c>
      <c r="E60">
        <f>AVERAGE('time 1'!J59/'time 2'!I59,'time 2'!J59/'time 2'!I59,'time 3'!J59/'time 3'!I59)</f>
        <v>104.77226352444136</v>
      </c>
      <c r="F60">
        <f>AVERAGE('time 1'!L59/'time 1'!K59,'time 2'!L59/'time 2'!K59,'time 3'!L59/'time 3'!K59)</f>
        <v>10.197793476018045</v>
      </c>
      <c r="G60">
        <f>AVERAGE('time 1'!N59/'time 1'!M59,'time 2'!N59/'time 2'!M59,'time 3'!N59/'time 3'!M59)</f>
        <v>97.277879736665454</v>
      </c>
      <c r="H60">
        <f>AVERAGE('time 1'!P59/'time 1'!O59,'time 2'!P59/'time 2'!O59,'time 3'!P59/'time 3'!O59)</f>
        <v>97.998193470535213</v>
      </c>
      <c r="I60">
        <f>AVERAGE('time 1'!R59/'time 1'!Q59,'time 2'!R59/'time 2'!Q59,'time 3'!R59/'time 3'!Q59)</f>
        <v>5.4296168413466832</v>
      </c>
      <c r="J60">
        <f>AVERAGE('time 1'!T59/'time 1'!S59,'time 2'!T59/'time 2'!S59,'time 3'!T59/'time 3'!S59)</f>
        <v>91.259554615637128</v>
      </c>
      <c r="K60">
        <f t="shared" si="0"/>
        <v>0</v>
      </c>
      <c r="L60">
        <f t="shared" si="1"/>
        <v>2</v>
      </c>
      <c r="M60">
        <f t="shared" si="2"/>
        <v>7</v>
      </c>
      <c r="N60">
        <f t="shared" si="3"/>
        <v>0</v>
      </c>
      <c r="O60">
        <f t="shared" si="4"/>
        <v>0</v>
      </c>
      <c r="P60">
        <f t="shared" si="5"/>
        <v>3</v>
      </c>
      <c r="Q60">
        <f t="shared" si="6"/>
        <v>0</v>
      </c>
      <c r="R60">
        <f t="shared" si="7"/>
        <v>2</v>
      </c>
      <c r="S60">
        <f t="shared" si="8"/>
        <v>1</v>
      </c>
      <c r="T60">
        <f t="shared" si="9"/>
        <v>0</v>
      </c>
      <c r="U60">
        <f t="shared" si="10"/>
        <v>0</v>
      </c>
      <c r="V60">
        <f t="shared" si="11"/>
        <v>3</v>
      </c>
    </row>
    <row r="61" spans="1:22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1'!C60,'time 2'!D60/'time 2'!C60,'time 3'!D60/'time 3'!C60)</f>
        <v>6.1122752987605002</v>
      </c>
      <c r="C61">
        <f>AVERAGE('time 1'!F60/'time 1'!E60,'time 2'!F60/'time 2'!E60,'time 3'!F60/'time 3'!E60)</f>
        <v>2.5118322899189161</v>
      </c>
      <c r="D61">
        <f>AVERAGE('time 1'!H60/'time 1'!G60,'time 2'!H60/'time 2'!G60,'time 3'!H60/'time 3'!G60)</f>
        <v>7.5677374207046766</v>
      </c>
      <c r="E61">
        <f>AVERAGE('time 1'!J60/'time 2'!I60,'time 2'!J60/'time 2'!I60,'time 3'!J60/'time 3'!I60)</f>
        <v>5.1518677582152312</v>
      </c>
      <c r="F61">
        <f>AVERAGE('time 1'!L60/'time 1'!K60,'time 2'!L60/'time 2'!K60,'time 3'!L60/'time 3'!K60)</f>
        <v>2.0940067136554728</v>
      </c>
      <c r="G61">
        <f>AVERAGE('time 1'!N60/'time 1'!M60,'time 2'!N60/'time 2'!M60,'time 3'!N60/'time 3'!M60)</f>
        <v>6.6682693636773651</v>
      </c>
      <c r="H61">
        <f>AVERAGE('time 1'!P60/'time 1'!O60,'time 2'!P60/'time 2'!O60,'time 3'!P60/'time 3'!O60)</f>
        <v>5.0941740175454298</v>
      </c>
      <c r="I61">
        <f>AVERAGE('time 1'!R60/'time 1'!Q60,'time 2'!R60/'time 2'!Q60,'time 3'!R60/'time 3'!Q60)</f>
        <v>1.5035417556708108</v>
      </c>
      <c r="J61">
        <f>AVERAGE('time 1'!T60/'time 1'!S60,'time 2'!T60/'time 2'!S60,'time 3'!T60/'time 3'!S60)</f>
        <v>5.8027453012827763</v>
      </c>
      <c r="K61">
        <f t="shared" si="0"/>
        <v>1</v>
      </c>
      <c r="L61">
        <f t="shared" si="1"/>
        <v>8</v>
      </c>
      <c r="M61">
        <f t="shared" si="2"/>
        <v>0</v>
      </c>
      <c r="N61">
        <f t="shared" si="3"/>
        <v>0</v>
      </c>
      <c r="O61">
        <f t="shared" si="4"/>
        <v>3</v>
      </c>
      <c r="P61">
        <f t="shared" si="5"/>
        <v>0</v>
      </c>
      <c r="Q61">
        <f t="shared" si="6"/>
        <v>1</v>
      </c>
      <c r="R61">
        <f t="shared" si="7"/>
        <v>2</v>
      </c>
      <c r="S61">
        <f t="shared" si="8"/>
        <v>0</v>
      </c>
      <c r="T61">
        <f t="shared" si="9"/>
        <v>0</v>
      </c>
      <c r="U61">
        <f t="shared" si="10"/>
        <v>3</v>
      </c>
      <c r="V61">
        <f t="shared" si="11"/>
        <v>0</v>
      </c>
    </row>
    <row r="62" spans="1:22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1'!C61,'time 2'!D61/'time 2'!C61,'time 3'!D61/'time 3'!C61)</f>
        <v>93.235142508515409</v>
      </c>
      <c r="C62">
        <f>AVERAGE('time 1'!F61/'time 1'!E61,'time 2'!F61/'time 2'!E61,'time 3'!F61/'time 3'!E61)</f>
        <v>21.122720074144656</v>
      </c>
      <c r="D62">
        <f>AVERAGE('time 1'!H61/'time 1'!G61,'time 2'!H61/'time 2'!G61,'time 3'!H61/'time 3'!G61)</f>
        <v>88.091970008714284</v>
      </c>
      <c r="E62">
        <f>AVERAGE('time 1'!J61/'time 2'!I61,'time 2'!J61/'time 2'!I61,'time 3'!J61/'time 3'!I61)</f>
        <v>99.647238002701059</v>
      </c>
      <c r="F62">
        <f>AVERAGE('time 1'!L61/'time 1'!K61,'time 2'!L61/'time 2'!K61,'time 3'!L61/'time 3'!K61)</f>
        <v>12.021383103838895</v>
      </c>
      <c r="G62">
        <f>AVERAGE('time 1'!N61/'time 1'!M61,'time 2'!N61/'time 2'!M61,'time 3'!N61/'time 3'!M61)</f>
        <v>105.72891833376316</v>
      </c>
      <c r="H62">
        <f>AVERAGE('time 1'!P61/'time 1'!O61,'time 2'!P61/'time 2'!O61,'time 3'!P61/'time 3'!O61)</f>
        <v>96.050113592681214</v>
      </c>
      <c r="I62">
        <f>AVERAGE('time 1'!R61/'time 1'!Q61,'time 2'!R61/'time 2'!Q61,'time 3'!R61/'time 3'!Q61)</f>
        <v>5.7801014110681193</v>
      </c>
      <c r="J62">
        <f>AVERAGE('time 1'!T61/'time 1'!S61,'time 2'!T61/'time 2'!S61,'time 3'!T61/'time 3'!S61)</f>
        <v>98.712331019714654</v>
      </c>
      <c r="K62">
        <f t="shared" si="0"/>
        <v>0</v>
      </c>
      <c r="L62">
        <f t="shared" si="1"/>
        <v>1</v>
      </c>
      <c r="M62">
        <f t="shared" si="2"/>
        <v>8</v>
      </c>
      <c r="N62">
        <f t="shared" si="3"/>
        <v>0</v>
      </c>
      <c r="O62">
        <f t="shared" si="4"/>
        <v>0</v>
      </c>
      <c r="P62">
        <f t="shared" si="5"/>
        <v>3</v>
      </c>
      <c r="Q62">
        <f t="shared" si="6"/>
        <v>0</v>
      </c>
      <c r="R62">
        <f t="shared" si="7"/>
        <v>1</v>
      </c>
      <c r="S62">
        <f t="shared" si="8"/>
        <v>2</v>
      </c>
      <c r="T62">
        <f t="shared" si="9"/>
        <v>0</v>
      </c>
      <c r="U62">
        <f t="shared" si="10"/>
        <v>0</v>
      </c>
      <c r="V62">
        <f t="shared" si="11"/>
        <v>3</v>
      </c>
    </row>
    <row r="63" spans="1:22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1'!C62,'time 2'!D62/'time 2'!C62,'time 3'!D62/'time 3'!C62)</f>
        <v>5.0249684333379578</v>
      </c>
      <c r="C63">
        <f>AVERAGE('time 1'!F62/'time 1'!E62,'time 2'!F62/'time 2'!E62,'time 3'!F62/'time 3'!E62)</f>
        <v>1.9893962849456386</v>
      </c>
      <c r="D63">
        <f>AVERAGE('time 1'!H62/'time 1'!G62,'time 2'!H62/'time 2'!G62,'time 3'!H62/'time 3'!G62)</f>
        <v>5.4085275029240867</v>
      </c>
      <c r="E63">
        <f>AVERAGE('time 1'!J62/'time 2'!I62,'time 2'!J62/'time 2'!I62,'time 3'!J62/'time 3'!I62)</f>
        <v>5.147675119537201</v>
      </c>
      <c r="F63">
        <f>AVERAGE('time 1'!L62/'time 1'!K62,'time 2'!L62/'time 2'!K62,'time 3'!L62/'time 3'!K62)</f>
        <v>1.9530269407481251</v>
      </c>
      <c r="G63">
        <f>AVERAGE('time 1'!N62/'time 1'!M62,'time 2'!N62/'time 2'!M62,'time 3'!N62/'time 3'!M62)</f>
        <v>5.2733570074533249</v>
      </c>
      <c r="H63">
        <f>AVERAGE('time 1'!P62/'time 1'!O62,'time 2'!P62/'time 2'!O62,'time 3'!P62/'time 3'!O62)</f>
        <v>4.891539861791804</v>
      </c>
      <c r="I63">
        <f>AVERAGE('time 1'!R62/'time 1'!Q62,'time 2'!R62/'time 2'!Q62,'time 3'!R62/'time 3'!Q62)</f>
        <v>1.6043521765681037</v>
      </c>
      <c r="J63">
        <f>AVERAGE('time 1'!T62/'time 1'!S62,'time 2'!T62/'time 2'!S62,'time 3'!T62/'time 3'!S62)</f>
        <v>4.8735863053295656</v>
      </c>
      <c r="K63">
        <f t="shared" si="0"/>
        <v>3</v>
      </c>
      <c r="L63">
        <f t="shared" si="1"/>
        <v>6</v>
      </c>
      <c r="M63">
        <f t="shared" si="2"/>
        <v>0</v>
      </c>
      <c r="N63">
        <f t="shared" si="3"/>
        <v>0</v>
      </c>
      <c r="O63">
        <f t="shared" si="4"/>
        <v>3</v>
      </c>
      <c r="P63">
        <f t="shared" si="5"/>
        <v>0</v>
      </c>
      <c r="Q63">
        <f t="shared" si="6"/>
        <v>3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3</v>
      </c>
      <c r="V63">
        <f t="shared" si="11"/>
        <v>0</v>
      </c>
    </row>
    <row r="64" spans="1:22">
      <c r="A64" t="str">
        <f>'time 1'!B63</f>
        <v>&lt;test.ImageData: void buildDitheredGradientChannel(int,int,int,int,int,boolean,byte[],int,int,int)&gt;</v>
      </c>
      <c r="B64">
        <f>AVERAGE('time 1'!D63/'time 1'!C63,'time 2'!D63/'time 2'!C63,'time 3'!D63/'time 3'!C63)</f>
        <v>1.2752906514441007</v>
      </c>
      <c r="C64">
        <f>AVERAGE('time 1'!F63/'time 1'!E63,'time 2'!F63/'time 2'!E63,'time 3'!F63/'time 3'!E63)</f>
        <v>1.2191174838156031</v>
      </c>
      <c r="D64">
        <f>AVERAGE('time 1'!H63/'time 1'!G63,'time 2'!H63/'time 2'!G63,'time 3'!H63/'time 3'!G63)</f>
        <v>1.2333393808419437</v>
      </c>
      <c r="E64">
        <f>AVERAGE('time 1'!J63/'time 2'!I63,'time 2'!J63/'time 2'!I63,'time 3'!J63/'time 3'!I63)</f>
        <v>1.3228506728638243</v>
      </c>
      <c r="F64">
        <f>AVERAGE('time 1'!L63/'time 1'!K63,'time 2'!L63/'time 2'!K63,'time 3'!L63/'time 3'!K63)</f>
        <v>1.2489784005524445</v>
      </c>
      <c r="G64">
        <f>AVERAGE('time 1'!N63/'time 1'!M63,'time 2'!N63/'time 2'!M63,'time 3'!N63/'time 3'!M63)</f>
        <v>1.2422071243465453</v>
      </c>
      <c r="H64">
        <f>AVERAGE('time 1'!P63/'time 1'!O63,'time 2'!P63/'time 2'!O63,'time 3'!P63/'time 3'!O63)</f>
        <v>5.7817619364431394</v>
      </c>
      <c r="I64">
        <f>AVERAGE('time 1'!R63/'time 1'!Q63,'time 2'!R63/'time 2'!Q63,'time 3'!R63/'time 3'!Q63)</f>
        <v>1.217989100675581</v>
      </c>
      <c r="J64">
        <f>AVERAGE('time 1'!T63/'time 1'!S63,'time 2'!T63/'time 2'!S63,'time 3'!T63/'time 3'!S63)</f>
        <v>1.4262412027837177</v>
      </c>
      <c r="K64">
        <f t="shared" si="0"/>
        <v>8</v>
      </c>
      <c r="L64">
        <f t="shared" si="1"/>
        <v>1</v>
      </c>
      <c r="M64">
        <f t="shared" si="2"/>
        <v>0</v>
      </c>
      <c r="N64">
        <f t="shared" si="3"/>
        <v>2</v>
      </c>
      <c r="O64">
        <f t="shared" si="4"/>
        <v>1</v>
      </c>
      <c r="P64">
        <f t="shared" si="5"/>
        <v>0</v>
      </c>
      <c r="Q64">
        <f t="shared" si="6"/>
        <v>3</v>
      </c>
      <c r="R64">
        <f t="shared" si="7"/>
        <v>0</v>
      </c>
      <c r="S64">
        <f t="shared" si="8"/>
        <v>0</v>
      </c>
      <c r="T64">
        <f t="shared" si="9"/>
        <v>3</v>
      </c>
      <c r="U64">
        <f t="shared" si="10"/>
        <v>0</v>
      </c>
      <c r="V64">
        <f t="shared" si="11"/>
        <v>0</v>
      </c>
    </row>
    <row r="65" spans="1:22">
      <c r="A65" t="str">
        <f>'time 1'!B64</f>
        <v>&lt;test.ImageData: void buildPreciseGradientChannel(int,int,int,int,int,boolean,byte[],int,int)&gt;</v>
      </c>
      <c r="B65">
        <f>AVERAGE('time 1'!D64/'time 1'!C64,'time 2'!D64/'time 2'!C64,'time 3'!D64/'time 3'!C64)</f>
        <v>1.1609539906329907</v>
      </c>
      <c r="C65">
        <f>AVERAGE('time 1'!F64/'time 1'!E64,'time 2'!F64/'time 2'!E64,'time 3'!F64/'time 3'!E64)</f>
        <v>1.2034884902214273</v>
      </c>
      <c r="D65">
        <f>AVERAGE('time 1'!H64/'time 1'!G64,'time 2'!H64/'time 2'!G64,'time 3'!H64/'time 3'!G64)</f>
        <v>1.3479654219663135</v>
      </c>
      <c r="E65">
        <f>AVERAGE('time 1'!J64/'time 2'!I64,'time 2'!J64/'time 2'!I64,'time 3'!J64/'time 3'!I64)</f>
        <v>4.0206132475144392</v>
      </c>
      <c r="F65">
        <f>AVERAGE('time 1'!L64/'time 1'!K64,'time 2'!L64/'time 2'!K64,'time 3'!L64/'time 3'!K64)</f>
        <v>1.1748218954815437</v>
      </c>
      <c r="G65">
        <f>AVERAGE('time 1'!N64/'time 1'!M64,'time 2'!N64/'time 2'!M64,'time 3'!N64/'time 3'!M64)</f>
        <v>1.1749011355686578</v>
      </c>
      <c r="H65">
        <f>AVERAGE('time 1'!P64/'time 1'!O64,'time 2'!P64/'time 2'!O64,'time 3'!P64/'time 3'!O64)</f>
        <v>303.19879639015284</v>
      </c>
      <c r="I65">
        <f>AVERAGE('time 1'!R64/'time 1'!Q64,'time 2'!R64/'time 2'!Q64,'time 3'!R64/'time 3'!Q64)</f>
        <v>0.71351576830793595</v>
      </c>
      <c r="J65">
        <f>AVERAGE('time 1'!T64/'time 1'!S64,'time 2'!T64/'time 2'!S64,'time 3'!T64/'time 3'!S64)</f>
        <v>1.2179278736572361</v>
      </c>
      <c r="K65">
        <f t="shared" si="0"/>
        <v>7</v>
      </c>
      <c r="L65">
        <f t="shared" si="1"/>
        <v>1</v>
      </c>
      <c r="M65">
        <f t="shared" si="2"/>
        <v>1</v>
      </c>
      <c r="N65">
        <f t="shared" si="3"/>
        <v>1</v>
      </c>
      <c r="O65">
        <f t="shared" si="4"/>
        <v>1</v>
      </c>
      <c r="P65">
        <f t="shared" si="5"/>
        <v>1</v>
      </c>
      <c r="Q65">
        <f t="shared" si="6"/>
        <v>3</v>
      </c>
      <c r="R65">
        <f t="shared" si="7"/>
        <v>0</v>
      </c>
      <c r="S65">
        <f t="shared" si="8"/>
        <v>0</v>
      </c>
      <c r="T65">
        <f t="shared" si="9"/>
        <v>3</v>
      </c>
      <c r="U65">
        <f t="shared" si="10"/>
        <v>0</v>
      </c>
      <c r="V65">
        <f t="shared" si="11"/>
        <v>0</v>
      </c>
    </row>
    <row r="66" spans="1:22">
      <c r="A66" t="str">
        <f>'time 1'!B65</f>
        <v>&lt;test.ImageData: void getPixels(int,int,int,byte[],int)&gt;</v>
      </c>
      <c r="B66">
        <f>AVERAGE('time 1'!D65/'time 1'!C65,'time 2'!D65/'time 2'!C65,'time 3'!D65/'time 3'!C65)</f>
        <v>1.6397918051746343</v>
      </c>
      <c r="C66">
        <f>AVERAGE('time 1'!F65/'time 1'!E65,'time 2'!F65/'time 2'!E65,'time 3'!F65/'time 3'!E65)</f>
        <v>1.409043706876888</v>
      </c>
      <c r="D66">
        <f>AVERAGE('time 1'!H65/'time 1'!G65,'time 2'!H65/'time 2'!G65,'time 3'!H65/'time 3'!G65)</f>
        <v>1.6195234806236194</v>
      </c>
      <c r="E66">
        <f>AVERAGE('time 1'!J65/'time 2'!I65,'time 2'!J65/'time 2'!I65,'time 3'!J65/'time 3'!I65)</f>
        <v>1.7145402477166629</v>
      </c>
      <c r="F66">
        <f>AVERAGE('time 1'!L65/'time 1'!K65,'time 2'!L65/'time 2'!K65,'time 3'!L65/'time 3'!K65)</f>
        <v>1.7816637668442932</v>
      </c>
      <c r="G66">
        <f>AVERAGE('time 1'!N65/'time 1'!M65,'time 2'!N65/'time 2'!M65,'time 3'!N65/'time 3'!M65)</f>
        <v>1.6481289164185029</v>
      </c>
      <c r="H66">
        <f>AVERAGE('time 1'!P65/'time 1'!O65,'time 2'!P65/'time 2'!O65,'time 3'!P65/'time 3'!O65)</f>
        <v>1.5561185647266551</v>
      </c>
      <c r="I66">
        <f>AVERAGE('time 1'!R65/'time 1'!Q65,'time 2'!R65/'time 2'!Q65,'time 3'!R65/'time 3'!Q65)</f>
        <v>1.5553588752042191</v>
      </c>
      <c r="J66">
        <f>AVERAGE('time 1'!T65/'time 1'!S65,'time 2'!T65/'time 2'!S65,'time 3'!T65/'time 3'!S65)</f>
        <v>1.5223811385492521</v>
      </c>
      <c r="K66">
        <f t="shared" si="0"/>
        <v>9</v>
      </c>
      <c r="L66">
        <f t="shared" si="1"/>
        <v>0</v>
      </c>
      <c r="M66">
        <f t="shared" si="2"/>
        <v>0</v>
      </c>
      <c r="N66">
        <f t="shared" si="3"/>
        <v>3</v>
      </c>
      <c r="O66">
        <f t="shared" si="4"/>
        <v>0</v>
      </c>
      <c r="P66">
        <f t="shared" si="5"/>
        <v>0</v>
      </c>
      <c r="Q66">
        <f t="shared" si="6"/>
        <v>3</v>
      </c>
      <c r="R66">
        <f t="shared" si="7"/>
        <v>0</v>
      </c>
      <c r="S66">
        <f t="shared" si="8"/>
        <v>0</v>
      </c>
      <c r="T66">
        <f t="shared" si="9"/>
        <v>3</v>
      </c>
      <c r="U66">
        <f t="shared" si="10"/>
        <v>0</v>
      </c>
      <c r="V66">
        <f t="shared" si="11"/>
        <v>0</v>
      </c>
    </row>
    <row r="67" spans="1:22">
      <c r="A67" t="str">
        <f>'time 1'!B66</f>
        <v>&lt;test.ImageData: void getPixels(int,int,int,int[],int)&gt;</v>
      </c>
      <c r="B67">
        <f>AVERAGE('time 1'!D66/'time 1'!C66,'time 2'!D66/'time 2'!C66,'time 3'!D66/'time 3'!C66)</f>
        <v>1.369003062423847</v>
      </c>
      <c r="C67">
        <f>AVERAGE('time 1'!F66/'time 1'!E66,'time 2'!F66/'time 2'!E66,'time 3'!F66/'time 3'!E66)</f>
        <v>1.2768488092933536</v>
      </c>
      <c r="D67">
        <f>AVERAGE('time 1'!H66/'time 1'!G66,'time 2'!H66/'time 2'!G66,'time 3'!H66/'time 3'!G66)</f>
        <v>1.4265348777891003</v>
      </c>
      <c r="E67">
        <f>AVERAGE('time 1'!J66/'time 2'!I66,'time 2'!J66/'time 2'!I66,'time 3'!J66/'time 3'!I66)</f>
        <v>1.549360401079263</v>
      </c>
      <c r="F67">
        <f>AVERAGE('time 1'!L66/'time 1'!K66,'time 2'!L66/'time 2'!K66,'time 3'!L66/'time 3'!K66)</f>
        <v>1.6784141332092357</v>
      </c>
      <c r="G67">
        <f>AVERAGE('time 1'!N66/'time 1'!M66,'time 2'!N66/'time 2'!M66,'time 3'!N66/'time 3'!M66)</f>
        <v>1.4144975410807481</v>
      </c>
      <c r="H67">
        <f>AVERAGE('time 1'!P66/'time 1'!O66,'time 2'!P66/'time 2'!O66,'time 3'!P66/'time 3'!O66)</f>
        <v>1.4258729500223166</v>
      </c>
      <c r="I67">
        <f>AVERAGE('time 1'!R66/'time 1'!Q66,'time 2'!R66/'time 2'!Q66,'time 3'!R66/'time 3'!Q66)</f>
        <v>1.456202633847804</v>
      </c>
      <c r="J67">
        <f>AVERAGE('time 1'!T66/'time 1'!S66,'time 2'!T66/'time 2'!S66,'time 3'!T66/'time 3'!S66)</f>
        <v>1.4307705251648513</v>
      </c>
      <c r="K67">
        <f t="shared" si="0"/>
        <v>9</v>
      </c>
      <c r="L67">
        <f t="shared" si="1"/>
        <v>0</v>
      </c>
      <c r="M67">
        <f t="shared" si="2"/>
        <v>0</v>
      </c>
      <c r="N67">
        <f t="shared" si="3"/>
        <v>3</v>
      </c>
      <c r="O67">
        <f t="shared" si="4"/>
        <v>0</v>
      </c>
      <c r="P67">
        <f t="shared" si="5"/>
        <v>0</v>
      </c>
      <c r="Q67">
        <f t="shared" si="6"/>
        <v>3</v>
      </c>
      <c r="R67">
        <f t="shared" si="7"/>
        <v>0</v>
      </c>
      <c r="S67">
        <f t="shared" si="8"/>
        <v>0</v>
      </c>
      <c r="T67">
        <f t="shared" si="9"/>
        <v>3</v>
      </c>
      <c r="U67">
        <f t="shared" si="10"/>
        <v>0</v>
      </c>
      <c r="V67">
        <f t="shared" si="11"/>
        <v>0</v>
      </c>
    </row>
    <row r="68" spans="1:22">
      <c r="A68" t="str">
        <f>'time 1'!B67</f>
        <v>&lt;test.ImageData: void setAlpha(int,int,int)&gt;</v>
      </c>
      <c r="B68">
        <f>AVERAGE('time 1'!D67/'time 1'!C67,'time 2'!D67/'time 2'!C67,'time 3'!D67/'time 3'!C67)</f>
        <v>1.1531529130993894</v>
      </c>
      <c r="C68">
        <f>AVERAGE('time 1'!F67/'time 1'!E67,'time 2'!F67/'time 2'!E67,'time 3'!F67/'time 3'!E67)</f>
        <v>1.0264075674410023</v>
      </c>
      <c r="D68">
        <f>AVERAGE('time 1'!H67/'time 1'!G67,'time 2'!H67/'time 2'!G67,'time 3'!H67/'time 3'!G67)</f>
        <v>1.0292351234521451</v>
      </c>
      <c r="E68">
        <f>AVERAGE('time 1'!J67/'time 2'!I67,'time 2'!J67/'time 2'!I67,'time 3'!J67/'time 3'!I67)</f>
        <v>1.0869560836003791</v>
      </c>
      <c r="F68">
        <f>AVERAGE('time 1'!L67/'time 1'!K67,'time 2'!L67/'time 2'!K67,'time 3'!L67/'time 3'!K67)</f>
        <v>0.98057922059907454</v>
      </c>
      <c r="G68">
        <f>AVERAGE('time 1'!N67/'time 1'!M67,'time 2'!N67/'time 2'!M67,'time 3'!N67/'time 3'!M67)</f>
        <v>1.1510948100777625</v>
      </c>
      <c r="H68">
        <f>AVERAGE('time 1'!P67/'time 1'!O67,'time 2'!P67/'time 2'!O67,'time 3'!P67/'time 3'!O67)</f>
        <v>1.0078928150697466</v>
      </c>
      <c r="I68">
        <f>AVERAGE('time 1'!R67/'time 1'!Q67,'time 2'!R67/'time 2'!Q67,'time 3'!R67/'time 3'!Q67)</f>
        <v>1.187356670304369</v>
      </c>
      <c r="J68">
        <f>AVERAGE('time 1'!T67/'time 1'!S67,'time 2'!T67/'time 2'!S67,'time 3'!T67/'time 3'!S67)</f>
        <v>0.8415920559436777</v>
      </c>
      <c r="K68">
        <f t="shared" ref="K68:K107" si="12">IF($B68&lt;K$1,1,0)+IF($C68&lt;K$1,1,0)+ IF($D68&lt;K$1,1,0)+IF($E68&lt;K$1,1,0)+IF($F68&lt;K$1,1,0)+ IF($G68&lt;K$1,1,0)+IF($H68&lt;K$1,1,0)+IF($I68&lt;K$1,1,0)+ IF($J68&lt;K$1,1,0)</f>
        <v>9</v>
      </c>
      <c r="L68">
        <f t="shared" ref="L68:L107" si="13">IF($B68&lt;L$1,1,0)+IF($C68&lt;L$1,1,0)+ IF($D68&lt;L$1,1,0)+IF($E68&lt;L$1,1,0)+IF($F68&lt;L$1,1,0)+ IF($G68&lt;L$1,1,0)+IF($H68&lt;L$1,1,0)+IF($I68&lt;L$1,1,0)+ IF($J68&lt;L$1,1,0)-K68</f>
        <v>0</v>
      </c>
      <c r="M68">
        <f t="shared" ref="M68:M107" si="14">IF($B68&gt;=M$1,1,0)+IF($C68&gt;=M$1,1,0)+ IF($D68&gt;=M$1,1,0)+IF($E68&gt;=M$1,1,0)+IF($F68&gt;=M$1,1,0)+ IF($G68&gt;=M$1,1,0)+IF($H68&gt;=M$1,1,0)+IF($I68&gt;=M$1,1,0)+ IF($J68&gt;=M$1,1,0)</f>
        <v>0</v>
      </c>
      <c r="N68">
        <f t="shared" ref="N68:N107" si="15">IF($B68&lt;K$1,1,0)+IF($E68&lt;K$1,1,0)+IF($H68&lt;K$1,1,0)</f>
        <v>3</v>
      </c>
      <c r="O68">
        <f t="shared" ref="O68:O107" si="16">IF($B68&lt;L$1,1,0)+IF($E68&lt;L$1,1,0)+IF($H68&lt;L$1,1,0) -N68</f>
        <v>0</v>
      </c>
      <c r="P68">
        <f t="shared" ref="P68:P107" si="17">IF($B68&gt;=M$1,1,0)+IF($E68&gt;=M$1,1,0)+IF($H68&gt;=M$1,1,0)</f>
        <v>0</v>
      </c>
      <c r="Q68">
        <f t="shared" ref="Q68:Q107" si="18">IF($C68&lt;K$1,1,0)+IF($F68&lt;K$1,1,0)+IF($I68&lt;K$1,1,0)</f>
        <v>3</v>
      </c>
      <c r="R68">
        <f t="shared" ref="R68:R107" si="19">IF($C68&lt;L$1,1,0)+ IF($F68&lt;L$1,1,0)+IF($I68&lt;L$1,1,0)-Q68</f>
        <v>0</v>
      </c>
      <c r="S68">
        <f t="shared" ref="S68:S107" si="20">IF($C68&gt;=M$1,1,0)+ IF($F68&gt;=M$1,1,0)+IF($I68&gt;=M$1,1,0)</f>
        <v>0</v>
      </c>
      <c r="T68">
        <f t="shared" ref="T68:T107" si="21" xml:space="preserve"> IF($D68&lt;K$1,1,0)+IF($G68&lt;K$1,1,0)+ IF($J68&lt;K$1,1,0)</f>
        <v>3</v>
      </c>
      <c r="U68">
        <f t="shared" ref="U68:U107" si="22">IF($D68&lt;L$1,1,0)+IF($G68&lt;L$1,1,0)+ IF($J68&lt;L$1,1,0)-T68</f>
        <v>0</v>
      </c>
      <c r="V68">
        <f t="shared" ref="V68:V107" si="23" xml:space="preserve"> IF($D68&gt;=M$1,1,0)+ IF($G68&gt;=M$1,1,0)+ IF($J68&gt;=M$1,1,0)</f>
        <v>0</v>
      </c>
    </row>
    <row r="69" spans="1:22">
      <c r="A69" t="str">
        <f>'time 1'!B68</f>
        <v>&lt;test.ImageData: void setAlphas(int,int,int,byte[],int)&gt;</v>
      </c>
      <c r="B69">
        <f>AVERAGE('time 1'!D68/'time 1'!C68,'time 2'!D68/'time 2'!C68,'time 3'!D68/'time 3'!C68)</f>
        <v>1.0371612997155975</v>
      </c>
      <c r="C69">
        <f>AVERAGE('time 1'!F68/'time 1'!E68,'time 2'!F68/'time 2'!E68,'time 3'!F68/'time 3'!E68)</f>
        <v>1.0064867224466749</v>
      </c>
      <c r="D69">
        <f>AVERAGE('time 1'!H68/'time 1'!G68,'time 2'!H68/'time 2'!G68,'time 3'!H68/'time 3'!G68)</f>
        <v>0.9714959802899501</v>
      </c>
      <c r="E69">
        <f>AVERAGE('time 1'!J68/'time 2'!I68,'time 2'!J68/'time 2'!I68,'time 3'!J68/'time 3'!I68)</f>
        <v>1.129787751626832</v>
      </c>
      <c r="F69">
        <f>AVERAGE('time 1'!L68/'time 1'!K68,'time 2'!L68/'time 2'!K68,'time 3'!L68/'time 3'!K68)</f>
        <v>1.0471504950685377</v>
      </c>
      <c r="G69">
        <f>AVERAGE('time 1'!N68/'time 1'!M68,'time 2'!N68/'time 2'!M68,'time 3'!N68/'time 3'!M68)</f>
        <v>1.0273456241661449</v>
      </c>
      <c r="H69">
        <f>AVERAGE('time 1'!P68/'time 1'!O68,'time 2'!P68/'time 2'!O68,'time 3'!P68/'time 3'!O68)</f>
        <v>1.0483619302147706</v>
      </c>
      <c r="I69">
        <f>AVERAGE('time 1'!R68/'time 1'!Q68,'time 2'!R68/'time 2'!Q68,'time 3'!R68/'time 3'!Q68)</f>
        <v>0.92805388525795662</v>
      </c>
      <c r="J69">
        <f>AVERAGE('time 1'!T68/'time 1'!S68,'time 2'!T68/'time 2'!S68,'time 3'!T68/'time 3'!S68)</f>
        <v>1.0095055841233156</v>
      </c>
      <c r="K69">
        <f t="shared" si="12"/>
        <v>9</v>
      </c>
      <c r="L69">
        <f t="shared" si="13"/>
        <v>0</v>
      </c>
      <c r="M69">
        <f t="shared" si="14"/>
        <v>0</v>
      </c>
      <c r="N69">
        <f t="shared" si="15"/>
        <v>3</v>
      </c>
      <c r="O69">
        <f t="shared" si="16"/>
        <v>0</v>
      </c>
      <c r="P69">
        <f t="shared" si="17"/>
        <v>0</v>
      </c>
      <c r="Q69">
        <f t="shared" si="18"/>
        <v>3</v>
      </c>
      <c r="R69">
        <f t="shared" si="19"/>
        <v>0</v>
      </c>
      <c r="S69">
        <f t="shared" si="20"/>
        <v>0</v>
      </c>
      <c r="T69">
        <f t="shared" si="21"/>
        <v>3</v>
      </c>
      <c r="U69">
        <f t="shared" si="22"/>
        <v>0</v>
      </c>
      <c r="V69">
        <f t="shared" si="23"/>
        <v>0</v>
      </c>
    </row>
    <row r="70" spans="1:22">
      <c r="A70" t="str">
        <f>'time 1'!B69</f>
        <v>&lt;test.ImageData: void setPixel(int,int,int)&gt;</v>
      </c>
      <c r="B70">
        <f>AVERAGE('time 1'!D69/'time 1'!C69,'time 2'!D69/'time 2'!C69,'time 3'!D69/'time 3'!C69)</f>
        <v>1.0676603395876849</v>
      </c>
      <c r="C70">
        <f>AVERAGE('time 1'!F69/'time 1'!E69,'time 2'!F69/'time 2'!E69,'time 3'!F69/'time 3'!E69)</f>
        <v>1.1430548583836346</v>
      </c>
      <c r="D70">
        <f>AVERAGE('time 1'!H69/'time 1'!G69,'time 2'!H69/'time 2'!G69,'time 3'!H69/'time 3'!G69)</f>
        <v>1.073303610979454</v>
      </c>
      <c r="E70">
        <f>AVERAGE('time 1'!J69/'time 2'!I69,'time 2'!J69/'time 2'!I69,'time 3'!J69/'time 3'!I69)</f>
        <v>1.1196406735467785</v>
      </c>
      <c r="F70">
        <f>AVERAGE('time 1'!L69/'time 1'!K69,'time 2'!L69/'time 2'!K69,'time 3'!L69/'time 3'!K69)</f>
        <v>1.0561857183035885</v>
      </c>
      <c r="G70">
        <f>AVERAGE('time 1'!N69/'time 1'!M69,'time 2'!N69/'time 2'!M69,'time 3'!N69/'time 3'!M69)</f>
        <v>1.1001737767622419</v>
      </c>
      <c r="H70">
        <f>AVERAGE('time 1'!P69/'time 1'!O69,'time 2'!P69/'time 2'!O69,'time 3'!P69/'time 3'!O69)</f>
        <v>1.0789684283260388</v>
      </c>
      <c r="I70">
        <f>AVERAGE('time 1'!R69/'time 1'!Q69,'time 2'!R69/'time 2'!Q69,'time 3'!R69/'time 3'!Q69)</f>
        <v>1.0015092916938639</v>
      </c>
      <c r="J70">
        <f>AVERAGE('time 1'!T69/'time 1'!S69,'time 2'!T69/'time 2'!S69,'time 3'!T69/'time 3'!S69)</f>
        <v>1.0359830441834845</v>
      </c>
      <c r="K70">
        <f t="shared" si="12"/>
        <v>9</v>
      </c>
      <c r="L70">
        <f t="shared" si="13"/>
        <v>0</v>
      </c>
      <c r="M70">
        <f t="shared" si="14"/>
        <v>0</v>
      </c>
      <c r="N70">
        <f t="shared" si="15"/>
        <v>3</v>
      </c>
      <c r="O70">
        <f t="shared" si="16"/>
        <v>0</v>
      </c>
      <c r="P70">
        <f t="shared" si="17"/>
        <v>0</v>
      </c>
      <c r="Q70">
        <f t="shared" si="18"/>
        <v>3</v>
      </c>
      <c r="R70">
        <f t="shared" si="19"/>
        <v>0</v>
      </c>
      <c r="S70">
        <f t="shared" si="20"/>
        <v>0</v>
      </c>
      <c r="T70">
        <f t="shared" si="21"/>
        <v>3</v>
      </c>
      <c r="U70">
        <f t="shared" si="22"/>
        <v>0</v>
      </c>
      <c r="V70">
        <f t="shared" si="23"/>
        <v>0</v>
      </c>
    </row>
    <row r="71" spans="1:22">
      <c r="A71" t="str">
        <f>'time 1'!B70</f>
        <v>&lt;test.ImageData: void setPixels(int,int,int,byte[],int)&gt;</v>
      </c>
      <c r="B71">
        <f>AVERAGE('time 1'!D70/'time 1'!C70,'time 2'!D70/'time 2'!C70,'time 3'!D70/'time 3'!C70)</f>
        <v>1.675865951864558</v>
      </c>
      <c r="C71">
        <f>AVERAGE('time 1'!F70/'time 1'!E70,'time 2'!F70/'time 2'!E70,'time 3'!F70/'time 3'!E70)</f>
        <v>1.4988660823437323</v>
      </c>
      <c r="D71">
        <f>AVERAGE('time 1'!H70/'time 1'!G70,'time 2'!H70/'time 2'!G70,'time 3'!H70/'time 3'!G70)</f>
        <v>1.6540535346361052</v>
      </c>
      <c r="E71">
        <f>AVERAGE('time 1'!J70/'time 2'!I70,'time 2'!J70/'time 2'!I70,'time 3'!J70/'time 3'!I70)</f>
        <v>1.8422386405816722</v>
      </c>
      <c r="F71">
        <f>AVERAGE('time 1'!L70/'time 1'!K70,'time 2'!L70/'time 2'!K70,'time 3'!L70/'time 3'!K70)</f>
        <v>1.7945345403634823</v>
      </c>
      <c r="G71">
        <f>AVERAGE('time 1'!N70/'time 1'!M70,'time 2'!N70/'time 2'!M70,'time 3'!N70/'time 3'!M70)</f>
        <v>1.5118184370489647</v>
      </c>
      <c r="H71">
        <f>AVERAGE('time 1'!P70/'time 1'!O70,'time 2'!P70/'time 2'!O70,'time 3'!P70/'time 3'!O70)</f>
        <v>1.646930934961409</v>
      </c>
      <c r="I71">
        <f>AVERAGE('time 1'!R70/'time 1'!Q70,'time 2'!R70/'time 2'!Q70,'time 3'!R70/'time 3'!Q70)</f>
        <v>1.5428207081434158</v>
      </c>
      <c r="J71">
        <f>AVERAGE('time 1'!T70/'time 1'!S70,'time 2'!T70/'time 2'!S70,'time 3'!T70/'time 3'!S70)</f>
        <v>1.5045171680071581</v>
      </c>
      <c r="K71">
        <f t="shared" si="12"/>
        <v>9</v>
      </c>
      <c r="L71">
        <f t="shared" si="13"/>
        <v>0</v>
      </c>
      <c r="M71">
        <f t="shared" si="14"/>
        <v>0</v>
      </c>
      <c r="N71">
        <f t="shared" si="15"/>
        <v>3</v>
      </c>
      <c r="O71">
        <f t="shared" si="16"/>
        <v>0</v>
      </c>
      <c r="P71">
        <f t="shared" si="17"/>
        <v>0</v>
      </c>
      <c r="Q71">
        <f t="shared" si="18"/>
        <v>3</v>
      </c>
      <c r="R71">
        <f t="shared" si="19"/>
        <v>0</v>
      </c>
      <c r="S71">
        <f t="shared" si="20"/>
        <v>0</v>
      </c>
      <c r="T71">
        <f t="shared" si="21"/>
        <v>3</v>
      </c>
      <c r="U71">
        <f t="shared" si="22"/>
        <v>0</v>
      </c>
      <c r="V71">
        <f t="shared" si="23"/>
        <v>0</v>
      </c>
    </row>
    <row r="72" spans="1:22">
      <c r="A72" t="str">
        <f>'time 1'!B71</f>
        <v>&lt;test.ImageData: void setPixels(int,int,int,int[],int)&gt;</v>
      </c>
      <c r="B72">
        <f>AVERAGE('time 1'!D71/'time 1'!C71,'time 2'!D71/'time 2'!C71,'time 3'!D71/'time 3'!C71)</f>
        <v>1.4449271546787497</v>
      </c>
      <c r="C72">
        <f>AVERAGE('time 1'!F71/'time 1'!E71,'time 2'!F71/'time 2'!E71,'time 3'!F71/'time 3'!E71)</f>
        <v>1.3470353483055506</v>
      </c>
      <c r="D72">
        <f>AVERAGE('time 1'!H71/'time 1'!G71,'time 2'!H71/'time 2'!G71,'time 3'!H71/'time 3'!G71)</f>
        <v>1.3848946240050879</v>
      </c>
      <c r="E72">
        <f>AVERAGE('time 1'!J71/'time 2'!I71,'time 2'!J71/'time 2'!I71,'time 3'!J71/'time 3'!I71)</f>
        <v>1.4541910419032835</v>
      </c>
      <c r="F72">
        <f>AVERAGE('time 1'!L71/'time 1'!K71,'time 2'!L71/'time 2'!K71,'time 3'!L71/'time 3'!K71)</f>
        <v>1.8290870001841</v>
      </c>
      <c r="G72">
        <f>AVERAGE('time 1'!N71/'time 1'!M71,'time 2'!N71/'time 2'!M71,'time 3'!N71/'time 3'!M71)</f>
        <v>1.5084202799746456</v>
      </c>
      <c r="H72">
        <f>AVERAGE('time 1'!P71/'time 1'!O71,'time 2'!P71/'time 2'!O71,'time 3'!P71/'time 3'!O71)</f>
        <v>1.417032187500201</v>
      </c>
      <c r="I72">
        <f>AVERAGE('time 1'!R71/'time 1'!Q71,'time 2'!R71/'time 2'!Q71,'time 3'!R71/'time 3'!Q71)</f>
        <v>1.419540897193202</v>
      </c>
      <c r="J72">
        <f>AVERAGE('time 1'!T71/'time 1'!S71,'time 2'!T71/'time 2'!S71,'time 3'!T71/'time 3'!S71)</f>
        <v>1.4007620437984543</v>
      </c>
      <c r="K72">
        <f t="shared" si="12"/>
        <v>9</v>
      </c>
      <c r="L72">
        <f t="shared" si="13"/>
        <v>0</v>
      </c>
      <c r="M72">
        <f t="shared" si="14"/>
        <v>0</v>
      </c>
      <c r="N72">
        <f t="shared" si="15"/>
        <v>3</v>
      </c>
      <c r="O72">
        <f t="shared" si="16"/>
        <v>0</v>
      </c>
      <c r="P72">
        <f t="shared" si="17"/>
        <v>0</v>
      </c>
      <c r="Q72">
        <f t="shared" si="18"/>
        <v>3</v>
      </c>
      <c r="R72">
        <f t="shared" si="19"/>
        <v>0</v>
      </c>
      <c r="S72">
        <f t="shared" si="20"/>
        <v>0</v>
      </c>
      <c r="T72">
        <f t="shared" si="21"/>
        <v>3</v>
      </c>
      <c r="U72">
        <f t="shared" si="22"/>
        <v>0</v>
      </c>
      <c r="V72">
        <f t="shared" si="23"/>
        <v>0</v>
      </c>
    </row>
    <row r="73" spans="1:22">
      <c r="A73" t="str">
        <f>'time 1'!B72</f>
        <v>&lt;test.InfBlocks: int proc(int,int,int,int,int,int,int,int,int,int,int,int,int,int)&gt;</v>
      </c>
      <c r="B73">
        <f>AVERAGE('time 1'!D72/'time 1'!C72,'time 2'!D72/'time 2'!C72,'time 3'!D72/'time 3'!C72)</f>
        <v>1.8458145151322212</v>
      </c>
      <c r="C73">
        <f>AVERAGE('time 1'!F72/'time 1'!E72,'time 2'!F72/'time 2'!E72,'time 3'!F72/'time 3'!E72)</f>
        <v>1.1057580682461852</v>
      </c>
      <c r="D73">
        <f>AVERAGE('time 1'!H72/'time 1'!G72,'time 2'!H72/'time 2'!G72,'time 3'!H72/'time 3'!G72)</f>
        <v>1.8104609808791778</v>
      </c>
      <c r="E73">
        <f>AVERAGE('time 1'!J72/'time 2'!I72,'time 2'!J72/'time 2'!I72,'time 3'!J72/'time 3'!I72)</f>
        <v>1.9879028235748379</v>
      </c>
      <c r="F73">
        <f>AVERAGE('time 1'!L72/'time 1'!K72,'time 2'!L72/'time 2'!K72,'time 3'!L72/'time 3'!K72)</f>
        <v>1.4430505822566548</v>
      </c>
      <c r="G73">
        <f>AVERAGE('time 1'!N72/'time 1'!M72,'time 2'!N72/'time 2'!M72,'time 3'!N72/'time 3'!M72)</f>
        <v>1.8721972251224477</v>
      </c>
      <c r="H73">
        <f>AVERAGE('time 1'!P72/'time 1'!O72,'time 2'!P72/'time 2'!O72,'time 3'!P72/'time 3'!O72)</f>
        <v>1.9554170580420438</v>
      </c>
      <c r="I73">
        <f>AVERAGE('time 1'!R72/'time 1'!Q72,'time 2'!R72/'time 2'!Q72,'time 3'!R72/'time 3'!Q72)</f>
        <v>1.1869793006160687</v>
      </c>
      <c r="J73">
        <f>AVERAGE('time 1'!T72/'time 1'!S72,'time 2'!T72/'time 2'!S72,'time 3'!T72/'time 3'!S72)</f>
        <v>1.8950378050318306</v>
      </c>
      <c r="K73">
        <f t="shared" si="12"/>
        <v>9</v>
      </c>
      <c r="L73">
        <f t="shared" si="13"/>
        <v>0</v>
      </c>
      <c r="M73">
        <f t="shared" si="14"/>
        <v>0</v>
      </c>
      <c r="N73">
        <f t="shared" si="15"/>
        <v>3</v>
      </c>
      <c r="O73">
        <f t="shared" si="16"/>
        <v>0</v>
      </c>
      <c r="P73">
        <f t="shared" si="17"/>
        <v>0</v>
      </c>
      <c r="Q73">
        <f t="shared" si="18"/>
        <v>3</v>
      </c>
      <c r="R73">
        <f t="shared" si="19"/>
        <v>0</v>
      </c>
      <c r="S73">
        <f t="shared" si="20"/>
        <v>0</v>
      </c>
      <c r="T73">
        <f t="shared" si="21"/>
        <v>3</v>
      </c>
      <c r="U73">
        <f t="shared" si="22"/>
        <v>0</v>
      </c>
      <c r="V73">
        <f t="shared" si="23"/>
        <v>0</v>
      </c>
    </row>
    <row r="74" spans="1:22">
      <c r="A74" t="str">
        <f>'time 1'!B73</f>
        <v>&lt;test.InfCodes: int proc(test.InfBlocks,int,int)&gt;</v>
      </c>
      <c r="B74">
        <f>AVERAGE('time 1'!D73/'time 1'!C73,'time 2'!D73/'time 2'!C73,'time 3'!D73/'time 3'!C73)</f>
        <v>1.8846786138000635</v>
      </c>
      <c r="C74">
        <f>AVERAGE('time 1'!F73/'time 1'!E73,'time 2'!F73/'time 2'!E73,'time 3'!F73/'time 3'!E73)</f>
        <v>0.93391561737821804</v>
      </c>
      <c r="D74">
        <f>AVERAGE('time 1'!H73/'time 1'!G73,'time 2'!H73/'time 2'!G73,'time 3'!H73/'time 3'!G73)</f>
        <v>1.8518346925827371</v>
      </c>
      <c r="E74">
        <f>AVERAGE('time 1'!J73/'time 2'!I73,'time 2'!J73/'time 2'!I73,'time 3'!J73/'time 3'!I73)</f>
        <v>1.9327895977179128</v>
      </c>
      <c r="F74">
        <f>AVERAGE('time 1'!L73/'time 1'!K73,'time 2'!L73/'time 2'!K73,'time 3'!L73/'time 3'!K73)</f>
        <v>1.0945476910502017</v>
      </c>
      <c r="G74">
        <f>AVERAGE('time 1'!N73/'time 1'!M73,'time 2'!N73/'time 2'!M73,'time 3'!N73/'time 3'!M73)</f>
        <v>1.8581216126427205</v>
      </c>
      <c r="H74">
        <f>AVERAGE('time 1'!P73/'time 1'!O73,'time 2'!P73/'time 2'!O73,'time 3'!P73/'time 3'!O73)</f>
        <v>1.820816070405747</v>
      </c>
      <c r="I74">
        <f>AVERAGE('time 1'!R73/'time 1'!Q73,'time 2'!R73/'time 2'!Q73,'time 3'!R73/'time 3'!Q73)</f>
        <v>1.0198148274552814</v>
      </c>
      <c r="J74">
        <f>AVERAGE('time 1'!T73/'time 1'!S73,'time 2'!T73/'time 2'!S73,'time 3'!T73/'time 3'!S73)</f>
        <v>2.0291841758750153</v>
      </c>
      <c r="K74">
        <f t="shared" si="12"/>
        <v>8</v>
      </c>
      <c r="L74">
        <f t="shared" si="13"/>
        <v>1</v>
      </c>
      <c r="M74">
        <f t="shared" si="14"/>
        <v>0</v>
      </c>
      <c r="N74">
        <f t="shared" si="15"/>
        <v>3</v>
      </c>
      <c r="O74">
        <f t="shared" si="16"/>
        <v>0</v>
      </c>
      <c r="P74">
        <f t="shared" si="17"/>
        <v>0</v>
      </c>
      <c r="Q74">
        <f t="shared" si="18"/>
        <v>3</v>
      </c>
      <c r="R74">
        <f t="shared" si="19"/>
        <v>0</v>
      </c>
      <c r="S74">
        <f t="shared" si="20"/>
        <v>0</v>
      </c>
      <c r="T74">
        <f t="shared" si="21"/>
        <v>2</v>
      </c>
      <c r="U74">
        <f t="shared" si="22"/>
        <v>1</v>
      </c>
      <c r="V74">
        <f t="shared" si="23"/>
        <v>0</v>
      </c>
    </row>
    <row r="75" spans="1:22">
      <c r="A75" t="str">
        <f>'time 1'!B74</f>
        <v>&lt;test.InfTree: int huft_build(int[],int,int,int,int[],int[],int[],int[],int[],int[],int[])&gt;</v>
      </c>
      <c r="B75">
        <f>AVERAGE('time 1'!D74/'time 1'!C74,'time 2'!D74/'time 2'!C74,'time 3'!D74/'time 3'!C74)</f>
        <v>0.16290580515455053</v>
      </c>
      <c r="C75">
        <f>AVERAGE('time 1'!F74/'time 1'!E74,'time 2'!F74/'time 2'!E74,'time 3'!F74/'time 3'!E74)</f>
        <v>8.9015116774034356E-2</v>
      </c>
      <c r="D75">
        <f>AVERAGE('time 1'!H74/'time 1'!G74,'time 2'!H74/'time 2'!G74,'time 3'!H74/'time 3'!G74)</f>
        <v>0.16719040200284349</v>
      </c>
      <c r="E75">
        <f>AVERAGE('time 1'!J74/'time 2'!I74,'time 2'!J74/'time 2'!I74,'time 3'!J74/'time 3'!I74)</f>
        <v>0.15520503819624429</v>
      </c>
      <c r="F75">
        <f>AVERAGE('time 1'!L74/'time 1'!K74,'time 2'!L74/'time 2'!K74,'time 3'!L74/'time 3'!K74)</f>
        <v>8.3365274536917514E-2</v>
      </c>
      <c r="G75">
        <f>AVERAGE('time 1'!N74/'time 1'!M74,'time 2'!N74/'time 2'!M74,'time 3'!N74/'time 3'!M74)</f>
        <v>0.14824797790833935</v>
      </c>
      <c r="H75">
        <f>AVERAGE('time 1'!P74/'time 1'!O74,'time 2'!P74/'time 2'!O74,'time 3'!P74/'time 3'!O74)</f>
        <v>0.12354269842082739</v>
      </c>
      <c r="I75">
        <f>AVERAGE('time 1'!R74/'time 1'!Q74,'time 2'!R74/'time 2'!Q74,'time 3'!R74/'time 3'!Q74)</f>
        <v>6.751799243474961E-2</v>
      </c>
      <c r="J75">
        <f>AVERAGE('time 1'!T74/'time 1'!S74,'time 2'!T74/'time 2'!S74,'time 3'!T74/'time 3'!S74)</f>
        <v>0.12764095892672969</v>
      </c>
      <c r="K75">
        <f t="shared" si="12"/>
        <v>9</v>
      </c>
      <c r="L75">
        <f t="shared" si="13"/>
        <v>0</v>
      </c>
      <c r="M75">
        <f t="shared" si="14"/>
        <v>0</v>
      </c>
      <c r="N75">
        <f t="shared" si="15"/>
        <v>3</v>
      </c>
      <c r="O75">
        <f t="shared" si="16"/>
        <v>0</v>
      </c>
      <c r="P75">
        <f t="shared" si="17"/>
        <v>0</v>
      </c>
      <c r="Q75">
        <f t="shared" si="18"/>
        <v>3</v>
      </c>
      <c r="R75">
        <f t="shared" si="19"/>
        <v>0</v>
      </c>
      <c r="S75">
        <f t="shared" si="20"/>
        <v>0</v>
      </c>
      <c r="T75">
        <f t="shared" si="21"/>
        <v>3</v>
      </c>
      <c r="U75">
        <f t="shared" si="22"/>
        <v>0</v>
      </c>
      <c r="V75">
        <f t="shared" si="23"/>
        <v>0</v>
      </c>
    </row>
    <row r="76" spans="1:22">
      <c r="A76" t="str">
        <f>'time 1'!B75</f>
        <v>&lt;test.MapViewer: void paint(java.awt.Graphics,java.lang.Object[][],int,int,int,int,int,int)&gt;</v>
      </c>
      <c r="B76">
        <f>AVERAGE('time 1'!D75/'time 1'!C75,'time 2'!D75/'time 2'!C75,'time 3'!D75/'time 3'!C75)</f>
        <v>1.1789737177774826</v>
      </c>
      <c r="C76">
        <f>AVERAGE('time 1'!F75/'time 1'!E75,'time 2'!F75/'time 2'!E75,'time 3'!F75/'time 3'!E75)</f>
        <v>1.037442460085342</v>
      </c>
      <c r="D76">
        <f>AVERAGE('time 1'!H75/'time 1'!G75,'time 2'!H75/'time 2'!G75,'time 3'!H75/'time 3'!G75)</f>
        <v>1.1360213506437955</v>
      </c>
      <c r="E76">
        <f>AVERAGE('time 1'!J75/'time 2'!I75,'time 2'!J75/'time 2'!I75,'time 3'!J75/'time 3'!I75)</f>
        <v>1.2265057738934517</v>
      </c>
      <c r="F76">
        <f>AVERAGE('time 1'!L75/'time 1'!K75,'time 2'!L75/'time 2'!K75,'time 3'!L75/'time 3'!K75)</f>
        <v>1.0753169601748584</v>
      </c>
      <c r="G76">
        <f>AVERAGE('time 1'!N75/'time 1'!M75,'time 2'!N75/'time 2'!M75,'time 3'!N75/'time 3'!M75)</f>
        <v>1.1282525192725943</v>
      </c>
      <c r="H76">
        <f>AVERAGE('time 1'!P75/'time 1'!O75,'time 2'!P75/'time 2'!O75,'time 3'!P75/'time 3'!O75)</f>
        <v>1.1493322100856567</v>
      </c>
      <c r="I76">
        <f>AVERAGE('time 1'!R75/'time 1'!Q75,'time 2'!R75/'time 2'!Q75,'time 3'!R75/'time 3'!Q75)</f>
        <v>1.1686244214268053</v>
      </c>
      <c r="J76">
        <f>AVERAGE('time 1'!T75/'time 1'!S75,'time 2'!T75/'time 2'!S75,'time 3'!T75/'time 3'!S75)</f>
        <v>1.108030877348575</v>
      </c>
      <c r="K76">
        <f t="shared" si="12"/>
        <v>9</v>
      </c>
      <c r="L76">
        <f t="shared" si="13"/>
        <v>0</v>
      </c>
      <c r="M76">
        <f t="shared" si="14"/>
        <v>0</v>
      </c>
      <c r="N76">
        <f t="shared" si="15"/>
        <v>3</v>
      </c>
      <c r="O76">
        <f t="shared" si="16"/>
        <v>0</v>
      </c>
      <c r="P76">
        <f t="shared" si="17"/>
        <v>0</v>
      </c>
      <c r="Q76">
        <f t="shared" si="18"/>
        <v>3</v>
      </c>
      <c r="R76">
        <f t="shared" si="19"/>
        <v>0</v>
      </c>
      <c r="S76">
        <f t="shared" si="20"/>
        <v>0</v>
      </c>
      <c r="T76">
        <f t="shared" si="21"/>
        <v>3</v>
      </c>
      <c r="U76">
        <f t="shared" si="22"/>
        <v>0</v>
      </c>
      <c r="V76">
        <f t="shared" si="23"/>
        <v>0</v>
      </c>
    </row>
    <row r="77" spans="1:22">
      <c r="A77" t="str">
        <f>'time 1'!B76</f>
        <v>&lt;test.MapViewer: void paintRoutes(java.awt.Graphics,int,java.lang.Object[][])&gt;</v>
      </c>
      <c r="B77">
        <f>AVERAGE('time 1'!D76/'time 1'!C76,'time 2'!D76/'time 2'!C76,'time 3'!D76/'time 3'!C76)</f>
        <v>1.093997727111885</v>
      </c>
      <c r="C77">
        <f>AVERAGE('time 1'!F76/'time 1'!E76,'time 2'!F76/'time 2'!E76,'time 3'!F76/'time 3'!E76)</f>
        <v>1.128021443630763</v>
      </c>
      <c r="D77">
        <f>AVERAGE('time 1'!H76/'time 1'!G76,'time 2'!H76/'time 2'!G76,'time 3'!H76/'time 3'!G76)</f>
        <v>1.0863065974221433</v>
      </c>
      <c r="E77">
        <f>AVERAGE('time 1'!J76/'time 2'!I76,'time 2'!J76/'time 2'!I76,'time 3'!J76/'time 3'!I76)</f>
        <v>1.212003583159152</v>
      </c>
      <c r="F77">
        <f>AVERAGE('time 1'!L76/'time 1'!K76,'time 2'!L76/'time 2'!K76,'time 3'!L76/'time 3'!K76)</f>
        <v>1.1251716749459775</v>
      </c>
      <c r="G77">
        <f>AVERAGE('time 1'!N76/'time 1'!M76,'time 2'!N76/'time 2'!M76,'time 3'!N76/'time 3'!M76)</f>
        <v>1.0817785263030528</v>
      </c>
      <c r="H77">
        <f>AVERAGE('time 1'!P76/'time 1'!O76,'time 2'!P76/'time 2'!O76,'time 3'!P76/'time 3'!O76)</f>
        <v>1.1080947541753137</v>
      </c>
      <c r="I77">
        <f>AVERAGE('time 1'!R76/'time 1'!Q76,'time 2'!R76/'time 2'!Q76,'time 3'!R76/'time 3'!Q76)</f>
        <v>1.0385745217761786</v>
      </c>
      <c r="J77">
        <f>AVERAGE('time 1'!T76/'time 1'!S76,'time 2'!T76/'time 2'!S76,'time 3'!T76/'time 3'!S76)</f>
        <v>1.0562613560314382</v>
      </c>
      <c r="K77">
        <f t="shared" si="12"/>
        <v>9</v>
      </c>
      <c r="L77">
        <f t="shared" si="13"/>
        <v>0</v>
      </c>
      <c r="M77">
        <f t="shared" si="14"/>
        <v>0</v>
      </c>
      <c r="N77">
        <f t="shared" si="15"/>
        <v>3</v>
      </c>
      <c r="O77">
        <f t="shared" si="16"/>
        <v>0</v>
      </c>
      <c r="P77">
        <f t="shared" si="17"/>
        <v>0</v>
      </c>
      <c r="Q77">
        <f t="shared" si="18"/>
        <v>3</v>
      </c>
      <c r="R77">
        <f t="shared" si="19"/>
        <v>0</v>
      </c>
      <c r="S77">
        <f t="shared" si="20"/>
        <v>0</v>
      </c>
      <c r="T77">
        <f t="shared" si="21"/>
        <v>3</v>
      </c>
      <c r="U77">
        <f t="shared" si="22"/>
        <v>0</v>
      </c>
      <c r="V77">
        <f t="shared" si="23"/>
        <v>0</v>
      </c>
    </row>
    <row r="78" spans="1:22">
      <c r="A78" t="str">
        <f>'time 1'!B77</f>
        <v>&lt;test.QRCodeDataBlockReader: int getNextBits(int,int,int)&gt;</v>
      </c>
      <c r="B78">
        <f>AVERAGE('time 1'!D77/'time 1'!C77,'time 2'!D77/'time 2'!C77,'time 3'!D77/'time 3'!C77)</f>
        <v>1.0132672764386319</v>
      </c>
      <c r="C78">
        <f>AVERAGE('time 1'!F77/'time 1'!E77,'time 2'!F77/'time 2'!E77,'time 3'!F77/'time 3'!E77)</f>
        <v>0.90665920281369994</v>
      </c>
      <c r="D78">
        <f>AVERAGE('time 1'!H77/'time 1'!G77,'time 2'!H77/'time 2'!G77,'time 3'!H77/'time 3'!G77)</f>
        <v>1.0038807521174935</v>
      </c>
      <c r="E78">
        <f>AVERAGE('time 1'!J77/'time 2'!I77,'time 2'!J77/'time 2'!I77,'time 3'!J77/'time 3'!I77)</f>
        <v>1.0148214140303733</v>
      </c>
      <c r="F78">
        <f>AVERAGE('time 1'!L77/'time 1'!K77,'time 2'!L77/'time 2'!K77,'time 3'!L77/'time 3'!K77)</f>
        <v>0.86962200154170055</v>
      </c>
      <c r="G78">
        <f>AVERAGE('time 1'!N77/'time 1'!M77,'time 2'!N77/'time 2'!M77,'time 3'!N77/'time 3'!M77)</f>
        <v>0.88252395232190584</v>
      </c>
      <c r="H78">
        <f>AVERAGE('time 1'!P77/'time 1'!O77,'time 2'!P77/'time 2'!O77,'time 3'!P77/'time 3'!O77)</f>
        <v>0.92226809800511289</v>
      </c>
      <c r="I78">
        <f>AVERAGE('time 1'!R77/'time 1'!Q77,'time 2'!R77/'time 2'!Q77,'time 3'!R77/'time 3'!Q77)</f>
        <v>0.75664989269602534</v>
      </c>
      <c r="J78">
        <f>AVERAGE('time 1'!T77/'time 1'!S77,'time 2'!T77/'time 2'!S77,'time 3'!T77/'time 3'!S77)</f>
        <v>0.92883736869143796</v>
      </c>
      <c r="K78">
        <f t="shared" si="12"/>
        <v>9</v>
      </c>
      <c r="L78">
        <f t="shared" si="13"/>
        <v>0</v>
      </c>
      <c r="M78">
        <f t="shared" si="14"/>
        <v>0</v>
      </c>
      <c r="N78">
        <f t="shared" si="15"/>
        <v>3</v>
      </c>
      <c r="O78">
        <f t="shared" si="16"/>
        <v>0</v>
      </c>
      <c r="P78">
        <f t="shared" si="17"/>
        <v>0</v>
      </c>
      <c r="Q78">
        <f t="shared" si="18"/>
        <v>3</v>
      </c>
      <c r="R78">
        <f t="shared" si="19"/>
        <v>0</v>
      </c>
      <c r="S78">
        <f t="shared" si="20"/>
        <v>0</v>
      </c>
      <c r="T78">
        <f t="shared" si="21"/>
        <v>3</v>
      </c>
      <c r="U78">
        <f t="shared" si="22"/>
        <v>0</v>
      </c>
      <c r="V78">
        <f t="shared" si="23"/>
        <v>0</v>
      </c>
    </row>
    <row r="79" spans="1:22">
      <c r="A79" t="str">
        <f>'time 1'!B78</f>
        <v>&lt;test.QRCodeDataBlockReader: java.lang.String getKanjiString(int)&gt;</v>
      </c>
      <c r="B79">
        <f>AVERAGE('time 1'!D78/'time 1'!C78,'time 2'!D78/'time 2'!C78,'time 3'!D78/'time 3'!C78)</f>
        <v>1.8227183585060296</v>
      </c>
      <c r="C79">
        <f>AVERAGE('time 1'!F78/'time 1'!E78,'time 2'!F78/'time 2'!E78,'time 3'!F78/'time 3'!E78)</f>
        <v>0.78434691205772811</v>
      </c>
      <c r="D79">
        <f>AVERAGE('time 1'!H78/'time 1'!G78,'time 2'!H78/'time 2'!G78,'time 3'!H78/'time 3'!G78)</f>
        <v>1.8302730696798495</v>
      </c>
      <c r="E79">
        <f>AVERAGE('time 1'!J78/'time 2'!I78,'time 2'!J78/'time 2'!I78,'time 3'!J78/'time 3'!I78)</f>
        <v>1.289237929028505</v>
      </c>
      <c r="F79">
        <f>AVERAGE('time 1'!L78/'time 1'!K78,'time 2'!L78/'time 2'!K78,'time 3'!L78/'time 3'!K78)</f>
        <v>0.32203679487321946</v>
      </c>
      <c r="G79">
        <f>AVERAGE('time 1'!N78/'time 1'!M78,'time 2'!N78/'time 2'!M78,'time 3'!N78/'time 3'!M78)</f>
        <v>1.7308308308308309</v>
      </c>
      <c r="H79">
        <f>AVERAGE('time 1'!P78/'time 1'!O78,'time 2'!P78/'time 2'!O78,'time 3'!P78/'time 3'!O78)</f>
        <v>1.9017935060636153</v>
      </c>
      <c r="I79">
        <f>AVERAGE('time 1'!R78/'time 1'!Q78,'time 2'!R78/'time 2'!Q78,'time 3'!R78/'time 3'!Q78)</f>
        <v>0.53374522370444899</v>
      </c>
      <c r="J79">
        <f>AVERAGE('time 1'!T78/'time 1'!S78,'time 2'!T78/'time 2'!S78,'time 3'!T78/'time 3'!S78)</f>
        <v>1.8813194998669858</v>
      </c>
      <c r="K79">
        <f t="shared" si="12"/>
        <v>9</v>
      </c>
      <c r="L79">
        <f t="shared" si="13"/>
        <v>0</v>
      </c>
      <c r="M79">
        <f t="shared" si="14"/>
        <v>0</v>
      </c>
      <c r="N79">
        <f t="shared" si="15"/>
        <v>3</v>
      </c>
      <c r="O79">
        <f t="shared" si="16"/>
        <v>0</v>
      </c>
      <c r="P79">
        <f t="shared" si="17"/>
        <v>0</v>
      </c>
      <c r="Q79">
        <f t="shared" si="18"/>
        <v>3</v>
      </c>
      <c r="R79">
        <f t="shared" si="19"/>
        <v>0</v>
      </c>
      <c r="S79">
        <f t="shared" si="20"/>
        <v>0</v>
      </c>
      <c r="T79">
        <f t="shared" si="21"/>
        <v>3</v>
      </c>
      <c r="U79">
        <f t="shared" si="22"/>
        <v>0</v>
      </c>
      <c r="V79">
        <f t="shared" si="23"/>
        <v>0</v>
      </c>
    </row>
    <row r="80" spans="1:22">
      <c r="A80" t="str">
        <f>'time 1'!B79</f>
        <v>&lt;test.QRCodeDataBlockReader: void &lt;init&gt;(int[],int,int)&gt;</v>
      </c>
      <c r="B80">
        <f>AVERAGE('time 1'!D79/'time 1'!C79,'time 2'!D79/'time 2'!C79,'time 3'!D79/'time 3'!C79)</f>
        <v>0.81511796207844844</v>
      </c>
      <c r="C80">
        <f>AVERAGE('time 1'!F79/'time 1'!E79,'time 2'!F79/'time 2'!E79,'time 3'!F79/'time 3'!E79)</f>
        <v>1.0106209150326799</v>
      </c>
      <c r="D80">
        <f>AVERAGE('time 1'!H79/'time 1'!G79,'time 2'!H79/'time 2'!G79,'time 3'!H79/'time 3'!G79)</f>
        <v>0.97618072618072615</v>
      </c>
      <c r="E80">
        <f>AVERAGE('time 1'!J79/'time 2'!I79,'time 2'!J79/'time 2'!I79,'time 3'!J79/'time 3'!I79)</f>
        <v>1.1251526251526254</v>
      </c>
      <c r="F80">
        <f>AVERAGE('time 1'!L79/'time 1'!K79,'time 2'!L79/'time 2'!K79,'time 3'!L79/'time 3'!K79)</f>
        <v>0.98562970723473597</v>
      </c>
      <c r="G80">
        <f>AVERAGE('time 1'!N79/'time 1'!M79,'time 2'!N79/'time 2'!M79,'time 3'!N79/'time 3'!M79)</f>
        <v>1.0101010101010102</v>
      </c>
      <c r="H80">
        <f>AVERAGE('time 1'!P79/'time 1'!O79,'time 2'!P79/'time 2'!O79,'time 3'!P79/'time 3'!O79)</f>
        <v>0.96303763440860213</v>
      </c>
      <c r="I80">
        <f>AVERAGE('time 1'!R79/'time 1'!Q79,'time 2'!R79/'time 2'!Q79,'time 3'!R79/'time 3'!Q79)</f>
        <v>0.96788862241878715</v>
      </c>
      <c r="J80">
        <f>AVERAGE('time 1'!T79/'time 1'!S79,'time 2'!T79/'time 2'!S79,'time 3'!T79/'time 3'!S79)</f>
        <v>0.99487179487179489</v>
      </c>
      <c r="K80">
        <f t="shared" si="12"/>
        <v>9</v>
      </c>
      <c r="L80">
        <f t="shared" si="13"/>
        <v>0</v>
      </c>
      <c r="M80">
        <f t="shared" si="14"/>
        <v>0</v>
      </c>
      <c r="N80">
        <f t="shared" si="15"/>
        <v>3</v>
      </c>
      <c r="O80">
        <f t="shared" si="16"/>
        <v>0</v>
      </c>
      <c r="P80">
        <f t="shared" si="17"/>
        <v>0</v>
      </c>
      <c r="Q80">
        <f t="shared" si="18"/>
        <v>3</v>
      </c>
      <c r="R80">
        <f t="shared" si="19"/>
        <v>0</v>
      </c>
      <c r="S80">
        <f t="shared" si="20"/>
        <v>0</v>
      </c>
      <c r="T80">
        <f t="shared" si="21"/>
        <v>3</v>
      </c>
      <c r="U80">
        <f t="shared" si="22"/>
        <v>0</v>
      </c>
      <c r="V80">
        <f t="shared" si="23"/>
        <v>0</v>
      </c>
    </row>
    <row r="81" spans="1:22">
      <c r="A81" t="str">
        <f>'time 1'!B80</f>
        <v>&lt;test.StructurePanel: int calculateTranslateConstants(int,int)&gt;</v>
      </c>
      <c r="B81">
        <f>AVERAGE('time 1'!D80/'time 1'!C80,'time 2'!D80/'time 2'!C80,'time 3'!D80/'time 3'!C80)</f>
        <v>1.1913255751738898</v>
      </c>
      <c r="C81">
        <f>AVERAGE('time 1'!F80/'time 1'!E80,'time 2'!F80/'time 2'!E80,'time 3'!F80/'time 3'!E80)</f>
        <v>0.80307876163195291</v>
      </c>
      <c r="D81">
        <f>AVERAGE('time 1'!H80/'time 1'!G80,'time 2'!H80/'time 2'!G80,'time 3'!H80/'time 3'!G80)</f>
        <v>1.0958387477839457</v>
      </c>
      <c r="E81">
        <f>AVERAGE('time 1'!J80/'time 2'!I80,'time 2'!J80/'time 2'!I80,'time 3'!J80/'time 3'!I80)</f>
        <v>1.0286916868153515</v>
      </c>
      <c r="F81">
        <f>AVERAGE('time 1'!L80/'time 1'!K80,'time 2'!L80/'time 2'!K80,'time 3'!L80/'time 3'!K80)</f>
        <v>0.78898165545257404</v>
      </c>
      <c r="G81">
        <f>AVERAGE('time 1'!N80/'time 1'!M80,'time 2'!N80/'time 2'!M80,'time 3'!N80/'time 3'!M80)</f>
        <v>1.0399405949712837</v>
      </c>
      <c r="H81">
        <f>AVERAGE('time 1'!P80/'time 1'!O80,'time 2'!P80/'time 2'!O80,'time 3'!P80/'time 3'!O80)</f>
        <v>1.1942128412846118</v>
      </c>
      <c r="I81">
        <f>AVERAGE('time 1'!R80/'time 1'!Q80,'time 2'!R80/'time 2'!Q80,'time 3'!R80/'time 3'!Q80)</f>
        <v>0.53890060226453196</v>
      </c>
      <c r="J81">
        <f>AVERAGE('time 1'!T80/'time 1'!S80,'time 2'!T80/'time 2'!S80,'time 3'!T80/'time 3'!S80)</f>
        <v>1.2149966539509303</v>
      </c>
      <c r="K81">
        <f t="shared" si="12"/>
        <v>9</v>
      </c>
      <c r="L81">
        <f t="shared" si="13"/>
        <v>0</v>
      </c>
      <c r="M81">
        <f t="shared" si="14"/>
        <v>0</v>
      </c>
      <c r="N81">
        <f t="shared" si="15"/>
        <v>3</v>
      </c>
      <c r="O81">
        <f t="shared" si="16"/>
        <v>0</v>
      </c>
      <c r="P81">
        <f t="shared" si="17"/>
        <v>0</v>
      </c>
      <c r="Q81">
        <f t="shared" si="18"/>
        <v>3</v>
      </c>
      <c r="R81">
        <f t="shared" si="19"/>
        <v>0</v>
      </c>
      <c r="S81">
        <f t="shared" si="20"/>
        <v>0</v>
      </c>
      <c r="T81">
        <f t="shared" si="21"/>
        <v>3</v>
      </c>
      <c r="U81">
        <f t="shared" si="22"/>
        <v>0</v>
      </c>
      <c r="V81">
        <f t="shared" si="23"/>
        <v>0</v>
      </c>
    </row>
    <row r="82" spans="1:22">
      <c r="A82" t="str">
        <f>'time 1'!B81</f>
        <v>&lt;test.TIFFFaxDecoder: boolean advancePointer()&gt;</v>
      </c>
      <c r="B82">
        <f>AVERAGE('time 1'!D81/'time 1'!C81,'time 2'!D81/'time 2'!C81,'time 3'!D81/'time 3'!C81)</f>
        <v>1.0618279569892473</v>
      </c>
      <c r="C82">
        <f>AVERAGE('time 1'!F81/'time 1'!E81,'time 2'!F81/'time 2'!E81,'time 3'!F81/'time 3'!E81)</f>
        <v>1.3609599008759903</v>
      </c>
      <c r="D82">
        <f>AVERAGE('time 1'!H81/'time 1'!G81,'time 2'!H81/'time 2'!G81,'time 3'!H81/'time 3'!G81)</f>
        <v>0.99782608695652175</v>
      </c>
      <c r="E82">
        <f>AVERAGE('time 1'!J81/'time 2'!I81,'time 2'!J81/'time 2'!I81,'time 3'!J81/'time 3'!I81)</f>
        <v>0.77777777777777768</v>
      </c>
      <c r="F82">
        <f>AVERAGE('time 1'!L81/'time 1'!K81,'time 2'!L81/'time 2'!K81,'time 3'!L81/'time 3'!K81)</f>
        <v>1.0249292348464545</v>
      </c>
      <c r="G82">
        <f>AVERAGE('time 1'!N81/'time 1'!M81,'time 2'!N81/'time 2'!M81,'time 3'!N81/'time 3'!M81)</f>
        <v>1.2013685239491692</v>
      </c>
      <c r="H82">
        <f>AVERAGE('time 1'!P81/'time 1'!O81,'time 2'!P81/'time 2'!O81,'time 3'!P81/'time 3'!O81)</f>
        <v>1.0209810874704492</v>
      </c>
      <c r="I82">
        <f>AVERAGE('time 1'!R81/'time 1'!Q81,'time 2'!R81/'time 2'!Q81,'time 3'!R81/'time 3'!Q81)</f>
        <v>0.92299683151356327</v>
      </c>
      <c r="J82">
        <f>AVERAGE('time 1'!T81/'time 1'!S81,'time 2'!T81/'time 2'!S81,'time 3'!T81/'time 3'!S81)</f>
        <v>1.0283068783068783</v>
      </c>
      <c r="K82">
        <f t="shared" si="12"/>
        <v>9</v>
      </c>
      <c r="L82">
        <f t="shared" si="13"/>
        <v>0</v>
      </c>
      <c r="M82">
        <f t="shared" si="14"/>
        <v>0</v>
      </c>
      <c r="N82">
        <f t="shared" si="15"/>
        <v>3</v>
      </c>
      <c r="O82">
        <f t="shared" si="16"/>
        <v>0</v>
      </c>
      <c r="P82">
        <f t="shared" si="17"/>
        <v>0</v>
      </c>
      <c r="Q82">
        <f t="shared" si="18"/>
        <v>3</v>
      </c>
      <c r="R82">
        <f t="shared" si="19"/>
        <v>0</v>
      </c>
      <c r="S82">
        <f t="shared" si="20"/>
        <v>0</v>
      </c>
      <c r="T82">
        <f t="shared" si="21"/>
        <v>3</v>
      </c>
      <c r="U82">
        <f t="shared" si="22"/>
        <v>0</v>
      </c>
      <c r="V82">
        <f t="shared" si="23"/>
        <v>0</v>
      </c>
    </row>
    <row r="83" spans="1:22">
      <c r="A83" t="str">
        <f>'time 1'!B82</f>
        <v>&lt;test.TIFFFaxDecoder: int decodeBlackCodeWord()&gt;</v>
      </c>
      <c r="B83">
        <f>AVERAGE('time 1'!D82/'time 1'!C82,'time 2'!D82/'time 2'!C82,'time 3'!D82/'time 3'!C82)</f>
        <v>1.1159524131459024</v>
      </c>
      <c r="C83">
        <f>AVERAGE('time 1'!F82/'time 1'!E82,'time 2'!F82/'time 2'!E82,'time 3'!F82/'time 3'!E82)</f>
        <v>1.0565472600030406</v>
      </c>
      <c r="D83">
        <f>AVERAGE('time 1'!H82/'time 1'!G82,'time 2'!H82/'time 2'!G82,'time 3'!H82/'time 3'!G82)</f>
        <v>1.116007050521775</v>
      </c>
      <c r="E83">
        <f>AVERAGE('time 1'!J82/'time 2'!I82,'time 2'!J82/'time 2'!I82,'time 3'!J82/'time 3'!I82)</f>
        <v>1.1124407151963329</v>
      </c>
      <c r="F83">
        <f>AVERAGE('time 1'!L82/'time 1'!K82,'time 2'!L82/'time 2'!K82,'time 3'!L82/'time 3'!K82)</f>
        <v>1.1424714306085768</v>
      </c>
      <c r="G83">
        <f>AVERAGE('time 1'!N82/'time 1'!M82,'time 2'!N82/'time 2'!M82,'time 3'!N82/'time 3'!M82)</f>
        <v>1.0965172612696619</v>
      </c>
      <c r="H83">
        <f>AVERAGE('time 1'!P82/'time 1'!O82,'time 2'!P82/'time 2'!O82,'time 3'!P82/'time 3'!O82)</f>
        <v>1.1163836878393643</v>
      </c>
      <c r="I83">
        <f>AVERAGE('time 1'!R82/'time 1'!Q82,'time 2'!R82/'time 2'!Q82,'time 3'!R82/'time 3'!Q82)</f>
        <v>1.0553909651540334</v>
      </c>
      <c r="J83">
        <f>AVERAGE('time 1'!T82/'time 1'!S82,'time 2'!T82/'time 2'!S82,'time 3'!T82/'time 3'!S82)</f>
        <v>1.1190633143078041</v>
      </c>
      <c r="K83">
        <f t="shared" si="12"/>
        <v>9</v>
      </c>
      <c r="L83">
        <f t="shared" si="13"/>
        <v>0</v>
      </c>
      <c r="M83">
        <f t="shared" si="14"/>
        <v>0</v>
      </c>
      <c r="N83">
        <f t="shared" si="15"/>
        <v>3</v>
      </c>
      <c r="O83">
        <f t="shared" si="16"/>
        <v>0</v>
      </c>
      <c r="P83">
        <f t="shared" si="17"/>
        <v>0</v>
      </c>
      <c r="Q83">
        <f t="shared" si="18"/>
        <v>3</v>
      </c>
      <c r="R83">
        <f t="shared" si="19"/>
        <v>0</v>
      </c>
      <c r="S83">
        <f t="shared" si="20"/>
        <v>0</v>
      </c>
      <c r="T83">
        <f t="shared" si="21"/>
        <v>3</v>
      </c>
      <c r="U83">
        <f t="shared" si="22"/>
        <v>0</v>
      </c>
      <c r="V83">
        <f t="shared" si="23"/>
        <v>0</v>
      </c>
    </row>
    <row r="84" spans="1:22">
      <c r="A84" t="str">
        <f>'time 1'!B83</f>
        <v>&lt;test.TIFFFaxDecoder: int decodeWhiteCodeWord()&gt;</v>
      </c>
      <c r="B84">
        <f>AVERAGE('time 1'!D83/'time 1'!C83,'time 2'!D83/'time 2'!C83,'time 3'!D83/'time 3'!C83)</f>
        <v>1.6572377521687931</v>
      </c>
      <c r="C84">
        <f>AVERAGE('time 1'!F83/'time 1'!E83,'time 2'!F83/'time 2'!E83,'time 3'!F83/'time 3'!E83)</f>
        <v>1.2244086127973255</v>
      </c>
      <c r="D84">
        <f>AVERAGE('time 1'!H83/'time 1'!G83,'time 2'!H83/'time 2'!G83,'time 3'!H83/'time 3'!G83)</f>
        <v>1.5694023210820476</v>
      </c>
      <c r="E84">
        <f>AVERAGE('time 1'!J83/'time 2'!I83,'time 2'!J83/'time 2'!I83,'time 3'!J83/'time 3'!I83)</f>
        <v>1.6504599847824586</v>
      </c>
      <c r="F84">
        <f>AVERAGE('time 1'!L83/'time 1'!K83,'time 2'!L83/'time 2'!K83,'time 3'!L83/'time 3'!K83)</f>
        <v>1.3929555018191977</v>
      </c>
      <c r="G84">
        <f>AVERAGE('time 1'!N83/'time 1'!M83,'time 2'!N83/'time 2'!M83,'time 3'!N83/'time 3'!M83)</f>
        <v>1.6001406935275293</v>
      </c>
      <c r="H84">
        <f>AVERAGE('time 1'!P83/'time 1'!O83,'time 2'!P83/'time 2'!O83,'time 3'!P83/'time 3'!O83)</f>
        <v>1.6302788654280163</v>
      </c>
      <c r="I84">
        <f>AVERAGE('time 1'!R83/'time 1'!Q83,'time 2'!R83/'time 2'!Q83,'time 3'!R83/'time 3'!Q83)</f>
        <v>1.1358904103022305</v>
      </c>
      <c r="J84">
        <f>AVERAGE('time 1'!T83/'time 1'!S83,'time 2'!T83/'time 2'!S83,'time 3'!T83/'time 3'!S83)</f>
        <v>1.4992518557694652</v>
      </c>
      <c r="K84">
        <f t="shared" si="12"/>
        <v>9</v>
      </c>
      <c r="L84">
        <f t="shared" si="13"/>
        <v>0</v>
      </c>
      <c r="M84">
        <f t="shared" si="14"/>
        <v>0</v>
      </c>
      <c r="N84">
        <f t="shared" si="15"/>
        <v>3</v>
      </c>
      <c r="O84">
        <f t="shared" si="16"/>
        <v>0</v>
      </c>
      <c r="P84">
        <f t="shared" si="17"/>
        <v>0</v>
      </c>
      <c r="Q84">
        <f t="shared" si="18"/>
        <v>3</v>
      </c>
      <c r="R84">
        <f t="shared" si="19"/>
        <v>0</v>
      </c>
      <c r="S84">
        <f t="shared" si="20"/>
        <v>0</v>
      </c>
      <c r="T84">
        <f t="shared" si="21"/>
        <v>3</v>
      </c>
      <c r="U84">
        <f t="shared" si="22"/>
        <v>0</v>
      </c>
      <c r="V84">
        <f t="shared" si="23"/>
        <v>0</v>
      </c>
    </row>
    <row r="85" spans="1:22">
      <c r="A85" t="str">
        <f>'time 1'!B84</f>
        <v>&lt;test.TIFFFaxDecoder: int nextLesserThan8Bits(int)&gt;</v>
      </c>
      <c r="B85">
        <f>AVERAGE('time 1'!D84/'time 1'!C84,'time 2'!D84/'time 2'!C84,'time 3'!D84/'time 3'!C84)</f>
        <v>1.0324661477550925</v>
      </c>
      <c r="C85">
        <f>AVERAGE('time 1'!F84/'time 1'!E84,'time 2'!F84/'time 2'!E84,'time 3'!F84/'time 3'!E84)</f>
        <v>1.1070144117940341</v>
      </c>
      <c r="D85">
        <f>AVERAGE('time 1'!H84/'time 1'!G84,'time 2'!H84/'time 2'!G84,'time 3'!H84/'time 3'!G84)</f>
        <v>1.0304507948918973</v>
      </c>
      <c r="E85">
        <f>AVERAGE('time 1'!J84/'time 2'!I84,'time 2'!J84/'time 2'!I84,'time 3'!J84/'time 3'!I84)</f>
        <v>1.1713138778281624</v>
      </c>
      <c r="F85">
        <f>AVERAGE('time 1'!L84/'time 1'!K84,'time 2'!L84/'time 2'!K84,'time 3'!L84/'time 3'!K84)</f>
        <v>1.0752796243390041</v>
      </c>
      <c r="G85">
        <f>AVERAGE('time 1'!N84/'time 1'!M84,'time 2'!N84/'time 2'!M84,'time 3'!N84/'time 3'!M84)</f>
        <v>1.0484534645981627</v>
      </c>
      <c r="H85">
        <f>AVERAGE('time 1'!P84/'time 1'!O84,'time 2'!P84/'time 2'!O84,'time 3'!P84/'time 3'!O84)</f>
        <v>1.0643509682855929</v>
      </c>
      <c r="I85">
        <f>AVERAGE('time 1'!R84/'time 1'!Q84,'time 2'!R84/'time 2'!Q84,'time 3'!R84/'time 3'!Q84)</f>
        <v>1.0146509425803834</v>
      </c>
      <c r="J85">
        <f>AVERAGE('time 1'!T84/'time 1'!S84,'time 2'!T84/'time 2'!S84,'time 3'!T84/'time 3'!S84)</f>
        <v>1.0238689071853884</v>
      </c>
      <c r="K85">
        <f t="shared" si="12"/>
        <v>9</v>
      </c>
      <c r="L85">
        <f t="shared" si="13"/>
        <v>0</v>
      </c>
      <c r="M85">
        <f t="shared" si="14"/>
        <v>0</v>
      </c>
      <c r="N85">
        <f t="shared" si="15"/>
        <v>3</v>
      </c>
      <c r="O85">
        <f t="shared" si="16"/>
        <v>0</v>
      </c>
      <c r="P85">
        <f t="shared" si="17"/>
        <v>0</v>
      </c>
      <c r="Q85">
        <f t="shared" si="18"/>
        <v>3</v>
      </c>
      <c r="R85">
        <f t="shared" si="19"/>
        <v>0</v>
      </c>
      <c r="S85">
        <f t="shared" si="20"/>
        <v>0</v>
      </c>
      <c r="T85">
        <f t="shared" si="21"/>
        <v>3</v>
      </c>
      <c r="U85">
        <f t="shared" si="22"/>
        <v>0</v>
      </c>
      <c r="V85">
        <f t="shared" si="23"/>
        <v>0</v>
      </c>
    </row>
    <row r="86" spans="1:22">
      <c r="A86" t="str">
        <f>'time 1'!B85</f>
        <v>&lt;test.TIFFFaxDecoder: int nextNBits(int)&gt;</v>
      </c>
      <c r="B86">
        <f>AVERAGE('time 1'!D85/'time 1'!C85,'time 2'!D85/'time 2'!C85,'time 3'!D85/'time 3'!C85)</f>
        <v>1.0090775063779989</v>
      </c>
      <c r="C86">
        <f>AVERAGE('time 1'!F85/'time 1'!E85,'time 2'!F85/'time 2'!E85,'time 3'!F85/'time 3'!E85)</f>
        <v>1.0184274783846607</v>
      </c>
      <c r="D86">
        <f>AVERAGE('time 1'!H85/'time 1'!G85,'time 2'!H85/'time 2'!G85,'time 3'!H85/'time 3'!G85)</f>
        <v>1.0166323096512933</v>
      </c>
      <c r="E86">
        <f>AVERAGE('time 1'!J85/'time 2'!I85,'time 2'!J85/'time 2'!I85,'time 3'!J85/'time 3'!I85)</f>
        <v>1.0764944204235503</v>
      </c>
      <c r="F86">
        <f>AVERAGE('time 1'!L85/'time 1'!K85,'time 2'!L85/'time 2'!K85,'time 3'!L85/'time 3'!K85)</f>
        <v>0.99884169653552568</v>
      </c>
      <c r="G86">
        <f>AVERAGE('time 1'!N85/'time 1'!M85,'time 2'!N85/'time 2'!M85,'time 3'!N85/'time 3'!M85)</f>
        <v>1.0029278904497307</v>
      </c>
      <c r="H86">
        <f>AVERAGE('time 1'!P85/'time 1'!O85,'time 2'!P85/'time 2'!O85,'time 3'!P85/'time 3'!O85)</f>
        <v>1.0545994305804633</v>
      </c>
      <c r="I86">
        <f>AVERAGE('time 1'!R85/'time 1'!Q85,'time 2'!R85/'time 2'!Q85,'time 3'!R85/'time 3'!Q85)</f>
        <v>0.96275378578163051</v>
      </c>
      <c r="J86">
        <f>AVERAGE('time 1'!T85/'time 1'!S85,'time 2'!T85/'time 2'!S85,'time 3'!T85/'time 3'!S85)</f>
        <v>1.0140380714375394</v>
      </c>
      <c r="K86">
        <f t="shared" si="12"/>
        <v>9</v>
      </c>
      <c r="L86">
        <f t="shared" si="13"/>
        <v>0</v>
      </c>
      <c r="M86">
        <f t="shared" si="14"/>
        <v>0</v>
      </c>
      <c r="N86">
        <f t="shared" si="15"/>
        <v>3</v>
      </c>
      <c r="O86">
        <f t="shared" si="16"/>
        <v>0</v>
      </c>
      <c r="P86">
        <f t="shared" si="17"/>
        <v>0</v>
      </c>
      <c r="Q86">
        <f t="shared" si="18"/>
        <v>3</v>
      </c>
      <c r="R86">
        <f t="shared" si="19"/>
        <v>0</v>
      </c>
      <c r="S86">
        <f t="shared" si="20"/>
        <v>0</v>
      </c>
      <c r="T86">
        <f t="shared" si="21"/>
        <v>3</v>
      </c>
      <c r="U86">
        <f t="shared" si="22"/>
        <v>0</v>
      </c>
      <c r="V86">
        <f t="shared" si="23"/>
        <v>0</v>
      </c>
    </row>
    <row r="87" spans="1:22">
      <c r="A87" t="str">
        <f>'time 1'!B86</f>
        <v>&lt;test.TIFFFaxDecoder: int readEOL(boolean)&gt;</v>
      </c>
      <c r="B87">
        <f>AVERAGE('time 1'!D86/'time 1'!C86,'time 2'!D86/'time 2'!C86,'time 3'!D86/'time 3'!C86)</f>
        <v>1.050501480348822</v>
      </c>
      <c r="C87">
        <f>AVERAGE('time 1'!F86/'time 1'!E86,'time 2'!F86/'time 2'!E86,'time 3'!F86/'time 3'!E86)</f>
        <v>0.96580441883917423</v>
      </c>
      <c r="D87">
        <f>AVERAGE('time 1'!H86/'time 1'!G86,'time 2'!H86/'time 2'!G86,'time 3'!H86/'time 3'!G86)</f>
        <v>1.1042661707911789</v>
      </c>
      <c r="E87">
        <f>AVERAGE('time 1'!J86/'time 2'!I86,'time 2'!J86/'time 2'!I86,'time 3'!J86/'time 3'!I86)</f>
        <v>1.1129752878144639</v>
      </c>
      <c r="F87">
        <f>AVERAGE('time 1'!L86/'time 1'!K86,'time 2'!L86/'time 2'!K86,'time 3'!L86/'time 3'!K86)</f>
        <v>1.0801477448945074</v>
      </c>
      <c r="G87">
        <f>AVERAGE('time 1'!N86/'time 1'!M86,'time 2'!N86/'time 2'!M86,'time 3'!N86/'time 3'!M86)</f>
        <v>1.195324835079113</v>
      </c>
      <c r="H87">
        <f>AVERAGE('time 1'!P86/'time 1'!O86,'time 2'!P86/'time 2'!O86,'time 3'!P86/'time 3'!O86)</f>
        <v>1.0563407460004621</v>
      </c>
      <c r="I87">
        <f>AVERAGE('time 1'!R86/'time 1'!Q86,'time 2'!R86/'time 2'!Q86,'time 3'!R86/'time 3'!Q86)</f>
        <v>0.99009766679769129</v>
      </c>
      <c r="J87">
        <f>AVERAGE('time 1'!T86/'time 1'!S86,'time 2'!T86/'time 2'!S86,'time 3'!T86/'time 3'!S86)</f>
        <v>1.0853552924461758</v>
      </c>
      <c r="K87">
        <f t="shared" si="12"/>
        <v>9</v>
      </c>
      <c r="L87">
        <f t="shared" si="13"/>
        <v>0</v>
      </c>
      <c r="M87">
        <f t="shared" si="14"/>
        <v>0</v>
      </c>
      <c r="N87">
        <f t="shared" si="15"/>
        <v>3</v>
      </c>
      <c r="O87">
        <f t="shared" si="16"/>
        <v>0</v>
      </c>
      <c r="P87">
        <f t="shared" si="17"/>
        <v>0</v>
      </c>
      <c r="Q87">
        <f t="shared" si="18"/>
        <v>3</v>
      </c>
      <c r="R87">
        <f t="shared" si="19"/>
        <v>0</v>
      </c>
      <c r="S87">
        <f t="shared" si="20"/>
        <v>0</v>
      </c>
      <c r="T87">
        <f t="shared" si="21"/>
        <v>3</v>
      </c>
      <c r="U87">
        <f t="shared" si="22"/>
        <v>0</v>
      </c>
      <c r="V87">
        <f t="shared" si="23"/>
        <v>0</v>
      </c>
    </row>
    <row r="88" spans="1:22">
      <c r="A88" t="str">
        <f>'time 1'!B87</f>
        <v>&lt;test.TIFFFaxDecoder: void decode1D(byte[],byte[],int,int)&gt;</v>
      </c>
      <c r="B88">
        <f>AVERAGE('time 1'!D87/'time 1'!C87,'time 2'!D87/'time 2'!C87,'time 3'!D87/'time 3'!C87)</f>
        <v>1.0496605422804854</v>
      </c>
      <c r="C88">
        <f>AVERAGE('time 1'!F87/'time 1'!E87,'time 2'!F87/'time 2'!E87,'time 3'!F87/'time 3'!E87)</f>
        <v>0.99659822523756825</v>
      </c>
      <c r="D88">
        <f>AVERAGE('time 1'!H87/'time 1'!G87,'time 2'!H87/'time 2'!G87,'time 3'!H87/'time 3'!G87)</f>
        <v>1.1206266680569659</v>
      </c>
      <c r="E88">
        <f>AVERAGE('time 1'!J87/'time 2'!I87,'time 2'!J87/'time 2'!I87,'time 3'!J87/'time 3'!I87)</f>
        <v>1.1994344740031162</v>
      </c>
      <c r="F88">
        <f>AVERAGE('time 1'!L87/'time 1'!K87,'time 2'!L87/'time 2'!K87,'time 3'!L87/'time 3'!K87)</f>
        <v>1.033076041408939</v>
      </c>
      <c r="G88">
        <f>AVERAGE('time 1'!N87/'time 1'!M87,'time 2'!N87/'time 2'!M87,'time 3'!N87/'time 3'!M87)</f>
        <v>1.0973426074059078</v>
      </c>
      <c r="H88">
        <f>AVERAGE('time 1'!P87/'time 1'!O87,'time 2'!P87/'time 2'!O87,'time 3'!P87/'time 3'!O87)</f>
        <v>1.1843534750936038</v>
      </c>
      <c r="I88">
        <f>AVERAGE('time 1'!R87/'time 1'!Q87,'time 2'!R87/'time 2'!Q87,'time 3'!R87/'time 3'!Q87)</f>
        <v>0.99930720024634556</v>
      </c>
      <c r="J88">
        <f>AVERAGE('time 1'!T87/'time 1'!S87,'time 2'!T87/'time 2'!S87,'time 3'!T87/'time 3'!S87)</f>
        <v>1.1726045165661156</v>
      </c>
      <c r="K88">
        <f t="shared" si="12"/>
        <v>9</v>
      </c>
      <c r="L88">
        <f t="shared" si="13"/>
        <v>0</v>
      </c>
      <c r="M88">
        <f t="shared" si="14"/>
        <v>0</v>
      </c>
      <c r="N88">
        <f t="shared" si="15"/>
        <v>3</v>
      </c>
      <c r="O88">
        <f t="shared" si="16"/>
        <v>0</v>
      </c>
      <c r="P88">
        <f t="shared" si="17"/>
        <v>0</v>
      </c>
      <c r="Q88">
        <f t="shared" si="18"/>
        <v>3</v>
      </c>
      <c r="R88">
        <f t="shared" si="19"/>
        <v>0</v>
      </c>
      <c r="S88">
        <f t="shared" si="20"/>
        <v>0</v>
      </c>
      <c r="T88">
        <f t="shared" si="21"/>
        <v>3</v>
      </c>
      <c r="U88">
        <f t="shared" si="22"/>
        <v>0</v>
      </c>
      <c r="V88">
        <f t="shared" si="23"/>
        <v>0</v>
      </c>
    </row>
    <row r="89" spans="1:22">
      <c r="A89" t="str">
        <f>'time 1'!B88</f>
        <v>&lt;test.TIFFFaxDecoder: void decode2D(byte[],byte[],int,int,long)&gt;</v>
      </c>
      <c r="B89">
        <f>AVERAGE('time 1'!D88/'time 1'!C88,'time 2'!D88/'time 2'!C88,'time 3'!D88/'time 3'!C88)</f>
        <v>1.219150207132115</v>
      </c>
      <c r="C89">
        <f>AVERAGE('time 1'!F88/'time 1'!E88,'time 2'!F88/'time 2'!E88,'time 3'!F88/'time 3'!E88)</f>
        <v>1.0797669525411469</v>
      </c>
      <c r="D89">
        <f>AVERAGE('time 1'!H88/'time 1'!G88,'time 2'!H88/'time 2'!G88,'time 3'!H88/'time 3'!G88)</f>
        <v>1.1810931003337313</v>
      </c>
      <c r="E89">
        <f>AVERAGE('time 1'!J88/'time 2'!I88,'time 2'!J88/'time 2'!I88,'time 3'!J88/'time 3'!I88)</f>
        <v>1.368592442590959</v>
      </c>
      <c r="F89">
        <f>AVERAGE('time 1'!L88/'time 1'!K88,'time 2'!L88/'time 2'!K88,'time 3'!L88/'time 3'!K88)</f>
        <v>1.4906611059197818</v>
      </c>
      <c r="G89">
        <f>AVERAGE('time 1'!N88/'time 1'!M88,'time 2'!N88/'time 2'!M88,'time 3'!N88/'time 3'!M88)</f>
        <v>1.1496590802933453</v>
      </c>
      <c r="H89">
        <f>AVERAGE('time 1'!P88/'time 1'!O88,'time 2'!P88/'time 2'!O88,'time 3'!P88/'time 3'!O88)</f>
        <v>1.3150141787096643</v>
      </c>
      <c r="I89">
        <f>AVERAGE('time 1'!R88/'time 1'!Q88,'time 2'!R88/'time 2'!Q88,'time 3'!R88/'time 3'!Q88)</f>
        <v>1.1866870571584873</v>
      </c>
      <c r="J89">
        <f>AVERAGE('time 1'!T88/'time 1'!S88,'time 2'!T88/'time 2'!S88,'time 3'!T88/'time 3'!S88)</f>
        <v>1.2674146186487325</v>
      </c>
      <c r="K89">
        <f t="shared" si="12"/>
        <v>9</v>
      </c>
      <c r="L89">
        <f t="shared" si="13"/>
        <v>0</v>
      </c>
      <c r="M89">
        <f t="shared" si="14"/>
        <v>0</v>
      </c>
      <c r="N89">
        <f t="shared" si="15"/>
        <v>3</v>
      </c>
      <c r="O89">
        <f t="shared" si="16"/>
        <v>0</v>
      </c>
      <c r="P89">
        <f t="shared" si="17"/>
        <v>0</v>
      </c>
      <c r="Q89">
        <f t="shared" si="18"/>
        <v>3</v>
      </c>
      <c r="R89">
        <f t="shared" si="19"/>
        <v>0</v>
      </c>
      <c r="S89">
        <f t="shared" si="20"/>
        <v>0</v>
      </c>
      <c r="T89">
        <f t="shared" si="21"/>
        <v>3</v>
      </c>
      <c r="U89">
        <f t="shared" si="22"/>
        <v>0</v>
      </c>
      <c r="V89">
        <f t="shared" si="23"/>
        <v>0</v>
      </c>
    </row>
    <row r="90" spans="1:22">
      <c r="A90" t="str">
        <f>'time 1'!B89</f>
        <v>&lt;test.TIFFFaxDecoder: void decodeT6(byte[],byte[],int,int,long)&gt;</v>
      </c>
      <c r="B90">
        <f>AVERAGE('time 1'!D89/'time 1'!C89,'time 2'!D89/'time 2'!C89,'time 3'!D89/'time 3'!C89)</f>
        <v>1.3866479945007155</v>
      </c>
      <c r="C90">
        <f>AVERAGE('time 1'!F89/'time 1'!E89,'time 2'!F89/'time 2'!E89,'time 3'!F89/'time 3'!E89)</f>
        <v>1.201320659742436</v>
      </c>
      <c r="D90">
        <f>AVERAGE('time 1'!H89/'time 1'!G89,'time 2'!H89/'time 2'!G89,'time 3'!H89/'time 3'!G89)</f>
        <v>1.2843326616545838</v>
      </c>
      <c r="E90">
        <f>AVERAGE('time 1'!J89/'time 2'!I89,'time 2'!J89/'time 2'!I89,'time 3'!J89/'time 3'!I89)</f>
        <v>1.4542169245853074</v>
      </c>
      <c r="F90">
        <f>AVERAGE('time 1'!L89/'time 1'!K89,'time 2'!L89/'time 2'!K89,'time 3'!L89/'time 3'!K89)</f>
        <v>1.4856419739523545</v>
      </c>
      <c r="G90">
        <f>AVERAGE('time 1'!N89/'time 1'!M89,'time 2'!N89/'time 2'!M89,'time 3'!N89/'time 3'!M89)</f>
        <v>1.3770495533529523</v>
      </c>
      <c r="H90">
        <f>AVERAGE('time 1'!P89/'time 1'!O89,'time 2'!P89/'time 2'!O89,'time 3'!P89/'time 3'!O89)</f>
        <v>1.3000670365289171</v>
      </c>
      <c r="I90">
        <f>AVERAGE('time 1'!R89/'time 1'!Q89,'time 2'!R89/'time 2'!Q89,'time 3'!R89/'time 3'!Q89)</f>
        <v>1.3977564498439905</v>
      </c>
      <c r="J90">
        <f>AVERAGE('time 1'!T89/'time 1'!S89,'time 2'!T89/'time 2'!S89,'time 3'!T89/'time 3'!S89)</f>
        <v>1.3892318311022847</v>
      </c>
      <c r="K90">
        <f t="shared" si="12"/>
        <v>9</v>
      </c>
      <c r="L90">
        <f t="shared" si="13"/>
        <v>0</v>
      </c>
      <c r="M90">
        <f t="shared" si="14"/>
        <v>0</v>
      </c>
      <c r="N90">
        <f t="shared" si="15"/>
        <v>3</v>
      </c>
      <c r="O90">
        <f t="shared" si="16"/>
        <v>0</v>
      </c>
      <c r="P90">
        <f t="shared" si="17"/>
        <v>0</v>
      </c>
      <c r="Q90">
        <f t="shared" si="18"/>
        <v>3</v>
      </c>
      <c r="R90">
        <f t="shared" si="19"/>
        <v>0</v>
      </c>
      <c r="S90">
        <f t="shared" si="20"/>
        <v>0</v>
      </c>
      <c r="T90">
        <f t="shared" si="21"/>
        <v>3</v>
      </c>
      <c r="U90">
        <f t="shared" si="22"/>
        <v>0</v>
      </c>
      <c r="V90">
        <f t="shared" si="23"/>
        <v>0</v>
      </c>
    </row>
    <row r="91" spans="1:22">
      <c r="A91" t="str">
        <f>'time 1'!B90</f>
        <v>&lt;test.TIFFFaxDecoder: void getNextChangingElement(int,boolean,int[])&gt;</v>
      </c>
      <c r="B91">
        <f>AVERAGE('time 1'!D90/'time 1'!C90,'time 2'!D90/'time 2'!C90,'time 3'!D90/'time 3'!C90)</f>
        <v>1.1340318874748254</v>
      </c>
      <c r="C91">
        <f>AVERAGE('time 1'!F90/'time 1'!E90,'time 2'!F90/'time 2'!E90,'time 3'!F90/'time 3'!E90)</f>
        <v>1.0736388559697805</v>
      </c>
      <c r="D91">
        <f>AVERAGE('time 1'!H90/'time 1'!G90,'time 2'!H90/'time 2'!G90,'time 3'!H90/'time 3'!G90)</f>
        <v>1.1331739001115497</v>
      </c>
      <c r="E91">
        <f>AVERAGE('time 1'!J90/'time 2'!I90,'time 2'!J90/'time 2'!I90,'time 3'!J90/'time 3'!I90)</f>
        <v>1.2784327003564611</v>
      </c>
      <c r="F91">
        <f>AVERAGE('time 1'!L90/'time 1'!K90,'time 2'!L90/'time 2'!K90,'time 3'!L90/'time 3'!K90)</f>
        <v>0.99138880774390881</v>
      </c>
      <c r="G91">
        <f>AVERAGE('time 1'!N90/'time 1'!M90,'time 2'!N90/'time 2'!M90,'time 3'!N90/'time 3'!M90)</f>
        <v>1.2229967357212335</v>
      </c>
      <c r="H91">
        <f>AVERAGE('time 1'!P90/'time 1'!O90,'time 2'!P90/'time 2'!O90,'time 3'!P90/'time 3'!O90)</f>
        <v>1.1742811081254991</v>
      </c>
      <c r="I91">
        <f>AVERAGE('time 1'!R90/'time 1'!Q90,'time 2'!R90/'time 2'!Q90,'time 3'!R90/'time 3'!Q90)</f>
        <v>1.0714486424640974</v>
      </c>
      <c r="J91">
        <f>AVERAGE('time 1'!T90/'time 1'!S90,'time 2'!T90/'time 2'!S90,'time 3'!T90/'time 3'!S90)</f>
        <v>1.2997278042412546</v>
      </c>
      <c r="K91">
        <f t="shared" si="12"/>
        <v>9</v>
      </c>
      <c r="L91">
        <f t="shared" si="13"/>
        <v>0</v>
      </c>
      <c r="M91">
        <f t="shared" si="14"/>
        <v>0</v>
      </c>
      <c r="N91">
        <f t="shared" si="15"/>
        <v>3</v>
      </c>
      <c r="O91">
        <f t="shared" si="16"/>
        <v>0</v>
      </c>
      <c r="P91">
        <f t="shared" si="17"/>
        <v>0</v>
      </c>
      <c r="Q91">
        <f t="shared" si="18"/>
        <v>3</v>
      </c>
      <c r="R91">
        <f t="shared" si="19"/>
        <v>0</v>
      </c>
      <c r="S91">
        <f t="shared" si="20"/>
        <v>0</v>
      </c>
      <c r="T91">
        <f t="shared" si="21"/>
        <v>3</v>
      </c>
      <c r="U91">
        <f t="shared" si="22"/>
        <v>0</v>
      </c>
      <c r="V91">
        <f t="shared" si="23"/>
        <v>0</v>
      </c>
    </row>
    <row r="92" spans="1:22">
      <c r="A92" t="str">
        <f>'time 1'!B91</f>
        <v>&lt;test.TIFFFaxDecoder: void setToBlack(byte[],int,int,int)&gt;</v>
      </c>
      <c r="B92">
        <f>AVERAGE('time 1'!D91/'time 1'!C91,'time 2'!D91/'time 2'!C91,'time 3'!D91/'time 3'!C91)</f>
        <v>1.5694958591678114</v>
      </c>
      <c r="C92">
        <f>AVERAGE('time 1'!F91/'time 1'!E91,'time 2'!F91/'time 2'!E91,'time 3'!F91/'time 3'!E91)</f>
        <v>1.1766303008194345</v>
      </c>
      <c r="D92">
        <f>AVERAGE('time 1'!H91/'time 1'!G91,'time 2'!H91/'time 2'!G91,'time 3'!H91/'time 3'!G91)</f>
        <v>1.5371211257296278</v>
      </c>
      <c r="E92">
        <f>AVERAGE('time 1'!J91/'time 2'!I91,'time 2'!J91/'time 2'!I91,'time 3'!J91/'time 3'!I91)</f>
        <v>1.4686844262864607</v>
      </c>
      <c r="F92">
        <f>AVERAGE('time 1'!L91/'time 1'!K91,'time 2'!L91/'time 2'!K91,'time 3'!L91/'time 3'!K91)</f>
        <v>1.3446954575456893</v>
      </c>
      <c r="G92">
        <f>AVERAGE('time 1'!N91/'time 1'!M91,'time 2'!N91/'time 2'!M91,'time 3'!N91/'time 3'!M91)</f>
        <v>1.4550696960356151</v>
      </c>
      <c r="H92">
        <f>AVERAGE('time 1'!P91/'time 1'!O91,'time 2'!P91/'time 2'!O91,'time 3'!P91/'time 3'!O91)</f>
        <v>1.5053052385314476</v>
      </c>
      <c r="I92">
        <f>AVERAGE('time 1'!R91/'time 1'!Q91,'time 2'!R91/'time 2'!Q91,'time 3'!R91/'time 3'!Q91)</f>
        <v>1.2760220291616815</v>
      </c>
      <c r="J92">
        <f>AVERAGE('time 1'!T91/'time 1'!S91,'time 2'!T91/'time 2'!S91,'time 3'!T91/'time 3'!S91)</f>
        <v>1.4794787777849672</v>
      </c>
      <c r="K92">
        <f t="shared" si="12"/>
        <v>9</v>
      </c>
      <c r="L92">
        <f t="shared" si="13"/>
        <v>0</v>
      </c>
      <c r="M92">
        <f t="shared" si="14"/>
        <v>0</v>
      </c>
      <c r="N92">
        <f t="shared" si="15"/>
        <v>3</v>
      </c>
      <c r="O92">
        <f t="shared" si="16"/>
        <v>0</v>
      </c>
      <c r="P92">
        <f t="shared" si="17"/>
        <v>0</v>
      </c>
      <c r="Q92">
        <f t="shared" si="18"/>
        <v>3</v>
      </c>
      <c r="R92">
        <f t="shared" si="19"/>
        <v>0</v>
      </c>
      <c r="S92">
        <f t="shared" si="20"/>
        <v>0</v>
      </c>
      <c r="T92">
        <f t="shared" si="21"/>
        <v>3</v>
      </c>
      <c r="U92">
        <f t="shared" si="22"/>
        <v>0</v>
      </c>
      <c r="V92">
        <f t="shared" si="23"/>
        <v>0</v>
      </c>
    </row>
    <row r="93" spans="1:22">
      <c r="A93" t="str">
        <f>'time 1'!B92</f>
        <v>&lt;test.TIFFFaxDecoder: void updatePointer(int)&gt;</v>
      </c>
      <c r="B93">
        <f>AVERAGE('time 1'!D92/'time 1'!C92,'time 2'!D92/'time 2'!C92,'time 3'!D92/'time 3'!C92)</f>
        <v>0.85773155416012559</v>
      </c>
      <c r="C93">
        <f>AVERAGE('time 1'!F92/'time 1'!E92,'time 2'!F92/'time 2'!E92,'time 3'!F92/'time 3'!E92)</f>
        <v>0.98890824979658376</v>
      </c>
      <c r="D93">
        <f>AVERAGE('time 1'!H92/'time 1'!G92,'time 2'!H92/'time 2'!G92,'time 3'!H92/'time 3'!G92)</f>
        <v>0.96344178697119875</v>
      </c>
      <c r="E93">
        <f>AVERAGE('time 1'!J92/'time 2'!I92,'time 2'!J92/'time 2'!I92,'time 3'!J92/'time 3'!I92)</f>
        <v>1.086868686868687</v>
      </c>
      <c r="F93">
        <f>AVERAGE('time 1'!L92/'time 1'!K92,'time 2'!L92/'time 2'!K92,'time 3'!L92/'time 3'!K92)</f>
        <v>1.0425793858444277</v>
      </c>
      <c r="G93">
        <f>AVERAGE('time 1'!N92/'time 1'!M92,'time 2'!N92/'time 2'!M92,'time 3'!N92/'time 3'!M92)</f>
        <v>1.0060606060606061</v>
      </c>
      <c r="H93">
        <f>AVERAGE('time 1'!P92/'time 1'!O92,'time 2'!P92/'time 2'!O92,'time 3'!P92/'time 3'!O92)</f>
        <v>1.0619855967078189</v>
      </c>
      <c r="I93">
        <f>AVERAGE('time 1'!R92/'time 1'!Q92,'time 2'!R92/'time 2'!Q92,'time 3'!R92/'time 3'!Q92)</f>
        <v>1.0289680400930277</v>
      </c>
      <c r="J93">
        <f>AVERAGE('time 1'!T92/'time 1'!S92,'time 2'!T92/'time 2'!S92,'time 3'!T92/'time 3'!S92)</f>
        <v>1.0319220430107527</v>
      </c>
      <c r="K93">
        <f t="shared" si="12"/>
        <v>9</v>
      </c>
      <c r="L93">
        <f t="shared" si="13"/>
        <v>0</v>
      </c>
      <c r="M93">
        <f t="shared" si="14"/>
        <v>0</v>
      </c>
      <c r="N93">
        <f t="shared" si="15"/>
        <v>3</v>
      </c>
      <c r="O93">
        <f t="shared" si="16"/>
        <v>0</v>
      </c>
      <c r="P93">
        <f t="shared" si="17"/>
        <v>0</v>
      </c>
      <c r="Q93">
        <f t="shared" si="18"/>
        <v>3</v>
      </c>
      <c r="R93">
        <f t="shared" si="19"/>
        <v>0</v>
      </c>
      <c r="S93">
        <f t="shared" si="20"/>
        <v>0</v>
      </c>
      <c r="T93">
        <f t="shared" si="21"/>
        <v>3</v>
      </c>
      <c r="U93">
        <f t="shared" si="22"/>
        <v>0</v>
      </c>
      <c r="V93">
        <f t="shared" si="23"/>
        <v>0</v>
      </c>
    </row>
    <row r="94" spans="1:22">
      <c r="A94" t="str">
        <f>'time 1'!B93</f>
        <v>&lt;test.TIFFFaxEncoder: int add1DBits(byte[],int,int,int)&gt;</v>
      </c>
      <c r="B94">
        <f>AVERAGE('time 1'!D93/'time 1'!C93,'time 2'!D93/'time 2'!C93,'time 3'!D93/'time 3'!C93)</f>
        <v>1.5483460191258187</v>
      </c>
      <c r="C94">
        <f>AVERAGE('time 1'!F93/'time 1'!E93,'time 2'!F93/'time 2'!E93,'time 3'!F93/'time 3'!E93)</f>
        <v>1.1619703441433049</v>
      </c>
      <c r="D94">
        <f>AVERAGE('time 1'!H93/'time 1'!G93,'time 2'!H93/'time 2'!G93,'time 3'!H93/'time 3'!G93)</f>
        <v>1.5667939350382305</v>
      </c>
      <c r="E94">
        <f>AVERAGE('time 1'!J93/'time 2'!I93,'time 2'!J93/'time 2'!I93,'time 3'!J93/'time 3'!I93)</f>
        <v>1.5533661561698944</v>
      </c>
      <c r="F94">
        <f>AVERAGE('time 1'!L93/'time 1'!K93,'time 2'!L93/'time 2'!K93,'time 3'!L93/'time 3'!K93)</f>
        <v>1.503660564092925</v>
      </c>
      <c r="G94">
        <f>AVERAGE('time 1'!N93/'time 1'!M93,'time 2'!N93/'time 2'!M93,'time 3'!N93/'time 3'!M93)</f>
        <v>1.6411889268833637</v>
      </c>
      <c r="H94">
        <f>AVERAGE('time 1'!P93/'time 1'!O93,'time 2'!P93/'time 2'!O93,'time 3'!P93/'time 3'!O93)</f>
        <v>1.5141469533459029</v>
      </c>
      <c r="I94">
        <f>AVERAGE('time 1'!R93/'time 1'!Q93,'time 2'!R93/'time 2'!Q93,'time 3'!R93/'time 3'!Q93)</f>
        <v>1.1285990782367532</v>
      </c>
      <c r="J94">
        <f>AVERAGE('time 1'!T93/'time 1'!S93,'time 2'!T93/'time 2'!S93,'time 3'!T93/'time 3'!S93)</f>
        <v>1.4515887412720552</v>
      </c>
      <c r="K94">
        <f t="shared" si="12"/>
        <v>9</v>
      </c>
      <c r="L94">
        <f t="shared" si="13"/>
        <v>0</v>
      </c>
      <c r="M94">
        <f t="shared" si="14"/>
        <v>0</v>
      </c>
      <c r="N94">
        <f t="shared" si="15"/>
        <v>3</v>
      </c>
      <c r="O94">
        <f t="shared" si="16"/>
        <v>0</v>
      </c>
      <c r="P94">
        <f t="shared" si="17"/>
        <v>0</v>
      </c>
      <c r="Q94">
        <f t="shared" si="18"/>
        <v>3</v>
      </c>
      <c r="R94">
        <f t="shared" si="19"/>
        <v>0</v>
      </c>
      <c r="S94">
        <f t="shared" si="20"/>
        <v>0</v>
      </c>
      <c r="T94">
        <f t="shared" si="21"/>
        <v>3</v>
      </c>
      <c r="U94">
        <f t="shared" si="22"/>
        <v>0</v>
      </c>
      <c r="V94">
        <f t="shared" si="23"/>
        <v>0</v>
      </c>
    </row>
    <row r="95" spans="1:22">
      <c r="A95" t="str">
        <f>'time 1'!B94</f>
        <v>&lt;test.TIFFFaxEncoder: int add2DBits(byte[],int,int[][],int)&gt;</v>
      </c>
      <c r="B95">
        <f>AVERAGE('time 1'!D94/'time 1'!C94,'time 2'!D94/'time 2'!C94,'time 3'!D94/'time 3'!C94)</f>
        <v>1.3518763213530656</v>
      </c>
      <c r="C95">
        <f>AVERAGE('time 1'!F94/'time 1'!E94,'time 2'!F94/'time 2'!E94,'time 3'!F94/'time 3'!E94)</f>
        <v>1.0506139115744504</v>
      </c>
      <c r="D95">
        <f>AVERAGE('time 1'!H94/'time 1'!G94,'time 2'!H94/'time 2'!G94,'time 3'!H94/'time 3'!G94)</f>
        <v>1.2171061062150172</v>
      </c>
      <c r="E95">
        <f>AVERAGE('time 1'!J94/'time 2'!I94,'time 2'!J94/'time 2'!I94,'time 3'!J94/'time 3'!I94)</f>
        <v>1.4716613992687613</v>
      </c>
      <c r="F95">
        <f>AVERAGE('time 1'!L94/'time 1'!K94,'time 2'!L94/'time 2'!K94,'time 3'!L94/'time 3'!K94)</f>
        <v>1.2157592663932386</v>
      </c>
      <c r="G95">
        <f>AVERAGE('time 1'!N94/'time 1'!M94,'time 2'!N94/'time 2'!M94,'time 3'!N94/'time 3'!M94)</f>
        <v>1.4090113735783028</v>
      </c>
      <c r="H95">
        <f>AVERAGE('time 1'!P94/'time 1'!O94,'time 2'!P94/'time 2'!O94,'time 3'!P94/'time 3'!O94)</f>
        <v>1.3418873116438725</v>
      </c>
      <c r="I95">
        <f>AVERAGE('time 1'!R94/'time 1'!Q94,'time 2'!R94/'time 2'!Q94,'time 3'!R94/'time 3'!Q94)</f>
        <v>1.010642137891723</v>
      </c>
      <c r="J95">
        <f>AVERAGE('time 1'!T94/'time 1'!S94,'time 2'!T94/'time 2'!S94,'time 3'!T94/'time 3'!S94)</f>
        <v>1.3398293029871977</v>
      </c>
      <c r="K95">
        <f t="shared" si="12"/>
        <v>9</v>
      </c>
      <c r="L95">
        <f t="shared" si="13"/>
        <v>0</v>
      </c>
      <c r="M95">
        <f t="shared" si="14"/>
        <v>0</v>
      </c>
      <c r="N95">
        <f t="shared" si="15"/>
        <v>3</v>
      </c>
      <c r="O95">
        <f t="shared" si="16"/>
        <v>0</v>
      </c>
      <c r="P95">
        <f t="shared" si="17"/>
        <v>0</v>
      </c>
      <c r="Q95">
        <f t="shared" si="18"/>
        <v>3</v>
      </c>
      <c r="R95">
        <f t="shared" si="19"/>
        <v>0</v>
      </c>
      <c r="S95">
        <f t="shared" si="20"/>
        <v>0</v>
      </c>
      <c r="T95">
        <f t="shared" si="21"/>
        <v>3</v>
      </c>
      <c r="U95">
        <f t="shared" si="22"/>
        <v>0</v>
      </c>
      <c r="V95">
        <f t="shared" si="23"/>
        <v>0</v>
      </c>
    </row>
    <row r="96" spans="1:22">
      <c r="A96" t="str">
        <f>'time 1'!B95</f>
        <v>&lt;test.TIFFFaxEncoder: int addEOFB(byte[],int)&gt;</v>
      </c>
      <c r="B96">
        <f>AVERAGE('time 1'!D95/'time 1'!C95,'time 2'!D95/'time 2'!C95,'time 3'!D95/'time 3'!C95)</f>
        <v>1.2066354612020245</v>
      </c>
      <c r="C96">
        <f>AVERAGE('time 1'!F95/'time 1'!E95,'time 2'!F95/'time 2'!E95,'time 3'!F95/'time 3'!E95)</f>
        <v>1.0120638898734364</v>
      </c>
      <c r="D96">
        <f>AVERAGE('time 1'!H95/'time 1'!G95,'time 2'!H95/'time 2'!G95,'time 3'!H95/'time 3'!G95)</f>
        <v>1.5793670615099187</v>
      </c>
      <c r="E96">
        <f>AVERAGE('time 1'!J95/'time 2'!I95,'time 2'!J95/'time 2'!I95,'time 3'!J95/'time 3'!I95)</f>
        <v>1.3553741496598637</v>
      </c>
      <c r="F96">
        <f>AVERAGE('time 1'!L95/'time 1'!K95,'time 2'!L95/'time 2'!K95,'time 3'!L95/'time 3'!K95)</f>
        <v>1.4049271235459748</v>
      </c>
      <c r="G96">
        <f>AVERAGE('time 1'!N95/'time 1'!M95,'time 2'!N95/'time 2'!M95,'time 3'!N95/'time 3'!M95)</f>
        <v>1.2205512652606541</v>
      </c>
      <c r="H96">
        <f>AVERAGE('time 1'!P95/'time 1'!O95,'time 2'!P95/'time 2'!O95,'time 3'!P95/'time 3'!O95)</f>
        <v>1.3050032653935855</v>
      </c>
      <c r="I96">
        <f>AVERAGE('time 1'!R95/'time 1'!Q95,'time 2'!R95/'time 2'!Q95,'time 3'!R95/'time 3'!Q95)</f>
        <v>1.1033434086729954</v>
      </c>
      <c r="J96">
        <f>AVERAGE('time 1'!T95/'time 1'!S95,'time 2'!T95/'time 2'!S95,'time 3'!T95/'time 3'!S95)</f>
        <v>1.3567590729562562</v>
      </c>
      <c r="K96">
        <f t="shared" si="12"/>
        <v>9</v>
      </c>
      <c r="L96">
        <f t="shared" si="13"/>
        <v>0</v>
      </c>
      <c r="M96">
        <f t="shared" si="14"/>
        <v>0</v>
      </c>
      <c r="N96">
        <f t="shared" si="15"/>
        <v>3</v>
      </c>
      <c r="O96">
        <f t="shared" si="16"/>
        <v>0</v>
      </c>
      <c r="P96">
        <f t="shared" si="17"/>
        <v>0</v>
      </c>
      <c r="Q96">
        <f t="shared" si="18"/>
        <v>3</v>
      </c>
      <c r="R96">
        <f t="shared" si="19"/>
        <v>0</v>
      </c>
      <c r="S96">
        <f t="shared" si="20"/>
        <v>0</v>
      </c>
      <c r="T96">
        <f t="shared" si="21"/>
        <v>3</v>
      </c>
      <c r="U96">
        <f t="shared" si="22"/>
        <v>0</v>
      </c>
      <c r="V96">
        <f t="shared" si="23"/>
        <v>0</v>
      </c>
    </row>
    <row r="97" spans="1:22">
      <c r="A97" t="str">
        <f>'time 1'!B96</f>
        <v>&lt;test.TIFFFaxEncoder: int addEOL(boolean,boolean,boolean,byte[],int)&gt;</v>
      </c>
      <c r="B97">
        <f>AVERAGE('time 1'!D96/'time 1'!C96,'time 2'!D96/'time 2'!C96,'time 3'!D96/'time 3'!C96)</f>
        <v>1.0947440280739764</v>
      </c>
      <c r="C97">
        <f>AVERAGE('time 1'!F96/'time 1'!E96,'time 2'!F96/'time 2'!E96,'time 3'!F96/'time 3'!E96)</f>
        <v>0.95209459889036019</v>
      </c>
      <c r="D97">
        <f>AVERAGE('time 1'!H96/'time 1'!G96,'time 2'!H96/'time 2'!G96,'time 3'!H96/'time 3'!G96)</f>
        <v>1.0311855338577558</v>
      </c>
      <c r="E97">
        <f>AVERAGE('time 1'!J96/'time 2'!I96,'time 2'!J96/'time 2'!I96,'time 3'!J96/'time 3'!I96)</f>
        <v>1.1233011174871639</v>
      </c>
      <c r="F97">
        <f>AVERAGE('time 1'!L96/'time 1'!K96,'time 2'!L96/'time 2'!K96,'time 3'!L96/'time 3'!K96)</f>
        <v>1.1510819949661577</v>
      </c>
      <c r="G97">
        <f>AVERAGE('time 1'!N96/'time 1'!M96,'time 2'!N96/'time 2'!M96,'time 3'!N96/'time 3'!M96)</f>
        <v>1.0993918296176359</v>
      </c>
      <c r="H97">
        <f>AVERAGE('time 1'!P96/'time 1'!O96,'time 2'!P96/'time 2'!O96,'time 3'!P96/'time 3'!O96)</f>
        <v>1.0100288512133144</v>
      </c>
      <c r="I97">
        <f>AVERAGE('time 1'!R96/'time 1'!Q96,'time 2'!R96/'time 2'!Q96,'time 3'!R96/'time 3'!Q96)</f>
        <v>1.0549875466332779</v>
      </c>
      <c r="J97">
        <f>AVERAGE('time 1'!T96/'time 1'!S96,'time 2'!T96/'time 2'!S96,'time 3'!T96/'time 3'!S96)</f>
        <v>1.092812847380924</v>
      </c>
      <c r="K97">
        <f t="shared" si="12"/>
        <v>9</v>
      </c>
      <c r="L97">
        <f t="shared" si="13"/>
        <v>0</v>
      </c>
      <c r="M97">
        <f t="shared" si="14"/>
        <v>0</v>
      </c>
      <c r="N97">
        <f t="shared" si="15"/>
        <v>3</v>
      </c>
      <c r="O97">
        <f t="shared" si="16"/>
        <v>0</v>
      </c>
      <c r="P97">
        <f t="shared" si="17"/>
        <v>0</v>
      </c>
      <c r="Q97">
        <f t="shared" si="18"/>
        <v>3</v>
      </c>
      <c r="R97">
        <f t="shared" si="19"/>
        <v>0</v>
      </c>
      <c r="S97">
        <f t="shared" si="20"/>
        <v>0</v>
      </c>
      <c r="T97">
        <f t="shared" si="21"/>
        <v>3</v>
      </c>
      <c r="U97">
        <f t="shared" si="22"/>
        <v>0</v>
      </c>
      <c r="V97">
        <f t="shared" si="23"/>
        <v>0</v>
      </c>
    </row>
    <row r="98" spans="1:22">
      <c r="A98" t="str">
        <f>'time 1'!B97</f>
        <v>&lt;test.TIFFFaxEncoder: int encode1D(byte[],int,int,int,byte[],int)&gt;</v>
      </c>
      <c r="B98">
        <f>AVERAGE('time 1'!D97/'time 1'!C97,'time 2'!D97/'time 2'!C97,'time 3'!D97/'time 3'!C97)</f>
        <v>1.0066390811914803</v>
      </c>
      <c r="C98">
        <f>AVERAGE('time 1'!F97/'time 1'!E97,'time 2'!F97/'time 2'!E97,'time 3'!F97/'time 3'!E97)</f>
        <v>0.99684647344398203</v>
      </c>
      <c r="D98">
        <f>AVERAGE('time 1'!H97/'time 1'!G97,'time 2'!H97/'time 2'!G97,'time 3'!H97/'time 3'!G97)</f>
        <v>1.1071374162540335</v>
      </c>
      <c r="E98">
        <f>AVERAGE('time 1'!J97/'time 2'!I97,'time 2'!J97/'time 2'!I97,'time 3'!J97/'time 3'!I97)</f>
        <v>1.0901332603139833</v>
      </c>
      <c r="F98">
        <f>AVERAGE('time 1'!L97/'time 1'!K97,'time 2'!L97/'time 2'!K97,'time 3'!L97/'time 3'!K97)</f>
        <v>1.1460231905357836</v>
      </c>
      <c r="G98">
        <f>AVERAGE('time 1'!N97/'time 1'!M97,'time 2'!N97/'time 2'!M97,'time 3'!N97/'time 3'!M97)</f>
        <v>0.9277461013645224</v>
      </c>
      <c r="H98">
        <f>AVERAGE('time 1'!P97/'time 1'!O97,'time 2'!P97/'time 2'!O97,'time 3'!P97/'time 3'!O97)</f>
        <v>1.0480024584091063</v>
      </c>
      <c r="I98">
        <f>AVERAGE('time 1'!R97/'time 1'!Q97,'time 2'!R97/'time 2'!Q97,'time 3'!R97/'time 3'!Q97)</f>
        <v>0.94797770114555557</v>
      </c>
      <c r="J98">
        <f>AVERAGE('time 1'!T97/'time 1'!S97,'time 2'!T97/'time 2'!S97,'time 3'!T97/'time 3'!S97)</f>
        <v>0.97604316713858674</v>
      </c>
      <c r="K98">
        <f t="shared" si="12"/>
        <v>9</v>
      </c>
      <c r="L98">
        <f t="shared" si="13"/>
        <v>0</v>
      </c>
      <c r="M98">
        <f t="shared" si="14"/>
        <v>0</v>
      </c>
      <c r="N98">
        <f t="shared" si="15"/>
        <v>3</v>
      </c>
      <c r="O98">
        <f t="shared" si="16"/>
        <v>0</v>
      </c>
      <c r="P98">
        <f t="shared" si="17"/>
        <v>0</v>
      </c>
      <c r="Q98">
        <f t="shared" si="18"/>
        <v>3</v>
      </c>
      <c r="R98">
        <f t="shared" si="19"/>
        <v>0</v>
      </c>
      <c r="S98">
        <f t="shared" si="20"/>
        <v>0</v>
      </c>
      <c r="T98">
        <f t="shared" si="21"/>
        <v>3</v>
      </c>
      <c r="U98">
        <f t="shared" si="22"/>
        <v>0</v>
      </c>
      <c r="V98">
        <f t="shared" si="23"/>
        <v>0</v>
      </c>
    </row>
    <row r="99" spans="1:22">
      <c r="A99" t="str">
        <f>'time 1'!B98</f>
        <v>&lt;test.TIFFFaxEncoder: int encodeRLE(byte[],int,int,int,byte[],boolean)&gt;</v>
      </c>
      <c r="B99">
        <f>AVERAGE('time 1'!D98/'time 1'!C98,'time 2'!D98/'time 2'!C98,'time 3'!D98/'time 3'!C98)</f>
        <v>1.0076096756568083</v>
      </c>
      <c r="C99">
        <f>AVERAGE('time 1'!F98/'time 1'!E98,'time 2'!F98/'time 2'!E98,'time 3'!F98/'time 3'!E98)</f>
        <v>0.94595807074538707</v>
      </c>
      <c r="D99">
        <f>AVERAGE('time 1'!H98/'time 1'!G98,'time 2'!H98/'time 2'!G98,'time 3'!H98/'time 3'!G98)</f>
        <v>1.072475321826815</v>
      </c>
      <c r="E99">
        <f>AVERAGE('time 1'!J98/'time 2'!I98,'time 2'!J98/'time 2'!I98,'time 3'!J98/'time 3'!I98)</f>
        <v>1.0296224812566841</v>
      </c>
      <c r="F99">
        <f>AVERAGE('time 1'!L98/'time 1'!K98,'time 2'!L98/'time 2'!K98,'time 3'!L98/'time 3'!K98)</f>
        <v>1.073029424741567</v>
      </c>
      <c r="G99">
        <f>AVERAGE('time 1'!N98/'time 1'!M98,'time 2'!N98/'time 2'!M98,'time 3'!N98/'time 3'!M98)</f>
        <v>1.0039958984187787</v>
      </c>
      <c r="H99">
        <f>AVERAGE('time 1'!P98/'time 1'!O98,'time 2'!P98/'time 2'!O98,'time 3'!P98/'time 3'!O98)</f>
        <v>1.0464757786246033</v>
      </c>
      <c r="I99">
        <f>AVERAGE('time 1'!R98/'time 1'!Q98,'time 2'!R98/'time 2'!Q98,'time 3'!R98/'time 3'!Q98)</f>
        <v>1.0181582970603926</v>
      </c>
      <c r="J99">
        <f>AVERAGE('time 1'!T98/'time 1'!S98,'time 2'!T98/'time 2'!S98,'time 3'!T98/'time 3'!S98)</f>
        <v>0.93700468328383313</v>
      </c>
      <c r="K99">
        <f t="shared" si="12"/>
        <v>9</v>
      </c>
      <c r="L99">
        <f t="shared" si="13"/>
        <v>0</v>
      </c>
      <c r="M99">
        <f t="shared" si="14"/>
        <v>0</v>
      </c>
      <c r="N99">
        <f t="shared" si="15"/>
        <v>3</v>
      </c>
      <c r="O99">
        <f t="shared" si="16"/>
        <v>0</v>
      </c>
      <c r="P99">
        <f t="shared" si="17"/>
        <v>0</v>
      </c>
      <c r="Q99">
        <f t="shared" si="18"/>
        <v>3</v>
      </c>
      <c r="R99">
        <f t="shared" si="19"/>
        <v>0</v>
      </c>
      <c r="S99">
        <f t="shared" si="20"/>
        <v>0</v>
      </c>
      <c r="T99">
        <f t="shared" si="21"/>
        <v>3</v>
      </c>
      <c r="U99">
        <f t="shared" si="22"/>
        <v>0</v>
      </c>
      <c r="V99">
        <f t="shared" si="23"/>
        <v>0</v>
      </c>
    </row>
    <row r="100" spans="1:22">
      <c r="A100" t="str">
        <f>'time 1'!B99</f>
        <v>&lt;test.TIFFFaxEncoder: int encodeT4(boolean,boolean,byte[],int,int,int,int,byte[])&gt;</v>
      </c>
      <c r="B100">
        <f>AVERAGE('time 1'!D99/'time 1'!C99,'time 2'!D99/'time 2'!C99,'time 3'!D99/'time 3'!C99)</f>
        <v>1.1611932720325739</v>
      </c>
      <c r="C100">
        <f>AVERAGE('time 1'!F99/'time 1'!E99,'time 2'!F99/'time 2'!E99,'time 3'!F99/'time 3'!E99)</f>
        <v>1.0607111308408905</v>
      </c>
      <c r="D100">
        <f>AVERAGE('time 1'!H99/'time 1'!G99,'time 2'!H99/'time 2'!G99,'time 3'!H99/'time 3'!G99)</f>
        <v>1.1510189046445352</v>
      </c>
      <c r="E100">
        <f>AVERAGE('time 1'!J99/'time 2'!I99,'time 2'!J99/'time 2'!I99,'time 3'!J99/'time 3'!I99)</f>
        <v>1.2439991204810248</v>
      </c>
      <c r="F100">
        <f>AVERAGE('time 1'!L99/'time 1'!K99,'time 2'!L99/'time 2'!K99,'time 3'!L99/'time 3'!K99)</f>
        <v>1.2228853042903718</v>
      </c>
      <c r="G100">
        <f>AVERAGE('time 1'!N99/'time 1'!M99,'time 2'!N99/'time 2'!M99,'time 3'!N99/'time 3'!M99)</f>
        <v>1.1822310471930619</v>
      </c>
      <c r="H100">
        <f>AVERAGE('time 1'!P99/'time 1'!O99,'time 2'!P99/'time 2'!O99,'time 3'!P99/'time 3'!O99)</f>
        <v>1.1107984280199334</v>
      </c>
      <c r="I100">
        <f>AVERAGE('time 1'!R99/'time 1'!Q99,'time 2'!R99/'time 2'!Q99,'time 3'!R99/'time 3'!Q99)</f>
        <v>0.92157492939055696</v>
      </c>
      <c r="J100">
        <f>AVERAGE('time 1'!T99/'time 1'!S99,'time 2'!T99/'time 2'!S99,'time 3'!T99/'time 3'!S99)</f>
        <v>1.1847682287524524</v>
      </c>
      <c r="K100">
        <f t="shared" si="12"/>
        <v>9</v>
      </c>
      <c r="L100">
        <f t="shared" si="13"/>
        <v>0</v>
      </c>
      <c r="M100">
        <f t="shared" si="14"/>
        <v>0</v>
      </c>
      <c r="N100">
        <f t="shared" si="15"/>
        <v>3</v>
      </c>
      <c r="O100">
        <f t="shared" si="16"/>
        <v>0</v>
      </c>
      <c r="P100">
        <f t="shared" si="17"/>
        <v>0</v>
      </c>
      <c r="Q100">
        <f t="shared" si="18"/>
        <v>3</v>
      </c>
      <c r="R100">
        <f t="shared" si="19"/>
        <v>0</v>
      </c>
      <c r="S100">
        <f t="shared" si="20"/>
        <v>0</v>
      </c>
      <c r="T100">
        <f t="shared" si="21"/>
        <v>3</v>
      </c>
      <c r="U100">
        <f t="shared" si="22"/>
        <v>0</v>
      </c>
      <c r="V100">
        <f t="shared" si="23"/>
        <v>0</v>
      </c>
    </row>
    <row r="101" spans="1:22">
      <c r="A101" t="str">
        <f>'time 1'!B100</f>
        <v>&lt;test.TIFFFaxEncoder: int encodeT6(byte[],int,int,int,int,byte[])&gt;</v>
      </c>
      <c r="B101">
        <f>AVERAGE('time 1'!D100/'time 1'!C100,'time 2'!D100/'time 2'!C100,'time 3'!D100/'time 3'!C100)</f>
        <v>1.0959363210766433</v>
      </c>
      <c r="C101">
        <f>AVERAGE('time 1'!F100/'time 1'!E100,'time 2'!F100/'time 2'!E100,'time 3'!F100/'time 3'!E100)</f>
        <v>1.1013882312966148</v>
      </c>
      <c r="D101">
        <f>AVERAGE('time 1'!H100/'time 1'!G100,'time 2'!H100/'time 2'!G100,'time 3'!H100/'time 3'!G100)</f>
        <v>1.0944266317166207</v>
      </c>
      <c r="E101">
        <f>AVERAGE('time 1'!J100/'time 2'!I100,'time 2'!J100/'time 2'!I100,'time 3'!J100/'time 3'!I100)</f>
        <v>1.1119886318030068</v>
      </c>
      <c r="F101">
        <f>AVERAGE('time 1'!L100/'time 1'!K100,'time 2'!L100/'time 2'!K100,'time 3'!L100/'time 3'!K100)</f>
        <v>1.156615503557606</v>
      </c>
      <c r="G101">
        <f>AVERAGE('time 1'!N100/'time 1'!M100,'time 2'!N100/'time 2'!M100,'time 3'!N100/'time 3'!M100)</f>
        <v>1.0610547050053734</v>
      </c>
      <c r="H101">
        <f>AVERAGE('time 1'!P100/'time 1'!O100,'time 2'!P100/'time 2'!O100,'time 3'!P100/'time 3'!O100)</f>
        <v>1.1348174359629362</v>
      </c>
      <c r="I101">
        <f>AVERAGE('time 1'!R100/'time 1'!Q100,'time 2'!R100/'time 2'!Q100,'time 3'!R100/'time 3'!Q100)</f>
        <v>0.94256558540664548</v>
      </c>
      <c r="J101">
        <f>AVERAGE('time 1'!T100/'time 1'!S100,'time 2'!T100/'time 2'!S100,'time 3'!T100/'time 3'!S100)</f>
        <v>1.0673812916156613</v>
      </c>
      <c r="K101">
        <f t="shared" si="12"/>
        <v>9</v>
      </c>
      <c r="L101">
        <f t="shared" si="13"/>
        <v>0</v>
      </c>
      <c r="M101">
        <f t="shared" si="14"/>
        <v>0</v>
      </c>
      <c r="N101">
        <f t="shared" si="15"/>
        <v>3</v>
      </c>
      <c r="O101">
        <f t="shared" si="16"/>
        <v>0</v>
      </c>
      <c r="P101">
        <f t="shared" si="17"/>
        <v>0</v>
      </c>
      <c r="Q101">
        <f t="shared" si="18"/>
        <v>3</v>
      </c>
      <c r="R101">
        <f t="shared" si="19"/>
        <v>0</v>
      </c>
      <c r="S101">
        <f t="shared" si="20"/>
        <v>0</v>
      </c>
      <c r="T101">
        <f t="shared" si="21"/>
        <v>3</v>
      </c>
      <c r="U101">
        <f t="shared" si="22"/>
        <v>0</v>
      </c>
      <c r="V101">
        <f t="shared" si="23"/>
        <v>0</v>
      </c>
    </row>
    <row r="102" spans="1:22">
      <c r="A102" t="str">
        <f>'time 1'!B101</f>
        <v>&lt;test.TIFFFaxEncoder: int nextState(byte[],int,int,int)&gt;</v>
      </c>
      <c r="B102">
        <f>AVERAGE('time 1'!D101/'time 1'!C101,'time 2'!D101/'time 2'!C101,'time 3'!D101/'time 3'!C101)</f>
        <v>1.1173787917982272</v>
      </c>
      <c r="C102">
        <f>AVERAGE('time 1'!F101/'time 1'!E101,'time 2'!F101/'time 2'!E101,'time 3'!F101/'time 3'!E101)</f>
        <v>1.1426644450540133</v>
      </c>
      <c r="D102">
        <f>AVERAGE('time 1'!H101/'time 1'!G101,'time 2'!H101/'time 2'!G101,'time 3'!H101/'time 3'!G101)</f>
        <v>1.3979106247528561</v>
      </c>
      <c r="E102">
        <f>AVERAGE('time 1'!J101/'time 2'!I101,'time 2'!J101/'time 2'!I101,'time 3'!J101/'time 3'!I101)</f>
        <v>1.1769745204272153</v>
      </c>
      <c r="F102">
        <f>AVERAGE('time 1'!L101/'time 1'!K101,'time 2'!L101/'time 2'!K101,'time 3'!L101/'time 3'!K101)</f>
        <v>1.1150986394965718</v>
      </c>
      <c r="G102">
        <f>AVERAGE('time 1'!N101/'time 1'!M101,'time 2'!N101/'time 2'!M101,'time 3'!N101/'time 3'!M101)</f>
        <v>1.1436932463279159</v>
      </c>
      <c r="H102">
        <f>AVERAGE('time 1'!P101/'time 1'!O101,'time 2'!P101/'time 2'!O101,'time 3'!P101/'time 3'!O101)</f>
        <v>1.1641744921965438</v>
      </c>
      <c r="I102">
        <f>AVERAGE('time 1'!R101/'time 1'!Q101,'time 2'!R101/'time 2'!Q101,'time 3'!R101/'time 3'!Q101)</f>
        <v>0.99373017669641761</v>
      </c>
      <c r="J102">
        <f>AVERAGE('time 1'!T101/'time 1'!S101,'time 2'!T101/'time 2'!S101,'time 3'!T101/'time 3'!S101)</f>
        <v>1.0833436658428839</v>
      </c>
      <c r="K102">
        <f t="shared" si="12"/>
        <v>9</v>
      </c>
      <c r="L102">
        <f t="shared" si="13"/>
        <v>0</v>
      </c>
      <c r="M102">
        <f t="shared" si="14"/>
        <v>0</v>
      </c>
      <c r="N102">
        <f t="shared" si="15"/>
        <v>3</v>
      </c>
      <c r="O102">
        <f t="shared" si="16"/>
        <v>0</v>
      </c>
      <c r="P102">
        <f t="shared" si="17"/>
        <v>0</v>
      </c>
      <c r="Q102">
        <f t="shared" si="18"/>
        <v>3</v>
      </c>
      <c r="R102">
        <f t="shared" si="19"/>
        <v>0</v>
      </c>
      <c r="S102">
        <f t="shared" si="20"/>
        <v>0</v>
      </c>
      <c r="T102">
        <f t="shared" si="21"/>
        <v>3</v>
      </c>
      <c r="U102">
        <f t="shared" si="22"/>
        <v>0</v>
      </c>
      <c r="V102">
        <f t="shared" si="23"/>
        <v>0</v>
      </c>
    </row>
    <row r="103" spans="1:22">
      <c r="A103" t="str">
        <f>'time 1'!B102</f>
        <v>&lt;test.TileRenderor: void &lt;init&gt;()&gt;</v>
      </c>
      <c r="B103">
        <f>AVERAGE('time 1'!D102/'time 1'!C102,'time 2'!D102/'time 2'!C102,'time 3'!D102/'time 3'!C102)</f>
        <v>1.06815895155345</v>
      </c>
      <c r="C103">
        <f>AVERAGE('time 1'!F102/'time 1'!E102,'time 2'!F102/'time 2'!E102,'time 3'!F102/'time 3'!E102)</f>
        <v>1.0766215930321292</v>
      </c>
      <c r="D103">
        <f>AVERAGE('time 1'!H102/'time 1'!G102,'time 2'!H102/'time 2'!G102,'time 3'!H102/'time 3'!G102)</f>
        <v>1.16673363276747</v>
      </c>
      <c r="E103">
        <f>AVERAGE('time 1'!J102/'time 2'!I102,'time 2'!J102/'time 2'!I102,'time 3'!J102/'time 3'!I102)</f>
        <v>1.1904149362343344</v>
      </c>
      <c r="F103">
        <f>AVERAGE('time 1'!L102/'time 1'!K102,'time 2'!L102/'time 2'!K102,'time 3'!L102/'time 3'!K102)</f>
        <v>1.1306995346228634</v>
      </c>
      <c r="G103">
        <f>AVERAGE('time 1'!N102/'time 1'!M102,'time 2'!N102/'time 2'!M102,'time 3'!N102/'time 3'!M102)</f>
        <v>1.1911764705882353</v>
      </c>
      <c r="H103">
        <f>AVERAGE('time 1'!P102/'time 1'!O102,'time 2'!P102/'time 2'!O102,'time 3'!P102/'time 3'!O102)</f>
        <v>1.227904905743392</v>
      </c>
      <c r="I103">
        <f>AVERAGE('time 1'!R102/'time 1'!Q102,'time 2'!R102/'time 2'!Q102,'time 3'!R102/'time 3'!Q102)</f>
        <v>1.0415036556390493</v>
      </c>
      <c r="J103">
        <f>AVERAGE('time 1'!T102/'time 1'!S102,'time 2'!T102/'time 2'!S102,'time 3'!T102/'time 3'!S102)</f>
        <v>1.1226296731935701</v>
      </c>
      <c r="K103">
        <f t="shared" si="12"/>
        <v>9</v>
      </c>
      <c r="L103">
        <f t="shared" si="13"/>
        <v>0</v>
      </c>
      <c r="M103">
        <f t="shared" si="14"/>
        <v>0</v>
      </c>
      <c r="N103">
        <f t="shared" si="15"/>
        <v>3</v>
      </c>
      <c r="O103">
        <f t="shared" si="16"/>
        <v>0</v>
      </c>
      <c r="P103">
        <f t="shared" si="17"/>
        <v>0</v>
      </c>
      <c r="Q103">
        <f t="shared" si="18"/>
        <v>3</v>
      </c>
      <c r="R103">
        <f t="shared" si="19"/>
        <v>0</v>
      </c>
      <c r="S103">
        <f t="shared" si="20"/>
        <v>0</v>
      </c>
      <c r="T103">
        <f t="shared" si="21"/>
        <v>3</v>
      </c>
      <c r="U103">
        <f t="shared" si="22"/>
        <v>0</v>
      </c>
      <c r="V103">
        <f t="shared" si="23"/>
        <v>0</v>
      </c>
    </row>
    <row r="104" spans="1:22">
      <c r="A104" t="str">
        <f>'time 1'!B103</f>
        <v>&lt;test.TileRenderor: void createRotatedImage(java.awt.Graphics,java.lang.String,java.awt.Color,java.awt.Color,int)&gt;</v>
      </c>
      <c r="B104">
        <f>AVERAGE('time 1'!D103/'time 1'!C103,'time 2'!D103/'time 2'!C103,'time 3'!D103/'time 3'!C103)</f>
        <v>1.02367715924173</v>
      </c>
      <c r="C104">
        <f>AVERAGE('time 1'!F103/'time 1'!E103,'time 2'!F103/'time 2'!E103,'time 3'!F103/'time 3'!E103)</f>
        <v>0.94435342789598098</v>
      </c>
      <c r="D104">
        <f>AVERAGE('time 1'!H103/'time 1'!G103,'time 2'!H103/'time 2'!G103,'time 3'!H103/'time 3'!G103)</f>
        <v>1.0101010101010102</v>
      </c>
      <c r="E104">
        <f>AVERAGE('time 1'!J103/'time 2'!I103,'time 2'!J103/'time 2'!I103,'time 3'!J103/'time 3'!I103)</f>
        <v>1.1136500754147811</v>
      </c>
      <c r="F104">
        <f>AVERAGE('time 1'!L103/'time 1'!K103,'time 2'!L103/'time 2'!K103,'time 3'!L103/'time 3'!K103)</f>
        <v>1.1103313259984608</v>
      </c>
      <c r="G104">
        <f>AVERAGE('time 1'!N103/'time 1'!M103,'time 2'!N103/'time 2'!M103,'time 3'!N103/'time 3'!M103)</f>
        <v>0.93198653198653192</v>
      </c>
      <c r="H104">
        <f>AVERAGE('time 1'!P103/'time 1'!O103,'time 2'!P103/'time 2'!O103,'time 3'!P103/'time 3'!O103)</f>
        <v>1.0483503679621484</v>
      </c>
      <c r="I104">
        <f>AVERAGE('time 1'!R103/'time 1'!Q103,'time 2'!R103/'time 2'!Q103,'time 3'!R103/'time 3'!Q103)</f>
        <v>0.9895034460618094</v>
      </c>
      <c r="J104">
        <f>AVERAGE('time 1'!T103/'time 1'!S103,'time 2'!T103/'time 2'!S103,'time 3'!T103/'time 3'!S103)</f>
        <v>1.0598566308243729</v>
      </c>
      <c r="K104">
        <f t="shared" si="12"/>
        <v>9</v>
      </c>
      <c r="L104">
        <f t="shared" si="13"/>
        <v>0</v>
      </c>
      <c r="M104">
        <f t="shared" si="14"/>
        <v>0</v>
      </c>
      <c r="N104">
        <f t="shared" si="15"/>
        <v>3</v>
      </c>
      <c r="O104">
        <f t="shared" si="16"/>
        <v>0</v>
      </c>
      <c r="P104">
        <f t="shared" si="17"/>
        <v>0</v>
      </c>
      <c r="Q104">
        <f t="shared" si="18"/>
        <v>3</v>
      </c>
      <c r="R104">
        <f t="shared" si="19"/>
        <v>0</v>
      </c>
      <c r="S104">
        <f t="shared" si="20"/>
        <v>0</v>
      </c>
      <c r="T104">
        <f t="shared" si="21"/>
        <v>3</v>
      </c>
      <c r="U104">
        <f t="shared" si="22"/>
        <v>0</v>
      </c>
      <c r="V104">
        <f t="shared" si="23"/>
        <v>0</v>
      </c>
    </row>
    <row r="105" spans="1:22">
      <c r="A105" t="str">
        <f>'time 1'!B104</f>
        <v>&lt;test.TileRenderor: void drawRoute(java.awt.Graphics,int,int,java.awt.Color)&gt;</v>
      </c>
      <c r="B105">
        <f>AVERAGE('time 1'!D104/'time 1'!C104,'time 2'!D104/'time 2'!C104,'time 3'!D104/'time 3'!C104)</f>
        <v>1.1635512784858102</v>
      </c>
      <c r="C105">
        <f>AVERAGE('time 1'!F104/'time 1'!E104,'time 2'!F104/'time 2'!E104,'time 3'!F104/'time 3'!E104)</f>
        <v>1.0605399981679555</v>
      </c>
      <c r="D105">
        <f>AVERAGE('time 1'!H104/'time 1'!G104,'time 2'!H104/'time 2'!G104,'time 3'!H104/'time 3'!G104)</f>
        <v>1.1084778183385231</v>
      </c>
      <c r="E105">
        <f>AVERAGE('time 1'!J104/'time 2'!I104,'time 2'!J104/'time 2'!I104,'time 3'!J104/'time 3'!I104)</f>
        <v>1.1891467433321867</v>
      </c>
      <c r="F105">
        <f>AVERAGE('time 1'!L104/'time 1'!K104,'time 2'!L104/'time 2'!K104,'time 3'!L104/'time 3'!K104)</f>
        <v>1.2500844597886067</v>
      </c>
      <c r="G105">
        <f>AVERAGE('time 1'!N104/'time 1'!M104,'time 2'!N104/'time 2'!M104,'time 3'!N104/'time 3'!M104)</f>
        <v>1.1489394554345262</v>
      </c>
      <c r="H105">
        <f>AVERAGE('time 1'!P104/'time 1'!O104,'time 2'!P104/'time 2'!O104,'time 3'!P104/'time 3'!O104)</f>
        <v>1.1976744124879999</v>
      </c>
      <c r="I105">
        <f>AVERAGE('time 1'!R104/'time 1'!Q104,'time 2'!R104/'time 2'!Q104,'time 3'!R104/'time 3'!Q104)</f>
        <v>0.90287948542905339</v>
      </c>
      <c r="J105">
        <f>AVERAGE('time 1'!T104/'time 1'!S104,'time 2'!T104/'time 2'!S104,'time 3'!T104/'time 3'!S104)</f>
        <v>1.1626296544321206</v>
      </c>
      <c r="K105">
        <f t="shared" si="12"/>
        <v>9</v>
      </c>
      <c r="L105">
        <f t="shared" si="13"/>
        <v>0</v>
      </c>
      <c r="M105">
        <f t="shared" si="14"/>
        <v>0</v>
      </c>
      <c r="N105">
        <f t="shared" si="15"/>
        <v>3</v>
      </c>
      <c r="O105">
        <f t="shared" si="16"/>
        <v>0</v>
      </c>
      <c r="P105">
        <f t="shared" si="17"/>
        <v>0</v>
      </c>
      <c r="Q105">
        <f t="shared" si="18"/>
        <v>3</v>
      </c>
      <c r="R105">
        <f t="shared" si="19"/>
        <v>0</v>
      </c>
      <c r="S105">
        <f t="shared" si="20"/>
        <v>0</v>
      </c>
      <c r="T105">
        <f t="shared" si="21"/>
        <v>3</v>
      </c>
      <c r="U105">
        <f t="shared" si="22"/>
        <v>0</v>
      </c>
      <c r="V105">
        <f t="shared" si="23"/>
        <v>0</v>
      </c>
    </row>
    <row r="106" spans="1:22">
      <c r="A106" t="str">
        <f>'time 1'!B105</f>
        <v>&lt;test.TileRenderor: void drawTile(java.awt.Graphics,int,int,int,int)&gt;</v>
      </c>
      <c r="B106">
        <f>AVERAGE('time 1'!D105/'time 1'!C105,'time 2'!D105/'time 2'!C105,'time 3'!D105/'time 3'!C105)</f>
        <v>1.2235369526337205</v>
      </c>
      <c r="C106">
        <f>AVERAGE('time 1'!F105/'time 1'!E105,'time 2'!F105/'time 2'!E105,'time 3'!F105/'time 3'!E105)</f>
        <v>1.1804868836352711</v>
      </c>
      <c r="D106">
        <f>AVERAGE('time 1'!H105/'time 1'!G105,'time 2'!H105/'time 2'!G105,'time 3'!H105/'time 3'!G105)</f>
        <v>1.2126293937172188</v>
      </c>
      <c r="E106">
        <f>AVERAGE('time 1'!J105/'time 2'!I105,'time 2'!J105/'time 2'!I105,'time 3'!J105/'time 3'!I105)</f>
        <v>1.3772212022793313</v>
      </c>
      <c r="F106">
        <f>AVERAGE('time 1'!L105/'time 1'!K105,'time 2'!L105/'time 2'!K105,'time 3'!L105/'time 3'!K105)</f>
        <v>1.1604567949097764</v>
      </c>
      <c r="G106">
        <f>AVERAGE('time 1'!N105/'time 1'!M105,'time 2'!N105/'time 2'!M105,'time 3'!N105/'time 3'!M105)</f>
        <v>1.2500207461209663</v>
      </c>
      <c r="H106">
        <f>AVERAGE('time 1'!P105/'time 1'!O105,'time 2'!P105/'time 2'!O105,'time 3'!P105/'time 3'!O105)</f>
        <v>1.2729769086797911</v>
      </c>
      <c r="I106">
        <f>AVERAGE('time 1'!R105/'time 1'!Q105,'time 2'!R105/'time 2'!Q105,'time 3'!R105/'time 3'!Q105)</f>
        <v>1.2287197288537366</v>
      </c>
      <c r="J106">
        <f>AVERAGE('time 1'!T105/'time 1'!S105,'time 2'!T105/'time 2'!S105,'time 3'!T105/'time 3'!S105)</f>
        <v>1.2900230611218166</v>
      </c>
      <c r="K106">
        <f t="shared" si="12"/>
        <v>9</v>
      </c>
      <c r="L106">
        <f t="shared" si="13"/>
        <v>0</v>
      </c>
      <c r="M106">
        <f t="shared" si="14"/>
        <v>0</v>
      </c>
      <c r="N106">
        <f t="shared" si="15"/>
        <v>3</v>
      </c>
      <c r="O106">
        <f t="shared" si="16"/>
        <v>0</v>
      </c>
      <c r="P106">
        <f t="shared" si="17"/>
        <v>0</v>
      </c>
      <c r="Q106">
        <f t="shared" si="18"/>
        <v>3</v>
      </c>
      <c r="R106">
        <f t="shared" si="19"/>
        <v>0</v>
      </c>
      <c r="S106">
        <f t="shared" si="20"/>
        <v>0</v>
      </c>
      <c r="T106">
        <f t="shared" si="21"/>
        <v>3</v>
      </c>
      <c r="U106">
        <f t="shared" si="22"/>
        <v>0</v>
      </c>
      <c r="V106">
        <f t="shared" si="23"/>
        <v>0</v>
      </c>
    </row>
    <row r="107" spans="1:22">
      <c r="A107" t="str">
        <f>'time 1'!B106</f>
        <v>&lt;test.WorldController: boolean method324(int,int,int,int)&gt;</v>
      </c>
      <c r="B107">
        <f>AVERAGE('time 1'!D106/'time 1'!C106,'time 2'!D106/'time 2'!C106,'time 3'!D106/'time 3'!C106)</f>
        <v>1.2652160946686386</v>
      </c>
      <c r="C107">
        <f>AVERAGE('time 1'!F106/'time 1'!E106,'time 2'!F106/'time 2'!E106,'time 3'!F106/'time 3'!E106)</f>
        <v>1.0281853643734165</v>
      </c>
      <c r="D107">
        <f>AVERAGE('time 1'!H106/'time 1'!G106,'time 2'!H106/'time 2'!G106,'time 3'!H106/'time 3'!G106)</f>
        <v>1.2422449710194698</v>
      </c>
      <c r="E107">
        <f>AVERAGE('time 1'!J106/'time 2'!I106,'time 2'!J106/'time 2'!I106,'time 3'!J106/'time 3'!I106)</f>
        <v>1.4008484340325111</v>
      </c>
      <c r="F107">
        <f>AVERAGE('time 1'!L106/'time 1'!K106,'time 2'!L106/'time 2'!K106,'time 3'!L106/'time 3'!K106)</f>
        <v>1.0936588346544713</v>
      </c>
      <c r="G107">
        <f>AVERAGE('time 1'!N106/'time 1'!M106,'time 2'!N106/'time 2'!M106,'time 3'!N106/'time 3'!M106)</f>
        <v>1.319675778363391</v>
      </c>
      <c r="H107">
        <f>AVERAGE('time 1'!P106/'time 1'!O106,'time 2'!P106/'time 2'!O106,'time 3'!P106/'time 3'!O106)</f>
        <v>1.3048279175930586</v>
      </c>
      <c r="I107">
        <f>AVERAGE('time 1'!R106/'time 1'!Q106,'time 2'!R106/'time 2'!Q106,'time 3'!R106/'time 3'!Q106)</f>
        <v>0.93360287263201347</v>
      </c>
      <c r="J107">
        <f>AVERAGE('time 1'!T106/'time 1'!S106,'time 2'!T106/'time 2'!S106,'time 3'!T106/'time 3'!S106)</f>
        <v>1.3026484940253102</v>
      </c>
      <c r="K107">
        <f t="shared" si="12"/>
        <v>9</v>
      </c>
      <c r="L107">
        <f t="shared" si="13"/>
        <v>0</v>
      </c>
      <c r="M107">
        <f t="shared" si="14"/>
        <v>0</v>
      </c>
      <c r="N107">
        <f t="shared" si="15"/>
        <v>3</v>
      </c>
      <c r="O107">
        <f t="shared" si="16"/>
        <v>0</v>
      </c>
      <c r="P107">
        <f t="shared" si="17"/>
        <v>0</v>
      </c>
      <c r="Q107">
        <f t="shared" si="18"/>
        <v>3</v>
      </c>
      <c r="R107">
        <f t="shared" si="19"/>
        <v>0</v>
      </c>
      <c r="S107">
        <f t="shared" si="20"/>
        <v>0</v>
      </c>
      <c r="T107">
        <f t="shared" si="21"/>
        <v>3</v>
      </c>
      <c r="U107">
        <f t="shared" si="22"/>
        <v>0</v>
      </c>
      <c r="V107">
        <f t="shared" si="23"/>
        <v>0</v>
      </c>
    </row>
    <row r="108" spans="1:22">
      <c r="K108">
        <f>SUM(K3:K107)</f>
        <v>856</v>
      </c>
      <c r="L108">
        <f t="shared" ref="L108:M108" si="24">SUM(L3:L107)</f>
        <v>53</v>
      </c>
      <c r="M108">
        <f t="shared" si="24"/>
        <v>36</v>
      </c>
      <c r="N108">
        <f t="shared" ref="N108" si="25">SUM(N3:N107)</f>
        <v>279</v>
      </c>
      <c r="O108">
        <f t="shared" ref="O108" si="26">SUM(O3:O107)</f>
        <v>21</v>
      </c>
      <c r="P108">
        <f t="shared" ref="P108" si="27">SUM(P3:P107)</f>
        <v>15</v>
      </c>
      <c r="Q108">
        <f t="shared" ref="Q108" si="28">SUM(Q3:Q107)</f>
        <v>296</v>
      </c>
      <c r="R108">
        <f t="shared" ref="R108" si="29">SUM(R3:R107)</f>
        <v>12</v>
      </c>
      <c r="S108">
        <f t="shared" ref="S108" si="30">SUM(S3:S107)</f>
        <v>7</v>
      </c>
      <c r="T108">
        <f t="shared" ref="T108" si="31">SUM(T3:T107)</f>
        <v>281</v>
      </c>
      <c r="U108">
        <f t="shared" ref="U108" si="32">SUM(U3:U107)</f>
        <v>20</v>
      </c>
      <c r="V108">
        <f t="shared" ref="V108" si="33">SUM(V3:V107)</f>
        <v>14</v>
      </c>
    </row>
    <row r="109" spans="1:22">
      <c r="K109" s="10">
        <f>K108/$K$110</f>
        <v>0.90582010582010586</v>
      </c>
      <c r="L109" s="10">
        <f t="shared" ref="L109:M109" si="34">L108/$K$110</f>
        <v>5.6084656084656084E-2</v>
      </c>
      <c r="M109" s="10">
        <f t="shared" si="34"/>
        <v>3.8095238095238099E-2</v>
      </c>
      <c r="N109" s="11">
        <f>N108/$N$110</f>
        <v>0.88571428571428568</v>
      </c>
      <c r="O109" s="11">
        <f>O108/$N$110</f>
        <v>6.6666666666666666E-2</v>
      </c>
      <c r="P109" s="11">
        <f>P108/$N$110</f>
        <v>4.7619047619047616E-2</v>
      </c>
      <c r="Q109" s="11">
        <f>Q108/$Q$110</f>
        <v>0.93968253968253967</v>
      </c>
      <c r="R109" s="11">
        <f t="shared" ref="R109:S109" si="35">R108/$Q$110</f>
        <v>3.8095238095238099E-2</v>
      </c>
      <c r="S109" s="11">
        <f t="shared" si="35"/>
        <v>2.2222222222222223E-2</v>
      </c>
      <c r="T109" s="11">
        <f>T108/$T$110</f>
        <v>0.89206349206349211</v>
      </c>
      <c r="U109" s="11">
        <f t="shared" ref="U109:V109" si="36">U108/$T$110</f>
        <v>6.3492063492063489E-2</v>
      </c>
      <c r="V109" s="11">
        <f t="shared" si="36"/>
        <v>4.4444444444444446E-2</v>
      </c>
    </row>
    <row r="110" spans="1:22">
      <c r="K110">
        <f>SUM(K108:M108)</f>
        <v>945</v>
      </c>
      <c r="N110">
        <f>SUM(N108:P108)</f>
        <v>315</v>
      </c>
      <c r="Q110">
        <f>SUM(Q108:S108)</f>
        <v>315</v>
      </c>
      <c r="T110">
        <f>SUM(T108:V108)</f>
        <v>315</v>
      </c>
    </row>
  </sheetData>
  <mergeCells count="6">
    <mergeCell ref="B1:D1"/>
    <mergeCell ref="E1:G1"/>
    <mergeCell ref="H1:J1"/>
    <mergeCell ref="N1:P1"/>
    <mergeCell ref="Q1:S1"/>
    <mergeCell ref="T1:V1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H1" workbookViewId="0">
      <selection activeCell="D54" sqref="D54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106</v>
      </c>
      <c r="D2" s="2">
        <v>106</v>
      </c>
      <c r="E2" s="2">
        <v>233</v>
      </c>
      <c r="F2" s="2">
        <v>261</v>
      </c>
      <c r="G2" s="2">
        <v>89</v>
      </c>
      <c r="H2" s="2">
        <v>72</v>
      </c>
      <c r="I2" s="2">
        <v>166</v>
      </c>
      <c r="J2" s="2">
        <v>166</v>
      </c>
      <c r="K2" s="2">
        <v>1491</v>
      </c>
      <c r="L2" s="2">
        <v>927</v>
      </c>
      <c r="M2" s="2">
        <v>138</v>
      </c>
      <c r="N2" s="2">
        <v>120</v>
      </c>
      <c r="O2" s="2">
        <v>186</v>
      </c>
      <c r="P2" s="2">
        <v>172</v>
      </c>
      <c r="Q2" s="2">
        <v>4557</v>
      </c>
      <c r="R2" s="2">
        <v>4649</v>
      </c>
      <c r="S2" s="2">
        <v>129</v>
      </c>
      <c r="T2" s="2">
        <v>132</v>
      </c>
      <c r="U2" s="2"/>
      <c r="V2" s="5">
        <f>E2/G2</f>
        <v>2.6179775280898876</v>
      </c>
      <c r="W2" s="5">
        <f>K2/M2</f>
        <v>10.804347826086957</v>
      </c>
      <c r="X2" s="5">
        <f>Q2/S2</f>
        <v>35.325581395348834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117</v>
      </c>
      <c r="D3" s="2">
        <v>114</v>
      </c>
      <c r="E3" s="2">
        <v>229</v>
      </c>
      <c r="F3" s="2">
        <v>302</v>
      </c>
      <c r="G3" s="2">
        <v>68</v>
      </c>
      <c r="H3" s="2">
        <v>69</v>
      </c>
      <c r="I3" s="2">
        <v>157</v>
      </c>
      <c r="J3" s="2">
        <v>163</v>
      </c>
      <c r="K3" s="2">
        <v>1197</v>
      </c>
      <c r="L3" s="2">
        <v>938</v>
      </c>
      <c r="M3" s="2">
        <v>119</v>
      </c>
      <c r="N3" s="2">
        <v>125</v>
      </c>
      <c r="O3" s="2">
        <v>178</v>
      </c>
      <c r="P3" s="2">
        <v>188</v>
      </c>
      <c r="Q3" s="2">
        <v>4291</v>
      </c>
      <c r="R3" s="2">
        <v>4745</v>
      </c>
      <c r="S3" s="2">
        <v>128</v>
      </c>
      <c r="T3" s="2">
        <v>137</v>
      </c>
      <c r="U3" s="2"/>
      <c r="V3" s="5">
        <f t="shared" ref="V3:V66" si="0">E3/G3</f>
        <v>3.3676470588235294</v>
      </c>
      <c r="W3" s="5">
        <f t="shared" ref="W3:W66" si="1">K3/M3</f>
        <v>10.058823529411764</v>
      </c>
      <c r="X3" s="5">
        <f t="shared" ref="X3:X66" si="2">Q3/S3</f>
        <v>33.5234375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146</v>
      </c>
      <c r="D4" s="2">
        <v>166</v>
      </c>
      <c r="E4" s="2">
        <v>293</v>
      </c>
      <c r="F4" s="2">
        <v>303</v>
      </c>
      <c r="G4" s="2">
        <v>106</v>
      </c>
      <c r="H4" s="2">
        <v>105</v>
      </c>
      <c r="I4" s="2">
        <v>203</v>
      </c>
      <c r="J4" s="2">
        <v>221</v>
      </c>
      <c r="K4" s="2">
        <v>2171</v>
      </c>
      <c r="L4" s="2">
        <v>2705</v>
      </c>
      <c r="M4" s="2">
        <v>172</v>
      </c>
      <c r="N4" s="2">
        <v>169</v>
      </c>
      <c r="O4" s="2">
        <v>245</v>
      </c>
      <c r="P4" s="2">
        <v>233</v>
      </c>
      <c r="Q4" s="2">
        <v>4999</v>
      </c>
      <c r="R4" s="2">
        <v>3754</v>
      </c>
      <c r="S4" s="2">
        <v>182</v>
      </c>
      <c r="T4" s="2">
        <v>193</v>
      </c>
      <c r="U4" s="2"/>
      <c r="V4" s="5">
        <f t="shared" si="0"/>
        <v>2.7641509433962264</v>
      </c>
      <c r="W4" s="5">
        <f t="shared" si="1"/>
        <v>12.622093023255815</v>
      </c>
      <c r="X4" s="5">
        <f t="shared" si="2"/>
        <v>27.467032967032967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273</v>
      </c>
      <c r="D5" s="2">
        <v>278</v>
      </c>
      <c r="E5" s="2">
        <v>538</v>
      </c>
      <c r="F5" s="2">
        <v>548</v>
      </c>
      <c r="G5" s="2">
        <v>212</v>
      </c>
      <c r="H5" s="2">
        <v>220</v>
      </c>
      <c r="I5" s="2">
        <v>355</v>
      </c>
      <c r="J5" s="2">
        <v>380</v>
      </c>
      <c r="K5" s="2">
        <v>2969</v>
      </c>
      <c r="L5" s="2">
        <v>3117</v>
      </c>
      <c r="M5" s="2">
        <v>304</v>
      </c>
      <c r="N5" s="2">
        <v>304</v>
      </c>
      <c r="O5" s="2">
        <v>380</v>
      </c>
      <c r="P5" s="2">
        <v>420</v>
      </c>
      <c r="Q5" s="2">
        <v>9894</v>
      </c>
      <c r="R5" s="2">
        <v>7193</v>
      </c>
      <c r="S5" s="2">
        <v>317</v>
      </c>
      <c r="T5" s="2">
        <v>345</v>
      </c>
      <c r="U5" s="2"/>
      <c r="V5" s="5">
        <f t="shared" si="0"/>
        <v>2.5377358490566038</v>
      </c>
      <c r="W5" s="5">
        <f t="shared" si="1"/>
        <v>9.7664473684210531</v>
      </c>
      <c r="X5" s="5">
        <f t="shared" si="2"/>
        <v>31.211356466876971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119</v>
      </c>
      <c r="D6" s="2">
        <v>66</v>
      </c>
      <c r="E6" s="2">
        <v>159</v>
      </c>
      <c r="F6" s="2">
        <v>158</v>
      </c>
      <c r="G6" s="2">
        <v>72</v>
      </c>
      <c r="H6" s="2">
        <v>47</v>
      </c>
      <c r="I6" s="2">
        <v>99</v>
      </c>
      <c r="J6" s="2">
        <v>102</v>
      </c>
      <c r="K6" s="2">
        <v>1353</v>
      </c>
      <c r="L6" s="2">
        <v>1378</v>
      </c>
      <c r="M6" s="2">
        <v>91</v>
      </c>
      <c r="N6" s="2">
        <v>79</v>
      </c>
      <c r="O6" s="2">
        <v>111</v>
      </c>
      <c r="P6" s="2">
        <v>109</v>
      </c>
      <c r="Q6" s="2">
        <v>1458</v>
      </c>
      <c r="R6" s="2">
        <v>1779</v>
      </c>
      <c r="S6" s="2">
        <v>82</v>
      </c>
      <c r="T6" s="2">
        <v>82</v>
      </c>
      <c r="U6" s="2"/>
      <c r="V6" s="5">
        <f t="shared" si="0"/>
        <v>2.2083333333333335</v>
      </c>
      <c r="W6" s="5">
        <f t="shared" si="1"/>
        <v>14.868131868131869</v>
      </c>
      <c r="X6" s="5">
        <f t="shared" si="2"/>
        <v>17.780487804878049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247</v>
      </c>
      <c r="D7" s="2">
        <v>270</v>
      </c>
      <c r="E7" s="2">
        <v>406</v>
      </c>
      <c r="F7" s="2">
        <v>420</v>
      </c>
      <c r="G7" s="2">
        <v>169</v>
      </c>
      <c r="H7" s="2">
        <v>215</v>
      </c>
      <c r="I7" s="2">
        <v>328</v>
      </c>
      <c r="J7" s="2">
        <v>367</v>
      </c>
      <c r="K7" s="2">
        <v>4359</v>
      </c>
      <c r="L7" s="2">
        <v>3990</v>
      </c>
      <c r="M7" s="2">
        <v>254</v>
      </c>
      <c r="N7" s="2">
        <v>280</v>
      </c>
      <c r="O7" s="2">
        <v>337</v>
      </c>
      <c r="P7" s="2">
        <v>407</v>
      </c>
      <c r="Q7" s="2">
        <v>4464</v>
      </c>
      <c r="R7" s="2">
        <v>5956</v>
      </c>
      <c r="S7" s="2">
        <v>289</v>
      </c>
      <c r="T7" s="2">
        <v>341</v>
      </c>
      <c r="U7" s="2"/>
      <c r="V7" s="5">
        <f t="shared" si="0"/>
        <v>2.4023668639053253</v>
      </c>
      <c r="W7" s="5">
        <f t="shared" si="1"/>
        <v>17.161417322834644</v>
      </c>
      <c r="X7" s="5">
        <f t="shared" si="2"/>
        <v>15.446366782006921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975</v>
      </c>
      <c r="D8" s="2">
        <v>2062</v>
      </c>
      <c r="E8" s="2">
        <v>3074</v>
      </c>
      <c r="F8" s="2">
        <v>4662</v>
      </c>
      <c r="G8" s="2">
        <v>680</v>
      </c>
      <c r="H8" s="2">
        <v>1616</v>
      </c>
      <c r="I8" s="2">
        <v>1311</v>
      </c>
      <c r="J8" s="2">
        <v>2810</v>
      </c>
      <c r="K8" s="2">
        <v>21756</v>
      </c>
      <c r="L8" s="2">
        <v>40943</v>
      </c>
      <c r="M8" s="2">
        <v>1206</v>
      </c>
      <c r="N8" s="2">
        <v>2117</v>
      </c>
      <c r="O8" s="2">
        <v>1378</v>
      </c>
      <c r="P8" s="2">
        <v>3040</v>
      </c>
      <c r="Q8" s="2">
        <v>64753</v>
      </c>
      <c r="R8" s="2">
        <v>89533</v>
      </c>
      <c r="S8" s="2">
        <v>1211</v>
      </c>
      <c r="T8" s="2">
        <v>2608</v>
      </c>
      <c r="U8" s="2"/>
      <c r="V8" s="5">
        <f t="shared" si="0"/>
        <v>4.5205882352941176</v>
      </c>
      <c r="W8" s="5">
        <f t="shared" si="1"/>
        <v>18.039800995024876</v>
      </c>
      <c r="X8" s="5">
        <f t="shared" si="2"/>
        <v>53.470685383980182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452</v>
      </c>
      <c r="D9" s="2">
        <v>482</v>
      </c>
      <c r="E9" s="2">
        <v>884</v>
      </c>
      <c r="F9" s="2">
        <v>900</v>
      </c>
      <c r="G9" s="2">
        <v>324</v>
      </c>
      <c r="H9" s="2">
        <v>539</v>
      </c>
      <c r="I9" s="2">
        <v>590</v>
      </c>
      <c r="J9" s="2">
        <v>607</v>
      </c>
      <c r="K9" s="2">
        <v>8639</v>
      </c>
      <c r="L9" s="2">
        <v>8603</v>
      </c>
      <c r="M9" s="2">
        <v>456</v>
      </c>
      <c r="N9" s="2">
        <v>483</v>
      </c>
      <c r="O9" s="2">
        <v>621</v>
      </c>
      <c r="P9" s="2">
        <v>663</v>
      </c>
      <c r="Q9" s="2">
        <v>13140</v>
      </c>
      <c r="R9" s="2">
        <v>12932</v>
      </c>
      <c r="S9" s="2">
        <v>527</v>
      </c>
      <c r="T9" s="2">
        <v>556</v>
      </c>
      <c r="U9" s="2"/>
      <c r="V9" s="5">
        <f t="shared" si="0"/>
        <v>2.7283950617283952</v>
      </c>
      <c r="W9" s="5">
        <f t="shared" si="1"/>
        <v>18.94517543859649</v>
      </c>
      <c r="X9" s="5">
        <f t="shared" si="2"/>
        <v>24.933586337760911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997</v>
      </c>
      <c r="D10" s="2">
        <v>1248</v>
      </c>
      <c r="E10" s="2">
        <v>1961</v>
      </c>
      <c r="F10" s="2">
        <v>2332</v>
      </c>
      <c r="G10" s="2">
        <v>679</v>
      </c>
      <c r="H10" s="2">
        <v>847</v>
      </c>
      <c r="I10" s="2">
        <v>2052</v>
      </c>
      <c r="J10" s="2">
        <v>2647</v>
      </c>
      <c r="K10" s="2">
        <v>14445</v>
      </c>
      <c r="L10" s="2">
        <v>29349</v>
      </c>
      <c r="M10" s="2">
        <v>1784</v>
      </c>
      <c r="N10" s="2">
        <v>1958</v>
      </c>
      <c r="O10" s="2">
        <v>2455</v>
      </c>
      <c r="P10" s="2">
        <v>3061</v>
      </c>
      <c r="Q10" s="2">
        <v>57023</v>
      </c>
      <c r="R10" s="2">
        <v>61990</v>
      </c>
      <c r="S10" s="2">
        <v>2083</v>
      </c>
      <c r="T10" s="2">
        <v>2751</v>
      </c>
      <c r="U10" s="2"/>
      <c r="V10" s="5">
        <f t="shared" si="0"/>
        <v>2.8880706921944035</v>
      </c>
      <c r="W10" s="5">
        <f t="shared" si="1"/>
        <v>8.0969730941704032</v>
      </c>
      <c r="X10" s="5">
        <f t="shared" si="2"/>
        <v>27.375420067210754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22</v>
      </c>
      <c r="D11" s="2">
        <v>20</v>
      </c>
      <c r="E11" s="2">
        <v>29</v>
      </c>
      <c r="F11" s="2">
        <v>28</v>
      </c>
      <c r="G11" s="2">
        <v>23</v>
      </c>
      <c r="H11" s="2">
        <v>14</v>
      </c>
      <c r="I11" s="2">
        <v>31</v>
      </c>
      <c r="J11" s="2">
        <v>27</v>
      </c>
      <c r="K11" s="2">
        <v>419</v>
      </c>
      <c r="L11" s="2">
        <v>421</v>
      </c>
      <c r="M11" s="2">
        <v>20</v>
      </c>
      <c r="N11" s="2">
        <v>23</v>
      </c>
      <c r="O11" s="2">
        <v>30</v>
      </c>
      <c r="P11" s="2">
        <v>30</v>
      </c>
      <c r="Q11" s="2">
        <v>494</v>
      </c>
      <c r="R11" s="2">
        <v>486</v>
      </c>
      <c r="S11" s="2">
        <v>24</v>
      </c>
      <c r="T11" s="2">
        <v>24</v>
      </c>
      <c r="U11" s="2"/>
      <c r="V11" s="5">
        <f t="shared" si="0"/>
        <v>1.2608695652173914</v>
      </c>
      <c r="W11" s="5">
        <f t="shared" si="1"/>
        <v>20.95</v>
      </c>
      <c r="X11" s="5">
        <f t="shared" si="2"/>
        <v>20.583333333333332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19</v>
      </c>
      <c r="D12" s="2">
        <v>30</v>
      </c>
      <c r="E12" s="2">
        <v>36</v>
      </c>
      <c r="F12" s="2">
        <v>42</v>
      </c>
      <c r="G12" s="2">
        <v>25</v>
      </c>
      <c r="H12" s="2">
        <v>18</v>
      </c>
      <c r="I12" s="2">
        <v>28</v>
      </c>
      <c r="J12" s="2">
        <v>40</v>
      </c>
      <c r="K12" s="2">
        <v>440</v>
      </c>
      <c r="L12" s="2">
        <v>443</v>
      </c>
      <c r="M12" s="2">
        <v>23</v>
      </c>
      <c r="N12" s="2">
        <v>22</v>
      </c>
      <c r="O12" s="2">
        <v>30</v>
      </c>
      <c r="P12" s="2">
        <v>30</v>
      </c>
      <c r="Q12" s="2">
        <v>912</v>
      </c>
      <c r="R12" s="2">
        <v>946</v>
      </c>
      <c r="S12" s="2">
        <v>23</v>
      </c>
      <c r="T12" s="2">
        <v>39</v>
      </c>
      <c r="U12" s="2"/>
      <c r="V12" s="5">
        <f t="shared" si="0"/>
        <v>1.44</v>
      </c>
      <c r="W12" s="5">
        <f t="shared" si="1"/>
        <v>19.130434782608695</v>
      </c>
      <c r="X12" s="5">
        <f t="shared" si="2"/>
        <v>39.652173913043477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73</v>
      </c>
      <c r="D13" s="2">
        <v>79</v>
      </c>
      <c r="E13" s="2">
        <v>146</v>
      </c>
      <c r="F13" s="2">
        <v>158</v>
      </c>
      <c r="G13" s="2">
        <v>60</v>
      </c>
      <c r="H13" s="2">
        <v>50</v>
      </c>
      <c r="I13" s="2">
        <v>137</v>
      </c>
      <c r="J13" s="2">
        <v>120</v>
      </c>
      <c r="K13" s="2">
        <v>757</v>
      </c>
      <c r="L13" s="2">
        <v>685</v>
      </c>
      <c r="M13" s="2">
        <v>85</v>
      </c>
      <c r="N13" s="2">
        <v>82</v>
      </c>
      <c r="O13" s="2">
        <v>126</v>
      </c>
      <c r="P13" s="2">
        <v>123</v>
      </c>
      <c r="Q13" s="2">
        <v>2171</v>
      </c>
      <c r="R13" s="2">
        <v>1657</v>
      </c>
      <c r="S13" s="2">
        <v>150</v>
      </c>
      <c r="T13" s="2">
        <v>91</v>
      </c>
      <c r="U13" s="2"/>
      <c r="V13" s="5">
        <f t="shared" si="0"/>
        <v>2.4333333333333331</v>
      </c>
      <c r="W13" s="5">
        <f t="shared" si="1"/>
        <v>8.9058823529411768</v>
      </c>
      <c r="X13" s="5">
        <f t="shared" si="2"/>
        <v>14.473333333333333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20</v>
      </c>
      <c r="D14" s="2">
        <v>19</v>
      </c>
      <c r="E14" s="2">
        <v>35</v>
      </c>
      <c r="F14" s="2">
        <v>36</v>
      </c>
      <c r="G14" s="2">
        <v>19</v>
      </c>
      <c r="H14" s="2">
        <v>14</v>
      </c>
      <c r="I14" s="2">
        <v>27</v>
      </c>
      <c r="J14" s="2">
        <v>28</v>
      </c>
      <c r="K14" s="2">
        <v>431</v>
      </c>
      <c r="L14" s="2">
        <v>418</v>
      </c>
      <c r="M14" s="2">
        <v>21</v>
      </c>
      <c r="N14" s="2">
        <v>20</v>
      </c>
      <c r="O14" s="2">
        <v>30</v>
      </c>
      <c r="P14" s="2">
        <v>31</v>
      </c>
      <c r="Q14" s="2">
        <v>525</v>
      </c>
      <c r="R14" s="2">
        <v>561</v>
      </c>
      <c r="S14" s="2">
        <v>25</v>
      </c>
      <c r="T14" s="2">
        <v>24</v>
      </c>
      <c r="U14" s="2"/>
      <c r="V14" s="5">
        <f t="shared" si="0"/>
        <v>1.8421052631578947</v>
      </c>
      <c r="W14" s="5">
        <f t="shared" si="1"/>
        <v>20.523809523809526</v>
      </c>
      <c r="X14" s="5">
        <f t="shared" si="2"/>
        <v>21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1488</v>
      </c>
      <c r="D15" s="2">
        <v>1844</v>
      </c>
      <c r="E15" s="2">
        <v>2353</v>
      </c>
      <c r="F15" s="2">
        <v>2666</v>
      </c>
      <c r="G15" s="2">
        <v>1040</v>
      </c>
      <c r="H15" s="2">
        <v>1273</v>
      </c>
      <c r="I15" s="2">
        <v>3070</v>
      </c>
      <c r="J15" s="2">
        <v>3958</v>
      </c>
      <c r="K15" s="2">
        <v>28333</v>
      </c>
      <c r="L15" s="2">
        <v>29787</v>
      </c>
      <c r="M15" s="2">
        <v>2437</v>
      </c>
      <c r="N15" s="2">
        <v>2951</v>
      </c>
      <c r="O15" s="2">
        <v>3607</v>
      </c>
      <c r="P15" s="2">
        <v>4638</v>
      </c>
      <c r="Q15" s="2">
        <v>44822</v>
      </c>
      <c r="R15" s="2">
        <v>58407</v>
      </c>
      <c r="S15" s="2">
        <v>3158</v>
      </c>
      <c r="T15" s="2">
        <v>3905</v>
      </c>
      <c r="U15" s="2"/>
      <c r="V15" s="5">
        <f>E15/G15</f>
        <v>2.2625000000000002</v>
      </c>
      <c r="W15" s="5">
        <f t="shared" si="1"/>
        <v>11.626179729175215</v>
      </c>
      <c r="X15" s="5">
        <f t="shared" si="2"/>
        <v>14.193160227992401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239</v>
      </c>
      <c r="D16" s="2">
        <v>296</v>
      </c>
      <c r="E16" s="2">
        <v>467</v>
      </c>
      <c r="F16" s="2">
        <v>489</v>
      </c>
      <c r="G16" s="2">
        <v>160</v>
      </c>
      <c r="H16" s="2">
        <v>205</v>
      </c>
      <c r="I16" s="2">
        <v>323</v>
      </c>
      <c r="J16" s="2">
        <v>379</v>
      </c>
      <c r="K16" s="2">
        <v>3002</v>
      </c>
      <c r="L16" s="2">
        <v>3687</v>
      </c>
      <c r="M16" s="2">
        <v>383</v>
      </c>
      <c r="N16" s="2">
        <v>294</v>
      </c>
      <c r="O16" s="2">
        <v>370</v>
      </c>
      <c r="P16" s="2">
        <v>403</v>
      </c>
      <c r="Q16" s="2">
        <v>5871</v>
      </c>
      <c r="R16" s="2">
        <v>6145</v>
      </c>
      <c r="S16" s="2">
        <v>279</v>
      </c>
      <c r="T16" s="2">
        <v>344</v>
      </c>
      <c r="U16" s="2"/>
      <c r="V16" s="5">
        <f t="shared" si="0"/>
        <v>2.9187500000000002</v>
      </c>
      <c r="W16" s="5">
        <f t="shared" si="1"/>
        <v>7.8381201044386426</v>
      </c>
      <c r="X16" s="5">
        <f t="shared" si="2"/>
        <v>21.043010752688172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241</v>
      </c>
      <c r="D17" s="2">
        <v>295</v>
      </c>
      <c r="E17" s="2">
        <v>439</v>
      </c>
      <c r="F17" s="2">
        <v>475</v>
      </c>
      <c r="G17" s="2">
        <v>180</v>
      </c>
      <c r="H17" s="2">
        <v>201</v>
      </c>
      <c r="I17" s="2">
        <v>323</v>
      </c>
      <c r="J17" s="2">
        <v>400</v>
      </c>
      <c r="K17" s="2">
        <v>2737</v>
      </c>
      <c r="L17" s="2">
        <v>3591</v>
      </c>
      <c r="M17" s="2">
        <v>326</v>
      </c>
      <c r="N17" s="2">
        <v>291</v>
      </c>
      <c r="O17" s="2">
        <v>347</v>
      </c>
      <c r="P17" s="2">
        <v>403</v>
      </c>
      <c r="Q17" s="2">
        <v>5804</v>
      </c>
      <c r="R17" s="2">
        <v>7143</v>
      </c>
      <c r="S17" s="2">
        <v>290</v>
      </c>
      <c r="T17" s="2">
        <v>330</v>
      </c>
      <c r="U17" s="2"/>
      <c r="V17" s="5">
        <f t="shared" si="0"/>
        <v>2.4388888888888891</v>
      </c>
      <c r="W17" s="5">
        <f t="shared" si="1"/>
        <v>8.3957055214723919</v>
      </c>
      <c r="X17" s="5">
        <f t="shared" si="2"/>
        <v>20.013793103448275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302</v>
      </c>
      <c r="D18" s="2">
        <v>305</v>
      </c>
      <c r="E18" s="2">
        <v>504</v>
      </c>
      <c r="F18" s="2">
        <v>502</v>
      </c>
      <c r="G18" s="2">
        <v>216</v>
      </c>
      <c r="H18" s="2">
        <v>213</v>
      </c>
      <c r="I18" s="2">
        <v>713</v>
      </c>
      <c r="J18" s="2">
        <v>732</v>
      </c>
      <c r="K18" s="2">
        <v>4349</v>
      </c>
      <c r="L18" s="2">
        <v>5021</v>
      </c>
      <c r="M18" s="2">
        <v>517</v>
      </c>
      <c r="N18" s="2">
        <v>531</v>
      </c>
      <c r="O18" s="2">
        <v>818</v>
      </c>
      <c r="P18" s="2">
        <v>824</v>
      </c>
      <c r="Q18" s="2">
        <v>4224</v>
      </c>
      <c r="R18" s="2">
        <v>4372</v>
      </c>
      <c r="S18" s="2">
        <v>677</v>
      </c>
      <c r="T18" s="2">
        <v>679</v>
      </c>
      <c r="U18" s="2"/>
      <c r="V18" s="5">
        <f t="shared" si="0"/>
        <v>2.3333333333333335</v>
      </c>
      <c r="W18" s="5">
        <f t="shared" si="1"/>
        <v>8.4119922630560922</v>
      </c>
      <c r="X18" s="5">
        <f t="shared" si="2"/>
        <v>6.2392909896602662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2598</v>
      </c>
      <c r="D19" s="2">
        <v>3408</v>
      </c>
      <c r="E19" s="2">
        <v>4686</v>
      </c>
      <c r="F19" s="2">
        <v>5219</v>
      </c>
      <c r="G19" s="2">
        <v>1840</v>
      </c>
      <c r="H19" s="2">
        <v>2312</v>
      </c>
      <c r="I19" s="2">
        <v>5880</v>
      </c>
      <c r="J19" s="2">
        <v>7712</v>
      </c>
      <c r="K19" s="2">
        <v>49540</v>
      </c>
      <c r="L19" s="2">
        <v>57351</v>
      </c>
      <c r="M19" s="2">
        <v>4362</v>
      </c>
      <c r="N19" s="2">
        <v>7213</v>
      </c>
      <c r="O19" s="2">
        <v>6842</v>
      </c>
      <c r="P19" s="2">
        <v>9189</v>
      </c>
      <c r="Q19" s="2">
        <v>94538</v>
      </c>
      <c r="R19" s="2">
        <v>137356</v>
      </c>
      <c r="S19" s="2">
        <v>6058</v>
      </c>
      <c r="T19" s="2">
        <v>7958</v>
      </c>
      <c r="U19" s="2"/>
      <c r="V19" s="5">
        <f t="shared" si="0"/>
        <v>2.5467391304347826</v>
      </c>
      <c r="W19" s="5">
        <f t="shared" si="1"/>
        <v>11.357175607519487</v>
      </c>
      <c r="X19" s="5">
        <f t="shared" si="2"/>
        <v>15.605480356553318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1286</v>
      </c>
      <c r="D20" s="2">
        <v>1565</v>
      </c>
      <c r="E20" s="2">
        <v>2071</v>
      </c>
      <c r="F20" s="2">
        <v>2303</v>
      </c>
      <c r="G20" s="2">
        <v>917</v>
      </c>
      <c r="H20" s="2">
        <v>1082</v>
      </c>
      <c r="I20" s="2">
        <v>2671</v>
      </c>
      <c r="J20" s="2">
        <v>3261</v>
      </c>
      <c r="K20" s="2">
        <v>26706</v>
      </c>
      <c r="L20" s="2">
        <v>21985</v>
      </c>
      <c r="M20" s="2">
        <v>2013</v>
      </c>
      <c r="N20" s="2">
        <v>2365</v>
      </c>
      <c r="O20" s="2">
        <v>3179</v>
      </c>
      <c r="P20" s="2">
        <v>3819</v>
      </c>
      <c r="Q20" s="2">
        <v>40025</v>
      </c>
      <c r="R20" s="2">
        <v>43048</v>
      </c>
      <c r="S20" s="2">
        <v>2691</v>
      </c>
      <c r="T20" s="2">
        <v>3508</v>
      </c>
      <c r="U20" s="2"/>
      <c r="V20" s="5">
        <f t="shared" si="0"/>
        <v>2.25845147219193</v>
      </c>
      <c r="W20" s="5">
        <f t="shared" si="1"/>
        <v>13.266766020864381</v>
      </c>
      <c r="X20" s="5">
        <f t="shared" si="2"/>
        <v>14.873652917131178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857</v>
      </c>
      <c r="D21" s="2">
        <v>906</v>
      </c>
      <c r="E21" s="2">
        <v>1847</v>
      </c>
      <c r="F21" s="2">
        <v>1880</v>
      </c>
      <c r="G21" s="2">
        <v>621</v>
      </c>
      <c r="H21" s="2">
        <v>645</v>
      </c>
      <c r="I21" s="2">
        <v>1764</v>
      </c>
      <c r="J21" s="2">
        <v>1898</v>
      </c>
      <c r="K21" s="2">
        <v>21388</v>
      </c>
      <c r="L21" s="2">
        <v>27366</v>
      </c>
      <c r="M21" s="2">
        <v>1357</v>
      </c>
      <c r="N21" s="2">
        <v>1468</v>
      </c>
      <c r="O21" s="2">
        <v>2134</v>
      </c>
      <c r="P21" s="2">
        <v>2212</v>
      </c>
      <c r="Q21" s="2">
        <v>31898</v>
      </c>
      <c r="R21" s="2">
        <v>31615</v>
      </c>
      <c r="S21" s="2">
        <v>1780</v>
      </c>
      <c r="T21" s="2">
        <v>2010</v>
      </c>
      <c r="U21" s="2"/>
      <c r="V21" s="5">
        <f t="shared" si="0"/>
        <v>2.9742351046698872</v>
      </c>
      <c r="W21" s="5">
        <f t="shared" si="1"/>
        <v>15.761238025055269</v>
      </c>
      <c r="X21" s="5">
        <f t="shared" si="2"/>
        <v>17.920224719101125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20</v>
      </c>
      <c r="D22" s="2">
        <v>24</v>
      </c>
      <c r="E22" s="2">
        <v>42</v>
      </c>
      <c r="F22" s="2">
        <v>39</v>
      </c>
      <c r="G22" s="2">
        <v>14</v>
      </c>
      <c r="H22" s="2">
        <v>14</v>
      </c>
      <c r="I22" s="2">
        <v>46</v>
      </c>
      <c r="J22" s="2">
        <v>27</v>
      </c>
      <c r="K22" s="2">
        <v>436</v>
      </c>
      <c r="L22" s="2">
        <v>499</v>
      </c>
      <c r="M22" s="2">
        <v>21</v>
      </c>
      <c r="N22" s="2">
        <v>21</v>
      </c>
      <c r="O22" s="2">
        <v>32</v>
      </c>
      <c r="P22" s="2">
        <v>32</v>
      </c>
      <c r="Q22" s="2">
        <v>368</v>
      </c>
      <c r="R22" s="2">
        <v>371</v>
      </c>
      <c r="S22" s="2">
        <v>25</v>
      </c>
      <c r="T22" s="2">
        <v>25</v>
      </c>
      <c r="U22" s="2"/>
      <c r="V22" s="5">
        <f t="shared" si="0"/>
        <v>3</v>
      </c>
      <c r="W22" s="5">
        <f t="shared" si="1"/>
        <v>20.761904761904763</v>
      </c>
      <c r="X22" s="5">
        <f t="shared" si="2"/>
        <v>14.72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3277</v>
      </c>
      <c r="D23" s="2">
        <v>3585</v>
      </c>
      <c r="E23" s="2">
        <v>6811</v>
      </c>
      <c r="F23" s="2">
        <v>7103</v>
      </c>
      <c r="G23" s="2">
        <v>2296</v>
      </c>
      <c r="H23" s="2">
        <v>2453</v>
      </c>
      <c r="I23" s="2">
        <v>4498</v>
      </c>
      <c r="J23" s="2">
        <v>4900</v>
      </c>
      <c r="K23" s="2">
        <v>70096</v>
      </c>
      <c r="L23" s="2">
        <v>75473</v>
      </c>
      <c r="M23" s="2">
        <v>3462</v>
      </c>
      <c r="N23" s="2">
        <v>3691</v>
      </c>
      <c r="O23" s="2">
        <v>4831</v>
      </c>
      <c r="P23" s="2">
        <v>5403</v>
      </c>
      <c r="Q23" s="2">
        <v>139032</v>
      </c>
      <c r="R23" s="2">
        <v>135752</v>
      </c>
      <c r="S23" s="2">
        <v>4131</v>
      </c>
      <c r="T23" s="2">
        <v>4803</v>
      </c>
      <c r="U23" s="2"/>
      <c r="V23" s="5">
        <f t="shared" si="0"/>
        <v>2.9664634146341462</v>
      </c>
      <c r="W23" s="5">
        <f t="shared" si="1"/>
        <v>20.247255921432696</v>
      </c>
      <c r="X23" s="5">
        <f t="shared" si="2"/>
        <v>33.655773420479299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1505</v>
      </c>
      <c r="D24" s="2">
        <v>1554</v>
      </c>
      <c r="E24" s="2">
        <v>2975</v>
      </c>
      <c r="F24" s="2">
        <v>3092</v>
      </c>
      <c r="G24" s="2">
        <v>1026</v>
      </c>
      <c r="H24" s="2">
        <v>1088</v>
      </c>
      <c r="I24" s="2">
        <v>2027</v>
      </c>
      <c r="J24" s="2">
        <v>2165</v>
      </c>
      <c r="K24" s="2">
        <v>30071</v>
      </c>
      <c r="L24" s="2">
        <v>30602</v>
      </c>
      <c r="M24" s="2">
        <v>1546</v>
      </c>
      <c r="N24" s="2">
        <v>1609</v>
      </c>
      <c r="O24" s="2">
        <v>2173</v>
      </c>
      <c r="P24" s="2">
        <v>2282</v>
      </c>
      <c r="Q24" s="2">
        <v>59749</v>
      </c>
      <c r="R24" s="2">
        <v>59485</v>
      </c>
      <c r="S24" s="2">
        <v>1804</v>
      </c>
      <c r="T24" s="2">
        <v>1960</v>
      </c>
      <c r="U24" s="2"/>
      <c r="V24" s="5">
        <f t="shared" si="0"/>
        <v>2.8996101364522415</v>
      </c>
      <c r="W24" s="5">
        <f t="shared" si="1"/>
        <v>19.450840879689522</v>
      </c>
      <c r="X24" s="5">
        <f t="shared" si="2"/>
        <v>33.120288248337026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938</v>
      </c>
      <c r="D25" s="2">
        <v>1008</v>
      </c>
      <c r="E25" s="2">
        <v>1822</v>
      </c>
      <c r="F25" s="2">
        <v>1917</v>
      </c>
      <c r="G25" s="2">
        <v>653</v>
      </c>
      <c r="H25" s="2">
        <v>691</v>
      </c>
      <c r="I25" s="2">
        <v>1398</v>
      </c>
      <c r="J25" s="2">
        <v>1383</v>
      </c>
      <c r="K25" s="2">
        <v>19676</v>
      </c>
      <c r="L25" s="2">
        <v>20335</v>
      </c>
      <c r="M25" s="2">
        <v>1042</v>
      </c>
      <c r="N25" s="2">
        <v>1038</v>
      </c>
      <c r="O25" s="2">
        <v>1386</v>
      </c>
      <c r="P25" s="2">
        <v>1485</v>
      </c>
      <c r="Q25" s="2">
        <v>40701</v>
      </c>
      <c r="R25" s="2">
        <v>37659</v>
      </c>
      <c r="S25" s="2">
        <v>1211</v>
      </c>
      <c r="T25" s="2">
        <v>1249</v>
      </c>
      <c r="U25" s="2"/>
      <c r="V25" s="5">
        <f t="shared" si="0"/>
        <v>2.7901990811638591</v>
      </c>
      <c r="W25" s="5">
        <f t="shared" si="1"/>
        <v>18.882917466410749</v>
      </c>
      <c r="X25" s="5">
        <f t="shared" si="2"/>
        <v>33.6094137076796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705</v>
      </c>
      <c r="D26" s="2">
        <v>737</v>
      </c>
      <c r="E26" s="2">
        <v>1247</v>
      </c>
      <c r="F26" s="2">
        <v>1287</v>
      </c>
      <c r="G26" s="2">
        <v>486</v>
      </c>
      <c r="H26" s="2">
        <v>492</v>
      </c>
      <c r="I26" s="2">
        <v>1850</v>
      </c>
      <c r="J26" s="2">
        <v>1942</v>
      </c>
      <c r="K26" s="2">
        <v>13753</v>
      </c>
      <c r="L26" s="2">
        <v>13900</v>
      </c>
      <c r="M26" s="2">
        <v>1382</v>
      </c>
      <c r="N26" s="2">
        <v>1440</v>
      </c>
      <c r="O26" s="2">
        <v>2211</v>
      </c>
      <c r="P26" s="2">
        <v>2285</v>
      </c>
      <c r="Q26" s="2">
        <v>22368</v>
      </c>
      <c r="R26" s="2">
        <v>21560</v>
      </c>
      <c r="S26" s="2">
        <v>1899</v>
      </c>
      <c r="T26" s="2">
        <v>1914</v>
      </c>
      <c r="U26" s="2"/>
      <c r="V26" s="5">
        <f t="shared" si="0"/>
        <v>2.5658436213991771</v>
      </c>
      <c r="W26" s="5">
        <f t="shared" si="1"/>
        <v>9.9515195369030387</v>
      </c>
      <c r="X26" s="5">
        <f t="shared" si="2"/>
        <v>11.778830963665087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940</v>
      </c>
      <c r="D27" s="2">
        <v>998</v>
      </c>
      <c r="E27" s="2">
        <v>1726</v>
      </c>
      <c r="F27" s="2">
        <v>1738</v>
      </c>
      <c r="G27" s="2">
        <v>674</v>
      </c>
      <c r="H27" s="2">
        <v>691</v>
      </c>
      <c r="I27" s="2">
        <v>1295</v>
      </c>
      <c r="J27" s="2">
        <v>1328</v>
      </c>
      <c r="K27" s="2">
        <v>13622</v>
      </c>
      <c r="L27" s="2">
        <v>15236</v>
      </c>
      <c r="M27" s="2">
        <v>981</v>
      </c>
      <c r="N27" s="2">
        <v>997</v>
      </c>
      <c r="O27" s="2">
        <v>1428</v>
      </c>
      <c r="P27" s="2">
        <v>1421</v>
      </c>
      <c r="Q27" s="2">
        <v>30153</v>
      </c>
      <c r="R27" s="2">
        <v>34515</v>
      </c>
      <c r="S27" s="2">
        <v>1151</v>
      </c>
      <c r="T27" s="2">
        <v>1275</v>
      </c>
      <c r="U27" s="2"/>
      <c r="V27" s="5">
        <f t="shared" si="0"/>
        <v>2.5608308605341246</v>
      </c>
      <c r="W27" s="5">
        <f t="shared" si="1"/>
        <v>13.885830784913354</v>
      </c>
      <c r="X27" s="5">
        <f t="shared" si="2"/>
        <v>26.19721980886186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382</v>
      </c>
      <c r="D28" s="2">
        <v>798</v>
      </c>
      <c r="E28" s="2">
        <v>1040</v>
      </c>
      <c r="F28" s="2">
        <v>1370</v>
      </c>
      <c r="G28" s="2">
        <v>275</v>
      </c>
      <c r="H28" s="2">
        <v>550</v>
      </c>
      <c r="I28" s="2">
        <v>554</v>
      </c>
      <c r="J28" s="2">
        <v>1165</v>
      </c>
      <c r="K28" s="2">
        <v>5812</v>
      </c>
      <c r="L28" s="2">
        <v>14531</v>
      </c>
      <c r="M28" s="2">
        <v>405</v>
      </c>
      <c r="N28" s="2">
        <v>871</v>
      </c>
      <c r="O28" s="2">
        <v>567</v>
      </c>
      <c r="P28" s="2">
        <v>1192</v>
      </c>
      <c r="Q28" s="2">
        <v>19424</v>
      </c>
      <c r="R28" s="2">
        <v>21416</v>
      </c>
      <c r="S28" s="2">
        <v>472</v>
      </c>
      <c r="T28" s="2">
        <v>1074</v>
      </c>
      <c r="U28" s="2"/>
      <c r="V28" s="5">
        <f t="shared" si="0"/>
        <v>3.7818181818181817</v>
      </c>
      <c r="W28" s="5">
        <f t="shared" si="1"/>
        <v>14.350617283950617</v>
      </c>
      <c r="X28" s="5">
        <f t="shared" si="2"/>
        <v>41.152542372881356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24</v>
      </c>
      <c r="D29" s="2">
        <v>25</v>
      </c>
      <c r="E29" s="2">
        <v>81</v>
      </c>
      <c r="F29" s="2">
        <v>62</v>
      </c>
      <c r="G29" s="2">
        <v>22</v>
      </c>
      <c r="H29" s="2">
        <v>20</v>
      </c>
      <c r="I29" s="2">
        <v>38</v>
      </c>
      <c r="J29" s="2">
        <v>37</v>
      </c>
      <c r="K29" s="2">
        <v>280</v>
      </c>
      <c r="L29" s="2">
        <v>326</v>
      </c>
      <c r="M29" s="2">
        <v>27</v>
      </c>
      <c r="N29" s="2">
        <v>29</v>
      </c>
      <c r="O29" s="2">
        <v>43</v>
      </c>
      <c r="P29" s="2">
        <v>44</v>
      </c>
      <c r="Q29" s="2">
        <v>772</v>
      </c>
      <c r="R29" s="2">
        <v>794</v>
      </c>
      <c r="S29" s="2">
        <v>32</v>
      </c>
      <c r="T29" s="2">
        <v>32</v>
      </c>
      <c r="U29" s="2"/>
      <c r="V29" s="5">
        <f t="shared" si="0"/>
        <v>3.6818181818181817</v>
      </c>
      <c r="W29" s="5">
        <f t="shared" si="1"/>
        <v>10.37037037037037</v>
      </c>
      <c r="X29" s="5">
        <f t="shared" si="2"/>
        <v>24.125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918</v>
      </c>
      <c r="D30" s="2">
        <v>979</v>
      </c>
      <c r="E30" s="2">
        <v>1718</v>
      </c>
      <c r="F30" s="2">
        <v>1669</v>
      </c>
      <c r="G30" s="2">
        <v>659</v>
      </c>
      <c r="H30" s="2">
        <v>724</v>
      </c>
      <c r="I30" s="2">
        <v>1305</v>
      </c>
      <c r="J30" s="2">
        <v>1334</v>
      </c>
      <c r="K30" s="2">
        <v>13269</v>
      </c>
      <c r="L30" s="2">
        <v>15024</v>
      </c>
      <c r="M30" s="2">
        <v>1011</v>
      </c>
      <c r="N30" s="2">
        <v>1052</v>
      </c>
      <c r="O30" s="2">
        <v>1403</v>
      </c>
      <c r="P30" s="2">
        <v>1467</v>
      </c>
      <c r="Q30" s="2">
        <v>31739</v>
      </c>
      <c r="R30" s="2">
        <v>33736</v>
      </c>
      <c r="S30" s="2">
        <v>1199</v>
      </c>
      <c r="T30" s="2">
        <v>1251</v>
      </c>
      <c r="U30" s="2"/>
      <c r="V30" s="5">
        <f t="shared" si="0"/>
        <v>2.6069802731411231</v>
      </c>
      <c r="W30" s="5">
        <f t="shared" si="1"/>
        <v>13.124629080118694</v>
      </c>
      <c r="X30" s="5">
        <f t="shared" si="2"/>
        <v>26.471226021684739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365</v>
      </c>
      <c r="D31" s="2">
        <v>715</v>
      </c>
      <c r="E31" s="2">
        <v>988</v>
      </c>
      <c r="F31" s="2">
        <v>1242</v>
      </c>
      <c r="G31" s="2">
        <v>257</v>
      </c>
      <c r="H31" s="2">
        <v>508</v>
      </c>
      <c r="I31" s="2">
        <v>511</v>
      </c>
      <c r="J31" s="2">
        <v>1050</v>
      </c>
      <c r="K31" s="2">
        <v>5457</v>
      </c>
      <c r="L31" s="2">
        <v>9688</v>
      </c>
      <c r="M31" s="2">
        <v>403</v>
      </c>
      <c r="N31" s="2">
        <v>779</v>
      </c>
      <c r="O31" s="2">
        <v>552</v>
      </c>
      <c r="P31" s="2">
        <v>1125</v>
      </c>
      <c r="Q31" s="2">
        <v>20771</v>
      </c>
      <c r="R31" s="2">
        <v>22458</v>
      </c>
      <c r="S31" s="2">
        <v>518</v>
      </c>
      <c r="T31" s="2">
        <v>905</v>
      </c>
      <c r="U31" s="2"/>
      <c r="V31" s="5">
        <f t="shared" si="0"/>
        <v>3.8443579766536966</v>
      </c>
      <c r="W31" s="5">
        <f t="shared" si="1"/>
        <v>13.540942928039703</v>
      </c>
      <c r="X31" s="5">
        <f t="shared" si="2"/>
        <v>40.098455598455601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38</v>
      </c>
      <c r="D32" s="2">
        <v>28</v>
      </c>
      <c r="E32" s="2">
        <v>83</v>
      </c>
      <c r="F32" s="2">
        <v>71</v>
      </c>
      <c r="G32" s="2">
        <v>29</v>
      </c>
      <c r="H32" s="2">
        <v>20</v>
      </c>
      <c r="I32" s="2">
        <v>33</v>
      </c>
      <c r="J32" s="2">
        <v>41</v>
      </c>
      <c r="K32" s="2">
        <v>478</v>
      </c>
      <c r="L32" s="2">
        <v>596</v>
      </c>
      <c r="M32" s="2">
        <v>28</v>
      </c>
      <c r="N32" s="2">
        <v>37</v>
      </c>
      <c r="O32" s="2">
        <v>37</v>
      </c>
      <c r="P32" s="2">
        <v>47</v>
      </c>
      <c r="Q32" s="2">
        <v>485</v>
      </c>
      <c r="R32" s="2">
        <v>454</v>
      </c>
      <c r="S32" s="2">
        <v>30</v>
      </c>
      <c r="T32" s="2">
        <v>39</v>
      </c>
      <c r="U32" s="2"/>
      <c r="V32" s="5">
        <f t="shared" si="0"/>
        <v>2.8620689655172415</v>
      </c>
      <c r="W32" s="5">
        <f t="shared" si="1"/>
        <v>17.071428571428573</v>
      </c>
      <c r="X32" s="5">
        <f t="shared" si="2"/>
        <v>16.166666666666668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36</v>
      </c>
      <c r="D33" s="2">
        <v>41</v>
      </c>
      <c r="E33" s="2">
        <v>109</v>
      </c>
      <c r="F33" s="2">
        <v>104</v>
      </c>
      <c r="G33" s="2">
        <v>28</v>
      </c>
      <c r="H33" s="2">
        <v>40</v>
      </c>
      <c r="I33" s="2">
        <v>95</v>
      </c>
      <c r="J33" s="2">
        <v>56</v>
      </c>
      <c r="K33" s="2">
        <v>375</v>
      </c>
      <c r="L33" s="2">
        <v>359</v>
      </c>
      <c r="M33" s="2">
        <v>42</v>
      </c>
      <c r="N33" s="2">
        <v>45</v>
      </c>
      <c r="O33" s="2">
        <v>64</v>
      </c>
      <c r="P33" s="2">
        <v>65</v>
      </c>
      <c r="Q33" s="2">
        <v>787</v>
      </c>
      <c r="R33" s="2">
        <v>775</v>
      </c>
      <c r="S33" s="2">
        <v>51</v>
      </c>
      <c r="T33" s="2">
        <v>49</v>
      </c>
      <c r="U33" s="2"/>
      <c r="V33" s="5">
        <f t="shared" si="0"/>
        <v>3.8928571428571428</v>
      </c>
      <c r="W33" s="5">
        <f t="shared" si="1"/>
        <v>8.9285714285714288</v>
      </c>
      <c r="X33" s="5">
        <f t="shared" si="2"/>
        <v>15.431372549019608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676</v>
      </c>
      <c r="D34" s="2">
        <v>1041</v>
      </c>
      <c r="E34" s="2">
        <v>2911</v>
      </c>
      <c r="F34" s="2">
        <v>4671</v>
      </c>
      <c r="G34" s="2">
        <v>478</v>
      </c>
      <c r="H34" s="2">
        <v>731</v>
      </c>
      <c r="I34" s="2">
        <v>899</v>
      </c>
      <c r="J34" s="2">
        <v>1458</v>
      </c>
      <c r="K34" s="2">
        <v>24352</v>
      </c>
      <c r="L34" s="2">
        <v>46271</v>
      </c>
      <c r="M34" s="2">
        <v>774</v>
      </c>
      <c r="N34" s="2">
        <v>1127</v>
      </c>
      <c r="O34" s="2">
        <v>963</v>
      </c>
      <c r="P34" s="2">
        <v>1525</v>
      </c>
      <c r="Q34" s="2">
        <v>51569</v>
      </c>
      <c r="R34" s="2">
        <v>87068</v>
      </c>
      <c r="S34" s="2">
        <v>818</v>
      </c>
      <c r="T34" s="2">
        <v>1442</v>
      </c>
      <c r="U34" s="2"/>
      <c r="V34" s="5">
        <f t="shared" si="0"/>
        <v>6.0899581589958158</v>
      </c>
      <c r="W34" s="5">
        <f t="shared" si="1"/>
        <v>31.462532299741603</v>
      </c>
      <c r="X34" s="5">
        <f t="shared" si="2"/>
        <v>63.042787286063572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1256</v>
      </c>
      <c r="D35" s="2">
        <v>1495</v>
      </c>
      <c r="E35" s="2">
        <v>2136</v>
      </c>
      <c r="F35" s="2">
        <v>2525</v>
      </c>
      <c r="G35" s="2">
        <v>852</v>
      </c>
      <c r="H35" s="2">
        <v>1119</v>
      </c>
      <c r="I35" s="2">
        <v>2239</v>
      </c>
      <c r="J35" s="2">
        <v>2574</v>
      </c>
      <c r="K35" s="2">
        <v>23713</v>
      </c>
      <c r="L35" s="2">
        <v>28099</v>
      </c>
      <c r="M35" s="2">
        <v>1731</v>
      </c>
      <c r="N35" s="2">
        <v>1911</v>
      </c>
      <c r="O35" s="2">
        <v>2593</v>
      </c>
      <c r="P35" s="2">
        <v>2839</v>
      </c>
      <c r="Q35" s="2">
        <v>50603</v>
      </c>
      <c r="R35" s="2">
        <v>54869</v>
      </c>
      <c r="S35" s="2">
        <v>2184</v>
      </c>
      <c r="T35" s="2">
        <v>2476</v>
      </c>
      <c r="U35" s="2"/>
      <c r="V35" s="5">
        <f t="shared" si="0"/>
        <v>2.507042253521127</v>
      </c>
      <c r="W35" s="5">
        <f t="shared" si="1"/>
        <v>13.699017908723281</v>
      </c>
      <c r="X35" s="5">
        <f t="shared" si="2"/>
        <v>23.169871794871796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4618</v>
      </c>
      <c r="D36" s="2">
        <v>6084</v>
      </c>
      <c r="E36" s="2">
        <v>24988</v>
      </c>
      <c r="F36" s="2">
        <v>34801</v>
      </c>
      <c r="G36" s="2">
        <v>3190</v>
      </c>
      <c r="H36" s="2">
        <v>4068</v>
      </c>
      <c r="I36" s="2">
        <v>7393</v>
      </c>
      <c r="J36" s="2">
        <v>9221</v>
      </c>
      <c r="K36" s="2">
        <v>230057</v>
      </c>
      <c r="L36" s="2">
        <v>394793</v>
      </c>
      <c r="M36" s="2">
        <v>5624</v>
      </c>
      <c r="N36" s="2">
        <v>7176</v>
      </c>
      <c r="O36" s="2">
        <v>8382</v>
      </c>
      <c r="P36" s="2">
        <v>10488</v>
      </c>
      <c r="Q36" s="2">
        <v>400538</v>
      </c>
      <c r="R36" s="2">
        <v>611808</v>
      </c>
      <c r="S36" s="2">
        <v>7025</v>
      </c>
      <c r="T36" s="2">
        <v>8984</v>
      </c>
      <c r="U36" s="2"/>
      <c r="V36" s="5">
        <f t="shared" si="0"/>
        <v>7.8332288401253916</v>
      </c>
      <c r="W36" s="5">
        <f t="shared" si="1"/>
        <v>40.906294452347083</v>
      </c>
      <c r="X36" s="5">
        <f t="shared" si="2"/>
        <v>57.016085409252668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2414</v>
      </c>
      <c r="D37" s="2">
        <v>2710</v>
      </c>
      <c r="E37" s="2">
        <v>4619</v>
      </c>
      <c r="F37" s="2">
        <v>4683</v>
      </c>
      <c r="G37" s="2">
        <v>1955</v>
      </c>
      <c r="H37" s="2">
        <v>1806</v>
      </c>
      <c r="I37" s="2">
        <v>4468</v>
      </c>
      <c r="J37" s="2">
        <v>4720</v>
      </c>
      <c r="K37" s="2">
        <v>43387</v>
      </c>
      <c r="L37" s="2">
        <v>54023</v>
      </c>
      <c r="M37" s="2">
        <v>3296</v>
      </c>
      <c r="N37" s="2">
        <v>3535</v>
      </c>
      <c r="O37" s="2">
        <v>4985</v>
      </c>
      <c r="P37" s="2">
        <v>5452</v>
      </c>
      <c r="Q37" s="2">
        <v>144190</v>
      </c>
      <c r="R37" s="2">
        <v>118316</v>
      </c>
      <c r="S37" s="2">
        <v>4205</v>
      </c>
      <c r="T37" s="2">
        <v>4709</v>
      </c>
      <c r="U37" s="2"/>
      <c r="V37" s="5">
        <f t="shared" si="0"/>
        <v>2.3626598465473148</v>
      </c>
      <c r="W37" s="5">
        <f t="shared" si="1"/>
        <v>13.163531553398059</v>
      </c>
      <c r="X37" s="5">
        <f t="shared" si="2"/>
        <v>34.290130796670631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1534</v>
      </c>
      <c r="D38" s="2">
        <v>2887</v>
      </c>
      <c r="E38" s="2">
        <v>4171</v>
      </c>
      <c r="F38" s="2">
        <v>6264</v>
      </c>
      <c r="G38" s="2">
        <v>1073</v>
      </c>
      <c r="H38" s="2">
        <v>1913</v>
      </c>
      <c r="I38" s="2">
        <v>2087</v>
      </c>
      <c r="J38" s="2">
        <v>3880</v>
      </c>
      <c r="K38" s="2">
        <v>33940</v>
      </c>
      <c r="L38" s="2">
        <v>50506</v>
      </c>
      <c r="M38" s="2">
        <v>1603</v>
      </c>
      <c r="N38" s="2">
        <v>2950</v>
      </c>
      <c r="O38" s="2">
        <v>2183</v>
      </c>
      <c r="P38" s="2">
        <v>3961</v>
      </c>
      <c r="Q38" s="2">
        <v>118616</v>
      </c>
      <c r="R38" s="2">
        <v>107675</v>
      </c>
      <c r="S38" s="2">
        <v>1897</v>
      </c>
      <c r="T38" s="2">
        <v>3546</v>
      </c>
      <c r="U38" s="2"/>
      <c r="V38" s="5">
        <f t="shared" si="0"/>
        <v>3.8872320596458527</v>
      </c>
      <c r="W38" s="5">
        <f t="shared" si="1"/>
        <v>21.172800998128508</v>
      </c>
      <c r="X38" s="5">
        <f t="shared" si="2"/>
        <v>62.528202424881393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1597</v>
      </c>
      <c r="D39" s="2">
        <v>1888</v>
      </c>
      <c r="E39" s="2">
        <v>3009</v>
      </c>
      <c r="F39" s="2">
        <v>3072</v>
      </c>
      <c r="G39" s="2">
        <v>1206</v>
      </c>
      <c r="H39" s="2">
        <v>1571</v>
      </c>
      <c r="I39" s="2">
        <v>2275</v>
      </c>
      <c r="J39" s="2">
        <v>2699</v>
      </c>
      <c r="K39" s="2">
        <v>22824</v>
      </c>
      <c r="L39" s="2">
        <v>26580</v>
      </c>
      <c r="M39" s="2">
        <v>2078</v>
      </c>
      <c r="N39" s="2">
        <v>2061</v>
      </c>
      <c r="O39" s="2">
        <v>2580</v>
      </c>
      <c r="P39" s="2">
        <v>3118</v>
      </c>
      <c r="Q39" s="2">
        <v>57784</v>
      </c>
      <c r="R39" s="2">
        <v>49497</v>
      </c>
      <c r="S39" s="2">
        <v>2126</v>
      </c>
      <c r="T39" s="2">
        <v>2579</v>
      </c>
      <c r="U39" s="2"/>
      <c r="V39" s="5">
        <f t="shared" si="0"/>
        <v>2.4950248756218905</v>
      </c>
      <c r="W39" s="5">
        <f t="shared" si="1"/>
        <v>10.983638113570741</v>
      </c>
      <c r="X39" s="5">
        <f t="shared" si="2"/>
        <v>27.179680150517402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1396</v>
      </c>
      <c r="D40" s="2">
        <v>1637</v>
      </c>
      <c r="E40" s="2">
        <v>2381</v>
      </c>
      <c r="F40" s="2">
        <v>2468</v>
      </c>
      <c r="G40" s="2">
        <v>945</v>
      </c>
      <c r="H40" s="2">
        <v>1143</v>
      </c>
      <c r="I40" s="2">
        <v>2211</v>
      </c>
      <c r="J40" s="2">
        <v>2634</v>
      </c>
      <c r="K40" s="2">
        <v>26387</v>
      </c>
      <c r="L40" s="2">
        <v>24358</v>
      </c>
      <c r="M40" s="2">
        <v>2059</v>
      </c>
      <c r="N40" s="2">
        <v>2078</v>
      </c>
      <c r="O40" s="2">
        <v>2490</v>
      </c>
      <c r="P40" s="2">
        <v>2918</v>
      </c>
      <c r="Q40" s="2">
        <v>49506</v>
      </c>
      <c r="R40" s="2">
        <v>44573</v>
      </c>
      <c r="S40" s="2">
        <v>2058</v>
      </c>
      <c r="T40" s="2">
        <v>2507</v>
      </c>
      <c r="U40" s="2"/>
      <c r="V40" s="5">
        <f t="shared" si="0"/>
        <v>2.5195767195767194</v>
      </c>
      <c r="W40" s="5">
        <f t="shared" si="1"/>
        <v>12.815444390480815</v>
      </c>
      <c r="X40" s="5">
        <f t="shared" si="2"/>
        <v>24.055393586005831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1133</v>
      </c>
      <c r="D41" s="2">
        <v>1442</v>
      </c>
      <c r="E41" s="2">
        <v>2080</v>
      </c>
      <c r="F41" s="2">
        <v>2281</v>
      </c>
      <c r="G41" s="2">
        <v>772</v>
      </c>
      <c r="H41" s="2">
        <v>995</v>
      </c>
      <c r="I41" s="2">
        <v>1548</v>
      </c>
      <c r="J41" s="2">
        <v>2070</v>
      </c>
      <c r="K41" s="2">
        <v>14053</v>
      </c>
      <c r="L41" s="2">
        <v>15892</v>
      </c>
      <c r="M41" s="2">
        <v>1185</v>
      </c>
      <c r="N41" s="2">
        <v>1543</v>
      </c>
      <c r="O41" s="2">
        <v>1844</v>
      </c>
      <c r="P41" s="2">
        <v>2793</v>
      </c>
      <c r="Q41" s="2">
        <v>34114</v>
      </c>
      <c r="R41" s="2">
        <v>40387</v>
      </c>
      <c r="S41" s="2">
        <v>1570</v>
      </c>
      <c r="T41" s="2">
        <v>2318</v>
      </c>
      <c r="U41" s="2"/>
      <c r="V41" s="5">
        <f t="shared" si="0"/>
        <v>2.6943005181347148</v>
      </c>
      <c r="W41" s="5">
        <f t="shared" si="1"/>
        <v>11.859071729957806</v>
      </c>
      <c r="X41" s="5">
        <f t="shared" si="2"/>
        <v>21.728662420382165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319</v>
      </c>
      <c r="D42" s="2">
        <v>462</v>
      </c>
      <c r="E42" s="2">
        <v>470</v>
      </c>
      <c r="F42" s="2">
        <v>466</v>
      </c>
      <c r="G42" s="2">
        <v>215</v>
      </c>
      <c r="H42" s="2">
        <v>322</v>
      </c>
      <c r="I42" s="2">
        <v>414</v>
      </c>
      <c r="J42" s="2">
        <v>443</v>
      </c>
      <c r="K42" s="2">
        <v>3138</v>
      </c>
      <c r="L42" s="2">
        <v>3169</v>
      </c>
      <c r="M42" s="2">
        <v>320</v>
      </c>
      <c r="N42" s="2">
        <v>345</v>
      </c>
      <c r="O42" s="2">
        <v>443</v>
      </c>
      <c r="P42" s="2">
        <v>466</v>
      </c>
      <c r="Q42" s="2">
        <v>4188</v>
      </c>
      <c r="R42" s="2">
        <v>6010</v>
      </c>
      <c r="S42" s="2">
        <v>375</v>
      </c>
      <c r="T42" s="2">
        <v>416</v>
      </c>
      <c r="U42" s="2"/>
      <c r="V42" s="5">
        <f t="shared" si="0"/>
        <v>2.1860465116279069</v>
      </c>
      <c r="W42" s="5">
        <f t="shared" si="1"/>
        <v>9.8062500000000004</v>
      </c>
      <c r="X42" s="5">
        <f t="shared" si="2"/>
        <v>11.167999999999999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4462</v>
      </c>
      <c r="D43" s="2">
        <v>5835</v>
      </c>
      <c r="E43" s="2">
        <v>10231</v>
      </c>
      <c r="F43" s="2">
        <v>9850</v>
      </c>
      <c r="G43" s="2">
        <v>3017</v>
      </c>
      <c r="H43" s="2">
        <v>3883</v>
      </c>
      <c r="I43" s="2">
        <v>11734</v>
      </c>
      <c r="J43" s="2">
        <v>15938</v>
      </c>
      <c r="K43" s="2">
        <v>90201</v>
      </c>
      <c r="L43" s="2">
        <v>152196</v>
      </c>
      <c r="M43" s="2">
        <v>8800</v>
      </c>
      <c r="N43" s="2">
        <v>11992</v>
      </c>
      <c r="O43" s="2">
        <v>14743</v>
      </c>
      <c r="P43" s="2">
        <v>18776</v>
      </c>
      <c r="Q43" s="2">
        <v>311979</v>
      </c>
      <c r="R43" s="2">
        <v>346050</v>
      </c>
      <c r="S43" s="2">
        <v>16127</v>
      </c>
      <c r="T43" s="2">
        <v>22133</v>
      </c>
      <c r="U43" s="2"/>
      <c r="V43" s="5">
        <f t="shared" si="0"/>
        <v>3.3911170036460061</v>
      </c>
      <c r="W43" s="5">
        <f t="shared" si="1"/>
        <v>10.250113636363636</v>
      </c>
      <c r="X43" s="5">
        <f t="shared" si="2"/>
        <v>19.345135487071371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560</v>
      </c>
      <c r="D44" s="2">
        <v>648</v>
      </c>
      <c r="E44" s="2">
        <v>1073</v>
      </c>
      <c r="F44" s="2">
        <v>971</v>
      </c>
      <c r="G44" s="2">
        <v>386</v>
      </c>
      <c r="H44" s="2">
        <v>459</v>
      </c>
      <c r="I44" s="2">
        <v>861</v>
      </c>
      <c r="J44" s="2">
        <v>885</v>
      </c>
      <c r="K44" s="2">
        <v>9822</v>
      </c>
      <c r="L44" s="2">
        <v>10065</v>
      </c>
      <c r="M44" s="2">
        <v>614</v>
      </c>
      <c r="N44" s="2">
        <v>699</v>
      </c>
      <c r="O44" s="2">
        <v>929</v>
      </c>
      <c r="P44" s="2">
        <v>923</v>
      </c>
      <c r="Q44" s="2">
        <v>22624</v>
      </c>
      <c r="R44" s="2">
        <v>18198</v>
      </c>
      <c r="S44" s="2">
        <v>968</v>
      </c>
      <c r="T44" s="2">
        <v>825</v>
      </c>
      <c r="U44" s="2"/>
      <c r="V44" s="5">
        <f t="shared" si="0"/>
        <v>2.7797927461139897</v>
      </c>
      <c r="W44" s="5">
        <f t="shared" si="1"/>
        <v>15.996742671009772</v>
      </c>
      <c r="X44" s="5">
        <f t="shared" si="2"/>
        <v>23.371900826446282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260</v>
      </c>
      <c r="D45" s="2">
        <v>419</v>
      </c>
      <c r="E45" s="2">
        <v>534</v>
      </c>
      <c r="F45" s="2">
        <v>488</v>
      </c>
      <c r="G45" s="2">
        <v>186</v>
      </c>
      <c r="H45" s="2">
        <v>181</v>
      </c>
      <c r="I45" s="2">
        <v>340</v>
      </c>
      <c r="J45" s="2">
        <v>344</v>
      </c>
      <c r="K45" s="2">
        <v>5076</v>
      </c>
      <c r="L45" s="2">
        <v>5137</v>
      </c>
      <c r="M45" s="2">
        <v>261</v>
      </c>
      <c r="N45" s="2">
        <v>268</v>
      </c>
      <c r="O45" s="2">
        <v>359</v>
      </c>
      <c r="P45" s="2">
        <v>378</v>
      </c>
      <c r="Q45" s="2">
        <v>8735</v>
      </c>
      <c r="R45" s="2">
        <v>6752</v>
      </c>
      <c r="S45" s="2">
        <v>308</v>
      </c>
      <c r="T45" s="2">
        <v>304</v>
      </c>
      <c r="U45" s="2"/>
      <c r="V45" s="5">
        <f t="shared" si="0"/>
        <v>2.870967741935484</v>
      </c>
      <c r="W45" s="5">
        <f t="shared" si="1"/>
        <v>19.448275862068964</v>
      </c>
      <c r="X45" s="5">
        <f t="shared" si="2"/>
        <v>28.36038961038961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809</v>
      </c>
      <c r="D46" s="2">
        <v>10419</v>
      </c>
      <c r="E46" s="2">
        <v>1425</v>
      </c>
      <c r="F46" s="2">
        <v>7389</v>
      </c>
      <c r="G46" s="2">
        <v>579</v>
      </c>
      <c r="H46" s="2">
        <v>4001</v>
      </c>
      <c r="I46" s="2">
        <v>1162</v>
      </c>
      <c r="J46" s="2">
        <v>9612</v>
      </c>
      <c r="K46" s="2">
        <v>12965</v>
      </c>
      <c r="L46" s="2">
        <v>23155</v>
      </c>
      <c r="M46" s="2">
        <v>853</v>
      </c>
      <c r="N46" s="2">
        <v>6593</v>
      </c>
      <c r="O46" s="2">
        <v>1235</v>
      </c>
      <c r="P46" s="2">
        <v>10513</v>
      </c>
      <c r="Q46" s="2">
        <v>22597</v>
      </c>
      <c r="R46" s="2">
        <v>32425</v>
      </c>
      <c r="S46" s="2">
        <v>1107</v>
      </c>
      <c r="T46" s="2">
        <v>9627</v>
      </c>
      <c r="U46" s="2"/>
      <c r="V46" s="5">
        <f t="shared" si="0"/>
        <v>2.4611398963730569</v>
      </c>
      <c r="W46" s="5">
        <f t="shared" si="1"/>
        <v>15.199296600234467</v>
      </c>
      <c r="X46" s="5">
        <f t="shared" si="2"/>
        <v>20.41282746160795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660</v>
      </c>
      <c r="D47" s="2">
        <v>80033</v>
      </c>
      <c r="E47" s="2">
        <v>1258</v>
      </c>
      <c r="F47" s="2">
        <v>3356</v>
      </c>
      <c r="G47" s="2">
        <v>469</v>
      </c>
      <c r="H47" s="2">
        <v>1407</v>
      </c>
      <c r="I47" s="2">
        <v>1672</v>
      </c>
      <c r="J47" s="2">
        <v>4688</v>
      </c>
      <c r="K47" s="2">
        <v>21407</v>
      </c>
      <c r="L47" s="2">
        <v>40847</v>
      </c>
      <c r="M47" s="2">
        <v>1239</v>
      </c>
      <c r="N47" s="2">
        <v>77793</v>
      </c>
      <c r="O47" s="2">
        <v>1850</v>
      </c>
      <c r="P47" s="2">
        <v>6276</v>
      </c>
      <c r="Q47" s="2">
        <v>39567</v>
      </c>
      <c r="R47" s="2">
        <v>36252</v>
      </c>
      <c r="S47" s="2">
        <v>1701</v>
      </c>
      <c r="T47" s="2">
        <v>40882</v>
      </c>
      <c r="U47" s="2"/>
      <c r="V47" s="5">
        <f t="shared" si="0"/>
        <v>2.6823027718550105</v>
      </c>
      <c r="W47" s="5">
        <f t="shared" si="1"/>
        <v>17.277643260694109</v>
      </c>
      <c r="X47" s="5">
        <f t="shared" si="2"/>
        <v>23.261022927689595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23</v>
      </c>
      <c r="D48" s="2">
        <v>29</v>
      </c>
      <c r="E48" s="2">
        <v>49</v>
      </c>
      <c r="F48" s="2">
        <v>49</v>
      </c>
      <c r="G48" s="2">
        <v>17</v>
      </c>
      <c r="H48" s="2">
        <v>18</v>
      </c>
      <c r="I48" s="2">
        <v>32</v>
      </c>
      <c r="J48" s="2">
        <v>34</v>
      </c>
      <c r="K48" s="2">
        <v>154</v>
      </c>
      <c r="L48" s="2">
        <v>182</v>
      </c>
      <c r="M48" s="2">
        <v>47</v>
      </c>
      <c r="N48" s="2">
        <v>28</v>
      </c>
      <c r="O48" s="2">
        <v>35</v>
      </c>
      <c r="P48" s="2">
        <v>36</v>
      </c>
      <c r="Q48" s="2">
        <v>514</v>
      </c>
      <c r="R48" s="2">
        <v>431</v>
      </c>
      <c r="S48" s="2">
        <v>30</v>
      </c>
      <c r="T48" s="2">
        <v>31</v>
      </c>
      <c r="U48" s="2"/>
      <c r="V48" s="5">
        <f t="shared" si="0"/>
        <v>2.8823529411764706</v>
      </c>
      <c r="W48" s="5">
        <f t="shared" si="1"/>
        <v>3.2765957446808511</v>
      </c>
      <c r="X48" s="5">
        <f t="shared" si="2"/>
        <v>17.133333333333333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13</v>
      </c>
      <c r="D49" s="2">
        <v>12</v>
      </c>
      <c r="E49" s="2">
        <v>17</v>
      </c>
      <c r="F49" s="2">
        <v>28</v>
      </c>
      <c r="G49" s="2">
        <v>12</v>
      </c>
      <c r="H49" s="2">
        <v>10</v>
      </c>
      <c r="I49" s="2">
        <v>17</v>
      </c>
      <c r="J49" s="2">
        <v>17</v>
      </c>
      <c r="K49" s="2">
        <v>23</v>
      </c>
      <c r="L49" s="2">
        <v>37</v>
      </c>
      <c r="M49" s="2">
        <v>13</v>
      </c>
      <c r="N49" s="2">
        <v>13</v>
      </c>
      <c r="O49" s="2">
        <v>18</v>
      </c>
      <c r="P49" s="2">
        <v>17</v>
      </c>
      <c r="Q49" s="2">
        <v>17</v>
      </c>
      <c r="R49" s="2">
        <v>17</v>
      </c>
      <c r="S49" s="2">
        <v>15</v>
      </c>
      <c r="T49" s="2">
        <v>20</v>
      </c>
      <c r="U49" s="2"/>
      <c r="V49" s="5">
        <f t="shared" si="0"/>
        <v>1.4166666666666667</v>
      </c>
      <c r="W49" s="5">
        <f t="shared" si="1"/>
        <v>1.7692307692307692</v>
      </c>
      <c r="X49" s="5">
        <f t="shared" si="2"/>
        <v>1.1333333333333333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870</v>
      </c>
      <c r="D50" s="2">
        <v>36733</v>
      </c>
      <c r="E50" s="2">
        <v>1355</v>
      </c>
      <c r="F50" s="2">
        <v>26141</v>
      </c>
      <c r="G50" s="2">
        <v>590</v>
      </c>
      <c r="H50" s="2">
        <v>32879</v>
      </c>
      <c r="I50" s="2">
        <v>1790</v>
      </c>
      <c r="J50" s="2">
        <v>64171</v>
      </c>
      <c r="K50" s="2">
        <v>14505</v>
      </c>
      <c r="L50" s="2">
        <v>52576</v>
      </c>
      <c r="M50" s="2">
        <v>1304</v>
      </c>
      <c r="N50" s="2">
        <v>42022</v>
      </c>
      <c r="O50" s="2">
        <v>2101</v>
      </c>
      <c r="P50" s="2">
        <v>56083</v>
      </c>
      <c r="Q50" s="2">
        <v>28399</v>
      </c>
      <c r="R50" s="2">
        <v>90992</v>
      </c>
      <c r="S50" s="2">
        <v>1864</v>
      </c>
      <c r="T50" s="2">
        <v>50790</v>
      </c>
      <c r="U50" s="2"/>
      <c r="V50" s="5">
        <f t="shared" si="0"/>
        <v>2.2966101694915255</v>
      </c>
      <c r="W50" s="5">
        <f t="shared" si="1"/>
        <v>11.123466257668712</v>
      </c>
      <c r="X50" s="5">
        <f t="shared" si="2"/>
        <v>15.235515021459227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64</v>
      </c>
      <c r="D51" s="2">
        <v>75</v>
      </c>
      <c r="E51" s="2">
        <v>156</v>
      </c>
      <c r="F51" s="2">
        <v>154</v>
      </c>
      <c r="G51" s="2">
        <v>47</v>
      </c>
      <c r="H51" s="2">
        <v>80</v>
      </c>
      <c r="I51" s="2">
        <v>90</v>
      </c>
      <c r="J51" s="2">
        <v>98</v>
      </c>
      <c r="K51" s="2">
        <v>934</v>
      </c>
      <c r="L51" s="2">
        <v>1330</v>
      </c>
      <c r="M51" s="2">
        <v>70</v>
      </c>
      <c r="N51" s="2">
        <v>79</v>
      </c>
      <c r="O51" s="2">
        <v>101</v>
      </c>
      <c r="P51" s="2">
        <v>107</v>
      </c>
      <c r="Q51" s="2">
        <v>2068</v>
      </c>
      <c r="R51" s="2">
        <v>2064</v>
      </c>
      <c r="S51" s="2">
        <v>82</v>
      </c>
      <c r="T51" s="2">
        <v>91</v>
      </c>
      <c r="U51" s="2"/>
      <c r="V51" s="5">
        <f t="shared" si="0"/>
        <v>3.3191489361702127</v>
      </c>
      <c r="W51" s="5">
        <f t="shared" si="1"/>
        <v>13.342857142857143</v>
      </c>
      <c r="X51" s="5">
        <f t="shared" si="2"/>
        <v>25.219512195121951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478</v>
      </c>
      <c r="D52" s="2">
        <v>2099</v>
      </c>
      <c r="E52" s="2">
        <v>872</v>
      </c>
      <c r="F52" s="2">
        <v>2459</v>
      </c>
      <c r="G52" s="2">
        <v>358</v>
      </c>
      <c r="H52" s="2">
        <v>1504</v>
      </c>
      <c r="I52" s="2">
        <v>745</v>
      </c>
      <c r="J52" s="2">
        <v>3254</v>
      </c>
      <c r="K52" s="2">
        <v>8118</v>
      </c>
      <c r="L52" s="2">
        <v>10817</v>
      </c>
      <c r="M52" s="2">
        <v>549</v>
      </c>
      <c r="N52" s="2">
        <v>2039</v>
      </c>
      <c r="O52" s="2">
        <v>811</v>
      </c>
      <c r="P52" s="2">
        <v>3221</v>
      </c>
      <c r="Q52" s="2">
        <v>14908</v>
      </c>
      <c r="R52" s="2">
        <v>18946</v>
      </c>
      <c r="S52" s="2">
        <v>774</v>
      </c>
      <c r="T52" s="2">
        <v>3044</v>
      </c>
      <c r="U52" s="2"/>
      <c r="V52" s="5">
        <f t="shared" si="0"/>
        <v>2.435754189944134</v>
      </c>
      <c r="W52" s="5">
        <f t="shared" si="1"/>
        <v>14.78688524590164</v>
      </c>
      <c r="X52" s="5">
        <f t="shared" si="2"/>
        <v>19.260981912144704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465</v>
      </c>
      <c r="D53" s="2">
        <v>595</v>
      </c>
      <c r="E53" s="2">
        <v>842</v>
      </c>
      <c r="F53" s="2">
        <v>920</v>
      </c>
      <c r="G53" s="2">
        <v>322</v>
      </c>
      <c r="H53" s="2">
        <v>370</v>
      </c>
      <c r="I53" s="2">
        <v>891</v>
      </c>
      <c r="J53" s="2">
        <v>1110</v>
      </c>
      <c r="K53" s="2">
        <v>9986</v>
      </c>
      <c r="L53" s="2">
        <v>9744</v>
      </c>
      <c r="M53" s="2">
        <v>641</v>
      </c>
      <c r="N53" s="2">
        <v>843</v>
      </c>
      <c r="O53" s="2">
        <v>1062</v>
      </c>
      <c r="P53" s="2">
        <v>1260</v>
      </c>
      <c r="Q53" s="2">
        <v>21291</v>
      </c>
      <c r="R53" s="2">
        <v>20696</v>
      </c>
      <c r="S53" s="2">
        <v>902</v>
      </c>
      <c r="T53" s="2">
        <v>1073</v>
      </c>
      <c r="U53" s="2"/>
      <c r="V53" s="5">
        <f t="shared" si="0"/>
        <v>2.6149068322981366</v>
      </c>
      <c r="W53" s="5">
        <f t="shared" si="1"/>
        <v>15.578783151326054</v>
      </c>
      <c r="X53" s="5">
        <f t="shared" si="2"/>
        <v>23.604212860310422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941</v>
      </c>
      <c r="D54" s="2">
        <v>505906</v>
      </c>
      <c r="E54" s="2">
        <v>1391</v>
      </c>
      <c r="F54" s="2">
        <v>569171</v>
      </c>
      <c r="G54" s="2">
        <v>668</v>
      </c>
      <c r="H54" s="2">
        <v>400907</v>
      </c>
      <c r="I54" s="2">
        <v>2267</v>
      </c>
      <c r="J54" s="2">
        <v>1018534</v>
      </c>
      <c r="K54" s="2">
        <v>10193</v>
      </c>
      <c r="L54" s="2">
        <v>1087619</v>
      </c>
      <c r="M54" s="2">
        <v>1860</v>
      </c>
      <c r="N54" s="2">
        <v>843575</v>
      </c>
      <c r="O54" s="2">
        <v>2965</v>
      </c>
      <c r="P54" s="2">
        <v>1114997</v>
      </c>
      <c r="Q54" s="2">
        <v>25202</v>
      </c>
      <c r="R54" s="2">
        <v>1110169</v>
      </c>
      <c r="S54" s="2">
        <v>3038</v>
      </c>
      <c r="T54" s="2">
        <v>956642</v>
      </c>
      <c r="U54" s="2"/>
      <c r="V54" s="5">
        <f t="shared" si="0"/>
        <v>2.0823353293413174</v>
      </c>
      <c r="W54" s="5">
        <f t="shared" si="1"/>
        <v>5.4801075268817208</v>
      </c>
      <c r="X54" s="5">
        <f t="shared" si="2"/>
        <v>8.2955892034233045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155</v>
      </c>
      <c r="D55" s="2">
        <v>165</v>
      </c>
      <c r="E55" s="2">
        <v>263</v>
      </c>
      <c r="F55" s="2">
        <v>269</v>
      </c>
      <c r="G55" s="2">
        <v>106</v>
      </c>
      <c r="H55" s="2">
        <v>105</v>
      </c>
      <c r="I55" s="2">
        <v>371</v>
      </c>
      <c r="J55" s="2">
        <v>321</v>
      </c>
      <c r="K55" s="2">
        <v>2796</v>
      </c>
      <c r="L55" s="2">
        <v>2510</v>
      </c>
      <c r="M55" s="2">
        <v>278</v>
      </c>
      <c r="N55" s="2">
        <v>240</v>
      </c>
      <c r="O55" s="2">
        <v>273</v>
      </c>
      <c r="P55" s="2">
        <v>230</v>
      </c>
      <c r="Q55" s="2">
        <v>1323</v>
      </c>
      <c r="R55" s="2">
        <v>1278</v>
      </c>
      <c r="S55" s="2">
        <v>206</v>
      </c>
      <c r="T55" s="2">
        <v>178</v>
      </c>
      <c r="U55" s="2"/>
      <c r="V55" s="5">
        <f t="shared" si="0"/>
        <v>2.4811320754716979</v>
      </c>
      <c r="W55" s="5">
        <f t="shared" si="1"/>
        <v>10.057553956834532</v>
      </c>
      <c r="X55" s="5">
        <f t="shared" si="2"/>
        <v>6.4223300970873787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84</v>
      </c>
      <c r="D56" s="2">
        <v>136</v>
      </c>
      <c r="E56" s="2">
        <v>210</v>
      </c>
      <c r="F56" s="2">
        <v>324</v>
      </c>
      <c r="G56" s="2">
        <v>58</v>
      </c>
      <c r="H56" s="2">
        <v>93</v>
      </c>
      <c r="I56" s="2">
        <v>133</v>
      </c>
      <c r="J56" s="2">
        <v>207</v>
      </c>
      <c r="K56" s="2">
        <v>1280</v>
      </c>
      <c r="L56" s="2">
        <v>1797</v>
      </c>
      <c r="M56" s="2">
        <v>94</v>
      </c>
      <c r="N56" s="2">
        <v>281</v>
      </c>
      <c r="O56" s="2">
        <v>139</v>
      </c>
      <c r="P56" s="2">
        <v>219</v>
      </c>
      <c r="Q56" s="2">
        <v>1295</v>
      </c>
      <c r="R56" s="2">
        <v>1523</v>
      </c>
      <c r="S56" s="2">
        <v>111</v>
      </c>
      <c r="T56" s="2">
        <v>168</v>
      </c>
      <c r="U56" s="2"/>
      <c r="V56" s="5">
        <f t="shared" si="0"/>
        <v>3.6206896551724137</v>
      </c>
      <c r="W56" s="5">
        <f t="shared" si="1"/>
        <v>13.617021276595745</v>
      </c>
      <c r="X56" s="5">
        <f t="shared" si="2"/>
        <v>11.666666666666666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160</v>
      </c>
      <c r="D57" s="2">
        <v>184</v>
      </c>
      <c r="E57" s="2">
        <v>294</v>
      </c>
      <c r="F57" s="2">
        <v>332</v>
      </c>
      <c r="G57" s="2">
        <v>110</v>
      </c>
      <c r="H57" s="2">
        <v>132</v>
      </c>
      <c r="I57" s="2">
        <v>320</v>
      </c>
      <c r="J57" s="2">
        <v>354</v>
      </c>
      <c r="K57" s="2">
        <v>1952</v>
      </c>
      <c r="L57" s="2">
        <v>2976</v>
      </c>
      <c r="M57" s="2">
        <v>246</v>
      </c>
      <c r="N57" s="2">
        <v>279</v>
      </c>
      <c r="O57" s="2">
        <v>222</v>
      </c>
      <c r="P57" s="2">
        <v>283</v>
      </c>
      <c r="Q57" s="2">
        <v>1227</v>
      </c>
      <c r="R57" s="2">
        <v>1123</v>
      </c>
      <c r="S57" s="2">
        <v>216</v>
      </c>
      <c r="T57" s="2">
        <v>211</v>
      </c>
      <c r="U57" s="2"/>
      <c r="V57" s="5">
        <f t="shared" si="0"/>
        <v>2.6727272727272728</v>
      </c>
      <c r="W57" s="5">
        <f t="shared" si="1"/>
        <v>7.9349593495934956</v>
      </c>
      <c r="X57" s="5">
        <f t="shared" si="2"/>
        <v>5.6805555555555554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785</v>
      </c>
      <c r="D58" s="2">
        <v>938</v>
      </c>
      <c r="E58" s="2">
        <v>1415</v>
      </c>
      <c r="F58" s="2">
        <v>1496</v>
      </c>
      <c r="G58" s="2">
        <v>564</v>
      </c>
      <c r="H58" s="2">
        <v>631</v>
      </c>
      <c r="I58" s="2">
        <v>1131</v>
      </c>
      <c r="J58" s="2">
        <v>1344</v>
      </c>
      <c r="K58" s="2">
        <v>10787</v>
      </c>
      <c r="L58" s="2">
        <v>12046</v>
      </c>
      <c r="M58" s="2">
        <v>838</v>
      </c>
      <c r="N58" s="2">
        <v>1029</v>
      </c>
      <c r="O58" s="2">
        <v>1230</v>
      </c>
      <c r="P58" s="2">
        <v>1470</v>
      </c>
      <c r="Q58" s="2">
        <v>24169</v>
      </c>
      <c r="R58" s="2">
        <v>22219</v>
      </c>
      <c r="S58" s="2">
        <v>1057</v>
      </c>
      <c r="T58" s="2">
        <v>1388</v>
      </c>
      <c r="U58" s="2"/>
      <c r="V58" s="5">
        <f t="shared" si="0"/>
        <v>2.5088652482269502</v>
      </c>
      <c r="W58" s="5">
        <f t="shared" si="1"/>
        <v>12.872315035799522</v>
      </c>
      <c r="X58" s="5">
        <f t="shared" si="2"/>
        <v>22.865657521286661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10845</v>
      </c>
      <c r="D59" s="2">
        <v>1061388</v>
      </c>
      <c r="E59" s="2">
        <v>43367</v>
      </c>
      <c r="F59" s="2">
        <v>1155434</v>
      </c>
      <c r="G59" s="2">
        <v>7584</v>
      </c>
      <c r="H59" s="2">
        <v>678900</v>
      </c>
      <c r="I59" s="2">
        <v>19132</v>
      </c>
      <c r="J59" s="2">
        <v>2047061</v>
      </c>
      <c r="K59" s="2">
        <v>284175</v>
      </c>
      <c r="L59" s="2">
        <v>2443366</v>
      </c>
      <c r="M59" s="2">
        <v>14533</v>
      </c>
      <c r="N59" s="2">
        <v>1465696</v>
      </c>
      <c r="O59" s="2">
        <v>24301</v>
      </c>
      <c r="P59" s="2">
        <v>2644011</v>
      </c>
      <c r="Q59" s="2">
        <v>693013</v>
      </c>
      <c r="R59" s="2">
        <v>3321075</v>
      </c>
      <c r="S59" s="2">
        <v>20308</v>
      </c>
      <c r="T59" s="2">
        <v>1901020</v>
      </c>
      <c r="U59" s="2"/>
      <c r="V59" s="5">
        <f t="shared" si="0"/>
        <v>5.7182225738396628</v>
      </c>
      <c r="W59" s="5">
        <f t="shared" si="1"/>
        <v>19.553774169132321</v>
      </c>
      <c r="X59" s="5">
        <f t="shared" si="2"/>
        <v>34.125123104195389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3527</v>
      </c>
      <c r="D60" s="2">
        <v>25399</v>
      </c>
      <c r="E60" s="2">
        <v>11256</v>
      </c>
      <c r="F60" s="2">
        <v>34562</v>
      </c>
      <c r="G60" s="2">
        <v>2679</v>
      </c>
      <c r="H60" s="2">
        <v>25927</v>
      </c>
      <c r="I60" s="2">
        <v>5457</v>
      </c>
      <c r="J60" s="2">
        <v>36937</v>
      </c>
      <c r="K60" s="2">
        <v>85384</v>
      </c>
      <c r="L60" s="2">
        <v>152775</v>
      </c>
      <c r="M60" s="2">
        <v>4192</v>
      </c>
      <c r="N60" s="2">
        <v>34299</v>
      </c>
      <c r="O60" s="2">
        <v>6470</v>
      </c>
      <c r="P60" s="2">
        <v>41257</v>
      </c>
      <c r="Q60" s="2">
        <v>199416</v>
      </c>
      <c r="R60" s="2">
        <v>264053</v>
      </c>
      <c r="S60" s="2">
        <v>6777</v>
      </c>
      <c r="T60" s="2">
        <v>35390</v>
      </c>
      <c r="U60" s="2"/>
      <c r="V60" s="5">
        <f t="shared" si="0"/>
        <v>4.2015677491601346</v>
      </c>
      <c r="W60" s="5">
        <f t="shared" si="1"/>
        <v>20.368320610687022</v>
      </c>
      <c r="X60" s="5">
        <f t="shared" si="2"/>
        <v>29.425409473218238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6264</v>
      </c>
      <c r="D61" s="2">
        <v>512762</v>
      </c>
      <c r="E61" s="2">
        <v>19084</v>
      </c>
      <c r="F61" s="2">
        <v>450033</v>
      </c>
      <c r="G61" s="2">
        <v>4492</v>
      </c>
      <c r="H61" s="2">
        <v>378872</v>
      </c>
      <c r="I61" s="2">
        <v>10097</v>
      </c>
      <c r="J61" s="2">
        <v>1058802</v>
      </c>
      <c r="K61" s="2">
        <v>150001</v>
      </c>
      <c r="L61" s="2">
        <v>1520972</v>
      </c>
      <c r="M61" s="2">
        <v>7780</v>
      </c>
      <c r="N61" s="2">
        <v>770425</v>
      </c>
      <c r="O61" s="2">
        <v>11962</v>
      </c>
      <c r="P61" s="2">
        <v>1183274</v>
      </c>
      <c r="Q61" s="2">
        <v>344317</v>
      </c>
      <c r="R61" s="2">
        <v>1802252</v>
      </c>
      <c r="S61" s="2">
        <v>12499</v>
      </c>
      <c r="T61" s="2">
        <v>1410464</v>
      </c>
      <c r="U61" s="2"/>
      <c r="V61" s="5">
        <f t="shared" si="0"/>
        <v>4.2484416740872666</v>
      </c>
      <c r="W61" s="5">
        <f t="shared" si="1"/>
        <v>19.280334190231361</v>
      </c>
      <c r="X61" s="5">
        <f t="shared" si="2"/>
        <v>27.54756380510441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5177</v>
      </c>
      <c r="D62" s="2">
        <v>27446</v>
      </c>
      <c r="E62" s="2">
        <v>19357</v>
      </c>
      <c r="F62" s="2">
        <v>45582</v>
      </c>
      <c r="G62" s="2">
        <v>3784</v>
      </c>
      <c r="H62" s="2">
        <v>23081</v>
      </c>
      <c r="I62" s="2">
        <v>7464</v>
      </c>
      <c r="J62" s="2">
        <v>36495</v>
      </c>
      <c r="K62" s="2">
        <v>117171</v>
      </c>
      <c r="L62" s="2">
        <v>245584</v>
      </c>
      <c r="M62" s="2">
        <v>5741</v>
      </c>
      <c r="N62" s="2">
        <v>35144</v>
      </c>
      <c r="O62" s="2">
        <v>8407</v>
      </c>
      <c r="P62" s="2">
        <v>48209</v>
      </c>
      <c r="Q62" s="2">
        <v>364306</v>
      </c>
      <c r="R62" s="2">
        <v>393014</v>
      </c>
      <c r="S62" s="2">
        <v>9476</v>
      </c>
      <c r="T62" s="2">
        <v>42075</v>
      </c>
      <c r="U62" s="2"/>
      <c r="V62" s="5">
        <f t="shared" si="0"/>
        <v>5.1154862579281186</v>
      </c>
      <c r="W62" s="5">
        <f t="shared" si="1"/>
        <v>20.409510538233757</v>
      </c>
      <c r="X62" s="5">
        <f t="shared" si="2"/>
        <v>38.445124525116086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1812</v>
      </c>
      <c r="D63" s="2">
        <v>2276</v>
      </c>
      <c r="E63" s="2">
        <v>3121</v>
      </c>
      <c r="F63" s="2">
        <v>3508</v>
      </c>
      <c r="G63" s="2">
        <v>1274</v>
      </c>
      <c r="H63" s="2">
        <v>1571</v>
      </c>
      <c r="I63" s="2">
        <v>4487</v>
      </c>
      <c r="J63" s="2">
        <v>5789</v>
      </c>
      <c r="K63" s="2">
        <v>39630</v>
      </c>
      <c r="L63" s="2">
        <v>53161</v>
      </c>
      <c r="M63" s="2">
        <v>3438</v>
      </c>
      <c r="N63" s="2">
        <v>4334</v>
      </c>
      <c r="O63" s="2">
        <v>5503</v>
      </c>
      <c r="P63" s="2">
        <v>6976</v>
      </c>
      <c r="Q63" s="2">
        <v>99865</v>
      </c>
      <c r="R63" s="2">
        <v>107656</v>
      </c>
      <c r="S63" s="2">
        <v>4562</v>
      </c>
      <c r="T63" s="2">
        <v>7236</v>
      </c>
      <c r="U63" s="2"/>
      <c r="V63" s="5">
        <f t="shared" si="0"/>
        <v>2.4497645211930927</v>
      </c>
      <c r="W63" s="5">
        <f t="shared" si="1"/>
        <v>11.527050610820245</v>
      </c>
      <c r="X63" s="5">
        <f t="shared" si="2"/>
        <v>21.890618149934241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552</v>
      </c>
      <c r="D64" s="2">
        <v>612</v>
      </c>
      <c r="E64" s="2">
        <v>886</v>
      </c>
      <c r="F64" s="2">
        <v>1225</v>
      </c>
      <c r="G64" s="2">
        <v>381</v>
      </c>
      <c r="H64" s="2">
        <v>658</v>
      </c>
      <c r="I64" s="2">
        <v>1218</v>
      </c>
      <c r="J64" s="2">
        <v>8755</v>
      </c>
      <c r="K64" s="2">
        <v>10436</v>
      </c>
      <c r="L64" s="2">
        <v>10862</v>
      </c>
      <c r="M64" s="2">
        <v>924</v>
      </c>
      <c r="N64" s="2">
        <v>1097</v>
      </c>
      <c r="O64" s="2">
        <v>1425</v>
      </c>
      <c r="P64" s="2">
        <v>1821</v>
      </c>
      <c r="Q64" s="2">
        <v>19847</v>
      </c>
      <c r="R64" s="2">
        <v>0</v>
      </c>
      <c r="S64" s="2">
        <v>1172</v>
      </c>
      <c r="T64" s="2">
        <v>1428</v>
      </c>
      <c r="U64" s="2"/>
      <c r="V64" s="5">
        <f t="shared" si="0"/>
        <v>2.325459317585302</v>
      </c>
      <c r="W64" s="5">
        <f t="shared" si="1"/>
        <v>11.294372294372295</v>
      </c>
      <c r="X64" s="5">
        <f t="shared" si="2"/>
        <v>16.934300341296929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1827</v>
      </c>
      <c r="D65" s="2">
        <v>3107</v>
      </c>
      <c r="E65" s="2">
        <v>3432</v>
      </c>
      <c r="F65" s="2">
        <v>5252</v>
      </c>
      <c r="G65" s="2">
        <v>1276</v>
      </c>
      <c r="H65" s="2">
        <v>2011</v>
      </c>
      <c r="I65" s="2">
        <v>3098</v>
      </c>
      <c r="J65" s="2">
        <v>5237</v>
      </c>
      <c r="K65" s="2">
        <v>29653</v>
      </c>
      <c r="L65" s="2">
        <v>66744</v>
      </c>
      <c r="M65" s="2">
        <v>2407</v>
      </c>
      <c r="N65" s="2">
        <v>3792</v>
      </c>
      <c r="O65" s="2">
        <v>3652</v>
      </c>
      <c r="P65" s="2">
        <v>5796</v>
      </c>
      <c r="Q65" s="2">
        <v>88005</v>
      </c>
      <c r="R65" s="2">
        <v>119039</v>
      </c>
      <c r="S65" s="2">
        <v>3396</v>
      </c>
      <c r="T65" s="2">
        <v>5128</v>
      </c>
      <c r="U65" s="2"/>
      <c r="V65" s="5">
        <f t="shared" si="0"/>
        <v>2.6896551724137931</v>
      </c>
      <c r="W65" s="5">
        <f t="shared" si="1"/>
        <v>12.319484835895306</v>
      </c>
      <c r="X65" s="5">
        <f t="shared" si="2"/>
        <v>25.914310954063605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4179</v>
      </c>
      <c r="D66" s="2">
        <v>5592</v>
      </c>
      <c r="E66" s="2">
        <v>7731</v>
      </c>
      <c r="F66" s="2">
        <v>10167</v>
      </c>
      <c r="G66" s="2">
        <v>2707</v>
      </c>
      <c r="H66" s="2">
        <v>3874</v>
      </c>
      <c r="I66" s="2">
        <v>8280</v>
      </c>
      <c r="J66" s="2">
        <v>12096</v>
      </c>
      <c r="K66" s="2">
        <v>85876</v>
      </c>
      <c r="L66" s="2">
        <v>163980</v>
      </c>
      <c r="M66" s="2">
        <v>6104</v>
      </c>
      <c r="N66" s="2">
        <v>8813</v>
      </c>
      <c r="O66" s="2">
        <v>10495</v>
      </c>
      <c r="P66" s="2">
        <v>14301</v>
      </c>
      <c r="Q66" s="2">
        <v>254107</v>
      </c>
      <c r="R66" s="2">
        <v>307424</v>
      </c>
      <c r="S66" s="2">
        <v>9265</v>
      </c>
      <c r="T66" s="2">
        <v>13360</v>
      </c>
      <c r="U66" s="2"/>
      <c r="V66" s="5">
        <f t="shared" si="0"/>
        <v>2.855929072774289</v>
      </c>
      <c r="W66" s="5">
        <f t="shared" si="1"/>
        <v>14.068807339449542</v>
      </c>
      <c r="X66" s="5">
        <f t="shared" si="2"/>
        <v>27.426551538046411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209</v>
      </c>
      <c r="D67" s="2">
        <v>215</v>
      </c>
      <c r="E67" s="2">
        <v>441</v>
      </c>
      <c r="F67" s="2">
        <v>432</v>
      </c>
      <c r="G67" s="2">
        <v>137</v>
      </c>
      <c r="H67" s="2">
        <v>140</v>
      </c>
      <c r="I67" s="2">
        <v>333</v>
      </c>
      <c r="J67" s="2">
        <v>357</v>
      </c>
      <c r="K67" s="2">
        <v>3800</v>
      </c>
      <c r="L67" s="2">
        <v>3621</v>
      </c>
      <c r="M67" s="2">
        <v>233</v>
      </c>
      <c r="N67" s="2">
        <v>303</v>
      </c>
      <c r="O67" s="2">
        <v>369</v>
      </c>
      <c r="P67" s="2">
        <v>391</v>
      </c>
      <c r="Q67" s="2">
        <v>4865</v>
      </c>
      <c r="R67" s="2">
        <v>4906</v>
      </c>
      <c r="S67" s="2">
        <v>386</v>
      </c>
      <c r="T67" s="2">
        <v>334</v>
      </c>
      <c r="U67" s="2"/>
      <c r="V67" s="5">
        <f t="shared" ref="V67:V106" si="3">E67/G67</f>
        <v>3.218978102189781</v>
      </c>
      <c r="W67" s="5">
        <f t="shared" ref="W67:W106" si="4">K67/M67</f>
        <v>16.309012875536482</v>
      </c>
      <c r="X67" s="5">
        <f t="shared" ref="X67:X106" si="5">Q67/S67</f>
        <v>12.603626943005182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214</v>
      </c>
      <c r="D68" s="2">
        <v>227</v>
      </c>
      <c r="E68" s="2">
        <v>419</v>
      </c>
      <c r="F68" s="2">
        <v>454</v>
      </c>
      <c r="G68" s="2">
        <v>143</v>
      </c>
      <c r="H68" s="2">
        <v>147</v>
      </c>
      <c r="I68" s="2">
        <v>344</v>
      </c>
      <c r="J68" s="2">
        <v>366</v>
      </c>
      <c r="K68" s="2">
        <v>3431</v>
      </c>
      <c r="L68" s="2">
        <v>3627</v>
      </c>
      <c r="M68" s="2">
        <v>244</v>
      </c>
      <c r="N68" s="2">
        <v>290</v>
      </c>
      <c r="O68" s="2">
        <v>396</v>
      </c>
      <c r="P68" s="2">
        <v>422</v>
      </c>
      <c r="Q68" s="2">
        <v>5742</v>
      </c>
      <c r="R68" s="2">
        <v>5287</v>
      </c>
      <c r="S68" s="2">
        <v>389</v>
      </c>
      <c r="T68" s="2">
        <v>333</v>
      </c>
      <c r="U68" s="2"/>
      <c r="V68" s="5">
        <f t="shared" si="3"/>
        <v>2.93006993006993</v>
      </c>
      <c r="W68" s="5">
        <f t="shared" si="4"/>
        <v>14.061475409836065</v>
      </c>
      <c r="X68" s="5">
        <f t="shared" si="5"/>
        <v>14.760925449871465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732</v>
      </c>
      <c r="D69" s="2">
        <v>773</v>
      </c>
      <c r="E69" s="2">
        <v>1313</v>
      </c>
      <c r="F69" s="2">
        <v>1646</v>
      </c>
      <c r="G69" s="2">
        <v>512</v>
      </c>
      <c r="H69" s="2">
        <v>541</v>
      </c>
      <c r="I69" s="2">
        <v>1043</v>
      </c>
      <c r="J69" s="2">
        <v>1130</v>
      </c>
      <c r="K69" s="2">
        <v>10238</v>
      </c>
      <c r="L69" s="2">
        <v>11180</v>
      </c>
      <c r="M69" s="2">
        <v>823</v>
      </c>
      <c r="N69" s="2">
        <v>918</v>
      </c>
      <c r="O69" s="2">
        <v>1243</v>
      </c>
      <c r="P69" s="2">
        <v>1348</v>
      </c>
      <c r="Q69" s="2">
        <v>22866</v>
      </c>
      <c r="R69" s="2">
        <v>21694</v>
      </c>
      <c r="S69" s="2">
        <v>1345</v>
      </c>
      <c r="T69" s="2">
        <v>1196</v>
      </c>
      <c r="U69" s="2"/>
      <c r="V69" s="5">
        <f t="shared" si="3"/>
        <v>2.564453125</v>
      </c>
      <c r="W69" s="5">
        <f t="shared" si="4"/>
        <v>12.439854191980558</v>
      </c>
      <c r="X69" s="5">
        <f t="shared" si="5"/>
        <v>17.000743494423791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1833</v>
      </c>
      <c r="D70" s="2">
        <v>3035</v>
      </c>
      <c r="E70" s="2">
        <v>3394</v>
      </c>
      <c r="F70" s="2">
        <v>5036</v>
      </c>
      <c r="G70" s="2">
        <v>1223</v>
      </c>
      <c r="H70" s="2">
        <v>2082</v>
      </c>
      <c r="I70" s="2">
        <v>3171</v>
      </c>
      <c r="J70" s="2">
        <v>5054</v>
      </c>
      <c r="K70" s="2">
        <v>28487</v>
      </c>
      <c r="L70" s="2">
        <v>63897</v>
      </c>
      <c r="M70" s="2">
        <v>2305</v>
      </c>
      <c r="N70" s="2">
        <v>3747</v>
      </c>
      <c r="O70" s="2">
        <v>3476</v>
      </c>
      <c r="P70" s="2">
        <v>5792</v>
      </c>
      <c r="Q70" s="2">
        <v>81270</v>
      </c>
      <c r="R70" s="2">
        <v>115934</v>
      </c>
      <c r="S70" s="2">
        <v>3993</v>
      </c>
      <c r="T70" s="2">
        <v>5022</v>
      </c>
      <c r="U70" s="2"/>
      <c r="V70" s="5">
        <f t="shared" si="3"/>
        <v>2.7751430907604253</v>
      </c>
      <c r="W70" s="5">
        <f t="shared" si="4"/>
        <v>12.3587852494577</v>
      </c>
      <c r="X70" s="5">
        <f t="shared" si="5"/>
        <v>20.353117956423741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3939</v>
      </c>
      <c r="D71" s="2">
        <v>5522</v>
      </c>
      <c r="E71" s="2">
        <v>8055</v>
      </c>
      <c r="F71" s="2">
        <v>10474</v>
      </c>
      <c r="G71" s="2">
        <v>2689</v>
      </c>
      <c r="H71" s="2">
        <v>3757</v>
      </c>
      <c r="I71" s="2">
        <v>8250</v>
      </c>
      <c r="J71" s="2">
        <v>11910</v>
      </c>
      <c r="K71" s="2">
        <v>86399</v>
      </c>
      <c r="L71" s="2">
        <v>206396</v>
      </c>
      <c r="M71" s="2">
        <v>6000</v>
      </c>
      <c r="N71" s="2">
        <v>8654</v>
      </c>
      <c r="O71" s="2">
        <v>9955</v>
      </c>
      <c r="P71" s="2">
        <v>14157</v>
      </c>
      <c r="Q71" s="2">
        <v>272227</v>
      </c>
      <c r="R71" s="2">
        <v>329859</v>
      </c>
      <c r="S71" s="2">
        <v>9027</v>
      </c>
      <c r="T71" s="2">
        <v>12640</v>
      </c>
      <c r="U71" s="2"/>
      <c r="V71" s="5">
        <f t="shared" si="3"/>
        <v>2.9955373744886575</v>
      </c>
      <c r="W71" s="5">
        <f t="shared" si="4"/>
        <v>14.399833333333333</v>
      </c>
      <c r="X71" s="5">
        <f t="shared" si="5"/>
        <v>30.156973523872825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2572</v>
      </c>
      <c r="D72" s="2">
        <v>4600</v>
      </c>
      <c r="E72" s="2">
        <v>30012</v>
      </c>
      <c r="F72" s="2">
        <v>32917</v>
      </c>
      <c r="G72" s="2">
        <v>1794</v>
      </c>
      <c r="H72" s="2">
        <v>3164</v>
      </c>
      <c r="I72" s="2">
        <v>3568</v>
      </c>
      <c r="J72" s="2">
        <v>6953</v>
      </c>
      <c r="K72" s="2">
        <v>207655</v>
      </c>
      <c r="L72" s="2">
        <v>341597</v>
      </c>
      <c r="M72" s="2">
        <v>2716</v>
      </c>
      <c r="N72" s="2">
        <v>5111</v>
      </c>
      <c r="O72" s="2">
        <v>3914</v>
      </c>
      <c r="P72" s="2">
        <v>7774</v>
      </c>
      <c r="Q72" s="2">
        <v>548331</v>
      </c>
      <c r="R72" s="2">
        <v>611999</v>
      </c>
      <c r="S72" s="2">
        <v>3551</v>
      </c>
      <c r="T72" s="2">
        <v>6526</v>
      </c>
      <c r="U72" s="2"/>
      <c r="V72" s="5">
        <f t="shared" si="3"/>
        <v>16.729096989966557</v>
      </c>
      <c r="W72" s="5">
        <f t="shared" si="4"/>
        <v>76.456185567010309</v>
      </c>
      <c r="X72" s="5">
        <f t="shared" si="5"/>
        <v>154.41593917206421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2719</v>
      </c>
      <c r="D73" s="2">
        <v>5108</v>
      </c>
      <c r="E73" s="2">
        <v>36328</v>
      </c>
      <c r="F73" s="2">
        <v>37798</v>
      </c>
      <c r="G73" s="2">
        <v>1921</v>
      </c>
      <c r="H73" s="2">
        <v>3601</v>
      </c>
      <c r="I73" s="2">
        <v>3967</v>
      </c>
      <c r="J73" s="2">
        <v>7618</v>
      </c>
      <c r="K73" s="2">
        <v>334572</v>
      </c>
      <c r="L73" s="2">
        <v>383542</v>
      </c>
      <c r="M73" s="2">
        <v>2936</v>
      </c>
      <c r="N73" s="2">
        <v>5463</v>
      </c>
      <c r="O73" s="2">
        <v>4508</v>
      </c>
      <c r="P73" s="2">
        <v>7993</v>
      </c>
      <c r="Q73" s="2">
        <v>654172</v>
      </c>
      <c r="R73" s="2">
        <v>655209</v>
      </c>
      <c r="S73" s="2">
        <v>3754</v>
      </c>
      <c r="T73" s="2">
        <v>6807</v>
      </c>
      <c r="U73" s="2"/>
      <c r="V73" s="5">
        <f t="shared" si="3"/>
        <v>18.910983862571577</v>
      </c>
      <c r="W73" s="5">
        <f t="shared" si="4"/>
        <v>113.9550408719346</v>
      </c>
      <c r="X73" s="5">
        <f t="shared" si="5"/>
        <v>174.25998934469899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8247</v>
      </c>
      <c r="D74" s="2">
        <v>1478</v>
      </c>
      <c r="E74" s="2">
        <v>21586</v>
      </c>
      <c r="F74" s="2">
        <v>2512</v>
      </c>
      <c r="G74" s="2">
        <v>5798</v>
      </c>
      <c r="H74" s="2">
        <v>1069</v>
      </c>
      <c r="I74" s="2">
        <v>18570</v>
      </c>
      <c r="J74" s="2">
        <v>2988</v>
      </c>
      <c r="K74" s="2">
        <v>256868</v>
      </c>
      <c r="L74" s="2">
        <v>27041</v>
      </c>
      <c r="M74" s="2">
        <v>13633</v>
      </c>
      <c r="N74" s="2">
        <v>2057</v>
      </c>
      <c r="O74" s="2">
        <v>24724</v>
      </c>
      <c r="P74" s="2">
        <v>3044</v>
      </c>
      <c r="Q74" s="2">
        <v>635381</v>
      </c>
      <c r="R74" s="2">
        <v>41003</v>
      </c>
      <c r="S74" s="2">
        <v>21038</v>
      </c>
      <c r="T74" s="2">
        <v>2504</v>
      </c>
      <c r="U74" s="2"/>
      <c r="V74" s="5">
        <f t="shared" si="3"/>
        <v>3.7230079337702655</v>
      </c>
      <c r="W74" s="5">
        <f t="shared" si="4"/>
        <v>18.841634269786546</v>
      </c>
      <c r="X74" s="5">
        <f t="shared" si="5"/>
        <v>30.20158760338435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1961</v>
      </c>
      <c r="D75" s="2">
        <v>2526</v>
      </c>
      <c r="E75" s="2">
        <v>3406</v>
      </c>
      <c r="F75" s="2">
        <v>3461</v>
      </c>
      <c r="G75" s="2">
        <v>1318</v>
      </c>
      <c r="H75" s="2">
        <v>1546</v>
      </c>
      <c r="I75" s="2">
        <v>4873</v>
      </c>
      <c r="J75" s="2">
        <v>5409</v>
      </c>
      <c r="K75" s="2">
        <v>46420</v>
      </c>
      <c r="L75" s="2">
        <v>44437</v>
      </c>
      <c r="M75" s="2">
        <v>3669</v>
      </c>
      <c r="N75" s="2">
        <v>4146</v>
      </c>
      <c r="O75" s="2">
        <v>5963</v>
      </c>
      <c r="P75" s="2">
        <v>6607</v>
      </c>
      <c r="Q75" s="2">
        <v>99997</v>
      </c>
      <c r="R75" s="2">
        <v>130009</v>
      </c>
      <c r="S75" s="2">
        <v>5308</v>
      </c>
      <c r="T75" s="2">
        <v>5664</v>
      </c>
      <c r="U75" s="2"/>
      <c r="V75" s="5">
        <f t="shared" si="3"/>
        <v>2.5842185128983308</v>
      </c>
      <c r="W75" s="5">
        <f t="shared" si="4"/>
        <v>12.651948759880076</v>
      </c>
      <c r="X75" s="5">
        <f t="shared" si="5"/>
        <v>18.838922381311228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4599</v>
      </c>
      <c r="D76" s="2">
        <v>5081</v>
      </c>
      <c r="E76" s="2">
        <v>19507</v>
      </c>
      <c r="F76" s="2">
        <v>21924</v>
      </c>
      <c r="G76" s="2">
        <v>3157</v>
      </c>
      <c r="H76" s="2">
        <v>3470</v>
      </c>
      <c r="I76" s="2">
        <v>11872</v>
      </c>
      <c r="J76" s="2">
        <v>11980</v>
      </c>
      <c r="K76" s="2">
        <v>238511</v>
      </c>
      <c r="L76" s="2">
        <v>272240</v>
      </c>
      <c r="M76" s="2">
        <v>8153</v>
      </c>
      <c r="N76" s="2">
        <v>9048</v>
      </c>
      <c r="O76" s="2">
        <v>13361</v>
      </c>
      <c r="P76" s="2">
        <v>14844</v>
      </c>
      <c r="Q76" s="2">
        <v>694879</v>
      </c>
      <c r="R76" s="2">
        <v>605000</v>
      </c>
      <c r="S76" s="2">
        <v>11566</v>
      </c>
      <c r="T76" s="2">
        <v>12834</v>
      </c>
      <c r="U76" s="2"/>
      <c r="V76" s="5">
        <f t="shared" si="3"/>
        <v>6.1789673740893249</v>
      </c>
      <c r="W76" s="5">
        <f t="shared" si="4"/>
        <v>29.254384888997915</v>
      </c>
      <c r="X76" s="5">
        <f t="shared" si="5"/>
        <v>60.079457029223583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1449</v>
      </c>
      <c r="D77" s="2">
        <v>1585</v>
      </c>
      <c r="E77" s="2">
        <v>2672</v>
      </c>
      <c r="F77" s="2">
        <v>2557</v>
      </c>
      <c r="G77" s="2">
        <v>990</v>
      </c>
      <c r="H77" s="2">
        <v>1078</v>
      </c>
      <c r="I77" s="2">
        <v>3037</v>
      </c>
      <c r="J77" s="2">
        <v>2776</v>
      </c>
      <c r="K77" s="2">
        <v>25607</v>
      </c>
      <c r="L77" s="2">
        <v>24991</v>
      </c>
      <c r="M77" s="2">
        <v>2782</v>
      </c>
      <c r="N77" s="2">
        <v>2098</v>
      </c>
      <c r="O77" s="2">
        <v>3422</v>
      </c>
      <c r="P77" s="2">
        <v>3032</v>
      </c>
      <c r="Q77" s="2">
        <v>72588</v>
      </c>
      <c r="R77" s="2">
        <v>45637</v>
      </c>
      <c r="S77" s="2">
        <v>2922</v>
      </c>
      <c r="T77" s="2">
        <v>2542</v>
      </c>
      <c r="U77" s="2"/>
      <c r="V77" s="5">
        <f t="shared" si="3"/>
        <v>2.6989898989898991</v>
      </c>
      <c r="W77" s="5">
        <f t="shared" si="4"/>
        <v>9.2045291157440694</v>
      </c>
      <c r="X77" s="5">
        <f t="shared" si="5"/>
        <v>24.84188911704312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146</v>
      </c>
      <c r="D78" s="2">
        <v>264</v>
      </c>
      <c r="E78" s="2">
        <v>451</v>
      </c>
      <c r="F78" s="2">
        <v>355</v>
      </c>
      <c r="G78" s="2">
        <v>108</v>
      </c>
      <c r="H78" s="2">
        <v>189</v>
      </c>
      <c r="I78" s="2">
        <v>201</v>
      </c>
      <c r="J78" s="2">
        <v>372</v>
      </c>
      <c r="K78" s="2">
        <v>4361</v>
      </c>
      <c r="L78" s="2">
        <v>1930</v>
      </c>
      <c r="M78" s="2">
        <v>185</v>
      </c>
      <c r="N78" s="2">
        <v>272</v>
      </c>
      <c r="O78" s="2">
        <v>209</v>
      </c>
      <c r="P78" s="2">
        <v>377</v>
      </c>
      <c r="Q78" s="2">
        <v>6104</v>
      </c>
      <c r="R78" s="2">
        <v>4280</v>
      </c>
      <c r="S78" s="2">
        <v>175</v>
      </c>
      <c r="T78" s="2">
        <v>343</v>
      </c>
      <c r="U78" s="2"/>
      <c r="V78" s="5">
        <f t="shared" si="3"/>
        <v>4.1759259259259256</v>
      </c>
      <c r="W78" s="5">
        <f t="shared" si="4"/>
        <v>23.572972972972973</v>
      </c>
      <c r="X78" s="5">
        <f t="shared" si="5"/>
        <v>34.880000000000003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60</v>
      </c>
      <c r="D79" s="2">
        <v>33</v>
      </c>
      <c r="E79" s="2">
        <v>84</v>
      </c>
      <c r="F79" s="2">
        <v>80</v>
      </c>
      <c r="G79" s="2">
        <v>22</v>
      </c>
      <c r="H79" s="2">
        <v>29</v>
      </c>
      <c r="I79" s="2">
        <v>62</v>
      </c>
      <c r="J79" s="2">
        <v>59</v>
      </c>
      <c r="K79" s="2">
        <v>138</v>
      </c>
      <c r="L79" s="2">
        <v>142</v>
      </c>
      <c r="M79" s="2">
        <v>49</v>
      </c>
      <c r="N79" s="2">
        <v>49</v>
      </c>
      <c r="O79" s="2">
        <v>80</v>
      </c>
      <c r="P79" s="2">
        <v>75</v>
      </c>
      <c r="Q79" s="2">
        <v>194</v>
      </c>
      <c r="R79" s="2">
        <v>180</v>
      </c>
      <c r="S79" s="2">
        <v>65</v>
      </c>
      <c r="T79" s="2">
        <v>64</v>
      </c>
      <c r="U79" s="2"/>
      <c r="V79" s="5">
        <f t="shared" si="3"/>
        <v>3.8181818181818183</v>
      </c>
      <c r="W79" s="5">
        <f t="shared" si="4"/>
        <v>2.8163265306122449</v>
      </c>
      <c r="X79" s="5">
        <f t="shared" si="5"/>
        <v>2.9846153846153847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801</v>
      </c>
      <c r="D80" s="2">
        <v>960</v>
      </c>
      <c r="E80" s="2">
        <v>1313</v>
      </c>
      <c r="F80" s="2">
        <v>1093</v>
      </c>
      <c r="G80" s="2">
        <v>575</v>
      </c>
      <c r="H80" s="2">
        <v>650</v>
      </c>
      <c r="I80" s="2">
        <v>1221</v>
      </c>
      <c r="J80" s="2">
        <v>1441</v>
      </c>
      <c r="K80" s="2">
        <v>8505</v>
      </c>
      <c r="L80" s="2">
        <v>6984</v>
      </c>
      <c r="M80" s="2">
        <v>987</v>
      </c>
      <c r="N80" s="2">
        <v>1029</v>
      </c>
      <c r="O80" s="2">
        <v>1261</v>
      </c>
      <c r="P80" s="2">
        <v>1674</v>
      </c>
      <c r="Q80" s="2">
        <v>22102</v>
      </c>
      <c r="R80" s="2">
        <v>13300</v>
      </c>
      <c r="S80" s="2">
        <v>1127</v>
      </c>
      <c r="T80" s="2">
        <v>1437</v>
      </c>
      <c r="U80" s="2"/>
      <c r="V80" s="5">
        <f t="shared" si="3"/>
        <v>2.2834782608695652</v>
      </c>
      <c r="W80" s="5">
        <f t="shared" si="4"/>
        <v>8.6170212765957448</v>
      </c>
      <c r="X80" s="5">
        <f t="shared" si="5"/>
        <v>19.611357586512867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28</v>
      </c>
      <c r="D81" s="2">
        <v>35</v>
      </c>
      <c r="E81" s="2">
        <v>67</v>
      </c>
      <c r="F81" s="2">
        <v>66</v>
      </c>
      <c r="G81" s="2">
        <v>20</v>
      </c>
      <c r="H81" s="2">
        <v>19</v>
      </c>
      <c r="I81" s="2">
        <v>42</v>
      </c>
      <c r="J81" s="2">
        <v>42</v>
      </c>
      <c r="K81" s="2">
        <v>982</v>
      </c>
      <c r="L81" s="2">
        <v>990</v>
      </c>
      <c r="M81" s="2">
        <v>33</v>
      </c>
      <c r="N81" s="2">
        <v>31</v>
      </c>
      <c r="O81" s="2">
        <v>46</v>
      </c>
      <c r="P81" s="2">
        <v>46</v>
      </c>
      <c r="Q81" s="2">
        <v>969</v>
      </c>
      <c r="R81" s="2">
        <v>913</v>
      </c>
      <c r="S81" s="2">
        <v>35</v>
      </c>
      <c r="T81" s="2">
        <v>37</v>
      </c>
      <c r="U81" s="2"/>
      <c r="V81" s="5">
        <f t="shared" si="3"/>
        <v>3.35</v>
      </c>
      <c r="W81" s="5">
        <f t="shared" si="4"/>
        <v>29.757575757575758</v>
      </c>
      <c r="X81" s="5">
        <f t="shared" si="5"/>
        <v>27.685714285714287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336</v>
      </c>
      <c r="D82" s="2">
        <v>362</v>
      </c>
      <c r="E82" s="2">
        <v>1431</v>
      </c>
      <c r="F82" s="2">
        <v>1386</v>
      </c>
      <c r="G82" s="2">
        <v>214</v>
      </c>
      <c r="H82" s="2">
        <v>255</v>
      </c>
      <c r="I82" s="2">
        <v>445</v>
      </c>
      <c r="J82" s="2">
        <v>511</v>
      </c>
      <c r="K82" s="2">
        <v>10268</v>
      </c>
      <c r="L82" s="2">
        <v>11924</v>
      </c>
      <c r="M82" s="2">
        <v>329</v>
      </c>
      <c r="N82" s="2">
        <v>364</v>
      </c>
      <c r="O82" s="2">
        <v>490</v>
      </c>
      <c r="P82" s="2">
        <v>550</v>
      </c>
      <c r="Q82" s="2">
        <v>25742</v>
      </c>
      <c r="R82" s="2">
        <v>29765</v>
      </c>
      <c r="S82" s="2">
        <v>370</v>
      </c>
      <c r="T82" s="2">
        <v>405</v>
      </c>
      <c r="U82" s="2"/>
      <c r="V82" s="5">
        <f t="shared" si="3"/>
        <v>6.6869158878504669</v>
      </c>
      <c r="W82" s="5">
        <f t="shared" si="4"/>
        <v>31.209726443768997</v>
      </c>
      <c r="X82" s="5">
        <f t="shared" si="5"/>
        <v>69.572972972972977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246</v>
      </c>
      <c r="D83" s="2">
        <v>412</v>
      </c>
      <c r="E83" s="2">
        <v>798</v>
      </c>
      <c r="F83" s="2">
        <v>947</v>
      </c>
      <c r="G83" s="2">
        <v>158</v>
      </c>
      <c r="H83" s="2">
        <v>343</v>
      </c>
      <c r="I83" s="2">
        <v>347</v>
      </c>
      <c r="J83" s="2">
        <v>550</v>
      </c>
      <c r="K83" s="2">
        <v>6327</v>
      </c>
      <c r="L83" s="2">
        <v>7418</v>
      </c>
      <c r="M83" s="2">
        <v>262</v>
      </c>
      <c r="N83" s="2">
        <v>404</v>
      </c>
      <c r="O83" s="2">
        <v>381</v>
      </c>
      <c r="P83" s="2">
        <v>582</v>
      </c>
      <c r="Q83" s="2">
        <v>9321</v>
      </c>
      <c r="R83" s="2">
        <v>10936</v>
      </c>
      <c r="S83" s="2">
        <v>270</v>
      </c>
      <c r="T83" s="2">
        <v>440</v>
      </c>
      <c r="U83" s="2"/>
      <c r="V83" s="5">
        <f t="shared" si="3"/>
        <v>5.0506329113924053</v>
      </c>
      <c r="W83" s="5">
        <f t="shared" si="4"/>
        <v>24.148854961832061</v>
      </c>
      <c r="X83" s="5">
        <f t="shared" si="5"/>
        <v>34.522222222222226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325</v>
      </c>
      <c r="D84" s="2">
        <v>358</v>
      </c>
      <c r="E84" s="2">
        <v>718</v>
      </c>
      <c r="F84" s="2">
        <v>728</v>
      </c>
      <c r="G84" s="2">
        <v>268</v>
      </c>
      <c r="H84" s="2">
        <v>243</v>
      </c>
      <c r="I84" s="2">
        <v>471</v>
      </c>
      <c r="J84" s="2">
        <v>510</v>
      </c>
      <c r="K84" s="2">
        <v>5084</v>
      </c>
      <c r="L84" s="2">
        <v>5513</v>
      </c>
      <c r="M84" s="2">
        <v>345</v>
      </c>
      <c r="N84" s="2">
        <v>374</v>
      </c>
      <c r="O84" s="2">
        <v>531</v>
      </c>
      <c r="P84" s="2">
        <v>568</v>
      </c>
      <c r="Q84" s="2">
        <v>9362</v>
      </c>
      <c r="R84" s="2">
        <v>8363</v>
      </c>
      <c r="S84" s="2">
        <v>385</v>
      </c>
      <c r="T84" s="2">
        <v>418</v>
      </c>
      <c r="U84" s="2"/>
      <c r="V84" s="5">
        <f t="shared" si="3"/>
        <v>2.6791044776119404</v>
      </c>
      <c r="W84" s="5">
        <f t="shared" si="4"/>
        <v>14.736231884057972</v>
      </c>
      <c r="X84" s="5">
        <f t="shared" si="5"/>
        <v>24.316883116883115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576</v>
      </c>
      <c r="D85" s="2">
        <v>595</v>
      </c>
      <c r="E85" s="2">
        <v>1041</v>
      </c>
      <c r="F85" s="2">
        <v>1029</v>
      </c>
      <c r="G85" s="2">
        <v>426</v>
      </c>
      <c r="H85" s="2">
        <v>421</v>
      </c>
      <c r="I85" s="2">
        <v>770</v>
      </c>
      <c r="J85" s="2">
        <v>800</v>
      </c>
      <c r="K85" s="2">
        <v>7462</v>
      </c>
      <c r="L85" s="2">
        <v>7786</v>
      </c>
      <c r="M85" s="2">
        <v>707</v>
      </c>
      <c r="N85" s="2">
        <v>615</v>
      </c>
      <c r="O85" s="2">
        <v>835</v>
      </c>
      <c r="P85" s="2">
        <v>865</v>
      </c>
      <c r="Q85" s="2">
        <v>15663</v>
      </c>
      <c r="R85" s="2">
        <v>14791</v>
      </c>
      <c r="S85" s="2">
        <v>669</v>
      </c>
      <c r="T85" s="2">
        <v>695</v>
      </c>
      <c r="U85" s="2"/>
      <c r="V85" s="5">
        <f t="shared" si="3"/>
        <v>2.443661971830986</v>
      </c>
      <c r="W85" s="5">
        <f t="shared" si="4"/>
        <v>10.554455445544555</v>
      </c>
      <c r="X85" s="5">
        <f t="shared" si="5"/>
        <v>23.412556053811659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246</v>
      </c>
      <c r="D86" s="2">
        <v>277</v>
      </c>
      <c r="E86" s="2">
        <v>555</v>
      </c>
      <c r="F86" s="2">
        <v>555</v>
      </c>
      <c r="G86" s="2">
        <v>161</v>
      </c>
      <c r="H86" s="2">
        <v>169</v>
      </c>
      <c r="I86" s="2">
        <v>362</v>
      </c>
      <c r="J86" s="2">
        <v>380</v>
      </c>
      <c r="K86" s="2">
        <v>3321</v>
      </c>
      <c r="L86" s="2">
        <v>3152</v>
      </c>
      <c r="M86" s="2">
        <v>273</v>
      </c>
      <c r="N86" s="2">
        <v>280</v>
      </c>
      <c r="O86" s="2">
        <v>395</v>
      </c>
      <c r="P86" s="2">
        <v>423</v>
      </c>
      <c r="Q86" s="2">
        <v>4800</v>
      </c>
      <c r="R86" s="2">
        <v>4612</v>
      </c>
      <c r="S86" s="2">
        <v>301</v>
      </c>
      <c r="T86" s="2">
        <v>315</v>
      </c>
      <c r="U86" s="2"/>
      <c r="V86" s="5">
        <f t="shared" si="3"/>
        <v>3.4472049689440993</v>
      </c>
      <c r="W86" s="5">
        <f t="shared" si="4"/>
        <v>12.164835164835164</v>
      </c>
      <c r="X86" s="5">
        <f t="shared" si="5"/>
        <v>15.946843853820598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257</v>
      </c>
      <c r="D87" s="2">
        <v>274</v>
      </c>
      <c r="E87" s="2">
        <v>590</v>
      </c>
      <c r="F87" s="2">
        <v>607</v>
      </c>
      <c r="G87" s="2">
        <v>161</v>
      </c>
      <c r="H87" s="2">
        <v>177</v>
      </c>
      <c r="I87" s="2">
        <v>599</v>
      </c>
      <c r="J87" s="2">
        <v>654</v>
      </c>
      <c r="K87" s="2">
        <v>3899</v>
      </c>
      <c r="L87" s="2">
        <v>4135</v>
      </c>
      <c r="M87" s="2">
        <v>440</v>
      </c>
      <c r="N87" s="2">
        <v>483</v>
      </c>
      <c r="O87" s="2">
        <v>699</v>
      </c>
      <c r="P87" s="2">
        <v>751</v>
      </c>
      <c r="Q87" s="2">
        <v>8456</v>
      </c>
      <c r="R87" s="2">
        <v>8826</v>
      </c>
      <c r="S87" s="2">
        <v>587</v>
      </c>
      <c r="T87" s="2">
        <v>607</v>
      </c>
      <c r="U87" s="2"/>
      <c r="V87" s="5">
        <f t="shared" si="3"/>
        <v>3.6645962732919255</v>
      </c>
      <c r="W87" s="5">
        <f t="shared" si="4"/>
        <v>8.8613636363636363</v>
      </c>
      <c r="X87" s="5">
        <f t="shared" si="5"/>
        <v>14.405451448040886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1965</v>
      </c>
      <c r="D88" s="2">
        <v>2356</v>
      </c>
      <c r="E88" s="2">
        <v>4822</v>
      </c>
      <c r="F88" s="2">
        <v>5512</v>
      </c>
      <c r="G88" s="2">
        <v>1434</v>
      </c>
      <c r="H88" s="2">
        <v>1645</v>
      </c>
      <c r="I88" s="2">
        <v>5028</v>
      </c>
      <c r="J88" s="2">
        <v>6299</v>
      </c>
      <c r="K88" s="2">
        <v>50115</v>
      </c>
      <c r="L88" s="2">
        <v>92201</v>
      </c>
      <c r="M88" s="2">
        <v>3799</v>
      </c>
      <c r="N88" s="2">
        <v>4742</v>
      </c>
      <c r="O88" s="2">
        <v>6545</v>
      </c>
      <c r="P88" s="2">
        <v>8169</v>
      </c>
      <c r="Q88" s="2">
        <v>163509</v>
      </c>
      <c r="R88" s="2">
        <v>174175</v>
      </c>
      <c r="S88" s="2">
        <v>5444</v>
      </c>
      <c r="T88" s="2">
        <v>6785</v>
      </c>
      <c r="U88" s="2"/>
      <c r="V88" s="5">
        <f t="shared" si="3"/>
        <v>3.3626220362622035</v>
      </c>
      <c r="W88" s="5">
        <f t="shared" si="4"/>
        <v>13.191629376151619</v>
      </c>
      <c r="X88" s="5">
        <f t="shared" si="5"/>
        <v>30.034717119764878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4120</v>
      </c>
      <c r="D89" s="2">
        <v>5588</v>
      </c>
      <c r="E89" s="2">
        <v>9376</v>
      </c>
      <c r="F89" s="2">
        <v>10764</v>
      </c>
      <c r="G89" s="2">
        <v>3009</v>
      </c>
      <c r="H89" s="2">
        <v>3662</v>
      </c>
      <c r="I89" s="2">
        <v>9266</v>
      </c>
      <c r="J89" s="2">
        <v>12452</v>
      </c>
      <c r="K89" s="2">
        <v>76322</v>
      </c>
      <c r="L89" s="2">
        <v>144127</v>
      </c>
      <c r="M89" s="2">
        <v>6624</v>
      </c>
      <c r="N89" s="2">
        <v>9102</v>
      </c>
      <c r="O89" s="2">
        <v>10962</v>
      </c>
      <c r="P89" s="2">
        <v>14522</v>
      </c>
      <c r="Q89" s="2">
        <v>200134</v>
      </c>
      <c r="R89" s="2">
        <v>276394</v>
      </c>
      <c r="S89" s="2">
        <v>9045</v>
      </c>
      <c r="T89" s="2">
        <v>12675</v>
      </c>
      <c r="U89" s="2"/>
      <c r="V89" s="5">
        <f t="shared" si="3"/>
        <v>3.1159853772017283</v>
      </c>
      <c r="W89" s="5">
        <f t="shared" si="4"/>
        <v>11.522041062801932</v>
      </c>
      <c r="X89" s="5">
        <f t="shared" si="5"/>
        <v>22.126478717523494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319</v>
      </c>
      <c r="D90" s="2">
        <v>392</v>
      </c>
      <c r="E90" s="2">
        <v>803</v>
      </c>
      <c r="F90" s="2">
        <v>847</v>
      </c>
      <c r="G90" s="2">
        <v>282</v>
      </c>
      <c r="H90" s="2">
        <v>238</v>
      </c>
      <c r="I90" s="2">
        <v>449</v>
      </c>
      <c r="J90" s="2">
        <v>551</v>
      </c>
      <c r="K90" s="2">
        <v>6397</v>
      </c>
      <c r="L90" s="2">
        <v>6369</v>
      </c>
      <c r="M90" s="2">
        <v>347</v>
      </c>
      <c r="N90" s="2">
        <v>418</v>
      </c>
      <c r="O90" s="2">
        <v>524</v>
      </c>
      <c r="P90" s="2">
        <v>607</v>
      </c>
      <c r="Q90" s="2">
        <v>12828</v>
      </c>
      <c r="R90" s="2">
        <v>13615</v>
      </c>
      <c r="S90" s="2">
        <v>382</v>
      </c>
      <c r="T90" s="2">
        <v>459</v>
      </c>
      <c r="U90" s="2"/>
      <c r="V90" s="5">
        <f t="shared" si="3"/>
        <v>2.8475177304964538</v>
      </c>
      <c r="W90" s="5">
        <f t="shared" si="4"/>
        <v>18.435158501440924</v>
      </c>
      <c r="X90" s="5">
        <f t="shared" si="5"/>
        <v>33.581151832460733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424</v>
      </c>
      <c r="D91" s="2">
        <v>654</v>
      </c>
      <c r="E91" s="2">
        <v>1020</v>
      </c>
      <c r="F91" s="2">
        <v>1208</v>
      </c>
      <c r="G91" s="2">
        <v>287</v>
      </c>
      <c r="H91" s="2">
        <v>452</v>
      </c>
      <c r="I91" s="2">
        <v>619</v>
      </c>
      <c r="J91" s="2">
        <v>875</v>
      </c>
      <c r="K91" s="2">
        <v>5531</v>
      </c>
      <c r="L91" s="2">
        <v>9091</v>
      </c>
      <c r="M91" s="2">
        <v>486</v>
      </c>
      <c r="N91" s="2">
        <v>689</v>
      </c>
      <c r="O91" s="2">
        <v>671</v>
      </c>
      <c r="P91" s="2">
        <v>954</v>
      </c>
      <c r="Q91" s="2">
        <v>16778</v>
      </c>
      <c r="R91" s="2">
        <v>20839</v>
      </c>
      <c r="S91" s="2">
        <v>545</v>
      </c>
      <c r="T91" s="2">
        <v>789</v>
      </c>
      <c r="U91" s="2"/>
      <c r="V91" s="5">
        <f t="shared" si="3"/>
        <v>3.5540069686411151</v>
      </c>
      <c r="W91" s="5">
        <f t="shared" si="4"/>
        <v>11.380658436213992</v>
      </c>
      <c r="X91" s="5">
        <f t="shared" si="5"/>
        <v>30.785321100917432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49</v>
      </c>
      <c r="D92" s="2">
        <v>54</v>
      </c>
      <c r="E92" s="2">
        <v>122</v>
      </c>
      <c r="F92" s="2">
        <v>121</v>
      </c>
      <c r="G92" s="2">
        <v>34</v>
      </c>
      <c r="H92" s="2">
        <v>36</v>
      </c>
      <c r="I92" s="2">
        <v>73</v>
      </c>
      <c r="J92" s="2">
        <v>80</v>
      </c>
      <c r="K92" s="2">
        <v>854</v>
      </c>
      <c r="L92" s="2">
        <v>814</v>
      </c>
      <c r="M92" s="2">
        <v>56</v>
      </c>
      <c r="N92" s="2">
        <v>56</v>
      </c>
      <c r="O92" s="2">
        <v>80</v>
      </c>
      <c r="P92" s="2">
        <v>85</v>
      </c>
      <c r="Q92" s="2">
        <v>1169</v>
      </c>
      <c r="R92" s="2">
        <v>1076</v>
      </c>
      <c r="S92" s="2">
        <v>62</v>
      </c>
      <c r="T92" s="2">
        <v>65</v>
      </c>
      <c r="U92" s="2"/>
      <c r="V92" s="5">
        <f t="shared" si="3"/>
        <v>3.5882352941176472</v>
      </c>
      <c r="W92" s="5">
        <f t="shared" si="4"/>
        <v>15.25</v>
      </c>
      <c r="X92" s="5">
        <f t="shared" si="5"/>
        <v>18.85483870967742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341</v>
      </c>
      <c r="D93" s="2">
        <v>552</v>
      </c>
      <c r="E93" s="2">
        <v>767</v>
      </c>
      <c r="F93" s="2">
        <v>916</v>
      </c>
      <c r="G93" s="2">
        <v>236</v>
      </c>
      <c r="H93" s="2">
        <v>374</v>
      </c>
      <c r="I93" s="2">
        <v>461</v>
      </c>
      <c r="J93" s="2">
        <v>709</v>
      </c>
      <c r="K93" s="2">
        <v>3390</v>
      </c>
      <c r="L93" s="2">
        <v>6558</v>
      </c>
      <c r="M93" s="2">
        <v>353</v>
      </c>
      <c r="N93" s="2">
        <v>657</v>
      </c>
      <c r="O93" s="2">
        <v>494</v>
      </c>
      <c r="P93" s="2">
        <v>752</v>
      </c>
      <c r="Q93" s="2">
        <v>8812</v>
      </c>
      <c r="R93" s="2">
        <v>9039</v>
      </c>
      <c r="S93" s="2">
        <v>589</v>
      </c>
      <c r="T93" s="2">
        <v>622</v>
      </c>
      <c r="U93" s="2"/>
      <c r="V93" s="5">
        <f t="shared" si="3"/>
        <v>3.25</v>
      </c>
      <c r="W93" s="5">
        <f t="shared" si="4"/>
        <v>9.6033994334277626</v>
      </c>
      <c r="X93" s="5">
        <f t="shared" si="5"/>
        <v>14.960950764006791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128</v>
      </c>
      <c r="D94" s="2">
        <v>168</v>
      </c>
      <c r="E94" s="2">
        <v>283</v>
      </c>
      <c r="F94" s="2">
        <v>295</v>
      </c>
      <c r="G94" s="2">
        <v>130</v>
      </c>
      <c r="H94" s="2">
        <v>120</v>
      </c>
      <c r="I94" s="2">
        <v>182</v>
      </c>
      <c r="J94" s="2">
        <v>230</v>
      </c>
      <c r="K94" s="2">
        <v>1537</v>
      </c>
      <c r="L94" s="2">
        <v>2370</v>
      </c>
      <c r="M94" s="2">
        <v>132</v>
      </c>
      <c r="N94" s="2">
        <v>190</v>
      </c>
      <c r="O94" s="2">
        <v>187</v>
      </c>
      <c r="P94" s="2">
        <v>253</v>
      </c>
      <c r="Q94" s="2">
        <v>3250</v>
      </c>
      <c r="R94" s="2">
        <v>3128</v>
      </c>
      <c r="S94" s="2">
        <v>185</v>
      </c>
      <c r="T94" s="2">
        <v>249</v>
      </c>
      <c r="U94" s="2"/>
      <c r="V94" s="5">
        <f t="shared" si="3"/>
        <v>2.1769230769230767</v>
      </c>
      <c r="W94" s="5">
        <f t="shared" si="4"/>
        <v>11.643939393939394</v>
      </c>
      <c r="X94" s="5">
        <f t="shared" si="5"/>
        <v>17.567567567567568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190</v>
      </c>
      <c r="D95" s="2">
        <v>160</v>
      </c>
      <c r="E95" s="2">
        <v>318</v>
      </c>
      <c r="F95" s="2">
        <v>366</v>
      </c>
      <c r="G95" s="2">
        <v>77</v>
      </c>
      <c r="H95" s="2">
        <v>167</v>
      </c>
      <c r="I95" s="2">
        <v>160</v>
      </c>
      <c r="J95" s="2">
        <v>216</v>
      </c>
      <c r="K95" s="2">
        <v>1026</v>
      </c>
      <c r="L95" s="2">
        <v>2004</v>
      </c>
      <c r="M95" s="2">
        <v>122</v>
      </c>
      <c r="N95" s="2">
        <v>166</v>
      </c>
      <c r="O95" s="2">
        <v>176</v>
      </c>
      <c r="P95" s="2">
        <v>239</v>
      </c>
      <c r="Q95" s="2">
        <v>3156</v>
      </c>
      <c r="R95" s="2">
        <v>3319</v>
      </c>
      <c r="S95" s="2">
        <v>142</v>
      </c>
      <c r="T95" s="2">
        <v>185</v>
      </c>
      <c r="U95" s="2"/>
      <c r="V95" s="5">
        <f t="shared" si="3"/>
        <v>4.1298701298701301</v>
      </c>
      <c r="W95" s="5">
        <f t="shared" si="4"/>
        <v>8.4098360655737707</v>
      </c>
      <c r="X95" s="5">
        <f t="shared" si="5"/>
        <v>22.225352112676056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229</v>
      </c>
      <c r="D96" s="2">
        <v>279</v>
      </c>
      <c r="E96" s="2">
        <v>438</v>
      </c>
      <c r="F96" s="2">
        <v>428</v>
      </c>
      <c r="G96" s="2">
        <v>237</v>
      </c>
      <c r="H96" s="2">
        <v>214</v>
      </c>
      <c r="I96" s="2">
        <v>321</v>
      </c>
      <c r="J96" s="2">
        <v>351</v>
      </c>
      <c r="K96" s="2">
        <v>2771</v>
      </c>
      <c r="L96" s="2">
        <v>3371</v>
      </c>
      <c r="M96" s="2">
        <v>259</v>
      </c>
      <c r="N96" s="2">
        <v>277</v>
      </c>
      <c r="O96" s="2">
        <v>432</v>
      </c>
      <c r="P96" s="2">
        <v>407</v>
      </c>
      <c r="Q96" s="2">
        <v>5315</v>
      </c>
      <c r="R96" s="2">
        <v>5424</v>
      </c>
      <c r="S96" s="2">
        <v>290</v>
      </c>
      <c r="T96" s="2">
        <v>314</v>
      </c>
      <c r="U96" s="2"/>
      <c r="V96" s="5">
        <f t="shared" si="3"/>
        <v>1.8481012658227849</v>
      </c>
      <c r="W96" s="5">
        <f t="shared" si="4"/>
        <v>10.698841698841699</v>
      </c>
      <c r="X96" s="5">
        <f t="shared" si="5"/>
        <v>18.327586206896552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284</v>
      </c>
      <c r="D97" s="2">
        <v>298</v>
      </c>
      <c r="E97" s="2">
        <v>547</v>
      </c>
      <c r="F97" s="2">
        <v>528</v>
      </c>
      <c r="G97" s="2">
        <v>188</v>
      </c>
      <c r="H97" s="2">
        <v>209</v>
      </c>
      <c r="I97" s="2">
        <v>390</v>
      </c>
      <c r="J97" s="2">
        <v>392</v>
      </c>
      <c r="K97" s="2">
        <v>3776</v>
      </c>
      <c r="L97" s="2">
        <v>5211</v>
      </c>
      <c r="M97" s="2">
        <v>475</v>
      </c>
      <c r="N97" s="2">
        <v>309</v>
      </c>
      <c r="O97" s="2">
        <v>404</v>
      </c>
      <c r="P97" s="2">
        <v>407</v>
      </c>
      <c r="Q97" s="2">
        <v>11348</v>
      </c>
      <c r="R97" s="2">
        <v>10629</v>
      </c>
      <c r="S97" s="2">
        <v>321</v>
      </c>
      <c r="T97" s="2">
        <v>346</v>
      </c>
      <c r="U97" s="2"/>
      <c r="V97" s="5">
        <f t="shared" si="3"/>
        <v>2.9095744680851063</v>
      </c>
      <c r="W97" s="5">
        <f t="shared" si="4"/>
        <v>7.9494736842105267</v>
      </c>
      <c r="X97" s="5">
        <f t="shared" si="5"/>
        <v>35.352024922118382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264</v>
      </c>
      <c r="D98" s="2">
        <v>270</v>
      </c>
      <c r="E98" s="2">
        <v>540</v>
      </c>
      <c r="F98" s="2">
        <v>443</v>
      </c>
      <c r="G98" s="2">
        <v>171</v>
      </c>
      <c r="H98" s="2">
        <v>180</v>
      </c>
      <c r="I98" s="2">
        <v>521</v>
      </c>
      <c r="J98" s="2">
        <v>517</v>
      </c>
      <c r="K98" s="2">
        <v>2636</v>
      </c>
      <c r="L98" s="2">
        <v>3137</v>
      </c>
      <c r="M98" s="2">
        <v>457</v>
      </c>
      <c r="N98" s="2">
        <v>390</v>
      </c>
      <c r="O98" s="2">
        <v>564</v>
      </c>
      <c r="P98" s="2">
        <v>592</v>
      </c>
      <c r="Q98" s="2">
        <v>4170</v>
      </c>
      <c r="R98" s="2">
        <v>4048</v>
      </c>
      <c r="S98" s="2">
        <v>475</v>
      </c>
      <c r="T98" s="2">
        <v>486</v>
      </c>
      <c r="U98" s="2"/>
      <c r="V98" s="5">
        <f t="shared" si="3"/>
        <v>3.1578947368421053</v>
      </c>
      <c r="W98" s="5">
        <f t="shared" si="4"/>
        <v>5.7680525164113785</v>
      </c>
      <c r="X98" s="5">
        <f t="shared" si="5"/>
        <v>8.7789473684210524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2412</v>
      </c>
      <c r="D99" s="2">
        <v>2883</v>
      </c>
      <c r="E99" s="2">
        <v>4794</v>
      </c>
      <c r="F99" s="2">
        <v>5087</v>
      </c>
      <c r="G99" s="2">
        <v>2057</v>
      </c>
      <c r="H99" s="2">
        <v>2298</v>
      </c>
      <c r="I99" s="2">
        <v>5735</v>
      </c>
      <c r="J99" s="2">
        <v>6605</v>
      </c>
      <c r="K99" s="2">
        <v>56152</v>
      </c>
      <c r="L99" s="2">
        <v>84430</v>
      </c>
      <c r="M99" s="2">
        <v>4220</v>
      </c>
      <c r="N99" s="2">
        <v>4959</v>
      </c>
      <c r="O99" s="2">
        <v>7167</v>
      </c>
      <c r="P99" s="2">
        <v>7887</v>
      </c>
      <c r="Q99" s="2">
        <v>203306</v>
      </c>
      <c r="R99" s="2">
        <v>169050</v>
      </c>
      <c r="S99" s="2">
        <v>5885</v>
      </c>
      <c r="T99" s="2">
        <v>6892</v>
      </c>
      <c r="U99" s="2"/>
      <c r="V99" s="5">
        <f t="shared" si="3"/>
        <v>2.330578512396694</v>
      </c>
      <c r="W99" s="5">
        <f t="shared" si="4"/>
        <v>13.306161137440759</v>
      </c>
      <c r="X99" s="5">
        <f t="shared" si="5"/>
        <v>34.546474086661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2002</v>
      </c>
      <c r="D100" s="2">
        <v>2249</v>
      </c>
      <c r="E100" s="2">
        <v>4176</v>
      </c>
      <c r="F100" s="2">
        <v>4172</v>
      </c>
      <c r="G100" s="2">
        <v>1498</v>
      </c>
      <c r="H100" s="2">
        <v>1603</v>
      </c>
      <c r="I100" s="2">
        <v>2852</v>
      </c>
      <c r="J100" s="2">
        <v>2998</v>
      </c>
      <c r="K100" s="2">
        <v>32846</v>
      </c>
      <c r="L100" s="2">
        <v>41372</v>
      </c>
      <c r="M100" s="2">
        <v>2181</v>
      </c>
      <c r="N100" s="2">
        <v>2289</v>
      </c>
      <c r="O100" s="2">
        <v>3086</v>
      </c>
      <c r="P100" s="2">
        <v>3241</v>
      </c>
      <c r="Q100" s="2">
        <v>90661</v>
      </c>
      <c r="R100" s="2">
        <v>80973</v>
      </c>
      <c r="S100" s="2">
        <v>2618</v>
      </c>
      <c r="T100" s="2">
        <v>2767</v>
      </c>
      <c r="U100" s="2"/>
      <c r="V100" s="5">
        <f t="shared" si="3"/>
        <v>2.7877169559412551</v>
      </c>
      <c r="W100" s="5">
        <f t="shared" si="4"/>
        <v>15.060064190738194</v>
      </c>
      <c r="X100" s="5">
        <f t="shared" si="5"/>
        <v>34.629870129870127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618</v>
      </c>
      <c r="D101" s="2">
        <v>674</v>
      </c>
      <c r="E101" s="2">
        <v>1168</v>
      </c>
      <c r="F101" s="2">
        <v>1540</v>
      </c>
      <c r="G101" s="2">
        <v>395</v>
      </c>
      <c r="H101" s="2">
        <v>740</v>
      </c>
      <c r="I101" s="2">
        <v>772</v>
      </c>
      <c r="J101" s="2">
        <v>879</v>
      </c>
      <c r="K101" s="2">
        <v>9108</v>
      </c>
      <c r="L101" s="2">
        <v>10617</v>
      </c>
      <c r="M101" s="2">
        <v>610</v>
      </c>
      <c r="N101" s="2">
        <v>680</v>
      </c>
      <c r="O101" s="2">
        <v>825</v>
      </c>
      <c r="P101" s="2">
        <v>962</v>
      </c>
      <c r="Q101" s="2">
        <v>24570</v>
      </c>
      <c r="R101" s="2">
        <v>23036</v>
      </c>
      <c r="S101" s="2">
        <v>695</v>
      </c>
      <c r="T101" s="2">
        <v>816</v>
      </c>
      <c r="U101" s="2"/>
      <c r="V101" s="5">
        <f t="shared" si="3"/>
        <v>2.9569620253164559</v>
      </c>
      <c r="W101" s="5">
        <f t="shared" si="4"/>
        <v>14.931147540983607</v>
      </c>
      <c r="X101" s="5">
        <f t="shared" si="5"/>
        <v>35.352517985611513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202</v>
      </c>
      <c r="D102" s="2">
        <v>168</v>
      </c>
      <c r="E102" s="2">
        <v>427</v>
      </c>
      <c r="F102" s="2">
        <v>400</v>
      </c>
      <c r="G102" s="2">
        <v>89</v>
      </c>
      <c r="H102" s="2">
        <v>108</v>
      </c>
      <c r="I102" s="2">
        <v>182</v>
      </c>
      <c r="J102" s="2">
        <v>207</v>
      </c>
      <c r="K102" s="2">
        <v>1913</v>
      </c>
      <c r="L102" s="2">
        <v>2228</v>
      </c>
      <c r="M102" s="2">
        <v>136</v>
      </c>
      <c r="N102" s="2">
        <v>161</v>
      </c>
      <c r="O102" s="2">
        <v>192</v>
      </c>
      <c r="P102" s="2">
        <v>222</v>
      </c>
      <c r="Q102" s="2">
        <v>3564</v>
      </c>
      <c r="R102" s="2">
        <v>3511</v>
      </c>
      <c r="S102" s="2">
        <v>149</v>
      </c>
      <c r="T102" s="2">
        <v>184</v>
      </c>
      <c r="U102" s="2"/>
      <c r="V102" s="5">
        <f t="shared" si="3"/>
        <v>4.797752808988764</v>
      </c>
      <c r="W102" s="5">
        <f t="shared" si="4"/>
        <v>14.066176470588236</v>
      </c>
      <c r="X102" s="5">
        <f t="shared" si="5"/>
        <v>23.919463087248321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58</v>
      </c>
      <c r="D103" s="2">
        <v>51</v>
      </c>
      <c r="E103" s="2">
        <v>141</v>
      </c>
      <c r="F103" s="2">
        <v>129</v>
      </c>
      <c r="G103" s="2">
        <v>33</v>
      </c>
      <c r="H103" s="2">
        <v>34</v>
      </c>
      <c r="I103" s="2">
        <v>74</v>
      </c>
      <c r="J103" s="2">
        <v>85</v>
      </c>
      <c r="K103" s="2">
        <v>773</v>
      </c>
      <c r="L103" s="2">
        <v>1014</v>
      </c>
      <c r="M103" s="2">
        <v>72</v>
      </c>
      <c r="N103" s="2">
        <v>56</v>
      </c>
      <c r="O103" s="2">
        <v>81</v>
      </c>
      <c r="P103" s="2">
        <v>85</v>
      </c>
      <c r="Q103" s="2">
        <v>2503</v>
      </c>
      <c r="R103" s="2">
        <v>2565</v>
      </c>
      <c r="S103" s="2">
        <v>62</v>
      </c>
      <c r="T103" s="2">
        <v>64</v>
      </c>
      <c r="U103" s="2"/>
      <c r="V103" s="5">
        <f t="shared" si="3"/>
        <v>4.2727272727272725</v>
      </c>
      <c r="W103" s="5">
        <f t="shared" si="4"/>
        <v>10.736111111111111</v>
      </c>
      <c r="X103" s="5">
        <f t="shared" si="5"/>
        <v>40.37096774193548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1077</v>
      </c>
      <c r="D104" s="2">
        <v>1222</v>
      </c>
      <c r="E104" s="2">
        <v>1834</v>
      </c>
      <c r="F104" s="2">
        <v>1931</v>
      </c>
      <c r="G104" s="2">
        <v>790</v>
      </c>
      <c r="H104" s="2">
        <v>894</v>
      </c>
      <c r="I104" s="2">
        <v>1417</v>
      </c>
      <c r="J104" s="2">
        <v>1688</v>
      </c>
      <c r="K104" s="2">
        <v>10509</v>
      </c>
      <c r="L104" s="2">
        <v>16402</v>
      </c>
      <c r="M104" s="2">
        <v>1109</v>
      </c>
      <c r="N104" s="2">
        <v>1261</v>
      </c>
      <c r="O104" s="2">
        <v>1496</v>
      </c>
      <c r="P104" s="2">
        <v>1760</v>
      </c>
      <c r="Q104" s="2">
        <v>33012</v>
      </c>
      <c r="R104" s="2">
        <v>27972</v>
      </c>
      <c r="S104" s="2">
        <v>1289</v>
      </c>
      <c r="T104" s="2">
        <v>1623</v>
      </c>
      <c r="U104" s="2"/>
      <c r="V104" s="5">
        <f t="shared" si="3"/>
        <v>2.3215189873417721</v>
      </c>
      <c r="W104" s="5">
        <f t="shared" si="4"/>
        <v>9.4761045987376011</v>
      </c>
      <c r="X104" s="5">
        <f t="shared" si="5"/>
        <v>25.610550814584951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9035</v>
      </c>
      <c r="D105" s="2">
        <v>10991</v>
      </c>
      <c r="E105" s="2">
        <v>19886</v>
      </c>
      <c r="F105" s="2">
        <v>22323</v>
      </c>
      <c r="G105" s="2">
        <v>6239</v>
      </c>
      <c r="H105" s="2">
        <v>7508</v>
      </c>
      <c r="I105" s="2">
        <v>17628</v>
      </c>
      <c r="J105" s="2">
        <v>22151</v>
      </c>
      <c r="K105" s="2">
        <v>142243</v>
      </c>
      <c r="L105" s="2">
        <v>170498</v>
      </c>
      <c r="M105" s="2">
        <v>13208</v>
      </c>
      <c r="N105" s="2">
        <v>16584</v>
      </c>
      <c r="O105" s="2">
        <v>21451</v>
      </c>
      <c r="P105" s="2">
        <v>25637</v>
      </c>
      <c r="Q105" s="2">
        <v>316843</v>
      </c>
      <c r="R105" s="2">
        <v>357167</v>
      </c>
      <c r="S105" s="2">
        <v>17845</v>
      </c>
      <c r="T105" s="2">
        <v>23114</v>
      </c>
      <c r="U105" s="2"/>
      <c r="V105" s="5">
        <f t="shared" si="3"/>
        <v>3.187369770796602</v>
      </c>
      <c r="W105" s="5">
        <f t="shared" si="4"/>
        <v>10.769457904300424</v>
      </c>
      <c r="X105" s="5">
        <f t="shared" si="5"/>
        <v>17.755281591482209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4015</v>
      </c>
      <c r="D106" s="2">
        <v>5040</v>
      </c>
      <c r="E106" s="2">
        <v>5749</v>
      </c>
      <c r="F106" s="2">
        <v>6625</v>
      </c>
      <c r="G106" s="2">
        <v>2887</v>
      </c>
      <c r="H106" s="2">
        <v>3338</v>
      </c>
      <c r="I106" s="2">
        <v>9310</v>
      </c>
      <c r="J106" s="2">
        <v>12342</v>
      </c>
      <c r="K106" s="2">
        <v>38412</v>
      </c>
      <c r="L106" s="2">
        <v>48996</v>
      </c>
      <c r="M106" s="2">
        <v>6818</v>
      </c>
      <c r="N106" s="2">
        <v>9038</v>
      </c>
      <c r="O106" s="2">
        <v>11593</v>
      </c>
      <c r="P106" s="2">
        <v>14994</v>
      </c>
      <c r="Q106" s="2">
        <v>106364</v>
      </c>
      <c r="R106" s="2">
        <v>96201</v>
      </c>
      <c r="S106" s="2">
        <v>9263</v>
      </c>
      <c r="T106" s="2">
        <v>12096</v>
      </c>
      <c r="U106" s="2"/>
      <c r="V106" s="5">
        <f t="shared" si="3"/>
        <v>1.9913404918600623</v>
      </c>
      <c r="W106" s="5">
        <f t="shared" si="4"/>
        <v>5.6339102376063366</v>
      </c>
      <c r="X106" s="5">
        <f t="shared" si="5"/>
        <v>11.482673000107956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3.3751359208833551</v>
      </c>
      <c r="W107" s="8">
        <f t="shared" ref="W107:X107" si="6">AVERAGE(W2:W106)</f>
        <v>15.657177513349479</v>
      </c>
      <c r="X107" s="8">
        <f t="shared" si="6"/>
        <v>27.685042869343896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3" activePane="bottomLeft" state="frozen"/>
      <selection pane="bottomLeft" activeCell="A76" sqref="A76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9" t="s">
        <v>109</v>
      </c>
      <c r="C1" s="9"/>
      <c r="D1" s="9"/>
      <c r="E1" s="9"/>
      <c r="F1" s="9" t="s">
        <v>110</v>
      </c>
      <c r="G1" s="9"/>
      <c r="H1" s="9"/>
      <c r="I1" s="9"/>
      <c r="J1" s="9" t="s">
        <v>111</v>
      </c>
      <c r="K1" s="9"/>
      <c r="L1" s="9"/>
      <c r="M1" s="9"/>
      <c r="N1" s="9" t="s">
        <v>112</v>
      </c>
      <c r="O1" s="9"/>
      <c r="P1" s="9"/>
      <c r="Q1" s="9"/>
      <c r="R1" s="9" t="s">
        <v>113</v>
      </c>
      <c r="S1" s="9"/>
      <c r="T1" s="9"/>
      <c r="U1" s="9"/>
      <c r="W1" s="9" t="s">
        <v>109</v>
      </c>
      <c r="X1" s="9"/>
      <c r="Y1" s="9"/>
      <c r="Z1" s="9"/>
      <c r="AA1" s="9" t="s">
        <v>115</v>
      </c>
      <c r="AB1" s="9"/>
      <c r="AC1" s="9"/>
      <c r="AD1" s="9"/>
      <c r="AE1" s="9" t="s">
        <v>116</v>
      </c>
      <c r="AF1" s="9"/>
      <c r="AG1" s="9"/>
      <c r="AH1" s="9"/>
      <c r="AI1" s="9" t="s">
        <v>117</v>
      </c>
      <c r="AJ1" s="9"/>
      <c r="AK1" s="9"/>
      <c r="AL1" s="9"/>
      <c r="AM1" s="9" t="s">
        <v>118</v>
      </c>
      <c r="AN1" s="9"/>
      <c r="AO1" s="9"/>
      <c r="AP1" s="9"/>
      <c r="AR1" s="9" t="s">
        <v>110</v>
      </c>
      <c r="AS1" s="9"/>
      <c r="AT1" s="9"/>
      <c r="AU1" s="9"/>
      <c r="AV1" s="9" t="s">
        <v>115</v>
      </c>
      <c r="AW1" s="9"/>
      <c r="AX1" s="9"/>
      <c r="AY1" s="9"/>
      <c r="AZ1" s="9" t="s">
        <v>119</v>
      </c>
      <c r="BA1" s="9"/>
      <c r="BB1" s="9"/>
      <c r="BC1" s="9"/>
      <c r="BD1" s="9" t="s">
        <v>120</v>
      </c>
      <c r="BE1" s="9"/>
      <c r="BF1" s="9"/>
      <c r="BG1" s="9"/>
      <c r="BH1" s="9" t="s">
        <v>121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9" t="s">
        <v>123</v>
      </c>
      <c r="C1" s="9"/>
      <c r="D1" s="9"/>
      <c r="E1" s="9"/>
      <c r="F1" s="9" t="s">
        <v>124</v>
      </c>
      <c r="G1" s="9"/>
      <c r="H1" s="9"/>
      <c r="I1" s="9"/>
      <c r="J1" s="9" t="s">
        <v>125</v>
      </c>
      <c r="K1" s="9"/>
      <c r="L1" s="9"/>
      <c r="M1" s="9"/>
      <c r="N1" s="9" t="s">
        <v>126</v>
      </c>
      <c r="O1" s="9"/>
      <c r="P1" s="9"/>
      <c r="Q1" s="9"/>
      <c r="R1" s="9" t="s">
        <v>127</v>
      </c>
      <c r="S1" s="9"/>
      <c r="T1" s="9"/>
      <c r="U1" s="9"/>
      <c r="W1" s="9" t="s">
        <v>123</v>
      </c>
      <c r="X1" s="9"/>
      <c r="Y1" s="9"/>
      <c r="Z1" s="9"/>
      <c r="AA1" s="9" t="s">
        <v>128</v>
      </c>
      <c r="AB1" s="9"/>
      <c r="AC1" s="9"/>
      <c r="AD1" s="9"/>
      <c r="AE1" s="9" t="s">
        <v>129</v>
      </c>
      <c r="AF1" s="9"/>
      <c r="AG1" s="9"/>
      <c r="AH1" s="9"/>
      <c r="AI1" s="9" t="s">
        <v>130</v>
      </c>
      <c r="AJ1" s="9"/>
      <c r="AK1" s="9"/>
      <c r="AL1" s="9"/>
      <c r="AM1" s="9" t="s">
        <v>131</v>
      </c>
      <c r="AN1" s="9"/>
      <c r="AO1" s="9"/>
      <c r="AP1" s="9"/>
      <c r="AR1" s="9" t="s">
        <v>124</v>
      </c>
      <c r="AS1" s="9"/>
      <c r="AT1" s="9"/>
      <c r="AU1" s="9"/>
      <c r="AV1" s="9" t="s">
        <v>128</v>
      </c>
      <c r="AW1" s="9"/>
      <c r="AX1" s="9"/>
      <c r="AY1" s="9"/>
      <c r="AZ1" s="9" t="s">
        <v>132</v>
      </c>
      <c r="BA1" s="9"/>
      <c r="BB1" s="9"/>
      <c r="BC1" s="9"/>
      <c r="BD1" s="9" t="s">
        <v>133</v>
      </c>
      <c r="BE1" s="9"/>
      <c r="BF1" s="9"/>
      <c r="BG1" s="9"/>
      <c r="BH1" s="9" t="s">
        <v>134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R1:AU1"/>
    <mergeCell ref="AV1:AY1"/>
    <mergeCell ref="AZ1:BC1"/>
    <mergeCell ref="BD1:BG1"/>
    <mergeCell ref="BH1:BK1"/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9" t="s">
        <v>135</v>
      </c>
      <c r="C1" s="9"/>
      <c r="D1" s="9"/>
      <c r="E1" s="9"/>
      <c r="F1" s="9" t="s">
        <v>136</v>
      </c>
      <c r="G1" s="9"/>
      <c r="H1" s="9"/>
      <c r="I1" s="9"/>
      <c r="J1" s="9" t="s">
        <v>137</v>
      </c>
      <c r="K1" s="9"/>
      <c r="L1" s="9"/>
      <c r="M1" s="9"/>
      <c r="N1" s="9" t="s">
        <v>138</v>
      </c>
      <c r="O1" s="9"/>
      <c r="P1" s="9"/>
      <c r="Q1" s="9"/>
      <c r="R1" s="9" t="s">
        <v>139</v>
      </c>
      <c r="S1" s="9"/>
      <c r="T1" s="9"/>
      <c r="U1" s="9"/>
      <c r="W1" s="9" t="s">
        <v>135</v>
      </c>
      <c r="X1" s="9"/>
      <c r="Y1" s="9"/>
      <c r="Z1" s="9"/>
      <c r="AA1" s="9" t="s">
        <v>140</v>
      </c>
      <c r="AB1" s="9"/>
      <c r="AC1" s="9"/>
      <c r="AD1" s="9"/>
      <c r="AE1" s="9" t="s">
        <v>141</v>
      </c>
      <c r="AF1" s="9"/>
      <c r="AG1" s="9"/>
      <c r="AH1" s="9"/>
      <c r="AI1" s="9" t="s">
        <v>142</v>
      </c>
      <c r="AJ1" s="9"/>
      <c r="AK1" s="9"/>
      <c r="AL1" s="9"/>
      <c r="AM1" s="9" t="s">
        <v>143</v>
      </c>
      <c r="AN1" s="9"/>
      <c r="AO1" s="9"/>
      <c r="AP1" s="9"/>
      <c r="AR1" s="9" t="s">
        <v>136</v>
      </c>
      <c r="AS1" s="9"/>
      <c r="AT1" s="9"/>
      <c r="AU1" s="9"/>
      <c r="AV1" s="9" t="s">
        <v>140</v>
      </c>
      <c r="AW1" s="9"/>
      <c r="AX1" s="9"/>
      <c r="AY1" s="9"/>
      <c r="AZ1" s="9" t="s">
        <v>144</v>
      </c>
      <c r="BA1" s="9"/>
      <c r="BB1" s="9"/>
      <c r="BC1" s="9"/>
      <c r="BD1" s="9" t="s">
        <v>145</v>
      </c>
      <c r="BE1" s="9"/>
      <c r="BF1" s="9"/>
      <c r="BG1" s="9"/>
      <c r="BH1" s="9" t="s">
        <v>146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110</v>
      </c>
      <c r="D2" s="4">
        <v>109</v>
      </c>
      <c r="E2" s="4">
        <v>516</v>
      </c>
      <c r="F2" s="4">
        <v>474</v>
      </c>
      <c r="G2" s="4">
        <v>126</v>
      </c>
      <c r="H2" s="4">
        <v>92</v>
      </c>
      <c r="I2" s="4">
        <v>139</v>
      </c>
      <c r="J2" s="4">
        <v>155</v>
      </c>
      <c r="K2" s="4">
        <v>709</v>
      </c>
      <c r="L2" s="4">
        <v>655</v>
      </c>
      <c r="M2" s="4">
        <v>113</v>
      </c>
      <c r="N2" s="4">
        <v>115</v>
      </c>
      <c r="O2" s="4">
        <v>181</v>
      </c>
      <c r="P2" s="4">
        <v>178</v>
      </c>
      <c r="Q2" s="4">
        <v>2332</v>
      </c>
      <c r="R2" s="4">
        <v>2109</v>
      </c>
      <c r="S2" s="4">
        <v>129</v>
      </c>
      <c r="T2" s="4">
        <v>129</v>
      </c>
      <c r="U2" s="4"/>
      <c r="V2" s="5">
        <f>E2/G2</f>
        <v>4.0952380952380949</v>
      </c>
      <c r="W2" s="5">
        <f>K2/M2</f>
        <v>6.2743362831858409</v>
      </c>
      <c r="X2" s="5">
        <f>Q2/S2</f>
        <v>18.077519379844961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113</v>
      </c>
      <c r="D3" s="4">
        <v>113</v>
      </c>
      <c r="E3" s="4">
        <v>511</v>
      </c>
      <c r="F3" s="4">
        <v>460</v>
      </c>
      <c r="G3" s="4">
        <v>85</v>
      </c>
      <c r="H3" s="4">
        <v>86</v>
      </c>
      <c r="I3" s="4">
        <v>157</v>
      </c>
      <c r="J3" s="4">
        <v>164</v>
      </c>
      <c r="K3" s="4">
        <v>664</v>
      </c>
      <c r="L3" s="4">
        <v>782</v>
      </c>
      <c r="M3" s="4">
        <v>110</v>
      </c>
      <c r="N3" s="4">
        <v>116</v>
      </c>
      <c r="O3" s="4">
        <v>181</v>
      </c>
      <c r="P3" s="4">
        <v>229</v>
      </c>
      <c r="Q3" s="4">
        <v>2253</v>
      </c>
      <c r="R3" s="4">
        <v>2242</v>
      </c>
      <c r="S3" s="4">
        <v>128</v>
      </c>
      <c r="T3" s="4">
        <v>131</v>
      </c>
      <c r="U3" s="4"/>
      <c r="V3" s="5">
        <f t="shared" ref="V3:V66" si="0">E3/G3</f>
        <v>6.0117647058823529</v>
      </c>
      <c r="W3" s="5">
        <f t="shared" ref="W3:W66" si="1">K3/M3</f>
        <v>6.0363636363636362</v>
      </c>
      <c r="X3" s="5">
        <f t="shared" ref="X3:X66" si="2">Q3/S3</f>
        <v>17.6015625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161</v>
      </c>
      <c r="D4" s="4">
        <v>172</v>
      </c>
      <c r="E4" s="4">
        <v>691</v>
      </c>
      <c r="F4" s="4">
        <v>581</v>
      </c>
      <c r="G4" s="4">
        <v>118</v>
      </c>
      <c r="H4" s="4">
        <v>136</v>
      </c>
      <c r="I4" s="4">
        <v>198</v>
      </c>
      <c r="J4" s="4">
        <v>208</v>
      </c>
      <c r="K4" s="4">
        <v>1006</v>
      </c>
      <c r="L4" s="4">
        <v>1025</v>
      </c>
      <c r="M4" s="4">
        <v>162</v>
      </c>
      <c r="N4" s="4">
        <v>167</v>
      </c>
      <c r="O4" s="4">
        <v>235</v>
      </c>
      <c r="P4" s="4">
        <v>256</v>
      </c>
      <c r="Q4" s="4">
        <v>2670</v>
      </c>
      <c r="R4" s="4">
        <v>2523</v>
      </c>
      <c r="S4" s="4">
        <v>246</v>
      </c>
      <c r="T4" s="4">
        <v>189</v>
      </c>
      <c r="U4" s="4"/>
      <c r="V4" s="5">
        <f t="shared" si="0"/>
        <v>5.8559322033898304</v>
      </c>
      <c r="W4" s="5">
        <f t="shared" si="1"/>
        <v>6.2098765432098766</v>
      </c>
      <c r="X4" s="5">
        <f t="shared" si="2"/>
        <v>10.853658536585366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283</v>
      </c>
      <c r="D5" s="4">
        <v>307</v>
      </c>
      <c r="E5" s="4">
        <v>800</v>
      </c>
      <c r="F5" s="4">
        <v>877</v>
      </c>
      <c r="G5" s="4">
        <v>244</v>
      </c>
      <c r="H5" s="4">
        <v>260</v>
      </c>
      <c r="I5" s="4">
        <v>339</v>
      </c>
      <c r="J5" s="4">
        <v>348</v>
      </c>
      <c r="K5" s="4">
        <v>1599</v>
      </c>
      <c r="L5" s="4">
        <v>1436</v>
      </c>
      <c r="M5" s="4">
        <v>295</v>
      </c>
      <c r="N5" s="4">
        <v>328</v>
      </c>
      <c r="O5" s="4">
        <v>402</v>
      </c>
      <c r="P5" s="4">
        <v>441</v>
      </c>
      <c r="Q5" s="4">
        <v>6845</v>
      </c>
      <c r="R5" s="4">
        <v>6129</v>
      </c>
      <c r="S5" s="4">
        <v>319</v>
      </c>
      <c r="T5" s="4">
        <v>425</v>
      </c>
      <c r="U5" s="4"/>
      <c r="V5" s="5">
        <f t="shared" si="0"/>
        <v>3.278688524590164</v>
      </c>
      <c r="W5" s="5">
        <f t="shared" si="1"/>
        <v>5.420338983050847</v>
      </c>
      <c r="X5" s="5">
        <f t="shared" si="2"/>
        <v>21.457680250783699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76</v>
      </c>
      <c r="D6" s="4">
        <v>74</v>
      </c>
      <c r="E6" s="4">
        <v>353</v>
      </c>
      <c r="F6" s="4">
        <v>309</v>
      </c>
      <c r="G6" s="4">
        <v>98</v>
      </c>
      <c r="H6" s="4">
        <v>83</v>
      </c>
      <c r="I6" s="4">
        <v>94</v>
      </c>
      <c r="J6" s="4">
        <v>99</v>
      </c>
      <c r="K6" s="4">
        <v>395</v>
      </c>
      <c r="L6" s="4">
        <v>444</v>
      </c>
      <c r="M6" s="4">
        <v>75</v>
      </c>
      <c r="N6" s="4">
        <v>73</v>
      </c>
      <c r="O6" s="4">
        <v>109</v>
      </c>
      <c r="P6" s="4">
        <v>109</v>
      </c>
      <c r="Q6" s="4">
        <v>1165</v>
      </c>
      <c r="R6" s="4">
        <v>1481</v>
      </c>
      <c r="S6" s="4">
        <v>84</v>
      </c>
      <c r="T6" s="4">
        <v>90</v>
      </c>
      <c r="U6" s="4"/>
      <c r="V6" s="5">
        <f t="shared" si="0"/>
        <v>3.6020408163265305</v>
      </c>
      <c r="W6" s="5">
        <f t="shared" si="1"/>
        <v>5.2666666666666666</v>
      </c>
      <c r="X6" s="5">
        <f t="shared" si="2"/>
        <v>13.869047619047619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265</v>
      </c>
      <c r="D7" s="4">
        <v>295</v>
      </c>
      <c r="E7" s="4">
        <v>690</v>
      </c>
      <c r="F7" s="4">
        <v>773</v>
      </c>
      <c r="G7" s="4">
        <v>201</v>
      </c>
      <c r="H7" s="4">
        <v>238</v>
      </c>
      <c r="I7" s="4">
        <v>313</v>
      </c>
      <c r="J7" s="4">
        <v>344</v>
      </c>
      <c r="K7" s="4">
        <v>1052</v>
      </c>
      <c r="L7" s="4">
        <v>1546</v>
      </c>
      <c r="M7" s="4">
        <v>261</v>
      </c>
      <c r="N7" s="4">
        <v>298</v>
      </c>
      <c r="O7" s="4">
        <v>356</v>
      </c>
      <c r="P7" s="4">
        <v>416</v>
      </c>
      <c r="Q7" s="4">
        <v>3714</v>
      </c>
      <c r="R7" s="4">
        <v>3393</v>
      </c>
      <c r="S7" s="4">
        <v>290</v>
      </c>
      <c r="T7" s="4">
        <v>336</v>
      </c>
      <c r="U7" s="4"/>
      <c r="V7" s="5">
        <f t="shared" si="0"/>
        <v>3.4328358208955225</v>
      </c>
      <c r="W7" s="5">
        <f t="shared" si="1"/>
        <v>4.0306513409961688</v>
      </c>
      <c r="X7" s="5">
        <f t="shared" si="2"/>
        <v>12.806896551724138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1030</v>
      </c>
      <c r="D8" s="4">
        <v>2173</v>
      </c>
      <c r="E8" s="4">
        <v>6377</v>
      </c>
      <c r="F8" s="4">
        <v>12146</v>
      </c>
      <c r="G8" s="4">
        <v>771</v>
      </c>
      <c r="H8" s="4">
        <v>1692</v>
      </c>
      <c r="I8" s="4">
        <v>1222</v>
      </c>
      <c r="J8" s="4">
        <v>2610</v>
      </c>
      <c r="K8" s="4">
        <v>11359</v>
      </c>
      <c r="L8" s="4">
        <v>17818</v>
      </c>
      <c r="M8" s="4">
        <v>1065</v>
      </c>
      <c r="N8" s="4">
        <v>2123</v>
      </c>
      <c r="O8" s="4">
        <v>1376</v>
      </c>
      <c r="P8" s="4">
        <v>3074</v>
      </c>
      <c r="Q8" s="4">
        <v>38730</v>
      </c>
      <c r="R8" s="4">
        <v>61272</v>
      </c>
      <c r="S8" s="4">
        <v>1221</v>
      </c>
      <c r="T8" s="4">
        <v>2548</v>
      </c>
      <c r="U8" s="4"/>
      <c r="V8" s="5">
        <f t="shared" si="0"/>
        <v>8.2710765239948127</v>
      </c>
      <c r="W8" s="5">
        <f t="shared" si="1"/>
        <v>10.665727699530516</v>
      </c>
      <c r="X8" s="5">
        <f t="shared" si="2"/>
        <v>31.719901719901721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478</v>
      </c>
      <c r="D9" s="4">
        <v>510</v>
      </c>
      <c r="E9" s="4">
        <v>1691</v>
      </c>
      <c r="F9" s="4">
        <v>1907</v>
      </c>
      <c r="G9" s="4">
        <v>374</v>
      </c>
      <c r="H9" s="4">
        <v>408</v>
      </c>
      <c r="I9" s="4">
        <v>557</v>
      </c>
      <c r="J9" s="4">
        <v>586</v>
      </c>
      <c r="K9" s="4">
        <v>2914</v>
      </c>
      <c r="L9" s="4">
        <v>3010</v>
      </c>
      <c r="M9" s="4">
        <v>463</v>
      </c>
      <c r="N9" s="4">
        <v>468</v>
      </c>
      <c r="O9" s="4">
        <v>643</v>
      </c>
      <c r="P9" s="4">
        <v>676</v>
      </c>
      <c r="Q9" s="4">
        <v>9511</v>
      </c>
      <c r="R9" s="4">
        <v>9968</v>
      </c>
      <c r="S9" s="4">
        <v>538</v>
      </c>
      <c r="T9" s="4">
        <v>585</v>
      </c>
      <c r="U9" s="4"/>
      <c r="V9" s="5">
        <f t="shared" si="0"/>
        <v>4.5213903743315509</v>
      </c>
      <c r="W9" s="5">
        <f t="shared" si="1"/>
        <v>6.2937365010799136</v>
      </c>
      <c r="X9" s="5">
        <f t="shared" si="2"/>
        <v>17.678438661710036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1266</v>
      </c>
      <c r="D10" s="4">
        <v>1661</v>
      </c>
      <c r="E10" s="4">
        <v>5764</v>
      </c>
      <c r="F10" s="4">
        <v>6315</v>
      </c>
      <c r="G10" s="4">
        <v>967</v>
      </c>
      <c r="H10" s="4">
        <v>1295</v>
      </c>
      <c r="I10" s="4">
        <v>1757</v>
      </c>
      <c r="J10" s="4">
        <v>2342</v>
      </c>
      <c r="K10" s="4">
        <v>9822</v>
      </c>
      <c r="L10" s="4">
        <v>11374</v>
      </c>
      <c r="M10" s="4">
        <v>1371</v>
      </c>
      <c r="N10" s="4">
        <v>1729</v>
      </c>
      <c r="O10" s="4">
        <v>2298</v>
      </c>
      <c r="P10" s="4">
        <v>3059</v>
      </c>
      <c r="Q10" s="4">
        <v>30499</v>
      </c>
      <c r="R10" s="4">
        <v>31633</v>
      </c>
      <c r="S10" s="4">
        <v>1902</v>
      </c>
      <c r="T10" s="4">
        <v>2428</v>
      </c>
      <c r="U10" s="4"/>
      <c r="V10" s="5">
        <f t="shared" si="0"/>
        <v>5.9607032057911065</v>
      </c>
      <c r="W10" s="5">
        <f t="shared" si="1"/>
        <v>7.1641137855579871</v>
      </c>
      <c r="X10" s="5">
        <f t="shared" si="2"/>
        <v>16.03522607781283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20</v>
      </c>
      <c r="D11" s="4">
        <v>20</v>
      </c>
      <c r="E11" s="4">
        <v>107</v>
      </c>
      <c r="F11" s="4">
        <v>109</v>
      </c>
      <c r="G11" s="4">
        <v>16</v>
      </c>
      <c r="H11" s="4">
        <v>16</v>
      </c>
      <c r="I11" s="4">
        <v>26</v>
      </c>
      <c r="J11" s="4">
        <v>25</v>
      </c>
      <c r="K11" s="4">
        <v>203</v>
      </c>
      <c r="L11" s="4">
        <v>197</v>
      </c>
      <c r="M11" s="4">
        <v>22</v>
      </c>
      <c r="N11" s="4">
        <v>20</v>
      </c>
      <c r="O11" s="4">
        <v>30</v>
      </c>
      <c r="P11" s="4">
        <v>31</v>
      </c>
      <c r="Q11" s="4">
        <v>425</v>
      </c>
      <c r="R11" s="4">
        <v>436</v>
      </c>
      <c r="S11" s="4">
        <v>24</v>
      </c>
      <c r="T11" s="4">
        <v>23</v>
      </c>
      <c r="U11" s="4"/>
      <c r="V11" s="5">
        <f t="shared" si="0"/>
        <v>6.6875</v>
      </c>
      <c r="W11" s="5">
        <f t="shared" si="1"/>
        <v>9.2272727272727266</v>
      </c>
      <c r="X11" s="5">
        <f t="shared" si="2"/>
        <v>17.708333333333332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20</v>
      </c>
      <c r="D12" s="4">
        <v>20</v>
      </c>
      <c r="E12" s="4">
        <v>90</v>
      </c>
      <c r="F12" s="4">
        <v>135</v>
      </c>
      <c r="G12" s="4">
        <v>16</v>
      </c>
      <c r="H12" s="4">
        <v>16</v>
      </c>
      <c r="I12" s="4">
        <v>25</v>
      </c>
      <c r="J12" s="4">
        <v>25</v>
      </c>
      <c r="K12" s="4">
        <v>221</v>
      </c>
      <c r="L12" s="4">
        <v>217</v>
      </c>
      <c r="M12" s="4">
        <v>20</v>
      </c>
      <c r="N12" s="4">
        <v>19</v>
      </c>
      <c r="O12" s="4">
        <v>30</v>
      </c>
      <c r="P12" s="4">
        <v>29</v>
      </c>
      <c r="Q12" s="4">
        <v>475</v>
      </c>
      <c r="R12" s="4">
        <v>456</v>
      </c>
      <c r="S12" s="4">
        <v>25</v>
      </c>
      <c r="T12" s="4">
        <v>24</v>
      </c>
      <c r="U12" s="4"/>
      <c r="V12" s="5">
        <f t="shared" si="0"/>
        <v>5.625</v>
      </c>
      <c r="W12" s="5">
        <f t="shared" si="1"/>
        <v>11.05</v>
      </c>
      <c r="X12" s="5">
        <f t="shared" si="2"/>
        <v>19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77</v>
      </c>
      <c r="D13" s="4">
        <v>82</v>
      </c>
      <c r="E13" s="4">
        <v>401</v>
      </c>
      <c r="F13" s="4">
        <v>343</v>
      </c>
      <c r="G13" s="4">
        <v>62</v>
      </c>
      <c r="H13" s="4">
        <v>62</v>
      </c>
      <c r="I13" s="4">
        <v>96</v>
      </c>
      <c r="J13" s="4">
        <v>101</v>
      </c>
      <c r="K13" s="4">
        <v>417</v>
      </c>
      <c r="L13" s="4">
        <v>386</v>
      </c>
      <c r="M13" s="4">
        <v>79</v>
      </c>
      <c r="N13" s="4">
        <v>82</v>
      </c>
      <c r="O13" s="4">
        <v>122</v>
      </c>
      <c r="P13" s="4">
        <v>123</v>
      </c>
      <c r="Q13" s="4">
        <v>1309</v>
      </c>
      <c r="R13" s="4">
        <v>1312</v>
      </c>
      <c r="S13" s="4">
        <v>94</v>
      </c>
      <c r="T13" s="4">
        <v>93</v>
      </c>
      <c r="U13" s="4"/>
      <c r="V13" s="5">
        <f t="shared" si="0"/>
        <v>6.467741935483871</v>
      </c>
      <c r="W13" s="5">
        <f t="shared" si="1"/>
        <v>5.2784810126582276</v>
      </c>
      <c r="X13" s="5">
        <f t="shared" si="2"/>
        <v>13.925531914893616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21</v>
      </c>
      <c r="D14" s="4">
        <v>21</v>
      </c>
      <c r="E14" s="4">
        <v>107</v>
      </c>
      <c r="F14" s="4">
        <v>135</v>
      </c>
      <c r="G14" s="4">
        <v>16</v>
      </c>
      <c r="H14" s="4">
        <v>16</v>
      </c>
      <c r="I14" s="4">
        <v>25</v>
      </c>
      <c r="J14" s="4">
        <v>25</v>
      </c>
      <c r="K14" s="4">
        <v>231</v>
      </c>
      <c r="L14" s="4">
        <v>236</v>
      </c>
      <c r="M14" s="4">
        <v>20</v>
      </c>
      <c r="N14" s="4">
        <v>21</v>
      </c>
      <c r="O14" s="4">
        <v>31</v>
      </c>
      <c r="P14" s="4">
        <v>31</v>
      </c>
      <c r="Q14" s="4">
        <v>299</v>
      </c>
      <c r="R14" s="4">
        <v>318</v>
      </c>
      <c r="S14" s="4">
        <v>24</v>
      </c>
      <c r="T14" s="4">
        <v>25</v>
      </c>
      <c r="U14" s="4"/>
      <c r="V14" s="5">
        <f t="shared" si="0"/>
        <v>6.6875</v>
      </c>
      <c r="W14" s="5">
        <f t="shared" si="1"/>
        <v>11.55</v>
      </c>
      <c r="X14" s="5">
        <f t="shared" si="2"/>
        <v>12.458333333333334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1848</v>
      </c>
      <c r="D15" s="4">
        <v>2323</v>
      </c>
      <c r="E15" s="4">
        <v>4967</v>
      </c>
      <c r="F15" s="4">
        <v>6391</v>
      </c>
      <c r="G15" s="4">
        <v>1459</v>
      </c>
      <c r="H15" s="4">
        <v>1822</v>
      </c>
      <c r="I15" s="4">
        <v>2616</v>
      </c>
      <c r="J15" s="4">
        <v>3280</v>
      </c>
      <c r="K15" s="4">
        <v>9532</v>
      </c>
      <c r="L15" s="4">
        <v>9794</v>
      </c>
      <c r="M15" s="4">
        <v>2055</v>
      </c>
      <c r="N15" s="4">
        <v>2623</v>
      </c>
      <c r="O15" s="4">
        <v>3509</v>
      </c>
      <c r="P15" s="4">
        <v>4332</v>
      </c>
      <c r="Q15" s="4">
        <v>33509</v>
      </c>
      <c r="R15" s="4">
        <v>32997</v>
      </c>
      <c r="S15" s="4">
        <v>2816</v>
      </c>
      <c r="T15" s="4">
        <v>3496</v>
      </c>
      <c r="U15" s="4"/>
      <c r="V15" s="5">
        <f t="shared" si="0"/>
        <v>3.4043865661411927</v>
      </c>
      <c r="W15" s="5">
        <f t="shared" si="1"/>
        <v>4.6384428223844285</v>
      </c>
      <c r="X15" s="5">
        <f t="shared" si="2"/>
        <v>11.899502840909092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279</v>
      </c>
      <c r="D16" s="4">
        <v>312</v>
      </c>
      <c r="E16" s="4">
        <v>1059</v>
      </c>
      <c r="F16" s="4">
        <v>1220</v>
      </c>
      <c r="G16" s="4">
        <v>266</v>
      </c>
      <c r="H16" s="4">
        <v>239</v>
      </c>
      <c r="I16" s="4">
        <v>310</v>
      </c>
      <c r="J16" s="4">
        <v>388</v>
      </c>
      <c r="K16" s="4">
        <v>1887</v>
      </c>
      <c r="L16" s="4">
        <v>1703</v>
      </c>
      <c r="M16" s="4">
        <v>291</v>
      </c>
      <c r="N16" s="4">
        <v>294</v>
      </c>
      <c r="O16" s="4">
        <v>364</v>
      </c>
      <c r="P16" s="4">
        <v>420</v>
      </c>
      <c r="Q16" s="4">
        <v>5282</v>
      </c>
      <c r="R16" s="4">
        <v>4693</v>
      </c>
      <c r="S16" s="4">
        <v>297</v>
      </c>
      <c r="T16" s="4">
        <v>331</v>
      </c>
      <c r="U16" s="4"/>
      <c r="V16" s="5">
        <f t="shared" si="0"/>
        <v>3.981203007518797</v>
      </c>
      <c r="W16" s="5">
        <f t="shared" si="1"/>
        <v>6.4845360824742269</v>
      </c>
      <c r="X16" s="5">
        <f t="shared" si="2"/>
        <v>17.784511784511785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259</v>
      </c>
      <c r="D17" s="4">
        <v>303</v>
      </c>
      <c r="E17" s="4">
        <v>1078</v>
      </c>
      <c r="F17" s="4">
        <v>1083</v>
      </c>
      <c r="G17" s="4">
        <v>214</v>
      </c>
      <c r="H17" s="4">
        <v>265</v>
      </c>
      <c r="I17" s="4">
        <v>333</v>
      </c>
      <c r="J17" s="4">
        <v>383</v>
      </c>
      <c r="K17" s="4">
        <v>1862</v>
      </c>
      <c r="L17" s="4">
        <v>1590</v>
      </c>
      <c r="M17" s="4">
        <v>256</v>
      </c>
      <c r="N17" s="4">
        <v>292</v>
      </c>
      <c r="O17" s="4">
        <v>367</v>
      </c>
      <c r="P17" s="4">
        <v>415</v>
      </c>
      <c r="Q17" s="4">
        <v>4887</v>
      </c>
      <c r="R17" s="4">
        <v>4422</v>
      </c>
      <c r="S17" s="4">
        <v>324</v>
      </c>
      <c r="T17" s="4">
        <v>347</v>
      </c>
      <c r="U17" s="4"/>
      <c r="V17" s="5">
        <f t="shared" si="0"/>
        <v>5.037383177570093</v>
      </c>
      <c r="W17" s="5">
        <f t="shared" si="1"/>
        <v>7.2734375</v>
      </c>
      <c r="X17" s="5">
        <f t="shared" si="2"/>
        <v>15.083333333333334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413</v>
      </c>
      <c r="D18" s="4">
        <v>401</v>
      </c>
      <c r="E18" s="4">
        <v>1030</v>
      </c>
      <c r="F18" s="4">
        <v>1030</v>
      </c>
      <c r="G18" s="4">
        <v>314</v>
      </c>
      <c r="H18" s="4">
        <v>315</v>
      </c>
      <c r="I18" s="4">
        <v>573</v>
      </c>
      <c r="J18" s="4">
        <v>560</v>
      </c>
      <c r="K18" s="4">
        <v>1546</v>
      </c>
      <c r="L18" s="4">
        <v>1509</v>
      </c>
      <c r="M18" s="4">
        <v>454</v>
      </c>
      <c r="N18" s="4">
        <v>456</v>
      </c>
      <c r="O18" s="4">
        <v>774</v>
      </c>
      <c r="P18" s="4">
        <v>759</v>
      </c>
      <c r="Q18" s="4">
        <v>3050</v>
      </c>
      <c r="R18" s="4">
        <v>2894</v>
      </c>
      <c r="S18" s="4">
        <v>605</v>
      </c>
      <c r="T18" s="4">
        <v>607</v>
      </c>
      <c r="U18" s="4"/>
      <c r="V18" s="5">
        <f t="shared" si="0"/>
        <v>3.2802547770700636</v>
      </c>
      <c r="W18" s="5">
        <f t="shared" si="1"/>
        <v>3.4052863436123348</v>
      </c>
      <c r="X18" s="5">
        <f t="shared" si="2"/>
        <v>5.0413223140495864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3561</v>
      </c>
      <c r="D19" s="4">
        <v>4551</v>
      </c>
      <c r="E19" s="4">
        <v>9082</v>
      </c>
      <c r="F19" s="4">
        <v>13149</v>
      </c>
      <c r="G19" s="4">
        <v>2607</v>
      </c>
      <c r="H19" s="4">
        <v>3507</v>
      </c>
      <c r="I19" s="4">
        <v>4797</v>
      </c>
      <c r="J19" s="4">
        <v>6466</v>
      </c>
      <c r="K19" s="4">
        <v>20595</v>
      </c>
      <c r="L19" s="4">
        <v>24206</v>
      </c>
      <c r="M19" s="4">
        <v>3799</v>
      </c>
      <c r="N19" s="4">
        <v>5124</v>
      </c>
      <c r="O19" s="4">
        <v>6335</v>
      </c>
      <c r="P19" s="4">
        <v>8899</v>
      </c>
      <c r="Q19" s="4">
        <v>60942</v>
      </c>
      <c r="R19" s="4">
        <v>76619</v>
      </c>
      <c r="S19" s="4">
        <v>5429</v>
      </c>
      <c r="T19" s="4">
        <v>7054</v>
      </c>
      <c r="U19" s="4"/>
      <c r="V19" s="5">
        <f t="shared" si="0"/>
        <v>3.4836977368622937</v>
      </c>
      <c r="W19" s="5">
        <f t="shared" si="1"/>
        <v>5.4211634640694921</v>
      </c>
      <c r="X19" s="5">
        <f t="shared" si="2"/>
        <v>11.225271689077179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1600</v>
      </c>
      <c r="D20" s="4">
        <v>1967</v>
      </c>
      <c r="E20" s="4">
        <v>4214</v>
      </c>
      <c r="F20" s="4">
        <v>5500</v>
      </c>
      <c r="G20" s="4">
        <v>1248</v>
      </c>
      <c r="H20" s="4">
        <v>1523</v>
      </c>
      <c r="I20" s="4">
        <v>2167</v>
      </c>
      <c r="J20" s="4">
        <v>2797</v>
      </c>
      <c r="K20" s="4">
        <v>8166</v>
      </c>
      <c r="L20" s="4">
        <v>8945</v>
      </c>
      <c r="M20" s="4">
        <v>1804</v>
      </c>
      <c r="N20" s="4">
        <v>2281</v>
      </c>
      <c r="O20" s="4">
        <v>2959</v>
      </c>
      <c r="P20" s="4">
        <v>3635</v>
      </c>
      <c r="Q20" s="4">
        <v>28972</v>
      </c>
      <c r="R20" s="4">
        <v>29532</v>
      </c>
      <c r="S20" s="4">
        <v>2461</v>
      </c>
      <c r="T20" s="4">
        <v>2918</v>
      </c>
      <c r="U20" s="4"/>
      <c r="V20" s="5">
        <f t="shared" si="0"/>
        <v>3.3766025641025643</v>
      </c>
      <c r="W20" s="5">
        <f t="shared" si="1"/>
        <v>4.5266075388026605</v>
      </c>
      <c r="X20" s="5">
        <f t="shared" si="2"/>
        <v>11.772450223486388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1065</v>
      </c>
      <c r="D21" s="4">
        <v>1173</v>
      </c>
      <c r="E21" s="4">
        <v>3520</v>
      </c>
      <c r="F21" s="4">
        <v>4069</v>
      </c>
      <c r="G21" s="4">
        <v>843</v>
      </c>
      <c r="H21" s="4">
        <v>896</v>
      </c>
      <c r="I21" s="4">
        <v>1516</v>
      </c>
      <c r="J21" s="4">
        <v>1523</v>
      </c>
      <c r="K21" s="4">
        <v>6783</v>
      </c>
      <c r="L21" s="4">
        <v>6885</v>
      </c>
      <c r="M21" s="4">
        <v>1212</v>
      </c>
      <c r="N21" s="4">
        <v>1312</v>
      </c>
      <c r="O21" s="4">
        <v>1989</v>
      </c>
      <c r="P21" s="4">
        <v>2172</v>
      </c>
      <c r="Q21" s="4">
        <v>20775</v>
      </c>
      <c r="R21" s="4">
        <v>21465</v>
      </c>
      <c r="S21" s="4">
        <v>1668</v>
      </c>
      <c r="T21" s="4">
        <v>1726</v>
      </c>
      <c r="U21" s="4"/>
      <c r="V21" s="5">
        <f t="shared" si="0"/>
        <v>4.1755634638196915</v>
      </c>
      <c r="W21" s="5">
        <f t="shared" si="1"/>
        <v>5.5965346534653468</v>
      </c>
      <c r="X21" s="5">
        <f t="shared" si="2"/>
        <v>12.455035971223021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22</v>
      </c>
      <c r="D22" s="4">
        <v>21</v>
      </c>
      <c r="E22" s="4">
        <v>207</v>
      </c>
      <c r="F22" s="4">
        <v>208</v>
      </c>
      <c r="G22" s="4">
        <v>16</v>
      </c>
      <c r="H22" s="4">
        <v>17</v>
      </c>
      <c r="I22" s="4">
        <v>26</v>
      </c>
      <c r="J22" s="4">
        <v>26</v>
      </c>
      <c r="K22" s="4">
        <v>232</v>
      </c>
      <c r="L22" s="4">
        <v>236</v>
      </c>
      <c r="M22" s="4">
        <v>21</v>
      </c>
      <c r="N22" s="4">
        <v>35</v>
      </c>
      <c r="O22" s="4">
        <v>32</v>
      </c>
      <c r="P22" s="4">
        <v>58</v>
      </c>
      <c r="Q22" s="4">
        <v>508</v>
      </c>
      <c r="R22" s="4">
        <v>508</v>
      </c>
      <c r="S22" s="4">
        <v>35</v>
      </c>
      <c r="T22" s="4">
        <v>25</v>
      </c>
      <c r="U22" s="4"/>
      <c r="V22" s="5">
        <f t="shared" si="0"/>
        <v>12.9375</v>
      </c>
      <c r="W22" s="5">
        <f t="shared" si="1"/>
        <v>11.047619047619047</v>
      </c>
      <c r="X22" s="5">
        <f t="shared" si="2"/>
        <v>14.514285714285714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3675</v>
      </c>
      <c r="D23" s="4">
        <v>3805</v>
      </c>
      <c r="E23" s="4">
        <v>18964</v>
      </c>
      <c r="F23" s="4">
        <v>18492</v>
      </c>
      <c r="G23" s="4">
        <v>2790</v>
      </c>
      <c r="H23" s="4">
        <v>2967</v>
      </c>
      <c r="I23" s="4">
        <v>4409</v>
      </c>
      <c r="J23" s="4">
        <v>4764</v>
      </c>
      <c r="K23" s="4">
        <v>37194</v>
      </c>
      <c r="L23" s="4">
        <v>36561</v>
      </c>
      <c r="M23" s="4">
        <v>3496</v>
      </c>
      <c r="N23" s="4">
        <v>3730</v>
      </c>
      <c r="O23" s="4">
        <v>5166</v>
      </c>
      <c r="P23" s="4">
        <v>5548</v>
      </c>
      <c r="Q23" s="4">
        <v>105379</v>
      </c>
      <c r="R23" s="4">
        <v>109562</v>
      </c>
      <c r="S23" s="4">
        <v>4272</v>
      </c>
      <c r="T23" s="4">
        <v>4786</v>
      </c>
      <c r="U23" s="4"/>
      <c r="V23" s="5">
        <f t="shared" si="0"/>
        <v>6.7971326164874553</v>
      </c>
      <c r="W23" s="5">
        <f t="shared" si="1"/>
        <v>10.639016018306636</v>
      </c>
      <c r="X23" s="5">
        <f t="shared" si="2"/>
        <v>24.667368913857679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1724</v>
      </c>
      <c r="D24" s="4">
        <v>1674</v>
      </c>
      <c r="E24" s="4">
        <v>7750</v>
      </c>
      <c r="F24" s="4">
        <v>7749</v>
      </c>
      <c r="G24" s="4">
        <v>1200</v>
      </c>
      <c r="H24" s="4">
        <v>1298</v>
      </c>
      <c r="I24" s="4">
        <v>1868</v>
      </c>
      <c r="J24" s="4">
        <v>2077</v>
      </c>
      <c r="K24" s="4">
        <v>17976</v>
      </c>
      <c r="L24" s="4">
        <v>14261</v>
      </c>
      <c r="M24" s="4">
        <v>1511</v>
      </c>
      <c r="N24" s="4">
        <v>1708</v>
      </c>
      <c r="O24" s="4">
        <v>2196</v>
      </c>
      <c r="P24" s="4">
        <v>2353</v>
      </c>
      <c r="Q24" s="4">
        <v>44359</v>
      </c>
      <c r="R24" s="4">
        <v>42713</v>
      </c>
      <c r="S24" s="4">
        <v>1900</v>
      </c>
      <c r="T24" s="4">
        <v>1997</v>
      </c>
      <c r="U24" s="4"/>
      <c r="V24" s="5">
        <f t="shared" si="0"/>
        <v>6.458333333333333</v>
      </c>
      <c r="W24" s="5">
        <f t="shared" si="1"/>
        <v>11.896757114493713</v>
      </c>
      <c r="X24" s="5">
        <f t="shared" si="2"/>
        <v>23.346842105263157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1056</v>
      </c>
      <c r="D25" s="4">
        <v>1069</v>
      </c>
      <c r="E25" s="4">
        <v>5139</v>
      </c>
      <c r="F25" s="4">
        <v>5072</v>
      </c>
      <c r="G25" s="4">
        <v>793</v>
      </c>
      <c r="H25" s="4">
        <v>827</v>
      </c>
      <c r="I25" s="4">
        <v>1166</v>
      </c>
      <c r="J25" s="4">
        <v>1324</v>
      </c>
      <c r="K25" s="4">
        <v>8377</v>
      </c>
      <c r="L25" s="4">
        <v>7992</v>
      </c>
      <c r="M25" s="4">
        <v>1026</v>
      </c>
      <c r="N25" s="4">
        <v>1044</v>
      </c>
      <c r="O25" s="4">
        <v>1457</v>
      </c>
      <c r="P25" s="4">
        <v>1563</v>
      </c>
      <c r="Q25" s="4">
        <v>25981</v>
      </c>
      <c r="R25" s="4">
        <v>26067</v>
      </c>
      <c r="S25" s="4">
        <v>1196</v>
      </c>
      <c r="T25" s="4">
        <v>1246</v>
      </c>
      <c r="U25" s="4"/>
      <c r="V25" s="5">
        <f t="shared" si="0"/>
        <v>6.4804539722572505</v>
      </c>
      <c r="W25" s="5">
        <f t="shared" si="1"/>
        <v>8.1647173489278746</v>
      </c>
      <c r="X25" s="5">
        <f t="shared" si="2"/>
        <v>21.723244147157189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1023</v>
      </c>
      <c r="D26" s="4">
        <v>1045</v>
      </c>
      <c r="E26" s="4">
        <v>4365</v>
      </c>
      <c r="F26" s="4">
        <v>3235</v>
      </c>
      <c r="G26" s="4">
        <v>762</v>
      </c>
      <c r="H26" s="4">
        <v>753</v>
      </c>
      <c r="I26" s="4">
        <v>1465</v>
      </c>
      <c r="J26" s="4">
        <v>1494</v>
      </c>
      <c r="K26" s="4">
        <v>5390</v>
      </c>
      <c r="L26" s="4">
        <v>5625</v>
      </c>
      <c r="M26" s="4">
        <v>1141</v>
      </c>
      <c r="N26" s="4">
        <v>1176</v>
      </c>
      <c r="O26" s="4">
        <v>2217</v>
      </c>
      <c r="P26" s="4">
        <v>2035</v>
      </c>
      <c r="Q26" s="4">
        <v>13153</v>
      </c>
      <c r="R26" s="4">
        <v>13968</v>
      </c>
      <c r="S26" s="4">
        <v>1648</v>
      </c>
      <c r="T26" s="4">
        <v>1567</v>
      </c>
      <c r="U26" s="4"/>
      <c r="V26" s="5">
        <f t="shared" si="0"/>
        <v>5.728346456692913</v>
      </c>
      <c r="W26" s="5">
        <f t="shared" si="1"/>
        <v>4.7239263803680984</v>
      </c>
      <c r="X26" s="5">
        <f t="shared" si="2"/>
        <v>7.9811893203883493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1012</v>
      </c>
      <c r="D27" s="4">
        <v>1038</v>
      </c>
      <c r="E27" s="4">
        <v>3267</v>
      </c>
      <c r="F27" s="4">
        <v>3968</v>
      </c>
      <c r="G27" s="4">
        <v>824</v>
      </c>
      <c r="H27" s="4">
        <v>914</v>
      </c>
      <c r="I27" s="4">
        <v>1188</v>
      </c>
      <c r="J27" s="4">
        <v>1239</v>
      </c>
      <c r="K27" s="4">
        <v>6057</v>
      </c>
      <c r="L27" s="4">
        <v>5643</v>
      </c>
      <c r="M27" s="4">
        <v>980</v>
      </c>
      <c r="N27" s="4">
        <v>1072</v>
      </c>
      <c r="O27" s="4">
        <v>1430</v>
      </c>
      <c r="P27" s="4">
        <v>1459</v>
      </c>
      <c r="Q27" s="4">
        <v>18038</v>
      </c>
      <c r="R27" s="4">
        <v>19721</v>
      </c>
      <c r="S27" s="4">
        <v>1170</v>
      </c>
      <c r="T27" s="4">
        <v>1206</v>
      </c>
      <c r="U27" s="4"/>
      <c r="V27" s="5">
        <f t="shared" si="0"/>
        <v>3.9648058252427183</v>
      </c>
      <c r="W27" s="5">
        <f t="shared" si="1"/>
        <v>6.1806122448979588</v>
      </c>
      <c r="X27" s="5">
        <f t="shared" si="2"/>
        <v>15.417094017094017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411</v>
      </c>
      <c r="D28" s="4">
        <v>893</v>
      </c>
      <c r="E28" s="4">
        <v>2566</v>
      </c>
      <c r="F28" s="4">
        <v>3231</v>
      </c>
      <c r="G28" s="4">
        <v>321</v>
      </c>
      <c r="H28" s="4">
        <v>687</v>
      </c>
      <c r="I28" s="4">
        <v>481</v>
      </c>
      <c r="J28" s="4">
        <v>1069</v>
      </c>
      <c r="K28" s="4">
        <v>3841</v>
      </c>
      <c r="L28" s="4">
        <v>5500</v>
      </c>
      <c r="M28" s="4">
        <v>454</v>
      </c>
      <c r="N28" s="4">
        <v>853</v>
      </c>
      <c r="O28" s="4">
        <v>576</v>
      </c>
      <c r="P28" s="4">
        <v>1348</v>
      </c>
      <c r="Q28" s="4">
        <v>11587</v>
      </c>
      <c r="R28" s="4">
        <v>15345</v>
      </c>
      <c r="S28" s="4">
        <v>481</v>
      </c>
      <c r="T28" s="4">
        <v>1079</v>
      </c>
      <c r="U28" s="4"/>
      <c r="V28" s="5">
        <f t="shared" si="0"/>
        <v>7.9937694704049846</v>
      </c>
      <c r="W28" s="5">
        <f t="shared" si="1"/>
        <v>8.4603524229074889</v>
      </c>
      <c r="X28" s="5">
        <f t="shared" si="2"/>
        <v>24.089397089397089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26</v>
      </c>
      <c r="D29" s="4">
        <v>27</v>
      </c>
      <c r="E29" s="4">
        <v>148</v>
      </c>
      <c r="F29" s="4">
        <v>142</v>
      </c>
      <c r="G29" s="4">
        <v>36</v>
      </c>
      <c r="H29" s="4">
        <v>24</v>
      </c>
      <c r="I29" s="4">
        <v>35</v>
      </c>
      <c r="J29" s="4">
        <v>35</v>
      </c>
      <c r="K29" s="4">
        <v>247</v>
      </c>
      <c r="L29" s="4">
        <v>262</v>
      </c>
      <c r="M29" s="4">
        <v>28</v>
      </c>
      <c r="N29" s="4">
        <v>28</v>
      </c>
      <c r="O29" s="4">
        <v>45</v>
      </c>
      <c r="P29" s="4">
        <v>43</v>
      </c>
      <c r="Q29" s="4">
        <v>546</v>
      </c>
      <c r="R29" s="4">
        <v>548</v>
      </c>
      <c r="S29" s="4">
        <v>33</v>
      </c>
      <c r="T29" s="4">
        <v>33</v>
      </c>
      <c r="U29" s="4"/>
      <c r="V29" s="5">
        <f t="shared" si="0"/>
        <v>4.1111111111111107</v>
      </c>
      <c r="W29" s="5">
        <f t="shared" si="1"/>
        <v>8.8214285714285712</v>
      </c>
      <c r="X29" s="5">
        <f t="shared" si="2"/>
        <v>16.545454545454547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983</v>
      </c>
      <c r="D30" s="4">
        <v>1385</v>
      </c>
      <c r="E30" s="4">
        <v>3290</v>
      </c>
      <c r="F30" s="4">
        <v>4469</v>
      </c>
      <c r="G30" s="4">
        <v>796</v>
      </c>
      <c r="H30" s="4">
        <v>1423</v>
      </c>
      <c r="I30" s="4">
        <v>1193</v>
      </c>
      <c r="J30" s="4">
        <v>1263</v>
      </c>
      <c r="K30" s="4">
        <v>6069</v>
      </c>
      <c r="L30" s="4">
        <v>5971</v>
      </c>
      <c r="M30" s="4">
        <v>984</v>
      </c>
      <c r="N30" s="4">
        <v>1021</v>
      </c>
      <c r="O30" s="4">
        <v>1394</v>
      </c>
      <c r="P30" s="4">
        <v>1478</v>
      </c>
      <c r="Q30" s="4">
        <v>18341</v>
      </c>
      <c r="R30" s="4">
        <v>22019</v>
      </c>
      <c r="S30" s="4">
        <v>1216</v>
      </c>
      <c r="T30" s="4">
        <v>1228</v>
      </c>
      <c r="U30" s="4"/>
      <c r="V30" s="5">
        <f t="shared" si="0"/>
        <v>4.1331658291457289</v>
      </c>
      <c r="W30" s="5">
        <f t="shared" si="1"/>
        <v>6.1676829268292686</v>
      </c>
      <c r="X30" s="5">
        <f t="shared" si="2"/>
        <v>15.083059210526315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401</v>
      </c>
      <c r="D31" s="4">
        <v>781</v>
      </c>
      <c r="E31" s="4">
        <v>2481</v>
      </c>
      <c r="F31" s="4">
        <v>3201</v>
      </c>
      <c r="G31" s="4">
        <v>325</v>
      </c>
      <c r="H31" s="4">
        <v>607</v>
      </c>
      <c r="I31" s="4">
        <v>513</v>
      </c>
      <c r="J31" s="4">
        <v>930</v>
      </c>
      <c r="K31" s="4">
        <v>3955</v>
      </c>
      <c r="L31" s="4">
        <v>4955</v>
      </c>
      <c r="M31" s="4">
        <v>387</v>
      </c>
      <c r="N31" s="4">
        <v>739</v>
      </c>
      <c r="O31" s="4">
        <v>777</v>
      </c>
      <c r="P31" s="4">
        <v>1094</v>
      </c>
      <c r="Q31" s="4">
        <v>10963</v>
      </c>
      <c r="R31" s="4">
        <v>14017</v>
      </c>
      <c r="S31" s="4">
        <v>460</v>
      </c>
      <c r="T31" s="4">
        <v>894</v>
      </c>
      <c r="U31" s="4"/>
      <c r="V31" s="5">
        <f t="shared" si="0"/>
        <v>7.6338461538461537</v>
      </c>
      <c r="W31" s="5">
        <f t="shared" si="1"/>
        <v>10.219638242894057</v>
      </c>
      <c r="X31" s="5">
        <f t="shared" si="2"/>
        <v>23.832608695652173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26</v>
      </c>
      <c r="D32" s="4">
        <v>33</v>
      </c>
      <c r="E32" s="4">
        <v>136</v>
      </c>
      <c r="F32" s="4">
        <v>143</v>
      </c>
      <c r="G32" s="4">
        <v>33</v>
      </c>
      <c r="H32" s="4">
        <v>24</v>
      </c>
      <c r="I32" s="4">
        <v>29</v>
      </c>
      <c r="J32" s="4">
        <v>37</v>
      </c>
      <c r="K32" s="4">
        <v>277</v>
      </c>
      <c r="L32" s="4">
        <v>287</v>
      </c>
      <c r="M32" s="4">
        <v>24</v>
      </c>
      <c r="N32" s="4">
        <v>30</v>
      </c>
      <c r="O32" s="4">
        <v>41</v>
      </c>
      <c r="P32" s="4">
        <v>82</v>
      </c>
      <c r="Q32" s="4">
        <v>581</v>
      </c>
      <c r="R32" s="4">
        <v>619</v>
      </c>
      <c r="S32" s="4">
        <v>31</v>
      </c>
      <c r="T32" s="4">
        <v>39</v>
      </c>
      <c r="U32" s="4"/>
      <c r="V32" s="5">
        <f t="shared" si="0"/>
        <v>4.1212121212121211</v>
      </c>
      <c r="W32" s="5">
        <f t="shared" si="1"/>
        <v>11.541666666666666</v>
      </c>
      <c r="X32" s="5">
        <f t="shared" si="2"/>
        <v>18.741935483870968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51</v>
      </c>
      <c r="D33" s="4">
        <v>42</v>
      </c>
      <c r="E33" s="4">
        <v>261</v>
      </c>
      <c r="F33" s="4">
        <v>176</v>
      </c>
      <c r="G33" s="4">
        <v>31</v>
      </c>
      <c r="H33" s="4">
        <v>31</v>
      </c>
      <c r="I33" s="4">
        <v>84</v>
      </c>
      <c r="J33" s="4">
        <v>53</v>
      </c>
      <c r="K33" s="4">
        <v>326</v>
      </c>
      <c r="L33" s="4">
        <v>334</v>
      </c>
      <c r="M33" s="4">
        <v>41</v>
      </c>
      <c r="N33" s="4">
        <v>42</v>
      </c>
      <c r="O33" s="4">
        <v>74</v>
      </c>
      <c r="P33" s="4">
        <v>66</v>
      </c>
      <c r="Q33" s="4">
        <v>960</v>
      </c>
      <c r="R33" s="4">
        <v>576</v>
      </c>
      <c r="S33" s="4">
        <v>50</v>
      </c>
      <c r="T33" s="4">
        <v>50</v>
      </c>
      <c r="U33" s="4"/>
      <c r="V33" s="5">
        <f t="shared" si="0"/>
        <v>8.4193548387096779</v>
      </c>
      <c r="W33" s="5">
        <f t="shared" si="1"/>
        <v>7.9512195121951219</v>
      </c>
      <c r="X33" s="5">
        <f t="shared" si="2"/>
        <v>19.2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712</v>
      </c>
      <c r="D34" s="4">
        <v>1131</v>
      </c>
      <c r="E34" s="4">
        <v>7583</v>
      </c>
      <c r="F34" s="4">
        <v>10287</v>
      </c>
      <c r="G34" s="4">
        <v>546</v>
      </c>
      <c r="H34" s="4">
        <v>865</v>
      </c>
      <c r="I34" s="4">
        <v>845</v>
      </c>
      <c r="J34" s="4">
        <v>1369</v>
      </c>
      <c r="K34" s="4">
        <v>10571</v>
      </c>
      <c r="L34" s="4">
        <v>16526</v>
      </c>
      <c r="M34" s="4">
        <v>679</v>
      </c>
      <c r="N34" s="4">
        <v>1112</v>
      </c>
      <c r="O34" s="4">
        <v>1153</v>
      </c>
      <c r="P34" s="4">
        <v>1622</v>
      </c>
      <c r="Q34" s="4">
        <v>30788</v>
      </c>
      <c r="R34" s="4">
        <v>50437</v>
      </c>
      <c r="S34" s="4">
        <v>818</v>
      </c>
      <c r="T34" s="4">
        <v>1360</v>
      </c>
      <c r="U34" s="4"/>
      <c r="V34" s="5">
        <f t="shared" si="0"/>
        <v>13.888278388278389</v>
      </c>
      <c r="W34" s="5">
        <f t="shared" si="1"/>
        <v>15.568483063328424</v>
      </c>
      <c r="X34" s="5">
        <f t="shared" si="2"/>
        <v>37.638141809290957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1523</v>
      </c>
      <c r="D35" s="4">
        <v>1783</v>
      </c>
      <c r="E35" s="4">
        <v>5428</v>
      </c>
      <c r="F35" s="4">
        <v>6736</v>
      </c>
      <c r="G35" s="4">
        <v>1126</v>
      </c>
      <c r="H35" s="4">
        <v>1337</v>
      </c>
      <c r="I35" s="4">
        <v>1923</v>
      </c>
      <c r="J35" s="4">
        <v>2276</v>
      </c>
      <c r="K35" s="4">
        <v>9686</v>
      </c>
      <c r="L35" s="4">
        <v>10541</v>
      </c>
      <c r="M35" s="4">
        <v>1549</v>
      </c>
      <c r="N35" s="4">
        <v>1816</v>
      </c>
      <c r="O35" s="4">
        <v>2555</v>
      </c>
      <c r="P35" s="4">
        <v>2886</v>
      </c>
      <c r="Q35" s="4">
        <v>30723</v>
      </c>
      <c r="R35" s="4">
        <v>37829</v>
      </c>
      <c r="S35" s="4">
        <v>2115</v>
      </c>
      <c r="T35" s="4">
        <v>2372</v>
      </c>
      <c r="U35" s="4"/>
      <c r="V35" s="5">
        <f t="shared" si="0"/>
        <v>4.820603907637655</v>
      </c>
      <c r="W35" s="5">
        <f t="shared" si="1"/>
        <v>6.2530664945125887</v>
      </c>
      <c r="X35" s="5">
        <f t="shared" si="2"/>
        <v>14.526241134751773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5264</v>
      </c>
      <c r="D36" s="4">
        <v>6613</v>
      </c>
      <c r="E36" s="4">
        <v>53582</v>
      </c>
      <c r="F36" s="4">
        <v>73514</v>
      </c>
      <c r="G36" s="4">
        <v>4192</v>
      </c>
      <c r="H36" s="4">
        <v>5317</v>
      </c>
      <c r="I36" s="4">
        <v>6548</v>
      </c>
      <c r="J36" s="4">
        <v>8472</v>
      </c>
      <c r="K36" s="4">
        <v>96908</v>
      </c>
      <c r="L36" s="4">
        <v>180818</v>
      </c>
      <c r="M36" s="4">
        <v>5531</v>
      </c>
      <c r="N36" s="4">
        <v>6722</v>
      </c>
      <c r="O36" s="4">
        <v>8347</v>
      </c>
      <c r="P36" s="4">
        <v>10412</v>
      </c>
      <c r="Q36" s="4">
        <v>320125</v>
      </c>
      <c r="R36" s="4">
        <v>528211</v>
      </c>
      <c r="S36" s="4">
        <v>6986</v>
      </c>
      <c r="T36" s="4">
        <v>8685</v>
      </c>
      <c r="U36" s="4"/>
      <c r="V36" s="5">
        <f t="shared" si="0"/>
        <v>12.781965648854962</v>
      </c>
      <c r="W36" s="5">
        <f t="shared" si="1"/>
        <v>17.52088229976496</v>
      </c>
      <c r="X36" s="5">
        <f t="shared" si="2"/>
        <v>45.823790438018897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2797</v>
      </c>
      <c r="D37" s="4">
        <v>3051</v>
      </c>
      <c r="E37" s="4">
        <v>13529</v>
      </c>
      <c r="F37" s="4">
        <v>13542</v>
      </c>
      <c r="G37" s="4">
        <v>2145</v>
      </c>
      <c r="H37" s="4">
        <v>2398</v>
      </c>
      <c r="I37" s="4">
        <v>3727</v>
      </c>
      <c r="J37" s="4">
        <v>3958</v>
      </c>
      <c r="K37" s="4">
        <v>23352</v>
      </c>
      <c r="L37" s="4">
        <v>23955</v>
      </c>
      <c r="M37" s="4">
        <v>3034</v>
      </c>
      <c r="N37" s="4">
        <v>3326</v>
      </c>
      <c r="O37" s="4">
        <v>4818</v>
      </c>
      <c r="P37" s="4">
        <v>5392</v>
      </c>
      <c r="Q37" s="4">
        <v>82340</v>
      </c>
      <c r="R37" s="4">
        <v>84733</v>
      </c>
      <c r="S37" s="4">
        <v>3925</v>
      </c>
      <c r="T37" s="4">
        <v>4358</v>
      </c>
      <c r="U37" s="4"/>
      <c r="V37" s="5">
        <f t="shared" si="0"/>
        <v>6.3072261072261071</v>
      </c>
      <c r="W37" s="5">
        <f t="shared" si="1"/>
        <v>7.6967699406723797</v>
      </c>
      <c r="X37" s="5">
        <f t="shared" si="2"/>
        <v>20.978343949044586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1635</v>
      </c>
      <c r="D38" s="4">
        <v>2967</v>
      </c>
      <c r="E38" s="4">
        <v>15436</v>
      </c>
      <c r="F38" s="4">
        <v>17075</v>
      </c>
      <c r="G38" s="4">
        <v>1249</v>
      </c>
      <c r="H38" s="4">
        <v>2323</v>
      </c>
      <c r="I38" s="4">
        <v>1932</v>
      </c>
      <c r="J38" s="4">
        <v>3697</v>
      </c>
      <c r="K38" s="4">
        <v>24889</v>
      </c>
      <c r="L38" s="4">
        <v>27724</v>
      </c>
      <c r="M38" s="4">
        <v>1750</v>
      </c>
      <c r="N38" s="4">
        <v>2905</v>
      </c>
      <c r="O38" s="4">
        <v>2410</v>
      </c>
      <c r="P38" s="4">
        <v>4135</v>
      </c>
      <c r="Q38" s="4">
        <v>75365</v>
      </c>
      <c r="R38" s="4">
        <v>87965</v>
      </c>
      <c r="S38" s="4">
        <v>1907</v>
      </c>
      <c r="T38" s="4">
        <v>3582</v>
      </c>
      <c r="U38" s="4"/>
      <c r="V38" s="5">
        <f t="shared" si="0"/>
        <v>12.358686949559647</v>
      </c>
      <c r="W38" s="5">
        <f t="shared" si="1"/>
        <v>14.222285714285714</v>
      </c>
      <c r="X38" s="5">
        <f t="shared" si="2"/>
        <v>39.520188778185634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1847</v>
      </c>
      <c r="D39" s="4">
        <v>2221</v>
      </c>
      <c r="E39" s="4">
        <v>8069</v>
      </c>
      <c r="F39" s="4">
        <v>6732</v>
      </c>
      <c r="G39" s="4">
        <v>1454</v>
      </c>
      <c r="H39" s="4">
        <v>1677</v>
      </c>
      <c r="I39" s="4">
        <v>2037</v>
      </c>
      <c r="J39" s="4">
        <v>2505</v>
      </c>
      <c r="K39" s="4">
        <v>11693</v>
      </c>
      <c r="L39" s="4">
        <v>10371</v>
      </c>
      <c r="M39" s="4">
        <v>1687</v>
      </c>
      <c r="N39" s="4">
        <v>1995</v>
      </c>
      <c r="O39" s="4">
        <v>2786</v>
      </c>
      <c r="P39" s="4">
        <v>3167</v>
      </c>
      <c r="Q39" s="4">
        <v>34121</v>
      </c>
      <c r="R39" s="4">
        <v>32896</v>
      </c>
      <c r="S39" s="4">
        <v>2062</v>
      </c>
      <c r="T39" s="4">
        <v>2526</v>
      </c>
      <c r="U39" s="4"/>
      <c r="V39" s="5">
        <f t="shared" si="0"/>
        <v>5.5495185694635492</v>
      </c>
      <c r="W39" s="5">
        <f t="shared" si="1"/>
        <v>6.9312388855957323</v>
      </c>
      <c r="X39" s="5">
        <f t="shared" si="2"/>
        <v>16.547526673132882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1533</v>
      </c>
      <c r="D40" s="4">
        <v>1886</v>
      </c>
      <c r="E40" s="4">
        <v>5788</v>
      </c>
      <c r="F40" s="4">
        <v>5284</v>
      </c>
      <c r="G40" s="4">
        <v>1222</v>
      </c>
      <c r="H40" s="4">
        <v>1458</v>
      </c>
      <c r="I40" s="4">
        <v>1905</v>
      </c>
      <c r="J40" s="4">
        <v>2325</v>
      </c>
      <c r="K40" s="4">
        <v>8585</v>
      </c>
      <c r="L40" s="4">
        <v>8999</v>
      </c>
      <c r="M40" s="4">
        <v>1585</v>
      </c>
      <c r="N40" s="4">
        <v>1923</v>
      </c>
      <c r="O40" s="4">
        <v>2435</v>
      </c>
      <c r="P40" s="4">
        <v>2827</v>
      </c>
      <c r="Q40" s="4">
        <v>25917</v>
      </c>
      <c r="R40" s="4">
        <v>25732</v>
      </c>
      <c r="S40" s="4">
        <v>2022</v>
      </c>
      <c r="T40" s="4">
        <v>2329</v>
      </c>
      <c r="U40" s="4"/>
      <c r="V40" s="5">
        <f t="shared" si="0"/>
        <v>4.7364975450081834</v>
      </c>
      <c r="W40" s="5">
        <f t="shared" si="1"/>
        <v>5.4164037854889591</v>
      </c>
      <c r="X40" s="5">
        <f t="shared" si="2"/>
        <v>12.817507418397627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1201</v>
      </c>
      <c r="D41" s="4">
        <v>1566</v>
      </c>
      <c r="E41" s="4">
        <v>4078</v>
      </c>
      <c r="F41" s="4">
        <v>4370</v>
      </c>
      <c r="G41" s="4">
        <v>916</v>
      </c>
      <c r="H41" s="4">
        <v>1236</v>
      </c>
      <c r="I41" s="4">
        <v>1451</v>
      </c>
      <c r="J41" s="4">
        <v>2031</v>
      </c>
      <c r="K41" s="4">
        <v>6500</v>
      </c>
      <c r="L41" s="4">
        <v>7598</v>
      </c>
      <c r="M41" s="4">
        <v>1144</v>
      </c>
      <c r="N41" s="4">
        <v>1554</v>
      </c>
      <c r="O41" s="4">
        <v>1663</v>
      </c>
      <c r="P41" s="4">
        <v>2192</v>
      </c>
      <c r="Q41" s="4">
        <v>19483</v>
      </c>
      <c r="R41" s="4">
        <v>20011</v>
      </c>
      <c r="S41" s="4">
        <v>1376</v>
      </c>
      <c r="T41" s="4">
        <v>1789</v>
      </c>
      <c r="U41" s="4"/>
      <c r="V41" s="5">
        <f t="shared" si="0"/>
        <v>4.4519650655021836</v>
      </c>
      <c r="W41" s="5">
        <f t="shared" si="1"/>
        <v>5.6818181818181817</v>
      </c>
      <c r="X41" s="5">
        <f t="shared" si="2"/>
        <v>14.159156976744185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332</v>
      </c>
      <c r="D42" s="4">
        <v>336</v>
      </c>
      <c r="E42" s="4">
        <v>803</v>
      </c>
      <c r="F42" s="4">
        <v>838</v>
      </c>
      <c r="G42" s="4">
        <v>264</v>
      </c>
      <c r="H42" s="4">
        <v>268</v>
      </c>
      <c r="I42" s="4">
        <v>384</v>
      </c>
      <c r="J42" s="4">
        <v>454</v>
      </c>
      <c r="K42" s="4">
        <v>1100</v>
      </c>
      <c r="L42" s="4">
        <v>1471</v>
      </c>
      <c r="M42" s="4">
        <v>309</v>
      </c>
      <c r="N42" s="4">
        <v>319</v>
      </c>
      <c r="O42" s="4">
        <v>445</v>
      </c>
      <c r="P42" s="4">
        <v>470</v>
      </c>
      <c r="Q42" s="4">
        <v>3033</v>
      </c>
      <c r="R42" s="4">
        <v>3236</v>
      </c>
      <c r="S42" s="4">
        <v>375</v>
      </c>
      <c r="T42" s="4">
        <v>386</v>
      </c>
      <c r="U42" s="4"/>
      <c r="V42" s="5">
        <f t="shared" si="0"/>
        <v>3.0416666666666665</v>
      </c>
      <c r="W42" s="5">
        <f t="shared" si="1"/>
        <v>3.5598705501618122</v>
      </c>
      <c r="X42" s="5">
        <f t="shared" si="2"/>
        <v>8.0879999999999992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6465</v>
      </c>
      <c r="D43" s="4">
        <v>8606</v>
      </c>
      <c r="E43" s="4">
        <v>26078</v>
      </c>
      <c r="F43" s="4">
        <v>29267</v>
      </c>
      <c r="G43" s="4">
        <v>4816</v>
      </c>
      <c r="H43" s="4">
        <v>6626</v>
      </c>
      <c r="I43" s="4">
        <v>9026</v>
      </c>
      <c r="J43" s="4">
        <v>12463</v>
      </c>
      <c r="K43" s="4">
        <v>46929</v>
      </c>
      <c r="L43" s="4">
        <v>56986</v>
      </c>
      <c r="M43" s="4">
        <v>7434</v>
      </c>
      <c r="N43" s="4">
        <v>9911</v>
      </c>
      <c r="O43" s="4">
        <v>13237</v>
      </c>
      <c r="P43" s="4">
        <v>18694</v>
      </c>
      <c r="Q43" s="4">
        <v>152266</v>
      </c>
      <c r="R43" s="4">
        <v>214767</v>
      </c>
      <c r="S43" s="4">
        <v>10624</v>
      </c>
      <c r="T43" s="4">
        <v>14989</v>
      </c>
      <c r="U43" s="4"/>
      <c r="V43" s="5">
        <f t="shared" si="0"/>
        <v>5.4148671096345513</v>
      </c>
      <c r="W43" s="5">
        <f t="shared" si="1"/>
        <v>6.3127522195318804</v>
      </c>
      <c r="X43" s="5">
        <f t="shared" si="2"/>
        <v>14.33226656626506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766</v>
      </c>
      <c r="D44" s="4">
        <v>687</v>
      </c>
      <c r="E44" s="4">
        <v>2372</v>
      </c>
      <c r="F44" s="4">
        <v>2094</v>
      </c>
      <c r="G44" s="4">
        <v>592</v>
      </c>
      <c r="H44" s="4">
        <v>577</v>
      </c>
      <c r="I44" s="4">
        <v>740</v>
      </c>
      <c r="J44" s="4">
        <v>806</v>
      </c>
      <c r="K44" s="4">
        <v>4034</v>
      </c>
      <c r="L44" s="4">
        <v>3126</v>
      </c>
      <c r="M44" s="4">
        <v>627</v>
      </c>
      <c r="N44" s="4">
        <v>686</v>
      </c>
      <c r="O44" s="4">
        <v>1110</v>
      </c>
      <c r="P44" s="4">
        <v>983</v>
      </c>
      <c r="Q44" s="4">
        <v>11781</v>
      </c>
      <c r="R44" s="4">
        <v>9856</v>
      </c>
      <c r="S44" s="4">
        <v>838</v>
      </c>
      <c r="T44" s="4">
        <v>800</v>
      </c>
      <c r="U44" s="4"/>
      <c r="V44" s="5">
        <f t="shared" si="0"/>
        <v>4.006756756756757</v>
      </c>
      <c r="W44" s="5">
        <f t="shared" si="1"/>
        <v>6.4338118022328548</v>
      </c>
      <c r="X44" s="5">
        <f t="shared" si="2"/>
        <v>14.058472553699284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262</v>
      </c>
      <c r="D45" s="4">
        <v>261</v>
      </c>
      <c r="E45" s="4">
        <v>1242</v>
      </c>
      <c r="F45" s="4">
        <v>1047</v>
      </c>
      <c r="G45" s="4">
        <v>268</v>
      </c>
      <c r="H45" s="4">
        <v>209</v>
      </c>
      <c r="I45" s="4">
        <v>317</v>
      </c>
      <c r="J45" s="4">
        <v>322</v>
      </c>
      <c r="K45" s="4">
        <v>2146</v>
      </c>
      <c r="L45" s="4">
        <v>1810</v>
      </c>
      <c r="M45" s="4">
        <v>271</v>
      </c>
      <c r="N45" s="4">
        <v>265</v>
      </c>
      <c r="O45" s="4">
        <v>376</v>
      </c>
      <c r="P45" s="4">
        <v>378</v>
      </c>
      <c r="Q45" s="4">
        <v>5507</v>
      </c>
      <c r="R45" s="4">
        <v>4726</v>
      </c>
      <c r="S45" s="4">
        <v>313</v>
      </c>
      <c r="T45" s="4">
        <v>319</v>
      </c>
      <c r="U45" s="4"/>
      <c r="V45" s="5">
        <f t="shared" si="0"/>
        <v>4.6343283582089549</v>
      </c>
      <c r="W45" s="5">
        <f t="shared" si="1"/>
        <v>7.9188191881918817</v>
      </c>
      <c r="X45" s="5">
        <f t="shared" si="2"/>
        <v>17.594249201277954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920</v>
      </c>
      <c r="D46" s="4">
        <v>11016</v>
      </c>
      <c r="E46" s="4">
        <v>3013</v>
      </c>
      <c r="F46" s="4">
        <v>10738</v>
      </c>
      <c r="G46" s="4">
        <v>904</v>
      </c>
      <c r="H46" s="4">
        <v>4828</v>
      </c>
      <c r="I46" s="4">
        <v>1041</v>
      </c>
      <c r="J46" s="4">
        <v>12070</v>
      </c>
      <c r="K46" s="4">
        <v>4911</v>
      </c>
      <c r="L46" s="4">
        <v>12519</v>
      </c>
      <c r="M46" s="4">
        <v>857</v>
      </c>
      <c r="N46" s="4">
        <v>7961</v>
      </c>
      <c r="O46" s="4">
        <v>1348</v>
      </c>
      <c r="P46" s="4">
        <v>13697</v>
      </c>
      <c r="Q46" s="4">
        <v>16760</v>
      </c>
      <c r="R46" s="4">
        <v>25010</v>
      </c>
      <c r="S46" s="4">
        <v>1129</v>
      </c>
      <c r="T46" s="4">
        <v>10004</v>
      </c>
      <c r="U46" s="4"/>
      <c r="V46" s="5">
        <f t="shared" si="0"/>
        <v>3.3329646017699117</v>
      </c>
      <c r="W46" s="5">
        <f t="shared" si="1"/>
        <v>5.730455075845974</v>
      </c>
      <c r="X46" s="5">
        <f t="shared" si="2"/>
        <v>14.844995571302038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998</v>
      </c>
      <c r="D47" s="4">
        <v>3681</v>
      </c>
      <c r="E47" s="4">
        <v>3622</v>
      </c>
      <c r="F47" s="4">
        <v>72356</v>
      </c>
      <c r="G47" s="4">
        <v>771</v>
      </c>
      <c r="H47" s="4">
        <v>2491</v>
      </c>
      <c r="I47" s="4">
        <v>1391</v>
      </c>
      <c r="J47" s="4">
        <v>0</v>
      </c>
      <c r="K47" s="4">
        <v>7081</v>
      </c>
      <c r="L47" s="4">
        <v>21815</v>
      </c>
      <c r="M47" s="4">
        <v>1114</v>
      </c>
      <c r="N47" s="4">
        <v>3360</v>
      </c>
      <c r="O47" s="4">
        <v>2068</v>
      </c>
      <c r="P47" s="4">
        <v>0</v>
      </c>
      <c r="Q47" s="4">
        <v>29427</v>
      </c>
      <c r="R47" s="4">
        <v>24406</v>
      </c>
      <c r="S47" s="4">
        <v>1631</v>
      </c>
      <c r="T47" s="4">
        <v>34685</v>
      </c>
      <c r="U47" s="4"/>
      <c r="V47" s="5">
        <f t="shared" si="0"/>
        <v>4.6977950713359276</v>
      </c>
      <c r="W47" s="5">
        <f t="shared" si="1"/>
        <v>6.356373429084381</v>
      </c>
      <c r="X47" s="5">
        <f t="shared" si="2"/>
        <v>18.042305334150829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25</v>
      </c>
      <c r="D48" s="4">
        <v>25</v>
      </c>
      <c r="E48" s="4">
        <v>98</v>
      </c>
      <c r="F48" s="4">
        <v>97</v>
      </c>
      <c r="G48" s="4">
        <v>24</v>
      </c>
      <c r="H48" s="4">
        <v>21</v>
      </c>
      <c r="I48" s="4">
        <v>33</v>
      </c>
      <c r="J48" s="4">
        <v>31</v>
      </c>
      <c r="K48" s="4">
        <v>146</v>
      </c>
      <c r="L48" s="4">
        <v>146</v>
      </c>
      <c r="M48" s="4">
        <v>25</v>
      </c>
      <c r="N48" s="4">
        <v>26</v>
      </c>
      <c r="O48" s="4">
        <v>37</v>
      </c>
      <c r="P48" s="4">
        <v>38</v>
      </c>
      <c r="Q48" s="4">
        <v>364</v>
      </c>
      <c r="R48" s="4">
        <v>377</v>
      </c>
      <c r="S48" s="4">
        <v>30</v>
      </c>
      <c r="T48" s="4">
        <v>31</v>
      </c>
      <c r="U48" s="4"/>
      <c r="V48" s="5">
        <f t="shared" si="0"/>
        <v>4.083333333333333</v>
      </c>
      <c r="W48" s="5">
        <f t="shared" si="1"/>
        <v>5.84</v>
      </c>
      <c r="X48" s="5">
        <f t="shared" si="2"/>
        <v>12.133333333333333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13</v>
      </c>
      <c r="D49" s="4">
        <v>13</v>
      </c>
      <c r="E49" s="4">
        <v>24</v>
      </c>
      <c r="F49" s="4">
        <v>27</v>
      </c>
      <c r="G49" s="4">
        <v>13</v>
      </c>
      <c r="H49" s="4">
        <v>11</v>
      </c>
      <c r="I49" s="4">
        <v>17</v>
      </c>
      <c r="J49" s="4">
        <v>16</v>
      </c>
      <c r="K49" s="4">
        <v>17</v>
      </c>
      <c r="L49" s="4">
        <v>17</v>
      </c>
      <c r="M49" s="4">
        <v>15</v>
      </c>
      <c r="N49" s="4">
        <v>17</v>
      </c>
      <c r="O49" s="4">
        <v>18</v>
      </c>
      <c r="P49" s="4">
        <v>18</v>
      </c>
      <c r="Q49" s="4">
        <v>23</v>
      </c>
      <c r="R49" s="4">
        <v>23</v>
      </c>
      <c r="S49" s="4">
        <v>15</v>
      </c>
      <c r="T49" s="4">
        <v>15</v>
      </c>
      <c r="U49" s="4"/>
      <c r="V49" s="5">
        <f t="shared" si="0"/>
        <v>1.8461538461538463</v>
      </c>
      <c r="W49" s="5">
        <f t="shared" si="1"/>
        <v>1.1333333333333333</v>
      </c>
      <c r="X49" s="5">
        <f t="shared" si="2"/>
        <v>1.5333333333333334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1134</v>
      </c>
      <c r="D50" s="4">
        <v>36666</v>
      </c>
      <c r="E50" s="4">
        <v>3099</v>
      </c>
      <c r="F50" s="4">
        <v>30723</v>
      </c>
      <c r="G50" s="4">
        <v>866</v>
      </c>
      <c r="H50" s="4">
        <v>32717</v>
      </c>
      <c r="I50" s="4">
        <v>1509</v>
      </c>
      <c r="J50" s="4">
        <v>42615</v>
      </c>
      <c r="K50" s="4">
        <v>4766</v>
      </c>
      <c r="L50" s="4">
        <v>52812</v>
      </c>
      <c r="M50" s="4">
        <v>1180</v>
      </c>
      <c r="N50" s="4">
        <v>43372</v>
      </c>
      <c r="O50" s="4">
        <v>1953</v>
      </c>
      <c r="P50" s="4">
        <v>58847</v>
      </c>
      <c r="Q50" s="4">
        <v>13313</v>
      </c>
      <c r="R50" s="4">
        <v>65940</v>
      </c>
      <c r="S50" s="4">
        <v>1641</v>
      </c>
      <c r="T50" s="4">
        <v>39925</v>
      </c>
      <c r="U50" s="4"/>
      <c r="V50" s="5">
        <f t="shared" si="0"/>
        <v>3.5785219399538106</v>
      </c>
      <c r="W50" s="5">
        <f t="shared" si="1"/>
        <v>4.0389830508474578</v>
      </c>
      <c r="X50" s="5">
        <f t="shared" si="2"/>
        <v>8.1127361365021322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75</v>
      </c>
      <c r="D51" s="4">
        <v>76</v>
      </c>
      <c r="E51" s="4">
        <v>317</v>
      </c>
      <c r="F51" s="4">
        <v>299</v>
      </c>
      <c r="G51" s="4">
        <v>93</v>
      </c>
      <c r="H51" s="4">
        <v>61</v>
      </c>
      <c r="I51" s="4">
        <v>86</v>
      </c>
      <c r="J51" s="4">
        <v>95</v>
      </c>
      <c r="K51" s="4">
        <v>484</v>
      </c>
      <c r="L51" s="4">
        <v>453</v>
      </c>
      <c r="M51" s="4">
        <v>71</v>
      </c>
      <c r="N51" s="4">
        <v>76</v>
      </c>
      <c r="O51" s="4">
        <v>101</v>
      </c>
      <c r="P51" s="4">
        <v>111</v>
      </c>
      <c r="Q51" s="4">
        <v>1257</v>
      </c>
      <c r="R51" s="4">
        <v>1126</v>
      </c>
      <c r="S51" s="4">
        <v>81</v>
      </c>
      <c r="T51" s="4">
        <v>89</v>
      </c>
      <c r="U51" s="4"/>
      <c r="V51" s="5">
        <f t="shared" si="0"/>
        <v>3.4086021505376345</v>
      </c>
      <c r="W51" s="5">
        <f t="shared" si="1"/>
        <v>6.816901408450704</v>
      </c>
      <c r="X51" s="5">
        <f t="shared" si="2"/>
        <v>15.518518518518519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597</v>
      </c>
      <c r="D52" s="4">
        <v>2046</v>
      </c>
      <c r="E52" s="4">
        <v>2035</v>
      </c>
      <c r="F52" s="4">
        <v>5564</v>
      </c>
      <c r="G52" s="4">
        <v>658</v>
      </c>
      <c r="H52" s="4">
        <v>1715</v>
      </c>
      <c r="I52" s="4">
        <v>628</v>
      </c>
      <c r="J52" s="4">
        <v>3041</v>
      </c>
      <c r="K52" s="4">
        <v>3220</v>
      </c>
      <c r="L52" s="4">
        <v>7598</v>
      </c>
      <c r="M52" s="4">
        <v>551</v>
      </c>
      <c r="N52" s="4">
        <v>2185</v>
      </c>
      <c r="O52" s="4">
        <v>840</v>
      </c>
      <c r="P52" s="4">
        <v>3128</v>
      </c>
      <c r="Q52" s="4">
        <v>10733</v>
      </c>
      <c r="R52" s="4">
        <v>12610</v>
      </c>
      <c r="S52" s="4">
        <v>702</v>
      </c>
      <c r="T52" s="4">
        <v>1979</v>
      </c>
      <c r="U52" s="4"/>
      <c r="V52" s="5">
        <f t="shared" si="0"/>
        <v>3.0927051671732522</v>
      </c>
      <c r="W52" s="5">
        <f t="shared" si="1"/>
        <v>5.8439201451905625</v>
      </c>
      <c r="X52" s="5">
        <f t="shared" si="2"/>
        <v>15.289173789173789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599</v>
      </c>
      <c r="D53" s="4">
        <v>701</v>
      </c>
      <c r="E53" s="4">
        <v>1850</v>
      </c>
      <c r="F53" s="4">
        <v>2114</v>
      </c>
      <c r="G53" s="4">
        <v>464</v>
      </c>
      <c r="H53" s="4">
        <v>597</v>
      </c>
      <c r="I53" s="4">
        <v>749</v>
      </c>
      <c r="J53" s="4">
        <v>940</v>
      </c>
      <c r="K53" s="4">
        <v>3124</v>
      </c>
      <c r="L53" s="4">
        <v>4141</v>
      </c>
      <c r="M53" s="4">
        <v>862</v>
      </c>
      <c r="N53" s="4">
        <v>780</v>
      </c>
      <c r="O53" s="4">
        <v>1057</v>
      </c>
      <c r="P53" s="4">
        <v>1262</v>
      </c>
      <c r="Q53" s="4">
        <v>9121</v>
      </c>
      <c r="R53" s="4">
        <v>10011</v>
      </c>
      <c r="S53" s="4">
        <v>787</v>
      </c>
      <c r="T53" s="4">
        <v>954</v>
      </c>
      <c r="U53" s="4"/>
      <c r="V53" s="5">
        <f t="shared" si="0"/>
        <v>3.9870689655172415</v>
      </c>
      <c r="W53" s="5">
        <f t="shared" si="1"/>
        <v>3.6241299303944317</v>
      </c>
      <c r="X53" s="5">
        <f t="shared" si="2"/>
        <v>11.589580686149937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1494</v>
      </c>
      <c r="D54" s="4">
        <v>625602</v>
      </c>
      <c r="E54" s="4">
        <v>3346</v>
      </c>
      <c r="F54" s="4">
        <v>667540</v>
      </c>
      <c r="G54" s="4">
        <v>1138</v>
      </c>
      <c r="H54" s="4">
        <v>476820</v>
      </c>
      <c r="I54" s="4">
        <v>1879</v>
      </c>
      <c r="J54" s="4">
        <v>913226</v>
      </c>
      <c r="K54" s="4">
        <v>5102</v>
      </c>
      <c r="L54" s="4">
        <v>868041</v>
      </c>
      <c r="M54" s="4">
        <v>1569</v>
      </c>
      <c r="N54" s="4">
        <v>721319</v>
      </c>
      <c r="O54" s="4">
        <v>2695</v>
      </c>
      <c r="P54" s="4">
        <v>975532</v>
      </c>
      <c r="Q54" s="4">
        <v>14323</v>
      </c>
      <c r="R54" s="4">
        <v>1140201</v>
      </c>
      <c r="S54" s="4">
        <v>2293</v>
      </c>
      <c r="T54" s="4">
        <v>850395</v>
      </c>
      <c r="U54" s="4"/>
      <c r="V54" s="5">
        <f t="shared" si="0"/>
        <v>2.9402460456942006</v>
      </c>
      <c r="W54" s="5">
        <f t="shared" si="1"/>
        <v>3.2517527087316762</v>
      </c>
      <c r="X54" s="5">
        <f t="shared" si="2"/>
        <v>6.2464020933275188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206</v>
      </c>
      <c r="D55" s="4">
        <v>170</v>
      </c>
      <c r="E55" s="4">
        <v>517</v>
      </c>
      <c r="F55" s="4">
        <v>468</v>
      </c>
      <c r="G55" s="4">
        <v>151</v>
      </c>
      <c r="H55" s="4">
        <v>130</v>
      </c>
      <c r="I55" s="4">
        <v>300</v>
      </c>
      <c r="J55" s="4">
        <v>367</v>
      </c>
      <c r="K55" s="4">
        <v>913</v>
      </c>
      <c r="L55" s="4">
        <v>913</v>
      </c>
      <c r="M55" s="4">
        <v>235</v>
      </c>
      <c r="N55" s="4">
        <v>245</v>
      </c>
      <c r="O55" s="4">
        <v>598</v>
      </c>
      <c r="P55" s="4">
        <v>353</v>
      </c>
      <c r="Q55" s="4">
        <v>1428</v>
      </c>
      <c r="R55" s="4">
        <v>1363</v>
      </c>
      <c r="S55" s="4">
        <v>295</v>
      </c>
      <c r="T55" s="4">
        <v>264</v>
      </c>
      <c r="U55" s="4"/>
      <c r="V55" s="5">
        <f t="shared" si="0"/>
        <v>3.423841059602649</v>
      </c>
      <c r="W55" s="5">
        <f t="shared" si="1"/>
        <v>3.8851063829787233</v>
      </c>
      <c r="X55" s="5">
        <f t="shared" si="2"/>
        <v>4.840677966101695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92</v>
      </c>
      <c r="D56" s="4">
        <v>154</v>
      </c>
      <c r="E56" s="4">
        <v>437</v>
      </c>
      <c r="F56" s="4">
        <v>638</v>
      </c>
      <c r="G56" s="4">
        <v>71</v>
      </c>
      <c r="H56" s="4">
        <v>117</v>
      </c>
      <c r="I56" s="4">
        <v>117</v>
      </c>
      <c r="J56" s="4">
        <v>195</v>
      </c>
      <c r="K56" s="4">
        <v>744</v>
      </c>
      <c r="L56" s="4">
        <v>1012</v>
      </c>
      <c r="M56" s="4">
        <v>93</v>
      </c>
      <c r="N56" s="4">
        <v>153</v>
      </c>
      <c r="O56" s="4">
        <v>227</v>
      </c>
      <c r="P56" s="4">
        <v>233</v>
      </c>
      <c r="Q56" s="4">
        <v>1655</v>
      </c>
      <c r="R56" s="4">
        <v>2758</v>
      </c>
      <c r="S56" s="4">
        <v>107</v>
      </c>
      <c r="T56" s="4">
        <v>167</v>
      </c>
      <c r="U56" s="4"/>
      <c r="V56" s="5">
        <f t="shared" si="0"/>
        <v>6.154929577464789</v>
      </c>
      <c r="W56" s="5">
        <f t="shared" si="1"/>
        <v>8</v>
      </c>
      <c r="X56" s="5">
        <f t="shared" si="2"/>
        <v>15.467289719626168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167</v>
      </c>
      <c r="D57" s="4">
        <v>197</v>
      </c>
      <c r="E57" s="4">
        <v>490</v>
      </c>
      <c r="F57" s="4">
        <v>534</v>
      </c>
      <c r="G57" s="4">
        <v>153</v>
      </c>
      <c r="H57" s="4">
        <v>156</v>
      </c>
      <c r="I57" s="4">
        <v>282</v>
      </c>
      <c r="J57" s="4">
        <v>342</v>
      </c>
      <c r="K57" s="4">
        <v>1064</v>
      </c>
      <c r="L57" s="4">
        <v>839</v>
      </c>
      <c r="M57" s="4">
        <v>244</v>
      </c>
      <c r="N57" s="4">
        <v>338</v>
      </c>
      <c r="O57" s="4">
        <v>333</v>
      </c>
      <c r="P57" s="4">
        <v>395</v>
      </c>
      <c r="Q57" s="4">
        <v>1301</v>
      </c>
      <c r="R57" s="4">
        <v>1306</v>
      </c>
      <c r="S57" s="4">
        <v>257</v>
      </c>
      <c r="T57" s="4">
        <v>308</v>
      </c>
      <c r="U57" s="4"/>
      <c r="V57" s="5">
        <f t="shared" si="0"/>
        <v>3.2026143790849675</v>
      </c>
      <c r="W57" s="5">
        <f t="shared" si="1"/>
        <v>4.360655737704918</v>
      </c>
      <c r="X57" s="5">
        <f t="shared" si="2"/>
        <v>5.0622568093385212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906</v>
      </c>
      <c r="D58" s="4">
        <v>1067</v>
      </c>
      <c r="E58" s="4">
        <v>3841</v>
      </c>
      <c r="F58" s="4">
        <v>3006</v>
      </c>
      <c r="G58" s="4">
        <v>718</v>
      </c>
      <c r="H58" s="4">
        <v>868</v>
      </c>
      <c r="I58" s="4">
        <v>1000</v>
      </c>
      <c r="J58" s="4">
        <v>1231</v>
      </c>
      <c r="K58" s="4">
        <v>4954</v>
      </c>
      <c r="L58" s="4">
        <v>5311</v>
      </c>
      <c r="M58" s="4">
        <v>896</v>
      </c>
      <c r="N58" s="4">
        <v>999</v>
      </c>
      <c r="O58" s="4">
        <v>1331</v>
      </c>
      <c r="P58" s="4">
        <v>1654</v>
      </c>
      <c r="Q58" s="4">
        <v>12397</v>
      </c>
      <c r="R58" s="4">
        <v>12593</v>
      </c>
      <c r="S58" s="4">
        <v>1000</v>
      </c>
      <c r="T58" s="4">
        <v>1350</v>
      </c>
      <c r="U58" s="4"/>
      <c r="V58" s="5">
        <f t="shared" si="0"/>
        <v>5.3495821727019495</v>
      </c>
      <c r="W58" s="5">
        <f t="shared" si="1"/>
        <v>5.5290178571428568</v>
      </c>
      <c r="X58" s="5">
        <f t="shared" si="2"/>
        <v>12.397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13794</v>
      </c>
      <c r="D59" s="4">
        <v>1298706</v>
      </c>
      <c r="E59" s="4">
        <v>86999</v>
      </c>
      <c r="F59" s="4">
        <v>1523459</v>
      </c>
      <c r="G59" s="4">
        <v>10554</v>
      </c>
      <c r="H59" s="4">
        <v>1045152</v>
      </c>
      <c r="I59" s="4">
        <v>17421</v>
      </c>
      <c r="J59" s="4">
        <v>1644571</v>
      </c>
      <c r="K59" s="4">
        <v>129358</v>
      </c>
      <c r="L59" s="4">
        <v>1754352</v>
      </c>
      <c r="M59" s="4">
        <v>14085</v>
      </c>
      <c r="N59" s="4">
        <v>1251792</v>
      </c>
      <c r="O59" s="4">
        <v>22095</v>
      </c>
      <c r="P59" s="4">
        <v>1904757</v>
      </c>
      <c r="Q59" s="4">
        <v>378774</v>
      </c>
      <c r="R59" s="4">
        <v>2542465</v>
      </c>
      <c r="S59" s="4">
        <v>18064</v>
      </c>
      <c r="T59" s="4">
        <v>1590970</v>
      </c>
      <c r="U59" s="4"/>
      <c r="V59" s="5">
        <f t="shared" si="0"/>
        <v>8.2432253174151988</v>
      </c>
      <c r="W59" s="5">
        <f t="shared" si="1"/>
        <v>9.1840965566205188</v>
      </c>
      <c r="X59" s="5">
        <f t="shared" si="2"/>
        <v>20.968445527015056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4168</v>
      </c>
      <c r="D60" s="4">
        <v>23165</v>
      </c>
      <c r="E60" s="4">
        <v>25425</v>
      </c>
      <c r="F60" s="4">
        <v>50835</v>
      </c>
      <c r="G60" s="4">
        <v>3212</v>
      </c>
      <c r="H60" s="4">
        <v>19816</v>
      </c>
      <c r="I60" s="4">
        <v>6231</v>
      </c>
      <c r="J60" s="4">
        <v>24838</v>
      </c>
      <c r="K60" s="4">
        <v>40646</v>
      </c>
      <c r="L60" s="4">
        <v>98613</v>
      </c>
      <c r="M60" s="4">
        <v>5371</v>
      </c>
      <c r="N60" s="4">
        <v>28919</v>
      </c>
      <c r="O60" s="4">
        <v>6002</v>
      </c>
      <c r="P60" s="4">
        <v>25478</v>
      </c>
      <c r="Q60" s="4">
        <v>120017</v>
      </c>
      <c r="R60" s="4">
        <v>197665</v>
      </c>
      <c r="S60" s="4">
        <v>5167</v>
      </c>
      <c r="T60" s="4">
        <v>28446</v>
      </c>
      <c r="U60" s="4"/>
      <c r="V60" s="5">
        <f t="shared" si="0"/>
        <v>7.9156288916562891</v>
      </c>
      <c r="W60" s="5">
        <f t="shared" si="1"/>
        <v>7.5676782722025697</v>
      </c>
      <c r="X60" s="5">
        <f t="shared" si="2"/>
        <v>23.227598219469712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7503</v>
      </c>
      <c r="D61" s="4">
        <v>753729</v>
      </c>
      <c r="E61" s="4">
        <v>41223</v>
      </c>
      <c r="F61" s="4">
        <v>733257</v>
      </c>
      <c r="G61" s="4">
        <v>5977</v>
      </c>
      <c r="H61" s="4">
        <v>530833</v>
      </c>
      <c r="I61" s="4">
        <v>9011</v>
      </c>
      <c r="J61" s="4">
        <v>779306</v>
      </c>
      <c r="K61" s="4">
        <v>62771</v>
      </c>
      <c r="L61" s="4">
        <v>1018600</v>
      </c>
      <c r="M61" s="4">
        <v>7576</v>
      </c>
      <c r="N61" s="4">
        <v>798912</v>
      </c>
      <c r="O61" s="4">
        <v>11391</v>
      </c>
      <c r="P61" s="4">
        <v>1052493</v>
      </c>
      <c r="Q61" s="4">
        <v>202951</v>
      </c>
      <c r="R61" s="4">
        <v>1360610</v>
      </c>
      <c r="S61" s="4">
        <v>9338</v>
      </c>
      <c r="T61" s="4">
        <v>928930</v>
      </c>
      <c r="U61" s="4"/>
      <c r="V61" s="5">
        <f t="shared" si="0"/>
        <v>6.8969382633428138</v>
      </c>
      <c r="W61" s="5">
        <f t="shared" si="1"/>
        <v>8.2855068637803591</v>
      </c>
      <c r="X61" s="5">
        <f t="shared" si="2"/>
        <v>21.733883058470763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5846</v>
      </c>
      <c r="D62" s="4">
        <v>29370</v>
      </c>
      <c r="E62" s="4">
        <v>37277</v>
      </c>
      <c r="F62" s="4">
        <v>66426</v>
      </c>
      <c r="G62" s="4">
        <v>4602</v>
      </c>
      <c r="H62" s="4">
        <v>20792</v>
      </c>
      <c r="I62" s="4">
        <v>6801</v>
      </c>
      <c r="J62" s="4">
        <v>35755</v>
      </c>
      <c r="K62" s="4">
        <v>59786</v>
      </c>
      <c r="L62" s="4">
        <v>142313</v>
      </c>
      <c r="M62" s="4">
        <v>7412</v>
      </c>
      <c r="N62" s="4">
        <v>37699</v>
      </c>
      <c r="O62" s="4">
        <v>8092</v>
      </c>
      <c r="P62" s="4">
        <v>35129</v>
      </c>
      <c r="Q62" s="4">
        <v>166676</v>
      </c>
      <c r="R62" s="4">
        <v>354910</v>
      </c>
      <c r="S62" s="4">
        <v>6631</v>
      </c>
      <c r="T62" s="4">
        <v>38283</v>
      </c>
      <c r="U62" s="4"/>
      <c r="V62" s="5">
        <f t="shared" si="0"/>
        <v>8.1001738374619734</v>
      </c>
      <c r="W62" s="5">
        <f t="shared" si="1"/>
        <v>8.0661090124123049</v>
      </c>
      <c r="X62" s="5">
        <f t="shared" si="2"/>
        <v>25.135876941637761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2467</v>
      </c>
      <c r="D63" s="4">
        <v>3292</v>
      </c>
      <c r="E63" s="4">
        <v>8656</v>
      </c>
      <c r="F63" s="4">
        <v>11848</v>
      </c>
      <c r="G63" s="4">
        <v>1879</v>
      </c>
      <c r="H63" s="4">
        <v>2340</v>
      </c>
      <c r="I63" s="4">
        <v>3606</v>
      </c>
      <c r="J63" s="4">
        <v>4574</v>
      </c>
      <c r="K63" s="4">
        <v>14181</v>
      </c>
      <c r="L63" s="4">
        <v>19910</v>
      </c>
      <c r="M63" s="4">
        <v>2836</v>
      </c>
      <c r="N63" s="4">
        <v>3618</v>
      </c>
      <c r="O63" s="4">
        <v>4980</v>
      </c>
      <c r="P63" s="4">
        <v>6506</v>
      </c>
      <c r="Q63" s="4">
        <v>48963</v>
      </c>
      <c r="R63" s="4">
        <v>70283</v>
      </c>
      <c r="S63" s="4">
        <v>4032</v>
      </c>
      <c r="T63" s="4">
        <v>5748</v>
      </c>
      <c r="U63" s="4"/>
      <c r="V63" s="5">
        <f t="shared" si="0"/>
        <v>4.6067056945183609</v>
      </c>
      <c r="W63" s="5">
        <f t="shared" si="1"/>
        <v>5.0003526093088855</v>
      </c>
      <c r="X63" s="5">
        <f t="shared" si="2"/>
        <v>12.14360119047619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702</v>
      </c>
      <c r="D64" s="4">
        <v>848</v>
      </c>
      <c r="E64" s="4">
        <v>1834</v>
      </c>
      <c r="F64" s="4">
        <v>2082</v>
      </c>
      <c r="G64" s="4">
        <v>555</v>
      </c>
      <c r="H64" s="4">
        <v>623</v>
      </c>
      <c r="I64" s="4">
        <v>939</v>
      </c>
      <c r="J64" s="4">
        <v>1154</v>
      </c>
      <c r="K64" s="4">
        <v>3624</v>
      </c>
      <c r="L64" s="4">
        <v>4703</v>
      </c>
      <c r="M64" s="4">
        <v>779</v>
      </c>
      <c r="N64" s="4">
        <v>906</v>
      </c>
      <c r="O64" s="4">
        <v>1314</v>
      </c>
      <c r="P64" s="4">
        <v>1612</v>
      </c>
      <c r="Q64" s="4">
        <v>10619</v>
      </c>
      <c r="R64" s="4">
        <v>11588</v>
      </c>
      <c r="S64" s="4">
        <v>1020</v>
      </c>
      <c r="T64" s="4">
        <v>1259</v>
      </c>
      <c r="U64" s="4"/>
      <c r="V64" s="5">
        <f t="shared" si="0"/>
        <v>3.3045045045045045</v>
      </c>
      <c r="W64" s="5">
        <f t="shared" si="1"/>
        <v>4.6521181001283693</v>
      </c>
      <c r="X64" s="5">
        <f t="shared" si="2"/>
        <v>10.41078431372549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2285</v>
      </c>
      <c r="D65" s="4">
        <v>3677</v>
      </c>
      <c r="E65" s="4">
        <v>8260</v>
      </c>
      <c r="F65" s="4">
        <v>11564</v>
      </c>
      <c r="G65" s="4">
        <v>1785</v>
      </c>
      <c r="H65" s="4">
        <v>2963</v>
      </c>
      <c r="I65" s="4">
        <v>2755</v>
      </c>
      <c r="J65" s="4">
        <v>4605</v>
      </c>
      <c r="K65" s="4">
        <v>13688</v>
      </c>
      <c r="L65" s="4">
        <v>22812</v>
      </c>
      <c r="M65" s="4">
        <v>2246</v>
      </c>
      <c r="N65" s="4">
        <v>4084</v>
      </c>
      <c r="O65" s="4">
        <v>3664</v>
      </c>
      <c r="P65" s="4">
        <v>6073</v>
      </c>
      <c r="Q65" s="4">
        <v>54678</v>
      </c>
      <c r="R65" s="4">
        <v>79972</v>
      </c>
      <c r="S65" s="4">
        <v>3109</v>
      </c>
      <c r="T65" s="4">
        <v>5022</v>
      </c>
      <c r="U65" s="4"/>
      <c r="V65" s="5">
        <f t="shared" si="0"/>
        <v>4.6274509803921573</v>
      </c>
      <c r="W65" s="5">
        <f t="shared" si="1"/>
        <v>6.0943900267141586</v>
      </c>
      <c r="X65" s="5">
        <f t="shared" si="2"/>
        <v>17.587005467996139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5265</v>
      </c>
      <c r="D66" s="4">
        <v>7449</v>
      </c>
      <c r="E66" s="4">
        <v>20446</v>
      </c>
      <c r="F66" s="4">
        <v>25850</v>
      </c>
      <c r="G66" s="4">
        <v>4074</v>
      </c>
      <c r="H66" s="4">
        <v>5824</v>
      </c>
      <c r="I66" s="4">
        <v>6826</v>
      </c>
      <c r="J66" s="4">
        <v>9834</v>
      </c>
      <c r="K66" s="4">
        <v>34629</v>
      </c>
      <c r="L66" s="4">
        <v>63638</v>
      </c>
      <c r="M66" s="4">
        <v>5615</v>
      </c>
      <c r="N66" s="4">
        <v>8162</v>
      </c>
      <c r="O66" s="4">
        <v>9852</v>
      </c>
      <c r="P66" s="4">
        <v>14311</v>
      </c>
      <c r="Q66" s="4">
        <v>121381</v>
      </c>
      <c r="R66" s="4">
        <v>188994</v>
      </c>
      <c r="S66" s="4">
        <v>7910</v>
      </c>
      <c r="T66" s="4">
        <v>11630</v>
      </c>
      <c r="U66" s="4"/>
      <c r="V66" s="5">
        <f t="shared" si="0"/>
        <v>5.018654884634266</v>
      </c>
      <c r="W66" s="5">
        <f t="shared" si="1"/>
        <v>6.1672306322350847</v>
      </c>
      <c r="X66" s="5">
        <f t="shared" si="2"/>
        <v>15.345259165613149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245</v>
      </c>
      <c r="D67" s="4">
        <v>336</v>
      </c>
      <c r="E67" s="4">
        <v>987</v>
      </c>
      <c r="F67" s="4">
        <v>968</v>
      </c>
      <c r="G67" s="4">
        <v>291</v>
      </c>
      <c r="H67" s="4">
        <v>315</v>
      </c>
      <c r="I67" s="4">
        <v>298</v>
      </c>
      <c r="J67" s="4">
        <v>306</v>
      </c>
      <c r="K67" s="4">
        <v>1377</v>
      </c>
      <c r="L67" s="4">
        <v>1455</v>
      </c>
      <c r="M67" s="4">
        <v>240</v>
      </c>
      <c r="N67" s="4">
        <v>248</v>
      </c>
      <c r="O67" s="4">
        <v>395</v>
      </c>
      <c r="P67" s="4">
        <v>393</v>
      </c>
      <c r="Q67" s="4">
        <v>3256</v>
      </c>
      <c r="R67" s="4">
        <v>3406</v>
      </c>
      <c r="S67" s="4">
        <v>295</v>
      </c>
      <c r="T67" s="4">
        <v>295</v>
      </c>
      <c r="U67" s="4"/>
      <c r="V67" s="5">
        <f t="shared" ref="V67:V106" si="3">E67/G67</f>
        <v>3.3917525773195876</v>
      </c>
      <c r="W67" s="5">
        <f t="shared" ref="W67:W106" si="4">K67/M67</f>
        <v>5.7374999999999998</v>
      </c>
      <c r="X67" s="5">
        <f t="shared" ref="X67:X106" si="5">Q67/S67</f>
        <v>11.03728813559322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284</v>
      </c>
      <c r="D68" s="4">
        <v>321</v>
      </c>
      <c r="E68" s="4">
        <v>1047</v>
      </c>
      <c r="F68" s="4">
        <v>923</v>
      </c>
      <c r="G68" s="4">
        <v>199</v>
      </c>
      <c r="H68" s="4">
        <v>193</v>
      </c>
      <c r="I68" s="4">
        <v>270</v>
      </c>
      <c r="J68" s="4">
        <v>331</v>
      </c>
      <c r="K68" s="4">
        <v>1436</v>
      </c>
      <c r="L68" s="4">
        <v>1663</v>
      </c>
      <c r="M68" s="4">
        <v>307</v>
      </c>
      <c r="N68" s="4">
        <v>272</v>
      </c>
      <c r="O68" s="4">
        <v>427</v>
      </c>
      <c r="P68" s="4">
        <v>449</v>
      </c>
      <c r="Q68" s="4">
        <v>3639</v>
      </c>
      <c r="R68" s="4">
        <v>3643</v>
      </c>
      <c r="S68" s="4">
        <v>289</v>
      </c>
      <c r="T68" s="4">
        <v>373</v>
      </c>
      <c r="U68" s="4"/>
      <c r="V68" s="5">
        <f t="shared" si="3"/>
        <v>5.2613065326633164</v>
      </c>
      <c r="W68" s="5">
        <f t="shared" si="4"/>
        <v>4.677524429967427</v>
      </c>
      <c r="X68" s="5">
        <f t="shared" si="5"/>
        <v>12.591695501730104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836</v>
      </c>
      <c r="D69" s="4">
        <v>859</v>
      </c>
      <c r="E69" s="4">
        <v>2803</v>
      </c>
      <c r="F69" s="4">
        <v>3150</v>
      </c>
      <c r="G69" s="4">
        <v>669</v>
      </c>
      <c r="H69" s="4">
        <v>725</v>
      </c>
      <c r="I69" s="4">
        <v>951</v>
      </c>
      <c r="J69" s="4">
        <v>1066</v>
      </c>
      <c r="K69" s="4">
        <v>4897</v>
      </c>
      <c r="L69" s="4">
        <v>5089</v>
      </c>
      <c r="M69" s="4">
        <v>836</v>
      </c>
      <c r="N69" s="4">
        <v>885</v>
      </c>
      <c r="O69" s="4">
        <v>1282</v>
      </c>
      <c r="P69" s="4">
        <v>1412</v>
      </c>
      <c r="Q69" s="4">
        <v>12183</v>
      </c>
      <c r="R69" s="4">
        <v>13612</v>
      </c>
      <c r="S69" s="4">
        <v>991</v>
      </c>
      <c r="T69" s="4">
        <v>1213</v>
      </c>
      <c r="U69" s="4"/>
      <c r="V69" s="5">
        <f t="shared" si="3"/>
        <v>4.1898355754857999</v>
      </c>
      <c r="W69" s="5">
        <f t="shared" si="4"/>
        <v>5.8576555023923449</v>
      </c>
      <c r="X69" s="5">
        <f t="shared" si="5"/>
        <v>12.29364278506559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2222</v>
      </c>
      <c r="D70" s="4">
        <v>3581</v>
      </c>
      <c r="E70" s="4">
        <v>7725</v>
      </c>
      <c r="F70" s="4">
        <v>11767</v>
      </c>
      <c r="G70" s="4">
        <v>1637</v>
      </c>
      <c r="H70" s="4">
        <v>2856</v>
      </c>
      <c r="I70" s="4">
        <v>2704</v>
      </c>
      <c r="J70" s="4">
        <v>5717</v>
      </c>
      <c r="K70" s="4">
        <v>13011</v>
      </c>
      <c r="L70" s="4">
        <v>22723</v>
      </c>
      <c r="M70" s="4">
        <v>2865</v>
      </c>
      <c r="N70" s="4">
        <v>3868</v>
      </c>
      <c r="O70" s="4">
        <v>3919</v>
      </c>
      <c r="P70" s="4">
        <v>6106</v>
      </c>
      <c r="Q70" s="4">
        <v>52221</v>
      </c>
      <c r="R70" s="4">
        <v>68776</v>
      </c>
      <c r="S70" s="4">
        <v>3134</v>
      </c>
      <c r="T70" s="4">
        <v>4880</v>
      </c>
      <c r="U70" s="4"/>
      <c r="V70" s="5">
        <f t="shared" si="3"/>
        <v>4.7189981673793522</v>
      </c>
      <c r="W70" s="5">
        <f t="shared" si="4"/>
        <v>4.5413612565445023</v>
      </c>
      <c r="X70" s="5">
        <f t="shared" si="5"/>
        <v>16.662731333758774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5275</v>
      </c>
      <c r="D71" s="4">
        <v>7378</v>
      </c>
      <c r="E71" s="4">
        <v>19991</v>
      </c>
      <c r="F71" s="4">
        <v>26721</v>
      </c>
      <c r="G71" s="4">
        <v>4102</v>
      </c>
      <c r="H71" s="4">
        <v>5720</v>
      </c>
      <c r="I71" s="4">
        <v>7278</v>
      </c>
      <c r="J71" s="4">
        <v>9974</v>
      </c>
      <c r="K71" s="4">
        <v>37061</v>
      </c>
      <c r="L71" s="4">
        <v>67966</v>
      </c>
      <c r="M71" s="4">
        <v>5578</v>
      </c>
      <c r="N71" s="4">
        <v>9715</v>
      </c>
      <c r="O71" s="4">
        <v>9980</v>
      </c>
      <c r="P71" s="4">
        <v>14102</v>
      </c>
      <c r="Q71" s="4">
        <v>141829</v>
      </c>
      <c r="R71" s="4">
        <v>210362</v>
      </c>
      <c r="S71" s="4">
        <v>7840</v>
      </c>
      <c r="T71" s="4">
        <v>11291</v>
      </c>
      <c r="U71" s="4"/>
      <c r="V71" s="5">
        <f t="shared" si="3"/>
        <v>4.8734763529985372</v>
      </c>
      <c r="W71" s="5">
        <f t="shared" si="4"/>
        <v>6.6441376837576192</v>
      </c>
      <c r="X71" s="5">
        <f t="shared" si="5"/>
        <v>18.090433673469388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2771</v>
      </c>
      <c r="D72" s="4">
        <v>5177</v>
      </c>
      <c r="E72" s="4">
        <v>92889</v>
      </c>
      <c r="F72" s="4">
        <v>84760</v>
      </c>
      <c r="G72" s="4">
        <v>2124</v>
      </c>
      <c r="H72" s="4">
        <v>4012</v>
      </c>
      <c r="I72" s="4">
        <v>3281</v>
      </c>
      <c r="J72" s="4">
        <v>6270</v>
      </c>
      <c r="K72" s="4">
        <v>125140</v>
      </c>
      <c r="L72" s="4">
        <v>172282</v>
      </c>
      <c r="M72" s="4">
        <v>2723</v>
      </c>
      <c r="N72" s="4">
        <v>5163</v>
      </c>
      <c r="O72" s="4">
        <v>4001</v>
      </c>
      <c r="P72" s="4">
        <v>7690</v>
      </c>
      <c r="Q72" s="4">
        <v>389697</v>
      </c>
      <c r="R72" s="4">
        <v>506904</v>
      </c>
      <c r="S72" s="4">
        <v>3307</v>
      </c>
      <c r="T72" s="4">
        <v>6392</v>
      </c>
      <c r="U72" s="4"/>
      <c r="V72" s="5">
        <f t="shared" si="3"/>
        <v>43.733050847457626</v>
      </c>
      <c r="W72" s="5">
        <f t="shared" si="4"/>
        <v>45.956665442526628</v>
      </c>
      <c r="X72" s="5">
        <f t="shared" si="5"/>
        <v>117.84003628666466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2992</v>
      </c>
      <c r="D73" s="4">
        <v>5643</v>
      </c>
      <c r="E73" s="4">
        <v>118797</v>
      </c>
      <c r="F73" s="4">
        <v>92982</v>
      </c>
      <c r="G73" s="4">
        <v>2391</v>
      </c>
      <c r="H73" s="4">
        <v>4436</v>
      </c>
      <c r="I73" s="4">
        <v>3658</v>
      </c>
      <c r="J73" s="4">
        <v>6788</v>
      </c>
      <c r="K73" s="4">
        <v>140760</v>
      </c>
      <c r="L73" s="4">
        <v>155914</v>
      </c>
      <c r="M73" s="4">
        <v>2886</v>
      </c>
      <c r="N73" s="4">
        <v>5389</v>
      </c>
      <c r="O73" s="4">
        <v>4505</v>
      </c>
      <c r="P73" s="4">
        <v>8236</v>
      </c>
      <c r="Q73" s="4">
        <v>429251</v>
      </c>
      <c r="R73" s="4">
        <v>452178</v>
      </c>
      <c r="S73" s="4">
        <v>3643</v>
      </c>
      <c r="T73" s="4">
        <v>8695</v>
      </c>
      <c r="U73" s="4"/>
      <c r="V73" s="5">
        <f t="shared" si="3"/>
        <v>49.685069008782939</v>
      </c>
      <c r="W73" s="5">
        <f t="shared" si="4"/>
        <v>48.773388773388774</v>
      </c>
      <c r="X73" s="5">
        <f t="shared" si="5"/>
        <v>117.82898709854516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10918</v>
      </c>
      <c r="D74" s="4">
        <v>1633</v>
      </c>
      <c r="E74" s="4">
        <v>64903</v>
      </c>
      <c r="F74" s="4">
        <v>4604</v>
      </c>
      <c r="G74" s="4">
        <v>8427</v>
      </c>
      <c r="H74" s="4">
        <v>1316</v>
      </c>
      <c r="I74" s="4">
        <v>16259</v>
      </c>
      <c r="J74" s="4">
        <v>2296</v>
      </c>
      <c r="K74" s="4">
        <v>123021</v>
      </c>
      <c r="L74" s="4">
        <v>8678</v>
      </c>
      <c r="M74" s="4">
        <v>12997</v>
      </c>
      <c r="N74" s="4">
        <v>1923</v>
      </c>
      <c r="O74" s="4">
        <v>30125</v>
      </c>
      <c r="P74" s="4">
        <v>3209</v>
      </c>
      <c r="Q74" s="4">
        <v>447127</v>
      </c>
      <c r="R74" s="4">
        <v>29984</v>
      </c>
      <c r="S74" s="4">
        <v>20239</v>
      </c>
      <c r="T74" s="4">
        <v>2516</v>
      </c>
      <c r="U74" s="4"/>
      <c r="V74" s="5">
        <f t="shared" si="3"/>
        <v>7.7017918594992283</v>
      </c>
      <c r="W74" s="5">
        <f t="shared" si="4"/>
        <v>9.465338154958836</v>
      </c>
      <c r="X74" s="5">
        <f t="shared" si="5"/>
        <v>22.092346459805327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2726</v>
      </c>
      <c r="D75" s="4">
        <v>3006</v>
      </c>
      <c r="E75" s="4">
        <v>8541</v>
      </c>
      <c r="F75" s="4">
        <v>8322</v>
      </c>
      <c r="G75" s="4">
        <v>2182</v>
      </c>
      <c r="H75" s="4">
        <v>2370</v>
      </c>
      <c r="I75" s="4">
        <v>3824</v>
      </c>
      <c r="J75" s="4">
        <v>4264</v>
      </c>
      <c r="K75" s="4">
        <v>14745</v>
      </c>
      <c r="L75" s="4">
        <v>18156</v>
      </c>
      <c r="M75" s="4">
        <v>3019</v>
      </c>
      <c r="N75" s="4">
        <v>3412</v>
      </c>
      <c r="O75" s="4">
        <v>5407</v>
      </c>
      <c r="P75" s="4">
        <v>6303</v>
      </c>
      <c r="Q75" s="4">
        <v>60192</v>
      </c>
      <c r="R75" s="4">
        <v>68697</v>
      </c>
      <c r="S75" s="4">
        <v>4394</v>
      </c>
      <c r="T75" s="4">
        <v>5012</v>
      </c>
      <c r="U75" s="4"/>
      <c r="V75" s="5">
        <f t="shared" si="3"/>
        <v>3.9142988084326307</v>
      </c>
      <c r="W75" s="5">
        <f t="shared" si="4"/>
        <v>4.8840675720437234</v>
      </c>
      <c r="X75" s="5">
        <f t="shared" si="5"/>
        <v>13.698680018206645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5980</v>
      </c>
      <c r="D76" s="4">
        <v>6664</v>
      </c>
      <c r="E76" s="4">
        <v>64980</v>
      </c>
      <c r="F76" s="4">
        <v>73452</v>
      </c>
      <c r="G76" s="4">
        <v>4785</v>
      </c>
      <c r="H76" s="4">
        <v>5132</v>
      </c>
      <c r="I76" s="4">
        <v>8568</v>
      </c>
      <c r="J76" s="4">
        <v>9692</v>
      </c>
      <c r="K76" s="4">
        <v>127704</v>
      </c>
      <c r="L76" s="4">
        <v>130622</v>
      </c>
      <c r="M76" s="4">
        <v>7273</v>
      </c>
      <c r="N76" s="4">
        <v>7790</v>
      </c>
      <c r="O76" s="4">
        <v>12353</v>
      </c>
      <c r="P76" s="4">
        <v>13643</v>
      </c>
      <c r="Q76" s="4">
        <v>404700</v>
      </c>
      <c r="R76" s="4">
        <v>490079</v>
      </c>
      <c r="S76" s="4">
        <v>10819</v>
      </c>
      <c r="T76" s="4">
        <v>11184</v>
      </c>
      <c r="U76" s="4"/>
      <c r="V76" s="5">
        <f t="shared" si="3"/>
        <v>13.579937304075235</v>
      </c>
      <c r="W76" s="5">
        <f t="shared" si="4"/>
        <v>17.558641550941839</v>
      </c>
      <c r="X76" s="5">
        <f t="shared" si="5"/>
        <v>37.40641464090951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1870</v>
      </c>
      <c r="D77" s="4">
        <v>1771</v>
      </c>
      <c r="E77" s="4">
        <v>6156</v>
      </c>
      <c r="F77" s="4">
        <v>5727</v>
      </c>
      <c r="G77" s="4">
        <v>1364</v>
      </c>
      <c r="H77" s="4">
        <v>1354</v>
      </c>
      <c r="I77" s="4">
        <v>2400</v>
      </c>
      <c r="J77" s="4">
        <v>2311</v>
      </c>
      <c r="K77" s="4">
        <v>11323</v>
      </c>
      <c r="L77" s="4">
        <v>9221</v>
      </c>
      <c r="M77" s="4">
        <v>1959</v>
      </c>
      <c r="N77" s="4">
        <v>1925</v>
      </c>
      <c r="O77" s="4">
        <v>3195</v>
      </c>
      <c r="P77" s="4">
        <v>3078</v>
      </c>
      <c r="Q77" s="4">
        <v>41637</v>
      </c>
      <c r="R77" s="4">
        <v>31563</v>
      </c>
      <c r="S77" s="4">
        <v>2558</v>
      </c>
      <c r="T77" s="4">
        <v>2530</v>
      </c>
      <c r="U77" s="4"/>
      <c r="V77" s="5">
        <f t="shared" si="3"/>
        <v>4.5131964809384169</v>
      </c>
      <c r="W77" s="5">
        <f t="shared" si="4"/>
        <v>5.7799897907095454</v>
      </c>
      <c r="X77" s="5">
        <f t="shared" si="5"/>
        <v>16.277169663799842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160</v>
      </c>
      <c r="D78" s="4">
        <v>282</v>
      </c>
      <c r="E78" s="4">
        <v>791</v>
      </c>
      <c r="F78" s="4">
        <v>604</v>
      </c>
      <c r="G78" s="4">
        <v>118</v>
      </c>
      <c r="H78" s="4">
        <v>230</v>
      </c>
      <c r="I78" s="4">
        <v>180</v>
      </c>
      <c r="J78" s="4">
        <v>0</v>
      </c>
      <c r="K78" s="4">
        <v>1414</v>
      </c>
      <c r="L78" s="4">
        <v>0</v>
      </c>
      <c r="M78" s="4">
        <v>144</v>
      </c>
      <c r="N78" s="4">
        <v>269</v>
      </c>
      <c r="O78" s="4">
        <v>209</v>
      </c>
      <c r="P78" s="4">
        <v>427</v>
      </c>
      <c r="Q78" s="4">
        <v>5080</v>
      </c>
      <c r="R78" s="4">
        <v>2286</v>
      </c>
      <c r="S78" s="4">
        <v>179</v>
      </c>
      <c r="T78" s="4">
        <v>327</v>
      </c>
      <c r="U78" s="4"/>
      <c r="V78" s="5">
        <f t="shared" si="3"/>
        <v>6.7033898305084749</v>
      </c>
      <c r="W78" s="5">
        <f t="shared" si="4"/>
        <v>9.8194444444444446</v>
      </c>
      <c r="X78" s="5">
        <f t="shared" si="5"/>
        <v>28.379888268156424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47</v>
      </c>
      <c r="D79" s="4">
        <v>44</v>
      </c>
      <c r="E79" s="4">
        <v>168</v>
      </c>
      <c r="F79" s="4">
        <v>155</v>
      </c>
      <c r="G79" s="4">
        <v>60</v>
      </c>
      <c r="H79" s="4">
        <v>35</v>
      </c>
      <c r="I79" s="4">
        <v>42</v>
      </c>
      <c r="J79" s="4">
        <v>44</v>
      </c>
      <c r="K79" s="4">
        <v>125</v>
      </c>
      <c r="L79" s="4">
        <v>119</v>
      </c>
      <c r="M79" s="4">
        <v>33</v>
      </c>
      <c r="N79" s="4">
        <v>34</v>
      </c>
      <c r="O79" s="4">
        <v>57</v>
      </c>
      <c r="P79" s="4">
        <v>57</v>
      </c>
      <c r="Q79" s="4">
        <v>331</v>
      </c>
      <c r="R79" s="4">
        <v>323</v>
      </c>
      <c r="S79" s="4">
        <v>46</v>
      </c>
      <c r="T79" s="4">
        <v>46</v>
      </c>
      <c r="U79" s="4"/>
      <c r="V79" s="5">
        <f t="shared" si="3"/>
        <v>2.8</v>
      </c>
      <c r="W79" s="5">
        <f t="shared" si="4"/>
        <v>3.7878787878787881</v>
      </c>
      <c r="X79" s="5">
        <f t="shared" si="5"/>
        <v>7.1956521739130439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1008</v>
      </c>
      <c r="D80" s="4">
        <v>1203</v>
      </c>
      <c r="E80" s="4">
        <v>3435</v>
      </c>
      <c r="F80" s="4">
        <v>2420</v>
      </c>
      <c r="G80" s="4">
        <v>831</v>
      </c>
      <c r="H80" s="4">
        <v>879</v>
      </c>
      <c r="I80" s="4">
        <v>1471</v>
      </c>
      <c r="J80" s="4">
        <v>1293</v>
      </c>
      <c r="K80" s="4">
        <v>4338</v>
      </c>
      <c r="L80" s="4">
        <v>3477</v>
      </c>
      <c r="M80" s="4">
        <v>1197</v>
      </c>
      <c r="N80" s="4">
        <v>1066</v>
      </c>
      <c r="O80" s="4">
        <v>1613</v>
      </c>
      <c r="P80" s="4">
        <v>1665</v>
      </c>
      <c r="Q80" s="4">
        <v>13301</v>
      </c>
      <c r="R80" s="4">
        <v>7352</v>
      </c>
      <c r="S80" s="4">
        <v>1361</v>
      </c>
      <c r="T80" s="4">
        <v>1439</v>
      </c>
      <c r="U80" s="4"/>
      <c r="V80" s="5">
        <f t="shared" si="3"/>
        <v>4.1335740072202167</v>
      </c>
      <c r="W80" s="5">
        <f t="shared" si="4"/>
        <v>3.6240601503759398</v>
      </c>
      <c r="X80" s="5">
        <f t="shared" si="5"/>
        <v>9.7729610580455546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31</v>
      </c>
      <c r="D81" s="4">
        <v>30</v>
      </c>
      <c r="E81" s="4">
        <v>158</v>
      </c>
      <c r="F81" s="4">
        <v>319</v>
      </c>
      <c r="G81" s="4">
        <v>26</v>
      </c>
      <c r="H81" s="4">
        <v>26</v>
      </c>
      <c r="I81" s="4">
        <v>63</v>
      </c>
      <c r="J81" s="4">
        <v>42</v>
      </c>
      <c r="K81" s="4">
        <v>620</v>
      </c>
      <c r="L81" s="4">
        <v>557</v>
      </c>
      <c r="M81" s="4">
        <v>33</v>
      </c>
      <c r="N81" s="4">
        <v>56</v>
      </c>
      <c r="O81" s="4">
        <v>48</v>
      </c>
      <c r="P81" s="4">
        <v>50</v>
      </c>
      <c r="Q81" s="4">
        <v>1134</v>
      </c>
      <c r="R81" s="4">
        <v>910</v>
      </c>
      <c r="S81" s="4">
        <v>36</v>
      </c>
      <c r="T81" s="4">
        <v>36</v>
      </c>
      <c r="U81" s="4"/>
      <c r="V81" s="5">
        <f t="shared" si="3"/>
        <v>6.0769230769230766</v>
      </c>
      <c r="W81" s="5">
        <f t="shared" si="4"/>
        <v>18.787878787878789</v>
      </c>
      <c r="X81" s="5">
        <f t="shared" si="5"/>
        <v>31.5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346</v>
      </c>
      <c r="D82" s="4">
        <v>389</v>
      </c>
      <c r="E82" s="4">
        <v>3284</v>
      </c>
      <c r="F82" s="4">
        <v>3443</v>
      </c>
      <c r="G82" s="4">
        <v>258</v>
      </c>
      <c r="H82" s="4">
        <v>280</v>
      </c>
      <c r="I82" s="4">
        <v>438</v>
      </c>
      <c r="J82" s="4">
        <v>466</v>
      </c>
      <c r="K82" s="4">
        <v>4645</v>
      </c>
      <c r="L82" s="4">
        <v>5093</v>
      </c>
      <c r="M82" s="4">
        <v>329</v>
      </c>
      <c r="N82" s="4">
        <v>365</v>
      </c>
      <c r="O82" s="4">
        <v>498</v>
      </c>
      <c r="P82" s="4">
        <v>556</v>
      </c>
      <c r="Q82" s="4">
        <v>16156</v>
      </c>
      <c r="R82" s="4">
        <v>15564</v>
      </c>
      <c r="S82" s="4">
        <v>367</v>
      </c>
      <c r="T82" s="4">
        <v>415</v>
      </c>
      <c r="U82" s="4"/>
      <c r="V82" s="5">
        <f t="shared" si="3"/>
        <v>12.728682170542635</v>
      </c>
      <c r="W82" s="5">
        <f t="shared" si="4"/>
        <v>14.118541033434651</v>
      </c>
      <c r="X82" s="5">
        <f t="shared" si="5"/>
        <v>44.021798365122613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255</v>
      </c>
      <c r="D83" s="4">
        <v>414</v>
      </c>
      <c r="E83" s="4">
        <v>1360</v>
      </c>
      <c r="F83" s="4">
        <v>1764</v>
      </c>
      <c r="G83" s="4">
        <v>304</v>
      </c>
      <c r="H83" s="4">
        <v>305</v>
      </c>
      <c r="I83" s="4">
        <v>316</v>
      </c>
      <c r="J83" s="4">
        <v>508</v>
      </c>
      <c r="K83" s="4">
        <v>2076</v>
      </c>
      <c r="L83" s="4">
        <v>3345</v>
      </c>
      <c r="M83" s="4">
        <v>241</v>
      </c>
      <c r="N83" s="4">
        <v>395</v>
      </c>
      <c r="O83" s="4">
        <v>386</v>
      </c>
      <c r="P83" s="4">
        <v>601</v>
      </c>
      <c r="Q83" s="4">
        <v>5994</v>
      </c>
      <c r="R83" s="4">
        <v>6495</v>
      </c>
      <c r="S83" s="4">
        <v>347</v>
      </c>
      <c r="T83" s="4">
        <v>439</v>
      </c>
      <c r="U83" s="4"/>
      <c r="V83" s="5">
        <f t="shared" si="3"/>
        <v>4.4736842105263159</v>
      </c>
      <c r="W83" s="5">
        <f t="shared" si="4"/>
        <v>8.614107883817427</v>
      </c>
      <c r="X83" s="5">
        <f t="shared" si="5"/>
        <v>17.273775216138329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352</v>
      </c>
      <c r="D84" s="4">
        <v>370</v>
      </c>
      <c r="E84" s="4">
        <v>1310</v>
      </c>
      <c r="F84" s="4">
        <v>1734</v>
      </c>
      <c r="G84" s="4">
        <v>263</v>
      </c>
      <c r="H84" s="4">
        <v>295</v>
      </c>
      <c r="I84" s="4">
        <v>463</v>
      </c>
      <c r="J84" s="4">
        <v>598</v>
      </c>
      <c r="K84" s="4">
        <v>2216</v>
      </c>
      <c r="L84" s="4">
        <v>2266</v>
      </c>
      <c r="M84" s="4">
        <v>379</v>
      </c>
      <c r="N84" s="4">
        <v>372</v>
      </c>
      <c r="O84" s="4">
        <v>520</v>
      </c>
      <c r="P84" s="4">
        <v>561</v>
      </c>
      <c r="Q84" s="4">
        <v>5937</v>
      </c>
      <c r="R84" s="4">
        <v>5798</v>
      </c>
      <c r="S84" s="4">
        <v>387</v>
      </c>
      <c r="T84" s="4">
        <v>420</v>
      </c>
      <c r="U84" s="4"/>
      <c r="V84" s="5">
        <f t="shared" si="3"/>
        <v>4.9809885931558933</v>
      </c>
      <c r="W84" s="5">
        <f t="shared" si="4"/>
        <v>5.8469656992084431</v>
      </c>
      <c r="X84" s="5">
        <f t="shared" si="5"/>
        <v>15.34108527131783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587</v>
      </c>
      <c r="D85" s="4">
        <v>639</v>
      </c>
      <c r="E85" s="4">
        <v>2388</v>
      </c>
      <c r="F85" s="4">
        <v>2519</v>
      </c>
      <c r="G85" s="4">
        <v>483</v>
      </c>
      <c r="H85" s="4">
        <v>488</v>
      </c>
      <c r="I85" s="4">
        <v>707</v>
      </c>
      <c r="J85" s="4">
        <v>733</v>
      </c>
      <c r="K85" s="4">
        <v>3587</v>
      </c>
      <c r="L85" s="4">
        <v>3451</v>
      </c>
      <c r="M85" s="4">
        <v>592</v>
      </c>
      <c r="N85" s="4">
        <v>622</v>
      </c>
      <c r="O85" s="4">
        <v>835</v>
      </c>
      <c r="P85" s="4">
        <v>857</v>
      </c>
      <c r="Q85" s="4">
        <v>9838</v>
      </c>
      <c r="R85" s="4">
        <v>9477</v>
      </c>
      <c r="S85" s="4">
        <v>643</v>
      </c>
      <c r="T85" s="4">
        <v>686</v>
      </c>
      <c r="U85" s="4"/>
      <c r="V85" s="5">
        <f t="shared" si="3"/>
        <v>4.9440993788819876</v>
      </c>
      <c r="W85" s="5">
        <f t="shared" si="4"/>
        <v>6.0591216216216219</v>
      </c>
      <c r="X85" s="5">
        <f t="shared" si="5"/>
        <v>15.300155520995334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280</v>
      </c>
      <c r="D86" s="4">
        <v>268</v>
      </c>
      <c r="E86" s="4">
        <v>973</v>
      </c>
      <c r="F86" s="4">
        <v>928</v>
      </c>
      <c r="G86" s="4">
        <v>196</v>
      </c>
      <c r="H86" s="4">
        <v>226</v>
      </c>
      <c r="I86" s="4">
        <v>323</v>
      </c>
      <c r="J86" s="4">
        <v>360</v>
      </c>
      <c r="K86" s="4">
        <v>1286</v>
      </c>
      <c r="L86" s="4">
        <v>1627</v>
      </c>
      <c r="M86" s="4">
        <v>265</v>
      </c>
      <c r="N86" s="4">
        <v>395</v>
      </c>
      <c r="O86" s="4">
        <v>405</v>
      </c>
      <c r="P86" s="4">
        <v>430</v>
      </c>
      <c r="Q86" s="4">
        <v>3242</v>
      </c>
      <c r="R86" s="4">
        <v>3071</v>
      </c>
      <c r="S86" s="4">
        <v>326</v>
      </c>
      <c r="T86" s="4">
        <v>351</v>
      </c>
      <c r="U86" s="4"/>
      <c r="V86" s="5">
        <f t="shared" si="3"/>
        <v>4.9642857142857144</v>
      </c>
      <c r="W86" s="5">
        <f t="shared" si="4"/>
        <v>4.8528301886792455</v>
      </c>
      <c r="X86" s="5">
        <f t="shared" si="5"/>
        <v>9.9447852760736204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315</v>
      </c>
      <c r="D87" s="4">
        <v>380</v>
      </c>
      <c r="E87" s="4">
        <v>1326</v>
      </c>
      <c r="F87" s="4">
        <v>1140</v>
      </c>
      <c r="G87" s="4">
        <v>237</v>
      </c>
      <c r="H87" s="4">
        <v>274</v>
      </c>
      <c r="I87" s="4">
        <v>496</v>
      </c>
      <c r="J87" s="4">
        <v>562</v>
      </c>
      <c r="K87" s="4">
        <v>1615</v>
      </c>
      <c r="L87" s="4">
        <v>1713</v>
      </c>
      <c r="M87" s="4">
        <v>379</v>
      </c>
      <c r="N87" s="4">
        <v>417</v>
      </c>
      <c r="O87" s="4">
        <v>647</v>
      </c>
      <c r="P87" s="4">
        <v>869</v>
      </c>
      <c r="Q87" s="4">
        <v>3492</v>
      </c>
      <c r="R87" s="4">
        <v>3966</v>
      </c>
      <c r="S87" s="4">
        <v>509</v>
      </c>
      <c r="T87" s="4">
        <v>549</v>
      </c>
      <c r="U87" s="4"/>
      <c r="V87" s="5">
        <f t="shared" si="3"/>
        <v>5.5949367088607591</v>
      </c>
      <c r="W87" s="5">
        <f t="shared" si="4"/>
        <v>4.2612137203166229</v>
      </c>
      <c r="X87" s="5">
        <f t="shared" si="5"/>
        <v>6.860510805500982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2748</v>
      </c>
      <c r="D88" s="4">
        <v>3344</v>
      </c>
      <c r="E88" s="4">
        <v>15664</v>
      </c>
      <c r="F88" s="4">
        <v>13634</v>
      </c>
      <c r="G88" s="4">
        <v>2105</v>
      </c>
      <c r="H88" s="4">
        <v>2573</v>
      </c>
      <c r="I88" s="4">
        <v>4044</v>
      </c>
      <c r="J88" s="4">
        <v>5038</v>
      </c>
      <c r="K88" s="4">
        <v>22563</v>
      </c>
      <c r="L88" s="4">
        <v>30822</v>
      </c>
      <c r="M88" s="4">
        <v>4152</v>
      </c>
      <c r="N88" s="4">
        <v>4020</v>
      </c>
      <c r="O88" s="4">
        <v>5485</v>
      </c>
      <c r="P88" s="4">
        <v>7363</v>
      </c>
      <c r="Q88" s="4">
        <v>83541</v>
      </c>
      <c r="R88" s="4">
        <v>115564</v>
      </c>
      <c r="S88" s="4">
        <v>4561</v>
      </c>
      <c r="T88" s="4">
        <v>5994</v>
      </c>
      <c r="U88" s="4"/>
      <c r="V88" s="5">
        <f t="shared" si="3"/>
        <v>7.4413301662707836</v>
      </c>
      <c r="W88" s="5">
        <f t="shared" si="4"/>
        <v>5.4342485549132951</v>
      </c>
      <c r="X88" s="5">
        <f t="shared" si="5"/>
        <v>18.316377987283492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5280</v>
      </c>
      <c r="D89" s="4">
        <v>7448</v>
      </c>
      <c r="E89" s="4">
        <v>19475</v>
      </c>
      <c r="F89" s="4">
        <v>24289</v>
      </c>
      <c r="G89" s="4">
        <v>3956</v>
      </c>
      <c r="H89" s="4">
        <v>5179</v>
      </c>
      <c r="I89" s="4">
        <v>7575</v>
      </c>
      <c r="J89" s="4">
        <v>10259</v>
      </c>
      <c r="K89" s="4">
        <v>36189</v>
      </c>
      <c r="L89" s="4">
        <v>47716</v>
      </c>
      <c r="M89" s="4">
        <v>5771</v>
      </c>
      <c r="N89" s="4">
        <v>7837</v>
      </c>
      <c r="O89" s="4">
        <v>12252</v>
      </c>
      <c r="P89" s="4">
        <v>14532</v>
      </c>
      <c r="Q89" s="4">
        <v>115174</v>
      </c>
      <c r="R89" s="4">
        <v>179999</v>
      </c>
      <c r="S89" s="4">
        <v>7955</v>
      </c>
      <c r="T89" s="4">
        <v>10976</v>
      </c>
      <c r="U89" s="4"/>
      <c r="V89" s="5">
        <f t="shared" si="3"/>
        <v>4.9229019211324569</v>
      </c>
      <c r="W89" s="5">
        <f t="shared" si="4"/>
        <v>6.2708369433373763</v>
      </c>
      <c r="X89" s="5">
        <f t="shared" si="5"/>
        <v>14.478189817724701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323</v>
      </c>
      <c r="D90" s="4">
        <v>406</v>
      </c>
      <c r="E90" s="4">
        <v>1907</v>
      </c>
      <c r="F90" s="4">
        <v>2087</v>
      </c>
      <c r="G90" s="4">
        <v>244</v>
      </c>
      <c r="H90" s="4">
        <v>309</v>
      </c>
      <c r="I90" s="4">
        <v>427</v>
      </c>
      <c r="J90" s="4">
        <v>529</v>
      </c>
      <c r="K90" s="4">
        <v>2873</v>
      </c>
      <c r="L90" s="4">
        <v>2854</v>
      </c>
      <c r="M90" s="4">
        <v>332</v>
      </c>
      <c r="N90" s="4">
        <v>414</v>
      </c>
      <c r="O90" s="4">
        <v>527</v>
      </c>
      <c r="P90" s="4">
        <v>592</v>
      </c>
      <c r="Q90" s="4">
        <v>7312</v>
      </c>
      <c r="R90" s="4">
        <v>7590</v>
      </c>
      <c r="S90" s="4">
        <v>377</v>
      </c>
      <c r="T90" s="4">
        <v>566</v>
      </c>
      <c r="U90" s="4"/>
      <c r="V90" s="5">
        <f t="shared" si="3"/>
        <v>7.8155737704918034</v>
      </c>
      <c r="W90" s="5">
        <f t="shared" si="4"/>
        <v>8.6536144578313259</v>
      </c>
      <c r="X90" s="5">
        <f t="shared" si="5"/>
        <v>19.395225464190982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454</v>
      </c>
      <c r="D91" s="4">
        <v>712</v>
      </c>
      <c r="E91" s="4">
        <v>2719</v>
      </c>
      <c r="F91" s="4">
        <v>2991</v>
      </c>
      <c r="G91" s="4">
        <v>353</v>
      </c>
      <c r="H91" s="4">
        <v>548</v>
      </c>
      <c r="I91" s="4">
        <v>578</v>
      </c>
      <c r="J91" s="4">
        <v>843</v>
      </c>
      <c r="K91" s="4">
        <v>3978</v>
      </c>
      <c r="L91" s="4">
        <v>4423</v>
      </c>
      <c r="M91" s="4">
        <v>487</v>
      </c>
      <c r="N91" s="4">
        <v>688</v>
      </c>
      <c r="O91" s="4">
        <v>685</v>
      </c>
      <c r="P91" s="4">
        <v>985</v>
      </c>
      <c r="Q91" s="4">
        <v>11294</v>
      </c>
      <c r="R91" s="4">
        <v>16400</v>
      </c>
      <c r="S91" s="4">
        <v>599</v>
      </c>
      <c r="T91" s="4">
        <v>782</v>
      </c>
      <c r="U91" s="4"/>
      <c r="V91" s="5">
        <f t="shared" si="3"/>
        <v>7.7025495750708215</v>
      </c>
      <c r="W91" s="5">
        <f t="shared" si="4"/>
        <v>8.1683778234086244</v>
      </c>
      <c r="X91" s="5">
        <f t="shared" si="5"/>
        <v>18.854757929883139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65</v>
      </c>
      <c r="D92" s="4">
        <v>55</v>
      </c>
      <c r="E92" s="4">
        <v>548</v>
      </c>
      <c r="F92" s="4">
        <v>463</v>
      </c>
      <c r="G92" s="4">
        <v>52</v>
      </c>
      <c r="H92" s="4">
        <v>42</v>
      </c>
      <c r="I92" s="4">
        <v>70</v>
      </c>
      <c r="J92" s="4">
        <v>74</v>
      </c>
      <c r="K92" s="4">
        <v>671</v>
      </c>
      <c r="L92" s="4">
        <v>733</v>
      </c>
      <c r="M92" s="4">
        <v>55</v>
      </c>
      <c r="N92" s="4">
        <v>56</v>
      </c>
      <c r="O92" s="4">
        <v>81</v>
      </c>
      <c r="P92" s="4">
        <v>88</v>
      </c>
      <c r="Q92" s="4">
        <v>1097</v>
      </c>
      <c r="R92" s="4">
        <v>1241</v>
      </c>
      <c r="S92" s="4">
        <v>64</v>
      </c>
      <c r="T92" s="4">
        <v>66</v>
      </c>
      <c r="U92" s="4"/>
      <c r="V92" s="5">
        <f t="shared" si="3"/>
        <v>10.538461538461538</v>
      </c>
      <c r="W92" s="5">
        <f t="shared" si="4"/>
        <v>12.2</v>
      </c>
      <c r="X92" s="5">
        <f t="shared" si="5"/>
        <v>17.140625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362</v>
      </c>
      <c r="D93" s="4">
        <v>556</v>
      </c>
      <c r="E93" s="4">
        <v>1656</v>
      </c>
      <c r="F93" s="4">
        <v>2005</v>
      </c>
      <c r="G93" s="4">
        <v>283</v>
      </c>
      <c r="H93" s="4">
        <v>436</v>
      </c>
      <c r="I93" s="4">
        <v>428</v>
      </c>
      <c r="J93" s="4">
        <v>653</v>
      </c>
      <c r="K93" s="4">
        <v>2258</v>
      </c>
      <c r="L93" s="4">
        <v>2765</v>
      </c>
      <c r="M93" s="4">
        <v>367</v>
      </c>
      <c r="N93" s="4">
        <v>550</v>
      </c>
      <c r="O93" s="4">
        <v>503</v>
      </c>
      <c r="P93" s="4">
        <v>777</v>
      </c>
      <c r="Q93" s="4">
        <v>6893</v>
      </c>
      <c r="R93" s="4">
        <v>8382</v>
      </c>
      <c r="S93" s="4">
        <v>407</v>
      </c>
      <c r="T93" s="4">
        <v>648</v>
      </c>
      <c r="U93" s="4"/>
      <c r="V93" s="5">
        <f t="shared" si="3"/>
        <v>5.851590106007067</v>
      </c>
      <c r="W93" s="5">
        <f t="shared" si="4"/>
        <v>6.1525885558583102</v>
      </c>
      <c r="X93" s="5">
        <f t="shared" si="5"/>
        <v>16.936117936117935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129</v>
      </c>
      <c r="D94" s="4">
        <v>176</v>
      </c>
      <c r="E94" s="4">
        <v>573</v>
      </c>
      <c r="F94" s="4">
        <v>670</v>
      </c>
      <c r="G94" s="4">
        <v>101</v>
      </c>
      <c r="H94" s="4">
        <v>138</v>
      </c>
      <c r="I94" s="4">
        <v>163</v>
      </c>
      <c r="J94" s="4">
        <v>216</v>
      </c>
      <c r="K94" s="4">
        <v>799</v>
      </c>
      <c r="L94" s="4">
        <v>708</v>
      </c>
      <c r="M94" s="4">
        <v>132</v>
      </c>
      <c r="N94" s="4">
        <v>184</v>
      </c>
      <c r="O94" s="4">
        <v>188</v>
      </c>
      <c r="P94" s="4">
        <v>257</v>
      </c>
      <c r="Q94" s="4">
        <v>2453</v>
      </c>
      <c r="R94" s="4">
        <v>2569</v>
      </c>
      <c r="S94" s="4">
        <v>152</v>
      </c>
      <c r="T94" s="4">
        <v>202</v>
      </c>
      <c r="U94" s="4"/>
      <c r="V94" s="5">
        <f t="shared" si="3"/>
        <v>5.673267326732673</v>
      </c>
      <c r="W94" s="5">
        <f t="shared" si="4"/>
        <v>6.0530303030303028</v>
      </c>
      <c r="X94" s="5">
        <f t="shared" si="5"/>
        <v>16.138157894736842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119</v>
      </c>
      <c r="D95" s="4">
        <v>159</v>
      </c>
      <c r="E95" s="4">
        <v>511</v>
      </c>
      <c r="F95" s="4">
        <v>514</v>
      </c>
      <c r="G95" s="4">
        <v>104</v>
      </c>
      <c r="H95" s="4">
        <v>125</v>
      </c>
      <c r="I95" s="4">
        <v>150</v>
      </c>
      <c r="J95" s="4">
        <v>198</v>
      </c>
      <c r="K95" s="4">
        <v>720</v>
      </c>
      <c r="L95" s="4">
        <v>798</v>
      </c>
      <c r="M95" s="4">
        <v>121</v>
      </c>
      <c r="N95" s="4">
        <v>168</v>
      </c>
      <c r="O95" s="4">
        <v>173</v>
      </c>
      <c r="P95" s="4">
        <v>236</v>
      </c>
      <c r="Q95" s="4">
        <v>2092</v>
      </c>
      <c r="R95" s="4">
        <v>2596</v>
      </c>
      <c r="S95" s="4">
        <v>135</v>
      </c>
      <c r="T95" s="4">
        <v>201</v>
      </c>
      <c r="U95" s="4"/>
      <c r="V95" s="5">
        <f t="shared" si="3"/>
        <v>4.9134615384615383</v>
      </c>
      <c r="W95" s="5">
        <f t="shared" si="4"/>
        <v>5.9504132231404956</v>
      </c>
      <c r="X95" s="5">
        <f t="shared" si="5"/>
        <v>15.496296296296297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258</v>
      </c>
      <c r="D96" s="4">
        <v>262</v>
      </c>
      <c r="E96" s="4">
        <v>890</v>
      </c>
      <c r="F96" s="4">
        <v>796</v>
      </c>
      <c r="G96" s="4">
        <v>200</v>
      </c>
      <c r="H96" s="4">
        <v>214</v>
      </c>
      <c r="I96" s="4">
        <v>301</v>
      </c>
      <c r="J96" s="4">
        <v>334</v>
      </c>
      <c r="K96" s="4">
        <v>1238</v>
      </c>
      <c r="L96" s="4">
        <v>1341</v>
      </c>
      <c r="M96" s="4">
        <v>250</v>
      </c>
      <c r="N96" s="4">
        <v>286</v>
      </c>
      <c r="O96" s="4">
        <v>347</v>
      </c>
      <c r="P96" s="4">
        <v>383</v>
      </c>
      <c r="Q96" s="4">
        <v>3169</v>
      </c>
      <c r="R96" s="4">
        <v>3831</v>
      </c>
      <c r="S96" s="4">
        <v>291</v>
      </c>
      <c r="T96" s="4">
        <v>323</v>
      </c>
      <c r="U96" s="4"/>
      <c r="V96" s="5">
        <f t="shared" si="3"/>
        <v>4.45</v>
      </c>
      <c r="W96" s="5">
        <f t="shared" si="4"/>
        <v>4.952</v>
      </c>
      <c r="X96" s="5">
        <f t="shared" si="5"/>
        <v>10.890034364261169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315</v>
      </c>
      <c r="D97" s="4">
        <v>294</v>
      </c>
      <c r="E97" s="4">
        <v>1155</v>
      </c>
      <c r="F97" s="4">
        <v>1173</v>
      </c>
      <c r="G97" s="4">
        <v>231</v>
      </c>
      <c r="H97" s="4">
        <v>258</v>
      </c>
      <c r="I97" s="4">
        <v>332</v>
      </c>
      <c r="J97" s="4">
        <v>358</v>
      </c>
      <c r="K97" s="4">
        <v>2013</v>
      </c>
      <c r="L97" s="4">
        <v>2037</v>
      </c>
      <c r="M97" s="4">
        <v>285</v>
      </c>
      <c r="N97" s="4">
        <v>306</v>
      </c>
      <c r="O97" s="4">
        <v>400</v>
      </c>
      <c r="P97" s="4">
        <v>423</v>
      </c>
      <c r="Q97" s="4">
        <v>7734</v>
      </c>
      <c r="R97" s="4">
        <v>7192</v>
      </c>
      <c r="S97" s="4">
        <v>332</v>
      </c>
      <c r="T97" s="4">
        <v>349</v>
      </c>
      <c r="U97" s="4"/>
      <c r="V97" s="5">
        <f t="shared" si="3"/>
        <v>5</v>
      </c>
      <c r="W97" s="5">
        <f t="shared" si="4"/>
        <v>7.0631578947368423</v>
      </c>
      <c r="X97" s="5">
        <f t="shared" si="5"/>
        <v>23.295180722891565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311</v>
      </c>
      <c r="D98" s="4">
        <v>313</v>
      </c>
      <c r="E98" s="4">
        <v>862</v>
      </c>
      <c r="F98" s="4">
        <v>895</v>
      </c>
      <c r="G98" s="4">
        <v>241</v>
      </c>
      <c r="H98" s="4">
        <v>267</v>
      </c>
      <c r="I98" s="4">
        <v>507</v>
      </c>
      <c r="J98" s="4">
        <v>529</v>
      </c>
      <c r="K98" s="4">
        <v>1170</v>
      </c>
      <c r="L98" s="4">
        <v>1254</v>
      </c>
      <c r="M98" s="4">
        <v>398</v>
      </c>
      <c r="N98" s="4">
        <v>437</v>
      </c>
      <c r="O98" s="4">
        <v>546</v>
      </c>
      <c r="P98" s="4">
        <v>555</v>
      </c>
      <c r="Q98" s="4">
        <v>2821</v>
      </c>
      <c r="R98" s="4">
        <v>3193</v>
      </c>
      <c r="S98" s="4">
        <v>542</v>
      </c>
      <c r="T98" s="4">
        <v>452</v>
      </c>
      <c r="U98" s="4"/>
      <c r="V98" s="5">
        <f t="shared" si="3"/>
        <v>3.5767634854771786</v>
      </c>
      <c r="W98" s="5">
        <f t="shared" si="4"/>
        <v>2.9396984924623117</v>
      </c>
      <c r="X98" s="5">
        <f t="shared" si="5"/>
        <v>5.2047970479704793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3159</v>
      </c>
      <c r="D99" s="4">
        <v>3687</v>
      </c>
      <c r="E99" s="4">
        <v>13356</v>
      </c>
      <c r="F99" s="4">
        <v>13495</v>
      </c>
      <c r="G99" s="4">
        <v>2371</v>
      </c>
      <c r="H99" s="4">
        <v>2828</v>
      </c>
      <c r="I99" s="4">
        <v>4591</v>
      </c>
      <c r="J99" s="4">
        <v>5223</v>
      </c>
      <c r="K99" s="4">
        <v>25315</v>
      </c>
      <c r="L99" s="4">
        <v>27071</v>
      </c>
      <c r="M99" s="4">
        <v>3573</v>
      </c>
      <c r="N99" s="4">
        <v>4208</v>
      </c>
      <c r="O99" s="4">
        <v>6348</v>
      </c>
      <c r="P99" s="4">
        <v>7056</v>
      </c>
      <c r="Q99" s="4">
        <v>99210</v>
      </c>
      <c r="R99" s="4">
        <v>98900</v>
      </c>
      <c r="S99" s="4">
        <v>5142</v>
      </c>
      <c r="T99" s="4">
        <v>6218</v>
      </c>
      <c r="U99" s="4"/>
      <c r="V99" s="5">
        <f t="shared" si="3"/>
        <v>5.6330662167861663</v>
      </c>
      <c r="W99" s="5">
        <f t="shared" si="4"/>
        <v>7.0850825636719845</v>
      </c>
      <c r="X99" s="5">
        <f t="shared" si="5"/>
        <v>19.294049008168027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2062</v>
      </c>
      <c r="D100" s="4">
        <v>2318</v>
      </c>
      <c r="E100" s="4">
        <v>9651</v>
      </c>
      <c r="F100" s="4">
        <v>12248</v>
      </c>
      <c r="G100" s="4">
        <v>1686</v>
      </c>
      <c r="H100" s="4">
        <v>1809</v>
      </c>
      <c r="I100" s="4">
        <v>2558</v>
      </c>
      <c r="J100" s="4">
        <v>2814</v>
      </c>
      <c r="K100" s="4">
        <v>14882</v>
      </c>
      <c r="L100" s="4">
        <v>16699</v>
      </c>
      <c r="M100" s="4">
        <v>2147</v>
      </c>
      <c r="N100" s="4">
        <v>2281</v>
      </c>
      <c r="O100" s="4">
        <v>3103</v>
      </c>
      <c r="P100" s="4">
        <v>4192</v>
      </c>
      <c r="Q100" s="4">
        <v>54642</v>
      </c>
      <c r="R100" s="4">
        <v>53125</v>
      </c>
      <c r="S100" s="4">
        <v>2545</v>
      </c>
      <c r="T100" s="4">
        <v>2834</v>
      </c>
      <c r="U100" s="4"/>
      <c r="V100" s="5">
        <f t="shared" si="3"/>
        <v>5.7241992882562274</v>
      </c>
      <c r="W100" s="5">
        <f t="shared" si="4"/>
        <v>6.9315323707498839</v>
      </c>
      <c r="X100" s="5">
        <f t="shared" si="5"/>
        <v>21.470333988212182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586</v>
      </c>
      <c r="D101" s="4">
        <v>673</v>
      </c>
      <c r="E101" s="4">
        <v>3037</v>
      </c>
      <c r="F101" s="4">
        <v>3126</v>
      </c>
      <c r="G101" s="4">
        <v>464</v>
      </c>
      <c r="H101" s="4">
        <v>550</v>
      </c>
      <c r="I101" s="4">
        <v>723</v>
      </c>
      <c r="J101" s="4">
        <v>848</v>
      </c>
      <c r="K101" s="4">
        <v>5105</v>
      </c>
      <c r="L101" s="4">
        <v>5318</v>
      </c>
      <c r="M101" s="4">
        <v>582</v>
      </c>
      <c r="N101" s="4">
        <v>708</v>
      </c>
      <c r="O101" s="4">
        <v>866</v>
      </c>
      <c r="P101" s="4">
        <v>978</v>
      </c>
      <c r="Q101" s="4">
        <v>15239</v>
      </c>
      <c r="R101" s="4">
        <v>16460</v>
      </c>
      <c r="S101" s="4">
        <v>888</v>
      </c>
      <c r="T101" s="4">
        <v>810</v>
      </c>
      <c r="U101" s="4"/>
      <c r="V101" s="5">
        <f t="shared" si="3"/>
        <v>6.5452586206896548</v>
      </c>
      <c r="W101" s="5">
        <f t="shared" si="4"/>
        <v>8.7714776632302414</v>
      </c>
      <c r="X101" s="5">
        <f t="shared" si="5"/>
        <v>17.161036036036037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133</v>
      </c>
      <c r="D102" s="4">
        <v>159</v>
      </c>
      <c r="E102" s="4">
        <v>534</v>
      </c>
      <c r="F102" s="4">
        <v>717</v>
      </c>
      <c r="G102" s="4">
        <v>108</v>
      </c>
      <c r="H102" s="4">
        <v>125</v>
      </c>
      <c r="I102" s="4">
        <v>169</v>
      </c>
      <c r="J102" s="4">
        <v>195</v>
      </c>
      <c r="K102" s="4">
        <v>820</v>
      </c>
      <c r="L102" s="4">
        <v>1024</v>
      </c>
      <c r="M102" s="4">
        <v>136</v>
      </c>
      <c r="N102" s="4">
        <v>168</v>
      </c>
      <c r="O102" s="4">
        <v>201</v>
      </c>
      <c r="P102" s="4">
        <v>266</v>
      </c>
      <c r="Q102" s="4">
        <v>2778</v>
      </c>
      <c r="R102" s="4">
        <v>3241</v>
      </c>
      <c r="S102" s="4">
        <v>194</v>
      </c>
      <c r="T102" s="4">
        <v>181</v>
      </c>
      <c r="U102" s="4"/>
      <c r="V102" s="5">
        <f t="shared" si="3"/>
        <v>4.9444444444444446</v>
      </c>
      <c r="W102" s="5">
        <f t="shared" si="4"/>
        <v>6.0294117647058822</v>
      </c>
      <c r="X102" s="5">
        <f t="shared" si="5"/>
        <v>14.31958762886598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54</v>
      </c>
      <c r="D103" s="4">
        <v>58</v>
      </c>
      <c r="E103" s="4">
        <v>400</v>
      </c>
      <c r="F103" s="4">
        <v>331</v>
      </c>
      <c r="G103" s="4">
        <v>41</v>
      </c>
      <c r="H103" s="4">
        <v>41</v>
      </c>
      <c r="I103" s="4">
        <v>68</v>
      </c>
      <c r="J103" s="4">
        <v>70</v>
      </c>
      <c r="K103" s="4">
        <v>503</v>
      </c>
      <c r="L103" s="4">
        <v>495</v>
      </c>
      <c r="M103" s="4">
        <v>55</v>
      </c>
      <c r="N103" s="4">
        <v>56</v>
      </c>
      <c r="O103" s="4">
        <v>84</v>
      </c>
      <c r="P103" s="4">
        <v>89</v>
      </c>
      <c r="Q103" s="4">
        <v>1383</v>
      </c>
      <c r="R103" s="4">
        <v>1494</v>
      </c>
      <c r="S103" s="4">
        <v>62</v>
      </c>
      <c r="T103" s="4">
        <v>67</v>
      </c>
      <c r="U103" s="4"/>
      <c r="V103" s="5">
        <f t="shared" si="3"/>
        <v>9.7560975609756095</v>
      </c>
      <c r="W103" s="5">
        <f t="shared" si="4"/>
        <v>9.1454545454545446</v>
      </c>
      <c r="X103" s="5">
        <f t="shared" si="5"/>
        <v>22.306451612903224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1155</v>
      </c>
      <c r="D104" s="4">
        <v>1310</v>
      </c>
      <c r="E104" s="4">
        <v>3681</v>
      </c>
      <c r="F104" s="4">
        <v>3754</v>
      </c>
      <c r="G104" s="4">
        <v>997</v>
      </c>
      <c r="H104" s="4">
        <v>1071</v>
      </c>
      <c r="I104" s="4">
        <v>1336</v>
      </c>
      <c r="J104" s="4">
        <v>1566</v>
      </c>
      <c r="K104" s="4">
        <v>5205</v>
      </c>
      <c r="L104" s="4">
        <v>6552</v>
      </c>
      <c r="M104" s="4">
        <v>1088</v>
      </c>
      <c r="N104" s="4">
        <v>1267</v>
      </c>
      <c r="O104" s="4">
        <v>1500</v>
      </c>
      <c r="P104" s="4">
        <v>1820</v>
      </c>
      <c r="Q104" s="4">
        <v>18832</v>
      </c>
      <c r="R104" s="4">
        <v>17897</v>
      </c>
      <c r="S104" s="4">
        <v>1290</v>
      </c>
      <c r="T104" s="4">
        <v>1511</v>
      </c>
      <c r="U104" s="4"/>
      <c r="V104" s="5">
        <f t="shared" si="3"/>
        <v>3.6920762286860582</v>
      </c>
      <c r="W104" s="5">
        <f t="shared" si="4"/>
        <v>4.7840073529411766</v>
      </c>
      <c r="X104" s="5">
        <f t="shared" si="5"/>
        <v>14.598449612403101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11174</v>
      </c>
      <c r="D105" s="4">
        <v>13882</v>
      </c>
      <c r="E105" s="4">
        <v>33698</v>
      </c>
      <c r="F105" s="4">
        <v>41870</v>
      </c>
      <c r="G105" s="4">
        <v>8695</v>
      </c>
      <c r="H105" s="4">
        <v>10682</v>
      </c>
      <c r="I105" s="4">
        <v>14647</v>
      </c>
      <c r="J105" s="4">
        <v>19724</v>
      </c>
      <c r="K105" s="4">
        <v>63733</v>
      </c>
      <c r="L105" s="4">
        <v>77018</v>
      </c>
      <c r="M105" s="4">
        <v>11906</v>
      </c>
      <c r="N105" s="4">
        <v>14762</v>
      </c>
      <c r="O105" s="4">
        <v>19490</v>
      </c>
      <c r="P105" s="4">
        <v>25606</v>
      </c>
      <c r="Q105" s="4">
        <v>175147</v>
      </c>
      <c r="R105" s="4">
        <v>257119</v>
      </c>
      <c r="S105" s="4">
        <v>15903</v>
      </c>
      <c r="T105" s="4">
        <v>20940</v>
      </c>
      <c r="U105" s="4"/>
      <c r="V105" s="5">
        <f t="shared" si="3"/>
        <v>3.8755606670500287</v>
      </c>
      <c r="W105" s="5">
        <f t="shared" si="4"/>
        <v>5.353015286410213</v>
      </c>
      <c r="X105" s="5">
        <f t="shared" si="5"/>
        <v>11.013456580519399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5349</v>
      </c>
      <c r="D106" s="4">
        <v>6781</v>
      </c>
      <c r="E106" s="4">
        <v>11106</v>
      </c>
      <c r="F106" s="4">
        <v>9754</v>
      </c>
      <c r="G106" s="4">
        <v>3842</v>
      </c>
      <c r="H106" s="4">
        <v>4959</v>
      </c>
      <c r="I106" s="4">
        <v>7661</v>
      </c>
      <c r="J106" s="4">
        <v>9573</v>
      </c>
      <c r="K106" s="4">
        <v>18633</v>
      </c>
      <c r="L106" s="4">
        <v>20765</v>
      </c>
      <c r="M106" s="4">
        <v>5810</v>
      </c>
      <c r="N106" s="4">
        <v>7606</v>
      </c>
      <c r="O106" s="4">
        <v>9955</v>
      </c>
      <c r="P106" s="4">
        <v>13126</v>
      </c>
      <c r="Q106" s="4">
        <v>50845</v>
      </c>
      <c r="R106" s="4">
        <v>53300</v>
      </c>
      <c r="S106" s="4">
        <v>8006</v>
      </c>
      <c r="T106" s="4">
        <v>10726</v>
      </c>
      <c r="U106" s="4"/>
      <c r="V106" s="5">
        <f t="shared" si="3"/>
        <v>2.8906819364914109</v>
      </c>
      <c r="W106" s="5">
        <f t="shared" si="4"/>
        <v>3.2070567986230638</v>
      </c>
      <c r="X106" s="5">
        <f t="shared" si="5"/>
        <v>6.3508618536097927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6.3783818912564012</v>
      </c>
      <c r="W107" s="8">
        <f t="shared" ref="W107:X107" si="6">AVERAGE(W2:W106)</f>
        <v>7.8606270515238199</v>
      </c>
      <c r="X107" s="8">
        <f t="shared" si="6"/>
        <v>18.679809564642529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42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9" t="s">
        <v>202</v>
      </c>
      <c r="C1" s="9"/>
      <c r="D1" s="9"/>
      <c r="E1" s="9"/>
      <c r="F1" s="9" t="s">
        <v>203</v>
      </c>
      <c r="G1" s="9"/>
      <c r="H1" s="9"/>
      <c r="I1" s="9"/>
      <c r="J1" s="9" t="s">
        <v>211</v>
      </c>
      <c r="K1" s="9"/>
      <c r="L1" s="9"/>
      <c r="M1" s="9"/>
      <c r="N1" s="9" t="s">
        <v>204</v>
      </c>
      <c r="O1" s="9"/>
      <c r="P1" s="9"/>
      <c r="Q1" s="9"/>
      <c r="R1" s="9" t="s">
        <v>210</v>
      </c>
      <c r="S1" s="9"/>
      <c r="T1" s="9"/>
      <c r="U1" s="9"/>
      <c r="W1" s="9" t="s">
        <v>202</v>
      </c>
      <c r="X1" s="9"/>
      <c r="Y1" s="9"/>
      <c r="Z1" s="9"/>
      <c r="AA1" s="9" t="s">
        <v>212</v>
      </c>
      <c r="AB1" s="9"/>
      <c r="AC1" s="9"/>
      <c r="AD1" s="9"/>
      <c r="AE1" s="9" t="s">
        <v>205</v>
      </c>
      <c r="AF1" s="9"/>
      <c r="AG1" s="9"/>
      <c r="AH1" s="9"/>
      <c r="AI1" s="9" t="s">
        <v>213</v>
      </c>
      <c r="AJ1" s="9"/>
      <c r="AK1" s="9"/>
      <c r="AL1" s="9"/>
      <c r="AM1" s="9" t="s">
        <v>206</v>
      </c>
      <c r="AN1" s="9"/>
      <c r="AO1" s="9"/>
      <c r="AP1" s="9"/>
      <c r="AR1" s="9" t="s">
        <v>203</v>
      </c>
      <c r="AS1" s="9"/>
      <c r="AT1" s="9"/>
      <c r="AU1" s="9"/>
      <c r="AV1" s="9" t="s">
        <v>212</v>
      </c>
      <c r="AW1" s="9"/>
      <c r="AX1" s="9"/>
      <c r="AY1" s="9"/>
      <c r="AZ1" s="9" t="s">
        <v>207</v>
      </c>
      <c r="BA1" s="9"/>
      <c r="BB1" s="9"/>
      <c r="BC1" s="9"/>
      <c r="BD1" s="9" t="s">
        <v>208</v>
      </c>
      <c r="BE1" s="9"/>
      <c r="BF1" s="9"/>
      <c r="BG1" s="9"/>
      <c r="BH1" s="9" t="s">
        <v>209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9" t="s">
        <v>215</v>
      </c>
      <c r="C1" s="9"/>
      <c r="D1" s="9"/>
      <c r="E1" s="9"/>
      <c r="F1" s="9" t="s">
        <v>214</v>
      </c>
      <c r="G1" s="9"/>
      <c r="H1" s="9"/>
      <c r="I1" s="9"/>
      <c r="J1" s="9" t="s">
        <v>216</v>
      </c>
      <c r="K1" s="9"/>
      <c r="L1" s="9"/>
      <c r="M1" s="9"/>
      <c r="N1" s="9" t="s">
        <v>217</v>
      </c>
      <c r="O1" s="9"/>
      <c r="P1" s="9"/>
      <c r="Q1" s="9"/>
      <c r="R1" s="9" t="s">
        <v>218</v>
      </c>
      <c r="S1" s="9"/>
      <c r="T1" s="9"/>
      <c r="U1" s="9"/>
      <c r="W1" s="9" t="s">
        <v>215</v>
      </c>
      <c r="X1" s="9"/>
      <c r="Y1" s="9"/>
      <c r="Z1" s="9"/>
      <c r="AA1" s="9" t="s">
        <v>219</v>
      </c>
      <c r="AB1" s="9"/>
      <c r="AC1" s="9"/>
      <c r="AD1" s="9"/>
      <c r="AE1" s="9" t="s">
        <v>220</v>
      </c>
      <c r="AF1" s="9"/>
      <c r="AG1" s="9"/>
      <c r="AH1" s="9"/>
      <c r="AI1" s="9" t="s">
        <v>221</v>
      </c>
      <c r="AJ1" s="9"/>
      <c r="AK1" s="9"/>
      <c r="AL1" s="9"/>
      <c r="AM1" s="9" t="s">
        <v>222</v>
      </c>
      <c r="AN1" s="9"/>
      <c r="AO1" s="9"/>
      <c r="AP1" s="9"/>
      <c r="AR1" s="9" t="s">
        <v>214</v>
      </c>
      <c r="AS1" s="9"/>
      <c r="AT1" s="9"/>
      <c r="AU1" s="9"/>
      <c r="AV1" s="9" t="s">
        <v>219</v>
      </c>
      <c r="AW1" s="9"/>
      <c r="AX1" s="9"/>
      <c r="AY1" s="9"/>
      <c r="AZ1" s="9" t="s">
        <v>223</v>
      </c>
      <c r="BA1" s="9"/>
      <c r="BB1" s="9"/>
      <c r="BC1" s="9"/>
      <c r="BD1" s="9" t="s">
        <v>224</v>
      </c>
      <c r="BE1" s="9"/>
      <c r="BF1" s="9"/>
      <c r="BG1" s="9"/>
      <c r="BH1" s="9" t="s">
        <v>225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9" t="s">
        <v>227</v>
      </c>
      <c r="C1" s="9"/>
      <c r="D1" s="9"/>
      <c r="E1" s="9"/>
      <c r="F1" s="9" t="s">
        <v>226</v>
      </c>
      <c r="G1" s="9"/>
      <c r="H1" s="9"/>
      <c r="I1" s="9"/>
      <c r="J1" s="9" t="s">
        <v>228</v>
      </c>
      <c r="K1" s="9"/>
      <c r="L1" s="9"/>
      <c r="M1" s="9"/>
      <c r="N1" s="9" t="s">
        <v>229</v>
      </c>
      <c r="O1" s="9"/>
      <c r="P1" s="9"/>
      <c r="Q1" s="9"/>
      <c r="R1" s="9" t="s">
        <v>230</v>
      </c>
      <c r="S1" s="9"/>
      <c r="T1" s="9"/>
      <c r="U1" s="9"/>
      <c r="W1" s="9" t="s">
        <v>227</v>
      </c>
      <c r="X1" s="9"/>
      <c r="Y1" s="9"/>
      <c r="Z1" s="9"/>
      <c r="AA1" s="9" t="s">
        <v>231</v>
      </c>
      <c r="AB1" s="9"/>
      <c r="AC1" s="9"/>
      <c r="AD1" s="9"/>
      <c r="AE1" s="9" t="s">
        <v>232</v>
      </c>
      <c r="AF1" s="9"/>
      <c r="AG1" s="9"/>
      <c r="AH1" s="9"/>
      <c r="AI1" s="9" t="s">
        <v>233</v>
      </c>
      <c r="AJ1" s="9"/>
      <c r="AK1" s="9"/>
      <c r="AL1" s="9"/>
      <c r="AM1" s="9" t="s">
        <v>234</v>
      </c>
      <c r="AN1" s="9"/>
      <c r="AO1" s="9"/>
      <c r="AP1" s="9"/>
      <c r="AR1" s="9" t="s">
        <v>226</v>
      </c>
      <c r="AS1" s="9"/>
      <c r="AT1" s="9"/>
      <c r="AU1" s="9"/>
      <c r="AV1" s="9" t="s">
        <v>231</v>
      </c>
      <c r="AW1" s="9"/>
      <c r="AX1" s="9"/>
      <c r="AY1" s="9"/>
      <c r="AZ1" s="9" t="s">
        <v>235</v>
      </c>
      <c r="BA1" s="9"/>
      <c r="BB1" s="9"/>
      <c r="BC1" s="9"/>
      <c r="BD1" s="9" t="s">
        <v>236</v>
      </c>
      <c r="BE1" s="9"/>
      <c r="BF1" s="9"/>
      <c r="BG1" s="9"/>
      <c r="BH1" s="9" t="s">
        <v>237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108</v>
      </c>
      <c r="D2" s="5">
        <v>121</v>
      </c>
      <c r="E2" s="5">
        <v>412</v>
      </c>
      <c r="F2" s="5">
        <v>442</v>
      </c>
      <c r="G2" s="5">
        <v>90</v>
      </c>
      <c r="H2" s="5">
        <v>130</v>
      </c>
      <c r="I2" s="5">
        <v>138</v>
      </c>
      <c r="J2" s="5">
        <v>158</v>
      </c>
      <c r="K2" s="5">
        <v>1465</v>
      </c>
      <c r="L2" s="5">
        <v>1530</v>
      </c>
      <c r="M2" s="5">
        <v>118</v>
      </c>
      <c r="N2" s="5">
        <v>117</v>
      </c>
      <c r="O2" s="5">
        <v>190</v>
      </c>
      <c r="P2" s="5">
        <v>218</v>
      </c>
      <c r="Q2" s="5">
        <v>3477</v>
      </c>
      <c r="R2" s="5">
        <v>3247</v>
      </c>
      <c r="S2" s="5">
        <v>120</v>
      </c>
      <c r="T2" s="5">
        <v>139</v>
      </c>
      <c r="U2" s="5"/>
      <c r="V2" s="5">
        <f>E2/G2</f>
        <v>4.5777777777777775</v>
      </c>
      <c r="W2" s="5">
        <f>K2/M2</f>
        <v>12.415254237288135</v>
      </c>
      <c r="X2" s="5">
        <f>Q2/S2</f>
        <v>28.975000000000001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120</v>
      </c>
      <c r="D3" s="5">
        <v>119</v>
      </c>
      <c r="E3" s="5">
        <v>435</v>
      </c>
      <c r="F3" s="5">
        <v>448</v>
      </c>
      <c r="G3" s="5">
        <v>126</v>
      </c>
      <c r="H3" s="5">
        <v>83</v>
      </c>
      <c r="I3" s="5">
        <v>147</v>
      </c>
      <c r="J3" s="5">
        <v>143</v>
      </c>
      <c r="K3" s="5">
        <v>1491</v>
      </c>
      <c r="L3" s="5">
        <v>1616</v>
      </c>
      <c r="M3" s="5">
        <v>113</v>
      </c>
      <c r="N3" s="5">
        <v>113</v>
      </c>
      <c r="O3" s="5">
        <v>182</v>
      </c>
      <c r="P3" s="5">
        <v>181</v>
      </c>
      <c r="Q3" s="5">
        <v>3421</v>
      </c>
      <c r="R3" s="5">
        <v>3464</v>
      </c>
      <c r="S3" s="5">
        <v>129</v>
      </c>
      <c r="T3" s="5">
        <v>136</v>
      </c>
      <c r="U3" s="5"/>
      <c r="V3" s="5">
        <f t="shared" ref="V3:V66" si="0">E3/G3</f>
        <v>3.4523809523809526</v>
      </c>
      <c r="W3" s="5">
        <f t="shared" ref="W3:W66" si="1">K3/M3</f>
        <v>13.194690265486726</v>
      </c>
      <c r="X3" s="5">
        <f t="shared" ref="X3:X66" si="2">Q3/S3</f>
        <v>26.519379844961239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165</v>
      </c>
      <c r="D4" s="5">
        <v>165</v>
      </c>
      <c r="E4" s="5">
        <v>494</v>
      </c>
      <c r="F4" s="5">
        <v>467</v>
      </c>
      <c r="G4" s="5">
        <v>128</v>
      </c>
      <c r="H4" s="5">
        <v>131</v>
      </c>
      <c r="I4" s="5">
        <v>253</v>
      </c>
      <c r="J4" s="5">
        <v>207</v>
      </c>
      <c r="K4" s="5">
        <v>2231</v>
      </c>
      <c r="L4" s="5">
        <v>1735</v>
      </c>
      <c r="M4" s="5">
        <v>183</v>
      </c>
      <c r="N4" s="5">
        <v>165</v>
      </c>
      <c r="O4" s="5">
        <v>250</v>
      </c>
      <c r="P4" s="5">
        <v>247</v>
      </c>
      <c r="Q4" s="5">
        <v>3558</v>
      </c>
      <c r="R4" s="5">
        <v>4486</v>
      </c>
      <c r="S4" s="5">
        <v>204</v>
      </c>
      <c r="T4" s="5">
        <v>182</v>
      </c>
      <c r="U4" s="5"/>
      <c r="V4" s="5">
        <f t="shared" si="0"/>
        <v>3.859375</v>
      </c>
      <c r="W4" s="5">
        <f t="shared" si="1"/>
        <v>12.191256830601093</v>
      </c>
      <c r="X4" s="5">
        <f t="shared" si="2"/>
        <v>17.441176470588236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420</v>
      </c>
      <c r="D5" s="5">
        <v>323</v>
      </c>
      <c r="E5" s="5">
        <v>894</v>
      </c>
      <c r="F5" s="5">
        <v>923</v>
      </c>
      <c r="G5" s="5">
        <v>242</v>
      </c>
      <c r="H5" s="5">
        <v>263</v>
      </c>
      <c r="I5" s="5">
        <v>343</v>
      </c>
      <c r="J5" s="5">
        <v>366</v>
      </c>
      <c r="K5" s="5">
        <v>5059</v>
      </c>
      <c r="L5" s="5">
        <v>4399</v>
      </c>
      <c r="M5" s="5">
        <v>294</v>
      </c>
      <c r="N5" s="5">
        <v>296</v>
      </c>
      <c r="O5" s="5">
        <v>392</v>
      </c>
      <c r="P5" s="5">
        <v>401</v>
      </c>
      <c r="Q5" s="5">
        <v>10834</v>
      </c>
      <c r="R5" s="5">
        <v>11033</v>
      </c>
      <c r="S5" s="5">
        <v>351</v>
      </c>
      <c r="T5" s="5">
        <v>347</v>
      </c>
      <c r="U5" s="5"/>
      <c r="V5" s="5">
        <f t="shared" si="0"/>
        <v>3.6942148760330578</v>
      </c>
      <c r="W5" s="5">
        <f t="shared" si="1"/>
        <v>17.207482993197278</v>
      </c>
      <c r="X5" s="5">
        <f t="shared" si="2"/>
        <v>30.866096866096868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75</v>
      </c>
      <c r="D6" s="5">
        <v>76</v>
      </c>
      <c r="E6" s="5">
        <v>261</v>
      </c>
      <c r="F6" s="5">
        <v>240</v>
      </c>
      <c r="G6" s="5">
        <v>57</v>
      </c>
      <c r="H6" s="5">
        <v>57</v>
      </c>
      <c r="I6" s="5">
        <v>92</v>
      </c>
      <c r="J6" s="5">
        <v>90</v>
      </c>
      <c r="K6" s="5">
        <v>827</v>
      </c>
      <c r="L6" s="5">
        <v>1254</v>
      </c>
      <c r="M6" s="5">
        <v>75</v>
      </c>
      <c r="N6" s="5">
        <v>73</v>
      </c>
      <c r="O6" s="5">
        <v>107</v>
      </c>
      <c r="P6" s="5">
        <v>111</v>
      </c>
      <c r="Q6" s="5">
        <v>1637</v>
      </c>
      <c r="R6" s="5">
        <v>1584</v>
      </c>
      <c r="S6" s="5">
        <v>86</v>
      </c>
      <c r="T6" s="5">
        <v>101</v>
      </c>
      <c r="U6" s="5"/>
      <c r="V6" s="5">
        <f t="shared" si="0"/>
        <v>4.5789473684210522</v>
      </c>
      <c r="W6" s="5">
        <f t="shared" si="1"/>
        <v>11.026666666666667</v>
      </c>
      <c r="X6" s="5">
        <f t="shared" si="2"/>
        <v>19.034883720930232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391</v>
      </c>
      <c r="D7" s="5">
        <v>303</v>
      </c>
      <c r="E7" s="5">
        <v>723</v>
      </c>
      <c r="F7" s="5">
        <v>963</v>
      </c>
      <c r="G7" s="5">
        <v>204</v>
      </c>
      <c r="H7" s="5">
        <v>248</v>
      </c>
      <c r="I7" s="5">
        <v>308</v>
      </c>
      <c r="J7" s="5">
        <v>343</v>
      </c>
      <c r="K7" s="5">
        <v>2883</v>
      </c>
      <c r="L7" s="5">
        <v>2299</v>
      </c>
      <c r="M7" s="5">
        <v>253</v>
      </c>
      <c r="N7" s="5">
        <v>282</v>
      </c>
      <c r="O7" s="5">
        <v>351</v>
      </c>
      <c r="P7" s="5">
        <v>432</v>
      </c>
      <c r="Q7" s="5">
        <v>5330</v>
      </c>
      <c r="R7" s="5">
        <v>5808</v>
      </c>
      <c r="S7" s="5">
        <v>296</v>
      </c>
      <c r="T7" s="5">
        <v>314</v>
      </c>
      <c r="U7" s="5"/>
      <c r="V7" s="5">
        <f t="shared" si="0"/>
        <v>3.5441176470588234</v>
      </c>
      <c r="W7" s="5">
        <f t="shared" si="1"/>
        <v>11.395256916996047</v>
      </c>
      <c r="X7" s="5">
        <f t="shared" si="2"/>
        <v>18.006756756756758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1048</v>
      </c>
      <c r="D8" s="5">
        <v>2198</v>
      </c>
      <c r="E8" s="5">
        <v>5709</v>
      </c>
      <c r="F8" s="5">
        <v>8867</v>
      </c>
      <c r="G8" s="5">
        <v>798</v>
      </c>
      <c r="H8" s="5">
        <v>1676</v>
      </c>
      <c r="I8" s="5">
        <v>1330</v>
      </c>
      <c r="J8" s="5">
        <v>2640</v>
      </c>
      <c r="K8" s="5">
        <v>25754</v>
      </c>
      <c r="L8" s="5">
        <v>40880</v>
      </c>
      <c r="M8" s="5">
        <v>997</v>
      </c>
      <c r="N8" s="5">
        <v>2124</v>
      </c>
      <c r="O8" s="5">
        <v>1391</v>
      </c>
      <c r="P8" s="5">
        <v>3062</v>
      </c>
      <c r="Q8" s="5">
        <v>69038</v>
      </c>
      <c r="R8" s="5">
        <v>101655</v>
      </c>
      <c r="S8" s="5">
        <v>1201</v>
      </c>
      <c r="T8" s="5">
        <v>2639</v>
      </c>
      <c r="U8" s="5"/>
      <c r="V8" s="5">
        <f t="shared" si="0"/>
        <v>7.1541353383458643</v>
      </c>
      <c r="W8" s="5">
        <f t="shared" si="1"/>
        <v>25.831494483450353</v>
      </c>
      <c r="X8" s="5">
        <f t="shared" si="2"/>
        <v>57.483763530391343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478</v>
      </c>
      <c r="D9" s="5">
        <v>502</v>
      </c>
      <c r="E9" s="5">
        <v>1286</v>
      </c>
      <c r="F9" s="5">
        <v>1489</v>
      </c>
      <c r="G9" s="5">
        <v>421</v>
      </c>
      <c r="H9" s="5">
        <v>397</v>
      </c>
      <c r="I9" s="5">
        <v>559</v>
      </c>
      <c r="J9" s="5">
        <v>589</v>
      </c>
      <c r="K9" s="5">
        <v>8779</v>
      </c>
      <c r="L9" s="5">
        <v>8154</v>
      </c>
      <c r="M9" s="5">
        <v>468</v>
      </c>
      <c r="N9" s="5">
        <v>506</v>
      </c>
      <c r="O9" s="5">
        <v>660</v>
      </c>
      <c r="P9" s="5">
        <v>657</v>
      </c>
      <c r="Q9" s="5">
        <v>14135</v>
      </c>
      <c r="R9" s="5">
        <v>13411</v>
      </c>
      <c r="S9" s="5">
        <v>521</v>
      </c>
      <c r="T9" s="5">
        <v>587</v>
      </c>
      <c r="U9" s="5"/>
      <c r="V9" s="5">
        <f t="shared" si="0"/>
        <v>3.0546318289786223</v>
      </c>
      <c r="W9" s="5">
        <f t="shared" si="1"/>
        <v>18.758547008547009</v>
      </c>
      <c r="X9" s="5">
        <f t="shared" si="2"/>
        <v>27.130518234165066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1284</v>
      </c>
      <c r="D10" s="5">
        <v>1663</v>
      </c>
      <c r="E10" s="5">
        <v>4353</v>
      </c>
      <c r="F10" s="5">
        <v>5067</v>
      </c>
      <c r="G10" s="5">
        <v>940</v>
      </c>
      <c r="H10" s="5">
        <v>1185</v>
      </c>
      <c r="I10" s="5">
        <v>2038</v>
      </c>
      <c r="J10" s="5">
        <v>2550</v>
      </c>
      <c r="K10" s="5">
        <v>15556</v>
      </c>
      <c r="L10" s="5">
        <v>19340</v>
      </c>
      <c r="M10" s="5">
        <v>1565</v>
      </c>
      <c r="N10" s="5">
        <v>1955</v>
      </c>
      <c r="O10" s="5">
        <v>2474</v>
      </c>
      <c r="P10" s="5">
        <v>3367</v>
      </c>
      <c r="Q10" s="5">
        <v>59932</v>
      </c>
      <c r="R10" s="5">
        <v>59707</v>
      </c>
      <c r="S10" s="5">
        <v>2085</v>
      </c>
      <c r="T10" s="5">
        <v>2638</v>
      </c>
      <c r="U10" s="5"/>
      <c r="V10" s="5">
        <f t="shared" si="0"/>
        <v>4.6308510638297875</v>
      </c>
      <c r="W10" s="5">
        <f t="shared" si="1"/>
        <v>9.9399361022364214</v>
      </c>
      <c r="X10" s="5">
        <f t="shared" si="2"/>
        <v>28.744364508393286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20</v>
      </c>
      <c r="D11" s="5">
        <v>20</v>
      </c>
      <c r="E11" s="5">
        <v>104</v>
      </c>
      <c r="F11" s="5">
        <v>110</v>
      </c>
      <c r="G11" s="5">
        <v>21</v>
      </c>
      <c r="H11" s="5">
        <v>18</v>
      </c>
      <c r="I11" s="5">
        <v>26</v>
      </c>
      <c r="J11" s="5">
        <v>24</v>
      </c>
      <c r="K11" s="5">
        <v>330</v>
      </c>
      <c r="L11" s="5">
        <v>335</v>
      </c>
      <c r="M11" s="5">
        <v>21</v>
      </c>
      <c r="N11" s="5">
        <v>21</v>
      </c>
      <c r="O11" s="5">
        <v>31</v>
      </c>
      <c r="P11" s="5">
        <v>30</v>
      </c>
      <c r="Q11" s="5">
        <v>580</v>
      </c>
      <c r="R11" s="5">
        <v>591</v>
      </c>
      <c r="S11" s="5">
        <v>24</v>
      </c>
      <c r="T11" s="5">
        <v>23</v>
      </c>
      <c r="U11" s="5"/>
      <c r="V11" s="5">
        <f t="shared" si="0"/>
        <v>4.9523809523809526</v>
      </c>
      <c r="W11" s="5">
        <f t="shared" si="1"/>
        <v>15.714285714285714</v>
      </c>
      <c r="X11" s="5">
        <f t="shared" si="2"/>
        <v>24.166666666666668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20</v>
      </c>
      <c r="D12" s="5">
        <v>21</v>
      </c>
      <c r="E12" s="5">
        <v>87</v>
      </c>
      <c r="F12" s="5">
        <v>86</v>
      </c>
      <c r="G12" s="5">
        <v>16</v>
      </c>
      <c r="H12" s="5">
        <v>16</v>
      </c>
      <c r="I12" s="5">
        <v>26</v>
      </c>
      <c r="J12" s="5">
        <v>26</v>
      </c>
      <c r="K12" s="5">
        <v>285</v>
      </c>
      <c r="L12" s="5">
        <v>285</v>
      </c>
      <c r="M12" s="5">
        <v>20</v>
      </c>
      <c r="N12" s="5">
        <v>21</v>
      </c>
      <c r="O12" s="5">
        <v>31</v>
      </c>
      <c r="P12" s="5">
        <v>32</v>
      </c>
      <c r="Q12" s="5">
        <v>570</v>
      </c>
      <c r="R12" s="5">
        <v>579</v>
      </c>
      <c r="S12" s="5">
        <v>23</v>
      </c>
      <c r="T12" s="5">
        <v>24</v>
      </c>
      <c r="U12" s="5"/>
      <c r="V12" s="5">
        <f t="shared" si="0"/>
        <v>5.4375</v>
      </c>
      <c r="W12" s="5">
        <f t="shared" si="1"/>
        <v>14.25</v>
      </c>
      <c r="X12" s="5">
        <f t="shared" si="2"/>
        <v>24.782608695652176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77</v>
      </c>
      <c r="D13" s="5">
        <v>97</v>
      </c>
      <c r="E13" s="5">
        <v>286</v>
      </c>
      <c r="F13" s="5">
        <v>263</v>
      </c>
      <c r="G13" s="5">
        <v>65</v>
      </c>
      <c r="H13" s="5">
        <v>68</v>
      </c>
      <c r="I13" s="5">
        <v>115</v>
      </c>
      <c r="J13" s="5">
        <v>103</v>
      </c>
      <c r="K13" s="5">
        <v>750</v>
      </c>
      <c r="L13" s="5">
        <v>650</v>
      </c>
      <c r="M13" s="5">
        <v>91</v>
      </c>
      <c r="N13" s="5">
        <v>85</v>
      </c>
      <c r="O13" s="5">
        <v>122</v>
      </c>
      <c r="P13" s="5">
        <v>164</v>
      </c>
      <c r="Q13" s="5">
        <v>1655</v>
      </c>
      <c r="R13" s="5">
        <v>2145</v>
      </c>
      <c r="S13" s="5">
        <v>91</v>
      </c>
      <c r="T13" s="5">
        <v>93</v>
      </c>
      <c r="U13" s="5"/>
      <c r="V13" s="5">
        <f t="shared" si="0"/>
        <v>4.4000000000000004</v>
      </c>
      <c r="W13" s="5">
        <f t="shared" si="1"/>
        <v>8.2417582417582409</v>
      </c>
      <c r="X13" s="5">
        <f t="shared" si="2"/>
        <v>18.186813186813186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36</v>
      </c>
      <c r="D14" s="5">
        <v>21</v>
      </c>
      <c r="E14" s="5">
        <v>104</v>
      </c>
      <c r="F14" s="5">
        <v>104</v>
      </c>
      <c r="G14" s="5">
        <v>17</v>
      </c>
      <c r="H14" s="5">
        <v>27</v>
      </c>
      <c r="I14" s="5">
        <v>26</v>
      </c>
      <c r="J14" s="5">
        <v>25</v>
      </c>
      <c r="K14" s="5">
        <v>314</v>
      </c>
      <c r="L14" s="5">
        <v>334</v>
      </c>
      <c r="M14" s="5">
        <v>20</v>
      </c>
      <c r="N14" s="5">
        <v>26</v>
      </c>
      <c r="O14" s="5">
        <v>31</v>
      </c>
      <c r="P14" s="5">
        <v>51</v>
      </c>
      <c r="Q14" s="5">
        <v>642</v>
      </c>
      <c r="R14" s="5">
        <v>641</v>
      </c>
      <c r="S14" s="5">
        <v>24</v>
      </c>
      <c r="T14" s="5">
        <v>24</v>
      </c>
      <c r="U14" s="5"/>
      <c r="V14" s="5">
        <f t="shared" si="0"/>
        <v>6.117647058823529</v>
      </c>
      <c r="W14" s="5">
        <f t="shared" si="1"/>
        <v>15.7</v>
      </c>
      <c r="X14" s="5">
        <f t="shared" si="2"/>
        <v>26.75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1828</v>
      </c>
      <c r="D15" s="5">
        <v>2265</v>
      </c>
      <c r="E15" s="5">
        <v>5665</v>
      </c>
      <c r="F15" s="5">
        <v>6043</v>
      </c>
      <c r="G15" s="5">
        <v>1457</v>
      </c>
      <c r="H15" s="5">
        <v>1835</v>
      </c>
      <c r="I15" s="5">
        <v>3075</v>
      </c>
      <c r="J15" s="5">
        <v>3585</v>
      </c>
      <c r="K15" s="5">
        <v>24838</v>
      </c>
      <c r="L15" s="5">
        <v>26270</v>
      </c>
      <c r="M15" s="5">
        <v>2294</v>
      </c>
      <c r="N15" s="5">
        <v>2975</v>
      </c>
      <c r="O15" s="5">
        <v>3658</v>
      </c>
      <c r="P15" s="5">
        <v>4708</v>
      </c>
      <c r="Q15" s="5">
        <v>58715</v>
      </c>
      <c r="R15" s="5">
        <v>64791</v>
      </c>
      <c r="S15" s="5">
        <v>3016</v>
      </c>
      <c r="T15" s="5">
        <v>3952</v>
      </c>
      <c r="U15" s="5"/>
      <c r="V15" s="5">
        <f t="shared" si="0"/>
        <v>3.8881262868908717</v>
      </c>
      <c r="W15" s="5">
        <f t="shared" si="1"/>
        <v>10.827375762859633</v>
      </c>
      <c r="X15" s="5">
        <f t="shared" si="2"/>
        <v>19.467838196286472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272</v>
      </c>
      <c r="D16" s="5">
        <v>299</v>
      </c>
      <c r="E16" s="5">
        <v>888</v>
      </c>
      <c r="F16" s="5">
        <v>1001</v>
      </c>
      <c r="G16" s="5">
        <v>216</v>
      </c>
      <c r="H16" s="5">
        <v>260</v>
      </c>
      <c r="I16" s="5">
        <v>310</v>
      </c>
      <c r="J16" s="5">
        <v>366</v>
      </c>
      <c r="K16" s="5">
        <v>2848</v>
      </c>
      <c r="L16" s="5">
        <v>3483</v>
      </c>
      <c r="M16" s="5">
        <v>260</v>
      </c>
      <c r="N16" s="5">
        <v>295</v>
      </c>
      <c r="O16" s="5">
        <v>380</v>
      </c>
      <c r="P16" s="5">
        <v>491</v>
      </c>
      <c r="Q16" s="5">
        <v>5974</v>
      </c>
      <c r="R16" s="5">
        <v>8854</v>
      </c>
      <c r="S16" s="5">
        <v>296</v>
      </c>
      <c r="T16" s="5">
        <v>330</v>
      </c>
      <c r="U16" s="5"/>
      <c r="V16" s="5">
        <f t="shared" si="0"/>
        <v>4.1111111111111107</v>
      </c>
      <c r="W16" s="5">
        <f t="shared" si="1"/>
        <v>10.953846153846154</v>
      </c>
      <c r="X16" s="5">
        <f t="shared" si="2"/>
        <v>20.182432432432432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259</v>
      </c>
      <c r="D17" s="5">
        <v>294</v>
      </c>
      <c r="E17" s="5">
        <v>946</v>
      </c>
      <c r="F17" s="5">
        <v>964</v>
      </c>
      <c r="G17" s="5">
        <v>206</v>
      </c>
      <c r="H17" s="5">
        <v>237</v>
      </c>
      <c r="I17" s="5">
        <v>306</v>
      </c>
      <c r="J17" s="5">
        <v>357</v>
      </c>
      <c r="K17" s="5">
        <v>2853</v>
      </c>
      <c r="L17" s="5">
        <v>3194</v>
      </c>
      <c r="M17" s="5">
        <v>256</v>
      </c>
      <c r="N17" s="5">
        <v>287</v>
      </c>
      <c r="O17" s="5">
        <v>365</v>
      </c>
      <c r="P17" s="5">
        <v>411</v>
      </c>
      <c r="Q17" s="5">
        <v>6209</v>
      </c>
      <c r="R17" s="5">
        <v>9093</v>
      </c>
      <c r="S17" s="5">
        <v>302</v>
      </c>
      <c r="T17" s="5">
        <v>328</v>
      </c>
      <c r="U17" s="5"/>
      <c r="V17" s="5">
        <f t="shared" si="0"/>
        <v>4.592233009708738</v>
      </c>
      <c r="W17" s="5">
        <f t="shared" si="1"/>
        <v>11.14453125</v>
      </c>
      <c r="X17" s="5">
        <f t="shared" si="2"/>
        <v>20.559602649006621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409</v>
      </c>
      <c r="D18" s="5">
        <v>413</v>
      </c>
      <c r="E18" s="5">
        <v>931</v>
      </c>
      <c r="F18" s="5">
        <v>923</v>
      </c>
      <c r="G18" s="5">
        <v>310</v>
      </c>
      <c r="H18" s="5">
        <v>318</v>
      </c>
      <c r="I18" s="5">
        <v>649</v>
      </c>
      <c r="J18" s="5">
        <v>663</v>
      </c>
      <c r="K18" s="5">
        <v>2551</v>
      </c>
      <c r="L18" s="5">
        <v>2543</v>
      </c>
      <c r="M18" s="5">
        <v>544</v>
      </c>
      <c r="N18" s="5">
        <v>541</v>
      </c>
      <c r="O18" s="5">
        <v>891</v>
      </c>
      <c r="P18" s="5">
        <v>858</v>
      </c>
      <c r="Q18" s="5">
        <v>5935</v>
      </c>
      <c r="R18" s="5">
        <v>5844</v>
      </c>
      <c r="S18" s="5">
        <v>714</v>
      </c>
      <c r="T18" s="5">
        <v>704</v>
      </c>
      <c r="U18" s="5"/>
      <c r="V18" s="5">
        <f t="shared" si="0"/>
        <v>3.0032258064516131</v>
      </c>
      <c r="W18" s="5">
        <f t="shared" si="1"/>
        <v>4.6893382352941178</v>
      </c>
      <c r="X18" s="5">
        <f t="shared" si="2"/>
        <v>8.3123249299719895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3322</v>
      </c>
      <c r="D19" s="5">
        <v>4497</v>
      </c>
      <c r="E19" s="5">
        <v>10838</v>
      </c>
      <c r="F19" s="5">
        <v>12555</v>
      </c>
      <c r="G19" s="5">
        <v>2568</v>
      </c>
      <c r="H19" s="5">
        <v>3427</v>
      </c>
      <c r="I19" s="5">
        <v>5561</v>
      </c>
      <c r="J19" s="5">
        <v>7428</v>
      </c>
      <c r="K19" s="5">
        <v>49967</v>
      </c>
      <c r="L19" s="5">
        <v>54089</v>
      </c>
      <c r="M19" s="5">
        <v>4370</v>
      </c>
      <c r="N19" s="5">
        <v>5935</v>
      </c>
      <c r="O19" s="5">
        <v>7247</v>
      </c>
      <c r="P19" s="5">
        <v>9497</v>
      </c>
      <c r="Q19" s="5">
        <v>121349</v>
      </c>
      <c r="R19" s="5">
        <v>149499</v>
      </c>
      <c r="S19" s="5">
        <v>5828</v>
      </c>
      <c r="T19" s="5">
        <v>7929</v>
      </c>
      <c r="U19" s="5"/>
      <c r="V19" s="5">
        <f t="shared" si="0"/>
        <v>4.2204049844236762</v>
      </c>
      <c r="W19" s="5">
        <f t="shared" si="1"/>
        <v>11.434096109839818</v>
      </c>
      <c r="X19" s="5">
        <f t="shared" si="2"/>
        <v>20.82172271791352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1601</v>
      </c>
      <c r="D20" s="5">
        <v>1914</v>
      </c>
      <c r="E20" s="5">
        <v>5083</v>
      </c>
      <c r="F20" s="5">
        <v>4956</v>
      </c>
      <c r="G20" s="5">
        <v>1244</v>
      </c>
      <c r="H20" s="5">
        <v>1522</v>
      </c>
      <c r="I20" s="5">
        <v>2530</v>
      </c>
      <c r="J20" s="5">
        <v>3013</v>
      </c>
      <c r="K20" s="5">
        <v>21586</v>
      </c>
      <c r="L20" s="5">
        <v>23262</v>
      </c>
      <c r="M20" s="5">
        <v>2026</v>
      </c>
      <c r="N20" s="5">
        <v>2367</v>
      </c>
      <c r="O20" s="5">
        <v>3453</v>
      </c>
      <c r="P20" s="5">
        <v>3922</v>
      </c>
      <c r="Q20" s="5">
        <v>50781</v>
      </c>
      <c r="R20" s="5">
        <v>52021</v>
      </c>
      <c r="S20" s="5">
        <v>2674</v>
      </c>
      <c r="T20" s="5">
        <v>3258</v>
      </c>
      <c r="U20" s="5"/>
      <c r="V20" s="5">
        <f t="shared" si="0"/>
        <v>4.086012861736334</v>
      </c>
      <c r="W20" s="5">
        <f t="shared" si="1"/>
        <v>10.654491609081935</v>
      </c>
      <c r="X20" s="5">
        <f t="shared" si="2"/>
        <v>18.990650710545999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1076</v>
      </c>
      <c r="D21" s="5">
        <v>1236</v>
      </c>
      <c r="E21" s="5">
        <v>4380</v>
      </c>
      <c r="F21" s="5">
        <v>4347</v>
      </c>
      <c r="G21" s="5">
        <v>851</v>
      </c>
      <c r="H21" s="5">
        <v>905</v>
      </c>
      <c r="I21" s="5">
        <v>1623</v>
      </c>
      <c r="J21" s="5">
        <v>1853</v>
      </c>
      <c r="K21" s="5">
        <v>16637</v>
      </c>
      <c r="L21" s="5">
        <v>16952</v>
      </c>
      <c r="M21" s="5">
        <v>1324</v>
      </c>
      <c r="N21" s="5">
        <v>1424</v>
      </c>
      <c r="O21" s="5">
        <v>2136</v>
      </c>
      <c r="P21" s="5">
        <v>2280</v>
      </c>
      <c r="Q21" s="5">
        <v>36033</v>
      </c>
      <c r="R21" s="5">
        <v>33794</v>
      </c>
      <c r="S21" s="5">
        <v>1734</v>
      </c>
      <c r="T21" s="5">
        <v>1839</v>
      </c>
      <c r="U21" s="5"/>
      <c r="V21" s="5">
        <f t="shared" si="0"/>
        <v>5.1468860164512336</v>
      </c>
      <c r="W21" s="5">
        <f t="shared" si="1"/>
        <v>12.56570996978852</v>
      </c>
      <c r="X21" s="5">
        <f t="shared" si="2"/>
        <v>20.780276816608996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21</v>
      </c>
      <c r="D22" s="5">
        <v>21</v>
      </c>
      <c r="E22" s="5">
        <v>169</v>
      </c>
      <c r="F22" s="5">
        <v>177</v>
      </c>
      <c r="G22" s="5">
        <v>17</v>
      </c>
      <c r="H22" s="5">
        <v>17</v>
      </c>
      <c r="I22" s="5">
        <v>26</v>
      </c>
      <c r="J22" s="5">
        <v>25</v>
      </c>
      <c r="K22" s="5">
        <v>323</v>
      </c>
      <c r="L22" s="5">
        <v>266</v>
      </c>
      <c r="M22" s="5">
        <v>21</v>
      </c>
      <c r="N22" s="5">
        <v>33</v>
      </c>
      <c r="O22" s="5">
        <v>31</v>
      </c>
      <c r="P22" s="5">
        <v>31</v>
      </c>
      <c r="Q22" s="5">
        <v>281</v>
      </c>
      <c r="R22" s="5">
        <v>286</v>
      </c>
      <c r="S22" s="5">
        <v>25</v>
      </c>
      <c r="T22" s="5">
        <v>24</v>
      </c>
      <c r="U22" s="5"/>
      <c r="V22" s="5">
        <f t="shared" si="0"/>
        <v>9.9411764705882355</v>
      </c>
      <c r="W22" s="5">
        <f t="shared" si="1"/>
        <v>15.380952380952381</v>
      </c>
      <c r="X22" s="5">
        <f t="shared" si="2"/>
        <v>11.24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3404</v>
      </c>
      <c r="D23" s="5">
        <v>3821</v>
      </c>
      <c r="E23" s="5">
        <v>14714</v>
      </c>
      <c r="F23" s="5">
        <v>15138</v>
      </c>
      <c r="G23" s="5">
        <v>2763</v>
      </c>
      <c r="H23" s="5">
        <v>2910</v>
      </c>
      <c r="I23" s="5">
        <v>4097</v>
      </c>
      <c r="J23" s="5">
        <v>4608</v>
      </c>
      <c r="K23" s="5">
        <v>52805</v>
      </c>
      <c r="L23" s="5">
        <v>53645</v>
      </c>
      <c r="M23" s="5">
        <v>3399</v>
      </c>
      <c r="N23" s="5">
        <v>3699</v>
      </c>
      <c r="O23" s="5">
        <v>5030</v>
      </c>
      <c r="P23" s="5">
        <v>5569</v>
      </c>
      <c r="Q23" s="5">
        <v>176106</v>
      </c>
      <c r="R23" s="5">
        <v>181046</v>
      </c>
      <c r="S23" s="5">
        <v>4178</v>
      </c>
      <c r="T23" s="5">
        <v>4473</v>
      </c>
      <c r="U23" s="5"/>
      <c r="V23" s="5">
        <f t="shared" si="0"/>
        <v>5.3253709735794423</v>
      </c>
      <c r="W23" s="5">
        <f t="shared" si="1"/>
        <v>15.535451603412769</v>
      </c>
      <c r="X23" s="5">
        <f t="shared" si="2"/>
        <v>42.150789851603641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1527</v>
      </c>
      <c r="D24" s="5">
        <v>1652</v>
      </c>
      <c r="E24" s="5">
        <v>6021</v>
      </c>
      <c r="F24" s="5">
        <v>6123</v>
      </c>
      <c r="G24" s="5">
        <v>1211</v>
      </c>
      <c r="H24" s="5">
        <v>1326</v>
      </c>
      <c r="I24" s="5">
        <v>1873</v>
      </c>
      <c r="J24" s="5">
        <v>2039</v>
      </c>
      <c r="K24" s="5">
        <v>21928</v>
      </c>
      <c r="L24" s="5">
        <v>22202</v>
      </c>
      <c r="M24" s="5">
        <v>1543</v>
      </c>
      <c r="N24" s="5">
        <v>1667</v>
      </c>
      <c r="O24" s="5">
        <v>2259</v>
      </c>
      <c r="P24" s="5">
        <v>2410</v>
      </c>
      <c r="Q24" s="5">
        <v>72430</v>
      </c>
      <c r="R24" s="5">
        <v>79235</v>
      </c>
      <c r="S24" s="5">
        <v>1837</v>
      </c>
      <c r="T24" s="5">
        <v>1979</v>
      </c>
      <c r="U24" s="5"/>
      <c r="V24" s="5">
        <f t="shared" si="0"/>
        <v>4.9719240297274983</v>
      </c>
      <c r="W24" s="5">
        <f t="shared" si="1"/>
        <v>14.211276733635774</v>
      </c>
      <c r="X24" s="5">
        <f t="shared" si="2"/>
        <v>39.428415895481763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977</v>
      </c>
      <c r="D25" s="5">
        <v>1055</v>
      </c>
      <c r="E25" s="5">
        <v>3770</v>
      </c>
      <c r="F25" s="5">
        <v>3737</v>
      </c>
      <c r="G25" s="5">
        <v>770</v>
      </c>
      <c r="H25" s="5">
        <v>831</v>
      </c>
      <c r="I25" s="5">
        <v>1177</v>
      </c>
      <c r="J25" s="5">
        <v>1255</v>
      </c>
      <c r="K25" s="5">
        <v>14774</v>
      </c>
      <c r="L25" s="5">
        <v>15774</v>
      </c>
      <c r="M25" s="5">
        <v>956</v>
      </c>
      <c r="N25" s="5">
        <v>1093</v>
      </c>
      <c r="O25" s="5">
        <v>1478</v>
      </c>
      <c r="P25" s="5">
        <v>1482</v>
      </c>
      <c r="Q25" s="5">
        <v>47053</v>
      </c>
      <c r="R25" s="5">
        <v>44336</v>
      </c>
      <c r="S25" s="5">
        <v>1165</v>
      </c>
      <c r="T25" s="5">
        <v>1257</v>
      </c>
      <c r="U25" s="5"/>
      <c r="V25" s="5">
        <f t="shared" si="0"/>
        <v>4.8961038961038961</v>
      </c>
      <c r="W25" s="5">
        <f t="shared" si="1"/>
        <v>15.45397489539749</v>
      </c>
      <c r="X25" s="5">
        <f t="shared" si="2"/>
        <v>40.388841201716737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1019</v>
      </c>
      <c r="D26" s="5">
        <v>1032</v>
      </c>
      <c r="E26" s="5">
        <v>2351</v>
      </c>
      <c r="F26" s="5">
        <v>2751</v>
      </c>
      <c r="G26" s="5">
        <v>915</v>
      </c>
      <c r="H26" s="5">
        <v>785</v>
      </c>
      <c r="I26" s="5">
        <v>1762</v>
      </c>
      <c r="J26" s="5">
        <v>1880</v>
      </c>
      <c r="K26" s="5">
        <v>9961</v>
      </c>
      <c r="L26" s="5">
        <v>11859</v>
      </c>
      <c r="M26" s="5">
        <v>1360</v>
      </c>
      <c r="N26" s="5">
        <v>1417</v>
      </c>
      <c r="O26" s="5">
        <v>2376</v>
      </c>
      <c r="P26" s="5">
        <v>2474</v>
      </c>
      <c r="Q26" s="5">
        <v>28939</v>
      </c>
      <c r="R26" s="5">
        <v>31095</v>
      </c>
      <c r="S26" s="5">
        <v>1935</v>
      </c>
      <c r="T26" s="5">
        <v>1974</v>
      </c>
      <c r="U26" s="5"/>
      <c r="V26" s="5">
        <f t="shared" si="0"/>
        <v>2.569398907103825</v>
      </c>
      <c r="W26" s="5">
        <f t="shared" si="1"/>
        <v>7.3242647058823529</v>
      </c>
      <c r="X26" s="5">
        <f t="shared" si="2"/>
        <v>14.955555555555556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1013</v>
      </c>
      <c r="D27" s="5">
        <v>1047</v>
      </c>
      <c r="E27" s="5">
        <v>3429</v>
      </c>
      <c r="F27" s="5">
        <v>3446</v>
      </c>
      <c r="G27" s="5">
        <v>963</v>
      </c>
      <c r="H27" s="5">
        <v>845</v>
      </c>
      <c r="I27" s="5">
        <v>1183</v>
      </c>
      <c r="J27" s="5">
        <v>1275</v>
      </c>
      <c r="K27" s="5">
        <v>12125</v>
      </c>
      <c r="L27" s="5">
        <v>12490</v>
      </c>
      <c r="M27" s="5">
        <v>963</v>
      </c>
      <c r="N27" s="5">
        <v>1007</v>
      </c>
      <c r="O27" s="5">
        <v>1436</v>
      </c>
      <c r="P27" s="5">
        <v>1486</v>
      </c>
      <c r="Q27" s="5">
        <v>32043</v>
      </c>
      <c r="R27" s="5">
        <v>33935</v>
      </c>
      <c r="S27" s="5">
        <v>1183</v>
      </c>
      <c r="T27" s="5">
        <v>1231</v>
      </c>
      <c r="U27" s="5"/>
      <c r="V27" s="5">
        <f t="shared" si="0"/>
        <v>3.5607476635514019</v>
      </c>
      <c r="W27" s="5">
        <f t="shared" si="1"/>
        <v>12.590861889927311</v>
      </c>
      <c r="X27" s="5">
        <f t="shared" si="2"/>
        <v>27.086221470836854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408</v>
      </c>
      <c r="D28" s="5">
        <v>861</v>
      </c>
      <c r="E28" s="5">
        <v>2019</v>
      </c>
      <c r="F28" s="5">
        <v>2565</v>
      </c>
      <c r="G28" s="5">
        <v>329</v>
      </c>
      <c r="H28" s="5">
        <v>667</v>
      </c>
      <c r="I28" s="5">
        <v>511</v>
      </c>
      <c r="J28" s="5">
        <v>1092</v>
      </c>
      <c r="K28" s="5">
        <v>6534</v>
      </c>
      <c r="L28" s="5">
        <v>8994</v>
      </c>
      <c r="M28" s="5">
        <v>412</v>
      </c>
      <c r="N28" s="5">
        <v>870</v>
      </c>
      <c r="O28" s="5">
        <v>583</v>
      </c>
      <c r="P28" s="5">
        <v>1314</v>
      </c>
      <c r="Q28" s="5">
        <v>21834</v>
      </c>
      <c r="R28" s="5">
        <v>25079</v>
      </c>
      <c r="S28" s="5">
        <v>487</v>
      </c>
      <c r="T28" s="5">
        <v>1046</v>
      </c>
      <c r="U28" s="5"/>
      <c r="V28" s="5">
        <f t="shared" si="0"/>
        <v>6.13677811550152</v>
      </c>
      <c r="W28" s="5">
        <f t="shared" si="1"/>
        <v>15.859223300970873</v>
      </c>
      <c r="X28" s="5">
        <f t="shared" si="2"/>
        <v>44.833675564681727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44</v>
      </c>
      <c r="D29" s="5">
        <v>28</v>
      </c>
      <c r="E29" s="5">
        <v>181</v>
      </c>
      <c r="F29" s="5">
        <v>225</v>
      </c>
      <c r="G29" s="5">
        <v>21</v>
      </c>
      <c r="H29" s="5">
        <v>22</v>
      </c>
      <c r="I29" s="5">
        <v>33</v>
      </c>
      <c r="J29" s="5">
        <v>36</v>
      </c>
      <c r="K29" s="5">
        <v>584</v>
      </c>
      <c r="L29" s="5">
        <v>594</v>
      </c>
      <c r="M29" s="5">
        <v>29</v>
      </c>
      <c r="N29" s="5">
        <v>28</v>
      </c>
      <c r="O29" s="5">
        <v>43</v>
      </c>
      <c r="P29" s="5">
        <v>55</v>
      </c>
      <c r="Q29" s="5">
        <v>1104</v>
      </c>
      <c r="R29" s="5">
        <v>1137</v>
      </c>
      <c r="S29" s="5">
        <v>37</v>
      </c>
      <c r="T29" s="5">
        <v>31</v>
      </c>
      <c r="U29" s="5"/>
      <c r="V29" s="5">
        <f t="shared" si="0"/>
        <v>8.6190476190476186</v>
      </c>
      <c r="W29" s="5">
        <f t="shared" si="1"/>
        <v>20.137931034482758</v>
      </c>
      <c r="X29" s="5">
        <f t="shared" si="2"/>
        <v>29.837837837837839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971</v>
      </c>
      <c r="D30" s="5">
        <v>1050</v>
      </c>
      <c r="E30" s="5">
        <v>3467</v>
      </c>
      <c r="F30" s="5">
        <v>3549</v>
      </c>
      <c r="G30" s="5">
        <v>782</v>
      </c>
      <c r="H30" s="5">
        <v>813</v>
      </c>
      <c r="I30" s="5">
        <v>1250</v>
      </c>
      <c r="J30" s="5">
        <v>1270</v>
      </c>
      <c r="K30" s="5">
        <v>12251</v>
      </c>
      <c r="L30" s="5">
        <v>12586</v>
      </c>
      <c r="M30" s="5">
        <v>1010</v>
      </c>
      <c r="N30" s="5">
        <v>1025</v>
      </c>
      <c r="O30" s="5">
        <v>1499</v>
      </c>
      <c r="P30" s="5">
        <v>1482</v>
      </c>
      <c r="Q30" s="5">
        <v>30308</v>
      </c>
      <c r="R30" s="5">
        <v>33236</v>
      </c>
      <c r="S30" s="5">
        <v>1165</v>
      </c>
      <c r="T30" s="5">
        <v>1324</v>
      </c>
      <c r="U30" s="5"/>
      <c r="V30" s="5">
        <f t="shared" si="0"/>
        <v>4.4335038363171355</v>
      </c>
      <c r="W30" s="5">
        <f t="shared" si="1"/>
        <v>12.12970297029703</v>
      </c>
      <c r="X30" s="5">
        <f t="shared" si="2"/>
        <v>26.015450643776823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386</v>
      </c>
      <c r="D31" s="5">
        <v>783</v>
      </c>
      <c r="E31" s="5">
        <v>1961</v>
      </c>
      <c r="F31" s="5">
        <v>2488</v>
      </c>
      <c r="G31" s="5">
        <v>320</v>
      </c>
      <c r="H31" s="5">
        <v>597</v>
      </c>
      <c r="I31" s="5">
        <v>471</v>
      </c>
      <c r="J31" s="5">
        <v>996</v>
      </c>
      <c r="K31" s="5">
        <v>6307</v>
      </c>
      <c r="L31" s="5">
        <v>9567</v>
      </c>
      <c r="M31" s="5">
        <v>411</v>
      </c>
      <c r="N31" s="5">
        <v>796</v>
      </c>
      <c r="O31" s="5">
        <v>572</v>
      </c>
      <c r="P31" s="5">
        <v>1112</v>
      </c>
      <c r="Q31" s="5">
        <v>20844</v>
      </c>
      <c r="R31" s="5">
        <v>25574</v>
      </c>
      <c r="S31" s="5">
        <v>490</v>
      </c>
      <c r="T31" s="5">
        <v>953</v>
      </c>
      <c r="U31" s="5"/>
      <c r="V31" s="5">
        <f t="shared" si="0"/>
        <v>6.1281249999999998</v>
      </c>
      <c r="W31" s="5">
        <f t="shared" si="1"/>
        <v>15.345498783454987</v>
      </c>
      <c r="X31" s="5">
        <f t="shared" si="2"/>
        <v>42.538775510204083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25</v>
      </c>
      <c r="D32" s="5">
        <v>32</v>
      </c>
      <c r="E32" s="5">
        <v>188</v>
      </c>
      <c r="F32" s="5">
        <v>158</v>
      </c>
      <c r="G32" s="5">
        <v>26</v>
      </c>
      <c r="H32" s="5">
        <v>25</v>
      </c>
      <c r="I32" s="5">
        <v>36</v>
      </c>
      <c r="J32" s="5">
        <v>43</v>
      </c>
      <c r="K32" s="5">
        <v>517</v>
      </c>
      <c r="L32" s="5">
        <v>610</v>
      </c>
      <c r="M32" s="5">
        <v>26</v>
      </c>
      <c r="N32" s="5">
        <v>30</v>
      </c>
      <c r="O32" s="5">
        <v>60</v>
      </c>
      <c r="P32" s="5">
        <v>46</v>
      </c>
      <c r="Q32" s="5">
        <v>1044</v>
      </c>
      <c r="R32" s="5">
        <v>1384</v>
      </c>
      <c r="S32" s="5">
        <v>65</v>
      </c>
      <c r="T32" s="5">
        <v>39</v>
      </c>
      <c r="U32" s="5"/>
      <c r="V32" s="5">
        <f t="shared" si="0"/>
        <v>7.2307692307692308</v>
      </c>
      <c r="W32" s="5">
        <f t="shared" si="1"/>
        <v>19.884615384615383</v>
      </c>
      <c r="X32" s="5">
        <f t="shared" si="2"/>
        <v>16.061538461538461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41</v>
      </c>
      <c r="D33" s="5">
        <v>40</v>
      </c>
      <c r="E33" s="5">
        <v>233</v>
      </c>
      <c r="F33" s="5">
        <v>239</v>
      </c>
      <c r="G33" s="5">
        <v>34</v>
      </c>
      <c r="H33" s="5">
        <v>33</v>
      </c>
      <c r="I33" s="5">
        <v>51</v>
      </c>
      <c r="J33" s="5">
        <v>52</v>
      </c>
      <c r="K33" s="5">
        <v>739</v>
      </c>
      <c r="L33" s="5">
        <v>708</v>
      </c>
      <c r="M33" s="5">
        <v>52</v>
      </c>
      <c r="N33" s="5">
        <v>50</v>
      </c>
      <c r="O33" s="5">
        <v>60</v>
      </c>
      <c r="P33" s="5">
        <v>69</v>
      </c>
      <c r="Q33" s="5">
        <v>1473</v>
      </c>
      <c r="R33" s="5">
        <v>1658</v>
      </c>
      <c r="S33" s="5">
        <v>48</v>
      </c>
      <c r="T33" s="5">
        <v>47</v>
      </c>
      <c r="U33" s="5"/>
      <c r="V33" s="5">
        <f t="shared" si="0"/>
        <v>6.8529411764705879</v>
      </c>
      <c r="W33" s="5">
        <f t="shared" si="1"/>
        <v>14.211538461538462</v>
      </c>
      <c r="X33" s="5">
        <f t="shared" si="2"/>
        <v>30.6875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683</v>
      </c>
      <c r="D34" s="5">
        <v>1111</v>
      </c>
      <c r="E34" s="5">
        <v>5421</v>
      </c>
      <c r="F34" s="5">
        <v>8719</v>
      </c>
      <c r="G34" s="5">
        <v>556</v>
      </c>
      <c r="H34" s="5">
        <v>906</v>
      </c>
      <c r="I34" s="5">
        <v>1043</v>
      </c>
      <c r="J34" s="5">
        <v>1380</v>
      </c>
      <c r="K34" s="5">
        <v>22355</v>
      </c>
      <c r="L34" s="5">
        <v>33446</v>
      </c>
      <c r="M34" s="5">
        <v>673</v>
      </c>
      <c r="N34" s="5">
        <v>1203</v>
      </c>
      <c r="O34" s="5">
        <v>969</v>
      </c>
      <c r="P34" s="5">
        <v>1590</v>
      </c>
      <c r="Q34" s="5">
        <v>60108</v>
      </c>
      <c r="R34" s="5">
        <v>85212</v>
      </c>
      <c r="S34" s="5">
        <v>821</v>
      </c>
      <c r="T34" s="5">
        <v>1408</v>
      </c>
      <c r="U34" s="5"/>
      <c r="V34" s="5">
        <f t="shared" si="0"/>
        <v>9.75</v>
      </c>
      <c r="W34" s="5">
        <f t="shared" si="1"/>
        <v>33.216939078751857</v>
      </c>
      <c r="X34" s="5">
        <f t="shared" si="2"/>
        <v>73.213154689403169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1491</v>
      </c>
      <c r="D35" s="5">
        <v>1665</v>
      </c>
      <c r="E35" s="5">
        <v>4413</v>
      </c>
      <c r="F35" s="5">
        <v>5456</v>
      </c>
      <c r="G35" s="5">
        <v>1120</v>
      </c>
      <c r="H35" s="5">
        <v>1295</v>
      </c>
      <c r="I35" s="5">
        <v>2206</v>
      </c>
      <c r="J35" s="5">
        <v>2312</v>
      </c>
      <c r="K35" s="5">
        <v>17625</v>
      </c>
      <c r="L35" s="5">
        <v>23441</v>
      </c>
      <c r="M35" s="5">
        <v>1588</v>
      </c>
      <c r="N35" s="5">
        <v>1946</v>
      </c>
      <c r="O35" s="5">
        <v>2841</v>
      </c>
      <c r="P35" s="5">
        <v>3157</v>
      </c>
      <c r="Q35" s="5">
        <v>52932</v>
      </c>
      <c r="R35" s="5">
        <v>57900</v>
      </c>
      <c r="S35" s="5">
        <v>2334</v>
      </c>
      <c r="T35" s="5">
        <v>2523</v>
      </c>
      <c r="U35" s="5"/>
      <c r="V35" s="5">
        <f t="shared" si="0"/>
        <v>3.9401785714285715</v>
      </c>
      <c r="W35" s="5">
        <f t="shared" si="1"/>
        <v>11.098866498740554</v>
      </c>
      <c r="X35" s="5">
        <f t="shared" si="2"/>
        <v>22.678663239074549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5144</v>
      </c>
      <c r="D36" s="5">
        <v>6688</v>
      </c>
      <c r="E36" s="5">
        <v>53186</v>
      </c>
      <c r="F36" s="5">
        <v>68839</v>
      </c>
      <c r="G36" s="5">
        <v>3994</v>
      </c>
      <c r="H36" s="5">
        <v>5145</v>
      </c>
      <c r="I36" s="5">
        <v>6899</v>
      </c>
      <c r="J36" s="5">
        <v>8641</v>
      </c>
      <c r="K36" s="5">
        <v>179883</v>
      </c>
      <c r="L36" s="5">
        <v>281145</v>
      </c>
      <c r="M36" s="5">
        <v>5720</v>
      </c>
      <c r="N36" s="5">
        <v>7182</v>
      </c>
      <c r="O36" s="5">
        <v>8421</v>
      </c>
      <c r="P36" s="5">
        <v>10680</v>
      </c>
      <c r="Q36" s="5">
        <v>455491</v>
      </c>
      <c r="R36" s="5">
        <v>674091</v>
      </c>
      <c r="S36" s="5">
        <v>7137</v>
      </c>
      <c r="T36" s="5">
        <v>8981</v>
      </c>
      <c r="U36" s="5"/>
      <c r="V36" s="5">
        <f t="shared" si="0"/>
        <v>13.316474712068102</v>
      </c>
      <c r="W36" s="5">
        <f t="shared" si="1"/>
        <v>31.448076923076922</v>
      </c>
      <c r="X36" s="5">
        <f t="shared" si="2"/>
        <v>63.821073280089671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2812</v>
      </c>
      <c r="D37" s="5">
        <v>3091</v>
      </c>
      <c r="E37" s="5">
        <v>9477</v>
      </c>
      <c r="F37" s="5">
        <v>10135</v>
      </c>
      <c r="G37" s="5">
        <v>2182</v>
      </c>
      <c r="H37" s="5">
        <v>2443</v>
      </c>
      <c r="I37" s="5">
        <v>3925</v>
      </c>
      <c r="J37" s="5">
        <v>4448</v>
      </c>
      <c r="K37" s="5">
        <v>43335</v>
      </c>
      <c r="L37" s="5">
        <v>46344</v>
      </c>
      <c r="M37" s="5">
        <v>3253</v>
      </c>
      <c r="N37" s="5">
        <v>3584</v>
      </c>
      <c r="O37" s="5">
        <v>5402</v>
      </c>
      <c r="P37" s="5">
        <v>5585</v>
      </c>
      <c r="Q37" s="5">
        <v>144804</v>
      </c>
      <c r="R37" s="5">
        <v>150430</v>
      </c>
      <c r="S37" s="5">
        <v>4247</v>
      </c>
      <c r="T37" s="5">
        <v>4830</v>
      </c>
      <c r="U37" s="5"/>
      <c r="V37" s="5">
        <f t="shared" si="0"/>
        <v>4.3432630614115491</v>
      </c>
      <c r="W37" s="5">
        <f t="shared" si="1"/>
        <v>13.321549339071627</v>
      </c>
      <c r="X37" s="5">
        <f t="shared" si="2"/>
        <v>34.095596891923712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1596</v>
      </c>
      <c r="D38" s="5">
        <v>2836</v>
      </c>
      <c r="E38" s="5">
        <v>10615</v>
      </c>
      <c r="F38" s="5">
        <v>12666</v>
      </c>
      <c r="G38" s="5">
        <v>1248</v>
      </c>
      <c r="H38" s="5">
        <v>2271</v>
      </c>
      <c r="I38" s="5">
        <v>1920</v>
      </c>
      <c r="J38" s="5">
        <v>3536</v>
      </c>
      <c r="K38" s="5">
        <v>39310</v>
      </c>
      <c r="L38" s="5">
        <v>48052</v>
      </c>
      <c r="M38" s="5">
        <v>1652</v>
      </c>
      <c r="N38" s="5">
        <v>2966</v>
      </c>
      <c r="O38" s="5">
        <v>2229</v>
      </c>
      <c r="P38" s="5">
        <v>4195</v>
      </c>
      <c r="Q38" s="5">
        <v>141961</v>
      </c>
      <c r="R38" s="5">
        <v>151575</v>
      </c>
      <c r="S38" s="5">
        <v>1863</v>
      </c>
      <c r="T38" s="5">
        <v>3474</v>
      </c>
      <c r="U38" s="5"/>
      <c r="V38" s="5">
        <f t="shared" si="0"/>
        <v>8.5056089743589745</v>
      </c>
      <c r="W38" s="5">
        <f t="shared" si="1"/>
        <v>23.795399515738499</v>
      </c>
      <c r="X38" s="5">
        <f t="shared" si="2"/>
        <v>76.200214707461086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1835</v>
      </c>
      <c r="D39" s="5">
        <v>2218</v>
      </c>
      <c r="E39" s="5">
        <v>6141</v>
      </c>
      <c r="F39" s="5">
        <v>6020</v>
      </c>
      <c r="G39" s="5">
        <v>1321</v>
      </c>
      <c r="H39" s="5">
        <v>1605</v>
      </c>
      <c r="I39" s="5">
        <v>2213</v>
      </c>
      <c r="J39" s="5">
        <v>2668</v>
      </c>
      <c r="K39" s="5">
        <v>20742</v>
      </c>
      <c r="L39" s="5">
        <v>21214</v>
      </c>
      <c r="M39" s="5">
        <v>1675</v>
      </c>
      <c r="N39" s="5">
        <v>2157</v>
      </c>
      <c r="O39" s="5">
        <v>2568</v>
      </c>
      <c r="P39" s="5">
        <v>3229</v>
      </c>
      <c r="Q39" s="5">
        <v>49336</v>
      </c>
      <c r="R39" s="5">
        <v>50372</v>
      </c>
      <c r="S39" s="5">
        <v>2132</v>
      </c>
      <c r="T39" s="5">
        <v>2763</v>
      </c>
      <c r="U39" s="5"/>
      <c r="V39" s="5">
        <f t="shared" si="0"/>
        <v>4.6487509462528385</v>
      </c>
      <c r="W39" s="5">
        <f t="shared" si="1"/>
        <v>12.383283582089552</v>
      </c>
      <c r="X39" s="5">
        <f t="shared" si="2"/>
        <v>23.140712945590995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1654</v>
      </c>
      <c r="D40" s="5">
        <v>1822</v>
      </c>
      <c r="E40" s="5">
        <v>4411</v>
      </c>
      <c r="F40" s="5">
        <v>4630</v>
      </c>
      <c r="G40" s="5">
        <v>1171</v>
      </c>
      <c r="H40" s="5">
        <v>1450</v>
      </c>
      <c r="I40" s="5">
        <v>2077</v>
      </c>
      <c r="J40" s="5">
        <v>2677</v>
      </c>
      <c r="K40" s="5">
        <v>20041</v>
      </c>
      <c r="L40" s="5">
        <v>20626</v>
      </c>
      <c r="M40" s="5">
        <v>1654</v>
      </c>
      <c r="N40" s="5">
        <v>1944</v>
      </c>
      <c r="O40" s="5">
        <v>2506</v>
      </c>
      <c r="P40" s="5">
        <v>2924</v>
      </c>
      <c r="Q40" s="5">
        <v>48181</v>
      </c>
      <c r="R40" s="5">
        <v>43500</v>
      </c>
      <c r="S40" s="5">
        <v>2067</v>
      </c>
      <c r="T40" s="5">
        <v>2442</v>
      </c>
      <c r="U40" s="5"/>
      <c r="V40" s="5">
        <f t="shared" si="0"/>
        <v>3.7668659265584972</v>
      </c>
      <c r="W40" s="5">
        <f t="shared" si="1"/>
        <v>12.116686819830713</v>
      </c>
      <c r="X40" s="5">
        <f t="shared" si="2"/>
        <v>23.309627479438799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1178</v>
      </c>
      <c r="D41" s="5">
        <v>1588</v>
      </c>
      <c r="E41" s="5">
        <v>3670</v>
      </c>
      <c r="F41" s="5">
        <v>4271</v>
      </c>
      <c r="G41" s="5">
        <v>940</v>
      </c>
      <c r="H41" s="5">
        <v>1197</v>
      </c>
      <c r="I41" s="5">
        <v>1454</v>
      </c>
      <c r="J41" s="5">
        <v>2026</v>
      </c>
      <c r="K41" s="5">
        <v>13385</v>
      </c>
      <c r="L41" s="5">
        <v>14291</v>
      </c>
      <c r="M41" s="5">
        <v>1297</v>
      </c>
      <c r="N41" s="5">
        <v>1544</v>
      </c>
      <c r="O41" s="5">
        <v>1767</v>
      </c>
      <c r="P41" s="5">
        <v>2239</v>
      </c>
      <c r="Q41" s="5">
        <v>29484</v>
      </c>
      <c r="R41" s="5">
        <v>30897</v>
      </c>
      <c r="S41" s="5">
        <v>1436</v>
      </c>
      <c r="T41" s="5">
        <v>1805</v>
      </c>
      <c r="U41" s="5"/>
      <c r="V41" s="5">
        <f t="shared" si="0"/>
        <v>3.9042553191489362</v>
      </c>
      <c r="W41" s="5">
        <f t="shared" si="1"/>
        <v>10.319969159599074</v>
      </c>
      <c r="X41" s="5">
        <f t="shared" si="2"/>
        <v>20.532033426183844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325</v>
      </c>
      <c r="D42" s="5">
        <v>372</v>
      </c>
      <c r="E42" s="5">
        <v>767</v>
      </c>
      <c r="F42" s="5">
        <v>832</v>
      </c>
      <c r="G42" s="5">
        <v>244</v>
      </c>
      <c r="H42" s="5">
        <v>277</v>
      </c>
      <c r="I42" s="5">
        <v>383</v>
      </c>
      <c r="J42" s="5">
        <v>408</v>
      </c>
      <c r="K42" s="5">
        <v>2419</v>
      </c>
      <c r="L42" s="5">
        <v>2486</v>
      </c>
      <c r="M42" s="5">
        <v>317</v>
      </c>
      <c r="N42" s="5">
        <v>364</v>
      </c>
      <c r="O42" s="5">
        <v>455</v>
      </c>
      <c r="P42" s="5">
        <v>470</v>
      </c>
      <c r="Q42" s="5">
        <v>5426</v>
      </c>
      <c r="R42" s="5">
        <v>5511</v>
      </c>
      <c r="S42" s="5">
        <v>349</v>
      </c>
      <c r="T42" s="5">
        <v>379</v>
      </c>
      <c r="U42" s="5"/>
      <c r="V42" s="5">
        <f t="shared" si="0"/>
        <v>3.1434426229508197</v>
      </c>
      <c r="W42" s="5">
        <f t="shared" si="1"/>
        <v>7.6309148264984223</v>
      </c>
      <c r="X42" s="5">
        <f t="shared" si="2"/>
        <v>15.54727793696275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6252</v>
      </c>
      <c r="D43" s="5">
        <v>8804</v>
      </c>
      <c r="E43" s="5">
        <v>19842</v>
      </c>
      <c r="F43" s="5">
        <v>23455</v>
      </c>
      <c r="G43" s="5">
        <v>4828</v>
      </c>
      <c r="H43" s="5">
        <v>6359</v>
      </c>
      <c r="I43" s="5">
        <v>11540</v>
      </c>
      <c r="J43" s="5">
        <v>16183</v>
      </c>
      <c r="K43" s="5">
        <v>108020</v>
      </c>
      <c r="L43" s="5">
        <v>125187</v>
      </c>
      <c r="M43" s="5">
        <v>8859</v>
      </c>
      <c r="N43" s="5">
        <v>12246</v>
      </c>
      <c r="O43" s="5">
        <v>15466</v>
      </c>
      <c r="P43" s="5">
        <v>20886</v>
      </c>
      <c r="Q43" s="5">
        <v>351920</v>
      </c>
      <c r="R43" s="5">
        <v>377102</v>
      </c>
      <c r="S43" s="5">
        <v>13208</v>
      </c>
      <c r="T43" s="5">
        <v>17975</v>
      </c>
      <c r="U43" s="5"/>
      <c r="V43" s="5">
        <f t="shared" si="0"/>
        <v>4.1097763048881522</v>
      </c>
      <c r="W43" s="5">
        <f t="shared" si="1"/>
        <v>12.193249802460775</v>
      </c>
      <c r="X43" s="5">
        <f t="shared" si="2"/>
        <v>26.644457904300424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645</v>
      </c>
      <c r="D44" s="5">
        <v>663</v>
      </c>
      <c r="E44" s="5">
        <v>2364</v>
      </c>
      <c r="F44" s="5">
        <v>1905</v>
      </c>
      <c r="G44" s="5">
        <v>482</v>
      </c>
      <c r="H44" s="5">
        <v>544</v>
      </c>
      <c r="I44" s="5">
        <v>1017</v>
      </c>
      <c r="J44" s="5">
        <v>804</v>
      </c>
      <c r="K44" s="5">
        <v>8808</v>
      </c>
      <c r="L44" s="5">
        <v>7329</v>
      </c>
      <c r="M44" s="5">
        <v>713</v>
      </c>
      <c r="N44" s="5">
        <v>688</v>
      </c>
      <c r="O44" s="5">
        <v>1090</v>
      </c>
      <c r="P44" s="5">
        <v>950</v>
      </c>
      <c r="Q44" s="5">
        <v>22239</v>
      </c>
      <c r="R44" s="5">
        <v>18922</v>
      </c>
      <c r="S44" s="5">
        <v>989</v>
      </c>
      <c r="T44" s="5">
        <v>792</v>
      </c>
      <c r="U44" s="5"/>
      <c r="V44" s="5">
        <f t="shared" si="0"/>
        <v>4.9045643153526974</v>
      </c>
      <c r="W44" s="5">
        <f t="shared" si="1"/>
        <v>12.353436185133241</v>
      </c>
      <c r="X44" s="5">
        <f t="shared" si="2"/>
        <v>22.486349848331649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263</v>
      </c>
      <c r="D45" s="5">
        <v>279</v>
      </c>
      <c r="E45" s="5">
        <v>833</v>
      </c>
      <c r="F45" s="5">
        <v>854</v>
      </c>
      <c r="G45" s="5">
        <v>208</v>
      </c>
      <c r="H45" s="5">
        <v>227</v>
      </c>
      <c r="I45" s="5">
        <v>318</v>
      </c>
      <c r="J45" s="5">
        <v>331</v>
      </c>
      <c r="K45" s="5">
        <v>3445</v>
      </c>
      <c r="L45" s="5">
        <v>3991</v>
      </c>
      <c r="M45" s="5">
        <v>277</v>
      </c>
      <c r="N45" s="5">
        <v>262</v>
      </c>
      <c r="O45" s="5">
        <v>365</v>
      </c>
      <c r="P45" s="5">
        <v>380</v>
      </c>
      <c r="Q45" s="5">
        <v>9322</v>
      </c>
      <c r="R45" s="5">
        <v>9080</v>
      </c>
      <c r="S45" s="5">
        <v>319</v>
      </c>
      <c r="T45" s="5">
        <v>320</v>
      </c>
      <c r="U45" s="5"/>
      <c r="V45" s="5">
        <f t="shared" si="0"/>
        <v>4.0048076923076925</v>
      </c>
      <c r="W45" s="5">
        <f t="shared" si="1"/>
        <v>12.436823104693142</v>
      </c>
      <c r="X45" s="5">
        <f t="shared" si="2"/>
        <v>29.222570532915359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890</v>
      </c>
      <c r="D46" s="5">
        <v>10258</v>
      </c>
      <c r="E46" s="5">
        <v>2718</v>
      </c>
      <c r="F46" s="5">
        <v>10880</v>
      </c>
      <c r="G46" s="5">
        <v>711</v>
      </c>
      <c r="H46" s="5">
        <v>6535</v>
      </c>
      <c r="I46" s="5">
        <v>1125</v>
      </c>
      <c r="J46" s="5">
        <v>12627</v>
      </c>
      <c r="K46" s="5">
        <v>10388</v>
      </c>
      <c r="L46" s="5">
        <v>20644</v>
      </c>
      <c r="M46" s="5">
        <v>925</v>
      </c>
      <c r="N46" s="5">
        <v>9767</v>
      </c>
      <c r="O46" s="5">
        <v>1365</v>
      </c>
      <c r="P46" s="5">
        <v>13962</v>
      </c>
      <c r="Q46" s="5">
        <v>29487</v>
      </c>
      <c r="R46" s="5">
        <v>36324</v>
      </c>
      <c r="S46" s="5">
        <v>1132</v>
      </c>
      <c r="T46" s="5">
        <v>9196</v>
      </c>
      <c r="U46" s="5"/>
      <c r="V46" s="5">
        <f t="shared" si="0"/>
        <v>3.8227848101265822</v>
      </c>
      <c r="W46" s="5">
        <f t="shared" si="1"/>
        <v>11.230270270270271</v>
      </c>
      <c r="X46" s="5">
        <f t="shared" si="2"/>
        <v>26.048586572438161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937</v>
      </c>
      <c r="D47" s="5">
        <v>0</v>
      </c>
      <c r="E47" s="5">
        <v>3027</v>
      </c>
      <c r="F47" s="5">
        <v>6484</v>
      </c>
      <c r="G47" s="5">
        <v>723</v>
      </c>
      <c r="H47" s="5">
        <v>2265</v>
      </c>
      <c r="I47" s="5">
        <v>1839</v>
      </c>
      <c r="J47" s="5">
        <v>17480</v>
      </c>
      <c r="K47" s="5">
        <v>18286</v>
      </c>
      <c r="L47" s="5">
        <v>20191</v>
      </c>
      <c r="M47" s="5">
        <v>1397</v>
      </c>
      <c r="N47" s="5">
        <v>78039</v>
      </c>
      <c r="O47" s="5">
        <v>2445</v>
      </c>
      <c r="P47" s="5">
        <v>63856</v>
      </c>
      <c r="Q47" s="5">
        <v>58089</v>
      </c>
      <c r="R47" s="5">
        <v>49577</v>
      </c>
      <c r="S47" s="5">
        <v>2072</v>
      </c>
      <c r="T47" s="5">
        <v>92366</v>
      </c>
      <c r="U47" s="5"/>
      <c r="V47" s="5">
        <f t="shared" si="0"/>
        <v>4.186721991701245</v>
      </c>
      <c r="W47" s="5">
        <f t="shared" si="1"/>
        <v>13.089477451682177</v>
      </c>
      <c r="X47" s="5">
        <f t="shared" si="2"/>
        <v>28.035231660231659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24</v>
      </c>
      <c r="D48" s="5">
        <v>28</v>
      </c>
      <c r="E48" s="5">
        <v>129</v>
      </c>
      <c r="F48" s="5">
        <v>136</v>
      </c>
      <c r="G48" s="5">
        <v>29</v>
      </c>
      <c r="H48" s="5">
        <v>21</v>
      </c>
      <c r="I48" s="5">
        <v>30</v>
      </c>
      <c r="J48" s="5">
        <v>30</v>
      </c>
      <c r="K48" s="5">
        <v>323</v>
      </c>
      <c r="L48" s="5">
        <v>319</v>
      </c>
      <c r="M48" s="5">
        <v>45</v>
      </c>
      <c r="N48" s="5">
        <v>28</v>
      </c>
      <c r="O48" s="5">
        <v>37</v>
      </c>
      <c r="P48" s="5">
        <v>38</v>
      </c>
      <c r="Q48" s="5">
        <v>337</v>
      </c>
      <c r="R48" s="5">
        <v>317</v>
      </c>
      <c r="S48" s="5">
        <v>33</v>
      </c>
      <c r="T48" s="5">
        <v>32</v>
      </c>
      <c r="U48" s="5"/>
      <c r="V48" s="5">
        <f t="shared" si="0"/>
        <v>4.4482758620689653</v>
      </c>
      <c r="W48" s="5">
        <f t="shared" si="1"/>
        <v>7.177777777777778</v>
      </c>
      <c r="X48" s="5">
        <f t="shared" si="2"/>
        <v>10.212121212121213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14</v>
      </c>
      <c r="D49" s="5">
        <v>13</v>
      </c>
      <c r="E49" s="5">
        <v>23</v>
      </c>
      <c r="F49" s="5">
        <v>16</v>
      </c>
      <c r="G49" s="5">
        <v>10</v>
      </c>
      <c r="H49" s="5">
        <v>11</v>
      </c>
      <c r="I49" s="5">
        <v>15</v>
      </c>
      <c r="J49" s="5">
        <v>16</v>
      </c>
      <c r="K49" s="5">
        <v>21</v>
      </c>
      <c r="L49" s="5">
        <v>21</v>
      </c>
      <c r="M49" s="5">
        <v>19</v>
      </c>
      <c r="N49" s="5">
        <v>14</v>
      </c>
      <c r="O49" s="5">
        <v>18</v>
      </c>
      <c r="P49" s="5">
        <v>18</v>
      </c>
      <c r="Q49" s="5">
        <v>38</v>
      </c>
      <c r="R49" s="5">
        <v>39</v>
      </c>
      <c r="S49" s="5">
        <v>16</v>
      </c>
      <c r="T49" s="5">
        <v>15</v>
      </c>
      <c r="U49" s="5"/>
      <c r="V49" s="5">
        <f t="shared" si="0"/>
        <v>2.2999999999999998</v>
      </c>
      <c r="W49" s="5">
        <f t="shared" si="1"/>
        <v>1.1052631578947369</v>
      </c>
      <c r="X49" s="5">
        <f t="shared" si="2"/>
        <v>2.375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1086</v>
      </c>
      <c r="D50" s="5">
        <v>38950</v>
      </c>
      <c r="E50" s="5">
        <v>2849</v>
      </c>
      <c r="F50" s="5">
        <v>34324</v>
      </c>
      <c r="G50" s="5">
        <v>829</v>
      </c>
      <c r="H50" s="5">
        <v>30220</v>
      </c>
      <c r="I50" s="5">
        <v>1694</v>
      </c>
      <c r="J50" s="5">
        <v>50007</v>
      </c>
      <c r="K50" s="5">
        <v>11972</v>
      </c>
      <c r="L50" s="5">
        <v>45213</v>
      </c>
      <c r="M50" s="5">
        <v>1359</v>
      </c>
      <c r="N50" s="5">
        <v>36683</v>
      </c>
      <c r="O50" s="5">
        <v>2191</v>
      </c>
      <c r="P50" s="5">
        <v>64373</v>
      </c>
      <c r="Q50" s="5">
        <v>28737</v>
      </c>
      <c r="R50" s="5">
        <v>82160</v>
      </c>
      <c r="S50" s="5">
        <v>1782</v>
      </c>
      <c r="T50" s="5">
        <v>49064</v>
      </c>
      <c r="U50" s="5"/>
      <c r="V50" s="5">
        <f t="shared" si="0"/>
        <v>3.4366706875753921</v>
      </c>
      <c r="W50" s="5">
        <f t="shared" si="1"/>
        <v>8.8094186902133931</v>
      </c>
      <c r="X50" s="5">
        <f t="shared" si="2"/>
        <v>16.126262626262626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75</v>
      </c>
      <c r="D51" s="5">
        <v>79</v>
      </c>
      <c r="E51" s="5">
        <v>281</v>
      </c>
      <c r="F51" s="5">
        <v>302</v>
      </c>
      <c r="G51" s="5">
        <v>55</v>
      </c>
      <c r="H51" s="5">
        <v>65</v>
      </c>
      <c r="I51" s="5">
        <v>82</v>
      </c>
      <c r="J51" s="5">
        <v>95</v>
      </c>
      <c r="K51" s="5">
        <v>1022</v>
      </c>
      <c r="L51" s="5">
        <v>1121</v>
      </c>
      <c r="M51" s="5">
        <v>68</v>
      </c>
      <c r="N51" s="5">
        <v>88</v>
      </c>
      <c r="O51" s="5">
        <v>100</v>
      </c>
      <c r="P51" s="5">
        <v>110</v>
      </c>
      <c r="Q51" s="5">
        <v>2517</v>
      </c>
      <c r="R51" s="5">
        <v>2604</v>
      </c>
      <c r="S51" s="5">
        <v>78</v>
      </c>
      <c r="T51" s="5">
        <v>103</v>
      </c>
      <c r="U51" s="5"/>
      <c r="V51" s="5">
        <f t="shared" si="0"/>
        <v>5.1090909090909093</v>
      </c>
      <c r="W51" s="5">
        <f t="shared" si="1"/>
        <v>15.029411764705882</v>
      </c>
      <c r="X51" s="5">
        <f t="shared" si="2"/>
        <v>32.269230769230766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554</v>
      </c>
      <c r="D52" s="5">
        <v>3723</v>
      </c>
      <c r="E52" s="5">
        <v>1681</v>
      </c>
      <c r="F52" s="5">
        <v>5133</v>
      </c>
      <c r="G52" s="5">
        <v>435</v>
      </c>
      <c r="H52" s="5">
        <v>2038</v>
      </c>
      <c r="I52" s="5">
        <v>748</v>
      </c>
      <c r="J52" s="5">
        <v>3468</v>
      </c>
      <c r="K52" s="5">
        <v>6527</v>
      </c>
      <c r="L52" s="5">
        <v>9203</v>
      </c>
      <c r="M52" s="5">
        <v>588</v>
      </c>
      <c r="N52" s="5">
        <v>2533</v>
      </c>
      <c r="O52" s="5">
        <v>849</v>
      </c>
      <c r="P52" s="5">
        <v>3699</v>
      </c>
      <c r="Q52" s="5">
        <v>17788</v>
      </c>
      <c r="R52" s="5">
        <v>19258</v>
      </c>
      <c r="S52" s="5">
        <v>717</v>
      </c>
      <c r="T52" s="5">
        <v>3073</v>
      </c>
      <c r="U52" s="5"/>
      <c r="V52" s="5">
        <f t="shared" si="0"/>
        <v>3.8643678160919541</v>
      </c>
      <c r="W52" s="5">
        <f t="shared" si="1"/>
        <v>11.100340136054422</v>
      </c>
      <c r="X52" s="5">
        <f t="shared" si="2"/>
        <v>24.808926080892608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573</v>
      </c>
      <c r="D53" s="5">
        <v>706</v>
      </c>
      <c r="E53" s="5">
        <v>1684</v>
      </c>
      <c r="F53" s="5">
        <v>1908</v>
      </c>
      <c r="G53" s="5">
        <v>445</v>
      </c>
      <c r="H53" s="5">
        <v>473</v>
      </c>
      <c r="I53" s="5">
        <v>928</v>
      </c>
      <c r="J53" s="5">
        <v>1051</v>
      </c>
      <c r="K53" s="5">
        <v>7467</v>
      </c>
      <c r="L53" s="5">
        <v>7718</v>
      </c>
      <c r="M53" s="5">
        <v>686</v>
      </c>
      <c r="N53" s="5">
        <v>820</v>
      </c>
      <c r="O53" s="5">
        <v>1150</v>
      </c>
      <c r="P53" s="5">
        <v>1335</v>
      </c>
      <c r="Q53" s="5">
        <v>16102</v>
      </c>
      <c r="R53" s="5">
        <v>19926</v>
      </c>
      <c r="S53" s="5">
        <v>939</v>
      </c>
      <c r="T53" s="5">
        <v>1057</v>
      </c>
      <c r="U53" s="5"/>
      <c r="V53" s="5">
        <f t="shared" si="0"/>
        <v>3.7842696629213481</v>
      </c>
      <c r="W53" s="5">
        <f t="shared" si="1"/>
        <v>10.884839650145773</v>
      </c>
      <c r="X53" s="5">
        <f t="shared" si="2"/>
        <v>17.148029818956335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1335</v>
      </c>
      <c r="D54" s="5">
        <v>614677</v>
      </c>
      <c r="E54" s="5">
        <v>2901</v>
      </c>
      <c r="F54" s="5">
        <v>808370</v>
      </c>
      <c r="G54" s="5">
        <v>1027</v>
      </c>
      <c r="H54" s="5">
        <v>470942</v>
      </c>
      <c r="I54" s="5">
        <v>2762</v>
      </c>
      <c r="J54" s="5">
        <v>972891</v>
      </c>
      <c r="K54" s="5">
        <v>11242</v>
      </c>
      <c r="L54" s="5">
        <v>1065121</v>
      </c>
      <c r="M54" s="5">
        <v>2006</v>
      </c>
      <c r="N54" s="5">
        <v>833855</v>
      </c>
      <c r="O54" s="5">
        <v>3104</v>
      </c>
      <c r="P54" s="5">
        <v>1163749</v>
      </c>
      <c r="Q54" s="5">
        <v>28656</v>
      </c>
      <c r="R54" s="5">
        <v>1131623</v>
      </c>
      <c r="S54" s="5">
        <v>2582</v>
      </c>
      <c r="T54" s="5">
        <v>842760</v>
      </c>
      <c r="U54" s="5"/>
      <c r="V54" s="5">
        <f t="shared" si="0"/>
        <v>2.8247322297955209</v>
      </c>
      <c r="W54" s="5">
        <f t="shared" si="1"/>
        <v>5.6041874376869396</v>
      </c>
      <c r="X54" s="5">
        <f t="shared" si="2"/>
        <v>11.098373353989155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164</v>
      </c>
      <c r="D55" s="5">
        <v>130</v>
      </c>
      <c r="E55" s="5">
        <v>561</v>
      </c>
      <c r="F55" s="5">
        <v>469</v>
      </c>
      <c r="G55" s="5">
        <v>114</v>
      </c>
      <c r="H55" s="5">
        <v>97</v>
      </c>
      <c r="I55" s="5">
        <v>244</v>
      </c>
      <c r="J55" s="5">
        <v>208</v>
      </c>
      <c r="K55" s="5">
        <v>844</v>
      </c>
      <c r="L55" s="5">
        <v>942</v>
      </c>
      <c r="M55" s="5">
        <v>185</v>
      </c>
      <c r="N55" s="5">
        <v>163</v>
      </c>
      <c r="O55" s="5">
        <v>350</v>
      </c>
      <c r="P55" s="5">
        <v>415</v>
      </c>
      <c r="Q55" s="5">
        <v>2198</v>
      </c>
      <c r="R55" s="5">
        <v>2162</v>
      </c>
      <c r="S55" s="5">
        <v>314</v>
      </c>
      <c r="T55" s="5">
        <v>217</v>
      </c>
      <c r="U55" s="5"/>
      <c r="V55" s="5">
        <f t="shared" si="0"/>
        <v>4.9210526315789478</v>
      </c>
      <c r="W55" s="5">
        <f t="shared" si="1"/>
        <v>4.5621621621621617</v>
      </c>
      <c r="X55" s="5">
        <f t="shared" si="2"/>
        <v>7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98</v>
      </c>
      <c r="D56" s="5">
        <v>156</v>
      </c>
      <c r="E56" s="5">
        <v>427</v>
      </c>
      <c r="F56" s="5">
        <v>525</v>
      </c>
      <c r="G56" s="5">
        <v>93</v>
      </c>
      <c r="H56" s="5">
        <v>110</v>
      </c>
      <c r="I56" s="5">
        <v>118</v>
      </c>
      <c r="J56" s="5">
        <v>208</v>
      </c>
      <c r="K56" s="5">
        <v>1073</v>
      </c>
      <c r="L56" s="5">
        <v>889</v>
      </c>
      <c r="M56" s="5">
        <v>91</v>
      </c>
      <c r="N56" s="5">
        <v>149</v>
      </c>
      <c r="O56" s="5">
        <v>141</v>
      </c>
      <c r="P56" s="5">
        <v>233</v>
      </c>
      <c r="Q56" s="5">
        <v>2116</v>
      </c>
      <c r="R56" s="5">
        <v>2268</v>
      </c>
      <c r="S56" s="5">
        <v>103</v>
      </c>
      <c r="T56" s="5">
        <v>168</v>
      </c>
      <c r="U56" s="5"/>
      <c r="V56" s="5">
        <f t="shared" si="0"/>
        <v>4.591397849462366</v>
      </c>
      <c r="W56" s="5">
        <f t="shared" si="1"/>
        <v>11.791208791208792</v>
      </c>
      <c r="X56" s="5">
        <f t="shared" si="2"/>
        <v>20.543689320388349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131</v>
      </c>
      <c r="D57" s="5">
        <v>162</v>
      </c>
      <c r="E57" s="5">
        <v>480</v>
      </c>
      <c r="F57" s="5">
        <v>496</v>
      </c>
      <c r="G57" s="5">
        <v>112</v>
      </c>
      <c r="H57" s="5">
        <v>118</v>
      </c>
      <c r="I57" s="5">
        <v>193</v>
      </c>
      <c r="J57" s="5">
        <v>231</v>
      </c>
      <c r="K57" s="5">
        <v>857</v>
      </c>
      <c r="L57" s="5">
        <v>940</v>
      </c>
      <c r="M57" s="5">
        <v>152</v>
      </c>
      <c r="N57" s="5">
        <v>193</v>
      </c>
      <c r="O57" s="5">
        <v>299</v>
      </c>
      <c r="P57" s="5">
        <v>340</v>
      </c>
      <c r="Q57" s="5">
        <v>1602</v>
      </c>
      <c r="R57" s="5">
        <v>2557</v>
      </c>
      <c r="S57" s="5">
        <v>217</v>
      </c>
      <c r="T57" s="5">
        <v>245</v>
      </c>
      <c r="U57" s="5"/>
      <c r="V57" s="5">
        <f t="shared" si="0"/>
        <v>4.2857142857142856</v>
      </c>
      <c r="W57" s="5">
        <f t="shared" si="1"/>
        <v>5.6381578947368425</v>
      </c>
      <c r="X57" s="5">
        <f t="shared" si="2"/>
        <v>7.3824884792626726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845</v>
      </c>
      <c r="D58" s="5">
        <v>957</v>
      </c>
      <c r="E58" s="5">
        <v>2687</v>
      </c>
      <c r="F58" s="5">
        <v>2568</v>
      </c>
      <c r="G58" s="5">
        <v>726</v>
      </c>
      <c r="H58" s="5">
        <v>817</v>
      </c>
      <c r="I58" s="5">
        <v>1150</v>
      </c>
      <c r="J58" s="5">
        <v>1400</v>
      </c>
      <c r="K58" s="5">
        <v>10297</v>
      </c>
      <c r="L58" s="5">
        <v>8917</v>
      </c>
      <c r="M58" s="5">
        <v>949</v>
      </c>
      <c r="N58" s="5">
        <v>1105</v>
      </c>
      <c r="O58" s="5">
        <v>1325</v>
      </c>
      <c r="P58" s="5">
        <v>1599</v>
      </c>
      <c r="Q58" s="5">
        <v>21089</v>
      </c>
      <c r="R58" s="5">
        <v>21351</v>
      </c>
      <c r="S58" s="5">
        <v>1069</v>
      </c>
      <c r="T58" s="5">
        <v>1287</v>
      </c>
      <c r="U58" s="5"/>
      <c r="V58" s="5">
        <f t="shared" si="0"/>
        <v>3.7011019283746558</v>
      </c>
      <c r="W58" s="5">
        <f t="shared" si="1"/>
        <v>10.850368809272918</v>
      </c>
      <c r="X58" s="5">
        <f t="shared" si="2"/>
        <v>19.727782974742752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13303</v>
      </c>
      <c r="D59" s="5">
        <v>1314628</v>
      </c>
      <c r="E59" s="5">
        <v>76684</v>
      </c>
      <c r="F59" s="5">
        <v>1551927</v>
      </c>
      <c r="G59" s="5">
        <v>10278</v>
      </c>
      <c r="H59" s="5">
        <v>1017044</v>
      </c>
      <c r="I59" s="5">
        <v>19935</v>
      </c>
      <c r="J59" s="5">
        <v>2041539</v>
      </c>
      <c r="K59" s="5">
        <v>276233</v>
      </c>
      <c r="L59" s="5">
        <v>2329552</v>
      </c>
      <c r="M59" s="5">
        <v>16122</v>
      </c>
      <c r="N59" s="5">
        <v>1646162</v>
      </c>
      <c r="O59" s="5">
        <v>24001</v>
      </c>
      <c r="P59" s="5">
        <v>2375725</v>
      </c>
      <c r="Q59" s="5">
        <v>675676</v>
      </c>
      <c r="R59" s="5">
        <v>3232617</v>
      </c>
      <c r="S59" s="5">
        <v>20099</v>
      </c>
      <c r="T59" s="5">
        <v>1851021</v>
      </c>
      <c r="U59" s="5"/>
      <c r="V59" s="5">
        <f t="shared" si="0"/>
        <v>7.4609846273594087</v>
      </c>
      <c r="W59" s="5">
        <f t="shared" si="1"/>
        <v>17.133916387544971</v>
      </c>
      <c r="X59" s="5">
        <f t="shared" si="2"/>
        <v>33.617393900194038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4009</v>
      </c>
      <c r="D60" s="5">
        <v>22361</v>
      </c>
      <c r="E60" s="5">
        <v>21667</v>
      </c>
      <c r="F60" s="5">
        <v>53421</v>
      </c>
      <c r="G60" s="5">
        <v>3201</v>
      </c>
      <c r="H60" s="5">
        <v>21946</v>
      </c>
      <c r="I60" s="5">
        <v>5559</v>
      </c>
      <c r="J60" s="5">
        <v>30805</v>
      </c>
      <c r="K60" s="5">
        <v>87047</v>
      </c>
      <c r="L60" s="5">
        <v>179892</v>
      </c>
      <c r="M60" s="5">
        <v>4399</v>
      </c>
      <c r="N60" s="5">
        <v>28323</v>
      </c>
      <c r="O60" s="5">
        <v>6347</v>
      </c>
      <c r="P60" s="5">
        <v>29583</v>
      </c>
      <c r="Q60" s="5">
        <v>189024</v>
      </c>
      <c r="R60" s="5">
        <v>291006</v>
      </c>
      <c r="S60" s="5">
        <v>5292</v>
      </c>
      <c r="T60" s="5">
        <v>35355</v>
      </c>
      <c r="U60" s="5"/>
      <c r="V60" s="5">
        <f t="shared" si="0"/>
        <v>6.7688222430490468</v>
      </c>
      <c r="W60" s="5">
        <f t="shared" si="1"/>
        <v>19.787906342350535</v>
      </c>
      <c r="X60" s="5">
        <f t="shared" si="2"/>
        <v>35.718820861678005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7372</v>
      </c>
      <c r="D61" s="5">
        <v>717958</v>
      </c>
      <c r="E61" s="5">
        <v>38137</v>
      </c>
      <c r="F61" s="5">
        <v>838972</v>
      </c>
      <c r="G61" s="5">
        <v>5712</v>
      </c>
      <c r="H61" s="5">
        <v>520475</v>
      </c>
      <c r="I61" s="5">
        <v>10071</v>
      </c>
      <c r="J61" s="5">
        <v>956310</v>
      </c>
      <c r="K61" s="5">
        <v>138795</v>
      </c>
      <c r="L61" s="5">
        <v>1345918</v>
      </c>
      <c r="M61" s="5">
        <v>8356</v>
      </c>
      <c r="N61" s="5">
        <v>941783</v>
      </c>
      <c r="O61" s="5">
        <v>12316</v>
      </c>
      <c r="P61" s="5">
        <v>1192608</v>
      </c>
      <c r="Q61" s="5">
        <v>345050</v>
      </c>
      <c r="R61" s="5">
        <v>1863923</v>
      </c>
      <c r="S61" s="5">
        <v>10121</v>
      </c>
      <c r="T61" s="5">
        <v>848265</v>
      </c>
      <c r="U61" s="5"/>
      <c r="V61" s="5">
        <f t="shared" si="0"/>
        <v>6.6766456582633049</v>
      </c>
      <c r="W61" s="5">
        <f t="shared" si="1"/>
        <v>16.610220201053135</v>
      </c>
      <c r="X61" s="5">
        <f t="shared" si="2"/>
        <v>34.092480980140301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5715</v>
      </c>
      <c r="D62" s="5">
        <v>27143</v>
      </c>
      <c r="E62" s="5">
        <v>33801</v>
      </c>
      <c r="F62" s="5">
        <v>61904</v>
      </c>
      <c r="G62" s="5">
        <v>4522</v>
      </c>
      <c r="H62" s="5">
        <v>25359</v>
      </c>
      <c r="I62" s="5">
        <v>7372</v>
      </c>
      <c r="J62" s="5">
        <v>35530</v>
      </c>
      <c r="K62" s="5">
        <v>133080</v>
      </c>
      <c r="L62" s="5">
        <v>184018</v>
      </c>
      <c r="M62" s="5">
        <v>6190</v>
      </c>
      <c r="N62" s="5">
        <v>28550</v>
      </c>
      <c r="O62" s="5">
        <v>8457</v>
      </c>
      <c r="P62" s="5">
        <v>38894</v>
      </c>
      <c r="Q62" s="5">
        <v>277947</v>
      </c>
      <c r="R62" s="5">
        <v>446081</v>
      </c>
      <c r="S62" s="5">
        <v>7138</v>
      </c>
      <c r="T62" s="5">
        <v>31459</v>
      </c>
      <c r="U62" s="5"/>
      <c r="V62" s="5">
        <f t="shared" si="0"/>
        <v>7.4747899159663866</v>
      </c>
      <c r="W62" s="5">
        <f t="shared" si="1"/>
        <v>21.499192245557349</v>
      </c>
      <c r="X62" s="5">
        <f t="shared" si="2"/>
        <v>38.93905855982068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2532</v>
      </c>
      <c r="D63" s="5">
        <v>3128</v>
      </c>
      <c r="E63" s="5">
        <v>6829</v>
      </c>
      <c r="F63" s="5">
        <v>7953</v>
      </c>
      <c r="G63" s="5">
        <v>1986</v>
      </c>
      <c r="H63" s="5">
        <v>2426</v>
      </c>
      <c r="I63" s="5">
        <v>5067</v>
      </c>
      <c r="J63" s="5">
        <v>5547</v>
      </c>
      <c r="K63" s="5">
        <v>39717</v>
      </c>
      <c r="L63" s="5">
        <v>39777</v>
      </c>
      <c r="M63" s="5">
        <v>3595</v>
      </c>
      <c r="N63" s="5">
        <v>4279</v>
      </c>
      <c r="O63" s="5">
        <v>5699</v>
      </c>
      <c r="P63" s="5">
        <v>84181</v>
      </c>
      <c r="Q63" s="5">
        <v>102006</v>
      </c>
      <c r="R63" s="5">
        <v>116340</v>
      </c>
      <c r="S63" s="5">
        <v>4652</v>
      </c>
      <c r="T63" s="5">
        <v>5894</v>
      </c>
      <c r="U63" s="5"/>
      <c r="V63" s="5">
        <f t="shared" si="0"/>
        <v>3.4385699899295066</v>
      </c>
      <c r="W63" s="5">
        <f t="shared" si="1"/>
        <v>11.047844228094576</v>
      </c>
      <c r="X63" s="5">
        <f t="shared" si="2"/>
        <v>21.927343078245915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698</v>
      </c>
      <c r="D64" s="5">
        <v>814</v>
      </c>
      <c r="E64" s="5">
        <v>1803</v>
      </c>
      <c r="F64" s="5">
        <v>1970</v>
      </c>
      <c r="G64" s="5">
        <v>530</v>
      </c>
      <c r="H64" s="5">
        <v>633</v>
      </c>
      <c r="I64" s="5">
        <v>1096</v>
      </c>
      <c r="J64" s="5">
        <v>1654</v>
      </c>
      <c r="K64" s="5">
        <v>9580</v>
      </c>
      <c r="L64" s="5">
        <v>11361</v>
      </c>
      <c r="M64" s="5">
        <v>900</v>
      </c>
      <c r="N64" s="5">
        <v>1057</v>
      </c>
      <c r="O64" s="5">
        <v>1483</v>
      </c>
      <c r="P64" s="5">
        <v>1345217</v>
      </c>
      <c r="Q64" s="5">
        <v>21158</v>
      </c>
      <c r="R64" s="5">
        <v>22201</v>
      </c>
      <c r="S64" s="5">
        <v>1154</v>
      </c>
      <c r="T64" s="5">
        <v>1386</v>
      </c>
      <c r="U64" s="5"/>
      <c r="V64" s="5">
        <f t="shared" si="0"/>
        <v>3.4018867924528302</v>
      </c>
      <c r="W64" s="5">
        <f t="shared" si="1"/>
        <v>10.644444444444444</v>
      </c>
      <c r="X64" s="5">
        <f t="shared" si="2"/>
        <v>18.334488734835354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2254</v>
      </c>
      <c r="D65" s="5">
        <v>3628</v>
      </c>
      <c r="E65" s="5">
        <v>7661</v>
      </c>
      <c r="F65" s="5">
        <v>9935</v>
      </c>
      <c r="G65" s="5">
        <v>1672</v>
      </c>
      <c r="H65" s="5">
        <v>2713</v>
      </c>
      <c r="I65" s="5">
        <v>3223</v>
      </c>
      <c r="J65" s="5">
        <v>5064</v>
      </c>
      <c r="K65" s="5">
        <v>29180</v>
      </c>
      <c r="L65" s="5">
        <v>41657</v>
      </c>
      <c r="M65" s="5">
        <v>2508</v>
      </c>
      <c r="N65" s="5">
        <v>3889</v>
      </c>
      <c r="O65" s="5">
        <v>4403</v>
      </c>
      <c r="P65" s="5">
        <v>6269</v>
      </c>
      <c r="Q65" s="5">
        <v>68885</v>
      </c>
      <c r="R65" s="5">
        <v>127495</v>
      </c>
      <c r="S65" s="5">
        <v>3558</v>
      </c>
      <c r="T65" s="5">
        <v>5130</v>
      </c>
      <c r="U65" s="5"/>
      <c r="V65" s="5">
        <f t="shared" si="0"/>
        <v>4.5819377990430619</v>
      </c>
      <c r="W65" s="5">
        <f t="shared" si="1"/>
        <v>11.634768740031898</v>
      </c>
      <c r="X65" s="5">
        <f t="shared" si="2"/>
        <v>19.360595840359753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5239</v>
      </c>
      <c r="D66" s="5">
        <v>7094</v>
      </c>
      <c r="E66" s="5">
        <v>17898</v>
      </c>
      <c r="F66" s="5">
        <v>22393</v>
      </c>
      <c r="G66" s="5">
        <v>3874</v>
      </c>
      <c r="H66" s="5">
        <v>5497</v>
      </c>
      <c r="I66" s="5">
        <v>8285</v>
      </c>
      <c r="J66" s="5">
        <v>11892</v>
      </c>
      <c r="K66" s="5">
        <v>88270</v>
      </c>
      <c r="L66" s="5">
        <v>113695</v>
      </c>
      <c r="M66" s="5">
        <v>6669</v>
      </c>
      <c r="N66" s="5">
        <v>8977</v>
      </c>
      <c r="O66" s="5">
        <v>10896</v>
      </c>
      <c r="P66" s="5">
        <v>15934</v>
      </c>
      <c r="Q66" s="5">
        <v>187734</v>
      </c>
      <c r="R66" s="5">
        <v>300704</v>
      </c>
      <c r="S66" s="5">
        <v>9186</v>
      </c>
      <c r="T66" s="5">
        <v>12677</v>
      </c>
      <c r="U66" s="5"/>
      <c r="V66" s="5">
        <f t="shared" si="0"/>
        <v>4.6200309757356735</v>
      </c>
      <c r="W66" s="5">
        <f t="shared" si="1"/>
        <v>13.235867446393762</v>
      </c>
      <c r="X66" s="5">
        <f t="shared" si="2"/>
        <v>20.436969301110384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236</v>
      </c>
      <c r="D67" s="5">
        <v>250</v>
      </c>
      <c r="E67" s="5">
        <v>715</v>
      </c>
      <c r="F67" s="5">
        <v>800</v>
      </c>
      <c r="G67" s="5">
        <v>180</v>
      </c>
      <c r="H67" s="5">
        <v>177</v>
      </c>
      <c r="I67" s="5">
        <v>333</v>
      </c>
      <c r="J67" s="5">
        <v>345</v>
      </c>
      <c r="K67" s="5">
        <v>3171</v>
      </c>
      <c r="L67" s="5">
        <v>2956</v>
      </c>
      <c r="M67" s="5">
        <v>251</v>
      </c>
      <c r="N67" s="5">
        <v>281</v>
      </c>
      <c r="O67" s="5">
        <v>421</v>
      </c>
      <c r="P67" s="5">
        <v>408</v>
      </c>
      <c r="Q67" s="5">
        <v>3631</v>
      </c>
      <c r="R67" s="5">
        <v>5474</v>
      </c>
      <c r="S67" s="5">
        <v>511</v>
      </c>
      <c r="T67" s="5">
        <v>337</v>
      </c>
      <c r="U67" s="5"/>
      <c r="V67" s="5">
        <f t="shared" ref="V67:V106" si="3">E67/G67</f>
        <v>3.9722222222222223</v>
      </c>
      <c r="W67" s="5">
        <f t="shared" ref="W67:W106" si="4">K67/M67</f>
        <v>12.633466135458168</v>
      </c>
      <c r="X67" s="5">
        <f t="shared" ref="X67:X106" si="5">Q67/S67</f>
        <v>7.1056751467710368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264</v>
      </c>
      <c r="D68" s="5">
        <v>243</v>
      </c>
      <c r="E68" s="5">
        <v>791</v>
      </c>
      <c r="F68" s="5">
        <v>834</v>
      </c>
      <c r="G68" s="5">
        <v>204</v>
      </c>
      <c r="H68" s="5">
        <v>187</v>
      </c>
      <c r="I68" s="5">
        <v>406</v>
      </c>
      <c r="J68" s="5">
        <v>328</v>
      </c>
      <c r="K68" s="5">
        <v>3227</v>
      </c>
      <c r="L68" s="5">
        <v>2989</v>
      </c>
      <c r="M68" s="5">
        <v>266</v>
      </c>
      <c r="N68" s="5">
        <v>268</v>
      </c>
      <c r="O68" s="5">
        <v>430</v>
      </c>
      <c r="P68" s="5">
        <v>442</v>
      </c>
      <c r="Q68" s="5">
        <v>6921</v>
      </c>
      <c r="R68" s="5">
        <v>5968</v>
      </c>
      <c r="S68" s="5">
        <v>330</v>
      </c>
      <c r="T68" s="5">
        <v>291</v>
      </c>
      <c r="U68" s="5"/>
      <c r="V68" s="5">
        <f t="shared" si="3"/>
        <v>3.8774509803921569</v>
      </c>
      <c r="W68" s="5">
        <f t="shared" si="4"/>
        <v>12.131578947368421</v>
      </c>
      <c r="X68" s="5">
        <f t="shared" si="5"/>
        <v>20.972727272727273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812</v>
      </c>
      <c r="D69" s="5">
        <v>909</v>
      </c>
      <c r="E69" s="5">
        <v>2570</v>
      </c>
      <c r="F69" s="5">
        <v>2703</v>
      </c>
      <c r="G69" s="5">
        <v>641</v>
      </c>
      <c r="H69" s="5">
        <v>692</v>
      </c>
      <c r="I69" s="5">
        <v>1105</v>
      </c>
      <c r="J69" s="5">
        <v>1160</v>
      </c>
      <c r="K69" s="5">
        <v>9802</v>
      </c>
      <c r="L69" s="5">
        <v>10168</v>
      </c>
      <c r="M69" s="5">
        <v>846</v>
      </c>
      <c r="N69" s="5">
        <v>953</v>
      </c>
      <c r="O69" s="5">
        <v>1313</v>
      </c>
      <c r="P69" s="5">
        <v>1380</v>
      </c>
      <c r="Q69" s="5">
        <v>22890</v>
      </c>
      <c r="R69" s="5">
        <v>21482</v>
      </c>
      <c r="S69" s="5">
        <v>1135</v>
      </c>
      <c r="T69" s="5">
        <v>1129</v>
      </c>
      <c r="U69" s="5"/>
      <c r="V69" s="5">
        <f t="shared" si="3"/>
        <v>4.0093603744149764</v>
      </c>
      <c r="W69" s="5">
        <f t="shared" si="4"/>
        <v>11.58628841607565</v>
      </c>
      <c r="X69" s="5">
        <f t="shared" si="5"/>
        <v>20.167400881057269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2077</v>
      </c>
      <c r="D70" s="5">
        <v>3656</v>
      </c>
      <c r="E70" s="5">
        <v>7045</v>
      </c>
      <c r="F70" s="5">
        <v>10494</v>
      </c>
      <c r="G70" s="5">
        <v>1784</v>
      </c>
      <c r="H70" s="5">
        <v>2703</v>
      </c>
      <c r="I70" s="5">
        <v>3252</v>
      </c>
      <c r="J70" s="5">
        <v>5019</v>
      </c>
      <c r="K70" s="5">
        <v>29873</v>
      </c>
      <c r="L70" s="5">
        <v>41647</v>
      </c>
      <c r="M70" s="5">
        <v>2451</v>
      </c>
      <c r="N70" s="5">
        <v>3823</v>
      </c>
      <c r="O70" s="5">
        <v>3615</v>
      </c>
      <c r="P70" s="5">
        <v>6205</v>
      </c>
      <c r="Q70" s="5">
        <v>64396</v>
      </c>
      <c r="R70" s="5">
        <v>121381</v>
      </c>
      <c r="S70" s="5">
        <v>3004</v>
      </c>
      <c r="T70" s="5">
        <v>5103</v>
      </c>
      <c r="U70" s="5"/>
      <c r="V70" s="5">
        <f t="shared" si="3"/>
        <v>3.9489910313901344</v>
      </c>
      <c r="W70" s="5">
        <f t="shared" si="4"/>
        <v>12.188086495308038</v>
      </c>
      <c r="X70" s="5">
        <f t="shared" si="5"/>
        <v>21.43675099866844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4908</v>
      </c>
      <c r="D71" s="5">
        <v>7530</v>
      </c>
      <c r="E71" s="5">
        <v>17422</v>
      </c>
      <c r="F71" s="5">
        <v>24463</v>
      </c>
      <c r="G71" s="5">
        <v>4002</v>
      </c>
      <c r="H71" s="5">
        <v>5455</v>
      </c>
      <c r="I71" s="5">
        <v>8434</v>
      </c>
      <c r="J71" s="5">
        <v>11434</v>
      </c>
      <c r="K71" s="5">
        <v>92875</v>
      </c>
      <c r="L71" s="5">
        <v>117440</v>
      </c>
      <c r="M71" s="5">
        <v>6599</v>
      </c>
      <c r="N71" s="5">
        <v>8851</v>
      </c>
      <c r="O71" s="5">
        <v>10782</v>
      </c>
      <c r="P71" s="5">
        <v>15267</v>
      </c>
      <c r="Q71" s="5">
        <v>214132</v>
      </c>
      <c r="R71" s="5">
        <v>334840</v>
      </c>
      <c r="S71" s="5">
        <v>9078</v>
      </c>
      <c r="T71" s="5">
        <v>12363</v>
      </c>
      <c r="U71" s="5"/>
      <c r="V71" s="5">
        <f t="shared" si="3"/>
        <v>4.353323338330835</v>
      </c>
      <c r="W71" s="5">
        <f t="shared" si="4"/>
        <v>14.074102136687378</v>
      </c>
      <c r="X71" s="5">
        <f t="shared" si="5"/>
        <v>23.588014981273407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2732</v>
      </c>
      <c r="D72" s="5">
        <v>5138</v>
      </c>
      <c r="E72" s="5">
        <v>57628</v>
      </c>
      <c r="F72" s="5">
        <v>75377</v>
      </c>
      <c r="G72" s="5">
        <v>2202</v>
      </c>
      <c r="H72" s="5">
        <v>3917</v>
      </c>
      <c r="I72" s="5">
        <v>3310</v>
      </c>
      <c r="J72" s="5">
        <v>6400</v>
      </c>
      <c r="K72" s="5">
        <v>207312</v>
      </c>
      <c r="L72" s="5">
        <v>271043</v>
      </c>
      <c r="M72" s="5">
        <v>2759</v>
      </c>
      <c r="N72" s="5">
        <v>5073</v>
      </c>
      <c r="O72" s="5">
        <v>4098</v>
      </c>
      <c r="P72" s="5">
        <v>8024</v>
      </c>
      <c r="Q72" s="5">
        <v>559221</v>
      </c>
      <c r="R72" s="5">
        <v>639783</v>
      </c>
      <c r="S72" s="5">
        <v>3273</v>
      </c>
      <c r="T72" s="5">
        <v>6266</v>
      </c>
      <c r="U72" s="5"/>
      <c r="V72" s="5">
        <f t="shared" si="3"/>
        <v>26.170753860127157</v>
      </c>
      <c r="W72" s="5">
        <f t="shared" si="4"/>
        <v>75.140268213120692</v>
      </c>
      <c r="X72" s="5">
        <f t="shared" si="5"/>
        <v>170.85884509624199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2974</v>
      </c>
      <c r="D73" s="5">
        <v>5619</v>
      </c>
      <c r="E73" s="5">
        <v>74763</v>
      </c>
      <c r="F73" s="5">
        <v>73162</v>
      </c>
      <c r="G73" s="5">
        <v>2392</v>
      </c>
      <c r="H73" s="5">
        <v>4367</v>
      </c>
      <c r="I73" s="5">
        <v>3704</v>
      </c>
      <c r="J73" s="5">
        <v>6890</v>
      </c>
      <c r="K73" s="5">
        <v>294005</v>
      </c>
      <c r="L73" s="5">
        <v>302713</v>
      </c>
      <c r="M73" s="5">
        <v>3066</v>
      </c>
      <c r="N73" s="5">
        <v>5661</v>
      </c>
      <c r="O73" s="5">
        <v>4380</v>
      </c>
      <c r="P73" s="5">
        <v>8152</v>
      </c>
      <c r="Q73" s="5">
        <v>685983</v>
      </c>
      <c r="R73" s="5">
        <v>689034</v>
      </c>
      <c r="S73" s="5">
        <v>3565</v>
      </c>
      <c r="T73" s="5">
        <v>6729</v>
      </c>
      <c r="U73" s="5"/>
      <c r="V73" s="5">
        <f t="shared" si="3"/>
        <v>31.255434782608695</v>
      </c>
      <c r="W73" s="5">
        <f t="shared" si="4"/>
        <v>95.892041748206125</v>
      </c>
      <c r="X73" s="5">
        <f t="shared" si="5"/>
        <v>192.42159887798036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10467</v>
      </c>
      <c r="D74" s="5">
        <v>1674</v>
      </c>
      <c r="E74" s="5">
        <v>50190</v>
      </c>
      <c r="F74" s="5">
        <v>4002</v>
      </c>
      <c r="G74" s="5">
        <v>8135</v>
      </c>
      <c r="H74" s="5">
        <v>1310</v>
      </c>
      <c r="I74" s="5">
        <v>17799</v>
      </c>
      <c r="J74" s="5">
        <v>2503</v>
      </c>
      <c r="K74" s="5">
        <v>240499</v>
      </c>
      <c r="L74" s="5">
        <v>17865</v>
      </c>
      <c r="M74" s="5">
        <v>13790</v>
      </c>
      <c r="N74" s="5">
        <v>2012</v>
      </c>
      <c r="O74" s="5">
        <v>24279</v>
      </c>
      <c r="P74" s="5">
        <v>3423</v>
      </c>
      <c r="Q74" s="5">
        <v>667345</v>
      </c>
      <c r="R74" s="5">
        <v>47356</v>
      </c>
      <c r="S74" s="5">
        <v>20131</v>
      </c>
      <c r="T74" s="5">
        <v>2810</v>
      </c>
      <c r="U74" s="5"/>
      <c r="V74" s="5">
        <f t="shared" si="3"/>
        <v>6.1696373693915181</v>
      </c>
      <c r="W74" s="5">
        <f t="shared" si="4"/>
        <v>17.440101522842639</v>
      </c>
      <c r="X74" s="5">
        <f t="shared" si="5"/>
        <v>33.150116735383243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2697</v>
      </c>
      <c r="D75" s="5">
        <v>3091</v>
      </c>
      <c r="E75" s="5">
        <v>7273</v>
      </c>
      <c r="F75" s="5">
        <v>8159</v>
      </c>
      <c r="G75" s="5">
        <v>2028</v>
      </c>
      <c r="H75" s="5">
        <v>2330</v>
      </c>
      <c r="I75" s="5">
        <v>4561</v>
      </c>
      <c r="J75" s="5">
        <v>5245</v>
      </c>
      <c r="K75" s="5">
        <v>35327</v>
      </c>
      <c r="L75" s="5">
        <v>36646</v>
      </c>
      <c r="M75" s="5">
        <v>3813</v>
      </c>
      <c r="N75" s="5">
        <v>4288</v>
      </c>
      <c r="O75" s="5">
        <v>6059</v>
      </c>
      <c r="P75" s="5">
        <v>7115</v>
      </c>
      <c r="Q75" s="5">
        <v>92542</v>
      </c>
      <c r="R75" s="5">
        <v>98506</v>
      </c>
      <c r="S75" s="5">
        <v>5422</v>
      </c>
      <c r="T75" s="5">
        <v>6053</v>
      </c>
      <c r="U75" s="5"/>
      <c r="V75" s="5">
        <f t="shared" si="3"/>
        <v>3.58629191321499</v>
      </c>
      <c r="W75" s="5">
        <f t="shared" si="4"/>
        <v>9.2648832939942309</v>
      </c>
      <c r="X75" s="5">
        <f t="shared" si="5"/>
        <v>17.067871634083364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6321</v>
      </c>
      <c r="D76" s="5">
        <v>6718</v>
      </c>
      <c r="E76" s="5">
        <v>44259</v>
      </c>
      <c r="F76" s="5">
        <v>50003</v>
      </c>
      <c r="G76" s="5">
        <v>4779</v>
      </c>
      <c r="H76" s="5">
        <v>5196</v>
      </c>
      <c r="I76" s="5">
        <v>10047</v>
      </c>
      <c r="J76" s="5">
        <v>11118</v>
      </c>
      <c r="K76" s="5">
        <v>225751</v>
      </c>
      <c r="L76" s="5">
        <v>273441</v>
      </c>
      <c r="M76" s="5">
        <v>8670</v>
      </c>
      <c r="N76" s="5">
        <v>9229</v>
      </c>
      <c r="O76" s="5">
        <v>13632</v>
      </c>
      <c r="P76" s="5">
        <v>15116</v>
      </c>
      <c r="Q76" s="5">
        <v>726046</v>
      </c>
      <c r="R76" s="5">
        <v>750804</v>
      </c>
      <c r="S76" s="5">
        <v>12276</v>
      </c>
      <c r="T76" s="5">
        <v>12588</v>
      </c>
      <c r="U76" s="5"/>
      <c r="V76" s="5">
        <f t="shared" si="3"/>
        <v>9.2611424984306332</v>
      </c>
      <c r="W76" s="5">
        <f t="shared" si="4"/>
        <v>26.038177623990773</v>
      </c>
      <c r="X76" s="5">
        <f t="shared" si="5"/>
        <v>59.143532095144998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1794</v>
      </c>
      <c r="D77" s="5">
        <v>1792</v>
      </c>
      <c r="E77" s="5">
        <v>5302</v>
      </c>
      <c r="F77" s="5">
        <v>4415</v>
      </c>
      <c r="G77" s="5">
        <v>1416</v>
      </c>
      <c r="H77" s="5">
        <v>1317</v>
      </c>
      <c r="I77" s="5">
        <v>2729</v>
      </c>
      <c r="J77" s="5">
        <v>2524</v>
      </c>
      <c r="K77" s="5">
        <v>25601</v>
      </c>
      <c r="L77" s="5">
        <v>20956</v>
      </c>
      <c r="M77" s="5">
        <v>2242</v>
      </c>
      <c r="N77" s="5">
        <v>2042</v>
      </c>
      <c r="O77" s="5">
        <v>3789</v>
      </c>
      <c r="P77" s="5">
        <v>3476</v>
      </c>
      <c r="Q77" s="5">
        <v>61773</v>
      </c>
      <c r="R77" s="5">
        <v>54557</v>
      </c>
      <c r="S77" s="5">
        <v>2883</v>
      </c>
      <c r="T77" s="5">
        <v>2674</v>
      </c>
      <c r="U77" s="5"/>
      <c r="V77" s="5">
        <f t="shared" si="3"/>
        <v>3.7443502824858759</v>
      </c>
      <c r="W77" s="5">
        <f t="shared" si="4"/>
        <v>11.418822479928636</v>
      </c>
      <c r="X77" s="5">
        <f t="shared" si="5"/>
        <v>21.426638917793966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156</v>
      </c>
      <c r="D78" s="5">
        <v>296</v>
      </c>
      <c r="E78" s="5">
        <v>779</v>
      </c>
      <c r="F78" s="5">
        <v>625</v>
      </c>
      <c r="G78" s="5">
        <v>120</v>
      </c>
      <c r="H78" s="5">
        <v>215</v>
      </c>
      <c r="I78" s="5">
        <v>191</v>
      </c>
      <c r="J78" s="5">
        <v>344</v>
      </c>
      <c r="K78" s="5">
        <v>2951</v>
      </c>
      <c r="L78" s="5">
        <v>1545</v>
      </c>
      <c r="M78" s="5">
        <v>144</v>
      </c>
      <c r="N78" s="5">
        <v>267</v>
      </c>
      <c r="O78" s="5">
        <v>212</v>
      </c>
      <c r="P78" s="5">
        <v>394</v>
      </c>
      <c r="Q78" s="5">
        <v>8019</v>
      </c>
      <c r="R78" s="5">
        <v>3609</v>
      </c>
      <c r="S78" s="5">
        <v>175</v>
      </c>
      <c r="T78" s="5">
        <v>325</v>
      </c>
      <c r="U78" s="5"/>
      <c r="V78" s="5">
        <f t="shared" si="3"/>
        <v>6.4916666666666663</v>
      </c>
      <c r="W78" s="5">
        <f t="shared" si="4"/>
        <v>20.493055555555557</v>
      </c>
      <c r="X78" s="5">
        <f t="shared" si="5"/>
        <v>45.822857142857146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49</v>
      </c>
      <c r="D79" s="5">
        <v>47</v>
      </c>
      <c r="E79" s="5">
        <v>102</v>
      </c>
      <c r="F79" s="5">
        <v>118</v>
      </c>
      <c r="G79" s="5">
        <v>37</v>
      </c>
      <c r="H79" s="5">
        <v>38</v>
      </c>
      <c r="I79" s="5">
        <v>65</v>
      </c>
      <c r="J79" s="5">
        <v>60</v>
      </c>
      <c r="K79" s="5">
        <v>166</v>
      </c>
      <c r="L79" s="5">
        <v>162</v>
      </c>
      <c r="M79" s="5">
        <v>52</v>
      </c>
      <c r="N79" s="5">
        <v>52</v>
      </c>
      <c r="O79" s="5">
        <v>62</v>
      </c>
      <c r="P79" s="5">
        <v>59</v>
      </c>
      <c r="Q79" s="5">
        <v>149</v>
      </c>
      <c r="R79" s="5">
        <v>149</v>
      </c>
      <c r="S79" s="5">
        <v>51</v>
      </c>
      <c r="T79" s="5">
        <v>51</v>
      </c>
      <c r="U79" s="5"/>
      <c r="V79" s="5">
        <f t="shared" si="3"/>
        <v>2.7567567567567566</v>
      </c>
      <c r="W79" s="5">
        <f t="shared" si="4"/>
        <v>3.1923076923076925</v>
      </c>
      <c r="X79" s="5">
        <f t="shared" si="5"/>
        <v>2.9215686274509802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890</v>
      </c>
      <c r="D80" s="5">
        <v>1052</v>
      </c>
      <c r="E80" s="5">
        <v>3124</v>
      </c>
      <c r="F80" s="5">
        <v>2725</v>
      </c>
      <c r="G80" s="5">
        <v>735</v>
      </c>
      <c r="H80" s="5">
        <v>808</v>
      </c>
      <c r="I80" s="5">
        <v>1121</v>
      </c>
      <c r="J80" s="5">
        <v>1376</v>
      </c>
      <c r="K80" s="5">
        <v>8231</v>
      </c>
      <c r="L80" s="5">
        <v>6126</v>
      </c>
      <c r="M80" s="5">
        <v>948</v>
      </c>
      <c r="N80" s="5">
        <v>1125</v>
      </c>
      <c r="O80" s="5">
        <v>1346</v>
      </c>
      <c r="P80" s="5">
        <v>1646</v>
      </c>
      <c r="Q80" s="5">
        <v>23165</v>
      </c>
      <c r="R80" s="5">
        <v>10707</v>
      </c>
      <c r="S80" s="5">
        <v>1110</v>
      </c>
      <c r="T80" s="5">
        <v>1457</v>
      </c>
      <c r="U80" s="5"/>
      <c r="V80" s="5">
        <f t="shared" si="3"/>
        <v>4.2503401360544215</v>
      </c>
      <c r="W80" s="5">
        <f t="shared" si="4"/>
        <v>8.6824894514767941</v>
      </c>
      <c r="X80" s="5">
        <f t="shared" si="5"/>
        <v>20.86936936936937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31</v>
      </c>
      <c r="D81" s="5">
        <v>30</v>
      </c>
      <c r="E81" s="5">
        <v>203</v>
      </c>
      <c r="F81" s="5">
        <v>219</v>
      </c>
      <c r="G81" s="5">
        <v>23</v>
      </c>
      <c r="H81" s="5">
        <v>24</v>
      </c>
      <c r="I81" s="5">
        <v>38</v>
      </c>
      <c r="J81" s="5">
        <v>38</v>
      </c>
      <c r="K81" s="5">
        <v>630</v>
      </c>
      <c r="L81" s="5">
        <v>736</v>
      </c>
      <c r="M81" s="5">
        <v>31</v>
      </c>
      <c r="N81" s="5">
        <v>30</v>
      </c>
      <c r="O81" s="5">
        <v>47</v>
      </c>
      <c r="P81" s="5">
        <v>48</v>
      </c>
      <c r="Q81" s="5">
        <v>946</v>
      </c>
      <c r="R81" s="5">
        <v>969</v>
      </c>
      <c r="S81" s="5">
        <v>36</v>
      </c>
      <c r="T81" s="5">
        <v>37</v>
      </c>
      <c r="U81" s="5"/>
      <c r="V81" s="5">
        <f t="shared" si="3"/>
        <v>8.8260869565217384</v>
      </c>
      <c r="W81" s="5">
        <f t="shared" si="4"/>
        <v>20.322580645161292</v>
      </c>
      <c r="X81" s="5">
        <f t="shared" si="5"/>
        <v>26.277777777777779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342</v>
      </c>
      <c r="D82" s="5">
        <v>392</v>
      </c>
      <c r="E82" s="5">
        <v>2620</v>
      </c>
      <c r="F82" s="5">
        <v>3020</v>
      </c>
      <c r="G82" s="5">
        <v>267</v>
      </c>
      <c r="H82" s="5">
        <v>286</v>
      </c>
      <c r="I82" s="5">
        <v>431</v>
      </c>
      <c r="J82" s="5">
        <v>477</v>
      </c>
      <c r="K82" s="5">
        <v>10313</v>
      </c>
      <c r="L82" s="5">
        <v>12063</v>
      </c>
      <c r="M82" s="5">
        <v>339</v>
      </c>
      <c r="N82" s="5">
        <v>364</v>
      </c>
      <c r="O82" s="5">
        <v>508</v>
      </c>
      <c r="P82" s="5">
        <v>564</v>
      </c>
      <c r="Q82" s="5">
        <v>26948</v>
      </c>
      <c r="R82" s="5">
        <v>28202</v>
      </c>
      <c r="S82" s="5">
        <v>349</v>
      </c>
      <c r="T82" s="5">
        <v>395</v>
      </c>
      <c r="U82" s="5"/>
      <c r="V82" s="5">
        <f t="shared" si="3"/>
        <v>9.8127340823970037</v>
      </c>
      <c r="W82" s="5">
        <f t="shared" si="4"/>
        <v>30.421828908554573</v>
      </c>
      <c r="X82" s="5">
        <f t="shared" si="5"/>
        <v>77.214899713467048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248</v>
      </c>
      <c r="D83" s="5">
        <v>415</v>
      </c>
      <c r="E83" s="5">
        <v>1346</v>
      </c>
      <c r="F83" s="5">
        <v>1601</v>
      </c>
      <c r="G83" s="5">
        <v>191</v>
      </c>
      <c r="H83" s="5">
        <v>293</v>
      </c>
      <c r="I83" s="5">
        <v>305</v>
      </c>
      <c r="J83" s="5">
        <v>489</v>
      </c>
      <c r="K83" s="5">
        <v>3925</v>
      </c>
      <c r="L83" s="5">
        <v>5476</v>
      </c>
      <c r="M83" s="5">
        <v>247</v>
      </c>
      <c r="N83" s="5">
        <v>400</v>
      </c>
      <c r="O83" s="5">
        <v>382</v>
      </c>
      <c r="P83" s="5">
        <v>690</v>
      </c>
      <c r="Q83" s="5">
        <v>8931</v>
      </c>
      <c r="R83" s="5">
        <v>10278</v>
      </c>
      <c r="S83" s="5">
        <v>267</v>
      </c>
      <c r="T83" s="5">
        <v>428</v>
      </c>
      <c r="U83" s="5"/>
      <c r="V83" s="5">
        <f t="shared" si="3"/>
        <v>7.0471204188481673</v>
      </c>
      <c r="W83" s="5">
        <f t="shared" si="4"/>
        <v>15.890688259109313</v>
      </c>
      <c r="X83" s="5">
        <f t="shared" si="5"/>
        <v>33.449438202247194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398</v>
      </c>
      <c r="D84" s="5">
        <v>376</v>
      </c>
      <c r="E84" s="5">
        <v>1269</v>
      </c>
      <c r="F84" s="5">
        <v>1248</v>
      </c>
      <c r="G84" s="5">
        <v>270</v>
      </c>
      <c r="H84" s="5">
        <v>287</v>
      </c>
      <c r="I84" s="5">
        <v>422</v>
      </c>
      <c r="J84" s="5">
        <v>473</v>
      </c>
      <c r="K84" s="5">
        <v>4012</v>
      </c>
      <c r="L84" s="5">
        <v>4489</v>
      </c>
      <c r="M84" s="5">
        <v>351</v>
      </c>
      <c r="N84" s="5">
        <v>379</v>
      </c>
      <c r="O84" s="5">
        <v>539</v>
      </c>
      <c r="P84" s="5">
        <v>563</v>
      </c>
      <c r="Q84" s="5">
        <v>9496</v>
      </c>
      <c r="R84" s="5">
        <v>11149</v>
      </c>
      <c r="S84" s="5">
        <v>483</v>
      </c>
      <c r="T84" s="5">
        <v>435</v>
      </c>
      <c r="U84" s="5"/>
      <c r="V84" s="5">
        <f t="shared" si="3"/>
        <v>4.7</v>
      </c>
      <c r="W84" s="5">
        <f t="shared" si="4"/>
        <v>11.43019943019943</v>
      </c>
      <c r="X84" s="5">
        <f t="shared" si="5"/>
        <v>19.660455486542443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689</v>
      </c>
      <c r="D85" s="5">
        <v>624</v>
      </c>
      <c r="E85" s="5">
        <v>2008</v>
      </c>
      <c r="F85" s="5">
        <v>2032</v>
      </c>
      <c r="G85" s="5">
        <v>468</v>
      </c>
      <c r="H85" s="5">
        <v>492</v>
      </c>
      <c r="I85" s="5">
        <v>703</v>
      </c>
      <c r="J85" s="5">
        <v>746</v>
      </c>
      <c r="K85" s="5">
        <v>6570</v>
      </c>
      <c r="L85" s="5">
        <v>6511</v>
      </c>
      <c r="M85" s="5">
        <v>578</v>
      </c>
      <c r="N85" s="5">
        <v>629</v>
      </c>
      <c r="O85" s="5">
        <v>788</v>
      </c>
      <c r="P85" s="5">
        <v>868</v>
      </c>
      <c r="Q85" s="5">
        <v>15022</v>
      </c>
      <c r="R85" s="5">
        <v>14731</v>
      </c>
      <c r="S85" s="5">
        <v>723</v>
      </c>
      <c r="T85" s="5">
        <v>677</v>
      </c>
      <c r="U85" s="5"/>
      <c r="V85" s="5">
        <f t="shared" si="3"/>
        <v>4.2905982905982905</v>
      </c>
      <c r="W85" s="5">
        <f t="shared" si="4"/>
        <v>11.366782006920415</v>
      </c>
      <c r="X85" s="5">
        <f t="shared" si="5"/>
        <v>20.777316735822961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278</v>
      </c>
      <c r="D86" s="5">
        <v>297</v>
      </c>
      <c r="E86" s="5">
        <v>994</v>
      </c>
      <c r="F86" s="5">
        <v>938</v>
      </c>
      <c r="G86" s="5">
        <v>209</v>
      </c>
      <c r="H86" s="5">
        <v>232</v>
      </c>
      <c r="I86" s="5">
        <v>334</v>
      </c>
      <c r="J86" s="5">
        <v>350</v>
      </c>
      <c r="K86" s="5">
        <v>2675</v>
      </c>
      <c r="L86" s="5">
        <v>2745</v>
      </c>
      <c r="M86" s="5">
        <v>258</v>
      </c>
      <c r="N86" s="5">
        <v>276</v>
      </c>
      <c r="O86" s="5">
        <v>412</v>
      </c>
      <c r="P86" s="5">
        <v>427</v>
      </c>
      <c r="Q86" s="5">
        <v>4871</v>
      </c>
      <c r="R86" s="5">
        <v>5174</v>
      </c>
      <c r="S86" s="5">
        <v>286</v>
      </c>
      <c r="T86" s="5">
        <v>324</v>
      </c>
      <c r="U86" s="5"/>
      <c r="V86" s="5">
        <f t="shared" si="3"/>
        <v>4.7559808612440193</v>
      </c>
      <c r="W86" s="5">
        <f t="shared" si="4"/>
        <v>10.368217054263566</v>
      </c>
      <c r="X86" s="5">
        <f t="shared" si="5"/>
        <v>17.03146853146853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421</v>
      </c>
      <c r="D87" s="5">
        <v>369</v>
      </c>
      <c r="E87" s="5">
        <v>958</v>
      </c>
      <c r="F87" s="5">
        <v>1055</v>
      </c>
      <c r="G87" s="5">
        <v>235</v>
      </c>
      <c r="H87" s="5">
        <v>260</v>
      </c>
      <c r="I87" s="5">
        <v>559</v>
      </c>
      <c r="J87" s="5">
        <v>641</v>
      </c>
      <c r="K87" s="5">
        <v>3321</v>
      </c>
      <c r="L87" s="5">
        <v>3248</v>
      </c>
      <c r="M87" s="5">
        <v>436</v>
      </c>
      <c r="N87" s="5">
        <v>477</v>
      </c>
      <c r="O87" s="5">
        <v>723</v>
      </c>
      <c r="P87" s="5">
        <v>821</v>
      </c>
      <c r="Q87" s="5">
        <v>8162</v>
      </c>
      <c r="R87" s="5">
        <v>6680</v>
      </c>
      <c r="S87" s="5">
        <v>543</v>
      </c>
      <c r="T87" s="5">
        <v>763</v>
      </c>
      <c r="U87" s="5"/>
      <c r="V87" s="5">
        <f t="shared" si="3"/>
        <v>4.0765957446808514</v>
      </c>
      <c r="W87" s="5">
        <f t="shared" si="4"/>
        <v>7.6169724770642198</v>
      </c>
      <c r="X87" s="5">
        <f t="shared" si="5"/>
        <v>15.031307550644566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2703</v>
      </c>
      <c r="D88" s="5">
        <v>3356</v>
      </c>
      <c r="E88" s="5">
        <v>10022</v>
      </c>
      <c r="F88" s="5">
        <v>12285</v>
      </c>
      <c r="G88" s="5">
        <v>2123</v>
      </c>
      <c r="H88" s="5">
        <v>2492</v>
      </c>
      <c r="I88" s="5">
        <v>4736</v>
      </c>
      <c r="J88" s="5">
        <v>6168</v>
      </c>
      <c r="K88" s="5">
        <v>52312</v>
      </c>
      <c r="L88" s="5">
        <v>66235</v>
      </c>
      <c r="M88" s="5">
        <v>3810</v>
      </c>
      <c r="N88" s="5">
        <v>4696</v>
      </c>
      <c r="O88" s="5">
        <v>6496</v>
      </c>
      <c r="P88" s="5">
        <v>8799</v>
      </c>
      <c r="Q88" s="5">
        <v>160203</v>
      </c>
      <c r="R88" s="5">
        <v>178067</v>
      </c>
      <c r="S88" s="5">
        <v>5473</v>
      </c>
      <c r="T88" s="5">
        <v>6796</v>
      </c>
      <c r="U88" s="5"/>
      <c r="V88" s="5">
        <f t="shared" si="3"/>
        <v>4.7206782854451248</v>
      </c>
      <c r="W88" s="5">
        <f t="shared" si="4"/>
        <v>13.73018372703412</v>
      </c>
      <c r="X88" s="5">
        <f t="shared" si="5"/>
        <v>29.271514708569342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5249</v>
      </c>
      <c r="D89" s="5">
        <v>7312</v>
      </c>
      <c r="E89" s="5">
        <v>18224</v>
      </c>
      <c r="F89" s="5">
        <v>22028</v>
      </c>
      <c r="G89" s="5">
        <v>3999</v>
      </c>
      <c r="H89" s="5">
        <v>5306</v>
      </c>
      <c r="I89" s="5">
        <v>8642</v>
      </c>
      <c r="J89" s="5">
        <v>11792</v>
      </c>
      <c r="K89" s="5">
        <v>75909</v>
      </c>
      <c r="L89" s="5">
        <v>94886</v>
      </c>
      <c r="M89" s="5">
        <v>6791</v>
      </c>
      <c r="N89" s="5">
        <v>9501</v>
      </c>
      <c r="O89" s="5">
        <v>11306</v>
      </c>
      <c r="P89" s="5">
        <v>15708</v>
      </c>
      <c r="Q89" s="5">
        <v>194141</v>
      </c>
      <c r="R89" s="5">
        <v>242556</v>
      </c>
      <c r="S89" s="5">
        <v>9035</v>
      </c>
      <c r="T89" s="5">
        <v>12528</v>
      </c>
      <c r="U89" s="5"/>
      <c r="V89" s="5">
        <f t="shared" si="3"/>
        <v>4.5571392848212051</v>
      </c>
      <c r="W89" s="5">
        <f t="shared" si="4"/>
        <v>11.177882491532911</v>
      </c>
      <c r="X89" s="5">
        <f t="shared" si="5"/>
        <v>21.487659103486443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442</v>
      </c>
      <c r="D90" s="5">
        <v>405</v>
      </c>
      <c r="E90" s="5">
        <v>1408</v>
      </c>
      <c r="F90" s="5">
        <v>1509</v>
      </c>
      <c r="G90" s="5">
        <v>249</v>
      </c>
      <c r="H90" s="5">
        <v>321</v>
      </c>
      <c r="I90" s="5">
        <v>415</v>
      </c>
      <c r="J90" s="5">
        <v>542</v>
      </c>
      <c r="K90" s="5">
        <v>5996</v>
      </c>
      <c r="L90" s="5">
        <v>5907</v>
      </c>
      <c r="M90" s="5">
        <v>345</v>
      </c>
      <c r="N90" s="5">
        <v>420</v>
      </c>
      <c r="O90" s="5">
        <v>506</v>
      </c>
      <c r="P90" s="5">
        <v>628</v>
      </c>
      <c r="Q90" s="5">
        <v>13368</v>
      </c>
      <c r="R90" s="5">
        <v>14905</v>
      </c>
      <c r="S90" s="5">
        <v>377</v>
      </c>
      <c r="T90" s="5">
        <v>451</v>
      </c>
      <c r="U90" s="5"/>
      <c r="V90" s="5">
        <f t="shared" si="3"/>
        <v>5.6546184738955825</v>
      </c>
      <c r="W90" s="5">
        <f t="shared" si="4"/>
        <v>17.379710144927536</v>
      </c>
      <c r="X90" s="5">
        <f t="shared" si="5"/>
        <v>35.45888594164456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445</v>
      </c>
      <c r="D91" s="5">
        <v>711</v>
      </c>
      <c r="E91" s="5">
        <v>1906</v>
      </c>
      <c r="F91" s="5">
        <v>2374</v>
      </c>
      <c r="G91" s="5">
        <v>376</v>
      </c>
      <c r="H91" s="5">
        <v>558</v>
      </c>
      <c r="I91" s="5">
        <v>581</v>
      </c>
      <c r="J91" s="5">
        <v>833</v>
      </c>
      <c r="K91" s="5">
        <v>5984</v>
      </c>
      <c r="L91" s="5">
        <v>7651</v>
      </c>
      <c r="M91" s="5">
        <v>460</v>
      </c>
      <c r="N91" s="5">
        <v>706</v>
      </c>
      <c r="O91" s="5">
        <v>637</v>
      </c>
      <c r="P91" s="5">
        <v>1055</v>
      </c>
      <c r="Q91" s="5">
        <v>19623</v>
      </c>
      <c r="R91" s="5">
        <v>22251</v>
      </c>
      <c r="S91" s="5">
        <v>521</v>
      </c>
      <c r="T91" s="5">
        <v>878</v>
      </c>
      <c r="U91" s="5"/>
      <c r="V91" s="5">
        <f t="shared" si="3"/>
        <v>5.0691489361702127</v>
      </c>
      <c r="W91" s="5">
        <f t="shared" si="4"/>
        <v>13.008695652173913</v>
      </c>
      <c r="X91" s="5">
        <f t="shared" si="5"/>
        <v>37.664107485604603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96</v>
      </c>
      <c r="D92" s="5">
        <v>60</v>
      </c>
      <c r="E92" s="5">
        <v>323</v>
      </c>
      <c r="F92" s="5">
        <v>365</v>
      </c>
      <c r="G92" s="5">
        <v>42</v>
      </c>
      <c r="H92" s="5">
        <v>43</v>
      </c>
      <c r="I92" s="5">
        <v>66</v>
      </c>
      <c r="J92" s="5">
        <v>70</v>
      </c>
      <c r="K92" s="5">
        <v>937</v>
      </c>
      <c r="L92" s="5">
        <v>1014</v>
      </c>
      <c r="M92" s="5">
        <v>55</v>
      </c>
      <c r="N92" s="5">
        <v>55</v>
      </c>
      <c r="O92" s="5">
        <v>81</v>
      </c>
      <c r="P92" s="5">
        <v>84</v>
      </c>
      <c r="Q92" s="5">
        <v>1847</v>
      </c>
      <c r="R92" s="5">
        <v>1912</v>
      </c>
      <c r="S92" s="5">
        <v>62</v>
      </c>
      <c r="T92" s="5">
        <v>63</v>
      </c>
      <c r="U92" s="5"/>
      <c r="V92" s="5">
        <f t="shared" si="3"/>
        <v>7.6904761904761907</v>
      </c>
      <c r="W92" s="5">
        <f t="shared" si="4"/>
        <v>17.036363636363635</v>
      </c>
      <c r="X92" s="5">
        <f t="shared" si="5"/>
        <v>29.79032258064516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363</v>
      </c>
      <c r="D93" s="5">
        <v>541</v>
      </c>
      <c r="E93" s="5">
        <v>1335</v>
      </c>
      <c r="F93" s="5">
        <v>1443</v>
      </c>
      <c r="G93" s="5">
        <v>280</v>
      </c>
      <c r="H93" s="5">
        <v>441</v>
      </c>
      <c r="I93" s="5">
        <v>429</v>
      </c>
      <c r="J93" s="5">
        <v>634</v>
      </c>
      <c r="K93" s="5">
        <v>4086</v>
      </c>
      <c r="L93" s="5">
        <v>5524</v>
      </c>
      <c r="M93" s="5">
        <v>353</v>
      </c>
      <c r="N93" s="5">
        <v>552</v>
      </c>
      <c r="O93" s="5">
        <v>509</v>
      </c>
      <c r="P93" s="5">
        <v>751</v>
      </c>
      <c r="Q93" s="5">
        <v>10068</v>
      </c>
      <c r="R93" s="5">
        <v>11518</v>
      </c>
      <c r="S93" s="5">
        <v>409</v>
      </c>
      <c r="T93" s="5">
        <v>698</v>
      </c>
      <c r="U93" s="5"/>
      <c r="V93" s="5">
        <f t="shared" si="3"/>
        <v>4.7678571428571432</v>
      </c>
      <c r="W93" s="5">
        <f t="shared" si="4"/>
        <v>11.575070821529746</v>
      </c>
      <c r="X93" s="5">
        <f t="shared" si="5"/>
        <v>24.616136919315405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132</v>
      </c>
      <c r="D94" s="5">
        <v>182</v>
      </c>
      <c r="E94" s="5">
        <v>518</v>
      </c>
      <c r="F94" s="5">
        <v>487</v>
      </c>
      <c r="G94" s="5">
        <v>105</v>
      </c>
      <c r="H94" s="5">
        <v>143</v>
      </c>
      <c r="I94" s="5">
        <v>165</v>
      </c>
      <c r="J94" s="5">
        <v>277</v>
      </c>
      <c r="K94" s="5">
        <v>1510</v>
      </c>
      <c r="L94" s="5">
        <v>1841</v>
      </c>
      <c r="M94" s="5">
        <v>127</v>
      </c>
      <c r="N94" s="5">
        <v>177</v>
      </c>
      <c r="O94" s="5">
        <v>193</v>
      </c>
      <c r="P94" s="5">
        <v>252</v>
      </c>
      <c r="Q94" s="5">
        <v>3833</v>
      </c>
      <c r="R94" s="5">
        <v>3918</v>
      </c>
      <c r="S94" s="5">
        <v>148</v>
      </c>
      <c r="T94" s="5">
        <v>199</v>
      </c>
      <c r="U94" s="5"/>
      <c r="V94" s="5">
        <f t="shared" si="3"/>
        <v>4.9333333333333336</v>
      </c>
      <c r="W94" s="5">
        <f t="shared" si="4"/>
        <v>11.889763779527559</v>
      </c>
      <c r="X94" s="5">
        <f t="shared" si="5"/>
        <v>25.898648648648649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120</v>
      </c>
      <c r="D95" s="5">
        <v>173</v>
      </c>
      <c r="E95" s="5">
        <v>514</v>
      </c>
      <c r="F95" s="5">
        <v>452</v>
      </c>
      <c r="G95" s="5">
        <v>98</v>
      </c>
      <c r="H95" s="5">
        <v>134</v>
      </c>
      <c r="I95" s="5">
        <v>147</v>
      </c>
      <c r="J95" s="5">
        <v>192</v>
      </c>
      <c r="K95" s="5">
        <v>1377</v>
      </c>
      <c r="L95" s="5">
        <v>1588</v>
      </c>
      <c r="M95" s="5">
        <v>183</v>
      </c>
      <c r="N95" s="5">
        <v>167</v>
      </c>
      <c r="O95" s="5">
        <v>197</v>
      </c>
      <c r="P95" s="5">
        <v>235</v>
      </c>
      <c r="Q95" s="5">
        <v>3550</v>
      </c>
      <c r="R95" s="5">
        <v>3612</v>
      </c>
      <c r="S95" s="5">
        <v>140</v>
      </c>
      <c r="T95" s="5">
        <v>179</v>
      </c>
      <c r="U95" s="5"/>
      <c r="V95" s="5">
        <f t="shared" si="3"/>
        <v>5.2448979591836737</v>
      </c>
      <c r="W95" s="5">
        <f t="shared" si="4"/>
        <v>7.5245901639344259</v>
      </c>
      <c r="X95" s="5">
        <f t="shared" si="5"/>
        <v>25.357142857142858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258</v>
      </c>
      <c r="D96" s="5">
        <v>271</v>
      </c>
      <c r="E96" s="5">
        <v>786</v>
      </c>
      <c r="F96" s="5">
        <v>774</v>
      </c>
      <c r="G96" s="5">
        <v>199</v>
      </c>
      <c r="H96" s="5">
        <v>223</v>
      </c>
      <c r="I96" s="5">
        <v>308</v>
      </c>
      <c r="J96" s="5">
        <v>337</v>
      </c>
      <c r="K96" s="5">
        <v>2586</v>
      </c>
      <c r="L96" s="5">
        <v>2983</v>
      </c>
      <c r="M96" s="5">
        <v>248</v>
      </c>
      <c r="N96" s="5">
        <v>269</v>
      </c>
      <c r="O96" s="5">
        <v>380</v>
      </c>
      <c r="P96" s="5">
        <v>374</v>
      </c>
      <c r="Q96" s="5">
        <v>5819</v>
      </c>
      <c r="R96" s="5">
        <v>5444</v>
      </c>
      <c r="S96" s="5">
        <v>280</v>
      </c>
      <c r="T96" s="5">
        <v>304</v>
      </c>
      <c r="U96" s="5"/>
      <c r="V96" s="5">
        <f t="shared" si="3"/>
        <v>3.949748743718593</v>
      </c>
      <c r="W96" s="5">
        <f t="shared" si="4"/>
        <v>10.42741935483871</v>
      </c>
      <c r="X96" s="5">
        <f t="shared" si="5"/>
        <v>20.782142857142858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295</v>
      </c>
      <c r="D97" s="5">
        <v>306</v>
      </c>
      <c r="E97" s="5">
        <v>1032</v>
      </c>
      <c r="F97" s="5">
        <v>1042</v>
      </c>
      <c r="G97" s="5">
        <v>237</v>
      </c>
      <c r="H97" s="5">
        <v>259</v>
      </c>
      <c r="I97" s="5">
        <v>352</v>
      </c>
      <c r="J97" s="5">
        <v>356</v>
      </c>
      <c r="K97" s="5">
        <v>3990</v>
      </c>
      <c r="L97" s="5">
        <v>4174</v>
      </c>
      <c r="M97" s="5">
        <v>288</v>
      </c>
      <c r="N97" s="5">
        <v>305</v>
      </c>
      <c r="O97" s="5">
        <v>392</v>
      </c>
      <c r="P97" s="5">
        <v>423</v>
      </c>
      <c r="Q97" s="5">
        <v>11623</v>
      </c>
      <c r="R97" s="5">
        <v>11360</v>
      </c>
      <c r="S97" s="5">
        <v>418</v>
      </c>
      <c r="T97" s="5">
        <v>334</v>
      </c>
      <c r="U97" s="5"/>
      <c r="V97" s="5">
        <f t="shared" si="3"/>
        <v>4.3544303797468356</v>
      </c>
      <c r="W97" s="5">
        <f t="shared" si="4"/>
        <v>13.854166666666666</v>
      </c>
      <c r="X97" s="5">
        <f t="shared" si="5"/>
        <v>27.806220095693782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316</v>
      </c>
      <c r="D98" s="5">
        <v>314</v>
      </c>
      <c r="E98" s="5">
        <v>770</v>
      </c>
      <c r="F98" s="5">
        <v>754</v>
      </c>
      <c r="G98" s="5">
        <v>246</v>
      </c>
      <c r="H98" s="5">
        <v>260</v>
      </c>
      <c r="I98" s="5">
        <v>466</v>
      </c>
      <c r="J98" s="5">
        <v>478</v>
      </c>
      <c r="K98" s="5">
        <v>2385</v>
      </c>
      <c r="L98" s="5">
        <v>2283</v>
      </c>
      <c r="M98" s="5">
        <v>363</v>
      </c>
      <c r="N98" s="5">
        <v>385</v>
      </c>
      <c r="O98" s="5">
        <v>573</v>
      </c>
      <c r="P98" s="5">
        <v>615</v>
      </c>
      <c r="Q98" s="5">
        <v>4508</v>
      </c>
      <c r="R98" s="5">
        <v>4291</v>
      </c>
      <c r="S98" s="5">
        <v>499</v>
      </c>
      <c r="T98" s="5">
        <v>476</v>
      </c>
      <c r="U98" s="5"/>
      <c r="V98" s="5">
        <f t="shared" si="3"/>
        <v>3.1300813008130079</v>
      </c>
      <c r="W98" s="5">
        <f t="shared" si="4"/>
        <v>6.5702479338842972</v>
      </c>
      <c r="X98" s="5">
        <f t="shared" si="5"/>
        <v>9.0340681362725448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3194</v>
      </c>
      <c r="D99" s="5">
        <v>3581</v>
      </c>
      <c r="E99" s="5">
        <v>10822</v>
      </c>
      <c r="F99" s="5">
        <v>12019</v>
      </c>
      <c r="G99" s="5">
        <v>2438</v>
      </c>
      <c r="H99" s="5">
        <v>2787</v>
      </c>
      <c r="I99" s="5">
        <v>5281</v>
      </c>
      <c r="J99" s="5">
        <v>6103</v>
      </c>
      <c r="K99" s="5">
        <v>65909</v>
      </c>
      <c r="L99" s="5">
        <v>72216</v>
      </c>
      <c r="M99" s="5">
        <v>4132</v>
      </c>
      <c r="N99" s="5">
        <v>4933</v>
      </c>
      <c r="O99" s="5">
        <v>7234</v>
      </c>
      <c r="P99" s="5">
        <v>8105</v>
      </c>
      <c r="Q99" s="5">
        <v>206847</v>
      </c>
      <c r="R99" s="5">
        <v>193680</v>
      </c>
      <c r="S99" s="5">
        <v>6054</v>
      </c>
      <c r="T99" s="5">
        <v>7107</v>
      </c>
      <c r="U99" s="5"/>
      <c r="V99" s="5">
        <f t="shared" si="3"/>
        <v>4.4388843314191959</v>
      </c>
      <c r="W99" s="5">
        <f t="shared" si="4"/>
        <v>15.950871248789932</v>
      </c>
      <c r="X99" s="5">
        <f t="shared" si="5"/>
        <v>34.166997026759169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2135</v>
      </c>
      <c r="D100" s="5">
        <v>2221</v>
      </c>
      <c r="E100" s="5">
        <v>7549</v>
      </c>
      <c r="F100" s="5">
        <v>7821</v>
      </c>
      <c r="G100" s="5">
        <v>1633</v>
      </c>
      <c r="H100" s="5">
        <v>1862</v>
      </c>
      <c r="I100" s="5">
        <v>2630</v>
      </c>
      <c r="J100" s="5">
        <v>2798</v>
      </c>
      <c r="K100" s="5">
        <v>33716</v>
      </c>
      <c r="L100" s="5">
        <v>36689</v>
      </c>
      <c r="M100" s="5">
        <v>2190</v>
      </c>
      <c r="N100" s="5">
        <v>2346</v>
      </c>
      <c r="O100" s="5">
        <v>3359</v>
      </c>
      <c r="P100" s="5">
        <v>3370</v>
      </c>
      <c r="Q100" s="5">
        <v>92699</v>
      </c>
      <c r="R100" s="5">
        <v>89206</v>
      </c>
      <c r="S100" s="5">
        <v>2652</v>
      </c>
      <c r="T100" s="5">
        <v>2736</v>
      </c>
      <c r="U100" s="5"/>
      <c r="V100" s="5">
        <f t="shared" si="3"/>
        <v>4.6227801592161661</v>
      </c>
      <c r="W100" s="5">
        <f t="shared" si="4"/>
        <v>15.395433789954337</v>
      </c>
      <c r="X100" s="5">
        <f t="shared" si="5"/>
        <v>34.954374057315235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628</v>
      </c>
      <c r="D101" s="5">
        <v>699</v>
      </c>
      <c r="E101" s="5">
        <v>2257</v>
      </c>
      <c r="F101" s="5">
        <v>2438</v>
      </c>
      <c r="G101" s="5">
        <v>489</v>
      </c>
      <c r="H101" s="5">
        <v>555</v>
      </c>
      <c r="I101" s="5">
        <v>724</v>
      </c>
      <c r="J101" s="5">
        <v>827</v>
      </c>
      <c r="K101" s="5">
        <v>9210</v>
      </c>
      <c r="L101" s="5">
        <v>10480</v>
      </c>
      <c r="M101" s="5">
        <v>591</v>
      </c>
      <c r="N101" s="5">
        <v>650</v>
      </c>
      <c r="O101" s="5">
        <v>837</v>
      </c>
      <c r="P101" s="5">
        <v>1002</v>
      </c>
      <c r="Q101" s="5">
        <v>27809</v>
      </c>
      <c r="R101" s="5">
        <v>26794</v>
      </c>
      <c r="S101" s="5">
        <v>690</v>
      </c>
      <c r="T101" s="5">
        <v>803</v>
      </c>
      <c r="U101" s="5"/>
      <c r="V101" s="5">
        <f t="shared" si="3"/>
        <v>4.6155419222903884</v>
      </c>
      <c r="W101" s="5">
        <f t="shared" si="4"/>
        <v>15.583756345177665</v>
      </c>
      <c r="X101" s="5">
        <f t="shared" si="5"/>
        <v>40.302898550724635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141</v>
      </c>
      <c r="D102" s="5">
        <v>166</v>
      </c>
      <c r="E102" s="5">
        <v>625</v>
      </c>
      <c r="F102" s="5">
        <v>594</v>
      </c>
      <c r="G102" s="5">
        <v>116</v>
      </c>
      <c r="H102" s="5">
        <v>131</v>
      </c>
      <c r="I102" s="5">
        <v>161</v>
      </c>
      <c r="J102" s="5">
        <v>192</v>
      </c>
      <c r="K102" s="5">
        <v>1874</v>
      </c>
      <c r="L102" s="5">
        <v>1834</v>
      </c>
      <c r="M102" s="5">
        <v>136</v>
      </c>
      <c r="N102" s="5">
        <v>157</v>
      </c>
      <c r="O102" s="5">
        <v>196</v>
      </c>
      <c r="P102" s="5">
        <v>236</v>
      </c>
      <c r="Q102" s="5">
        <v>3775</v>
      </c>
      <c r="R102" s="5">
        <v>3672</v>
      </c>
      <c r="S102" s="5">
        <v>150</v>
      </c>
      <c r="T102" s="5">
        <v>180</v>
      </c>
      <c r="U102" s="5"/>
      <c r="V102" s="5">
        <f t="shared" si="3"/>
        <v>5.3879310344827589</v>
      </c>
      <c r="W102" s="5">
        <f t="shared" si="4"/>
        <v>13.779411764705882</v>
      </c>
      <c r="X102" s="5">
        <f t="shared" si="5"/>
        <v>25.166666666666668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51</v>
      </c>
      <c r="D103" s="5">
        <v>57</v>
      </c>
      <c r="E103" s="5">
        <v>375</v>
      </c>
      <c r="F103" s="5">
        <v>409</v>
      </c>
      <c r="G103" s="5">
        <v>42</v>
      </c>
      <c r="H103" s="5">
        <v>42</v>
      </c>
      <c r="I103" s="5">
        <v>65</v>
      </c>
      <c r="J103" s="5">
        <v>69</v>
      </c>
      <c r="K103" s="5">
        <v>911</v>
      </c>
      <c r="L103" s="5">
        <v>943</v>
      </c>
      <c r="M103" s="5">
        <v>55</v>
      </c>
      <c r="N103" s="5">
        <v>55</v>
      </c>
      <c r="O103" s="5">
        <v>83</v>
      </c>
      <c r="P103" s="5">
        <v>86</v>
      </c>
      <c r="Q103" s="5">
        <v>2322</v>
      </c>
      <c r="R103" s="5">
        <v>2005</v>
      </c>
      <c r="S103" s="5">
        <v>60</v>
      </c>
      <c r="T103" s="5">
        <v>64</v>
      </c>
      <c r="U103" s="5"/>
      <c r="V103" s="5">
        <f t="shared" si="3"/>
        <v>8.9285714285714288</v>
      </c>
      <c r="W103" s="5">
        <f t="shared" si="4"/>
        <v>16.563636363636363</v>
      </c>
      <c r="X103" s="5">
        <f t="shared" si="5"/>
        <v>38.700000000000003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1109</v>
      </c>
      <c r="D104" s="5">
        <v>1355</v>
      </c>
      <c r="E104" s="5">
        <v>3214</v>
      </c>
      <c r="F104" s="5">
        <v>3564</v>
      </c>
      <c r="G104" s="5">
        <v>920</v>
      </c>
      <c r="H104" s="5">
        <v>1030</v>
      </c>
      <c r="I104" s="5">
        <v>1358</v>
      </c>
      <c r="J104" s="5">
        <v>1537</v>
      </c>
      <c r="K104" s="5">
        <v>12714</v>
      </c>
      <c r="L104" s="5">
        <v>11833</v>
      </c>
      <c r="M104" s="5">
        <v>1081</v>
      </c>
      <c r="N104" s="5">
        <v>1238</v>
      </c>
      <c r="O104" s="5">
        <v>1491</v>
      </c>
      <c r="P104" s="5">
        <v>1794</v>
      </c>
      <c r="Q104" s="5">
        <v>32592</v>
      </c>
      <c r="R104" s="5">
        <v>29690</v>
      </c>
      <c r="S104" s="5">
        <v>1462</v>
      </c>
      <c r="T104" s="5">
        <v>1546</v>
      </c>
      <c r="U104" s="5"/>
      <c r="V104" s="5">
        <f t="shared" si="3"/>
        <v>3.4934782608695651</v>
      </c>
      <c r="W104" s="5">
        <f t="shared" si="4"/>
        <v>11.761332099907493</v>
      </c>
      <c r="X104" s="5">
        <f t="shared" si="5"/>
        <v>22.292749658002737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10993</v>
      </c>
      <c r="D105" s="5">
        <v>13321</v>
      </c>
      <c r="E105" s="5">
        <v>35957</v>
      </c>
      <c r="F105" s="5">
        <v>42300</v>
      </c>
      <c r="G105" s="5">
        <v>8579</v>
      </c>
      <c r="H105" s="5">
        <v>10346</v>
      </c>
      <c r="I105" s="5">
        <v>16695</v>
      </c>
      <c r="J105" s="5">
        <v>21248</v>
      </c>
      <c r="K105" s="5">
        <v>130042</v>
      </c>
      <c r="L105" s="5">
        <v>139702</v>
      </c>
      <c r="M105" s="5">
        <v>13481</v>
      </c>
      <c r="N105" s="5">
        <v>16913</v>
      </c>
      <c r="O105" s="5">
        <v>21259</v>
      </c>
      <c r="P105" s="5">
        <v>27849</v>
      </c>
      <c r="Q105" s="5">
        <v>293201</v>
      </c>
      <c r="R105" s="5">
        <v>319845</v>
      </c>
      <c r="S105" s="5">
        <v>17933</v>
      </c>
      <c r="T105" s="5">
        <v>22561</v>
      </c>
      <c r="U105" s="5"/>
      <c r="V105" s="5">
        <f t="shared" si="3"/>
        <v>4.191281035085674</v>
      </c>
      <c r="W105" s="5">
        <f t="shared" si="4"/>
        <v>9.6463170387953419</v>
      </c>
      <c r="X105" s="5">
        <f t="shared" si="5"/>
        <v>16.349802040930129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5333</v>
      </c>
      <c r="D106" s="5">
        <v>6787</v>
      </c>
      <c r="E106" s="5">
        <v>10312</v>
      </c>
      <c r="F106" s="5">
        <v>10868</v>
      </c>
      <c r="G106" s="5">
        <v>3878</v>
      </c>
      <c r="H106" s="5">
        <v>4963</v>
      </c>
      <c r="I106" s="5">
        <v>8624</v>
      </c>
      <c r="J106" s="5">
        <v>11573</v>
      </c>
      <c r="K106" s="5">
        <v>36914</v>
      </c>
      <c r="L106" s="5">
        <v>32891</v>
      </c>
      <c r="M106" s="5">
        <v>6787</v>
      </c>
      <c r="N106" s="5">
        <v>8988</v>
      </c>
      <c r="O106" s="5">
        <v>11534</v>
      </c>
      <c r="P106" s="5">
        <v>15024</v>
      </c>
      <c r="Q106" s="5">
        <v>76682</v>
      </c>
      <c r="R106" s="5">
        <v>65032</v>
      </c>
      <c r="S106" s="5">
        <v>9365</v>
      </c>
      <c r="T106" s="5">
        <v>11822</v>
      </c>
      <c r="U106" s="5"/>
      <c r="V106" s="5">
        <f t="shared" si="3"/>
        <v>2.659102630221764</v>
      </c>
      <c r="W106" s="5">
        <f t="shared" si="4"/>
        <v>5.4389273611315749</v>
      </c>
      <c r="X106" s="5">
        <f t="shared" si="5"/>
        <v>8.1881473571809931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5.4568809844951209</v>
      </c>
      <c r="W107" s="8">
        <f t="shared" ref="W107:X107" si="6">AVERAGE(W2:W106)</f>
        <v>14.694002556560614</v>
      </c>
      <c r="X107" s="8">
        <f t="shared" si="6"/>
        <v>29.449582880004861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9" t="s">
        <v>257</v>
      </c>
      <c r="C1" s="9"/>
      <c r="D1" s="9"/>
      <c r="E1" s="9"/>
      <c r="F1" s="9" t="s">
        <v>256</v>
      </c>
      <c r="G1" s="9"/>
      <c r="H1" s="9"/>
      <c r="I1" s="9"/>
      <c r="J1" s="9" t="s">
        <v>258</v>
      </c>
      <c r="K1" s="9"/>
      <c r="L1" s="9"/>
      <c r="M1" s="9"/>
      <c r="N1" s="9" t="s">
        <v>259</v>
      </c>
      <c r="O1" s="9"/>
      <c r="P1" s="9"/>
      <c r="Q1" s="9"/>
      <c r="R1" s="9" t="s">
        <v>260</v>
      </c>
      <c r="S1" s="9"/>
      <c r="T1" s="9"/>
      <c r="U1" s="9"/>
      <c r="W1" s="9" t="s">
        <v>257</v>
      </c>
      <c r="X1" s="9"/>
      <c r="Y1" s="9"/>
      <c r="Z1" s="9"/>
      <c r="AA1" s="9" t="s">
        <v>261</v>
      </c>
      <c r="AB1" s="9"/>
      <c r="AC1" s="9"/>
      <c r="AD1" s="9"/>
      <c r="AE1" s="9" t="s">
        <v>262</v>
      </c>
      <c r="AF1" s="9"/>
      <c r="AG1" s="9"/>
      <c r="AH1" s="9"/>
      <c r="AI1" s="9" t="s">
        <v>263</v>
      </c>
      <c r="AJ1" s="9"/>
      <c r="AK1" s="9"/>
      <c r="AL1" s="9"/>
      <c r="AM1" s="9" t="s">
        <v>264</v>
      </c>
      <c r="AN1" s="9"/>
      <c r="AO1" s="9"/>
      <c r="AP1" s="9"/>
      <c r="AR1" s="9" t="s">
        <v>256</v>
      </c>
      <c r="AS1" s="9"/>
      <c r="AT1" s="9"/>
      <c r="AU1" s="9"/>
      <c r="AV1" s="9" t="s">
        <v>261</v>
      </c>
      <c r="AW1" s="9"/>
      <c r="AX1" s="9"/>
      <c r="AY1" s="9"/>
      <c r="AZ1" s="9" t="s">
        <v>265</v>
      </c>
      <c r="BA1" s="9"/>
      <c r="BB1" s="9"/>
      <c r="BC1" s="9"/>
      <c r="BD1" s="9" t="s">
        <v>266</v>
      </c>
      <c r="BE1" s="9"/>
      <c r="BF1" s="9"/>
      <c r="BG1" s="9"/>
      <c r="BH1" s="9" t="s">
        <v>267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9" t="s">
        <v>269</v>
      </c>
      <c r="C1" s="9"/>
      <c r="D1" s="9"/>
      <c r="E1" s="9"/>
      <c r="F1" s="9" t="s">
        <v>268</v>
      </c>
      <c r="G1" s="9"/>
      <c r="H1" s="9"/>
      <c r="I1" s="9"/>
      <c r="J1" s="9" t="s">
        <v>270</v>
      </c>
      <c r="K1" s="9"/>
      <c r="L1" s="9"/>
      <c r="M1" s="9"/>
      <c r="N1" s="9" t="s">
        <v>271</v>
      </c>
      <c r="O1" s="9"/>
      <c r="P1" s="9"/>
      <c r="Q1" s="9"/>
      <c r="R1" s="9" t="s">
        <v>272</v>
      </c>
      <c r="S1" s="9"/>
      <c r="T1" s="9"/>
      <c r="U1" s="9"/>
      <c r="W1" s="9" t="s">
        <v>269</v>
      </c>
      <c r="X1" s="9"/>
      <c r="Y1" s="9"/>
      <c r="Z1" s="9"/>
      <c r="AA1" s="9" t="s">
        <v>273</v>
      </c>
      <c r="AB1" s="9"/>
      <c r="AC1" s="9"/>
      <c r="AD1" s="9"/>
      <c r="AE1" s="9" t="s">
        <v>274</v>
      </c>
      <c r="AF1" s="9"/>
      <c r="AG1" s="9"/>
      <c r="AH1" s="9"/>
      <c r="AI1" s="9" t="s">
        <v>275</v>
      </c>
      <c r="AJ1" s="9"/>
      <c r="AK1" s="9"/>
      <c r="AL1" s="9"/>
      <c r="AM1" s="9" t="s">
        <v>276</v>
      </c>
      <c r="AN1" s="9"/>
      <c r="AO1" s="9"/>
      <c r="AP1" s="9"/>
      <c r="AR1" s="9" t="s">
        <v>268</v>
      </c>
      <c r="AS1" s="9"/>
      <c r="AT1" s="9"/>
      <c r="AU1" s="9"/>
      <c r="AV1" s="9" t="s">
        <v>273</v>
      </c>
      <c r="AW1" s="9"/>
      <c r="AX1" s="9"/>
      <c r="AY1" s="9"/>
      <c r="AZ1" s="9" t="s">
        <v>277</v>
      </c>
      <c r="BA1" s="9"/>
      <c r="BB1" s="9"/>
      <c r="BC1" s="9"/>
      <c r="BD1" s="9" t="s">
        <v>278</v>
      </c>
      <c r="BE1" s="9"/>
      <c r="BF1" s="9"/>
      <c r="BG1" s="9"/>
      <c r="BH1" s="9" t="s">
        <v>279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9" t="s">
        <v>280</v>
      </c>
      <c r="C1" s="9"/>
      <c r="D1" s="9"/>
      <c r="E1" s="9"/>
      <c r="F1" s="9" t="s">
        <v>281</v>
      </c>
      <c r="G1" s="9"/>
      <c r="H1" s="9"/>
      <c r="I1" s="9"/>
      <c r="J1" s="9" t="s">
        <v>282</v>
      </c>
      <c r="K1" s="9"/>
      <c r="L1" s="9"/>
      <c r="M1" s="9"/>
      <c r="N1" s="9" t="s">
        <v>283</v>
      </c>
      <c r="O1" s="9"/>
      <c r="P1" s="9"/>
      <c r="Q1" s="9"/>
      <c r="R1" s="9" t="s">
        <v>284</v>
      </c>
      <c r="S1" s="9"/>
      <c r="T1" s="9"/>
      <c r="U1" s="9"/>
      <c r="W1" s="9" t="s">
        <v>280</v>
      </c>
      <c r="X1" s="9"/>
      <c r="Y1" s="9"/>
      <c r="Z1" s="9"/>
      <c r="AA1" s="9" t="s">
        <v>285</v>
      </c>
      <c r="AB1" s="9"/>
      <c r="AC1" s="9"/>
      <c r="AD1" s="9"/>
      <c r="AE1" s="9" t="s">
        <v>286</v>
      </c>
      <c r="AF1" s="9"/>
      <c r="AG1" s="9"/>
      <c r="AH1" s="9"/>
      <c r="AI1" s="9" t="s">
        <v>287</v>
      </c>
      <c r="AJ1" s="9"/>
      <c r="AK1" s="9"/>
      <c r="AL1" s="9"/>
      <c r="AM1" s="9" t="s">
        <v>288</v>
      </c>
      <c r="AN1" s="9"/>
      <c r="AO1" s="9"/>
      <c r="AP1" s="9"/>
      <c r="AR1" s="9" t="s">
        <v>281</v>
      </c>
      <c r="AS1" s="9"/>
      <c r="AT1" s="9"/>
      <c r="AU1" s="9"/>
      <c r="AV1" s="9" t="s">
        <v>285</v>
      </c>
      <c r="AW1" s="9"/>
      <c r="AX1" s="9"/>
      <c r="AY1" s="9"/>
      <c r="AZ1" s="9" t="s">
        <v>289</v>
      </c>
      <c r="BA1" s="9"/>
      <c r="BB1" s="9"/>
      <c r="BC1" s="9"/>
      <c r="BD1" s="9" t="s">
        <v>290</v>
      </c>
      <c r="BE1" s="9"/>
      <c r="BF1" s="9"/>
      <c r="BG1" s="9"/>
      <c r="BH1" s="9" t="s">
        <v>291</v>
      </c>
      <c r="BI1" s="9"/>
      <c r="BJ1" s="9"/>
      <c r="BK1" s="9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opLeftCell="B79" workbookViewId="0">
      <selection activeCell="C107" sqref="C107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3" width="8.33203125" bestFit="1" customWidth="1"/>
    <col min="4" max="6" width="12.1640625" bestFit="1" customWidth="1"/>
  </cols>
  <sheetData>
    <row r="1" spans="1:6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</row>
    <row r="2" spans="1:6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</row>
    <row r="3" spans="1:6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</row>
    <row r="4" spans="1:6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</row>
    <row r="5" spans="1:6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</row>
    <row r="6" spans="1:6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</row>
    <row r="7" spans="1:6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</row>
    <row r="8" spans="1:6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</row>
    <row r="9" spans="1:6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</row>
    <row r="10" spans="1:6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</row>
    <row r="11" spans="1:6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</row>
    <row r="12" spans="1:6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</row>
    <row r="13" spans="1:6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</row>
    <row r="14" spans="1:6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</row>
    <row r="15" spans="1:6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</row>
    <row r="16" spans="1:6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</row>
    <row r="17" spans="1:6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</row>
    <row r="18" spans="1:6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</row>
    <row r="19" spans="1:6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</row>
    <row r="20" spans="1:6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</row>
    <row r="21" spans="1:6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</row>
    <row r="22" spans="1:6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</row>
    <row r="23" spans="1:6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</row>
    <row r="24" spans="1:6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</row>
    <row r="25" spans="1:6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</row>
    <row r="26" spans="1:6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</row>
    <row r="27" spans="1:6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</row>
    <row r="28" spans="1:6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</row>
    <row r="29" spans="1:6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</row>
    <row r="30" spans="1:6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</row>
    <row r="31" spans="1:6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</row>
    <row r="32" spans="1:6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</row>
    <row r="33" spans="1:6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</row>
    <row r="34" spans="1:6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</row>
    <row r="35" spans="1:6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</row>
    <row r="36" spans="1:6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</row>
    <row r="37" spans="1:6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</row>
    <row r="38" spans="1:6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</row>
    <row r="39" spans="1:6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</row>
    <row r="40" spans="1:6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</row>
    <row r="41" spans="1:6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</row>
    <row r="42" spans="1:6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</row>
    <row r="43" spans="1:6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</row>
    <row r="44" spans="1:6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</row>
    <row r="45" spans="1:6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</row>
    <row r="46" spans="1:6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</row>
    <row r="47" spans="1:6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</row>
    <row r="48" spans="1:6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</row>
    <row r="49" spans="1:6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</row>
    <row r="50" spans="1:6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</row>
    <row r="51" spans="1:6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</row>
    <row r="52" spans="1:6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</row>
    <row r="53" spans="1:6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</row>
    <row r="54" spans="1:6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</row>
    <row r="55" spans="1:6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</row>
    <row r="56" spans="1:6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</row>
    <row r="57" spans="1:6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</row>
    <row r="58" spans="1:6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</row>
    <row r="59" spans="1:6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</row>
    <row r="60" spans="1:6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</row>
    <row r="61" spans="1:6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</row>
    <row r="62" spans="1:6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</row>
    <row r="63" spans="1:6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</row>
    <row r="64" spans="1:6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</row>
    <row r="65" spans="1:6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</row>
    <row r="66" spans="1:6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</row>
    <row r="67" spans="1:6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</row>
    <row r="68" spans="1:6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</row>
    <row r="69" spans="1:6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</row>
    <row r="70" spans="1:6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</row>
    <row r="71" spans="1:6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</row>
    <row r="72" spans="1:6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</row>
    <row r="73" spans="1:6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</row>
    <row r="74" spans="1:6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</row>
    <row r="75" spans="1:6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</row>
    <row r="76" spans="1:6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</row>
    <row r="77" spans="1:6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</row>
    <row r="78" spans="1:6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</row>
    <row r="79" spans="1:6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</row>
    <row r="80" spans="1:6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</row>
    <row r="81" spans="1:6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</row>
    <row r="82" spans="1:6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</row>
    <row r="83" spans="1:6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</row>
    <row r="84" spans="1:6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</row>
    <row r="85" spans="1:6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</row>
    <row r="86" spans="1:6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</row>
    <row r="87" spans="1:6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</row>
    <row r="88" spans="1:6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</row>
    <row r="89" spans="1:6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</row>
    <row r="90" spans="1:6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</row>
    <row r="91" spans="1:6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</row>
    <row r="92" spans="1:6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</row>
    <row r="93" spans="1:6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</row>
    <row r="94" spans="1:6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</row>
    <row r="95" spans="1:6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</row>
    <row r="96" spans="1:6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</row>
    <row r="97" spans="1:6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</row>
    <row r="98" spans="1:6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</row>
    <row r="99" spans="1:6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</row>
    <row r="100" spans="1:6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</row>
    <row r="101" spans="1:6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</row>
    <row r="102" spans="1:6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</row>
    <row r="103" spans="1:6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</row>
    <row r="104" spans="1:6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</row>
    <row r="105" spans="1:6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</row>
    <row r="106" spans="1:6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</row>
    <row r="107" spans="1:6">
      <c r="C107">
        <f>AVERAGE(C2:C106)</f>
        <v>134.81904761904761</v>
      </c>
      <c r="D107">
        <f>AVERAGE(D2:D106)</f>
        <v>14.476190476190476</v>
      </c>
      <c r="E107">
        <f t="shared" ref="E107:F107" si="0">AVERAGE(E2:E106)</f>
        <v>49.952380952380949</v>
      </c>
      <c r="F107">
        <f t="shared" si="0"/>
        <v>11.742857142857142</v>
      </c>
    </row>
    <row r="108" spans="1:6">
      <c r="C108">
        <f>MIN(C2:C106)</f>
        <v>3</v>
      </c>
      <c r="D108">
        <f>MIN(D2:D106)</f>
        <v>0</v>
      </c>
      <c r="E108">
        <f t="shared" ref="E108:F108" si="1">MIN(E2:E106)</f>
        <v>1</v>
      </c>
      <c r="F108">
        <f t="shared" si="1"/>
        <v>0</v>
      </c>
    </row>
    <row r="109" spans="1:6">
      <c r="C109">
        <f>MAX(C2:C106)</f>
        <v>1601</v>
      </c>
      <c r="D109">
        <f>MAX(D2:D106)</f>
        <v>97</v>
      </c>
      <c r="E109">
        <f t="shared" ref="E109:F109" si="2">MAX(E2:E106)</f>
        <v>390</v>
      </c>
      <c r="F109">
        <f t="shared" si="2"/>
        <v>79</v>
      </c>
    </row>
    <row r="110" spans="1:6">
      <c r="C110">
        <f>MEDIAN(C2:C106)</f>
        <v>71</v>
      </c>
      <c r="D110">
        <f>MEDIAN(D2:D106)</f>
        <v>7</v>
      </c>
      <c r="E110">
        <f t="shared" ref="E110:F110" si="3">MEDIAN(E2:E106)</f>
        <v>25</v>
      </c>
      <c r="F110">
        <f t="shared" si="3"/>
        <v>7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2" sqref="B2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RQ Reg vs Block</vt:lpstr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2015-04-25T20:09:08Z</dcterms:created>
  <dcterms:modified xsi:type="dcterms:W3CDTF">2015-05-11T17:59:33Z</dcterms:modified>
</cp:coreProperties>
</file>